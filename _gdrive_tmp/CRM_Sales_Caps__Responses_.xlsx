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Follow ups" sheetId="2" r:id="rId6"/>
    <sheet state="visible" name="Detail19-Tier-1(AOV&gt;400)" sheetId="3" r:id="rId7"/>
    <sheet state="visible" name="Pivot Table 14" sheetId="4" r:id="rId8"/>
    <sheet state="visible" name="Visit New" sheetId="5" r:id="rId9"/>
    <sheet state="visible" name="POS Data" sheetId="6" r:id="rId10"/>
    <sheet state="visible" name="Data" sheetId="7" r:id="rId11"/>
    <sheet state="visible" name="Data Visits Pivot" sheetId="8" r:id="rId12"/>
    <sheet state="visible" name="Sheet3" sheetId="9" r:id="rId13"/>
  </sheets>
  <definedNames>
    <definedName hidden="1" localSheetId="4" name="_xlnm._FilterDatabase">'Visit New'!$A$2:$AL$20</definedName>
    <definedName hidden="1" localSheetId="5" name="_xlnm._FilterDatabase">'POS Data'!$E$2:$F$10</definedName>
  </definedNames>
  <calcPr/>
  <pivotCaches>
    <pivotCache cacheId="0" r:id="rId14"/>
    <pivotCache cacheId="1" r:id="rId15"/>
    <pivotCache cacheId="2" r:id="rId16"/>
  </pivotCaches>
</workbook>
</file>

<file path=xl/sharedStrings.xml><?xml version="1.0" encoding="utf-8"?>
<sst xmlns="http://schemas.openxmlformats.org/spreadsheetml/2006/main" count="26464" uniqueCount="5807">
  <si>
    <t>Timestamp</t>
  </si>
  <si>
    <t>Date</t>
  </si>
  <si>
    <t>Time</t>
  </si>
  <si>
    <t>Type Of Meeting</t>
  </si>
  <si>
    <t xml:space="preserve">Name of Restaurant ?
</t>
  </si>
  <si>
    <t>Seating Capacity</t>
  </si>
  <si>
    <t>AOV</t>
  </si>
  <si>
    <t>POS</t>
  </si>
  <si>
    <t xml:space="preserve">Daily Revenue? </t>
  </si>
  <si>
    <t>Kind of Restaurant</t>
  </si>
  <si>
    <t xml:space="preserve">Restaurant Live on </t>
  </si>
  <si>
    <t xml:space="preserve">Claimed Margins (Competition) </t>
  </si>
  <si>
    <t>Expected Margins (Caps)</t>
  </si>
  <si>
    <t>No.of Branches?</t>
  </si>
  <si>
    <t>Type of Ownership</t>
  </si>
  <si>
    <t>GST</t>
  </si>
  <si>
    <t>FSSAI</t>
  </si>
  <si>
    <t>Labour License</t>
  </si>
  <si>
    <t>Google Map Business link</t>
  </si>
  <si>
    <t>Restaurant ID</t>
  </si>
  <si>
    <t>Name (POC-1)</t>
  </si>
  <si>
    <t>Contact Number (POC-1)</t>
  </si>
  <si>
    <t>Email- ID (POC-1)</t>
  </si>
  <si>
    <t>Name (POC-2)</t>
  </si>
  <si>
    <t>Contact Number (POC-2)</t>
  </si>
  <si>
    <t>Email- ID (POC-2)</t>
  </si>
  <si>
    <t>Do you want to Submit Documents</t>
  </si>
  <si>
    <t>FSSAI Number</t>
  </si>
  <si>
    <t>FSSAI 2</t>
  </si>
  <si>
    <t>GST Number</t>
  </si>
  <si>
    <t>GST 2</t>
  </si>
  <si>
    <t>PAN Number</t>
  </si>
  <si>
    <t>PAN Card</t>
  </si>
  <si>
    <t>Labour License Number</t>
  </si>
  <si>
    <t>Labour License 2</t>
  </si>
  <si>
    <t>Menu (Image)</t>
  </si>
  <si>
    <t>Bank Account Proof</t>
  </si>
  <si>
    <t>Account Number</t>
  </si>
  <si>
    <t xml:space="preserve">IFSC </t>
  </si>
  <si>
    <t>Name on Bank Account</t>
  </si>
  <si>
    <t>Owner Name</t>
  </si>
  <si>
    <t>Owner Contact Number</t>
  </si>
  <si>
    <t>Owner Email address</t>
  </si>
  <si>
    <t>Legal Entity Name</t>
  </si>
  <si>
    <t>Onboarding Done</t>
  </si>
  <si>
    <t>Remarks(Comments)</t>
  </si>
  <si>
    <t>Follow Up Meeting Required?</t>
  </si>
  <si>
    <t>Meeting agenda for follow up</t>
  </si>
  <si>
    <t>Points to be prepared</t>
  </si>
  <si>
    <t>Meeting Date</t>
  </si>
  <si>
    <t>Meeting Time</t>
  </si>
  <si>
    <t>Email address</t>
  </si>
  <si>
    <t>Cold Walk/ Scheduled</t>
  </si>
  <si>
    <t>POC Available</t>
  </si>
  <si>
    <t>Manager Name</t>
  </si>
  <si>
    <t>Manager Contact Details</t>
  </si>
  <si>
    <t>Manager Email ID</t>
  </si>
  <si>
    <t>Manager Contact Number</t>
  </si>
  <si>
    <t>Manager Email ID 2</t>
  </si>
  <si>
    <t>Caps Magin %</t>
  </si>
  <si>
    <t xml:space="preserve">Additional 2% Distance Margin </t>
  </si>
  <si>
    <t>Restaurant Open Time</t>
  </si>
  <si>
    <t>Restaurant Close Time</t>
  </si>
  <si>
    <t>Daily Online Orders</t>
  </si>
  <si>
    <t>Restaurant Address</t>
  </si>
  <si>
    <t>Cluster</t>
  </si>
  <si>
    <t>Name of Restaurant Walk</t>
  </si>
  <si>
    <t>Name of Restaurant</t>
  </si>
  <si>
    <t>Name of Ra</t>
  </si>
  <si>
    <t>Restaurant Name Concat</t>
  </si>
  <si>
    <t xml:space="preserve"> </t>
  </si>
  <si>
    <t>Growth Meeting</t>
  </si>
  <si>
    <t>sandeep</t>
  </si>
  <si>
    <t>parul986@gmail</t>
  </si>
  <si>
    <t>amit</t>
  </si>
  <si>
    <t>parul@gmail</t>
  </si>
  <si>
    <t>Yes</t>
  </si>
  <si>
    <t>https://drive.google.com/open?id=1K2GAYdf9j8OoeRQJN7a2rrWNqrJv-Yr8</t>
  </si>
  <si>
    <t>https://drive.google.com/open?id=1Xrc3uPOk64pgUM1gMvRHq-hhYc6pYKJT</t>
  </si>
  <si>
    <t>685654hgu</t>
  </si>
  <si>
    <t>https://drive.google.com/open?id=1P8o5u-wkGayDLIcyTArlaMzpPcBL8IP1</t>
  </si>
  <si>
    <t>https://drive.google.com/open?id=1zOmxq565qkkMqqCAFCaCRWzjb7i60OTF</t>
  </si>
  <si>
    <t>https://drive.google.com/open?id=1qsXvdJuct7_aToPR8ThIMJcmid9TRtyr</t>
  </si>
  <si>
    <t>949464bguhb</t>
  </si>
  <si>
    <t>icici</t>
  </si>
  <si>
    <t>jihughyfu</t>
  </si>
  <si>
    <t>jhgyfyf2@GMAIL,COM</t>
  </si>
  <si>
    <t>HVTFUGYFYGJH</t>
  </si>
  <si>
    <t>Document Collection</t>
  </si>
  <si>
    <t>KBUHIH</t>
  </si>
  <si>
    <t>TEST</t>
  </si>
  <si>
    <t>Intro Meeting</t>
  </si>
  <si>
    <t xml:space="preserve">Bhuvan’s Kitchen </t>
  </si>
  <si>
    <t>OrderMatic</t>
  </si>
  <si>
    <t>Tier-2 (AOV &lt;400)</t>
  </si>
  <si>
    <t>None</t>
  </si>
  <si>
    <t>Prop</t>
  </si>
  <si>
    <t>Active</t>
  </si>
  <si>
    <t>Not Applied</t>
  </si>
  <si>
    <t>https://maps.app.goo.gl/QukQHejyepep1eaLA?g_st=ic</t>
  </si>
  <si>
    <t>Rama Rao</t>
  </si>
  <si>
    <t>Bhuvan’skitchen25@gmail.com</t>
  </si>
  <si>
    <t>20251226108111377</t>
  </si>
  <si>
    <t>https://drive.google.com/open?id=1zQ8cp3_66Bhden1m6eXDLNsshBt8JXb3</t>
  </si>
  <si>
    <t>HDFC0010090</t>
  </si>
  <si>
    <t xml:space="preserve">HDFC Bank </t>
  </si>
  <si>
    <t>bhuvanskitchen25@gmail.com</t>
  </si>
  <si>
    <t>Bhuvan’s Kitchen</t>
  </si>
  <si>
    <t xml:space="preserve">Res has been onboarded </t>
  </si>
  <si>
    <t>No</t>
  </si>
  <si>
    <t>manasa.chigurupati@capsdelivery.com</t>
  </si>
  <si>
    <t>Follow up</t>
  </si>
  <si>
    <t>Mohammed Amir</t>
  </si>
  <si>
    <t>na</t>
  </si>
  <si>
    <t>Contract Signing</t>
  </si>
  <si>
    <t>sumadhur.mummadi@capsdelivery.com</t>
  </si>
  <si>
    <t>Bhojanams &amp; Birynis</t>
  </si>
  <si>
    <t>NA</t>
  </si>
  <si>
    <t>Zomato</t>
  </si>
  <si>
    <t>yes</t>
  </si>
  <si>
    <t>Shesha sai</t>
  </si>
  <si>
    <t>sheshasai@gmail.com</t>
  </si>
  <si>
    <t>https://drive.google.com/open?id=1jDd9udZkiYFM95E6qDnBXxB9dZAPA3Q6</t>
  </si>
  <si>
    <t>36AAHFi2620K1ZF</t>
  </si>
  <si>
    <t>https://drive.google.com/open?id=1wmAzfgRO6AUexNEcncft5vbltGIV8av4</t>
  </si>
  <si>
    <t>https://drive.google.com/open?id=13qbsLsi98K74BchvdcD_7-swJp4EtkeO</t>
  </si>
  <si>
    <t>IDFB00B0231</t>
  </si>
  <si>
    <t>IDFC</t>
  </si>
  <si>
    <t>SHESHA SAI</t>
  </si>
  <si>
    <t>INVENCES FOODS</t>
  </si>
  <si>
    <t>PARTNER ON BOARDED</t>
  </si>
  <si>
    <t>chanakya.inugala@capsdelivery.com</t>
  </si>
  <si>
    <t>Sunrise Business Hotel</t>
  </si>
  <si>
    <t>Own</t>
  </si>
  <si>
    <t>Swiggy, Zomato</t>
  </si>
  <si>
    <t>Partnership</t>
  </si>
  <si>
    <t>https://maps.app.goo.gl/U96V4tJ8v4oih7cF9</t>
  </si>
  <si>
    <t>Venkat Lingam</t>
  </si>
  <si>
    <t>bowlrise.srnagar@gmail.com</t>
  </si>
  <si>
    <t>https://drive.google.com/open?id=1p7jWoaNGA48ZsmXz8piawFvDD6h8MZPo</t>
  </si>
  <si>
    <t>36ACHFA3021A1Z7</t>
  </si>
  <si>
    <t>https://drive.google.com/open?id=1hZ4_XJa0ar_5viyQyWSwjO63ut7o3QIh</t>
  </si>
  <si>
    <t>AWNPV9668G</t>
  </si>
  <si>
    <t>https://drive.google.com/open?id=11LbxcMTLS62PuKE6EHwzu8WdUemKU5ba</t>
  </si>
  <si>
    <t>https://drive.google.com/open?id=1LV1wXeDgKShlIJHBUn--Sn9J2gR1xgxD</t>
  </si>
  <si>
    <t>ICIC0008037</t>
  </si>
  <si>
    <t>ICICI BANK</t>
  </si>
  <si>
    <t>VENKAT LINGAM</t>
  </si>
  <si>
    <t>BOWLRISE.SRNAGAR@GMAIL.COM</t>
  </si>
  <si>
    <t>AARAV SUNRISE HOSPITALITES</t>
  </si>
  <si>
    <t xml:space="preserve">They got impress with our application take away point </t>
  </si>
  <si>
    <t>parthive.maganti@capsdelivery.com</t>
  </si>
  <si>
    <t xml:space="preserve">ZYROS BIRYANI HOUSE </t>
  </si>
  <si>
    <t>YES</t>
  </si>
  <si>
    <t>https://www.google.com/maps/place/17%C2%B027'04.3%22N+78%C2%B023'30.1%22E/@17.4512028,78.389128,17z/data=!3m1!4b1!4m4!3m3!8m2!3d17.4512028!4d78.3917029?hl=en&amp;entry=ttu&amp;g_ep=EgoyMDI2MDIwMS4wIKXMDSoKLDEwMDc5MjA2OUgBUAM%3D</t>
  </si>
  <si>
    <t>NATVA SANTOSH KUMAR</t>
  </si>
  <si>
    <t>nsantosh086@gmail.com</t>
  </si>
  <si>
    <t>https://drive.google.com/open?id=19PGovlvYadreb67eUHeNKzrktgJO-8bX</t>
  </si>
  <si>
    <t>36BQBPK2933A1ZD</t>
  </si>
  <si>
    <t>https://drive.google.com/open?id=1xkvSfuIbWsf_ar7Z_3_MFx49cCnJTGSd</t>
  </si>
  <si>
    <t>https://drive.google.com/open?id=1zs5LVtkzfw6Ig4tlx1lPWSn0Lm-7bwoP</t>
  </si>
  <si>
    <t>https://drive.google.com/open?id=12sEwp13vy0B0IOgjOaR48di8G3M0dgC6</t>
  </si>
  <si>
    <t>KKBK0000561</t>
  </si>
  <si>
    <t xml:space="preserve">ONBOARDED </t>
  </si>
  <si>
    <t>moin.khan@capsdelivery.com</t>
  </si>
  <si>
    <t>Slice of Spice</t>
  </si>
  <si>
    <t>own software</t>
  </si>
  <si>
    <t>Tier-1(AOV&gt;400)</t>
  </si>
  <si>
    <t>2-52/1/3, Hitech City Rd, Phase 2, Kavuri Hills, Madhapur, Hyderabad, Telangana 500081</t>
  </si>
  <si>
    <t xml:space="preserve">bowlrise.srnagar@gmail.com </t>
  </si>
  <si>
    <t>https://drive.google.com/open?id=1O-A-ESorVgS21JbM9bD4LsPgYXHMCp0d</t>
  </si>
  <si>
    <t>36AAKFE8997J1ZI</t>
  </si>
  <si>
    <t>https://drive.google.com/open?id=15R5f8q3so1Ik7UrWJk_3rCjAQY8sBEFO</t>
  </si>
  <si>
    <t>AAKFE8997J</t>
  </si>
  <si>
    <t>https://drive.google.com/open?id=1r4LwvkbszhmmgLl56dsxPyTtENCSry3W</t>
  </si>
  <si>
    <t>https://drive.google.com/open?id=1kddVXBDtmyxBYZuEGyQzheu06kPD2YCr</t>
  </si>
  <si>
    <t>https://drive.google.com/open?id=1HMbFf9NKxwpNmJpRUAoeT4JSbWFH_gsM</t>
  </si>
  <si>
    <t>ICIC0001120</t>
  </si>
  <si>
    <t xml:space="preserve">EASTIN HOTELS AND RESORTS </t>
  </si>
  <si>
    <t>VAMSI</t>
  </si>
  <si>
    <t>info@eastinhotel.com</t>
  </si>
  <si>
    <t>Onboarded</t>
  </si>
  <si>
    <t>nitya.akshara@capsdelivery.com</t>
  </si>
  <si>
    <t>ROLO BAKERS</t>
  </si>
  <si>
    <t>PET POOJA</t>
  </si>
  <si>
    <t>google.com/maps?q=17.440473,78.3934188&amp;z=17&amp;hl=en</t>
  </si>
  <si>
    <t>GM RAGHAVENDRA</t>
  </si>
  <si>
    <t>https://drive.google.com/open?id=16IQXYD4HTTgs7GCdBU6iPTmSXHfWlbQY</t>
  </si>
  <si>
    <t>36ABJFR8448R1Z2</t>
  </si>
  <si>
    <t>https://drive.google.com/open?id=1QyRpGDX2lP1lX3GoLj4kqxGuQ7cNxZ5q</t>
  </si>
  <si>
    <t>ABJFR8448R</t>
  </si>
  <si>
    <t>https://drive.google.com/open?id=1wLa_Pt-AJbdtSV0NDD93Cgm0a-yocPNO</t>
  </si>
  <si>
    <t>ROLO ONE BAKERS</t>
  </si>
  <si>
    <t>ONBOARDED</t>
  </si>
  <si>
    <t xml:space="preserve"> rayalseema spice  restaurant  </t>
  </si>
  <si>
    <t>https://www.google.com/maps/place/Rayalaseema+Spice+Restaurant/@17.4463018,78.3898889,17z/data=!3m1!4b1!4m6!3m5!1s0x3bcb91140c324827:0xb8961b47ea2ebc6a!8m2!3d17.4463018!4d78.3924638!16s%2Fg%2F11ks1mwcz0?entry=ttu&amp;g_ep=EgoyMDI2MDIwMS4wIKXMDSoKLDEwMDc5MjA2OUgBUAM%3D</t>
  </si>
  <si>
    <t xml:space="preserve">narapu reddy </t>
  </si>
  <si>
    <t>rayalseemaspice@gmail.com</t>
  </si>
  <si>
    <t>https://drive.google.com/open?id=12A0pBqsWeMNRgfr4-RewydCYL1MhGFzW</t>
  </si>
  <si>
    <t>36BDMPC6430Q1Z4</t>
  </si>
  <si>
    <t>https://drive.google.com/open?id=1w2-0S2iGSW_hsqhFAKZANxRRUo2t8rGA</t>
  </si>
  <si>
    <t>BDMPC6430Q</t>
  </si>
  <si>
    <t>https://drive.google.com/open?id=1pP1p8yHifkOvlMj3fFQXJ-_zZU02HhTR</t>
  </si>
  <si>
    <t>https://drive.google.com/open?id=1B_C4vy9xoX9tPLwjSW2tR-EM6ekXOlYl</t>
  </si>
  <si>
    <t>BDBL0002722</t>
  </si>
  <si>
    <t>BANDHAN BANK</t>
  </si>
  <si>
    <t>POKURI PRATHYUSHA</t>
  </si>
  <si>
    <t xml:space="preserve">alankrutha multicuisine restaurant </t>
  </si>
  <si>
    <t>PETPOOJA</t>
  </si>
  <si>
    <t>https://www.google.com/maps/place/Alankrutha+Restaurant/@17.44665,78.3922746,3a,75y,90t/data=!3m8!1e2!3m6!1sAF1QipN-ydSRKlr93jgWDRaakYdE5oV8xhAkUs2hDWna!2e10!3e12!6shttps:%2F%2Flh3.googleusercontent.com%2Fp%2FAF1QipN-ydSRKlr93jgWDRaakYdE5oV8xhAkUs2hDWna%3Dw203-h114-k-no!7i1920!8i1080!4m7!3m6!1s0x3bcb9100076d4f83:0x7e07d0c42ed99066!8m2!3d17.4466622!4d78.3923727!10e5!16s%2Fg%2F11m6k7vc6z?entry=ttu&amp;g_ep=EgoyMDI2MDIwMS4wIKXMDSoKLDEwMDc5MjA2OUgBUAM%3D</t>
  </si>
  <si>
    <t>AKASH</t>
  </si>
  <si>
    <t>cakash121@gmail.com</t>
  </si>
  <si>
    <t>https://drive.google.com/open?id=1yUrIaR5y55zD2nSA-kJ0RTpJklMZhyOE</t>
  </si>
  <si>
    <t>AOXPC9349D</t>
  </si>
  <si>
    <t>https://drive.google.com/open?id=1lHnQS6jFD0j-ODzzm6ncc6Fds_MkMTOj</t>
  </si>
  <si>
    <t>https://drive.google.com/open?id=1xJurv609CUKpePCGd0rcMOwYy6MJKEto</t>
  </si>
  <si>
    <t>BARB0DBMDHP</t>
  </si>
  <si>
    <t>BANK OF BARODA</t>
  </si>
  <si>
    <t>ALANKRUTHA RESTAURANT</t>
  </si>
  <si>
    <t>ALANKRUTHA MULTICUSINE RESTAURANT</t>
  </si>
  <si>
    <t>GUNTUR MESS</t>
  </si>
  <si>
    <t>Tier-3 ( AOV&lt;200 )</t>
  </si>
  <si>
    <t>SHIVA</t>
  </si>
  <si>
    <t>shiva@gmail.com</t>
  </si>
  <si>
    <t>on boarded waiting for documents</t>
  </si>
  <si>
    <t>Bihar Dhaba</t>
  </si>
  <si>
    <t>prajwah kumar</t>
  </si>
  <si>
    <t>onboarded waiting for documets</t>
  </si>
  <si>
    <t xml:space="preserve">hunan chinese cusine </t>
  </si>
  <si>
    <t>NO POS</t>
  </si>
  <si>
    <t>https://www.google.com/maps/place/Hunan+Chinese+Cuisine/@17.4478451,78.3885023,17z/data=!3m1!4b1!4m6!3m5!1s0x3bcb91b50352f21f:0xee872dfeab40a154!8m2!3d17.4478451!4d78.3885023!16s%2Fg%2F11vxjzpgh9?hl=en&amp;entry=ttu&amp;g_ep=EgoyMDI2MDIwMS4wIKXMDSoKLDEwMDc5MjA2OUgBUAM%3D</t>
  </si>
  <si>
    <t>RAVI</t>
  </si>
  <si>
    <t>thehumanspice@gmail.com</t>
  </si>
  <si>
    <t>https://drive.google.com/open?id=1eq2DvTRrEKjx7F39onOqBAWekTlxGmlf</t>
  </si>
  <si>
    <t>https://drive.google.com/open?id=1EM4vsraBCi3CmJzJUZ8gpuR8XRGBOcDh</t>
  </si>
  <si>
    <t>HUNAN CHINESE CUSINE</t>
  </si>
  <si>
    <t xml:space="preserve">Ravi </t>
  </si>
  <si>
    <t>onboarded</t>
  </si>
  <si>
    <t>Krishna teeram</t>
  </si>
  <si>
    <t>Suresh</t>
  </si>
  <si>
    <t>krishnateeram2025@gmail.com</t>
  </si>
  <si>
    <t>Onboarding done but Adhar and pan details didnt recevied at.</t>
  </si>
  <si>
    <t>Need to receive some of the documents</t>
  </si>
  <si>
    <t>greeshma.vanneldas@capsdelivery.com</t>
  </si>
  <si>
    <t>Ahaladha kitchen</t>
  </si>
  <si>
    <t>Naveen</t>
  </si>
  <si>
    <t>didnt recevied</t>
  </si>
  <si>
    <t xml:space="preserve">Onboarding done </t>
  </si>
  <si>
    <t>Onboarding done.</t>
  </si>
  <si>
    <t>Rameshwaram cafe</t>
  </si>
  <si>
    <t>intro meeting not done</t>
  </si>
  <si>
    <t>Intro meet not done because owner will be available after 19:00pm</t>
  </si>
  <si>
    <t>72, Capital Pk Rd, beside Jain Sadguru Capital Park, Cyber Hills Colony, VIP Hills, Silicon Valley, Madhapur, Serilingampalle (M), Hyderabad, Telangana 500081</t>
  </si>
  <si>
    <t>no details</t>
  </si>
  <si>
    <t>Met the front office team,</t>
  </si>
  <si>
    <t>Hamara Adda</t>
  </si>
  <si>
    <t>Didnt meet the client,got the niumber of the owner</t>
  </si>
  <si>
    <t>G-02, Ground Floor, Silicon Towers, Image Gardens Road, Madhapur, Hyderabad</t>
  </si>
  <si>
    <t>owner</t>
  </si>
  <si>
    <t>didnt received</t>
  </si>
  <si>
    <t>To explain about our platform</t>
  </si>
  <si>
    <t>Delicia</t>
  </si>
  <si>
    <t>Vishwa</t>
  </si>
  <si>
    <t>didnt provided</t>
  </si>
  <si>
    <t>Manager need to discuss with owner and he will get up to us,but I will follow up.</t>
  </si>
  <si>
    <t>Palapitta Ruchulu</t>
  </si>
  <si>
    <t>didnt mention</t>
  </si>
  <si>
    <t>didnt got mail</t>
  </si>
  <si>
    <t>Owner was busy during lunch and he said to follow up on monday</t>
  </si>
  <si>
    <t xml:space="preserve">lucky restaurant </t>
  </si>
  <si>
    <t xml:space="preserve">khasim </t>
  </si>
  <si>
    <t>Meeting with different POC</t>
  </si>
  <si>
    <t>kiss me mandi</t>
  </si>
  <si>
    <t>Swiggy</t>
  </si>
  <si>
    <t>syed Aman</t>
  </si>
  <si>
    <t>Girl Friend Mandi</t>
  </si>
  <si>
    <t>shiek Nazeer</t>
  </si>
  <si>
    <t>Shree Balaji Tiffin Center</t>
  </si>
  <si>
    <t>Mobile Software</t>
  </si>
  <si>
    <t>https://maps.app.goo.gl/7YMoNqTWQYbg4jmu7</t>
  </si>
  <si>
    <t>B.Raja Yeshwanth Kumar</t>
  </si>
  <si>
    <t>https://drive.google.com/open?id=1FDLfrP2vE0w4X7UHEaSFNcpu27KdfG4j</t>
  </si>
  <si>
    <t>AIOPB0243L</t>
  </si>
  <si>
    <t>https://drive.google.com/open?id=1-S0Ms1yARTteTRwzAtfYIosgIvtAoKrD</t>
  </si>
  <si>
    <t>B RAJA YESHWANTH KUMAR</t>
  </si>
  <si>
    <t>SHREE BALAJI TIFFIN CENTER</t>
  </si>
  <si>
    <t>Onboarding is Done</t>
  </si>
  <si>
    <t>ankitha.baske@capsdelivery.com</t>
  </si>
  <si>
    <t>President Dhaba</t>
  </si>
  <si>
    <t>Nikhil</t>
  </si>
  <si>
    <t xml:space="preserve"> lucky multicusine restaurant </t>
  </si>
  <si>
    <t>pet pooja</t>
  </si>
  <si>
    <t>https://www.google.com/maps/place/lucky+multi+cuisine+restaurant+madhapur/data=!4m2!3m1!1s0x3bcb915eea8173fb:0x9c806787d3a94d48?sa=X&amp;ved=1t:242&amp;ictx=111</t>
  </si>
  <si>
    <t>Mansoor</t>
  </si>
  <si>
    <t>ya6822534@gmail.com</t>
  </si>
  <si>
    <t>https://drive.google.com/open?id=1M7jn0BGrwdxzFH55n7AA8m6MyWVZRx1z</t>
  </si>
  <si>
    <t>36AAJFL6331Q1ZQ</t>
  </si>
  <si>
    <t>https://drive.google.com/open?id=19lSB9R9cl_cCitMQsEsLggwyE9tp94F1</t>
  </si>
  <si>
    <t>AAJFL6331Q</t>
  </si>
  <si>
    <t>https://drive.google.com/open?id=1NsZ5WcHnZIPbzaY8z4g91aZM_fe2ibN8</t>
  </si>
  <si>
    <t>HDFC0004277</t>
  </si>
  <si>
    <t>LUCKY MULTI CUISINE RESTAURANT</t>
  </si>
  <si>
    <t>MANSOOR</t>
  </si>
  <si>
    <t xml:space="preserve">godavari restaurant </t>
  </si>
  <si>
    <t>satya</t>
  </si>
  <si>
    <t xml:space="preserve">frozen bottles </t>
  </si>
  <si>
    <t>bhanu</t>
  </si>
  <si>
    <t>interface about the AAP</t>
  </si>
  <si>
    <t>Adhirath</t>
  </si>
  <si>
    <t>Mukesh</t>
  </si>
  <si>
    <t>minyu</t>
  </si>
  <si>
    <t xml:space="preserve">ajay </t>
  </si>
  <si>
    <t xml:space="preserve"> hyderabad host</t>
  </si>
  <si>
    <t>HARI</t>
  </si>
  <si>
    <t>BIRYANI N BIRYANI</t>
  </si>
  <si>
    <t>https://maps.app.goo.gl/bVjfB92p6JmtmXyu9</t>
  </si>
  <si>
    <t>Uttam Kumar</t>
  </si>
  <si>
    <t>https://drive.google.com/open?id=1uEv1SbghR4V6SRNuV_W5cWmXTxOGaOTk</t>
  </si>
  <si>
    <t>Mehfil</t>
  </si>
  <si>
    <t>Masood</t>
  </si>
  <si>
    <t xml:space="preserve">king mandi </t>
  </si>
  <si>
    <t>kavi raj</t>
  </si>
  <si>
    <t>AL RAWAF HOME MADE DISHES</t>
  </si>
  <si>
    <t>Mobile Application</t>
  </si>
  <si>
    <t>Cloud Kitchen</t>
  </si>
  <si>
    <t>https://maps.app.goo.gl/3NoTX3DyLcp6bSMX7</t>
  </si>
  <si>
    <t>ASFIYA SULTANA</t>
  </si>
  <si>
    <t>https://drive.google.com/open?id=1jlS2uzGgdXIiBFtKTniOqZcQQP1Def9B</t>
  </si>
  <si>
    <t>QGEPS7989L</t>
  </si>
  <si>
    <t>https://drive.google.com/open?id=14vl9WR1NycmF9z9tVJiiS1sjEI4BpUgn</t>
  </si>
  <si>
    <t>Onboarding Completed</t>
  </si>
  <si>
    <t>Govinda's Resturant</t>
  </si>
  <si>
    <t>Peta Puja</t>
  </si>
  <si>
    <t>Trust</t>
  </si>
  <si>
    <t>https://maps.app.goo.gl/2zVYUFdRf5UbswRq8</t>
  </si>
  <si>
    <t>Harish Dhas</t>
  </si>
  <si>
    <t>https://drive.google.com/open?id=1XHti40Q6rcjbNTd4338mnP-gp5zYiTTo</t>
  </si>
  <si>
    <t>36AAAT10017P3ZM</t>
  </si>
  <si>
    <t>https://drive.google.com/open?id=1wfQiIC4z7mrMJ5O4AxkRDuixJ2qPRhk2</t>
  </si>
  <si>
    <t>AAATI0017P</t>
  </si>
  <si>
    <t>https://drive.google.com/open?id=1i3JNiPqA3bg9GskvIiKQOkcygNvWSwFo</t>
  </si>
  <si>
    <t>https://drive.google.com/open?id=1DMx_aqiNEP9UWnIpWFPjhq9IVflDo6wh</t>
  </si>
  <si>
    <t>https://drive.google.com/open?id=1-_wWaTH5f5gEAIqiuRyYQXb_tpy1C51V</t>
  </si>
  <si>
    <t>KNOX</t>
  </si>
  <si>
    <t>-</t>
  </si>
  <si>
    <t xml:space="preserve">Das </t>
  </si>
  <si>
    <t>NEW FARMAISH RESTAURANT</t>
  </si>
  <si>
    <t>https://maps.app.goo.gl/Aiiv6UZV7TLfDBn47</t>
  </si>
  <si>
    <t>SYED AMEER HUSSAIN</t>
  </si>
  <si>
    <t>https://drive.google.com/open?id=1GwUWxdepNWvDVaZTDr0zsGPPIuKR_QoL</t>
  </si>
  <si>
    <t>BJVPS7089G</t>
  </si>
  <si>
    <t>https://drive.google.com/open?id=1Uop_OL_J095nxx7Re4m3p62_DS8J7Cai</t>
  </si>
  <si>
    <t>SYED</t>
  </si>
  <si>
    <t>Bahar Biryani</t>
  </si>
  <si>
    <t>Bodh</t>
  </si>
  <si>
    <t>Comiision</t>
  </si>
  <si>
    <t>akhila.narra@capsdelivery.com</t>
  </si>
  <si>
    <t>Zythum</t>
  </si>
  <si>
    <t>Bhargav</t>
  </si>
  <si>
    <t>Singha Dhaba</t>
  </si>
  <si>
    <t>Surendar Singh</t>
  </si>
  <si>
    <t>Jaspreet Singh</t>
  </si>
  <si>
    <t>Ohri's Cake Nation</t>
  </si>
  <si>
    <t>Brain power</t>
  </si>
  <si>
    <t>Ravi Kanth</t>
  </si>
  <si>
    <t>documents collection</t>
  </si>
  <si>
    <t xml:space="preserve">KNOX </t>
  </si>
  <si>
    <t>Jashwanth</t>
  </si>
  <si>
    <t>knowclubandkitchen@gmail.com</t>
  </si>
  <si>
    <t>commissions &amp; documents signs</t>
  </si>
  <si>
    <t>explorates</t>
  </si>
  <si>
    <t>PVT</t>
  </si>
  <si>
    <t>BHURDHABAN</t>
  </si>
  <si>
    <t>Negotiation</t>
  </si>
  <si>
    <t>Commissions, documents collections, Competrtiors</t>
  </si>
  <si>
    <t>Naseeb Cafe</t>
  </si>
  <si>
    <t>https://maps.app.goo.gl/gbPqgYV9ZsUP1gDc8</t>
  </si>
  <si>
    <t>Khuddus Hussian</t>
  </si>
  <si>
    <t>khuddushussian7@gmail.com</t>
  </si>
  <si>
    <t>30260206123260477</t>
  </si>
  <si>
    <t>https://drive.google.com/open?id=1hhJ4HCs3cnLc731dz0ty_EzVSMGi6q8m</t>
  </si>
  <si>
    <t>AZCPH8455M</t>
  </si>
  <si>
    <t>https://drive.google.com/open?id=14IVRIxSnIQQt6lva1v7ExVvqU4V4bM6l</t>
  </si>
  <si>
    <t>https://drive.google.com/open?id=1HoToRS41uHrqu_gErmgajRS9Q13SKrzV</t>
  </si>
  <si>
    <t>SBIN0005322</t>
  </si>
  <si>
    <t>State Bank Of India</t>
  </si>
  <si>
    <t>Quddus Hussain</t>
  </si>
  <si>
    <t>Sri Balaji Family Dhaba</t>
  </si>
  <si>
    <t>Na</t>
  </si>
  <si>
    <t>https://maps.app.goo.gl/CYfpD7HuaPaEeArM6</t>
  </si>
  <si>
    <t>Rihaan</t>
  </si>
  <si>
    <t>04023536061</t>
  </si>
  <si>
    <t>bidhaniyasony@gmail.com</t>
  </si>
  <si>
    <t>https://drive.google.com/open?id=1aZgR-8WQbSPhz8kdHLDR2naTnc3fOi42</t>
  </si>
  <si>
    <t>MMLPS4120E</t>
  </si>
  <si>
    <t>https://drive.google.com/open?id=1TGEb0yhwAAch3o-uj61e77IJ76PBiiNm</t>
  </si>
  <si>
    <t>https://drive.google.com/open?id=1FHEOkgoHN1uVC9-OPnLYD4xoB1lkx6FT</t>
  </si>
  <si>
    <t>02711500006880</t>
  </si>
  <si>
    <t>DCBL0000027</t>
  </si>
  <si>
    <t>DCB Bank Limited</t>
  </si>
  <si>
    <t>B SONI</t>
  </si>
  <si>
    <t>10th street coffee</t>
  </si>
  <si>
    <t>Prathap</t>
  </si>
  <si>
    <t>commissions, demo</t>
  </si>
  <si>
    <t>Mujataba Grills</t>
  </si>
  <si>
    <t>Rista</t>
  </si>
  <si>
    <t>AFROZE</t>
  </si>
  <si>
    <t xml:space="preserve">Minerva Blue fox hotel </t>
  </si>
  <si>
    <t>Hamzad ali</t>
  </si>
  <si>
    <t>Meetings are with HOD's at minerva group of hotels</t>
  </si>
  <si>
    <t>Rayalasema Ruchulu</t>
  </si>
  <si>
    <t>99590 20310</t>
  </si>
  <si>
    <t>Need discuss how are Planning the things What our Vision from merchant Pointnof View</t>
  </si>
  <si>
    <t>Ahara Tiffins</t>
  </si>
  <si>
    <t>Venu</t>
  </si>
  <si>
    <t xml:space="preserve">Samastha Tiffins </t>
  </si>
  <si>
    <t>N/a</t>
  </si>
  <si>
    <t>https://share.google/2dLN0NYKphOuVkK3U</t>
  </si>
  <si>
    <t xml:space="preserve">Harsha </t>
  </si>
  <si>
    <t>Mokshi kitchens</t>
  </si>
  <si>
    <t>https://maps.app.goo.gl/avzks9t6kSFWe88o8</t>
  </si>
  <si>
    <t>Harsha</t>
  </si>
  <si>
    <t>Exotic Shawarma</t>
  </si>
  <si>
    <t>Petpooja</t>
  </si>
  <si>
    <t>https://share.google/tMU7i0NamuInUBqVj</t>
  </si>
  <si>
    <t>Vinesh Reddy</t>
  </si>
  <si>
    <t>Sri Sai Swetha foods</t>
  </si>
  <si>
    <t>Praveen</t>
  </si>
  <si>
    <t>JUS VOUS</t>
  </si>
  <si>
    <t>SHABANA BEGUM</t>
  </si>
  <si>
    <t>https://drive.google.com/open?id=1sAnOS-klkKNxUHLQQA1nebfrNs7UHF3f</t>
  </si>
  <si>
    <t>KKDPS6734N</t>
  </si>
  <si>
    <t>https://drive.google.com/open?id=1SefsNnW2N-5RAzKURGcWE46DoH3EFMvZ</t>
  </si>
  <si>
    <t>BEGUM KI BIRYANI</t>
  </si>
  <si>
    <t>SYED AMEER HUSSIAN</t>
  </si>
  <si>
    <t>https://drive.google.com/open?id=1S1WlPojpvf1raedXv-niWA3UjYFTUlk5</t>
  </si>
  <si>
    <t>https://drive.google.com/open?id=16VMSkJtnx2sth2a93gMBw8bIauhQ4QgY</t>
  </si>
  <si>
    <t>FOOD 4 U</t>
  </si>
  <si>
    <t>MOHD ARSHAD</t>
  </si>
  <si>
    <t>https://drive.google.com/open?id=1yf9M7K7UhdTNA3TQu2NOSU6PrAh13spn</t>
  </si>
  <si>
    <t>BNUPA9377G</t>
  </si>
  <si>
    <t>https://drive.google.com/open?id=1_dVx2u88AJbRK_cdhlcm5w9BOa-NL-qE</t>
  </si>
  <si>
    <t>TAHARI HOUSE</t>
  </si>
  <si>
    <t>MOHAMMED FEROZ</t>
  </si>
  <si>
    <t>ak.8977.ak@gmail.com</t>
  </si>
  <si>
    <t>https://drive.google.com/open?id=1AlxCOdJ1Za0jZBdQ3zWZHURu3hmd6ii2</t>
  </si>
  <si>
    <t>https://drive.google.com/open?id=1-wjf481GOo4dlMS7Mn0_aN82x0QlqFIb</t>
  </si>
  <si>
    <t>INDB0001052</t>
  </si>
  <si>
    <t>Indusland Bank</t>
  </si>
  <si>
    <t>RAHAT RESTURANT</t>
  </si>
  <si>
    <t>https://drive.google.com/open?id=1-8lOUY6jgkJa66YVEByy-q1eWlWTl5rK</t>
  </si>
  <si>
    <t>Bhavani mess</t>
  </si>
  <si>
    <t xml:space="preserve">They are not using any online platforms currently </t>
  </si>
  <si>
    <t>https://maps.app.goo.gl/6hdkrbad7BwbvaWQ6</t>
  </si>
  <si>
    <t>Anil</t>
  </si>
  <si>
    <t>72868 01930</t>
  </si>
  <si>
    <t xml:space="preserve">Will follow up tomorrow </t>
  </si>
  <si>
    <t>The restaurant owner Mr Satyanarayana lives in khammam, will get confirmation from him tomorrow. Mr Anil who takes care of bhavani mess in Hyderabad is very impressed with the pitch and is okay for onboarding. Just need Mr Satyanarayana's permission.</t>
  </si>
  <si>
    <t>Cold Walk-in</t>
  </si>
  <si>
    <t>Kausar cafe,Al nabi cafe</t>
  </si>
  <si>
    <t>Both restaurants are newly opened so no info regarding AOV and POS</t>
  </si>
  <si>
    <t>https://maps.app.goo.gl/9s4KoQNjMUjsr5Kj8</t>
  </si>
  <si>
    <t>Mirza Hussain</t>
  </si>
  <si>
    <t>96403 07014</t>
  </si>
  <si>
    <t xml:space="preserve">Madhapuram food court </t>
  </si>
  <si>
    <t>ANIL</t>
  </si>
  <si>
    <t>https://drive.google.com/open?id=1DlC2bj1dFOqdVO20DL-nBeSxxMLICMpI</t>
  </si>
  <si>
    <t>DEZPM8147A</t>
  </si>
  <si>
    <t>https://drive.google.com/open?id=1mShRP-cqmHVFZLU640-JIitYc1Hbdu-w</t>
  </si>
  <si>
    <t>MADAPURAM ANIL KUMAR</t>
  </si>
  <si>
    <t xml:space="preserve">Madapuram food court </t>
  </si>
  <si>
    <t>SUDHAKAR</t>
  </si>
  <si>
    <t>Introduction</t>
  </si>
  <si>
    <t xml:space="preserve">godavari  restaurant </t>
  </si>
  <si>
    <t>SATYA</t>
  </si>
  <si>
    <t>JYOTHI</t>
  </si>
  <si>
    <t xml:space="preserve">anand bhavan mess </t>
  </si>
  <si>
    <t>https://www.google.com/maps/place/ANAND+BHAVAN+MESS/@17.4471051,78.3854684,17z/data=!3m1!4b1!4m6!3m5!1s0x3bcb910040604355:0x1b5af753bc8c8b9e!8m2!3d17.4471051!4d78.3880433!16s%2Fg%2F11mt5nf89c?hl=en&amp;entry=ttu&amp;g_ep=EgoyMDI2MDIwMS4wIKXMDSoKLDEwMDc5MjA2OUgBUAM%3D</t>
  </si>
  <si>
    <t>SHANKAR</t>
  </si>
  <si>
    <t>anandbhavanmess@gmail.com</t>
  </si>
  <si>
    <t>https://drive.google.com/open?id=1-Dl1aiT5Ad0HRsUNS4BdokXeybknF0vr</t>
  </si>
  <si>
    <t>AOCPJ4808H</t>
  </si>
  <si>
    <t>https://drive.google.com/open?id=1AJ6Bfl3fKA7EyjUaT33Q-BEaqLJYLFpE</t>
  </si>
  <si>
    <t>https://drive.google.com/open?id=174krwSmWS-7Ns96sjRGj3zQCcClDenc9</t>
  </si>
  <si>
    <t>018361900006050</t>
  </si>
  <si>
    <t>YESB0000183</t>
  </si>
  <si>
    <t>ANAND BHAVAN MESS</t>
  </si>
  <si>
    <t>ANKIT</t>
  </si>
  <si>
    <t>SANTOSH</t>
  </si>
  <si>
    <t>UCKY RESTAURANT</t>
  </si>
  <si>
    <t>KHASIM</t>
  </si>
  <si>
    <t>Scheduled</t>
  </si>
  <si>
    <t>The smash city</t>
  </si>
  <si>
    <t>own</t>
  </si>
  <si>
    <t>Pranay</t>
  </si>
  <si>
    <t>smashcity.bk2025@gmail.com</t>
  </si>
  <si>
    <t>https://drive.google.com/open?id=1TyQ5VyQoYOXBgO6bKGNQK8FFz5yUt2Nw</t>
  </si>
  <si>
    <t>36DBDPM7611E1ZT</t>
  </si>
  <si>
    <t>https://drive.google.com/open?id=16MNvuqRPFC7_QYv133p_s5qg9F-FCQ4f</t>
  </si>
  <si>
    <t>DBDPM7611E</t>
  </si>
  <si>
    <t>https://drive.google.com/open?id=1bIvEcXpfVNl_DQCS6PvKRh51VxqYyyLn</t>
  </si>
  <si>
    <t>https://drive.google.com/open?id=1gCFHksXqJDMO9XNunUEWVv0oVwAAtw9X</t>
  </si>
  <si>
    <t>KKBK0008392</t>
  </si>
  <si>
    <t>KOTAK MAHINDRA BANK</t>
  </si>
  <si>
    <t>PRANAY</t>
  </si>
  <si>
    <t>SMASHCITY.BK2025@GMAIL.COM</t>
  </si>
  <si>
    <t>SMASH CITY</t>
  </si>
  <si>
    <t>ON BOARDED</t>
  </si>
  <si>
    <t xml:space="preserve">Gold sparrow millets </t>
  </si>
  <si>
    <t>Pet pooja</t>
  </si>
  <si>
    <t>https://share.google/SZFJJlssb5hkmphPA</t>
  </si>
  <si>
    <t>Ramchanra rao</t>
  </si>
  <si>
    <t>50-60</t>
  </si>
  <si>
    <t>BREW COMMUNE CAFE&amp;BISTRO</t>
  </si>
  <si>
    <t>OWN</t>
  </si>
  <si>
    <t>Swiggy, Zomato, Magic Pin</t>
  </si>
  <si>
    <t>CHALLA TRIVENI</t>
  </si>
  <si>
    <t>brewcommunecafe@gmail.com</t>
  </si>
  <si>
    <t>https://drive.google.com/open?id=1f4MJPvzkVHBffgC4W0BlFcwQrLXPEzPq</t>
  </si>
  <si>
    <t>36BEYPC6487C1Z2</t>
  </si>
  <si>
    <t>https://drive.google.com/open?id=1DvL3nMVvblvTgCQjw2nEz6TTgrlJB-SM</t>
  </si>
  <si>
    <t>BEYPC6487C</t>
  </si>
  <si>
    <t>https://drive.google.com/open?id=10C5WjBtCBIlv55ac_HFiCjrMwueH5--t</t>
  </si>
  <si>
    <t>https://drive.google.com/open?id=1d5gMIAgwLYoo1XE8r6S6l9xrXBuHC_fD</t>
  </si>
  <si>
    <t>https://drive.google.com/open?id=1z18XBbhWksdkjRHgsWjBufUzI3CtoA82</t>
  </si>
  <si>
    <t>00000044866997013</t>
  </si>
  <si>
    <t>SBIN0014676</t>
  </si>
  <si>
    <t>SBI</t>
  </si>
  <si>
    <t>BREW COMMUNE CAFE &amp; BISTRO</t>
  </si>
  <si>
    <t>NAVEEN REDDY</t>
  </si>
  <si>
    <t>CAFEREELS@GMAIL.COM</t>
  </si>
  <si>
    <t>HOTEL INNER CIRCLE</t>
  </si>
  <si>
    <t>IBRAHIM KHAN</t>
  </si>
  <si>
    <t>RENAO</t>
  </si>
  <si>
    <t>ASHRAF ALI</t>
  </si>
  <si>
    <t>SHEIK NAZEER</t>
  </si>
  <si>
    <t xml:space="preserve">merajs restraunt </t>
  </si>
  <si>
    <t xml:space="preserve">MOHD UMAR KHAN </t>
  </si>
  <si>
    <t>amer786khan@gmail.com</t>
  </si>
  <si>
    <t>madhumitha.sonnakula@capsdelivery.com</t>
  </si>
  <si>
    <t>Flavors Of Briyani Cafe</t>
  </si>
  <si>
    <t>Sai Teja</t>
  </si>
  <si>
    <t>flavourbiryanicafe9@gmail.com</t>
  </si>
  <si>
    <t>https://drive.google.com/open?id=1rHTW-WZBcmBuGCZkK9YDvq-bRkFEbAAL</t>
  </si>
  <si>
    <t>BSYPT7188K</t>
  </si>
  <si>
    <t>https://drive.google.com/open?id=1sI3WqNOFvKe4niWEHF_25fgwDL5FWJv4</t>
  </si>
  <si>
    <t>IDIB000K284</t>
  </si>
  <si>
    <t>Indian Bank</t>
  </si>
  <si>
    <t>M SaiTeja</t>
  </si>
  <si>
    <t xml:space="preserve">lassi corner </t>
  </si>
  <si>
    <t>ashok thapa</t>
  </si>
  <si>
    <t>vishnuthapaaaa@gamil.com</t>
  </si>
  <si>
    <t>Pandu Fast Food Center</t>
  </si>
  <si>
    <t>Sai Kumar Goud</t>
  </si>
  <si>
    <t>rebalsaikumargoud@gmail.com</t>
  </si>
  <si>
    <t>https://drive.google.com/open?id=1fGbSlo6SQePsw9IXCKG5RYAxMZoOHZ-d</t>
  </si>
  <si>
    <t>ANSPY4470D</t>
  </si>
  <si>
    <t>https://drive.google.com/open?id=18bZYxppjAI2i6dJ5kmCHOmhA6qsOjZuW</t>
  </si>
  <si>
    <t>CBIN0283883</t>
  </si>
  <si>
    <t>Central Bank Of India</t>
  </si>
  <si>
    <t>sri udupi grand pure veg</t>
  </si>
  <si>
    <t xml:space="preserve">manjunath </t>
  </si>
  <si>
    <t>bmanjunathkotteri@gmail.com</t>
  </si>
  <si>
    <t>SSR FOOD ZONE</t>
  </si>
  <si>
    <t>Order matic</t>
  </si>
  <si>
    <t>https://maps.app.goo.gl/Azm6uVjLA8CHdEVq5?g_st=ic</t>
  </si>
  <si>
    <t xml:space="preserve">Dinesh </t>
  </si>
  <si>
    <t>dinesh.pedamallu@gmail.com</t>
  </si>
  <si>
    <t>Closed by Ankitha, documents will be submitted by her.</t>
  </si>
  <si>
    <t>Kanshith</t>
  </si>
  <si>
    <t>Mattaparthykanakshith@gmail.com</t>
  </si>
  <si>
    <t xml:space="preserve">Commisions </t>
  </si>
  <si>
    <t>Mammu’s Kitchen</t>
  </si>
  <si>
    <t>Prabavathi</t>
  </si>
  <si>
    <t>Commisions</t>
  </si>
  <si>
    <t>Kshatriya Grand</t>
  </si>
  <si>
    <t>https://maps.app.goo.gl/ZRjTitSxKuHU45Vv7?g_st=ic</t>
  </si>
  <si>
    <t>Karthik</t>
  </si>
  <si>
    <t>tkartheek.516@gmail.com</t>
  </si>
  <si>
    <t>https://drive.google.com/open?id=1oKV_3cQoMNE-A5xCKoHVszsAgIot6crY</t>
  </si>
  <si>
    <t>ANNPT1216H</t>
  </si>
  <si>
    <t>https://drive.google.com/open?id=1dMfhXyQ5x-FzUs_VFgnZWPWGoRTr7BXk</t>
  </si>
  <si>
    <t>https://drive.google.com/open?id=17gc3uKZwnSFjbItrX6qAUmzjxO6L0k0z</t>
  </si>
  <si>
    <t>KKBK0000560</t>
  </si>
  <si>
    <t>Kotak Mahindra Bank</t>
  </si>
  <si>
    <t>Kartheek</t>
  </si>
  <si>
    <t xml:space="preserve">Onboarded </t>
  </si>
  <si>
    <t xml:space="preserve">Bakeway bakers </t>
  </si>
  <si>
    <t>Not present</t>
  </si>
  <si>
    <t>https://maps.app.goo.gl/W2xHqpTu7pXfvcBD6</t>
  </si>
  <si>
    <t>K Nagabhushan rao</t>
  </si>
  <si>
    <t>+91 85010 24577</t>
  </si>
  <si>
    <t>bhushankottavalasa@gmail.com</t>
  </si>
  <si>
    <t>Onboarding done</t>
  </si>
  <si>
    <t>20-30</t>
  </si>
  <si>
    <t>Golconda Biryani House</t>
  </si>
  <si>
    <t>https://maps.app.goo.gl/PmQrZ6A18zjb25S37?g_st=ic</t>
  </si>
  <si>
    <t>Prasad</t>
  </si>
  <si>
    <t xml:space="preserve">We need to share the proposal </t>
  </si>
  <si>
    <t>Veeramma Gari Vantillu</t>
  </si>
  <si>
    <t>PetPuja</t>
  </si>
  <si>
    <t>Suryam</t>
  </si>
  <si>
    <t>veerammagarivantillu@gmail.com</t>
  </si>
  <si>
    <t>https://drive.google.com/open?id=176ECpGpxZDmqD8I_vWbXX5K-YBZRlh3A</t>
  </si>
  <si>
    <t>AKEPY8763E</t>
  </si>
  <si>
    <t>https://drive.google.com/open?id=1_F3xmRV2zlRSNziROJSeDL0iKC_VNGZt</t>
  </si>
  <si>
    <t>36AKEPY8763E1ZL</t>
  </si>
  <si>
    <t>https://drive.google.com/open?id=1yiMZ_9SQgNkHaFczbCDoGLcoQaoiMWqz</t>
  </si>
  <si>
    <t>https://drive.google.com/open?id=1dKb9onDSn0QUhvFk10SsnWf6GzlGdEV2</t>
  </si>
  <si>
    <t>SBIN0032241</t>
  </si>
  <si>
    <t>Bhojanam Tayyari</t>
  </si>
  <si>
    <t>Pet Pooja</t>
  </si>
  <si>
    <t>https://www.google.com/maps/dir//Bhojanam+Thali,+1200,+Rd+Number+59,+Jubilee+Hills,+Hyderabad,+Telangana+500033/@17.4358528,78.4072704,11z/data=!4m8!4m7!1m0!1m5!1m1!1s0x3bcb91ff414df91d:0xb3f0fa00e20c4e2d!2m2!1d78.4095133!2d17.4290901?entry=ttu&amp;g_ep=EgoyMDI2MDIwNC4wIKXMDSoKLDEwMDc5MjA2OUgBUAM%3D</t>
  </si>
  <si>
    <t>Bhoojanam</t>
  </si>
  <si>
    <t>asked for Propsal and Comission I have Pitched is 20++,need to call him tmrw eveng fro Scduling the meeting</t>
  </si>
  <si>
    <t>Mandi@36</t>
  </si>
  <si>
    <t>Mandi@69</t>
  </si>
  <si>
    <t>Intro meeting need dicuss regarding Commision for all branches</t>
  </si>
  <si>
    <t>Prabath</t>
  </si>
  <si>
    <t>20++ Comission we Sait it</t>
  </si>
  <si>
    <t>CAFE REELS</t>
  </si>
  <si>
    <t>https://drive.google.com/open?id=1FPCiNB0YBRTLIUvuT9773zFtJI3rUXLv</t>
  </si>
  <si>
    <t>36AOWPN9130L1Z4</t>
  </si>
  <si>
    <t>https://drive.google.com/open?id=1lzn9VjNKeaCPDBh4aYrl3n_K7W9Qn8cy</t>
  </si>
  <si>
    <t>AOWPN9130L</t>
  </si>
  <si>
    <t>https://drive.google.com/open?id=1nTgwZ-m4rPslhVYuqeVe_nRrYljsedOK</t>
  </si>
  <si>
    <t>AMEND202553969</t>
  </si>
  <si>
    <t>https://drive.google.com/open?id=1EZX1yqE9A9WyTNlB7ShJMB6qtXLxeZoC</t>
  </si>
  <si>
    <t>SHOP PREMISES BEARING PLOT NO 86,KHANMET,AYYAPPA SOCIETY,RANGA REDDY DIST</t>
  </si>
  <si>
    <t>Veera di chaap</t>
  </si>
  <si>
    <t>n/a</t>
  </si>
  <si>
    <t>Shop 1, House 1-8-153/2, Ground Floor, Circle 29, PG Road, Secunderabad</t>
  </si>
  <si>
    <t>+91 78428 04422</t>
  </si>
  <si>
    <t>need to get bank details,adhar card and pan card</t>
  </si>
  <si>
    <t xml:space="preserve">GODAVARI RESTAURANT </t>
  </si>
  <si>
    <t>+91 6281 845 369</t>
  </si>
  <si>
    <t>Donut O clock</t>
  </si>
  <si>
    <t>1-8-153⁄1, Ground Floor, Amaan Arcade, Circle 29, PG Road, Secunderabad</t>
  </si>
  <si>
    <t>Juhi Sanjay Sajnani</t>
  </si>
  <si>
    <t>frostbakeryindia@gmail.com</t>
  </si>
  <si>
    <t>kush mandi</t>
  </si>
  <si>
    <t>LUCKY RESTAURANT</t>
  </si>
  <si>
    <t>+91 98491 08337</t>
  </si>
  <si>
    <t>Tempt chocolates</t>
  </si>
  <si>
    <t>La Boulangerie</t>
  </si>
  <si>
    <t>BABAI HOTEL</t>
  </si>
  <si>
    <t>DINESH REDDY</t>
  </si>
  <si>
    <t>Say cheese patisserie</t>
  </si>
  <si>
    <t xml:space="preserve">MAHESH </t>
  </si>
  <si>
    <t>Manger(Rohith)</t>
  </si>
  <si>
    <t>Anjayya</t>
  </si>
  <si>
    <t>no</t>
  </si>
  <si>
    <t>Intro meeting</t>
  </si>
  <si>
    <t xml:space="preserve">SARVI RESTAURANT </t>
  </si>
  <si>
    <t>DANIAL</t>
  </si>
  <si>
    <t>Anji</t>
  </si>
  <si>
    <t>Same Poc Who is for CreamStone</t>
  </si>
  <si>
    <t>Manager(Chandu)</t>
  </si>
  <si>
    <t>Uma</t>
  </si>
  <si>
    <t>Labond</t>
  </si>
  <si>
    <t>Pasha</t>
  </si>
  <si>
    <t>need to call him after 2 pm today</t>
  </si>
  <si>
    <t>Jublii Hills</t>
  </si>
  <si>
    <t>Chubby Chow</t>
  </si>
  <si>
    <t>http</t>
  </si>
  <si>
    <t>Rajesh GM</t>
  </si>
  <si>
    <t>Intro meetng we Visted the Outelt Yesterday</t>
  </si>
  <si>
    <t>Jubliee hills</t>
  </si>
  <si>
    <t>Zakil</t>
  </si>
  <si>
    <t>Santhosh</t>
  </si>
  <si>
    <t>Saddam(Manager)</t>
  </si>
  <si>
    <t>MAJEED</t>
  </si>
  <si>
    <t>Maraheb mandi</t>
  </si>
  <si>
    <t>Maraheb</t>
  </si>
  <si>
    <t xml:space="preserve">Not given </t>
  </si>
  <si>
    <t>S.No: 8-3-944/11/2, Ameerpet Main Road,Beside Ramraj Cotton, Ameerpet, Hyderabad, Telangana 500073</t>
  </si>
  <si>
    <t>Hiyya the chrono jail mandi</t>
  </si>
  <si>
    <t>Swathi</t>
  </si>
  <si>
    <t>Burma Burma</t>
  </si>
  <si>
    <t>Kajal</t>
  </si>
  <si>
    <t>We need to approach Marketing team</t>
  </si>
  <si>
    <t>30-50</t>
  </si>
  <si>
    <t>Toscano</t>
  </si>
  <si>
    <t>Bala</t>
  </si>
  <si>
    <t>Toscano  POC-Bala(Manager) 9986998503  Owners will be in Bangalore  They are exclusive on swiggy and zomato,Before they have tried other food delivery platforms but they got more negative feedback so once launch is done,depending on the marketing the manager said he will approach. I will follow up the manager,once the app launch.</t>
  </si>
  <si>
    <t>itlu bobbatlu</t>
  </si>
  <si>
    <t>we need to colect the documents</t>
  </si>
  <si>
    <t>Gabru Di Chaap</t>
  </si>
  <si>
    <t>Fayz</t>
  </si>
  <si>
    <t xml:space="preserve">He will talk with Marketing Team and let us know </t>
  </si>
  <si>
    <t>Manager will be available after 7 pm</t>
  </si>
  <si>
    <t>kumbhakk</t>
  </si>
  <si>
    <t>jubilee hills</t>
  </si>
  <si>
    <t>1000 biryanis</t>
  </si>
  <si>
    <t>vijay</t>
  </si>
  <si>
    <t xml:space="preserve">we onboarded the restraunts </t>
  </si>
  <si>
    <t>somajiguda</t>
  </si>
  <si>
    <t>SAHIL</t>
  </si>
  <si>
    <t>Hard rock cafe</t>
  </si>
  <si>
    <t>Ali firoz</t>
  </si>
  <si>
    <t>POC-Ali Firoz 9769343996 Discussed with manager,he is interested but he need the proposal to sent on email with clear points about our platform and commissions and the offers.so that he can discuss with his higher officials for approval. AOV-2000-5000+ Last month orders on swiggy and zomato  -150+ On swiggy and zomato they are with 18%. Higher officials will be in Bangalore. Seating capacity 150-200. They are interested for take away option.</t>
  </si>
  <si>
    <t xml:space="preserve">krishnapatanam </t>
  </si>
  <si>
    <t>vinod</t>
  </si>
  <si>
    <t>president dhaba</t>
  </si>
  <si>
    <t>my froyo land</t>
  </si>
  <si>
    <t>kajal</t>
  </si>
  <si>
    <t xml:space="preserve">California Burrito </t>
  </si>
  <si>
    <t>Surjith</t>
  </si>
  <si>
    <t>Rithik</t>
  </si>
  <si>
    <t>We need contact with Marketing team</t>
  </si>
  <si>
    <t>In Tolichowki tha manager will be there</t>
  </si>
  <si>
    <t xml:space="preserve">Rayalaseema Ruchulu </t>
  </si>
  <si>
    <t xml:space="preserve">Rajini </t>
  </si>
  <si>
    <t>Info@rayalaseemaruchulu.com</t>
  </si>
  <si>
    <t>Hi tech city, lakdikapol, ameerpet, Jubilee hills</t>
  </si>
  <si>
    <t xml:space="preserve">Rayalaseema spice </t>
  </si>
  <si>
    <t>Narsigin Rao</t>
  </si>
  <si>
    <t>Srinu</t>
  </si>
  <si>
    <t xml:space="preserve">It has 35outlets and manager will be available after 19:00pm in outlet </t>
  </si>
  <si>
    <t>Kake di hatti</t>
  </si>
  <si>
    <t>Prabhakar</t>
  </si>
  <si>
    <t>Owner will be available after 21:00Pm in the restaurant(Kondapur)</t>
  </si>
  <si>
    <t xml:space="preserve">Cafe Cilantro </t>
  </si>
  <si>
    <t>Nun</t>
  </si>
  <si>
    <t>She want to discuss with Owner</t>
  </si>
  <si>
    <t>Vaikuntapuram</t>
  </si>
  <si>
    <t>Venkatesh</t>
  </si>
  <si>
    <t>ZUBAIR</t>
  </si>
  <si>
    <t>HE IS OUT OF STATIOIN</t>
  </si>
  <si>
    <t>BARBEQUE NATION</t>
  </si>
  <si>
    <t xml:space="preserve">ASKED TO VISIT ATTAPUR HEAD OFFICE </t>
  </si>
  <si>
    <t>SYED VARIS</t>
  </si>
  <si>
    <t>ASKED TO CALL BEFORE COMING</t>
  </si>
  <si>
    <t xml:space="preserve">OWNER IS NOT AVAILABLE </t>
  </si>
  <si>
    <t>Mama Thinu</t>
  </si>
  <si>
    <t xml:space="preserve">Sai krishna </t>
  </si>
  <si>
    <t xml:space="preserve">Simply parottas </t>
  </si>
  <si>
    <t xml:space="preserve">Rupesh </t>
  </si>
  <si>
    <t>Not given</t>
  </si>
  <si>
    <t>Lane, opposite to Reliance smart bazaar, Sri Ganesh Nagar, Punjagutta Officers Colony, Ameerpet, Hyderabad, Telangana 500082</t>
  </si>
  <si>
    <t xml:space="preserve">Onesta Pizzeria </t>
  </si>
  <si>
    <t>Syed Habid</t>
  </si>
  <si>
    <t xml:space="preserve">Banzara hills </t>
  </si>
  <si>
    <t xml:space="preserve">Parampara </t>
  </si>
  <si>
    <t>Ali</t>
  </si>
  <si>
    <t>Tipsy Topsy Bakers</t>
  </si>
  <si>
    <t xml:space="preserve"> C94M+W3M, Shivapuri Colony, Muppas Panchavati Colony, Manikonda, Hyderabad, Telangana 500089</t>
  </si>
  <si>
    <t xml:space="preserve">Zunaid </t>
  </si>
  <si>
    <t>Azeez</t>
  </si>
  <si>
    <t>Arvind Chowdary</t>
  </si>
  <si>
    <t>Restraunt under renovation</t>
  </si>
  <si>
    <t>Pruthvi</t>
  </si>
  <si>
    <t>Avinash</t>
  </si>
  <si>
    <t>Owner not available</t>
  </si>
  <si>
    <t>RAKESH</t>
  </si>
  <si>
    <t>NO</t>
  </si>
  <si>
    <t>sai krishna</t>
  </si>
  <si>
    <t>on boarded</t>
  </si>
  <si>
    <t>manikonda</t>
  </si>
  <si>
    <t>ARMAN HOTEL</t>
  </si>
  <si>
    <t>AYUB QURESHI</t>
  </si>
  <si>
    <t>OWNER WILL BE AVAILABLE AT 11 PM EVENING</t>
  </si>
  <si>
    <t xml:space="preserve">Suryakantham military hotel </t>
  </si>
  <si>
    <t>Nageshwar rao</t>
  </si>
  <si>
    <t xml:space="preserve">D and D Caters </t>
  </si>
  <si>
    <t xml:space="preserve">Pet Pooja </t>
  </si>
  <si>
    <t>Western Plaza Rd, OU Colony, Shaikpet, Hyderabad, Telangana 500104</t>
  </si>
  <si>
    <t xml:space="preserve">Ramya </t>
  </si>
  <si>
    <t>78937 77231</t>
  </si>
  <si>
    <t xml:space="preserve">NA </t>
  </si>
  <si>
    <t>Manasa Kitchen</t>
  </si>
  <si>
    <t xml:space="preserve">Mobile </t>
  </si>
  <si>
    <t xml:space="preserve">Sudheerr </t>
  </si>
  <si>
    <t>sudheer2409@gmail.com</t>
  </si>
  <si>
    <t>https://drive.google.com/open?id=1_pVvhL8ftMgUTL7yMtxYmWWO7q2tGY8Y</t>
  </si>
  <si>
    <t>36AGTPG0230F2Z0</t>
  </si>
  <si>
    <t>https://drive.google.com/open?id=1-gR1d5RyzErC3JexistxNdbSDXRnqA4B</t>
  </si>
  <si>
    <t>https://drive.google.com/open?id=1gZv8AfQJERFpRc1DcTxPJAfAAKNSFNEb</t>
  </si>
  <si>
    <t>https://drive.google.com/open?id=1hdLV6N4fySfFzccVvxE7fAxQDFXVc5kZ</t>
  </si>
  <si>
    <t xml:space="preserve">Kukatpally </t>
  </si>
  <si>
    <t xml:space="preserve">Vasista Sri Lakshmi </t>
  </si>
  <si>
    <t>Shivalayam Temple, Opposit, Manikonda Main Rd, OU Colony, Shaikpet, Hyderabad, Telangana 500104 15 m · 17</t>
  </si>
  <si>
    <t>Abdul</t>
  </si>
  <si>
    <t>Manager will be available in the evng after 19:00PM</t>
  </si>
  <si>
    <t>Dosthugallu Mandi</t>
  </si>
  <si>
    <t>Sandhya Rani</t>
  </si>
  <si>
    <t>Namesthe</t>
  </si>
  <si>
    <t>Basawath</t>
  </si>
  <si>
    <t xml:space="preserve">Spicy Express </t>
  </si>
  <si>
    <t>Balu</t>
  </si>
  <si>
    <t>Ready for Onboarding but need time</t>
  </si>
  <si>
    <t>Chintamani Pulaos</t>
  </si>
  <si>
    <t>https://maps.app.goo.gl/1qDaKDQ4ZYJq3Euk7?g_st=ic</t>
  </si>
  <si>
    <t>Omkar</t>
  </si>
  <si>
    <t>Addomkar@gmail.com</t>
  </si>
  <si>
    <t>https://drive.google.com/open?id=1h3_DBVEvIMkLFlPtsfWS18CSpghzWTn2</t>
  </si>
  <si>
    <t>36AIQPL1573R1ZD</t>
  </si>
  <si>
    <t>https://drive.google.com/open?id=1oMq8fqPB0ZMZ2V7hVfWrTU4nKYssh1mD</t>
  </si>
  <si>
    <t>AIQPL1573R</t>
  </si>
  <si>
    <t xml:space="preserve"> SEA/MED/ACL/PC/1201162/2025</t>
  </si>
  <si>
    <t>https://drive.google.com/open?id=1qCkHg4Q5BTWb_r67QEH7wbvl6kslEcxf</t>
  </si>
  <si>
    <t>Need to submit docs</t>
  </si>
  <si>
    <t>FLAT NO-5 (FIRST FLOOR), BLOCK NO-6, MUNICIPAL NO-15-31-21-6/5,KPHB COLONY, , Moosapet Circle No 23, Hyderabad, Telangana - 500072</t>
  </si>
  <si>
    <t xml:space="preserve">ibharim </t>
  </si>
  <si>
    <t xml:space="preserve">royal arabian mandi </t>
  </si>
  <si>
    <t>ASHFAQ</t>
  </si>
  <si>
    <t>OWNER WILL BE AVAILABLE AT 11 PM IN EVENIING</t>
  </si>
  <si>
    <t xml:space="preserve">7 spices </t>
  </si>
  <si>
    <t xml:space="preserve">ali </t>
  </si>
  <si>
    <t xml:space="preserve">satya </t>
  </si>
  <si>
    <t>Brew and bloom coffee heaven shop</t>
  </si>
  <si>
    <t>17,18/G-2, Sri Sai Arcade, Shop No 7, 1-455/16, Mytrivanam Road, Ameerpet, Hyderabad, Telangana 500016</t>
  </si>
  <si>
    <t>Deepak kumar</t>
  </si>
  <si>
    <t>dhanyasideepakvarma@gmail.com</t>
  </si>
  <si>
    <t>Onboarded at 20% flat commission</t>
  </si>
  <si>
    <t xml:space="preserve">Ameerpet </t>
  </si>
  <si>
    <t>Santosh Dhaba</t>
  </si>
  <si>
    <t>Thalmal</t>
  </si>
  <si>
    <t>If he interested he will contact us</t>
  </si>
  <si>
    <t>Raw bakers</t>
  </si>
  <si>
    <t>Praney</t>
  </si>
  <si>
    <t>owner want to discuss with his brother,I will follow up</t>
  </si>
  <si>
    <t xml:space="preserve">South n spice </t>
  </si>
  <si>
    <t>Abib</t>
  </si>
  <si>
    <t>He need check with partner,follow up tomorrow after 18:00</t>
  </si>
  <si>
    <t>Sridhar</t>
  </si>
  <si>
    <t>Manager is on the leave,follow up after 2 days</t>
  </si>
  <si>
    <t>Manager</t>
  </si>
  <si>
    <t>Owner will be available in the evening,I will follow up for meeting</t>
  </si>
  <si>
    <t>Biryaniwala nd co</t>
  </si>
  <si>
    <t>Raza</t>
  </si>
  <si>
    <t>Discussed with the manager,got the details of the owner,available to take calls in the evening,I will follow up</t>
  </si>
  <si>
    <t>Owners</t>
  </si>
  <si>
    <t>Discussion done with manager,Owners will  be available after 20:00Pm</t>
  </si>
  <si>
    <t>Chandrashekar</t>
  </si>
  <si>
    <t>owners is busy and he is not coming to restaurent,call back after 4 days for schedling meeting</t>
  </si>
  <si>
    <t>Owner</t>
  </si>
  <si>
    <t>Follow up,manager will discuss with owner</t>
  </si>
  <si>
    <t>Sangham Veg Aaffair</t>
  </si>
  <si>
    <t>Follow up,owner is out of station will be back after one week</t>
  </si>
  <si>
    <t>Deccan biryani house and restaurent</t>
  </si>
  <si>
    <t xml:space="preserve">Owner is not available </t>
  </si>
  <si>
    <t>need to follow up</t>
  </si>
  <si>
    <t>Maheswar rao</t>
  </si>
  <si>
    <t>discussion done with the manager,got the details of the owner,follow up</t>
  </si>
  <si>
    <t>Sree vakula kitchen</t>
  </si>
  <si>
    <t>Mahesh</t>
  </si>
  <si>
    <t>Owner will be available after 3 days</t>
  </si>
  <si>
    <t xml:space="preserve">mr faddy </t>
  </si>
  <si>
    <t>HUSSAIN</t>
  </si>
  <si>
    <t>OWNER NOT AVAILABLE</t>
  </si>
  <si>
    <t>ABRAR</t>
  </si>
  <si>
    <t>OWNER WILL TALK TO THE PARTNER AND LET US KNOW</t>
  </si>
  <si>
    <t xml:space="preserve"> gyros doner by nice juice centre </t>
  </si>
  <si>
    <t xml:space="preserve">abdul malik </t>
  </si>
  <si>
    <t>Owner asked to visit on friday as he is not available today and tommrow</t>
  </si>
  <si>
    <t xml:space="preserve">Kohinoor Restaurant </t>
  </si>
  <si>
    <t>Sajaz</t>
  </si>
  <si>
    <t>kabul darbar</t>
  </si>
  <si>
    <t>SHAKEEL</t>
  </si>
  <si>
    <t>72070 83888</t>
  </si>
  <si>
    <t>OWNER IS NOT AVAILABLE HE COME AFTER 9 PM</t>
  </si>
  <si>
    <t xml:space="preserve">Anu Archana kitchen </t>
  </si>
  <si>
    <t xml:space="preserve">Pet pooja </t>
  </si>
  <si>
    <t>Anjaiah</t>
  </si>
  <si>
    <t xml:space="preserve">Manikonda </t>
  </si>
  <si>
    <t>SUBHAM GRAND MULTI CUISINE FAMILY RESTAURANT</t>
  </si>
  <si>
    <t>https://www.google.com/maps/place/SUBHAM+GRAND+MULTICUISINE+FAMILY+RESTAURANT/@17.4261765,78.4544318,17z/data=!3m1!4b1!4m6!3m5!1s0x3bcb975c71ce4f23:0xaf7b1a826964a38f!8m2!3d17.4261714!4d78.4570067!16s%2Fg%2F11w4twbg4t?entry=ttu&amp;g_ep=EgoyMDI2MDIwNC4wIKXMDSoASAFQAw%3D%3D</t>
  </si>
  <si>
    <t>SUDARSAN NAYAK</t>
  </si>
  <si>
    <t>hsgsubhamgrand@gmail.com</t>
  </si>
  <si>
    <t>https://drive.google.com/open?id=1Z-lRC1l3IL3T3kyON-FcG7O_JcxZeZJF</t>
  </si>
  <si>
    <t>36CCKPP9029G1Z6</t>
  </si>
  <si>
    <t>CCKPP9029G</t>
  </si>
  <si>
    <t>https://drive.google.com/open?id=1ve20UFwuWtQjg3TMnjmn_jLJwONfRNiH</t>
  </si>
  <si>
    <t>A2/0897818/2024</t>
  </si>
  <si>
    <t>https://drive.google.com/open?id=12s2f57VzvxLLaOdnwoVFKLOsBR6DugpZ</t>
  </si>
  <si>
    <t>UTIB0003305</t>
  </si>
  <si>
    <t>AXIS BANK</t>
  </si>
  <si>
    <t>80086 23545</t>
  </si>
  <si>
    <t>First floor, 6-3-902/3, Raj Bhavan Rd, beside Pratul Honda, Durga Nagar Colony, Somajiguda, Hyderabad, Telangana 500082</t>
  </si>
  <si>
    <t>hotel armani</t>
  </si>
  <si>
    <t>irsaad</t>
  </si>
  <si>
    <t>pakisa</t>
  </si>
  <si>
    <t xml:space="preserve">mehadipatanam </t>
  </si>
  <si>
    <t>parcel counter</t>
  </si>
  <si>
    <t xml:space="preserve">ahmed </t>
  </si>
  <si>
    <t>fb bakers</t>
  </si>
  <si>
    <t>ashok</t>
  </si>
  <si>
    <t>nA</t>
  </si>
  <si>
    <t>mehandipatanam</t>
  </si>
  <si>
    <t xml:space="preserve">MAHARAJA </t>
  </si>
  <si>
    <t xml:space="preserve">UMAR KHAN </t>
  </si>
  <si>
    <t>MEHANDIPATANAM</t>
  </si>
  <si>
    <t xml:space="preserve">ZEESHAN </t>
  </si>
  <si>
    <t>REHAAN</t>
  </si>
  <si>
    <t xml:space="preserve">THATTI IDLY </t>
  </si>
  <si>
    <t>BABULAN</t>
  </si>
  <si>
    <t>BEGUMPET</t>
  </si>
  <si>
    <t>The good sparrow</t>
  </si>
  <si>
    <t>Ramchandra rao</t>
  </si>
  <si>
    <t>Info@goodsparrow.in</t>
  </si>
  <si>
    <t>https://drive.google.com/open?id=14aiEgHPTLKqKHTq6XSwqDEBE2xAfhvkI</t>
  </si>
  <si>
    <t>36AALCG5072C1ZO</t>
  </si>
  <si>
    <t>https://drive.google.com/open?id=1EzGKkfBdCwxpUid7iVSOGiOiFaC375_N</t>
  </si>
  <si>
    <t>AALCG5072C</t>
  </si>
  <si>
    <t>https://drive.google.com/open?id=1iJA6UzP29nUggmceli9hvRZ-6uEpTCFf</t>
  </si>
  <si>
    <t>https://drive.google.com/open?id=12gU5eBF4h4UumpvRgJOtQk-imBWvHY8u</t>
  </si>
  <si>
    <t>ICIC0001116</t>
  </si>
  <si>
    <t>GOOD SPARROW FOODS PRIVATE LIMITED</t>
  </si>
  <si>
    <t>Ramachandr rao</t>
  </si>
  <si>
    <t>The good sparrow food pvt ltd</t>
  </si>
  <si>
    <t>Jsr mall vidia colony madeenaguda near alywn x road miyapur 500050</t>
  </si>
  <si>
    <t xml:space="preserve">Rama chandarrao </t>
  </si>
  <si>
    <t>https://drive.google.com/open?id=1RXkZ-moPk64eEHlh8LGIRgU1nGyi4Hm-</t>
  </si>
  <si>
    <t>https://drive.google.com/open?id=1eEfT6eZGwPzwadX92zbnoIOERbRBDC6Z</t>
  </si>
  <si>
    <t>https://drive.google.com/open?id=1QBcjT0hK85JwnNDGRyW3KOcdn-M1YT8-</t>
  </si>
  <si>
    <t>https://drive.google.com/open?id=12EAJVco-KdWw1uSYlFtmmTicVZ84gYM2</t>
  </si>
  <si>
    <t>Rama chandhar rao</t>
  </si>
  <si>
    <t>Good sparrow foods private limited</t>
  </si>
  <si>
    <t xml:space="preserve">1-55/196&amp; 199A botanical garden road serlingampally circle 20 </t>
  </si>
  <si>
    <t>Bhoojanam Tayyaru</t>
  </si>
  <si>
    <t>Srithisk</t>
  </si>
  <si>
    <t>need to discuss regarding Commision Part, as the other Platforms Were giving 9++ Comission</t>
  </si>
  <si>
    <t>Tadipatri</t>
  </si>
  <si>
    <t>21++ I Want to Pitch</t>
  </si>
  <si>
    <t>Expansion</t>
  </si>
  <si>
    <t>N</t>
  </si>
  <si>
    <t>Ramachandra rao</t>
  </si>
  <si>
    <t>info@goodsparroe.in</t>
  </si>
  <si>
    <t>https://drive.google.com/open?id=1nFJkCl5MASyahmgFBFpfuuaFmGwr4WfO</t>
  </si>
  <si>
    <t>https://drive.google.com/open?id=1mGWWMK_seDKY43K2NZSUjD03Ky_AuJtM</t>
  </si>
  <si>
    <t>https://drive.google.com/open?id=1d4BXXvEiNmx6Dq1mA_V9h4cZaoAkrMjq</t>
  </si>
  <si>
    <t>https://drive.google.com/open?id=1cyi3Awg4bkM-qh0jCZ9AYvANscdYVEcQ</t>
  </si>
  <si>
    <t>Syno 274(p) aparna hill park commercial building chandanagar</t>
  </si>
  <si>
    <t>LUCKY RESTAURANT [somajiguda]</t>
  </si>
  <si>
    <t>https://www.google.com/maps/place/Lucky+Multicuisine+Restaurant/@17.422848,78.4586384,17z/data=!3m1!4b1!4m6!3m5!1s0x3bcb90b4f1a76c29:0x2dd97a740a6f0a53!8m2!3d17.4228429!4d78.4612133!16s%2Fg%2F11fr3lwfw5?hl=en&amp;entry=ttu&amp;g_ep=EgoyMDI2MDIwMS4wIKXMDSoKLDEwMDc5MjA2OUgBUAM%3D</t>
  </si>
  <si>
    <t>https://drive.google.com/open?id=1LLEJekJcTxrNm2QagzhMxqyDXOWjpyCP</t>
  </si>
  <si>
    <t>36AAIFL0277C1ZJ</t>
  </si>
  <si>
    <t>https://drive.google.com/open?id=1f3HDxJ2e7YVMA6zQIKF8G75AQEmqiRfH</t>
  </si>
  <si>
    <t>AAIFL0277C</t>
  </si>
  <si>
    <t>https://drive.google.com/open?id=14aEMqG4cRhEAWWWEUNigYvfesqexjYkw</t>
  </si>
  <si>
    <t>https://drive.google.com/open?id=1MSZTJnrSvojZAVGFGN9ERkT44CKcaSkX</t>
  </si>
  <si>
    <t>HDFC0000512</t>
  </si>
  <si>
    <t>HIS SON IS THE SIGNING AUTHORITY</t>
  </si>
  <si>
    <t>Anu Archan Kitchen</t>
  </si>
  <si>
    <t>Kondaiah</t>
  </si>
  <si>
    <t>Manikonda</t>
  </si>
  <si>
    <t>Ma potta Ma istam</t>
  </si>
  <si>
    <t xml:space="preserve">Manchu Manoj </t>
  </si>
  <si>
    <t>Dragon Tales</t>
  </si>
  <si>
    <t>Shekar</t>
  </si>
  <si>
    <t>Aaha</t>
  </si>
  <si>
    <t>Raju</t>
  </si>
  <si>
    <t>Viyala vari pindi vantalu</t>
  </si>
  <si>
    <t>Hazrat</t>
  </si>
  <si>
    <t>Karam Dosa</t>
  </si>
  <si>
    <t xml:space="preserve">Prashanth reddy </t>
  </si>
  <si>
    <t xml:space="preserve">Na </t>
  </si>
  <si>
    <t xml:space="preserve">Qubz The shewarma Revolution </t>
  </si>
  <si>
    <t>Ttastryy</t>
  </si>
  <si>
    <t>Ba</t>
  </si>
  <si>
    <t xml:space="preserve">Aravind reddy </t>
  </si>
  <si>
    <t>SHOHRAT</t>
  </si>
  <si>
    <t>Sameer</t>
  </si>
  <si>
    <t xml:space="preserve">Chantabbai Biryani </t>
  </si>
  <si>
    <t xml:space="preserve">Bhargav </t>
  </si>
  <si>
    <t>Krishna</t>
  </si>
  <si>
    <t>+91 98858 68130</t>
  </si>
  <si>
    <t xml:space="preserve">Navarasa </t>
  </si>
  <si>
    <t xml:space="preserve">Reddy Brothers </t>
  </si>
  <si>
    <t xml:space="preserve">Srikanth reddy </t>
  </si>
  <si>
    <t xml:space="preserve">Vasireddy swagruha foods </t>
  </si>
  <si>
    <t xml:space="preserve">Upendra </t>
  </si>
  <si>
    <t xml:space="preserve">Mandi king </t>
  </si>
  <si>
    <t>Ashwaq</t>
  </si>
  <si>
    <t xml:space="preserve">Good Flipping Burgers </t>
  </si>
  <si>
    <t xml:space="preserve">Girl friend mandi </t>
  </si>
  <si>
    <t>Nasir</t>
  </si>
  <si>
    <t>Raidurg</t>
  </si>
  <si>
    <t xml:space="preserve">Babai Hotel </t>
  </si>
  <si>
    <t xml:space="preserve">Dinesh reddy </t>
  </si>
  <si>
    <t xml:space="preserve">Madhapur </t>
  </si>
  <si>
    <t>Vela Bites</t>
  </si>
  <si>
    <t>Akhil reddy</t>
  </si>
  <si>
    <t>Hotel inner circle</t>
  </si>
  <si>
    <t xml:space="preserve">Ibrahim Khan </t>
  </si>
  <si>
    <t xml:space="preserve">Somajiguda </t>
  </si>
  <si>
    <t xml:space="preserve">Brew Commune and Bistro </t>
  </si>
  <si>
    <t xml:space="preserve">Triveni </t>
  </si>
  <si>
    <t xml:space="preserve">Polar bear </t>
  </si>
  <si>
    <t>ADHIRATH</t>
  </si>
  <si>
    <t>MUKESH</t>
  </si>
  <si>
    <t>MADHAPUR</t>
  </si>
  <si>
    <t xml:space="preserve">Ashish kumar </t>
  </si>
  <si>
    <t>+91 93985 56461</t>
  </si>
  <si>
    <t>https://drive.google.com/open?id=1UlTTQTrZr1eADuCSZrV_BPpaH4jLCq_v</t>
  </si>
  <si>
    <t>36JNTPK6496P1ZG</t>
  </si>
  <si>
    <t>https://drive.google.com/open?id=1C6Yj7irP-AOhQl7Tm9zhPVp-6PeHCotG</t>
  </si>
  <si>
    <t>Jntpk6496p</t>
  </si>
  <si>
    <t>https://drive.google.com/open?id=1CkVgioQfrxvRRy0dt9R1ow16d6h9z3l2</t>
  </si>
  <si>
    <t>BDBL00018292136</t>
  </si>
  <si>
    <t>Bandhan Bank</t>
  </si>
  <si>
    <t>Ashish kumar</t>
  </si>
  <si>
    <t>Shutter no 3 plot no2A sy no 12 Kondapur serlingampally circle no 20 Hyderabad 500084</t>
  </si>
  <si>
    <t xml:space="preserve">Thick shake factory </t>
  </si>
  <si>
    <t>Snaapp 224, Food Court, Gandipet Main Rd, beside Ncc Urban One, Kokapet, Hyderabad, Telangana 500075</t>
  </si>
  <si>
    <t xml:space="preserve">Manasa </t>
  </si>
  <si>
    <t>733-7332022</t>
  </si>
  <si>
    <t xml:space="preserve">Naveen </t>
  </si>
  <si>
    <t>8309-541582</t>
  </si>
  <si>
    <t>Rajesh kethineni</t>
  </si>
  <si>
    <t>https://drive.google.com/open?id=1mlYB2ikwWJ-JF1B6rw17HV_R-3hmedEX</t>
  </si>
  <si>
    <t>CYXPK8989B</t>
  </si>
  <si>
    <t>https://drive.google.com/open?id=1DKhgeaOM1lxMrzSlLawBSx8tlUKAqWaQ</t>
  </si>
  <si>
    <t>SBI0014170</t>
  </si>
  <si>
    <t>Sambasiva rao kethineni</t>
  </si>
  <si>
    <t>Rajesh kethiklneni</t>
  </si>
  <si>
    <t>Plot to a Whitefield Kondapur circle number 20 Hyderabad</t>
  </si>
  <si>
    <t>Vidya Sagar kadali</t>
  </si>
  <si>
    <t>Vjfoodprenures@gmail.com</t>
  </si>
  <si>
    <t>:36AAVFV4710H1ZS</t>
  </si>
  <si>
    <t>https://drive.google.com/open?id=1M9oQEmkMPWMxfuaY50HMSDTxpW7WCXs4</t>
  </si>
  <si>
    <t>AAVF4710H</t>
  </si>
  <si>
    <t>https://drive.google.com/open?id=1CvNTbmPl5H3Pl4kxzAGEv9k6yWwZYSnE</t>
  </si>
  <si>
    <t>https://drive.google.com/open?id=1z9xSy2R7BX9_IGQo40Fw_7fa7sypwjLg</t>
  </si>
  <si>
    <t>HDFC000394</t>
  </si>
  <si>
    <t>VJ food prenuers</t>
  </si>
  <si>
    <t>Sagar</t>
  </si>
  <si>
    <t>Hno 27-3/26 siva sai nagar 11 bairaguda hyd</t>
  </si>
  <si>
    <t xml:space="preserve">Nagendar </t>
  </si>
  <si>
    <t>80080 20304</t>
  </si>
  <si>
    <t>Palle vindu</t>
  </si>
  <si>
    <t>Address: 2nd floor, Hardhik crown building, above HDFC bank, HUDA Techno Enclave, HITEC City, Hyderabad, Telangana 500081</t>
  </si>
  <si>
    <t>Shanker</t>
  </si>
  <si>
    <t xml:space="preserve">Manager is not available got the contact details from the supervisor </t>
  </si>
  <si>
    <t>Suryakantham Military hotel</t>
  </si>
  <si>
    <t>Maheshwar rao</t>
  </si>
  <si>
    <t>Biryaniwala &amp; CO</t>
  </si>
  <si>
    <t xml:space="preserve">Commission I need to discuss </t>
  </si>
  <si>
    <t>Kanchi cafe</t>
  </si>
  <si>
    <t>Plot 19, Huda Enclave, Sector 2, Hitech City, Hyderabad</t>
  </si>
  <si>
    <t>Dhakshina murthy</t>
  </si>
  <si>
    <t>Manager is not available,when I visited the cafe got the contact details,I will follow up</t>
  </si>
  <si>
    <t>Abu Zayed Bait Al Mandi</t>
  </si>
  <si>
    <t>House 1-98/C/8, Vittal Rao Nagar, Opposite Melange Towers, Hitech City, Hyderabad</t>
  </si>
  <si>
    <t>The Indian wok</t>
  </si>
  <si>
    <t>google.com/maps?sca_esv=dcb567104b2294d0&amp;sxsrf=ANbL-n5lqbl4Fui7H-cLK-YtgJP6EbfQNg:1770874365686&amp;biw=1366&amp;bih=581&amp;um=1&amp;ie=UTF-8&amp;fb=1&amp;gl=in&amp;sa=X&amp;geocode=KYnj5j4Nk8s7MboSR4ZVvDAD&amp;daddr=C9VM%2BFH2,+Patrika+Nagar,+HITEC+City,+Hyderabad,+Telangana+500081</t>
  </si>
  <si>
    <t>Adi</t>
  </si>
  <si>
    <t xml:space="preserve">Eat spot </t>
  </si>
  <si>
    <t>Manikanta</t>
  </si>
  <si>
    <t>+919063747177</t>
  </si>
  <si>
    <t>0, PLOT NO 9, 0 0, ShivBagh, Balkampet, Hyderabad, Telangana 500016</t>
  </si>
  <si>
    <t>Eat spot</t>
  </si>
  <si>
    <t>Hari</t>
  </si>
  <si>
    <t>1, Satyam Theatre Rd, opp. ad it ya trade center center, Kumar Basti, Srinivasa Nagar, Ameerpet, Hyderabad, Telangana 500038</t>
  </si>
  <si>
    <t xml:space="preserve">Hari Dosa </t>
  </si>
  <si>
    <t xml:space="preserve">Kings biryani </t>
  </si>
  <si>
    <t xml:space="preserve">Mahesh </t>
  </si>
  <si>
    <t>87901 30941</t>
  </si>
  <si>
    <t xml:space="preserve">Kings biryani adda </t>
  </si>
  <si>
    <t xml:space="preserve">Azeez </t>
  </si>
  <si>
    <t>99850 95605</t>
  </si>
  <si>
    <t xml:space="preserve">Tipsy Topsy </t>
  </si>
  <si>
    <t>7, Balkampet Rd, Hanuman Temple Complex, Swathi Avenue, Ameerpet, Hyderabad, Telangana 500016</t>
  </si>
  <si>
    <t>Param</t>
  </si>
  <si>
    <t>The turban taste</t>
  </si>
  <si>
    <t>https://maps.app.goo.gl/MLPAk8oqSLDkFd4U9</t>
  </si>
  <si>
    <t xml:space="preserve">Basha </t>
  </si>
  <si>
    <t>Cake exotica bakers</t>
  </si>
  <si>
    <t xml:space="preserve">Manager will be available after 5 in the restaurant </t>
  </si>
  <si>
    <t>Palleturi dosa</t>
  </si>
  <si>
    <t>AI RAHAMAN BAKERY</t>
  </si>
  <si>
    <t>RAHAMAN</t>
  </si>
  <si>
    <t>AI RAHAMN BAKERY</t>
  </si>
  <si>
    <t>Road Number 86, Nizam Colony, Toli Chowki, Hyderabad, Telangana</t>
  </si>
  <si>
    <t>Aram</t>
  </si>
  <si>
    <t xml:space="preserve">Need to discuss about the restaurant how the other Platforms Were doing </t>
  </si>
  <si>
    <t>Hakimpet</t>
  </si>
  <si>
    <t>AFC</t>
  </si>
  <si>
    <t>Uma maheshwar rao</t>
  </si>
  <si>
    <t>Honey foods Tapeshwaram Kaja</t>
  </si>
  <si>
    <t>AL BAIK</t>
  </si>
  <si>
    <t xml:space="preserve">AL BAIK </t>
  </si>
  <si>
    <t>https://maps.app.goo.gl/h5mfCSmAMJu8DGXGA?g_st=ic</t>
  </si>
  <si>
    <t>Sanjeev Reddy</t>
  </si>
  <si>
    <t>Jaimaanukonda7@gmail.com</t>
  </si>
  <si>
    <t xml:space="preserve">New to online </t>
  </si>
  <si>
    <t>Sai Nath Enclave, Block F2,Gokul Plots, Venkataramana Colony, K P H B Phase 9, Hafeezpet, Hyderabad, Telangana 500085</t>
  </si>
  <si>
    <t>Kukatpally</t>
  </si>
  <si>
    <t xml:space="preserve">Coffee place </t>
  </si>
  <si>
    <t>Al Rikaab</t>
  </si>
  <si>
    <t>19++</t>
  </si>
  <si>
    <t>Al - Rikaaab</t>
  </si>
  <si>
    <t xml:space="preserve">Lakshmi Narasimhaswamy Nagar, Anupama Homes, Manikonda, Hyderabad, Telangana 500089 </t>
  </si>
  <si>
    <t xml:space="preserve">Vijay </t>
  </si>
  <si>
    <t>95422 33485</t>
  </si>
  <si>
    <t xml:space="preserve">Kalingapatnam </t>
  </si>
  <si>
    <t>Mayuri Foods</t>
  </si>
  <si>
    <t>96422 34333</t>
  </si>
  <si>
    <t>Meeting with owner</t>
  </si>
  <si>
    <t xml:space="preserve">Moosapet </t>
  </si>
  <si>
    <t xml:space="preserve">Missamma restaurant </t>
  </si>
  <si>
    <t>Lakshmi Narasimhaswamy Nagar, Puppal Guda, Puppalguda, Manikonda, Hyderabad, Telangana 500089</t>
  </si>
  <si>
    <t>Sirish</t>
  </si>
  <si>
    <t>863-9381583</t>
  </si>
  <si>
    <t xml:space="preserve">Gatox cafe </t>
  </si>
  <si>
    <t>https://maps.app.goo.gl/sYXCnfhqxd3hu7ip9</t>
  </si>
  <si>
    <t>Shiva</t>
  </si>
  <si>
    <t>Garuda Cafe</t>
  </si>
  <si>
    <t xml:space="preserve">Sns bakehouse bakery and cafe </t>
  </si>
  <si>
    <t>Subhash</t>
  </si>
  <si>
    <t>+91 94943 99656</t>
  </si>
  <si>
    <t>bakehousesns@gmail.com</t>
  </si>
  <si>
    <t>https://drive.google.com/open?id=1dzCPMgBk7v1BOPqjGbCpJvxzaj3B5s04</t>
  </si>
  <si>
    <t>36AGOPV9411C1Z4</t>
  </si>
  <si>
    <t>https://drive.google.com/open?id=1TKBICOHdgFm-5O9irakhUBYhhEYE5Ogf</t>
  </si>
  <si>
    <t>AGOPV9411C</t>
  </si>
  <si>
    <t>https://drive.google.com/open?id=1XOEGZNv7dqwn1eaZHpqzdPOQ_bcOsHXU</t>
  </si>
  <si>
    <t>0934892</t>
  </si>
  <si>
    <t>https://drive.google.com/open?id=1xB7gqJCUL6xbRxNZqDKvTuXJj0yO8EYc</t>
  </si>
  <si>
    <t>https://drive.google.com/open?id=1RJg0vZYb8rpZ2eJBCHN88JVswb33w6cp</t>
  </si>
  <si>
    <t>IDB0080205</t>
  </si>
  <si>
    <t xml:space="preserve">IDFC first bank </t>
  </si>
  <si>
    <t xml:space="preserve">Onboarding done,documents submitted </t>
  </si>
  <si>
    <t>H.no-33-A,APHB colony,Indira nagar,Gachibowli,500032</t>
  </si>
  <si>
    <t xml:space="preserve">Sns bake house bakery nd cafe </t>
  </si>
  <si>
    <t>https://maps.app.goo.gl/at2JYB7H8y98ogrP6</t>
  </si>
  <si>
    <t>Shiva kumar</t>
  </si>
  <si>
    <t>https://drive.google.com/open?id=1tUv-8B6zLHP5QCXxzN1yLw_QwqmSiAES</t>
  </si>
  <si>
    <t>36ACKFA4226G1ZJ</t>
  </si>
  <si>
    <t>https://drive.google.com/open?id=1iR45OA_9VnjsNVeuN-H1TZ1lyxkj8tq2</t>
  </si>
  <si>
    <t>AZHPS7919Q</t>
  </si>
  <si>
    <t>https://drive.google.com/open?id=1-SCscuHBy-YUrhyfqQGP43svE7_kLMWr</t>
  </si>
  <si>
    <t>https://drive.google.com/open?id=1CsPd5PJwoKYcmy0ljOmn5Tm4rcNoXc_o</t>
  </si>
  <si>
    <t>HDFC000642</t>
  </si>
  <si>
    <t>Al saba cafe</t>
  </si>
  <si>
    <t>uilding No./Flat No.: H No. 8-3-222/C/1/12 Road/Street: Madhura Nagar Nearby Landmark: PILLAR NO. C1467 City/Town/Village: Hyderabad District: Hyderabad State: Telangana PIN Code: 500045</t>
  </si>
  <si>
    <t>Al Saba cafe</t>
  </si>
  <si>
    <t>Manager is not available,will be available after 18:00pm</t>
  </si>
  <si>
    <t>Kochinspices</t>
  </si>
  <si>
    <t>Jeff</t>
  </si>
  <si>
    <t>They are 4 partners,discussion done with one partner  need to discuss with other partners,200-400 average orders per day in online platforms</t>
  </si>
  <si>
    <t>Kochin spices</t>
  </si>
  <si>
    <t>Sai kiran</t>
  </si>
  <si>
    <t>Manager is not available</t>
  </si>
  <si>
    <t>Smoky docky</t>
  </si>
  <si>
    <t xml:space="preserve">Poruginti chepala pulusu </t>
  </si>
  <si>
    <t>CAFE UNITED</t>
  </si>
  <si>
    <t>ARBAR</t>
  </si>
  <si>
    <t>WE EXPLAINED EVERY THING WE NEED TO COLLECT DOCUMENTS ON MONDAY</t>
  </si>
  <si>
    <t xml:space="preserve">CAFE UNITED </t>
  </si>
  <si>
    <t>https://maps.app.goo.gl/Ee99adJhmANZ7wbi8</t>
  </si>
  <si>
    <t xml:space="preserve">Raju </t>
  </si>
  <si>
    <t>1pm to 1am</t>
  </si>
  <si>
    <t>Ram</t>
  </si>
  <si>
    <t>Zamindars cafe</t>
  </si>
  <si>
    <t>https://www.google.com/maps/place/Hitech+Bawarchi+Food+Court/@17.4411555,78.3891442,17z/data=!3m2!4b1!5s0x3bcb915c69673b95:0x2e57b919b7100bcf!4m6!3m5!1s0x3bcb915c697f825f:0x1a999cc2808c5734!8m2!3d17.4411504!4d78.3917191!16s%2Fg%2F11byxft_qc?entry=ttu&amp;g_ep=EgoyMDI2MDIwNC4wIKXMDSoASAFQAw%3D%3D</t>
  </si>
  <si>
    <t>ILYAS</t>
  </si>
  <si>
    <t>mohdilyas13@gmail.com</t>
  </si>
  <si>
    <t>https://drive.google.com/open?id=1PdI1UU9f5OPowNVgD7fReE2oDtxxx4Mn</t>
  </si>
  <si>
    <t>36AIQPM3544D1Z6</t>
  </si>
  <si>
    <t>https://drive.google.com/open?id=19BCFWchfw9SLUCNJLnr37brcZdh2n_qP</t>
  </si>
  <si>
    <t>AIQPM3544D</t>
  </si>
  <si>
    <t>https://drive.google.com/open?id=16XFbrGSMZvIL1QzjcXJBj1KIHbIhWKDf</t>
  </si>
  <si>
    <t>https://drive.google.com/open?id=1P_CpJZaQU2rNcw0-VvaemxIwfiMVd5Jx</t>
  </si>
  <si>
    <t>UTIB0001628</t>
  </si>
  <si>
    <t>G HITECH BAWARCHI FOOD COURT</t>
  </si>
  <si>
    <t>MOHAMMED ILYAS</t>
  </si>
  <si>
    <t>1-98/90/24, Ayyappa Society Main Rd, opp. IOC Petrol Pump, Megha Hills, Sri Sai Nagar, Madhapur, Hyderabad, Telangana 500081</t>
  </si>
  <si>
    <t xml:space="preserve">hitech bawarchi food court </t>
  </si>
  <si>
    <t>Khan saab</t>
  </si>
  <si>
    <t>99660 33399</t>
  </si>
  <si>
    <t>100N Gourmet shawarma the homly bowls</t>
  </si>
  <si>
    <t>Giri</t>
  </si>
  <si>
    <t xml:space="preserve">MMD Restaurant </t>
  </si>
  <si>
    <t>Chandu(branch incharge)</t>
  </si>
  <si>
    <t>Dilip</t>
  </si>
  <si>
    <t>Manager will be available after 19:00</t>
  </si>
  <si>
    <t>Sri vindha tiffins</t>
  </si>
  <si>
    <t>Awaiz Ammari</t>
  </si>
  <si>
    <t>Owner will be available after 18th of these month</t>
  </si>
  <si>
    <t>Hulchal desserts and bakers</t>
  </si>
  <si>
    <t>Divya</t>
  </si>
  <si>
    <t xml:space="preserve">Rainbow mandi restaurant </t>
  </si>
  <si>
    <t>Hotel Farzaan</t>
  </si>
  <si>
    <t>faheen</t>
  </si>
  <si>
    <t>faheen88977@gmail.com</t>
  </si>
  <si>
    <t>https://drive.google.com/open?id=1QmWrK_rT287ulHBndycSFpNyv3pFYCxb</t>
  </si>
  <si>
    <t>https://drive.google.com/open?id=1aJ7jyiQI1BxadWuyiDV75Cr6pKDhzzPn</t>
  </si>
  <si>
    <t>https://drive.google.com/open?id=1hHYKH2vaxK2MdQvW2T-DLbQa7QTnUOnE</t>
  </si>
  <si>
    <t>CNRB0013054</t>
  </si>
  <si>
    <t>Canara Bank</t>
  </si>
  <si>
    <t>Faheen</t>
  </si>
  <si>
    <t>74168 26069‬</t>
  </si>
  <si>
    <t>Gate number:-4, Paramount,Colony near Amen masjid, tolichoki,Hyderabad Mehdipatnam Circle no:-12, 5000028</t>
  </si>
  <si>
    <t>Royal Darbar</t>
  </si>
  <si>
    <t xml:space="preserve">Tipsytopsy1@gmail.com </t>
  </si>
  <si>
    <t>Basha</t>
  </si>
  <si>
    <t>Exotica bakers</t>
  </si>
  <si>
    <t>https://maps.app.goo.gl/rLANGzUP8SGcpU1U9</t>
  </si>
  <si>
    <t>Padmavathi</t>
  </si>
  <si>
    <t>https://drive.google.com/open?id=1OhYuUPJZtUt9ADEJV6NmHD-6_CD-YagI</t>
  </si>
  <si>
    <t>CFKPK4644H</t>
  </si>
  <si>
    <t>https://drive.google.com/open?id=1qE5ez9Tj8VeTC7DGpU3OzbvCVZGo-IC-</t>
  </si>
  <si>
    <t>FDRL0001473</t>
  </si>
  <si>
    <t>Padmavathi Food court</t>
  </si>
  <si>
    <t>TWO SHUTTERS NO.1 &amp; 2, IN H.NO.8-3-  318/6/3/13/1/8, ALI NAGAR,  YELLAREDDYGUDA HYDERABAD 500073,  Yousufguda Circle No 19, Hyderabad,  Telangana - 500073</t>
  </si>
  <si>
    <t>Padmavathi food court</t>
  </si>
  <si>
    <t>santhosh</t>
  </si>
  <si>
    <t>punjabijunctionyf@gmail.com</t>
  </si>
  <si>
    <t>https://drive.google.com/open?id=1W5DvnQWJlR0kGJulI7-q7OPepzyaL_ZD</t>
  </si>
  <si>
    <t>NMOPS2250B</t>
  </si>
  <si>
    <t>https://drive.google.com/open?id=1v0Q4P_xuBK-3EP4oJ5-F7SUtrC346hHR</t>
  </si>
  <si>
    <t>https://drive.google.com/open?id=1I0nDgARq3-b4FG1xDYyGvkDT3cyzY6YV</t>
  </si>
  <si>
    <t>https://drive.google.com/open?id=12sMx09M1ImUhIZqd82WIvNaInTBWDcDb</t>
  </si>
  <si>
    <t>CBIN0285206</t>
  </si>
  <si>
    <t>CENTRAL BANK OF INDIA</t>
  </si>
  <si>
    <t>SANTHOSH</t>
  </si>
  <si>
    <t>PUNJABIJUNCTIONYF@GMAIL.COM</t>
  </si>
  <si>
    <t>YUMMY FOODS</t>
  </si>
  <si>
    <t>grounf floor,Hno.7-14/32/iiB,A/1 Alkapuri township,pupalaguda rajendranagar manikonda</t>
  </si>
  <si>
    <t>punjabi Dhaba</t>
  </si>
  <si>
    <t>https://maps.app.goo.gl/6iuCt9p5WZeixZtb6?g_st=ic</t>
  </si>
  <si>
    <t>Sohail</t>
  </si>
  <si>
    <t>Sohailmd990@gmail.com</t>
  </si>
  <si>
    <t xml:space="preserve">Cozmo Cafe </t>
  </si>
  <si>
    <t>Md.Atif Ali</t>
  </si>
  <si>
    <t>Md.owais</t>
  </si>
  <si>
    <t xml:space="preserve">Alkapuri Bawarchi Biryani </t>
  </si>
  <si>
    <t>ABDUL MALIK</t>
  </si>
  <si>
    <t>ASKED TO COME ON MONDAY</t>
  </si>
  <si>
    <t xml:space="preserve">GYRO DONER </t>
  </si>
  <si>
    <t>gulam</t>
  </si>
  <si>
    <t>040 23510000</t>
  </si>
  <si>
    <t>NOT INTERESTED</t>
  </si>
  <si>
    <t>Not in any online platform we have explain every thing but not interested as of now will contact if interested</t>
  </si>
  <si>
    <t>morine bakery</t>
  </si>
  <si>
    <t>htpp</t>
  </si>
  <si>
    <t>Deepak</t>
  </si>
  <si>
    <t>Launger houz</t>
  </si>
  <si>
    <t>Balaji Family Dabha</t>
  </si>
  <si>
    <t>CHANDRA KANT</t>
  </si>
  <si>
    <t>OWNER WILL BE AVAILABLE ON MONDAY</t>
  </si>
  <si>
    <t xml:space="preserve">fire and ice bakers </t>
  </si>
  <si>
    <t>Amrutham</t>
  </si>
  <si>
    <t xml:space="preserve">abhimanyu </t>
  </si>
  <si>
    <t>HE WILL BE AVAILABLE TOMMROW AT 12 IN THE MORNING</t>
  </si>
  <si>
    <t xml:space="preserve">surabhi hotel udupi veg </t>
  </si>
  <si>
    <t>Ram reddy</t>
  </si>
  <si>
    <t>Shiva Nagi Reddy sweets</t>
  </si>
  <si>
    <t>https://maps.app.goo.gl/Nk7sXotTrfTDzGZ97?g_st=ic</t>
  </si>
  <si>
    <t>E. Manikanteswara Reddy</t>
  </si>
  <si>
    <t>emkreddy.19@gmail.com</t>
  </si>
  <si>
    <t>https://drive.google.com/open?id=17M8j3mFhZFG3wU77l4cQMHYhXq8pD0tH</t>
  </si>
  <si>
    <t>36ABYPE8677J1Z0</t>
  </si>
  <si>
    <t>https://drive.google.com/open?id=1Esnne3EF0nDCVFY0yNF0s-O0oIeM9LkT</t>
  </si>
  <si>
    <t>Addagutta cooperative society, Addagutta Society, Jal Vayu Vihar, Kukatpally, Hyderabad, Telangana 500085</t>
  </si>
  <si>
    <t>Trinetra Cafe &amp; Restaurant</t>
  </si>
  <si>
    <t xml:space="preserve">Jagan Mohan </t>
  </si>
  <si>
    <t>Koduriskitchen@gmail.com</t>
  </si>
  <si>
    <t xml:space="preserve">Purushottam </t>
  </si>
  <si>
    <t xml:space="preserve">Koduris kitchen </t>
  </si>
  <si>
    <t>09885215007</t>
  </si>
  <si>
    <t xml:space="preserve">Bamma tiffins </t>
  </si>
  <si>
    <t>PVT, Prop</t>
  </si>
  <si>
    <t>Alkapur Township, Mahalneknapur, Puppalguda, Hyderabad, Telangana</t>
  </si>
  <si>
    <t xml:space="preserve">Aashritha </t>
  </si>
  <si>
    <t>95733 94555</t>
  </si>
  <si>
    <t xml:space="preserve">Urban Franky </t>
  </si>
  <si>
    <t xml:space="preserve">Krishna </t>
  </si>
  <si>
    <t>Raja Rani Ruchulu</t>
  </si>
  <si>
    <t>Suryakantham Military Hotel</t>
  </si>
  <si>
    <t>Sri latha</t>
  </si>
  <si>
    <t>srichandrakakarla@gmail.com</t>
  </si>
  <si>
    <t>https://drive.google.com/open?id=1bOdmrQWowW-khG2i25-X3I8JS1GVT-FV</t>
  </si>
  <si>
    <t>36ANCPK0655Q2ZM</t>
  </si>
  <si>
    <t>https://drive.google.com/open?id=1r64PXvZavziIzd-tSp9m3zPWq4KCPVd6</t>
  </si>
  <si>
    <t>ANCPK0655Q</t>
  </si>
  <si>
    <t>https://drive.google.com/open?id=1_xt5uT6DbdEE-AEue2BQMzy6YXo2zcIg</t>
  </si>
  <si>
    <t>SEA/RAN/ALO/BN/1123877/2025</t>
  </si>
  <si>
    <t>https://drive.google.com/open?id=1xf1yB3ZQVA3SzkTp9AW2VoLh9LPy_xvg</t>
  </si>
  <si>
    <t>https://drive.google.com/open?id=1fZKkhOY4LGNL-4ZQ8W2N88rEaTjYMZ6T</t>
  </si>
  <si>
    <t>ICIC0003892</t>
  </si>
  <si>
    <t>SRI LATHA</t>
  </si>
  <si>
    <t>COSTAL KITCHEN</t>
  </si>
  <si>
    <t>SURYAKANTHAM MILTARY HOTEL</t>
  </si>
  <si>
    <t>suryakanthammiltaryhotel@gmail.com</t>
  </si>
  <si>
    <t>H.NO-8/1,IN sector-11 of Hudo techno enclave,madhapur,serlingampally,Rangareddy,500081</t>
  </si>
  <si>
    <t xml:space="preserve">Giri </t>
  </si>
  <si>
    <t>85209 37226</t>
  </si>
  <si>
    <t xml:space="preserve">Palle Vindu Dosa </t>
  </si>
  <si>
    <t xml:space="preserve">Kali </t>
  </si>
  <si>
    <t>6302-751766</t>
  </si>
  <si>
    <t xml:space="preserve">A1 shawarma bites </t>
  </si>
  <si>
    <t xml:space="preserve">Sudhakar </t>
  </si>
  <si>
    <t>Yummy Feast</t>
  </si>
  <si>
    <t xml:space="preserve">Hut-K Biryani </t>
  </si>
  <si>
    <t xml:space="preserve"> Store No. - 6, Crave &amp; Dine Sy No.11, Road No. 20, Alkapur Township Neknampur road, (Back side of, Manikonda, Hyderabad, Telangana 500089·32 m</t>
  </si>
  <si>
    <t xml:space="preserve">Sai </t>
  </si>
  <si>
    <t>70130 27770</t>
  </si>
  <si>
    <t xml:space="preserve">Great Britain waffle </t>
  </si>
  <si>
    <t xml:space="preserve">Ritvikas kitchen </t>
  </si>
  <si>
    <t xml:space="preserve">Sarath </t>
  </si>
  <si>
    <t>Ritvikas kitchen</t>
  </si>
  <si>
    <t>90596 66300</t>
  </si>
  <si>
    <t>Sweet Stories</t>
  </si>
  <si>
    <t>Naidu gari kunda biryani</t>
  </si>
  <si>
    <t xml:space="preserve">Chandu </t>
  </si>
  <si>
    <t xml:space="preserve">Naidu gari kunda biryani </t>
  </si>
  <si>
    <t xml:space="preserve">Old A1 Restraunt </t>
  </si>
  <si>
    <t>Kakatiyya tiffins</t>
  </si>
  <si>
    <t>Need to Close him for 15 ++</t>
  </si>
  <si>
    <t>Kakatiyya Tuffins</t>
  </si>
  <si>
    <t xml:space="preserve">Pundari naidu </t>
  </si>
  <si>
    <t>+91 79897 34545</t>
  </si>
  <si>
    <t>Bahar cafe</t>
  </si>
  <si>
    <t>CAFE 555 AND AQEEQ RESTAURANT</t>
  </si>
  <si>
    <t>abbas</t>
  </si>
  <si>
    <t>TOMMROW  AFTER 3 PM</t>
  </si>
  <si>
    <t xml:space="preserve">umar </t>
  </si>
  <si>
    <t>MANAGER WILL BE AVAILABLE AFTER 5</t>
  </si>
  <si>
    <t>imperial  multicuisine restaurant</t>
  </si>
  <si>
    <t>Jeevan</t>
  </si>
  <si>
    <t>Spoke with manager on the call,gave appointment on Monday</t>
  </si>
  <si>
    <t>AN TE RA KITCHEN AND BAR</t>
  </si>
  <si>
    <t>Amogha</t>
  </si>
  <si>
    <t xml:space="preserve">Monday will be available </t>
  </si>
  <si>
    <t xml:space="preserve">Shanghai chef </t>
  </si>
  <si>
    <t>79, Care Crystal, Vinayak Nagar Colony, Gachibowli, Hyderabad</t>
  </si>
  <si>
    <t>Piyush</t>
  </si>
  <si>
    <t xml:space="preserve">Need to contact kolkata team for descion making </t>
  </si>
  <si>
    <t xml:space="preserve">Need to contact kolkata branch for descion </t>
  </si>
  <si>
    <t>Wow momo</t>
  </si>
  <si>
    <t>Vamshi</t>
  </si>
  <si>
    <t xml:space="preserve">Monday meeting scheduled </t>
  </si>
  <si>
    <t xml:space="preserve">Gali punjab di </t>
  </si>
  <si>
    <t>Haritha</t>
  </si>
  <si>
    <t xml:space="preserve">Area head is responsible for descion making,she said she will pass the info I will follow up her </t>
  </si>
  <si>
    <t xml:space="preserve">Polar bear the ice cream sundae zone </t>
  </si>
  <si>
    <t>Meghana non veg parcels</t>
  </si>
  <si>
    <t xml:space="preserve">Shekhar </t>
  </si>
  <si>
    <t>They are not interested right now due to losses by Swiggy and zomato</t>
  </si>
  <si>
    <t>Satyam</t>
  </si>
  <si>
    <t xml:space="preserve">Satyam foods </t>
  </si>
  <si>
    <t xml:space="preserve">Bamma Tiffins </t>
  </si>
  <si>
    <t xml:space="preserve">Emerald food house </t>
  </si>
  <si>
    <t>93461 12262</t>
  </si>
  <si>
    <t>5G Patiala Plate North Indian</t>
  </si>
  <si>
    <t>Jaffar</t>
  </si>
  <si>
    <t xml:space="preserve">Manager need to discuss with owner </t>
  </si>
  <si>
    <t xml:space="preserve">Patiala plate </t>
  </si>
  <si>
    <t>Lassi and shakes</t>
  </si>
  <si>
    <t>Jamindar</t>
  </si>
  <si>
    <t>75699 96701</t>
  </si>
  <si>
    <t>Ramana</t>
  </si>
  <si>
    <t>Hanuman juice point</t>
  </si>
  <si>
    <t xml:space="preserve">Sai Kiran </t>
  </si>
  <si>
    <t>Trigunas kitchen</t>
  </si>
  <si>
    <t xml:space="preserve">Ramakrishna </t>
  </si>
  <si>
    <t>Chaayos</t>
  </si>
  <si>
    <t>Raagam foods</t>
  </si>
  <si>
    <t>https://share.google/NGYbU0jsM5QQzbN2H</t>
  </si>
  <si>
    <t>Lead</t>
  </si>
  <si>
    <t xml:space="preserve">Lead </t>
  </si>
  <si>
    <t>The spicy venue</t>
  </si>
  <si>
    <t>https://share.google/Rak1DxkX5m16fu3uV</t>
  </si>
  <si>
    <t>Lead murali</t>
  </si>
  <si>
    <t>Sri Kanya comfort</t>
  </si>
  <si>
    <t>samdar</t>
  </si>
  <si>
    <t xml:space="preserve">AFTER 3 PM OWNER WILL BE AVAILABLE </t>
  </si>
  <si>
    <t xml:space="preserve">mayur sweets and dry fruits </t>
  </si>
  <si>
    <t>GANESH</t>
  </si>
  <si>
    <t>NOT INTERESTED IN ONLINE PLATFORM</t>
  </si>
  <si>
    <t xml:space="preserve"> ganesh virat food court</t>
  </si>
  <si>
    <t>https://share.google/CHy1tdi4IZ9qchmkI</t>
  </si>
  <si>
    <t xml:space="preserve">Lead murali </t>
  </si>
  <si>
    <t>lead</t>
  </si>
  <si>
    <t>Itihaas Restaurant and Banquets</t>
  </si>
  <si>
    <t xml:space="preserve">ranjan </t>
  </si>
  <si>
    <t>Owner  will be available after7</t>
  </si>
  <si>
    <t xml:space="preserve">chai nagri </t>
  </si>
  <si>
    <t>http://www.alanati.in/</t>
  </si>
  <si>
    <t>Alanati</t>
  </si>
  <si>
    <t>https://share.google/M0vWSrt6a1iawTVxb</t>
  </si>
  <si>
    <t xml:space="preserve">Gumagumalu </t>
  </si>
  <si>
    <t>Durga</t>
  </si>
  <si>
    <t>Chopsticks</t>
  </si>
  <si>
    <t>Parchuri foods</t>
  </si>
  <si>
    <t>Shop No 03, near Golden Temple Road, beside of Gowtham model school, Sri Ram Nagar Colony, Puppalguda, Manikonda, Hyderabad, Telangana 500089</t>
  </si>
  <si>
    <t xml:space="preserve">Madhushekar </t>
  </si>
  <si>
    <t>7680-006511</t>
  </si>
  <si>
    <t xml:space="preserve">Nakshtra Tiffins </t>
  </si>
  <si>
    <t xml:space="preserve">Bakers Town </t>
  </si>
  <si>
    <t>Golden Temple Rd, Secretariat Colony, KPR Colony, Puppalguda, Manikonda, Hyderabad, Telangana 500089</t>
  </si>
  <si>
    <t xml:space="preserve">Sudhakar reddy </t>
  </si>
  <si>
    <t xml:space="preserve">Nellore Padmvati Ruchlu </t>
  </si>
  <si>
    <t xml:space="preserve">Cake Walkers </t>
  </si>
  <si>
    <t>Chef’s Desk</t>
  </si>
  <si>
    <t xml:space="preserve">Ravi Kumar </t>
  </si>
  <si>
    <t>velagapudi6@gmail.com</t>
  </si>
  <si>
    <t>Needs to submit docs</t>
  </si>
  <si>
    <t>Mother’s Kitchen</t>
  </si>
  <si>
    <t>Chef’s desk</t>
  </si>
  <si>
    <t>Ravi Kumar</t>
  </si>
  <si>
    <t>Velagapudi6@gmail.com</t>
  </si>
  <si>
    <t>Vindhu Maharaj</t>
  </si>
  <si>
    <t>https://maps.app.goo.gl/J3Wsvxeh1yxFtzcG9?g_st=ic</t>
  </si>
  <si>
    <t>amoghacafe@gmail.com</t>
  </si>
  <si>
    <t>He will give the documents after app lauch</t>
  </si>
  <si>
    <t xml:space="preserve">Amogha Cafe and restaurant </t>
  </si>
  <si>
    <t>https://maps.app.goo.gl/owvSW6ouv6EYP9Py5?g_st=ic</t>
  </si>
  <si>
    <t>https://drive.google.com/open?id=1lRsfS8PW2rGv9OdqTH2xf99j_u_nNw-E</t>
  </si>
  <si>
    <t xml:space="preserve">Sri Aadhya Delicious </t>
  </si>
  <si>
    <t xml:space="preserve">Sri Aadhaya Delicious </t>
  </si>
  <si>
    <t>Sridar</t>
  </si>
  <si>
    <t>Wow! Vadapav</t>
  </si>
  <si>
    <t>Anad</t>
  </si>
  <si>
    <t xml:space="preserve">Creative Home Baker’s </t>
  </si>
  <si>
    <t>Wrappy</t>
  </si>
  <si>
    <t>c.sivakarthik@gmail.com</t>
  </si>
  <si>
    <t>Raj Darbar</t>
  </si>
  <si>
    <t xml:space="preserve">Kalyani </t>
  </si>
  <si>
    <t xml:space="preserve">Fuel smoke House </t>
  </si>
  <si>
    <t>Sri Krishna</t>
  </si>
  <si>
    <t>Info@omsreesaifoods.com</t>
  </si>
  <si>
    <t>Om sree Sai foods</t>
  </si>
  <si>
    <t>Swiggy, Zomato, None</t>
  </si>
  <si>
    <t xml:space="preserve">Kedarnath reddy </t>
  </si>
  <si>
    <t xml:space="preserve">Manduva Ruchulu </t>
  </si>
  <si>
    <t xml:space="preserve"> mohammed </t>
  </si>
  <si>
    <t>WILL ONBOARD ON MONDAY</t>
  </si>
  <si>
    <t xml:space="preserve"> dadas tiffin and fast food </t>
  </si>
  <si>
    <t>abhimanyu</t>
  </si>
  <si>
    <t xml:space="preserve">WILL ON BOARD ON MONDAY </t>
  </si>
  <si>
    <t xml:space="preserve"> Hotel shurbhi udpi</t>
  </si>
  <si>
    <t xml:space="preserve">sarbeena </t>
  </si>
  <si>
    <t>Owner will be available on monday at 11 am</t>
  </si>
  <si>
    <t xml:space="preserve">elite delight cafe </t>
  </si>
  <si>
    <t xml:space="preserve">suresh </t>
  </si>
  <si>
    <t>Will onborad at 6 pm</t>
  </si>
  <si>
    <t xml:space="preserve"> krishna grand  </t>
  </si>
  <si>
    <t>Pet poja</t>
  </si>
  <si>
    <t>https://maps.google.com/maps/place//data=!4m2!3m1!1s0x3bcb974d964ebe25:0xece3580d587566f?entry=s&amp;sa=X&amp;ved=2ahUKEwjugt--qtaSAxV3TGwGHaIQFDYQ4kB6BAgXEAA&amp;hl=en</t>
  </si>
  <si>
    <t>Rohan</t>
  </si>
  <si>
    <t>Ahsth</t>
  </si>
  <si>
    <t>Jubliee Hills</t>
  </si>
  <si>
    <t>Kadali kitchen</t>
  </si>
  <si>
    <t>City555</t>
  </si>
  <si>
    <t>Alif</t>
  </si>
  <si>
    <t>6281 334 972</t>
  </si>
  <si>
    <t>Ht</t>
  </si>
  <si>
    <t>15++ all restaurants</t>
  </si>
  <si>
    <t>City 555</t>
  </si>
  <si>
    <t xml:space="preserve">Imperial </t>
  </si>
  <si>
    <t>Arbar</t>
  </si>
  <si>
    <t xml:space="preserve"> 99086 02056</t>
  </si>
  <si>
    <t>Already I came and discussed With Manager</t>
  </si>
  <si>
    <t xml:space="preserve">Imperative </t>
  </si>
  <si>
    <t>Gm</t>
  </si>
  <si>
    <t>Dwarak Res</t>
  </si>
  <si>
    <t>Hyder</t>
  </si>
  <si>
    <t>Banjara hills</t>
  </si>
  <si>
    <t>Hyderabad wala</t>
  </si>
  <si>
    <t>Syder</t>
  </si>
  <si>
    <t>Mana O Salv</t>
  </si>
  <si>
    <t>Sunny</t>
  </si>
  <si>
    <t>Sree Balaji Tiffins</t>
  </si>
  <si>
    <t>Sudhakar</t>
  </si>
  <si>
    <t>Palnodu Caterers</t>
  </si>
  <si>
    <t>The Bombay Chaat</t>
  </si>
  <si>
    <t>Ragvendra</t>
  </si>
  <si>
    <t xml:space="preserve">Sangeeth Kitchen </t>
  </si>
  <si>
    <t>Bruvaka Tiffins</t>
  </si>
  <si>
    <t>Sri Raghavendra Cafe</t>
  </si>
  <si>
    <t>Errababu Pulavos</t>
  </si>
  <si>
    <t xml:space="preserve">After App launch </t>
  </si>
  <si>
    <t xml:space="preserve">Chittibabu Biryani </t>
  </si>
  <si>
    <t xml:space="preserve">Rama </t>
  </si>
  <si>
    <t>30260204123234536</t>
  </si>
  <si>
    <t>https://drive.google.com/open?id=15LQNQwFCSmtoa-ANPNjSw85OKSSf_V4h</t>
  </si>
  <si>
    <t>AHQPJ8887R</t>
  </si>
  <si>
    <t>https://drive.google.com/open?id=1sDrRhLZEmvz0XjP4BBf4HBBHVNAglB3S</t>
  </si>
  <si>
    <t>020101513526</t>
  </si>
  <si>
    <t>Icic0000069</t>
  </si>
  <si>
    <t>Rambabu ji</t>
  </si>
  <si>
    <t>8-3-222/8/76/G2 , Yousufguda Circle  No 19, Hyderabad, , Telangana,  500038</t>
  </si>
  <si>
    <t>Sahi nawabs biryani</t>
  </si>
  <si>
    <t>Gadu Rajugari Ruchulu</t>
  </si>
  <si>
    <t>Rajashekar</t>
  </si>
  <si>
    <t>Military Rajanna Hotel</t>
  </si>
  <si>
    <t>Ordermatic</t>
  </si>
  <si>
    <t>https://maps.app.goo.gl/hpXVVA38FNwEDCzNA</t>
  </si>
  <si>
    <t>Venkata reddy</t>
  </si>
  <si>
    <t>+91 94939 89362</t>
  </si>
  <si>
    <t>https://drive.google.com/open?id=1bYYNkuI4klJFNRxozmqIxILvA32fXEGy</t>
  </si>
  <si>
    <t>IDIB000H601</t>
  </si>
  <si>
    <t>Bulli abbai kodi palau</t>
  </si>
  <si>
    <t>venkat reddy</t>
  </si>
  <si>
    <t>Shop No 8-3-22/16A &amp; 16 B/6, Kavya  Deluxe Complex, Madhuranagar, Opp  Allahabad Bank, Yosufguda, Hyderabad -  500073 , Yousufguda Circle No 19,  Hyderabad, Telangana - 500073</t>
  </si>
  <si>
    <t>Bulli abbai kodi palav</t>
  </si>
  <si>
    <t>https://maps.app.goo.gl/fRG9MCSzy7tPywEL7</t>
  </si>
  <si>
    <t>Arun</t>
  </si>
  <si>
    <t>Arukhaflavours@gmail.com</t>
  </si>
  <si>
    <t>https://drive.google.com/open?id=1Y2r1fJ76bZRYNZ76UjnNFLyBLdtVuebW</t>
  </si>
  <si>
    <t>BSZPA3555N</t>
  </si>
  <si>
    <t>https://drive.google.com/open?id=14kcMFkw4Z8IDUJoLnnR9MRizu0k0-Bqy</t>
  </si>
  <si>
    <t>https://drive.google.com/open?id=1QQz-dSrn8BLxQJ2yneKFg763S5lFmEn9</t>
  </si>
  <si>
    <t>YESB0001315</t>
  </si>
  <si>
    <t>Arukha flavours</t>
  </si>
  <si>
    <t>8-3-633/82/1 ali nagar tawwakal nagar Yella reddy,guda hyd telegana 500073</t>
  </si>
  <si>
    <t xml:space="preserve">Arukha Flavours </t>
  </si>
  <si>
    <t>https://drive.google.com/open?id=1lckDHfTyIZ5yB82IYRdKjbdKZl3Jc_jX</t>
  </si>
  <si>
    <t>https://drive.google.com/open?id=1LGqkwoVNZb_k67wzigd4fkwMHJLGDjMy</t>
  </si>
  <si>
    <t>https://drive.google.com/open?id=1dYdxSEdKDP25VExUX-FmWdaIiSXHMgdB</t>
  </si>
  <si>
    <t xml:space="preserve">Arukha flavours </t>
  </si>
  <si>
    <t>Amma chethi Ruchulu</t>
  </si>
  <si>
    <t xml:space="preserve">Sravan reddy </t>
  </si>
  <si>
    <t>97034 33533</t>
  </si>
  <si>
    <t xml:space="preserve">Tara kitchen </t>
  </si>
  <si>
    <t xml:space="preserve">Hello Kafe </t>
  </si>
  <si>
    <t xml:space="preserve">Deva </t>
  </si>
  <si>
    <t>98492 42228</t>
  </si>
  <si>
    <t>Brew Gato</t>
  </si>
  <si>
    <t>https://drive.google.com/open?id=1yxAcSsnzIiU3Ql7cs-2Q1mpsTEeB95JQ</t>
  </si>
  <si>
    <t>https://drive.google.com/open?id=1lgW0kIjnPAZ5KLVH-CnWfgRd9KntwZz5</t>
  </si>
  <si>
    <t>https://drive.google.com/open?id=181YFkStbeQu9DiIOSorReiJkbKFB5kZE</t>
  </si>
  <si>
    <t>Akurha flavours</t>
  </si>
  <si>
    <t xml:space="preserve">Bhimavaram thali </t>
  </si>
  <si>
    <t>Satish</t>
  </si>
  <si>
    <t>sribhimavaramthali@gmail.com</t>
  </si>
  <si>
    <t>Bhimavaram thali onboarded at 22% ++</t>
  </si>
  <si>
    <t>Sr nagar</t>
  </si>
  <si>
    <t xml:space="preserve"> Bhimavaram thali </t>
  </si>
  <si>
    <t>badrachalam cafe</t>
  </si>
  <si>
    <t>raghuram</t>
  </si>
  <si>
    <t xml:space="preserve">badrachalam cafe </t>
  </si>
  <si>
    <t xml:space="preserve">mirza </t>
  </si>
  <si>
    <t>banjara hills</t>
  </si>
  <si>
    <t>laibas cafe</t>
  </si>
  <si>
    <t>2/13/0026</t>
  </si>
  <si>
    <t>rrr mandi</t>
  </si>
  <si>
    <t>bab al mandi</t>
  </si>
  <si>
    <t>fathima</t>
  </si>
  <si>
    <t xml:space="preserve">na </t>
  </si>
  <si>
    <t xml:space="preserve">arabian affairs </t>
  </si>
  <si>
    <t xml:space="preserve">sreenindhi fast food </t>
  </si>
  <si>
    <t>oven fresh bakery</t>
  </si>
  <si>
    <t xml:space="preserve">deepak </t>
  </si>
  <si>
    <t xml:space="preserve">oven fresh bakery </t>
  </si>
  <si>
    <t xml:space="preserve">irfaan </t>
  </si>
  <si>
    <t>langara house</t>
  </si>
  <si>
    <t xml:space="preserve">nawabi </t>
  </si>
  <si>
    <t xml:space="preserve">ashok </t>
  </si>
  <si>
    <t>langerhouse</t>
  </si>
  <si>
    <t xml:space="preserve">tealogy </t>
  </si>
  <si>
    <t>mohammed</t>
  </si>
  <si>
    <t>langerahouse</t>
  </si>
  <si>
    <t>bawarchi express</t>
  </si>
  <si>
    <t xml:space="preserve">shiva </t>
  </si>
  <si>
    <t xml:space="preserve">madhura restraunt bar </t>
  </si>
  <si>
    <t>shekar</t>
  </si>
  <si>
    <t xml:space="preserve">flavours of andhra </t>
  </si>
  <si>
    <t>nza</t>
  </si>
  <si>
    <t>vidhya sagar</t>
  </si>
  <si>
    <t>gismat jail</t>
  </si>
  <si>
    <t>shruthi</t>
  </si>
  <si>
    <t>kaaramthespicekitchen@gmail.com</t>
  </si>
  <si>
    <t>30260107122865276</t>
  </si>
  <si>
    <t>https://drive.google.com/open?id=1Y4KiVuvKsiEij0pmuN9chObs0R6zRWix</t>
  </si>
  <si>
    <t>QZQPS6238M</t>
  </si>
  <si>
    <t>https://drive.google.com/open?id=1YLzd-h6M_cVMp9BAWEwQEL6usbuyBhDk</t>
  </si>
  <si>
    <t>SEA/RAN/ACL/RR/1257597/2026</t>
  </si>
  <si>
    <t>https://drive.google.com/open?id=1BIYKKTui-geMacpBdE2bNO7Mgdto7mOH</t>
  </si>
  <si>
    <t>https://drive.google.com/open?id=1Km226MX9KwuUpcWS9pqTAKGqr92Mg0Y3</t>
  </si>
  <si>
    <t>https://drive.google.com/open?id=1GzwV68LZjE7yRgLhc0J8Np1acynTdVFG</t>
  </si>
  <si>
    <t>HDFC0006456</t>
  </si>
  <si>
    <t>HDFC BANK</t>
  </si>
  <si>
    <t>ONBOARDING DONE</t>
  </si>
  <si>
    <t>Plot no: 64, Opp. HP Petrol pump, Peeramcheruv, GANDHAMGUDA, Bandlaguda Jagir, Gandipet M, Gandipet, Rangareddy,, Telangana, 500086</t>
  </si>
  <si>
    <t xml:space="preserve">kaaram the authentic telangana spice kitchen </t>
  </si>
  <si>
    <t>Test</t>
  </si>
  <si>
    <t>amit.kaler@capsdelivery.com</t>
  </si>
  <si>
    <t xml:space="preserve">Test
</t>
  </si>
  <si>
    <t>Expired</t>
  </si>
  <si>
    <t xml:space="preserve">Vinni cabin cafe </t>
  </si>
  <si>
    <t xml:space="preserve">Vinesh </t>
  </si>
  <si>
    <t>+91 83746 28209</t>
  </si>
  <si>
    <t>avinesh363@gmail.com</t>
  </si>
  <si>
    <t>https://drive.google.com/open?id=1MLUUMknW2eGLiMy4-2efmMrFgAz1nhYH</t>
  </si>
  <si>
    <t>CMWPA0852L</t>
  </si>
  <si>
    <t>https://drive.google.com/open?id=1Lui1FIfU_zhdyYNbhdIUlGp6GG6Sfkc2</t>
  </si>
  <si>
    <t>https://drive.google.com/open?id=1YV_3V66B3IfEOWAvik5kQtmn72HGp0jh</t>
  </si>
  <si>
    <t>beside Paradise, Vinayak Nagar, Indira Nagar, Gachibowli, Hyderabad, Telangana 500032</t>
  </si>
  <si>
    <t xml:space="preserve">P rohit </t>
  </si>
  <si>
    <t xml:space="preserve">Indira Darshini tiffins </t>
  </si>
  <si>
    <t xml:space="preserve"> Aha Dakshin</t>
  </si>
  <si>
    <t>Swiggy &amp; Zomato</t>
  </si>
  <si>
    <t xml:space="preserve">Ajay </t>
  </si>
  <si>
    <t>94533 15094</t>
  </si>
  <si>
    <t>He is on leave asked comeback on 25th for onboarding</t>
  </si>
  <si>
    <t>Manisha Kumari</t>
  </si>
  <si>
    <t>Burger King</t>
  </si>
  <si>
    <t xml:space="preserve">Shoukat </t>
  </si>
  <si>
    <t>98498 82217</t>
  </si>
  <si>
    <t>Dheeraj</t>
  </si>
  <si>
    <t>81234 01137</t>
  </si>
  <si>
    <t>Asked to share the proposal</t>
  </si>
  <si>
    <t>manisha.kumari@capsdelivery.com</t>
  </si>
  <si>
    <t>WOW China</t>
  </si>
  <si>
    <t xml:space="preserve">Sudhanshu </t>
  </si>
  <si>
    <t xml:space="preserve">7848-873441 </t>
  </si>
  <si>
    <t>Faizan</t>
  </si>
  <si>
    <t xml:space="preserve">The Thickshake Factory </t>
  </si>
  <si>
    <t xml:space="preserve">Muzzammil </t>
  </si>
  <si>
    <t>824-7534864</t>
  </si>
  <si>
    <t>Asked to call on Thursday to check for an update (19/02/2026)</t>
  </si>
  <si>
    <t xml:space="preserve">The Spicy Express </t>
  </si>
  <si>
    <t>Frankie</t>
  </si>
  <si>
    <t>Mohan Singh</t>
  </si>
  <si>
    <t>92468 78121</t>
  </si>
  <si>
    <t>He was on leave asked to call tomorrow (17/02/2026)</t>
  </si>
  <si>
    <t>Venkateswar Rao</t>
  </si>
  <si>
    <t xml:space="preserve">Venkees kitchen </t>
  </si>
  <si>
    <t>Chandu</t>
  </si>
  <si>
    <t>After App lauch</t>
  </si>
  <si>
    <t>FireWater</t>
  </si>
  <si>
    <t>Fuel Box</t>
  </si>
  <si>
    <t>Khaan Saab</t>
  </si>
  <si>
    <t xml:space="preserve"> Yashwant sai</t>
  </si>
  <si>
    <t>Tried calling but he disconnected the call. Will calling him tomorrow (17/02/2026)</t>
  </si>
  <si>
    <t xml:space="preserve">Chai point </t>
  </si>
  <si>
    <t xml:space="preserve">Rakesh </t>
  </si>
  <si>
    <t>91827 69806</t>
  </si>
  <si>
    <t>Manager did not answer the call, however will try again tomorrow (17/02/2026)</t>
  </si>
  <si>
    <t xml:space="preserve">Onesta </t>
  </si>
  <si>
    <t xml:space="preserve">syed </t>
  </si>
  <si>
    <t>761-8754404</t>
  </si>
  <si>
    <t>Tried calling him but no response, will follow up tomorrow (17/02/2026)</t>
  </si>
  <si>
    <t>Sweet Basket</t>
  </si>
  <si>
    <t xml:space="preserve">Suraj </t>
  </si>
  <si>
    <t>90003 43427</t>
  </si>
  <si>
    <t xml:space="preserve">Agra Sweets </t>
  </si>
  <si>
    <t xml:space="preserve">Srinivas Reddy </t>
  </si>
  <si>
    <t>97804 55455</t>
  </si>
  <si>
    <t xml:space="preserve">Machili Patnam </t>
  </si>
  <si>
    <t xml:space="preserve">Charan </t>
  </si>
  <si>
    <t>93907 32422</t>
  </si>
  <si>
    <t xml:space="preserve">Big Byte </t>
  </si>
  <si>
    <t xml:space="preserve">Aditya </t>
  </si>
  <si>
    <t>863-9857988</t>
  </si>
  <si>
    <t xml:space="preserve">Amy’s cafe </t>
  </si>
  <si>
    <t xml:space="preserve">Tosh e Daan </t>
  </si>
  <si>
    <t>Priyan</t>
  </si>
  <si>
    <t>80087 45888</t>
  </si>
  <si>
    <t xml:space="preserve">Tteok bokki </t>
  </si>
  <si>
    <t xml:space="preserve">Bakers Harvest </t>
  </si>
  <si>
    <t>Ragav</t>
  </si>
  <si>
    <t>Langar Hous</t>
  </si>
  <si>
    <t>Sri Raghavendra Bhavan</t>
  </si>
  <si>
    <t>Mohammed khaleel</t>
  </si>
  <si>
    <t>https://drive.google.com/open?id=1E0YyvYuvkww1Vl4LmBKqT1b-yVnr6XXq</t>
  </si>
  <si>
    <t>GQUPK8220G</t>
  </si>
  <si>
    <t>https://drive.google.com/open?id=1cKpMV49fCKB-o1IzWrDE-ogDddLX-IEP</t>
  </si>
  <si>
    <t>https://drive.google.com/open?id=1jX4__Ei1uQlFS5DZI3VjqtlXUCBm3Zoe</t>
  </si>
  <si>
    <t>https://drive.google.com/open?id=1zu_M2fRUfLRdFPZfETU9gn84XXlL3P0m</t>
  </si>
  <si>
    <t>Hafzeepet</t>
  </si>
  <si>
    <t>Kings Kohinoor Hotels</t>
  </si>
  <si>
    <t>7th Heaven &amp; white hart</t>
  </si>
  <si>
    <t>Srikant Reddy</t>
  </si>
  <si>
    <t>70705 67056</t>
  </si>
  <si>
    <t>Asked to share the proposal after that he will connect back with us</t>
  </si>
  <si>
    <t>Amit</t>
  </si>
  <si>
    <t xml:space="preserve">Khajaguda </t>
  </si>
  <si>
    <t xml:space="preserve">Swad of Grandma </t>
  </si>
  <si>
    <t>Burfi ghar</t>
  </si>
  <si>
    <t>megha</t>
  </si>
  <si>
    <t>preeti tiffins</t>
  </si>
  <si>
    <t>Meenakshi Bamboos, opposite AIG Hospital &amp; Antera, Bamboos, Phase 2, Gachibowli, Hyderabad, Telangana 500032</t>
  </si>
  <si>
    <t>Andhra canteen</t>
  </si>
  <si>
    <t xml:space="preserve"> fire and ice  ice cream </t>
  </si>
  <si>
    <t>azhar</t>
  </si>
  <si>
    <t xml:space="preserve"> 84649 15054</t>
  </si>
  <si>
    <t xml:space="preserve"> fire and ice cream </t>
  </si>
  <si>
    <t>Bakers harvest</t>
  </si>
  <si>
    <t>Teja</t>
  </si>
  <si>
    <t>Bakers Harvest</t>
  </si>
  <si>
    <t>ashish</t>
  </si>
  <si>
    <t>OWNER WILL BE AVAILABLE  AFTER 8</t>
  </si>
  <si>
    <t xml:space="preserve">minerva  sweet </t>
  </si>
  <si>
    <t>Ashish</t>
  </si>
  <si>
    <t>Kodi kura chitti gaare</t>
  </si>
  <si>
    <t>Hope in a cup</t>
  </si>
  <si>
    <t>Deccan Dhaba</t>
  </si>
  <si>
    <t>VENKETESH</t>
  </si>
  <si>
    <t>832 856 8920</t>
  </si>
  <si>
    <t>Rathodvenkat62@gmail.com</t>
  </si>
  <si>
    <t>https://drive.google.com/open?id=1WyRpq7Y9UlNtgHY06tO1Rf-kj6bCjxqg</t>
  </si>
  <si>
    <t>CSYPM7177G</t>
  </si>
  <si>
    <t>https://drive.google.com/open?id=1a4jrdCpp0mdyelv-EXaW5gTBFvJFBFj8</t>
  </si>
  <si>
    <t>MENU COLLECTION</t>
  </si>
  <si>
    <t>HNO 3-3/55 TULJA BHAVANI NILAYAM VINAYAKA NAGAR COLONY BANDLAGUDA JAGIR RAJENDRA NAGER RANGA REDDY , Gandipet, Rangareddi, Telangana-500086</t>
  </si>
  <si>
    <t>LANGER HOUSE</t>
  </si>
  <si>
    <t xml:space="preserve">priyansh fast food </t>
  </si>
  <si>
    <t xml:space="preserve">Gurvinder Singh </t>
  </si>
  <si>
    <t>Goulidoddi</t>
  </si>
  <si>
    <t xml:space="preserve">Sardarji kitchen </t>
  </si>
  <si>
    <t>https://www.google.com/maps/place/Mysore+bakery/@17.3618028,78.3870037,17z/data=!3m1!4b1!4m6!3m5!1s0x3bcb9768cdcae48b:0xb25ceaf90e26b101!8m2!3d17.3617977!4d78.3895786!16s%2Fg%2F11qqgqx9sb?entry=ttu&amp;g_ep=EgoyMDI2MDIxMS4wIKXMDSoASAFQAw%3D%3D</t>
  </si>
  <si>
    <t>DINESH</t>
  </si>
  <si>
    <t>https://drive.google.com/open?id=1d95a7vRIcXsPASPsC4bzqOyFhSVR4OSZ</t>
  </si>
  <si>
    <t>BNVPK3956Q</t>
  </si>
  <si>
    <t>https://drive.google.com/open?id=1Ob5ZsFBnNcbO1RXlHH9F9alkofaUv9JU</t>
  </si>
  <si>
    <t>https://drive.google.com/open?id=1dxElB3vRZ1tS6RVyXUrVqeRnYh81rGTu</t>
  </si>
  <si>
    <t>SBIN0021357</t>
  </si>
  <si>
    <t>C DINESH KUMAR</t>
  </si>
  <si>
    <t>100, Himgiry Nagar Colony Rd, Himagiri Nagar, Shanthinagar Colony, Raghuram Nagar Colony, Hydershakote, Bandlaguda Jagir, Telangana 500091</t>
  </si>
  <si>
    <t xml:space="preserve">mysore bakery </t>
  </si>
  <si>
    <t xml:space="preserve">Sultan </t>
  </si>
  <si>
    <t>Gaulidoodi</t>
  </si>
  <si>
    <t xml:space="preserve">Kingston Restaurant </t>
  </si>
  <si>
    <t xml:space="preserve">Santhosh </t>
  </si>
  <si>
    <t xml:space="preserve">Gaulidoodi </t>
  </si>
  <si>
    <t xml:space="preserve">Akshaya bhojanam </t>
  </si>
  <si>
    <t>NAWAB CAFETERIA</t>
  </si>
  <si>
    <t>IRFAN</t>
  </si>
  <si>
    <t>+91 891 919 3385</t>
  </si>
  <si>
    <t>mohammedirfan5731@gmail.com</t>
  </si>
  <si>
    <t>ASKED TO COME 5 PM</t>
  </si>
  <si>
    <t>Sri ram</t>
  </si>
  <si>
    <t>They are developing there own app</t>
  </si>
  <si>
    <t>Bejjawada junction</t>
  </si>
  <si>
    <t>Urban Piper</t>
  </si>
  <si>
    <t>https://share.google/Dw0aunpNz3KYzSitm</t>
  </si>
  <si>
    <t>Hard Rock Cafe</t>
  </si>
  <si>
    <t>T Naveen Kumar</t>
  </si>
  <si>
    <t>om.hrchyd@jsmcorp.in</t>
  </si>
  <si>
    <t>Asked to share the proposal over the email</t>
  </si>
  <si>
    <t xml:space="preserve">Deerga Ayushman bhava </t>
  </si>
  <si>
    <t xml:space="preserve">Srinivas </t>
  </si>
  <si>
    <t>+91 96180 84946</t>
  </si>
  <si>
    <t xml:space="preserve">Onboarding will be done tomorrow </t>
  </si>
  <si>
    <t xml:space="preserve">Onboarding </t>
  </si>
  <si>
    <t>I should call him tomorrow at 1:00 regarding an update from his side</t>
  </si>
  <si>
    <t>I am following up  as he said he'll convey the msg to his owners</t>
  </si>
  <si>
    <t xml:space="preserve">Hari dosa </t>
  </si>
  <si>
    <t>Hari palve</t>
  </si>
  <si>
    <t>+917702428848</t>
  </si>
  <si>
    <t>He asked for two days time regarding the decision. Will follow him up</t>
  </si>
  <si>
    <t xml:space="preserve">He asked for two days time regarding the decision </t>
  </si>
  <si>
    <t>Hari dosa</t>
  </si>
  <si>
    <t>The receptionist asked me to call tomorrow at 11am for checking the availability of the owner</t>
  </si>
  <si>
    <t>90595 55171</t>
  </si>
  <si>
    <t xml:space="preserve">He has asked for time regarding the decision but he is interested . I will follow up the day after tomorrow </t>
  </si>
  <si>
    <t xml:space="preserve">He has asked for time regarding the decision but he is interested </t>
  </si>
  <si>
    <t xml:space="preserve">Rainbow mandi </t>
  </si>
  <si>
    <t xml:space="preserve">Divya </t>
  </si>
  <si>
    <t xml:space="preserve">They have agreed to onboard next Monday </t>
  </si>
  <si>
    <t xml:space="preserve">They have agreed for onboarding on next Monday </t>
  </si>
  <si>
    <t>Surendra</t>
  </si>
  <si>
    <t>+919127893278</t>
  </si>
  <si>
    <t xml:space="preserve">I should call Mr Surendra owner tomorrow </t>
  </si>
  <si>
    <t xml:space="preserve">Raagam foods </t>
  </si>
  <si>
    <t xml:space="preserve">I should call him tomorrow for appointment </t>
  </si>
  <si>
    <t>This restaurant's owner has been postponing onboarding from the last 3 days</t>
  </si>
  <si>
    <t>Onboarding</t>
  </si>
  <si>
    <t xml:space="preserve">Venu </t>
  </si>
  <si>
    <t xml:space="preserve">Mr venu has asked me to meet after 4 pm tomorrow </t>
  </si>
  <si>
    <t xml:space="preserve">Onboarding discussion </t>
  </si>
  <si>
    <t>Qubz</t>
  </si>
  <si>
    <t>Hemanth</t>
  </si>
  <si>
    <t>81425 20056</t>
  </si>
  <si>
    <t>He has asked me to call and come tomorrow after 4pm</t>
  </si>
  <si>
    <t xml:space="preserve">MAHENDRA </t>
  </si>
  <si>
    <t>91779 37307</t>
  </si>
  <si>
    <t>https://drive.google.com/open?id=1EXRoLkUeVUy1NFPvVCPy0gMxGzevA2zB</t>
  </si>
  <si>
    <t>36ADVPT3228M3ZN</t>
  </si>
  <si>
    <t>https://drive.google.com/open?id=1Xt_N59iQiL-ckJBW-gBNtWBQPr972Kl-</t>
  </si>
  <si>
    <t>ADVPT3228M</t>
  </si>
  <si>
    <t>https://drive.google.com/open?id=1SHS07UZY0g1n5LwrKZvE3xpK2gX8BWk0</t>
  </si>
  <si>
    <t>https://drive.google.com/open?id=1TG-6YHm1tSjM2QKx8bxcb5OsnRWbvTBx</t>
  </si>
  <si>
    <t>IOBA0001570</t>
  </si>
  <si>
    <t xml:space="preserve">INDIAN OVERSEAS </t>
  </si>
  <si>
    <t>TOKALA MAHENDRA REDDY</t>
  </si>
  <si>
    <t>Η NO: 1-124, KISMATHPUR, Rajendra Nagar circle No 11, Hyderabad, Telangana-500086</t>
  </si>
  <si>
    <t>LANGERA HOUSE</t>
  </si>
  <si>
    <t>THAKUR PRASHANTH SINGH</t>
  </si>
  <si>
    <t>90320 00555</t>
  </si>
  <si>
    <t>https://drive.google.com/open?id=1HrStDjCgHTofQeCbOBlxQbgfOzFz-65r</t>
  </si>
  <si>
    <t>CEBPSO666G</t>
  </si>
  <si>
    <t>https://drive.google.com/open?id=12ghaPXC0kCxeonRGdc1yrqfLQMmtnlTa</t>
  </si>
  <si>
    <t>NO.75,76 AND 77,DWARAKA NAGAR MAIN  ROAD,OPP;RAUS SCHOOL,BANDLAGUDA  JAGIR,GANDIPET  MANDAL,R.R.DIST-500086. , Gandipet,  Rangareddy, Telangana-500086</t>
  </si>
  <si>
    <t>LANGARA HOUSE</t>
  </si>
  <si>
    <t>SS BAWARCHI</t>
  </si>
  <si>
    <t xml:space="preserve">Mobile Application </t>
  </si>
  <si>
    <t>Sai Lakshmi</t>
  </si>
  <si>
    <t>lakshmisai349@gmail.com</t>
  </si>
  <si>
    <t>https://drive.google.com/open?id=1f5YEmi8R5RjXfuitMzBruEY8OzIZ72t8</t>
  </si>
  <si>
    <t>https://drive.google.com/open?id=1ecRpt3QjIY5PotmiNiHR1HBPyDPtQuvl</t>
  </si>
  <si>
    <t>https://drive.google.com/open?id=15hJdUQGf_fyRP9LiydLCMSi1StFZTTjv</t>
  </si>
  <si>
    <t xml:space="preserve">Al Aadaab Arabian Mandi Restaurant </t>
  </si>
  <si>
    <t>VENKATA PADMAVATHI</t>
  </si>
  <si>
    <t>padmakasa76@gmail.com</t>
  </si>
  <si>
    <t>https://drive.google.com/open?id=1WXzJB5jAq-ErFkqRSFDqCwMunYuUzXes</t>
  </si>
  <si>
    <t>HVVPK9099E</t>
  </si>
  <si>
    <t>https://drive.google.com/open?id=1zBdMZcQqrV-mArYvL02JEA_MH9zQNp7y</t>
  </si>
  <si>
    <t>DONE ONBORDING</t>
  </si>
  <si>
    <t xml:space="preserve"> H.No 5-68, Shanthi Nagar, Hydershakote ,  Bandlaguda  (Jagir) , Rajendranagar,  Rangareddi, Telangana-500091</t>
  </si>
  <si>
    <t>LANAGARA HOSUE</t>
  </si>
  <si>
    <t xml:space="preserve">SRI RAMANA MAHARSHI FOOD COURT </t>
  </si>
  <si>
    <t>ASHOK</t>
  </si>
  <si>
    <t>kothashok25@gmail.com</t>
  </si>
  <si>
    <t>https://drive.google.com/open?id=1RqIgGbKdS7V0393jSefvmGbOHW9VQV1S</t>
  </si>
  <si>
    <t>36AAZFT3952B1ZS</t>
  </si>
  <si>
    <t>https://drive.google.com/open?id=1U6JzgmUtu9GghBUA6vtVT1X_i_LLPJ_2</t>
  </si>
  <si>
    <t>AAZFT3952B</t>
  </si>
  <si>
    <t>https://drive.google.com/open?id=1cyQLytiQvsiU0vA4tc9EQj5yhuJDrOPW</t>
  </si>
  <si>
    <t>https://drive.google.com/open?id=1c5OX2uUNeQWX_ZBgExdNadzag4rWD5lN</t>
  </si>
  <si>
    <t>HDFC0001031</t>
  </si>
  <si>
    <t>HDFC</t>
  </si>
  <si>
    <t>KOTHA ASHOK</t>
  </si>
  <si>
    <t>kothaaashok25@gmail.com</t>
  </si>
  <si>
    <t>tealogy cafe</t>
  </si>
  <si>
    <t>shop No-101,plot No-36,St.Mincheals  colony,Bandlaguda , Gandipet,  Rangareddy, Telangana-500086</t>
  </si>
  <si>
    <t>TEAALOGY</t>
  </si>
  <si>
    <t xml:space="preserve">sheik sammer </t>
  </si>
  <si>
    <t>oakbistro0@gmail.com</t>
  </si>
  <si>
    <t>https://drive.google.com/open?id=1aG-dLFSw3LpAi8pn-Qwq1DOev6gi8frp</t>
  </si>
  <si>
    <t>AKWPF9205C</t>
  </si>
  <si>
    <t>https://drive.google.com/open?id=17tcFw2cINnz_Ih3bP9CBcgAGFyyMS4Ul</t>
  </si>
  <si>
    <t>https://drive.google.com/open?id=1DztSeMbfTMIHcNUCvl3ObaM0uq3Eem1t</t>
  </si>
  <si>
    <t xml:space="preserve">ONBOARDING </t>
  </si>
  <si>
    <t>PLOT NO- 1, DARGA KHALIJ KHAN, LV  PRASAD EYE INSTITUTE, H NO- 4, 200003,  KISMATPUR ROAD, BESIDE LVPEI ,  Gandipet, Rangareddy, Telangana-500086</t>
  </si>
  <si>
    <t>langarahouse</t>
  </si>
  <si>
    <t>oak bistro</t>
  </si>
  <si>
    <t>SHIHARI GOUD</t>
  </si>
  <si>
    <t>89789 36410</t>
  </si>
  <si>
    <t>https://drive.google.com/open?id=1fxLJs5jB-xpQQqYcyKiJa9ow9u28RGf_</t>
  </si>
  <si>
    <t>DEBPG9946D</t>
  </si>
  <si>
    <t>https://drive.google.com/open?id=1nLvd4DvtCUcB1ziwiCLawkm7WjK0wHT0</t>
  </si>
  <si>
    <t>https://drive.google.com/open?id=1s3qkv8BsnDod67ajNIztoNk4pVhhTL74</t>
  </si>
  <si>
    <t>SY NO . 20/AA WESTERN COLONY  GANDHAMGUDA  BANDLAGUDA  TELANGANA-500086 , Gandipet,  Rangareddy, Telangana-500086</t>
  </si>
  <si>
    <t xml:space="preserve">SHA SHA SHAWARMA </t>
  </si>
  <si>
    <t>ravi teja</t>
  </si>
  <si>
    <t>https://drive.google.com/open?id=1Bs5j9AK0RG5Hl2wupt4lloyhDgXIhyxN</t>
  </si>
  <si>
    <t>onbaorded</t>
  </si>
  <si>
    <t>SHOP NO:10, Abhuyudaya Nagar-Anandh  nagar colony-Himayathsagar village) ,  Gandipet, Rangareddy, Telangana-500075</t>
  </si>
  <si>
    <t xml:space="preserve">AROMA BIRYANIS PULAOS   </t>
  </si>
  <si>
    <t>urban pipers</t>
  </si>
  <si>
    <t xml:space="preserve">abhishek </t>
  </si>
  <si>
    <t>https://drive.google.com/open?id=15OcZoL691OxDeIQUq7hxTLlVkESpAFxU</t>
  </si>
  <si>
    <t>36ACIFA6493M1ZR</t>
  </si>
  <si>
    <t>https://drive.google.com/open?id=12_glf7ohtBGogh91v9HxkwCJo0GOxHT3</t>
  </si>
  <si>
    <t>ACIFA6493M</t>
  </si>
  <si>
    <t>https://drive.google.com/open?id=1QXAlKpIBQInBixggqbC_jI6MPRubZ-Dv</t>
  </si>
  <si>
    <t>https://drive.google.com/open?id=1iSONILkt5lH4Z6I8zgC4f5FG-WyYCWjD</t>
  </si>
  <si>
    <t>Office Shop No 1 2 3 4 ,H No  5-6-69870,Bandlaguda Jagir, Rangareddy,  Telangana-500091</t>
  </si>
  <si>
    <t>flavours of andhra</t>
  </si>
  <si>
    <t>google.com/maps?gs_lcrp=EgZjaHJvbWUyBggAEEUYOTIICAEQABgWGB4yCAgCEAAYFhgeMggIAxAAGBYYHjIICAQQABgWGB4yCAgFEAAYFhgeMggIBhAAGBYYHjIICAcQABgWGB4yCAgIEAAYFhgeMggICRAAGBYYHtIBCDc0MDBqMGo3qAIAsAIA&amp;um=1&amp;ie=UTF-8&amp;fb=1&amp;gl=in&amp;sa=X&amp;geocode=KRHLCwtbkcs7MQxXM_ZqyHLw&amp;daddr=8-2-293/82/A/1181,+Road+No.+45+Jubilee+Hills,+Jubilee+Hills,+Hyderabad,+Telangana+500033</t>
  </si>
  <si>
    <t>Rajan</t>
  </si>
  <si>
    <t>97034 45554</t>
  </si>
  <si>
    <t>Jubleii Hills</t>
  </si>
  <si>
    <t>Daily Rituals</t>
  </si>
  <si>
    <t>99855 59905</t>
  </si>
  <si>
    <t>Tiffins and more</t>
  </si>
  <si>
    <t>Darik</t>
  </si>
  <si>
    <t xml:space="preserve">Dwaraka Restuarant </t>
  </si>
  <si>
    <t>Swamy</t>
  </si>
  <si>
    <t>Intrested to Onboard</t>
  </si>
  <si>
    <t>Special 9</t>
  </si>
  <si>
    <t>Rohith</t>
  </si>
  <si>
    <t>Discussion done with manager,he need to discuss with head a</t>
  </si>
  <si>
    <t>special 9</t>
  </si>
  <si>
    <t>Saharsh udipi</t>
  </si>
  <si>
    <t>Manager was not available</t>
  </si>
  <si>
    <t>Manager was not available,following to connect him</t>
  </si>
  <si>
    <t>My bowl</t>
  </si>
  <si>
    <t>Pala pitta ruchulu</t>
  </si>
  <si>
    <t>Manne hanumanth</t>
  </si>
  <si>
    <t>Palapitta ruchulu</t>
  </si>
  <si>
    <t>Patnam ruchulu</t>
  </si>
  <si>
    <t>Nithesh</t>
  </si>
  <si>
    <t>Manager was not available,following up</t>
  </si>
  <si>
    <t>Kodi kura chitti gare</t>
  </si>
  <si>
    <t>Niranjan</t>
  </si>
  <si>
    <t>following up to fix intro meeting</t>
  </si>
  <si>
    <t>Noufa</t>
  </si>
  <si>
    <t>following up 17/02/2026</t>
  </si>
  <si>
    <t>Shawarma burger</t>
  </si>
  <si>
    <t>Vishnu</t>
  </si>
  <si>
    <t>Cafe Ikigai</t>
  </si>
  <si>
    <t>Descion maker will be available at athapur branch,they have 14 outlets</t>
  </si>
  <si>
    <t>Barbeque nation</t>
  </si>
  <si>
    <t>Khaleel</t>
  </si>
  <si>
    <t>They are not doing any online orders</t>
  </si>
  <si>
    <t>DID LI Arabian kitchen</t>
  </si>
  <si>
    <t>They are developing the food app</t>
  </si>
  <si>
    <t>Bejawada junction</t>
  </si>
  <si>
    <t>Call back next week on monday</t>
  </si>
  <si>
    <t>Tadipathri biryani</t>
  </si>
  <si>
    <t>Pandaga</t>
  </si>
  <si>
    <t>sai</t>
  </si>
  <si>
    <t>Need to send proposal</t>
  </si>
  <si>
    <t>Sorse</t>
  </si>
  <si>
    <t>Koushilk</t>
  </si>
  <si>
    <t>Discussion done with manager and he need to discuss with owner</t>
  </si>
  <si>
    <t>petpooja</t>
  </si>
  <si>
    <t>Prop, Partnership</t>
  </si>
  <si>
    <t>Udipi's Upahar, Kondapur, Haanuman Nagar, Silpa Park, Hafeezpet, Hyderabad, Telangana 500084</t>
  </si>
  <si>
    <t xml:space="preserve">Sukant </t>
  </si>
  <si>
    <t>sukant@udupi.com</t>
  </si>
  <si>
    <t>Partner should be onboarded by the next meeting</t>
  </si>
  <si>
    <t>anisha.poddar@capsdelivery.com</t>
  </si>
  <si>
    <t>200++</t>
  </si>
  <si>
    <t>Udupi restaurant</t>
  </si>
  <si>
    <t>https://www.google.com/maps?gs_lcrp=EgZjaHJvbWUqDQgBEC4YrwEYxwEYgAQyCggAEEUYFhgeGDkyDQgBEC4YrwEYxwEYgAQyBwgCEAAYgAQyBwgDEAAYgAQyBwgEEAAYgAQyCAgFEAAYFhgeMggIBhAAGBYYHjIICAcQABgWGB4yCAgIEAAYFhge0gEJMTc0OTdqMGo3qAIIsAIB8QVsLCl7Jib_JQ&amp;um=1&amp;ie=UTF-8&amp;fb=1&amp;gl=in&amp;sa=X&amp;geocode=KRnXhiy4kcs7MRTcZ3ygvDfN&amp;daddr=Shop+No.+S-16,+Second+Floor,+Level+4,+Inorbit+Mall+Mindspace,+Cyberabad,+Madhapur,+Hyderabad,+Telangana+500081</t>
  </si>
  <si>
    <t>Kishan Negi (Head Office POC)</t>
  </si>
  <si>
    <t>Rajan (Asst. Rest. Manager)</t>
  </si>
  <si>
    <t>Call Mr. Kishan</t>
  </si>
  <si>
    <t xml:space="preserve">Call Mr. Kishan </t>
  </si>
  <si>
    <t>Hi-tech city</t>
  </si>
  <si>
    <t>Cafe Delhi Heights</t>
  </si>
  <si>
    <t>https://www.google.com/maps?sca_esv=d6eb6bac57f34326&amp;sxsrf=ANbL-n4B5OSWpuRwcNbMRnTof1uYTLjeBg:1771311097540&amp;biw=1470&amp;bih=723&amp;uact=5&amp;gs_lp=Egxnd3Mtd2l6LXNlcnAiFWNodXRuZXlzIGlub3JiaXQgbWFsbDILEC4YgAQYxwEYrwEyBRAAGIAEMgYQABgHGB4yBBAAGB4yBBAAGB4yAhAmMgIQJjILEAAYgAQYhgMYigUyCxAAGIAEGIYDGIoFMgUQABjvBTIaEC4YgAQYxwEYrwEYlwUY3AQY3gQY4ATYAQFInwlQAFivB3AAeAGQAQCYAX6gAfgGqgEDMy41uAEDyAEA-AEBmAIGoALYBcICDRAuGIAEGMcBGA0YrwHCAgcQABiABBgNwgIcEC4YgAQYxwEYDRivARiXBRjcBBjeBBjgBNgBAZgDALoGBggBEAEYFJIHAzEuNaAHz0WyBwMxLjW4B9gFwgcFMi00LjLIByWACAA&amp;um=1&amp;ie=UTF-8&amp;fb=1&amp;gl=in&amp;sa=X&amp;geocode=KcOruzNYkcs7MWMzMvunEor6&amp;daddr=Inorbit+Mall+Rd,+Mind+Space,+Vittal+Rao+Nagar,+HITEC+City,+Hyderabad,+Telangana+500081</t>
  </si>
  <si>
    <t>Gaffar Khan</t>
  </si>
  <si>
    <t>Call Mr. Gaffar and meet him at 5 pm at Jubliee Hills office</t>
  </si>
  <si>
    <t>Call and meet Mr. Gaffar</t>
  </si>
  <si>
    <t>Hi-Tech City</t>
  </si>
  <si>
    <t>Chutnety's</t>
  </si>
  <si>
    <t>Call Centre</t>
  </si>
  <si>
    <t>Call again</t>
  </si>
  <si>
    <t>Connect to call centre and fix meeting with area manager</t>
  </si>
  <si>
    <t>Starbucks</t>
  </si>
  <si>
    <t>https://www.google.com/maps?gs_lcrp=EgZjaHJvbWUyBggAEEUYOTIJCAEQIRgKGKABMgkIAhAhGAoYoAEyBwgDECEYjwIyBwgEECEYjwIyBwgFECEYjwLSAQgzNDk1ajBqNKgCALACAQ&amp;um=1&amp;ie=UTF-8&amp;fb=1&amp;gl=in&amp;sa=X&amp;geocode=KZWrt9Rxkcs7MVfIMjfyFA-9&amp;daddr=4th+Floor,+Inorbit+Mall,+Mindspace+Madhapur+Rd,+Mind+Space,+Madhapur,+Hyderabad,+Telangana+500081</t>
  </si>
  <si>
    <t>Gopi (Area Manager)</t>
  </si>
  <si>
    <t>Surya (Cashier)</t>
  </si>
  <si>
    <t>Call Mr. Gopi</t>
  </si>
  <si>
    <t>CAll Mr. Gopi</t>
  </si>
  <si>
    <t>Wisphot</t>
  </si>
  <si>
    <t>https://www.google.com/maps?sca_esv=d6eb6bac57f34326&amp;sxsrf=ANbL-n4yy65I9ZopH6s6emlSjdlh6FYi8g:1771311529307&amp;biw=1470&amp;bih=723&amp;uact=5&amp;gs_lp=Egxnd3Mtd2l6LXNlcnAiEGZvbyBpbm9yYml0IG1hbGwyCxAuGIAEGMcBGK8BMgUQABiABDIGEAAYBxgeMgYQABgHGB4yBhAAGAcYHjIEEAAYHjILEAAYgAQYhgMYigUyCxAAGIAEGIYDGIoFMgsQABiABBiGAxiKBTILEAAYgAQYhgMYigUyGhAuGIAEGMcBGK8BGJcFGNwEGN4EGOAE2AEBSMEFUABY2ANwAHgBkAEAmAGZAaABlgSqAQMwLjS4AQPIAQD4AQGYAgOgAqoDwgIKEAAYgAQYsQMYDcICExAuGIAEGLEDGMcBGA0YjgUYrwHCAgcQABiABBgNwgIQEC4YgAQYxwEYDRiOBRivAZgDAOIDBRIBMSBAugYGCAEQARgUkgcDMC4zoAeUOrIHAzAuM7gHqgPCBwUyLTIuMcgHEoAIAA&amp;um=1&amp;ie=UTF-8&amp;fb=1&amp;gl=in&amp;sa=X&amp;geocode=KUP5SZoUkcs7MTS3fLj-rgKR&amp;daddr=Level+4,+Inorbit+Mall+Cyberabad,+APIIC+Software+Layout,+Madhapur,+Hyderabad,+Telangana+500081</t>
  </si>
  <si>
    <t>Prajitesh (GM)</t>
  </si>
  <si>
    <t>Amitava (Entry Manager)</t>
  </si>
  <si>
    <t>Call Mr. Prajitesh</t>
  </si>
  <si>
    <t>Foo</t>
  </si>
  <si>
    <t>POSBANK</t>
  </si>
  <si>
    <t>https://www.google.com/maps?gs_lcrp=EgZjaHJvbWUyBggAEEUYOTIPCAEQLhgNGK8BGMcBGIAEMgkIAhAAGA0YgAQyCQgDEAAYDRiABDIJCAQQABgNGIAEMggIBRAAGBYYHjIICAYQABgWGB4yCAgHEAAYFhgeMggICBAAGBYYHtIBCDgwMDdqMGo0qAIAsAIA&amp;um=1&amp;ie=UTF-8&amp;fb=1&amp;gl=in&amp;sa=X&amp;geocode=KR1HXg5tkcs7MdTqStPsyZvd&amp;daddr=64,+Inorbit+Mall+Rd,+APIIC+Software+Layout,+Madhapur,+Hyderabad,+Telangana+500081</t>
  </si>
  <si>
    <t>Mahender (Area Manager)</t>
  </si>
  <si>
    <t>Raju Samba</t>
  </si>
  <si>
    <t>Call Mr. Mahendra</t>
  </si>
  <si>
    <t>Popoyes</t>
  </si>
  <si>
    <t>Paytm POS</t>
  </si>
  <si>
    <t>https://www.google.com/maps?sca_esv=d6eb6bac57f34326&amp;sxsrf=ANbL-n5KH_hAYgxz9splnQUSXuh-YowONw:1771311989973&amp;biw=1470&amp;bih=723&amp;uact=5&amp;gs_lp=Egxnd3Mtd2l6LXNlcnAiF21hZCBhYm91dCBjaGluYSBpbm9yYml0MgsQLhiABBjHARivATICECYyCBAAGIAEGKIEMggQABiABBiiBDIFEAAY7wUyGhAuGIAEGMcBGK8BGJcFGNwEGN4EGOAE2AEBSI1-UN0eWPB7cAV4AZABAJgB5AGgAdwaqgEGMi4yNS4xuAEDyAEA-AEBmAIeoAKBGcICChAAGLADGNYEGEfCAg0QABiwAxjWBBhHGMkDwgIOEAAYgAQYsAMYkgMYigXCAg0QLhiABBjHARgNGK8BwgIHEAAYgAQYDcICBhAAGA0YHsICCBAAGAgYDRgewgILEAAYgAQYhgMYigXCAhwQLhiABBjHARgNGK8BGJcFGNwEGN4EGOAE2AEBwgIIEAAYChgNGB7CAgYQABgHGB7CAgoQABiABBixAxgNwgITEC4YgAQYsQMYxwEYDRiOBRivAcICEBAuGIAEGMcBGA0YjgUYrwHCAg0QABiABBixAxhDGIoFwgILEAAYgAQYkQIYigXCAhEQLhiABBixAxjHARiOBRivAcICDhAuGIAEGMcBGI4FGK8BwgIKEAAYgAQYQxiKBcICBRAAGIAEwgIKECEYoAEYwwQYCsICCBAhGKABGMMEmAMA4gMFEgExIECIBgGQBgm6BgYIARABGBSSBwY2LjIzLjGgB762AbIHBjEuMjMuMbgH6hjCBwgwLjkuMjAuMcgHdoAIAA&amp;um=1&amp;ie=UTF-8&amp;fb=1&amp;gl=in&amp;sa=X&amp;geocode=Ke_AOC9Ykcs7MQ0o33OOijjt&amp;daddr=Inorbit+Mall+Rd,+Mind+Space,+HITEC+City,+Hyderabad,+Telangana+500081</t>
  </si>
  <si>
    <t>Ssanjeev Seth (GM)</t>
  </si>
  <si>
    <t>Pradeep (Shift Manager)</t>
  </si>
  <si>
    <t>Call Mr. Sanjeev post 11 am</t>
  </si>
  <si>
    <t>Call Mr. Sanjeev</t>
  </si>
  <si>
    <t>Mad about China +  Indian Tadka</t>
  </si>
  <si>
    <t>https://www.google.com/maps?sca_esv=d6eb6bac57f34326&amp;biw=1470&amp;bih=723&amp;sxsrf=ANbL-n4uhRq8CYMe_VjmiXbTIjoYRrhr_Q:1771312186517&amp;uact=5&amp;gs_lp=Egxnd3Mtd2l6LXNlcnAiEWtldmVudGVycyBpbm9yYml0Mg4QLhiABBjHARiOBRivATILEC4YgAQYxwEYrwEyBRAAGIAEMgQQABgeMgQQABgeMgQQABgeMgQQABgeMgQQABgeMgQQABgeMgQQABgeMh0QLhiABBjHARiOBRivARiXBRjcBBjeBBjgBNgBAUjaD1AAWOQNcAB4AJABAJgBygGgAcAIqgEFMi42LjG4AQPIAQD4AQGYAgmgAoAJwgIGEAAYBxgewgIQEC4YgAQYxwEYDRiOBRivAcICHxAuGIAEGMcBGA0YjgUYrwEYlwUY3AQY3gQY4ATYAQGYAwC6BgYIARABGBSSBwUwLjguMaAH9lyyBwUwLjguMbgHgAnCBwcwLjMuNS4xyAcwgAgA&amp;um=1&amp;ie=UTF-8&amp;fb=1&amp;gl=in&amp;sa=X&amp;geocode=KaORl9DBkcs7MeryFvP_eQrE&amp;daddr=Survey+No.+64,+APIIC+Software+Layout,+Madhapur,+Hyderabad,+Telangana+500081</t>
  </si>
  <si>
    <t>Sri Nivas (Area Manager)</t>
  </si>
  <si>
    <t>Syed Fouzan</t>
  </si>
  <si>
    <t>Call Sri Nivas</t>
  </si>
  <si>
    <t>Call Mr. Sri Nivas</t>
  </si>
  <si>
    <t>Keventers</t>
  </si>
  <si>
    <t>https://www.google.com/maps?gs_lcrp=EgZjaHJvbWUqBwgBECEYoAEyBggAEEUYOTIHCAEQIRigATIHCAIQIRigATIHCAMQIRigATIHCAQQIRigATIHCAUQIRiPAjIHCAYQIRiPAtIBCTE0Mzk2ajBqNKgCALACAA&amp;um=1&amp;ie=UTF-8&amp;fb=1&amp;gl=in&amp;sa=X&amp;geocode=KY0d_WHukcs7Mdgo-dk7ysUX&amp;daddr=L4,+Inorbit+Mall,+Inorbit+Mall+Rd,+Mind+Space,+Kavuri+Hills,+Madhapur,+Hyderabad,+Telangana+500081</t>
  </si>
  <si>
    <t>Mr. Amar (Area Manager)</t>
  </si>
  <si>
    <t>Charanjit (Shift Manager)</t>
  </si>
  <si>
    <t>No food deliveries on Inorbit location due to high demand and small kitchen need to approach for different locations</t>
  </si>
  <si>
    <t>Call Mr Amar</t>
  </si>
  <si>
    <t>California Burrito</t>
  </si>
  <si>
    <t>https://www.google.com/maps?gs_lcrp=EgZjaHJvbWUyBggAEEUYOTISCAEQLhgNGK8BGMcBGIAEGI4FMgkIAhAAGA0YgAQyCQgDEAAYDRiABDIJCAQQABgNGIAEMgkIBRAAGA0YgAQyCAgGEAAYFhgeMggIBxAAGBYYHjIICAgQABgWGB7SAQgzODUwajBqNKgCALACAA&amp;um=1&amp;ie=UTF-8&amp;fb=1&amp;gl=in&amp;sa=X&amp;geocode=KRmtG-nNk8s7MY6SesYBMWDP&amp;daddr=64,+APIIC+Software+Layout,+Inorbit+Mall+F+%26+B+14B,+Hi+Tech+City,+Madhapur,+Hyderabad,+Telangana+500081</t>
  </si>
  <si>
    <t>KSN Murthi (Delivery Manager)</t>
  </si>
  <si>
    <t>Ravi Teja (Area Manager)</t>
  </si>
  <si>
    <t xml:space="preserve">KFC coming up with their own delivery app have own delivery partners and third party tie ups for peaks. Need to connect with delivery manager </t>
  </si>
  <si>
    <t>Call Mr. KSN Murhi</t>
  </si>
  <si>
    <t>KFC Inorbit Mall</t>
  </si>
  <si>
    <t>https://www.google.com/maps?sca_esv=d6eb6bac57f34326&amp;sxsrf=ANbL-n7BVT6m7RNWJrGmzVXHAzXMfEDB9w:1771313119547&amp;biw=1470&amp;bih=723&amp;gs_lp=Egxnd3Mtd2l6LXNlcnAiEWdhYnJ1IGRpIGNoYWFwIEluKgIIADILEC4YgAQYxwEYrwEyCxAuGIAEGMcBGK8BMgUQABiABDIFEAAYgAQyBRAAGIAEMgsQLhiABBjHARivATIFEAAYgAQyBRAAGIAEMgYQABgWGB4yBhAAGBYYHjIaEC4YgAQYxwEYrwEYlwUY3AQY3gQY4ATYAQFIzUdQ9gFY-TtwAXgBkAEAmAGUAaABmQOqAQMwLjO4AQPIAQD4AQGYAgWgAtEOwgIKEAAYsAMY1gQYR8ICDRAAGLADGNYEGEcYyQPCAhAQABiABBiwAxiSAxhDGIoFwgIOEAAYgAQYsAMYkgMYigXCAg0QABiABBiwAxhDGIoFwgITEC4YgAQYsAMYQxjIAxiKBdgBAcICHBAuGIAEGLADGEMYxwEYyAMYigUYjgUYrwHYAQHCAhkQLhiABBiwAxjRAxhDGMcBGMgDGIoF2AEBwgIZEC4YgAQYsAMYQxjHARjIAxiKBRivAdgBAcICDhAAGLADGOQCGNYE2AEBwgIKEAAYgAQYQxiKBcICDRAAGIAEGEMYyQMYigXCAggQABiABBiSA8ICDhAuGIAEGMcBGI4FGK8BmAMAiAYBkAYTugYGCAEQARgIkgcHMS4zLjctMaAHkTGyBwMwLjO4B7MDwgcHMC4xLjMuMcgHF4AIAA&amp;um=1&amp;ie=UTF-8&amp;fb=1&amp;gl=in&amp;sa=X&amp;geocode=Kf__jy5Ykcs7MUbczbUEhGV-&amp;daddr=Inorbit+mall,+Food+court,+Mindspace,+HUDA+Techno+Enclave,+HITEC+City,+Hyderabad,+Telangana+500081</t>
  </si>
  <si>
    <t>Umar (Area Manager) (Generally Available at Sarascity Mall)</t>
  </si>
  <si>
    <t>Call Mr. Umar</t>
  </si>
  <si>
    <t>None, New Restaurant</t>
  </si>
  <si>
    <t>https://www.google.com/maps?sca_esv=d6eb6bac57f34326&amp;biw=1470&amp;bih=723&amp;sxsrf=ANbL-n6OSFptNvghbGoqHUIlXaLvaUZMkA:1771313504989&amp;uact=5&amp;gs_lp=Egxnd3Mtd2l6LXNlcnAiEnBsdXQwIGlub3JiaXQgbWFsbDIFEAAY7wUyCBAAGIAEGKIEMggQABiABBiiBDIIEAAYgAQYogRI_QdQ0AVY0AVwAXgBkAEAmAG4AaABuAGqAQMwLjG4AQPIAQD4AQGYAgKgAsEBwgIKEAAYsAMY1gQYR5gDAIgGAZAGCJIHAzEuMaAHgQSyBwMwLjG4B74BwgcFMC4xLjHIBwaACAA&amp;um=1&amp;ie=UTF-8&amp;fb=1&amp;gl=in&amp;sa=X&amp;geocode=KRFHbeYvl8s7MRNToRxpJy1_&amp;daddr=S+No.+64,+Inorbit+Mall,+Inorbit+Mall+Rd,+APIIC+Software+Layout,+Mindspace,+Madhapur,+Hyderabad,+Telangana+500081</t>
  </si>
  <si>
    <t>Vamsi (Owner)</t>
  </si>
  <si>
    <t>vamsiprince94944@gmail.com</t>
  </si>
  <si>
    <t>Call Mr. Vamsi share proposal on mail. He white labels soda for Swiggy's brand Noice now selling soda at there own counters 3 more counters planned</t>
  </si>
  <si>
    <t>Call Mr. Vamsi and share proposal on mail</t>
  </si>
  <si>
    <t>Pluto (Soda)</t>
  </si>
  <si>
    <t>Scantech</t>
  </si>
  <si>
    <t>https://www.google.com/maps?biw=1470&amp;bih=723&amp;sca_esv=d6eb6bac57f34326&amp;sxsrf=ANbL-n7z1uRNTkPoYZu0ed8tQc0S2iL6kg:1771313508929&amp;um=1&amp;ie=UTF-8&amp;fb=1&amp;gl=in&amp;sa=X&amp;geocode=KRf-pxRSkcs7MROeYlBUg-3s&amp;daddr=64,+Inorbit+Mall+Rd,+APIIC+Software+Layout,+Madhapur,+Hyderabad,+Telangana+500081</t>
  </si>
  <si>
    <t>Ameer (Area Manager)</t>
  </si>
  <si>
    <t>Brijesh Kumar</t>
  </si>
  <si>
    <t>Call Mr. Ameer</t>
  </si>
  <si>
    <t>The Yellow Straw</t>
  </si>
  <si>
    <t>https://www.google.com/maps?sca_esv=d6eb6bac57f34326&amp;sxsrf=ANbL-n6zMXS_xjfTwnoF_9GIZIWGUolzMg:1771313953825&amp;biw=1470&amp;bih=723&amp;uact=5&amp;gs_lp=Egxnd3Mtd2l6LXNlcnAiD2FtIGFoYSBpbiBvcmJpdDICECYyBRAAGO8FMgUQABjvBTIFEAAY7wUyCBAAGIAEGKIEMgUQABjvBUj7B1CvA1jEBnABeACQAQCYAaIBoAGiA6oBAzAuM7gBA8gBAPgBAZgCBKACtgPCAhAQLhiABBiwAxjHARgNGK8BwgIJEAAYsAMYDRgewgILEAAYsAMYBRgNGB7CAg0QABiwAxgFGAoYDRgewgILEAAYsAMYCBgNGB7CAgYQABgNGB6YAwCIBgGQBgeSBwMxLjOgB8QOsgcDMC4zuAexA8IHBTAuMS4zyAcMgAgA&amp;um=1&amp;ie=UTF-8&amp;fb=1&amp;gl=in&amp;sa=X&amp;geocode=KfVTvJL4kcs7MRjkfwJO-CAP&amp;daddr=4th+Floor,+64,+Inorbit+Mall+Rd,+APIIC+Software+Layout,+Madhapur,+Hyderabad,+Telangana+500081</t>
  </si>
  <si>
    <t>Mr. Laxman</t>
  </si>
  <si>
    <t>reference given by Miss Sandhya</t>
  </si>
  <si>
    <t>Call Mr. Laxman</t>
  </si>
  <si>
    <t>AM AHA</t>
  </si>
  <si>
    <t>Breeza (Exporex)</t>
  </si>
  <si>
    <t>https://www.google.com/maps?um=1&amp;ie=UTF-8&amp;fb=1&amp;gl=in&amp;sa=X&amp;geocode=KUF8vUYlkcs7MS0rNCnlKQ5i&amp;daddr=103,+104,+5th+Floor,+Inorbit+Mall,+Software+Units+Layout,+Madhapur,+Hyderabad,+Telangana+500081</t>
  </si>
  <si>
    <t>Mr. Pasha</t>
  </si>
  <si>
    <t>Mr. Sahoo</t>
  </si>
  <si>
    <t>Meet after calling Mr. Pasha</t>
  </si>
  <si>
    <t>Meet Mr, Pasha post 4 pm on Wednesday</t>
  </si>
  <si>
    <t>Amnesia Sky Bar</t>
  </si>
  <si>
    <t>In House</t>
  </si>
  <si>
    <t>https://www.google.com/maps?sca_esv=d6eb6bac57f34326&amp;biw=1470&amp;bih=723&amp;sxsrf=ANbL-n68xkf7rupxCnfQJmGSVa9MS1buSQ:1771314459815&amp;gs_lp=Egxnd3Mtd2l6LXNlcnAiFmFic29sdXRlIGJhcmJlY3VlIGlub3IqAggAMgsQLhiABBjHARivATILEAAYgAQYkQIYigUyBRAAGIAEMgYQABgWGB4yBhAAGBYYHjIGEAAYFhgeMgYQABgWGB4yBhAAGBYYHjIGEAAYFhgeMgIQJjIaEC4YgAQYxwEYrwEYlwUY3AQY3gQY4ATYAQFIzDJQtQRYyidwBHgBkAEAmAG0AaABggmqAQMwLji4AQPIAQD4AQGYAgygAtsJwgIKEAAYsAMY1gQYR8ICDRAAGIAEGLADGEMYigXCAg4QABiwAxjkAhjWBNgBAcICGRAuGIAEGLADGNEDGEMYxwEYyAMYigXYAQHCAhkQLhiABBiwAxhDGMcBGMgDGIoFGK8B2AEBwgIKEAAYgAQYQxiKBcICDhAuGIAEGMcBGI4FGK8BwgIREC4YgAQYkQIYxwEYigUYrwHCAiAQLhiABBiRAhjHARiKBRivARiXBRjcBBjeBBjgBNgBAcICBRAhGKABwgINEC4YgAQYxwEYDRivAcICBxAAGIAEGA3CAggQABgIGA0YHsICCxAAGIAEGIYDGIoFwgIFEAAY7wXCAhwQLhiABBjHARgNGK8BGJcFGNwEGN4EGOAE2AEBmAMAiAYBkAYTugYGCAEQARgJkgcDNC44oAeugAGyBwMwLji4B7wJwgcHMS4wLjkuMsgHQ4AIAA&amp;um=1&amp;ie=UTF-8&amp;fb=1&amp;gl=in&amp;sa=X&amp;geocode=KUUVztpJkcs7MSEwyK3fMx0Z&amp;daddr=T-02+fifth+floor,+Inorbit+Mall,+Software+Units+Layout,+Madhapur,+Hyderabad,+Telangana+500081</t>
  </si>
  <si>
    <t>Mr. Suraj (Territory Manager)</t>
  </si>
  <si>
    <t>Kabir (Shift Manager)</t>
  </si>
  <si>
    <t>Doing 12-13 L daily revenue over all branches with Swiggy and Zomato. Maximum sale is of Combo Box : AOV 1200. Ala carte 500</t>
  </si>
  <si>
    <t>Call Mr. Suraj</t>
  </si>
  <si>
    <t>Absolute Barbeque</t>
  </si>
  <si>
    <t>https://www.google.com/maps/dir//The+Game+Palacio,+Level+5,+Inorbit+Mall+Rd,+near+PVR+Cinema,+Software+Units+Layout,+HITEC+City,+Hyderabad,+Telangana+500081/@17.4391296,78.4859136,15z/data=!4m8!4m7!1m0!1m5!1m1!1s0x3bcb91b9b901e80d:0x5aebc4a84f5dfbba!2m2!1d78.3872005!2d17.4350874?entry=ttu&amp;g_ep=EgoyMDI2MDIxMS4wIKXMDSoASAFQAw%3D%3D</t>
  </si>
  <si>
    <t>Mr. Reeshav (Business Head)</t>
  </si>
  <si>
    <t>reeshav@pjhindia.com</t>
  </si>
  <si>
    <t>Mr. Jeet</t>
  </si>
  <si>
    <t>Not available on Swiggy and Zomato looking for onboarding on online delivery platform, 19 outlets Pan India . Mr. Reeshav is the Business Head handle lead with care</t>
  </si>
  <si>
    <t>Message Mr. Reeshav get appointment, share proposal on Email</t>
  </si>
  <si>
    <t>Game Palacio</t>
  </si>
  <si>
    <t>http//</t>
  </si>
  <si>
    <t>Haldirams</t>
  </si>
  <si>
    <t>Sumit bajaj</t>
  </si>
  <si>
    <t>sumit.bajaj@haldirams.com</t>
  </si>
  <si>
    <t>Asked to share an email
AOV - 500
Seating capacity 60
Location- begumpet</t>
  </si>
  <si>
    <t>Almond House</t>
  </si>
  <si>
    <t>Dinesh 
Sits in Kukatpally branch
Asked to share the proposal on email. He will be sharing his email ID shortly</t>
  </si>
  <si>
    <t>Mezbaan</t>
  </si>
  <si>
    <t xml:space="preserve">gopal </t>
  </si>
  <si>
    <t>Owner not available today as he is busy in court case. POC will give me a call tomorrow once the owner comes</t>
  </si>
  <si>
    <t>Peshawar</t>
  </si>
  <si>
    <t>zia</t>
  </si>
  <si>
    <t>90143 87137</t>
  </si>
  <si>
    <t>Seating capacity - 50
AOV - 300
Asked to share the proposal on WhatsApp after that he will connect us with the concerned person</t>
  </si>
  <si>
    <t>Organic Creamery</t>
  </si>
  <si>
    <t xml:space="preserve">Santosh </t>
  </si>
  <si>
    <t>have 7 outlets in HYD and 2 in Vinaywada Asked call after 5pm as he in a night shift</t>
  </si>
  <si>
    <t>Organic creamery</t>
  </si>
  <si>
    <t xml:space="preserve">Sushmitha </t>
  </si>
  <si>
    <t xml:space="preserve">1 day time </t>
  </si>
  <si>
    <t>1 day time</t>
  </si>
  <si>
    <t>Murugans Cofee</t>
  </si>
  <si>
    <t xml:space="preserve">Out of station </t>
  </si>
  <si>
    <t>House of Taste</t>
  </si>
  <si>
    <t>Shanghai Flavours of China</t>
  </si>
  <si>
    <t xml:space="preserve">Zinia </t>
  </si>
  <si>
    <t>Seating capacity - 48 head sits out of head office in Kolkata Tried calling him but no response will follow up more</t>
  </si>
  <si>
    <t>Shanghai flavours of china</t>
  </si>
  <si>
    <t>Owner will be available at 7 pm</t>
  </si>
  <si>
    <t>VR Tiffins</t>
  </si>
  <si>
    <t>Bhanu Prakash</t>
  </si>
  <si>
    <t xml:space="preserve">Slice and Sauce </t>
  </si>
  <si>
    <t>Karachi Bakery</t>
  </si>
  <si>
    <t>Saif</t>
  </si>
  <si>
    <t>Online@karachibakery</t>
  </si>
  <si>
    <t>Receptionist asked to visit banjara hills branch as the main POC will be available there</t>
  </si>
  <si>
    <t>Devi sri</t>
  </si>
  <si>
    <t>They need time to think</t>
  </si>
  <si>
    <t>Laksmi Duga Andhra Ruchulu</t>
  </si>
  <si>
    <t>They are not interested</t>
  </si>
  <si>
    <t>Theme Cafe</t>
  </si>
  <si>
    <t>Venkat</t>
  </si>
  <si>
    <t>We need to call him</t>
  </si>
  <si>
    <t>Baskin Robbins</t>
  </si>
  <si>
    <t>Narsimha</t>
  </si>
  <si>
    <t xml:space="preserve">Onboarding tomorrow </t>
  </si>
  <si>
    <t>Pizza Mania</t>
  </si>
  <si>
    <t>He need 2 months time</t>
  </si>
  <si>
    <t>Andhra House</t>
  </si>
  <si>
    <t>Maska Chaska</t>
  </si>
  <si>
    <t xml:space="preserve">Owner is nit available </t>
  </si>
  <si>
    <t>Bimvaram Bulodu</t>
  </si>
  <si>
    <t>Sai kumar</t>
  </si>
  <si>
    <t>Ahara Avaham</t>
  </si>
  <si>
    <t>F952+H45 Burfi Ghar Sweet Shop, 1-57/11c, 3rd St, opp. Civil Hospital, Kondapur, Sri Ramnagar - Block C, Gachibowli, Hyderabad, Telangana 500084</t>
  </si>
  <si>
    <t>Have to meet with the owner</t>
  </si>
  <si>
    <t>30-40</t>
  </si>
  <si>
    <t>Burfighar</t>
  </si>
  <si>
    <t>Manu</t>
  </si>
  <si>
    <t xml:space="preserve">Punjabi paratha House </t>
  </si>
  <si>
    <t>Swiggy, Magic Pin</t>
  </si>
  <si>
    <t>40+</t>
  </si>
  <si>
    <t xml:space="preserve">Cherrys Restaurant </t>
  </si>
  <si>
    <t>https://maps.app.goo.gl/2Kktb6CGw3TCfPBx7</t>
  </si>
  <si>
    <t>Rohit</t>
  </si>
  <si>
    <t>Will be onboarded by 18th of Feb</t>
  </si>
  <si>
    <t>IFC- Indian favourite Chef</t>
  </si>
  <si>
    <t xml:space="preserve">My Biriyani </t>
  </si>
  <si>
    <t xml:space="preserve">Chandrashekhar </t>
  </si>
  <si>
    <t>50+</t>
  </si>
  <si>
    <t>Narthanashala</t>
  </si>
  <si>
    <t>Raj</t>
  </si>
  <si>
    <t>follow back</t>
  </si>
  <si>
    <t>https://maps.app.goo.gl/UP22p3iYoUeYTUdz7</t>
  </si>
  <si>
    <t>6302-303453</t>
  </si>
  <si>
    <t>Will be onboarded by 18th February</t>
  </si>
  <si>
    <t>Southern Fusion</t>
  </si>
  <si>
    <t>Spicy hut</t>
  </si>
  <si>
    <t>Syed</t>
  </si>
  <si>
    <t>onboarding tomorrow</t>
  </si>
  <si>
    <t>Sapan Kumar Jena</t>
  </si>
  <si>
    <t>https://drive.google.com/open?id=1xK1wKlI15IktTyXKw_xMHwAZmL8l0hv2</t>
  </si>
  <si>
    <t>BFNPJ9763G</t>
  </si>
  <si>
    <t>https://drive.google.com/open?id=1o18SdyJdHxK1ivAa17eVfBuiGzaeuCpU</t>
  </si>
  <si>
    <t>Hazeepet</t>
  </si>
  <si>
    <t>SS Live Kitchen</t>
  </si>
  <si>
    <t>They dont do any online platform</t>
  </si>
  <si>
    <t>The bake factory</t>
  </si>
  <si>
    <t>Address: Villa 05, Wonder Cherish Villas, Masjid Banda, Telangana 500084</t>
  </si>
  <si>
    <t>Triven</t>
  </si>
  <si>
    <t>Discussion done with manager,appointment fixed Md tomorrow</t>
  </si>
  <si>
    <t>Mayabazar</t>
  </si>
  <si>
    <t>Pradeep</t>
  </si>
  <si>
    <t>manager was not available</t>
  </si>
  <si>
    <t xml:space="preserve">Maheswari balaji family dhabha </t>
  </si>
  <si>
    <t>Probin</t>
  </si>
  <si>
    <t xml:space="preserve">Kings Restaurant and bar </t>
  </si>
  <si>
    <t>Kalyan</t>
  </si>
  <si>
    <t>https://drive.google.com/open?id=1PmaUkgNxXz5G-6LFNQQU3Aw1hn4ZzMGv</t>
  </si>
  <si>
    <t>Pan Card and Bank Details are pending</t>
  </si>
  <si>
    <t>Kukatapally</t>
  </si>
  <si>
    <t>RR Food Court</t>
  </si>
  <si>
    <t>David</t>
  </si>
  <si>
    <t>Follo up</t>
  </si>
  <si>
    <t>KS Bakers</t>
  </si>
  <si>
    <t>Fb bakers</t>
  </si>
  <si>
    <t>fixed appointment an sat</t>
  </si>
  <si>
    <t>Kailash</t>
  </si>
  <si>
    <t>https://drive.google.com/open?id=19bhmAYOCFdCddBwZl3Wau73LQMozPDuZ</t>
  </si>
  <si>
    <t>https://drive.google.com/open?id=12K4b8vhs3pAxMC0tiMtzobsXR3Sz9XyS</t>
  </si>
  <si>
    <t>https://drive.google.com/open?id=1XqfSCML6SoFCVD8TCEqvqtCDTAEjdvUa</t>
  </si>
  <si>
    <t>Tulja Bhavani Hotel</t>
  </si>
  <si>
    <t xml:space="preserve">Sri subham food court </t>
  </si>
  <si>
    <t>Savitha</t>
  </si>
  <si>
    <t>Follow up for feedback</t>
  </si>
  <si>
    <t>following up</t>
  </si>
  <si>
    <t>Bichareddy</t>
  </si>
  <si>
    <t>Lassi shop</t>
  </si>
  <si>
    <t>Sita Ram</t>
  </si>
  <si>
    <t>Tomorrow meeting scheduled with manager</t>
  </si>
  <si>
    <t>Peni icecandy</t>
  </si>
  <si>
    <t>Address: 13, beside Apollo pharmacy, Kondapur Main Road, Botanical Garden Rd, Kondapur, Sri Ram Nagar, Kondapur, Telangana 500084</t>
  </si>
  <si>
    <t>Mohan</t>
  </si>
  <si>
    <t>meeting scheduled tomorrow</t>
  </si>
  <si>
    <t>Just bake</t>
  </si>
  <si>
    <t>following up for next meeting</t>
  </si>
  <si>
    <t xml:space="preserve">Sandwichsquare </t>
  </si>
  <si>
    <t>Sathyam</t>
  </si>
  <si>
    <t>following up to get the area manager ka number</t>
  </si>
  <si>
    <t>Mojo Pizza</t>
  </si>
  <si>
    <t>need to check details on google</t>
  </si>
  <si>
    <t>Authenetic kunda biryanis</t>
  </si>
  <si>
    <t>Times food courtt</t>
  </si>
  <si>
    <t xml:space="preserve">Ramakrishna reddy </t>
  </si>
  <si>
    <t>didnt shared any details</t>
  </si>
  <si>
    <t>Vrindhavan kitchen</t>
  </si>
  <si>
    <t>Kulcha kulcha</t>
  </si>
  <si>
    <t>Meeting fixed with Md</t>
  </si>
  <si>
    <t>meeting scheduled with Md</t>
  </si>
  <si>
    <t>The red box</t>
  </si>
  <si>
    <t xml:space="preserve">Shanan </t>
  </si>
  <si>
    <t>Claysutra pottery</t>
  </si>
  <si>
    <t>suraj</t>
  </si>
  <si>
    <t>following up to get meeting with manager</t>
  </si>
  <si>
    <t>Livora cafe nd kitchen</t>
  </si>
  <si>
    <t>Southern fusion</t>
  </si>
  <si>
    <t>discussion done with owner he nee to discuss with other partner</t>
  </si>
  <si>
    <t>IFC INDIAN FAV CHEF</t>
  </si>
  <si>
    <t>POC-70042 40970(Owner)</t>
  </si>
  <si>
    <t>discussion done with owner need to think</t>
  </si>
  <si>
    <t>Venkat reddy</t>
  </si>
  <si>
    <t>Bulliabbai@gmail.com</t>
  </si>
  <si>
    <t>https://drive.google.com/open?id=1dAEDqfgo5WXJ-OTH7YaLBgpqRr8Vw7T9</t>
  </si>
  <si>
    <t>815 035 6795</t>
  </si>
  <si>
    <t>Idib 0000h 601</t>
  </si>
  <si>
    <t xml:space="preserve">Bullet abbai Kodi palav </t>
  </si>
  <si>
    <t>Venkat Reddy</t>
  </si>
  <si>
    <t>Shop number 8-3-22 16A and 16b Madhura Nagar</t>
  </si>
  <si>
    <t>Balaji</t>
  </si>
  <si>
    <t>Balu.evana396@gmail.com</t>
  </si>
  <si>
    <t>https://drive.google.com/open?id=1z2n-KhU_rLTCL1gYXHa3gKHQePwZpwM1</t>
  </si>
  <si>
    <t>420 3277 3051</t>
  </si>
  <si>
    <t>SBI n0020530</t>
  </si>
  <si>
    <t>Padavala ramalakshmi</t>
  </si>
  <si>
    <t>Ccpq + hhs circle number 17 Madhura Nagar 500073</t>
  </si>
  <si>
    <t>Brands of Bhimavaram (bob)</t>
  </si>
  <si>
    <t>949310 6693</t>
  </si>
  <si>
    <t>Gundavenuprakash74@gmail.com</t>
  </si>
  <si>
    <t>50100 40693 7092</t>
  </si>
  <si>
    <t>HDFC 0004216</t>
  </si>
  <si>
    <t>Venu Prakash Gunda</t>
  </si>
  <si>
    <t>House number 2-92 / 3 shop number 4 Telangana 500084</t>
  </si>
  <si>
    <t>Ahara Kitchens</t>
  </si>
  <si>
    <t>MICROS</t>
  </si>
  <si>
    <t>https://share.google/ONj2n2GaI20X3tFea</t>
  </si>
  <si>
    <t>Le Meridian</t>
  </si>
  <si>
    <t>Sanjeev Mandal</t>
  </si>
  <si>
    <t>733 883 6300</t>
  </si>
  <si>
    <t>sanjeev.mandal@marriott.com</t>
  </si>
  <si>
    <t>Le Meridien Hyderabad</t>
  </si>
  <si>
    <t>70328 88705</t>
  </si>
  <si>
    <t>Requested</t>
  </si>
  <si>
    <t>Did a follow up call, waiting for the email where proposal can be shared</t>
  </si>
  <si>
    <t>dheeraj.prabhu@rbrandsasia.com</t>
  </si>
  <si>
    <t>Proposal shared over the email</t>
  </si>
  <si>
    <t>Proposal Disucssion</t>
  </si>
  <si>
    <t>https://share.google/srUHBGWH63dYunKNW</t>
  </si>
  <si>
    <t>Sweets Dude</t>
  </si>
  <si>
    <t>Naveen Kumar Gadhamsetty</t>
  </si>
  <si>
    <t>naveen@sweetsdude.in</t>
  </si>
  <si>
    <t>Proposal</t>
  </si>
  <si>
    <t>Accor</t>
  </si>
  <si>
    <t>Gyandeep Singh</t>
  </si>
  <si>
    <t>88863 31102</t>
  </si>
  <si>
    <t>gyandeep.singh@accor.com</t>
  </si>
  <si>
    <t>ACCOR</t>
  </si>
  <si>
    <t>Dinesh Naidu</t>
  </si>
  <si>
    <t>dinesh.naidu@almondhouse.com</t>
  </si>
  <si>
    <t>Shared the email ID and asked to share the proposal</t>
  </si>
  <si>
    <t>Proposal Discussion</t>
  </si>
  <si>
    <t>Om Sai Ram Tiffins https://www.google.com/search?kgmid=%2Fg%2F11f6g5js3m&amp;hl=en-IN&amp;q=Om%20Sai%20Ram%20Tiffins&amp;shndl=30&amp;source=sh%2Fx%2Floc%2Fosrp%2Fm1%2F2&amp;kgs=aced7a64b6679088</t>
  </si>
  <si>
    <t>Vijay kumar</t>
  </si>
  <si>
    <t>Vijjivo52@gmail.com</t>
  </si>
  <si>
    <t>92 1 9210 23008 513078</t>
  </si>
  <si>
    <t>Utib 0004719</t>
  </si>
  <si>
    <t>Sri Sai Rama tiffins</t>
  </si>
  <si>
    <t>Yousufguda circle number 19 Hyderabad Telangana 500038</t>
  </si>
  <si>
    <t>https://share.google/WbSC2YeW2euvyWXec</t>
  </si>
  <si>
    <t>Sujeeth</t>
  </si>
  <si>
    <t>832 837 8624</t>
  </si>
  <si>
    <t>Sujit.atric@gmail.com</t>
  </si>
  <si>
    <t>https://drive.google.com/open?id=15w-41KfK4yuAaZbxJPFH_B99m-hbwa4F</t>
  </si>
  <si>
    <t>CKJPA1503M</t>
  </si>
  <si>
    <t>https://drive.google.com/open?id=16r6DJTjOKtSG2yn0_TX4bS1xeLipnrUa</t>
  </si>
  <si>
    <t>https://drive.google.com/open?id=1gaojrQDsRKOnMGTffrg7CRd7nH8P-4wY</t>
  </si>
  <si>
    <t>147 23 7809 34</t>
  </si>
  <si>
    <t>SBI 10020593</t>
  </si>
  <si>
    <t>Kanchu muthyam</t>
  </si>
  <si>
    <t>Ads 3-228 / 1280 / 46, circle number 19 Hyderabad 500045</t>
  </si>
  <si>
    <t xml:space="preserve">Sri varahi sampradaya vindhu </t>
  </si>
  <si>
    <t>Proposal shared on whatsapp and asked to come on Monday to meet Faizan area manager. He will let me know time on Monday.</t>
  </si>
  <si>
    <t>https://share.google/YfSA4bjUxoJiV6vSl</t>
  </si>
  <si>
    <t>Kunafa Bake</t>
  </si>
  <si>
    <t>Rasheed</t>
  </si>
  <si>
    <t>rfcoproductions@gmail.com</t>
  </si>
  <si>
    <t>Mohan SIngh</t>
  </si>
  <si>
    <t>Proposal shared on whatsapp as requested.</t>
  </si>
  <si>
    <t>Chai Point</t>
  </si>
  <si>
    <t>Varun</t>
  </si>
  <si>
    <t>95382 15301</t>
  </si>
  <si>
    <t>Asked to call tomorrow (19/02/2026)</t>
  </si>
  <si>
    <t>seventhheavenrestaurant1998@gmail.com</t>
  </si>
  <si>
    <t>Proposal Shared on whatsapp</t>
  </si>
  <si>
    <t>Proposal shared over the email.</t>
  </si>
  <si>
    <t>Haldiram</t>
  </si>
  <si>
    <t>Proposal shared over the email ID</t>
  </si>
  <si>
    <t>Santosh (Regional Manager)</t>
  </si>
  <si>
    <t>Proposal shared on whatsapp (He will call me back tomorrow 19/02/2026 for the further discussion)</t>
  </si>
  <si>
    <t>Hungerbox</t>
  </si>
  <si>
    <t>17.433044074663634, 78.38136655335184</t>
  </si>
  <si>
    <t xml:space="preserve">Very low orders on swiggy and zomato. Entire food court runs on an internal app called hunger box. (sattva.hungerbox.com) </t>
  </si>
  <si>
    <t>Interested in delivery, not getting orders from Swiggy</t>
  </si>
  <si>
    <t>Hakka Station</t>
  </si>
  <si>
    <t>Food Court</t>
  </si>
  <si>
    <t>Nizzamuddin (Marketing Lead)</t>
  </si>
  <si>
    <t>A part of marketing team for Sattva foodcourt asked to come again on Tuesday or Wednesday next week. Hungerbox is internal app and website used to preorder and book food from food court. the app can tell about the KPT and the billing and payment is done through the app only</t>
  </si>
  <si>
    <t>Research about the hungerbox app (call before meeting)</t>
  </si>
  <si>
    <t>HI Tech City</t>
  </si>
  <si>
    <t>Sattva Food Court</t>
  </si>
  <si>
    <t>17.43391403132923, 78.38254875300429</t>
  </si>
  <si>
    <t>Pradeep (GM)</t>
  </si>
  <si>
    <t>Mukul (Shift Manager)</t>
  </si>
  <si>
    <t xml:space="preserve">Mr. Predeep will be back by Saturday. He will be available in between Lunch and Dinner </t>
  </si>
  <si>
    <t>Raasta</t>
  </si>
  <si>
    <t>17.434247898762155, 78.38196122416875</t>
  </si>
  <si>
    <t>Santosh (South Head)</t>
  </si>
  <si>
    <t>Ranjit (Shift Manager)</t>
  </si>
  <si>
    <t>Follow Up with Mr. Santosh Reqd</t>
  </si>
  <si>
    <t>Flurry</t>
  </si>
  <si>
    <t>17.433158540214496, 78.38246986649779</t>
  </si>
  <si>
    <t>Mohd Ali (Shift Manger)</t>
  </si>
  <si>
    <t xml:space="preserve">Walkin required at Begumpet branch as General Manager not available due to his wedding </t>
  </si>
  <si>
    <t>Need to follow up at Begumpet branch</t>
  </si>
  <si>
    <t>Hi-tech City</t>
  </si>
  <si>
    <t>Cream Centre</t>
  </si>
  <si>
    <t>Sai Ram (Shift Manager)</t>
  </si>
  <si>
    <t>Mr Bala (Area Manager)</t>
  </si>
  <si>
    <t>Same</t>
  </si>
  <si>
    <t>Need to meet Mr. Bala contact details not shared by Sai Ram</t>
  </si>
  <si>
    <t>17.434874274137258, 78.38273486649781</t>
  </si>
  <si>
    <t>Kapil Bishnoi</t>
  </si>
  <si>
    <t>gm@whiskysambahyd.in</t>
  </si>
  <si>
    <t xml:space="preserve">Not in favour of Delivery, customer experience will get hampered. Said will create a smaller menu for delivery option in future. </t>
  </si>
  <si>
    <t>Send Proposal</t>
  </si>
  <si>
    <t>Whisky Samba</t>
  </si>
  <si>
    <t>Hitech City Rd, Kondapur, Laxmi Cyber City, Whitefields, Gachibowli, Hyderabad, Telangana 500084</t>
  </si>
  <si>
    <t xml:space="preserve">Monica </t>
  </si>
  <si>
    <t>Msurana.ktm@gmail.com</t>
  </si>
  <si>
    <t>https://drive.google.com/open?id=1CPG3HtOWnpLMHqHuEIjVRE95CmobxkfV</t>
  </si>
  <si>
    <t>Bkfps9030L</t>
  </si>
  <si>
    <t>https://drive.google.com/open?id=1qC8zQOc9yxc7yoFkX8JM-IzFatcOjmzh</t>
  </si>
  <si>
    <t>Ubin0812820</t>
  </si>
  <si>
    <t>Monica surana</t>
  </si>
  <si>
    <t>Plot number 2A SY number 12 opposite Divya Hyderabad 500084</t>
  </si>
  <si>
    <t xml:space="preserve">Moms recipe </t>
  </si>
  <si>
    <t>https://maps.app.goo.gl/xK7xrwBxYyjxiacc8</t>
  </si>
  <si>
    <t xml:space="preserve">Harshavardhan </t>
  </si>
  <si>
    <t>970420 4592</t>
  </si>
  <si>
    <t>Vardhan 2563@gmail.com</t>
  </si>
  <si>
    <t>https://drive.google.com/open?id=1GMZ4NH82b3mgZS90MqbElPLVhwFtsXrH</t>
  </si>
  <si>
    <t>GVKPK6229N</t>
  </si>
  <si>
    <t>https://drive.google.com/open?id=1tRWmDpkyPg_hKBpEZFmJ5ONSHZi68ZRk</t>
  </si>
  <si>
    <t>https://drive.google.com/open?id=1XZ9ZsEViH7b8kP1ukMLroSjXiL-dq7y_</t>
  </si>
  <si>
    <t>0446 104000 204 927</t>
  </si>
  <si>
    <t>Idbkl 000446</t>
  </si>
  <si>
    <t>Golla kumar</t>
  </si>
  <si>
    <t>Plot number to a dash 218-sy number 12 Kondapur 500084</t>
  </si>
  <si>
    <t>Samastha Tiffins</t>
  </si>
  <si>
    <t>https://maps.app.goo.gl/oXwuf4LKsNdYomaPA</t>
  </si>
  <si>
    <t>Syed Shahid</t>
  </si>
  <si>
    <t>836700 7137</t>
  </si>
  <si>
    <t>Syed Shah 509@gmail.com</t>
  </si>
  <si>
    <t>https://drive.google.com/open?id=1gcv9RnzFa4BVuSpZKCyspNeRZ9pq7tQm</t>
  </si>
  <si>
    <t xml:space="preserve">Kuyps3414l </t>
  </si>
  <si>
    <t>https://drive.google.com/open?id=1oollF86MvkeP8F7pfPJA4uSPIrURUU4y</t>
  </si>
  <si>
    <t>https://drive.google.com/open?id=1co_tLOZJen6Y4IPvYNvxKakldF9XaDv6</t>
  </si>
  <si>
    <t>https://drive.google.com/open?id=1iM2kJS9HkQ3zvV9PvTqoRtXsVkbBQHGe</t>
  </si>
  <si>
    <t>9814 50 1154</t>
  </si>
  <si>
    <t>KK BK 0007488</t>
  </si>
  <si>
    <t>Syed shahed</t>
  </si>
  <si>
    <t>Message yousufguda circle number 1950045</t>
  </si>
  <si>
    <t xml:space="preserve">Yousiffain kalyani biryani </t>
  </si>
  <si>
    <t>https://maps.app.goo.gl/nA3YjUfHoAfydvHw9</t>
  </si>
  <si>
    <t>Md ghouse</t>
  </si>
  <si>
    <t>South MD 28@gmail.com</t>
  </si>
  <si>
    <t>https://drive.google.com/open?id=1YamiPESl9lY_-e9DER0dGwAA3iNj4XIl</t>
  </si>
  <si>
    <t>Dnhpm3852h</t>
  </si>
  <si>
    <t>https://drive.google.com/open?id=1LUkvi82AtTdaF_7imhG0sKxXvD8gJwEg</t>
  </si>
  <si>
    <t>https://drive.google.com/open?id=1rd37Nb7X_DnLu5vq5RT9zuDu_yvrcW0G</t>
  </si>
  <si>
    <t>5010066 339 8448</t>
  </si>
  <si>
    <t>HDFC 000 1626</t>
  </si>
  <si>
    <t>Mohammed ghouse</t>
  </si>
  <si>
    <t>Shriram Nagar yusufguda Hyderabad fighter 0</t>
  </si>
  <si>
    <t>Iq shawarma</t>
  </si>
  <si>
    <t>https://maps.app.goo.gl/tx9Nc1Maef9y1ixo7</t>
  </si>
  <si>
    <t xml:space="preserve">Zamin ali </t>
  </si>
  <si>
    <t>8102 839 784</t>
  </si>
  <si>
    <t>Alisahil66636@gmail.com</t>
  </si>
  <si>
    <t>https://drive.google.com/open?id=17t9rSNa1ACIcY4EyDJMioAGOKy4ezj_V</t>
  </si>
  <si>
    <t>Aripa7368L</t>
  </si>
  <si>
    <t>https://drive.google.com/open?id=1-4NWD5Y-cmWKKxC99_hPPygKjk_uxo6S</t>
  </si>
  <si>
    <t>https://drive.google.com/open?id=1pK59o1Aziv19WH0wSGHnNWo73zXeKHr_</t>
  </si>
  <si>
    <t>https://drive.google.com/open?id=18yRO-B3Lj3Gfw91ri3Ga2IQUP3tgwc8p</t>
  </si>
  <si>
    <t>5201016 319 482</t>
  </si>
  <si>
    <t>Ubing 0905 909</t>
  </si>
  <si>
    <t>Zamin ali</t>
  </si>
  <si>
    <t>Banjara hills 500034</t>
  </si>
  <si>
    <t>Zamana shawarma</t>
  </si>
  <si>
    <t>https://maps.app.goo.gl/Fy7aeqRmTAGgLgWn6</t>
  </si>
  <si>
    <t>Yeshwanth</t>
  </si>
  <si>
    <t>951 575 8788</t>
  </si>
  <si>
    <t>Santhakam ruchulu@gmail.com</t>
  </si>
  <si>
    <t>https://drive.google.com/open?id=1t5Stq0SMOsAKB4MzMx0D5ctoM9FxcKaY</t>
  </si>
  <si>
    <t>36AEJPU0926Q2ZQ</t>
  </si>
  <si>
    <t>https://drive.google.com/open?id=1GBAFJfylOBRP0t3YAWBWrCnfFE4H5WKK</t>
  </si>
  <si>
    <t>AEJPU0926Q</t>
  </si>
  <si>
    <t>https://drive.google.com/open?id=1F5Akbwd88epJsI8yovUNIxNwIgwavCJH</t>
  </si>
  <si>
    <t>https://drive.google.com/open?id=1GeVV81U6D5F9tTaSAVz-8ZxKWT8UmvBG</t>
  </si>
  <si>
    <t>25951 575 8788</t>
  </si>
  <si>
    <t>IMDb 0000004</t>
  </si>
  <si>
    <t>Santhakam ruchulu</t>
  </si>
  <si>
    <t>Do number 6 s3-1192 / 1 / g / 8 White House G4 Hyderabad 5000 16</t>
  </si>
  <si>
    <t>https://maps.app.goo.gl/wrTbDZnD5N3mw4cu5</t>
  </si>
  <si>
    <t xml:space="preserve">Mohammed </t>
  </si>
  <si>
    <t>9912 340 407</t>
  </si>
  <si>
    <t>Ghadiyal Mohit 7@gmail.com</t>
  </si>
  <si>
    <t>https://drive.google.com/open?id=17Or-bhIxOB_fO2sEGmNwr5IQ6ixU3vvE</t>
  </si>
  <si>
    <t>Ccepb8117k</t>
  </si>
  <si>
    <t>https://drive.google.com/open?id=1uQmldAeGEJwNboL-RxQC_Qg7L0iJnEGh</t>
  </si>
  <si>
    <t>1111 015 18283</t>
  </si>
  <si>
    <t>ICICI 000 111</t>
  </si>
  <si>
    <t>Mohammed zahera begum</t>
  </si>
  <si>
    <t>– 3 – 235 yousufguda – 500045</t>
  </si>
  <si>
    <t>Blend and roast cafe</t>
  </si>
  <si>
    <t>01</t>
  </si>
  <si>
    <t>https://maps.app.goo.gl/NN3VLf1stEGKdp4HA</t>
  </si>
  <si>
    <t>Sk janbee</t>
  </si>
  <si>
    <t>Sk.janbee@gmail.com</t>
  </si>
  <si>
    <t>https://drive.google.com/open?id=1QnMLths7iNcb1nTv46dC1aw-7bW5GTgf</t>
  </si>
  <si>
    <t>Jznps2226b</t>
  </si>
  <si>
    <t>https://drive.google.com/open?id=1lpeezznRAOebSXSygIRK15676Fs9DdAI</t>
  </si>
  <si>
    <t>SBIN0040479</t>
  </si>
  <si>
    <t>SHAIK JANBEE</t>
  </si>
  <si>
    <t>Yousuguda</t>
  </si>
  <si>
    <t xml:space="preserve">Mahreens kitchen </t>
  </si>
  <si>
    <t>Chicken Shawarma Hut https://share.google/2XaGD76rDi428j0H6</t>
  </si>
  <si>
    <t xml:space="preserve">Md ameenudden </t>
  </si>
  <si>
    <t>9618 09 6343</t>
  </si>
  <si>
    <t>Aminuddin srinagar@gmail.com</t>
  </si>
  <si>
    <t>https://drive.google.com/open?id=1QpPC9T80dwxRb-wHw66rsvN9lSGhW9w4</t>
  </si>
  <si>
    <t>Byapa0613g</t>
  </si>
  <si>
    <t>https://drive.google.com/open?id=1AgZE2LCQPK0lup15zm83h4rQPN-YjOos</t>
  </si>
  <si>
    <t>https://drive.google.com/open?id=1ktOhb0u7Zp5tL4_e1kwCHdk8MnTVqz9S</t>
  </si>
  <si>
    <t>502000 347 22 082</t>
  </si>
  <si>
    <t>HDFC 0002391</t>
  </si>
  <si>
    <t>Alamideem shawarma</t>
  </si>
  <si>
    <t xml:space="preserve">Ameenudden </t>
  </si>
  <si>
    <t>Srinagar colony</t>
  </si>
  <si>
    <t>Chicken shawarma hut</t>
  </si>
  <si>
    <t>17.43324929596664, 78.38234912601712</t>
  </si>
  <si>
    <t>Kalim (GM)</t>
  </si>
  <si>
    <t>Call Kalim</t>
  </si>
  <si>
    <t>Call Mr. Kalim</t>
  </si>
  <si>
    <t>Manam Chocolate</t>
  </si>
  <si>
    <t>Akshay (F&amp;B Manager)</t>
  </si>
  <si>
    <t>Call and visit again</t>
  </si>
  <si>
    <t>Call Mr.Akshay</t>
  </si>
  <si>
    <t>Sabko</t>
  </si>
  <si>
    <t>https://share.google/AxIFmrqurMJGg5zip</t>
  </si>
  <si>
    <t>Kirti Kumar</t>
  </si>
  <si>
    <t>9949 838 582</t>
  </si>
  <si>
    <t>https://drive.google.com/open?id=1yq3TS2sV89Wt5V8ytwcIHq2eDEvfkyCA</t>
  </si>
  <si>
    <t>OBkps6819c</t>
  </si>
  <si>
    <t>https://drive.google.com/open?id=17SuBAYQXu3DrAwrWtWchmjuu19fRWOaM</t>
  </si>
  <si>
    <t>https://drive.google.com/open?id=1o3AopNhsVJvFWoH8x_tLVNIZCcVx7cOn</t>
  </si>
  <si>
    <t>8945 296 083</t>
  </si>
  <si>
    <t>Kkbk 0007489</t>
  </si>
  <si>
    <t>Laxmi shailaja sutrave</t>
  </si>
  <si>
    <t>Kothaguda Hyderabad city kabab road 500084</t>
  </si>
  <si>
    <t xml:space="preserve">Chinese express </t>
  </si>
  <si>
    <t>https://maps.app.goo.gl/RQ4eFXL7YjP8chk99</t>
  </si>
  <si>
    <t>Purna chandhar rao 9</t>
  </si>
  <si>
    <t>2362403270003467</t>
  </si>
  <si>
    <t>https://drive.google.com/open?id=1YCWgJXNqdWEF_bLRHD7fB-jAF0Gum0RP</t>
  </si>
  <si>
    <t>AZEPY3804D</t>
  </si>
  <si>
    <t>https://drive.google.com/open?id=1f5N7Aw76L4XL8WeYMZPIIMivduLu_S11</t>
  </si>
  <si>
    <t>https://drive.google.com/open?id=1nEMKQeAuolmOzlaxJpjW6qF6_rmIf6AP</t>
  </si>
  <si>
    <t>https://drive.google.com/open?id=1LYTwoCS--h120P_e4AkLSKjaqZ3Lupsi</t>
  </si>
  <si>
    <t>2109 10039</t>
  </si>
  <si>
    <t>SBI and 0012 941</t>
  </si>
  <si>
    <t>Ichirakur rAmin house</t>
  </si>
  <si>
    <t>Kondapur circle number 20 kothaguda</t>
  </si>
  <si>
    <t>Ichirakai Rameen house</t>
  </si>
  <si>
    <t>https://share.google/XMBxRGaXbDmXdehfP</t>
  </si>
  <si>
    <t>Mahesh D</t>
  </si>
  <si>
    <t>7406 46642</t>
  </si>
  <si>
    <t>Maheshdontham@gmail.com</t>
  </si>
  <si>
    <t>https://drive.google.com/open?id=1v8GuVB6FT1xhXRdZk20oBYf8sShOinDH</t>
  </si>
  <si>
    <t>CBBPD9955R</t>
  </si>
  <si>
    <t>https://drive.google.com/open?id=1v_GRSU39RFaKGSR0BsUyD8Mw28ER73I5</t>
  </si>
  <si>
    <t>2002 503 5345</t>
  </si>
  <si>
    <t>SBI and 000 1441</t>
  </si>
  <si>
    <t>Dontham mahesh</t>
  </si>
  <si>
    <t>Amina Pur Chandanagar selling company 5000</t>
  </si>
  <si>
    <t>Rao gari military hotel</t>
  </si>
  <si>
    <t>https://maps.app.goo.gl/CfCrheay9uRm8XX9A</t>
  </si>
  <si>
    <t xml:space="preserve">D mahesh </t>
  </si>
  <si>
    <t>maheshdontham@gmail.com</t>
  </si>
  <si>
    <t>https://drive.google.com/open?id=1E3GFAcJKhqQYmGTMwQlEvoFQWzviRTW1</t>
  </si>
  <si>
    <t>Cbbpd9955r</t>
  </si>
  <si>
    <t>https://drive.google.com/open?id=1rkz2vG3ra98Pa6PjLFJ35frMOZxpm2MN</t>
  </si>
  <si>
    <t>20025 035345</t>
  </si>
  <si>
    <t>SBI n 000 1441</t>
  </si>
  <si>
    <t>Kondapur kathgodha Hyderabad</t>
  </si>
  <si>
    <t>KAMAKSHI TIFFINS AND SNACKS https://share.google/Jgrnxq442N5g3OQmw</t>
  </si>
  <si>
    <t>P srinivasulu</t>
  </si>
  <si>
    <t>8096 234 311</t>
  </si>
  <si>
    <t>23625 03200 5700</t>
  </si>
  <si>
    <t>https://drive.google.com/open?id=1cYN7h_LAZ4WEiQB9JGKxfb5s7iNY2O6y</t>
  </si>
  <si>
    <t>BTBPS8674M</t>
  </si>
  <si>
    <t>https://drive.google.com/open?id=1H-Fn8nHUs2HU8MkYd5LHpk0Oi7It1s2a</t>
  </si>
  <si>
    <t>2005 235 5986</t>
  </si>
  <si>
    <t>SBI 100 11081</t>
  </si>
  <si>
    <t xml:space="preserve">P srinivasulu </t>
  </si>
  <si>
    <t>Plot number to 12 Prashant Nagar Kondapur 500084</t>
  </si>
  <si>
    <t>Kamakshi tiffins</t>
  </si>
  <si>
    <t>Srinivaasulu</t>
  </si>
  <si>
    <t>https://drive.google.com/open?id=1qCO3zcHYab6Ni473npDxy_YcSbImrwhZ</t>
  </si>
  <si>
    <t>https://drive.google.com/open?id=1tl-OLTTvJ-HV-kEgm3sykXDHnFp46ijg</t>
  </si>
  <si>
    <t>SBI n00 11081</t>
  </si>
  <si>
    <t>Plot number 2 12 Prashanth Nagar Kondapur 500084</t>
  </si>
  <si>
    <t>Kamakshi snakes meals and curries</t>
  </si>
  <si>
    <t>https://maps.app.goo.gl/WhDMmw7eW8W5E6xW8</t>
  </si>
  <si>
    <t>Sk jaani</t>
  </si>
  <si>
    <t>8790 689 367</t>
  </si>
  <si>
    <t>Skjani19892@gmail.com</t>
  </si>
  <si>
    <t>https://drive.google.com/open?id=1tiJVZz0afAaAtdukvIjB2p6eA73oWqM7</t>
  </si>
  <si>
    <t>FZVPB3717G</t>
  </si>
  <si>
    <t>https://drive.google.com/open?id=19Q_XKziHGd0OH8LyXLXakehql9R1pi5B</t>
  </si>
  <si>
    <t>https://drive.google.com/open?id=1Bon9T4mlU4z4S-rJrHY4p_4GBEaqvBis</t>
  </si>
  <si>
    <t>https://drive.google.com/open?id=14urNv3pIYh9cA2bgR2TgNpjceg_5fQ3z</t>
  </si>
  <si>
    <t>50200 1016 49 450</t>
  </si>
  <si>
    <t>HDFC 000 1821</t>
  </si>
  <si>
    <t>Sekh jani bakas</t>
  </si>
  <si>
    <t>Coimbatore – 41 / Prashanth Nagar</t>
  </si>
  <si>
    <t>Royal odisha daba</t>
  </si>
  <si>
    <t>After 2 weeks follow up</t>
  </si>
  <si>
    <t>Shasha shandaar shawarma</t>
  </si>
  <si>
    <t>Address: plot no:25, Jayabheri Enclave, Gachibowli, Hyderabad, Telangana 500032</t>
  </si>
  <si>
    <t>Need to speak with other partner for final discussion</t>
  </si>
  <si>
    <t>Palle vindhu</t>
  </si>
  <si>
    <t>Srija</t>
  </si>
  <si>
    <t xml:space="preserve">She was not available,I need to follow up for meeting </t>
  </si>
  <si>
    <t>Malabaris</t>
  </si>
  <si>
    <t>Thufail</t>
  </si>
  <si>
    <t>Discussion done with one of the partner,they need to discuss and come back,i will follow up for feedback</t>
  </si>
  <si>
    <t>Zara hi fi restaurent</t>
  </si>
  <si>
    <t>Sankala bakery</t>
  </si>
  <si>
    <t>Discussion done with one partner,need to disuss with other partner, I will follow up</t>
  </si>
  <si>
    <t>Address: Kanhaiyalal Complex, Old Mumbai Hwy, Indira Nagar, Gachibowli, Hyderabad, Telangana 500032</t>
  </si>
  <si>
    <t>Hema</t>
  </si>
  <si>
    <t>During Lunch she was busy,I will follow up</t>
  </si>
  <si>
    <t>Babai ruchi mess nd biryani</t>
  </si>
  <si>
    <t>Spicy food court</t>
  </si>
  <si>
    <t xml:space="preserve">Syed hissam uddin </t>
  </si>
  <si>
    <t>Owner was not available,I spoke with him on a call tomorrow appointment fixed</t>
  </si>
  <si>
    <t>Tass Spice hut</t>
  </si>
  <si>
    <t>Manager and owner was not available took number from front team</t>
  </si>
  <si>
    <t>Midhunam</t>
  </si>
  <si>
    <t>Rayalaseema spice</t>
  </si>
  <si>
    <t>Discussion done,They are intrested but owner was busy to schedule</t>
  </si>
  <si>
    <t>Discussion done with manager need to discuss with owner</t>
  </si>
  <si>
    <t>BTO PIZZA WINGS SALAD</t>
  </si>
  <si>
    <t>Neerja</t>
  </si>
  <si>
    <t>https://drive.google.com/open?id=16k493vsOc5EyewYiso7AgZvxNRtpsHwS</t>
  </si>
  <si>
    <t xml:space="preserve">Need to collect menu and documents </t>
  </si>
  <si>
    <t>Nagendra</t>
  </si>
  <si>
    <t>https://drive.google.com/open?id=1cWIBkV2BJ7J0xgnp5ZfIMiQCx6aDLs0n</t>
  </si>
  <si>
    <t>https://drive.google.com/open?id=1yjWsvWZYtU0tQZ7BF1MDZA80e_e01Ruk</t>
  </si>
  <si>
    <t>https://drive.google.com/open?id=17qIijHeA5A66t0mbM5MuK1vxY67ZvH_w</t>
  </si>
  <si>
    <t>Bank details are pending  he need 1 week time</t>
  </si>
  <si>
    <t xml:space="preserve">Hafeezpet </t>
  </si>
  <si>
    <t xml:space="preserve">Rooster Chicken </t>
  </si>
  <si>
    <t>https://drive.google.com/open?id=1JkXdJV6m74LD-RAl0FyQDJteR06jW_9X</t>
  </si>
  <si>
    <t>https://drive.google.com/open?id=17EI432R4YqUB68oBIsJ39RFep66Up9kt</t>
  </si>
  <si>
    <t>Bank details and Menu</t>
  </si>
  <si>
    <t xml:space="preserve">Dragon Kitchen </t>
  </si>
  <si>
    <t xml:space="preserve">Documents are pending </t>
  </si>
  <si>
    <t>Sandeep</t>
  </si>
  <si>
    <t>https://drive.google.com/open?id=1LAz6YfU48rjgUm90rjucNoyHLFOblYJ1</t>
  </si>
  <si>
    <t>https://drive.google.com/open?id=1Gz0r1WmfBDdQi3wDUk_cmZY6OsGfV8vF</t>
  </si>
  <si>
    <t>https://drive.google.com/open?id=1oeWZTEIc09G0jV1DRernRUzSTaBycY9e</t>
  </si>
  <si>
    <t xml:space="preserve">Menu is pending </t>
  </si>
  <si>
    <t xml:space="preserve">Slice and Bytes </t>
  </si>
  <si>
    <t>Anjaneyareddy</t>
  </si>
  <si>
    <t>https://drive.google.com/open?id=1ia1w9zN8y7Hhp3yXc1c1rMX3MWIwrlTo</t>
  </si>
  <si>
    <t>https://drive.google.com/open?id=1FMMHBLDuF6nxxlVmbGqOCpNbn5kVh4y_</t>
  </si>
  <si>
    <t>https://drive.google.com/open?id=1MGUb-FLSLWz3mtFRYvr2kA8UU9R1ZDoe</t>
  </si>
  <si>
    <t>https://drive.google.com/open?id=105qvkmlCWecN--NR_X2-JQYI1kJKwbAT</t>
  </si>
  <si>
    <t>Ayaansh Food Court</t>
  </si>
  <si>
    <t>https://drive.google.com/open?id=1JdgccoLtSZE2h7hkXgz_valyJD6DBH9w</t>
  </si>
  <si>
    <t xml:space="preserve">Red Bucket Biryani </t>
  </si>
  <si>
    <t>Sai Kumar</t>
  </si>
  <si>
    <t>https://drive.google.com/open?id=1FaoWhwagdXOqBkQSbc5J4CR47LYsrDkN</t>
  </si>
  <si>
    <t>https://drive.google.com/open?id=1YtsOjbmfLCJHe1vfL7Jb_0ohsVBQEOKV</t>
  </si>
  <si>
    <t>https://drive.google.com/open?id=1IBDIV6ROtZVYMZFcVDruA8ZCPQ2NC7cK</t>
  </si>
  <si>
    <t xml:space="preserve">Menu pending need time to send </t>
  </si>
  <si>
    <t xml:space="preserve">Miyapur </t>
  </si>
  <si>
    <t>Ahara Aahvanam</t>
  </si>
  <si>
    <t>Pet Puja</t>
  </si>
  <si>
    <t>Manohar</t>
  </si>
  <si>
    <t>https://drive.google.com/open?id=1xjX5JwWB2h-OdF7dTFNTZzEZgfatGvaC</t>
  </si>
  <si>
    <t>https://drive.google.com/open?id=1qzmK3TLyJFsE8wG4oqpQujaSq0R3R3Xt</t>
  </si>
  <si>
    <t>https://drive.google.com/open?id=1umbnoHwDcTbur0RGBkkD4OYAZW2Kxi1p</t>
  </si>
  <si>
    <t>Annam Parabrahma</t>
  </si>
  <si>
    <t>https://www.google.com/maps/place/Hi-Tech+Bawarchi+Multi+Cuisine+Restaurant/@17.4463925,78.3553254,17z/data=!3m1!4b1!4m6!3m5!1s0x3bcb93957fc72207:0x7041b4aed2113221!8m2!3d17.4463874!4d78.3579003!16s%2Fg%2F119wpxspp?hl=en&amp;entry=ttu&amp;g_ep=EgoyMDI2MDIxMS4wIKXMDSoASAFQAw%3D%3D</t>
  </si>
  <si>
    <t>SVS BAKERS</t>
  </si>
  <si>
    <t>FOLLOW UP</t>
  </si>
  <si>
    <t>gachibowli</t>
  </si>
  <si>
    <t>HITECH BAWARCHI FOOD ZONE</t>
  </si>
  <si>
    <t>ABHIMANYU</t>
  </si>
  <si>
    <t>SURABHI HOTEL</t>
  </si>
  <si>
    <t xml:space="preserve">DURGA PRASAD </t>
  </si>
  <si>
    <t>USTAADS HYDERABADI ZAIQA</t>
  </si>
  <si>
    <t>SIRAJ</t>
  </si>
  <si>
    <t>GRANDSONS BADEMIYAN KEBAB AND RESTAURANT</t>
  </si>
  <si>
    <t>AJAY</t>
  </si>
  <si>
    <t>https://drive.google.com/open?id=1_oMdjFshA5OacqXz-P5K3wFYDMTELQH3</t>
  </si>
  <si>
    <t>AKYPG8489P</t>
  </si>
  <si>
    <t>https://drive.google.com/open?id=1lEvwVgmvQfRvkTPM7gykXehs-Dwt-ffx</t>
  </si>
  <si>
    <t>https://drive.google.com/open?id=1QjCULw6L2OGsSDChaQymVKSkeE7zaATb</t>
  </si>
  <si>
    <t>GUNDRA AJAY KUMAR</t>
  </si>
  <si>
    <t>AAhara  Food court</t>
  </si>
  <si>
    <t>ON BOARDING</t>
  </si>
  <si>
    <t>AAHARA FOOD COURT</t>
  </si>
  <si>
    <t>ROHAN</t>
  </si>
  <si>
    <t>GULF BAKERS</t>
  </si>
  <si>
    <t>JAI BHAVANI AK FOOD COURT</t>
  </si>
  <si>
    <t>PRAVEEN KUMAR</t>
  </si>
  <si>
    <t xml:space="preserve">ON BOARDED
</t>
  </si>
  <si>
    <t>ASKED TO COME ON FRIDAY</t>
  </si>
  <si>
    <t>17.398296633261864, 78.48459875214712</t>
  </si>
  <si>
    <t>KAILASH</t>
  </si>
  <si>
    <t>ASKED TO COLLECT DOCUMENTS ON MONDAY</t>
  </si>
  <si>
    <t>HIMAYAT NAGAR</t>
  </si>
  <si>
    <t>SANGAM DHABA</t>
  </si>
  <si>
    <t>17.405983759038325, 78.46758593069016</t>
  </si>
  <si>
    <t>ASLAM</t>
  </si>
  <si>
    <t>khairatabad</t>
  </si>
  <si>
    <t>ASTRIO RESTAURANT</t>
  </si>
  <si>
    <t>IMRAN</t>
  </si>
  <si>
    <t>OWNER WILL BE AVAILABLE  ON FRIDAY</t>
  </si>
  <si>
    <t>SK MUNNA RESTAURANT</t>
  </si>
  <si>
    <t>SANDEEP</t>
  </si>
  <si>
    <t>OWNER WILL BE AVAILABLE AFTER 10 PM EVENING</t>
  </si>
  <si>
    <t>DWARAKA MULTICUISINE RESTAURANT</t>
  </si>
  <si>
    <t>YASHWANT</t>
  </si>
  <si>
    <t>OWNER WILL AV AILABLE AFTER 5 PM</t>
  </si>
  <si>
    <t>HYDERABAD SHAHI RESTAURANT</t>
  </si>
  <si>
    <t>SAI</t>
  </si>
  <si>
    <t>https://drive.google.com/open?id=1Vk7oOI9LH_xIejew7Y-jbw9vU268TCPa</t>
  </si>
  <si>
    <t>CITPN9921Q</t>
  </si>
  <si>
    <t>https://drive.google.com/open?id=1QNYcLPMeC0UgmXXSnFXDTAgyB8qfLFME</t>
  </si>
  <si>
    <t>https://drive.google.com/open?id=1aI50gadedsudO6h3wLqQp1xHLebrCR10</t>
  </si>
  <si>
    <t>https://drive.google.com/open?id=1qBXCbE_vTaiYmE4_PYtfAjCd5k4f_Ji8</t>
  </si>
  <si>
    <t>IDFB0080205</t>
  </si>
  <si>
    <t>NAIDU FOOD COURT</t>
  </si>
  <si>
    <t xml:space="preserve">DIYI SATYANARAYAN </t>
  </si>
  <si>
    <t>HAVE TO TAKE GST AND EMAIL ID</t>
  </si>
  <si>
    <t>NAIDUS FOOD COURT</t>
  </si>
  <si>
    <t xml:space="preserve">Syed </t>
  </si>
  <si>
    <t xml:space="preserve">The manager syed isn't answering calls. Wil followup up directly </t>
  </si>
  <si>
    <t>Dine o china</t>
  </si>
  <si>
    <t>Arya tiffins</t>
  </si>
  <si>
    <t>Rakesh</t>
  </si>
  <si>
    <t xml:space="preserve">He wants to check the app after launch to come to a decision. Will follow up again </t>
  </si>
  <si>
    <t xml:space="preserve">I have followed up on 18th Feb and he wants to check the app after launch to come to a decision </t>
  </si>
  <si>
    <t xml:space="preserve">Ram </t>
  </si>
  <si>
    <t>Mr Ram said he will follow up after two days. Will follow up today</t>
  </si>
  <si>
    <t>Subway</t>
  </si>
  <si>
    <t>Neethu sethia</t>
  </si>
  <si>
    <t>Their orders per day 5 , so I don't think they can be onboarded</t>
  </si>
  <si>
    <t>Waffles N More</t>
  </si>
  <si>
    <t xml:space="preserve">Sai Ram tiffins </t>
  </si>
  <si>
    <t>Sai ram</t>
  </si>
  <si>
    <t>He said he will onboard today at 12:30 pm. I will get him onboarded</t>
  </si>
  <si>
    <t>Abhishek</t>
  </si>
  <si>
    <t>He is available everyday day at 13:00 at the outlet. Will follow up and get him onboarded</t>
  </si>
  <si>
    <t xml:space="preserve">Nosh bistro </t>
  </si>
  <si>
    <t xml:space="preserve">Vasudo dhaba </t>
  </si>
  <si>
    <t>I have followed up on 19th Feb but he wasn't answering calls</t>
  </si>
  <si>
    <t>Akash</t>
  </si>
  <si>
    <t xml:space="preserve">Meeting time isn't confirmed yet, will follow up </t>
  </si>
  <si>
    <t>La chai de</t>
  </si>
  <si>
    <t xml:space="preserve">Delhi ke famous nagpals </t>
  </si>
  <si>
    <t>Inder</t>
  </si>
  <si>
    <t xml:space="preserve">The outlet has just started and he doesn't have any documents yet, wil follow up </t>
  </si>
  <si>
    <t>Delhi ke famous nagpals</t>
  </si>
  <si>
    <t>Shlok</t>
  </si>
  <si>
    <t>All the decisions related to aamantran are taken at rtcxroads branch</t>
  </si>
  <si>
    <t>Aamantran</t>
  </si>
  <si>
    <t>Deva</t>
  </si>
  <si>
    <t xml:space="preserve">I will follow up for the availability of a different POC in the evening </t>
  </si>
  <si>
    <t>Udupi tiffins veg</t>
  </si>
  <si>
    <t>The manager sunny is convinced but the owner is not coming to the outlet from 3 days</t>
  </si>
  <si>
    <t xml:space="preserve">Street darbar </t>
  </si>
  <si>
    <t>Twilight Manikonda, Twilight, Road number 1, Neknampur Rd, Alkapur Twp, Puppalguda, Hyderabad, Telangana 500089</t>
  </si>
  <si>
    <t>Priyamoff05@gmail.com</t>
  </si>
  <si>
    <t xml:space="preserve">BBQ Bites </t>
  </si>
  <si>
    <t>Shiridi sai tiffins meals and snacks</t>
  </si>
  <si>
    <t>Manas sahoo</t>
  </si>
  <si>
    <t>The owner is available after 8pm</t>
  </si>
  <si>
    <t xml:space="preserve">Grand bawarchi hotel </t>
  </si>
  <si>
    <t>Nikhilesh</t>
  </si>
  <si>
    <t>The owner is available to meet everyday from 4pm-5pm</t>
  </si>
  <si>
    <t xml:space="preserve">Pakka telangana </t>
  </si>
  <si>
    <t>Persis</t>
  </si>
  <si>
    <t>Kiran</t>
  </si>
  <si>
    <t xml:space="preserve">He has asked to call him at 12 to fix an appointment in the evening </t>
  </si>
  <si>
    <t>Mahendra</t>
  </si>
  <si>
    <t>I have to follow up Mahendra for his update</t>
  </si>
  <si>
    <t>Bhattad ki idly</t>
  </si>
  <si>
    <t>The. Owner is available after 8 pm</t>
  </si>
  <si>
    <t xml:space="preserve">Woodfire pizza </t>
  </si>
  <si>
    <t xml:space="preserve">Athidis kitchen </t>
  </si>
  <si>
    <t>Pandu</t>
  </si>
  <si>
    <t>He asked to come onboard on monday</t>
  </si>
  <si>
    <t>https://www.google.com/maps/place/Malabar+Kitchen/@17.4509053,78.3083533,17z/data=!3m1!4b1!4m6!3m5!1s0x3bcb93c30d57cb29:0xf2046a6c2f2ee5b6!8m2!3d17.4509002!4d78.3109282!16s%2Fg%2F11h7r438dt?entry=ttu&amp;g_ep=EgoyMDI2MDIxMS4wIKXMDSoASAFQAw%3D%3D</t>
  </si>
  <si>
    <t>cafe cocktail music</t>
  </si>
  <si>
    <t>Tapas</t>
  </si>
  <si>
    <t>follow up waiting furthur</t>
  </si>
  <si>
    <t>Malabar kitchen</t>
  </si>
  <si>
    <t>Punjabi chaska</t>
  </si>
  <si>
    <t>Auddin</t>
  </si>
  <si>
    <t>https://drive.google.com/open?id=1waSIzAH-MIZnU9Z2Cf4OEIbVIJfuSsAd</t>
  </si>
  <si>
    <t>GPSPM3722L</t>
  </si>
  <si>
    <t>https://drive.google.com/open?id=1fyc7UMJwnYQe1gnfEn6ERAWKYc96dUR9</t>
  </si>
  <si>
    <t>https://drive.google.com/open?id=1eUsNeyEj8OgtygeMyLiVEJod82SwU5zN</t>
  </si>
  <si>
    <t>https://drive.google.com/open?id=1QzadrdF1fruc3XZQktLe8rw6eHtQSBeF</t>
  </si>
  <si>
    <t>ICIC00ADRSH</t>
  </si>
  <si>
    <t>Adarsh bank</t>
  </si>
  <si>
    <t>ONBORDED</t>
  </si>
  <si>
    <t>Address: LP Towers, Plot no 56, Hitech City Rd, HUDA Techno Enclave, Madhapur, Hyderabad, Telangana 500081</t>
  </si>
  <si>
    <t>https://www.google.com/maps/place/Yum+Yum+Tree+Arabian+Food+Court+gachibowli/@17.4305869,78.3219044,17z/data=!3m1!4b1!4m6!3m5!1s0x3bcb936f8238cc77:0x170954685a40fb08!8m2!3d17.4305818!4d78.3244793!16s%2Fg%2F11f4t6jqmj?entry=ttu&amp;g_ep=EgoyMDI2MDIxMS4wIKXMDSoASAFQAw%3D%3D</t>
  </si>
  <si>
    <t xml:space="preserve">Mazar </t>
  </si>
  <si>
    <t>follow up with m.d</t>
  </si>
  <si>
    <t>nanakramguda</t>
  </si>
  <si>
    <t>Yum Yum Tree</t>
  </si>
  <si>
    <t>https://drive.google.com/open?id=125T7pFP7_Nj1RyExE6yiGLlMNItiF0U5</t>
  </si>
  <si>
    <t>AKUPU6341C</t>
  </si>
  <si>
    <t>https://drive.google.com/open?id=1kQOQ0kicVr2cCG9DSM-uee5ZGrwBkTKr</t>
  </si>
  <si>
    <t>https://drive.google.com/open?id=1ZqqbAXMee-gtK1xay_XrZdq-HxLWYqJo</t>
  </si>
  <si>
    <t>Bose Babu</t>
  </si>
  <si>
    <t>follow up required for documents collection</t>
  </si>
  <si>
    <t>Cherry Restaurent</t>
  </si>
  <si>
    <t>17.373163795634103, 78.41510373680133</t>
  </si>
  <si>
    <t>G NARASIMHA MURTHY</t>
  </si>
  <si>
    <t>Murthysam07@gmail.com</t>
  </si>
  <si>
    <t>https://drive.google.com/open?id=1-PmbyHH_FFcytI0mUI-24IqfZBGvv0lV</t>
  </si>
  <si>
    <t>GFPPM2649H</t>
  </si>
  <si>
    <t>https://drive.google.com/open?id=1-6yZUYECRiR_Cjh4Tg5KruPhVbpZQQOW</t>
  </si>
  <si>
    <t xml:space="preserve"> 77300 72371</t>
  </si>
  <si>
    <t>9CF8+63C, Langar House Rd, Bapu Nagar, Langar Houz, Hyderabad, Telangana 500008</t>
  </si>
  <si>
    <t>LANGAR HOUSE</t>
  </si>
  <si>
    <t>ASIAN PAN HOUSE AND RESTAURANT</t>
  </si>
  <si>
    <t xml:space="preserve">PREETI TIFFINS </t>
  </si>
  <si>
    <t>MEGHA</t>
  </si>
  <si>
    <t>PREETI TIFFINS</t>
  </si>
  <si>
    <t>need to follow ups</t>
  </si>
  <si>
    <t>The chocolate room</t>
  </si>
  <si>
    <t>sajan</t>
  </si>
  <si>
    <t>Meeting scheduled on friday</t>
  </si>
  <si>
    <t>Chakra</t>
  </si>
  <si>
    <t>Kafika</t>
  </si>
  <si>
    <t xml:space="preserve">Rajnikant </t>
  </si>
  <si>
    <t>Rajnikant@presidentdhaba.com</t>
  </si>
  <si>
    <t>Vinod</t>
  </si>
  <si>
    <t>Rajnikant@presidentdhaba</t>
  </si>
  <si>
    <t>Krishnapatnam</t>
  </si>
  <si>
    <t xml:space="preserve">Diksha </t>
  </si>
  <si>
    <t>Diksha@myfroyoland</t>
  </si>
  <si>
    <t>Need to follow up</t>
  </si>
  <si>
    <t xml:space="preserve">Myfroyoland </t>
  </si>
  <si>
    <t xml:space="preserve">They are not on online and they are not interested </t>
  </si>
  <si>
    <t xml:space="preserve">Bhai ki chai </t>
  </si>
  <si>
    <t>Not intrested in any online platform as of now after one month they are going to start Restaurent follow up after one month</t>
  </si>
  <si>
    <t xml:space="preserve"> Chai chaska</t>
  </si>
  <si>
    <t>Dinesh</t>
  </si>
  <si>
    <t>Dinesh@natukitchen</t>
  </si>
  <si>
    <t>Nath Kitchen</t>
  </si>
  <si>
    <t>0000</t>
  </si>
  <si>
    <t>Durga@gmail.com</t>
  </si>
  <si>
    <t xml:space="preserve">Palamgiri kitchen </t>
  </si>
  <si>
    <t>Pramod</t>
  </si>
  <si>
    <t>Lavina( owner)</t>
  </si>
  <si>
    <t>Van lavino</t>
  </si>
  <si>
    <t xml:space="preserve">Need to go back to get back the manager </t>
  </si>
  <si>
    <t>Ramkrishna</t>
  </si>
  <si>
    <t>NEED TO GO BACK AFTER 6 to meet the owner</t>
  </si>
  <si>
    <t>Telegu Jublii hills</t>
  </si>
  <si>
    <t>Need to meet with poc , details not shared</t>
  </si>
  <si>
    <t>Thyme and Whisk</t>
  </si>
  <si>
    <t>https://maps.app.goo.gl/H9SX4U2MU2PjPQZe7</t>
  </si>
  <si>
    <t>Ramesh</t>
  </si>
  <si>
    <t>Rama</t>
  </si>
  <si>
    <t>Need a follow up meetings</t>
  </si>
  <si>
    <t>Naughty Kudi</t>
  </si>
  <si>
    <t>Gaurav</t>
  </si>
  <si>
    <t>This club is not interested in online orders as it is dining oriented</t>
  </si>
  <si>
    <t>Insomnia night club</t>
  </si>
  <si>
    <t xml:space="preserve">Aha ruchulu </t>
  </si>
  <si>
    <t>Will call Mr raju and follow up</t>
  </si>
  <si>
    <t>Aha ruchulu</t>
  </si>
  <si>
    <t>Liakhath</t>
  </si>
  <si>
    <t xml:space="preserve">Owner is available 10am-11am everyday </t>
  </si>
  <si>
    <t>Al saba</t>
  </si>
  <si>
    <t xml:space="preserve">Imran </t>
  </si>
  <si>
    <t xml:space="preserve">The owner Mr Imran is in Saudi and he'll return on 27th </t>
  </si>
  <si>
    <t xml:space="preserve">Arabian Mandi </t>
  </si>
  <si>
    <t>Hotel surichi</t>
  </si>
  <si>
    <t xml:space="preserve">Ramesh </t>
  </si>
  <si>
    <t>He is looking for 12%</t>
  </si>
  <si>
    <t>Hotel swaruchi</t>
  </si>
  <si>
    <t xml:space="preserve">Sai kiran </t>
  </si>
  <si>
    <t>73963 68972</t>
  </si>
  <si>
    <t xml:space="preserve"> A</t>
  </si>
  <si>
    <t>Bhimavaram ruchulu</t>
  </si>
  <si>
    <t>Godavari ruchulu</t>
  </si>
  <si>
    <t>Surya</t>
  </si>
  <si>
    <t xml:space="preserve">Discussion done with the owner need to follow up for onboarding as he is busy today </t>
  </si>
  <si>
    <t xml:space="preserve">I need to follow up meeting schedule </t>
  </si>
  <si>
    <t xml:space="preserve">Sirisha fast food </t>
  </si>
  <si>
    <t>Hitesh</t>
  </si>
  <si>
    <t>Discussion done with manager,need to update to manager and I will follow up them</t>
  </si>
  <si>
    <t>Sankar villas tiffins</t>
  </si>
  <si>
    <t xml:space="preserve">Discussion done with manager need to discuss with owner I will follow up </t>
  </si>
  <si>
    <t>Venkateswara foods</t>
  </si>
  <si>
    <t xml:space="preserve">Hussain </t>
  </si>
  <si>
    <t xml:space="preserve"> Na</t>
  </si>
  <si>
    <t xml:space="preserve">Discussion done with 2partners need to discuss with another partner </t>
  </si>
  <si>
    <t>Zaiqa 11</t>
  </si>
  <si>
    <t xml:space="preserve">The owner will be available in jubliee hills branch they have 6outlets </t>
  </si>
  <si>
    <t xml:space="preserve">Kadak house </t>
  </si>
  <si>
    <t>We need to meet different POC on Monday</t>
  </si>
  <si>
    <t xml:space="preserve">Eruvaaka </t>
  </si>
  <si>
    <t>Pavan</t>
  </si>
  <si>
    <t>Meeting On Monday</t>
  </si>
  <si>
    <t>RR Orisha Dhaba</t>
  </si>
  <si>
    <t>Ajay Kumar</t>
  </si>
  <si>
    <t>https://drive.google.com/open?id=1AIJY0WXmXEWz_SjgX4mvaV5iufPJIEDK</t>
  </si>
  <si>
    <t>https://drive.google.com/open?id=1m8Ivaol53x-yS9rTfsZUPVdUAKeXK-g6</t>
  </si>
  <si>
    <t>Bank Details are pending</t>
  </si>
  <si>
    <t>Miyapur</t>
  </si>
  <si>
    <t>Raju Gari Bhimavaram Biryani</t>
  </si>
  <si>
    <t>Sonali Avinash Jadhav</t>
  </si>
  <si>
    <t>https://drive.google.com/open?id=1Yme6KvX9A5Q2bO4gaJvBIARQqEpdANjj</t>
  </si>
  <si>
    <t>Pan Card,Menu, Bank Acount Proof Is Pending</t>
  </si>
  <si>
    <t>Sai Mumbai Famous</t>
  </si>
  <si>
    <t>https://share.google/uwobkDmwrtS7lnqmR</t>
  </si>
  <si>
    <t>Manoj</t>
  </si>
  <si>
    <t>https://drive.google.com/open?id=13Dds29Tr2HY-QAhKBxqO6CFmA56taYhg</t>
  </si>
  <si>
    <t>https://drive.google.com/open?id=1b5A9jNsukoJijOmYkdLeDG4HYchGTAcE</t>
  </si>
  <si>
    <t>040710100033245</t>
  </si>
  <si>
    <t>UBIN0804070</t>
  </si>
  <si>
    <t>Union Bank</t>
  </si>
  <si>
    <t>Madala Rama KrishnaReddy</t>
  </si>
  <si>
    <t>Kothaguda</t>
  </si>
  <si>
    <t>Komdapur</t>
  </si>
  <si>
    <t>Sravanthi tiffins</t>
  </si>
  <si>
    <t xml:space="preserve">Annapurna </t>
  </si>
  <si>
    <t>+91 73373 09794</t>
  </si>
  <si>
    <t xml:space="preserve">Orugallu Ruchulu </t>
  </si>
  <si>
    <t>Ramnath</t>
  </si>
  <si>
    <t xml:space="preserve">Sattibabu Biryani </t>
  </si>
  <si>
    <t>Laxmi Foods and Meals</t>
  </si>
  <si>
    <t>https://drive.google.com/open?id=1aWK762ejH9coEq15X3GXpnOEkFD9iAAt</t>
  </si>
  <si>
    <t>https://drive.google.com/open?id=1f0Y8W6ZF6kcIvmPXr5nQV3I7uDMJbg8W</t>
  </si>
  <si>
    <t xml:space="preserve">Nenu pending </t>
  </si>
  <si>
    <t xml:space="preserve">Kothaguda </t>
  </si>
  <si>
    <t xml:space="preserve">Sravati Biryani </t>
  </si>
  <si>
    <t>https://drive.google.com/open?id=1eKGwCZlTvrm9EuAd82fGvz2TcSFkMfOG</t>
  </si>
  <si>
    <t>https://drive.google.com/open?id=1TB274l4YnS8pi_PsZ8ZaMCBEWk9Ut3_6</t>
  </si>
  <si>
    <t xml:space="preserve">Menu pending </t>
  </si>
  <si>
    <t>Sravanthi Fast Food</t>
  </si>
  <si>
    <t>https://drive.google.com/open?id=1N7xMX3EOZrJDHQhrTC35u_p5wcRgengC</t>
  </si>
  <si>
    <t>https://drive.google.com/open?id=1CVL6Qcvx8sy1Jhl6QyaPogFVKvB8jtAn</t>
  </si>
  <si>
    <t xml:space="preserve">Menu Pending </t>
  </si>
  <si>
    <t>Sravanthi mess</t>
  </si>
  <si>
    <t>Kalayan</t>
  </si>
  <si>
    <t>Owner will be available at 7pm</t>
  </si>
  <si>
    <t>DOSA HUT</t>
  </si>
  <si>
    <t>Srinivas</t>
  </si>
  <si>
    <t>Owner will be available at night</t>
  </si>
  <si>
    <t>Upasanna's Kitchen</t>
  </si>
  <si>
    <t>Owner will be available at Night</t>
  </si>
  <si>
    <t>BFC Crispy N Spicy</t>
  </si>
  <si>
    <t>17.44764549885319, 78.40989510874411</t>
  </si>
  <si>
    <t>Abhishek Agarwal</t>
  </si>
  <si>
    <t>info@bilwa36.com</t>
  </si>
  <si>
    <t>contract signed</t>
  </si>
  <si>
    <t>Thunderbolts</t>
  </si>
  <si>
    <t>2/20/1026</t>
  </si>
  <si>
    <t>Pakka Local Food</t>
  </si>
  <si>
    <t>BHANU SHEKAR</t>
  </si>
  <si>
    <t>Bayyas food hub</t>
  </si>
  <si>
    <t>Gopinath</t>
  </si>
  <si>
    <t>SK FOODS</t>
  </si>
  <si>
    <t>Ahan</t>
  </si>
  <si>
    <t>Contico</t>
  </si>
  <si>
    <t>Yum Crumble Waffle</t>
  </si>
  <si>
    <t>Mohammed yaser</t>
  </si>
  <si>
    <t>Ahmed</t>
  </si>
  <si>
    <t>Tiffin xpress</t>
  </si>
  <si>
    <t>Ganesh</t>
  </si>
  <si>
    <t>Southern Kithchen</t>
  </si>
  <si>
    <t>NIhar</t>
  </si>
  <si>
    <t>Victoria Tiffins and Fast food</t>
  </si>
  <si>
    <t>not intersted</t>
  </si>
  <si>
    <t xml:space="preserve">kings arabian </t>
  </si>
  <si>
    <t>padmavathi kasa</t>
  </si>
  <si>
    <t>80080 49249</t>
  </si>
  <si>
    <t>lanagara house</t>
  </si>
  <si>
    <t xml:space="preserve">sri ramana maharshi food court </t>
  </si>
  <si>
    <t>99801 02334</t>
  </si>
  <si>
    <t>kothaashok25@gmail.com</t>
  </si>
  <si>
    <t>onboarded complete</t>
  </si>
  <si>
    <t xml:space="preserve">pet pooja </t>
  </si>
  <si>
    <t>rehamad</t>
  </si>
  <si>
    <t>lanagarahouse</t>
  </si>
  <si>
    <t xml:space="preserve">oak bistro </t>
  </si>
  <si>
    <t xml:space="preserve">mahesh </t>
  </si>
  <si>
    <t>fire and ice bakers</t>
  </si>
  <si>
    <t xml:space="preserve">red oven </t>
  </si>
  <si>
    <t>he will call us when required</t>
  </si>
  <si>
    <t>redoven</t>
  </si>
  <si>
    <t xml:space="preserve">sri hari </t>
  </si>
  <si>
    <t xml:space="preserve">onboarded </t>
  </si>
  <si>
    <t>sha sha shandar shawarma</t>
  </si>
  <si>
    <t>95051 54858</t>
  </si>
  <si>
    <t>aromabirayanispulaos@gmail.com</t>
  </si>
  <si>
    <t>onbpoarded</t>
  </si>
  <si>
    <t>aroma biryani and pulaos</t>
  </si>
  <si>
    <t xml:space="preserve">srinaik </t>
  </si>
  <si>
    <t>99490 72220</t>
  </si>
  <si>
    <t>karthik reddy</t>
  </si>
  <si>
    <t>collect documents</t>
  </si>
  <si>
    <t>raghavendra tiffens</t>
  </si>
  <si>
    <t>documents</t>
  </si>
  <si>
    <t xml:space="preserve">rs birayani </t>
  </si>
  <si>
    <t xml:space="preserve">samosa party </t>
  </si>
  <si>
    <t>we need to follow up</t>
  </si>
  <si>
    <t>aazeboo</t>
  </si>
  <si>
    <t>Ajar</t>
  </si>
  <si>
    <t>Discussion done with manager,need to follow up</t>
  </si>
  <si>
    <t>Brost nation</t>
  </si>
  <si>
    <t>NEED TO follow up</t>
  </si>
  <si>
    <t>khairthabad</t>
  </si>
  <si>
    <t xml:space="preserve">scoops </t>
  </si>
  <si>
    <t xml:space="preserve">sri poorna </t>
  </si>
  <si>
    <t>akshay</t>
  </si>
  <si>
    <t xml:space="preserve">we need to follow </t>
  </si>
  <si>
    <t xml:space="preserve">sri poorna hotel </t>
  </si>
  <si>
    <t>Abishek</t>
  </si>
  <si>
    <t>8008350423/6300700000</t>
  </si>
  <si>
    <t>Discussion done with one partner and need to discuss with other partner</t>
  </si>
  <si>
    <t>Crave and corners</t>
  </si>
  <si>
    <t>vikas</t>
  </si>
  <si>
    <t xml:space="preserve">avani restraunt </t>
  </si>
  <si>
    <t>need to follow up to schedule into meeting</t>
  </si>
  <si>
    <t>Moms kitchen</t>
  </si>
  <si>
    <t>onborded</t>
  </si>
  <si>
    <t xml:space="preserve">begumpet </t>
  </si>
  <si>
    <t>shawarama house</t>
  </si>
  <si>
    <t>o ginger</t>
  </si>
  <si>
    <t xml:space="preserve">krishna roa </t>
  </si>
  <si>
    <t>follow up</t>
  </si>
  <si>
    <t xml:space="preserve">o ginger </t>
  </si>
  <si>
    <t>Kush mandi</t>
  </si>
  <si>
    <t>Shared proposal need to follow up in next week</t>
  </si>
  <si>
    <t xml:space="preserve">roopchand </t>
  </si>
  <si>
    <t>83099 70801</t>
  </si>
  <si>
    <t>roopchand7545@gmail.Com</t>
  </si>
  <si>
    <t>all onboarding done</t>
  </si>
  <si>
    <t xml:space="preserve">sangam dhaba </t>
  </si>
  <si>
    <t>sameer</t>
  </si>
  <si>
    <t>They have 6 outlets,main branch is in jubliee hills kbr park</t>
  </si>
  <si>
    <t>Kadak house</t>
  </si>
  <si>
    <t>swach</t>
  </si>
  <si>
    <t>mangement</t>
  </si>
  <si>
    <t xml:space="preserve">swach </t>
  </si>
  <si>
    <t>Balle alle punjabi</t>
  </si>
  <si>
    <t xml:space="preserve">Zaiqa 11 </t>
  </si>
  <si>
    <t>Nithesh hussain</t>
  </si>
  <si>
    <t>management</t>
  </si>
  <si>
    <t>narsing</t>
  </si>
  <si>
    <t>abhiruchi sagurha foods</t>
  </si>
  <si>
    <t>Venkateshwara restaurent</t>
  </si>
  <si>
    <t>vellanki</t>
  </si>
  <si>
    <t>vellankifood89@gmail.com</t>
  </si>
  <si>
    <t xml:space="preserve">vellanki </t>
  </si>
  <si>
    <t>Owner was not avilable,need to follow up</t>
  </si>
  <si>
    <t>Sirisha fast food</t>
  </si>
  <si>
    <t>thrive some cafe and cpo</t>
  </si>
  <si>
    <t xml:space="preserve">pravallika </t>
  </si>
  <si>
    <t>followup</t>
  </si>
  <si>
    <t>thrivesome cafe</t>
  </si>
  <si>
    <t>surya</t>
  </si>
  <si>
    <t>Onboarding on monday</t>
  </si>
  <si>
    <t>Godhavari ruchulu</t>
  </si>
  <si>
    <t>sirligampally</t>
  </si>
  <si>
    <t>thualsi villas</t>
  </si>
  <si>
    <t>Zafaron shawarma and chinese fast food</t>
  </si>
  <si>
    <t>raghavendra</t>
  </si>
  <si>
    <t xml:space="preserve">bagwan </t>
  </si>
  <si>
    <t>taaza</t>
  </si>
  <si>
    <t>Hitish</t>
  </si>
  <si>
    <t>NEED TO FOLLOW UP</t>
  </si>
  <si>
    <t>https://maps.app.goo.gl/EVJtCvpror5Cgh7o8</t>
  </si>
  <si>
    <t>anurag</t>
  </si>
  <si>
    <t>Explained everything to the area manager, need to speak with his team and revertback</t>
  </si>
  <si>
    <t>FB Cakes</t>
  </si>
  <si>
    <t xml:space="preserve">Sri akshaya tiffins </t>
  </si>
  <si>
    <t xml:space="preserve">The owner doesn't want to onboard because wants spot settlement. He is not there on other delivery platforms as. Well </t>
  </si>
  <si>
    <t xml:space="preserve">Sri akshaya </t>
  </si>
  <si>
    <t>Midland bakers</t>
  </si>
  <si>
    <t>Will talk to the owner at 2pm</t>
  </si>
  <si>
    <t>Can meet the owner after 2pm</t>
  </si>
  <si>
    <t xml:space="preserve">Blue star restaurant </t>
  </si>
  <si>
    <t>The owner is available after 1 pn</t>
  </si>
  <si>
    <t xml:space="preserve">Rayudu's kitchen </t>
  </si>
  <si>
    <t xml:space="preserve">Vishnu </t>
  </si>
  <si>
    <t>Owner available on Monday after 4</t>
  </si>
  <si>
    <t>Agra sweets</t>
  </si>
  <si>
    <t>Sainadh</t>
  </si>
  <si>
    <t>Owner might be available after 7 pm</t>
  </si>
  <si>
    <t>Sainadh tiffins</t>
  </si>
  <si>
    <t>All the decisions of olive mithai are taken at Hyder guda branch</t>
  </si>
  <si>
    <t xml:space="preserve">Olive mithai </t>
  </si>
  <si>
    <t>https://share.google/UD00MDZGwWVyGDAmY</t>
  </si>
  <si>
    <t xml:space="preserve">Jagadeesh </t>
  </si>
  <si>
    <t>Snakingcafe@gmail.com</t>
  </si>
  <si>
    <t>https://drive.google.com/open?id=1gVIhGFh3TtKR_VDLHfpcXDblyt3RssT2</t>
  </si>
  <si>
    <t>ABNCS4602F</t>
  </si>
  <si>
    <t>https://drive.google.com/open?id=1LYdObCkVkWMoJMNmbQ9OG9HBCq-7ACGq</t>
  </si>
  <si>
    <t>https://drive.google.com/open?id=1KWhmvCRV6edvP7Im57nVrGEySdll2Kkx</t>
  </si>
  <si>
    <t>899 899 812 58</t>
  </si>
  <si>
    <t>Idfcb008022</t>
  </si>
  <si>
    <t>Snaking Cafe private limited</t>
  </si>
  <si>
    <t>Hitech City Hyderabad</t>
  </si>
  <si>
    <t xml:space="preserve">Hitech chity </t>
  </si>
  <si>
    <t>Srinivasa mixture hub</t>
  </si>
  <si>
    <t xml:space="preserve">Owner is available after 6pm. Will follow up </t>
  </si>
  <si>
    <t xml:space="preserve">Big byte </t>
  </si>
  <si>
    <t>Owner available after 6pm</t>
  </si>
  <si>
    <t>Parnasala kitchen</t>
  </si>
  <si>
    <t>Naresh</t>
  </si>
  <si>
    <t>Owner is available after 8pm</t>
  </si>
  <si>
    <t>Rayudu hotels</t>
  </si>
  <si>
    <t>Raghu</t>
  </si>
  <si>
    <t>The owner is available to meet on monday after 2pm</t>
  </si>
  <si>
    <t xml:space="preserve">Subbayamma foods </t>
  </si>
  <si>
    <t>Poc said to come on Monday in the morning time</t>
  </si>
  <si>
    <t xml:space="preserve">Maa oori vanta </t>
  </si>
  <si>
    <t>The owner needs to discuss with his son. Told me to follow up after 2 days</t>
  </si>
  <si>
    <t>Need to prepare proposals while next meet</t>
  </si>
  <si>
    <t>Vasistas  sri lakshmi</t>
  </si>
  <si>
    <t>Followup</t>
  </si>
  <si>
    <t xml:space="preserve">Pind to play </t>
  </si>
  <si>
    <t xml:space="preserve">joel nayak </t>
  </si>
  <si>
    <t>afbm@rdhyderabad.com</t>
  </si>
  <si>
    <t>we need to send them the proposal</t>
  </si>
  <si>
    <t>radisson (chillis)</t>
  </si>
  <si>
    <t>ravi</t>
  </si>
  <si>
    <t>we  need to follow up</t>
  </si>
  <si>
    <t>parampara</t>
  </si>
  <si>
    <t>he is not intersted any online platforms</t>
  </si>
  <si>
    <t>third wave coffee</t>
  </si>
  <si>
    <t>chaitanya food court</t>
  </si>
  <si>
    <t>naresh</t>
  </si>
  <si>
    <t xml:space="preserve">gopi </t>
  </si>
  <si>
    <t>we are meeting him now</t>
  </si>
  <si>
    <t xml:space="preserve">chaitanya food court </t>
  </si>
  <si>
    <t>he is busy need to talk on monday</t>
  </si>
  <si>
    <t>hummus house</t>
  </si>
  <si>
    <t>https://share.google/M1PB6kWW79XB9UDIO</t>
  </si>
  <si>
    <t xml:space="preserve">Yousufguda </t>
  </si>
  <si>
    <t xml:space="preserve">Borasted chicken shawarma </t>
  </si>
  <si>
    <t>prithvi</t>
  </si>
  <si>
    <t>Manager is only available after 5PM</t>
  </si>
  <si>
    <t>Proper structure has to be explained to manager in the follow up meet</t>
  </si>
  <si>
    <t>srivani.reddy@capsdelivery.com</t>
  </si>
  <si>
    <t>Habitat</t>
  </si>
  <si>
    <t>Arjun</t>
  </si>
  <si>
    <t xml:space="preserve">Park frankies </t>
  </si>
  <si>
    <t>Khan</t>
  </si>
  <si>
    <t xml:space="preserve">Manager told that he will discuss with owner &amp; get back to us.
</t>
  </si>
  <si>
    <t xml:space="preserve">Detailed discussion needed about the structure of caps with owner </t>
  </si>
  <si>
    <t>Banjara Hills</t>
  </si>
  <si>
    <t>Pakka Local</t>
  </si>
  <si>
    <t>Follow up required - P0 lead</t>
  </si>
  <si>
    <t>Detailed discussion with manager required as we spoke to cashier at res.</t>
  </si>
  <si>
    <t>Seasons Express</t>
  </si>
  <si>
    <t>Faizal</t>
  </si>
  <si>
    <t>Manager informed to meet after ramzan - after 3PM</t>
  </si>
  <si>
    <t>details has to be discussed with owner</t>
  </si>
  <si>
    <t>Dine Hill</t>
  </si>
  <si>
    <t>kedar@maanhospitality.com</t>
  </si>
  <si>
    <t xml:space="preserve">They asked to share proposal through mail id </t>
  </si>
  <si>
    <t>detailed structure discussion</t>
  </si>
  <si>
    <t>Exotica</t>
  </si>
  <si>
    <t>https://share.google/3zAzeNUNZf8ETdCvG</t>
  </si>
  <si>
    <t>Gunjichandrashekar@gmail.com</t>
  </si>
  <si>
    <t>https://drive.google.com/open?id=1_EsQCbBvreBn1i4-iQY3OWPNNvw0YO6W</t>
  </si>
  <si>
    <t>MJQPS7220H</t>
  </si>
  <si>
    <t>https://drive.google.com/open?id=1ET7KPHyMQAF1mtAz-dPlK-N_MOhW-Dxr</t>
  </si>
  <si>
    <t>https://drive.google.com/open?id=12x4Z2BqC7w_Q3Z9r3zQaOyy6lzRKedSp</t>
  </si>
  <si>
    <t>Indb0000004</t>
  </si>
  <si>
    <t>Indus bank</t>
  </si>
  <si>
    <t xml:space="preserve">Hitech City </t>
  </si>
  <si>
    <t>Sravanam 4am biryani</t>
  </si>
  <si>
    <t>care@manamchocolate.com</t>
  </si>
  <si>
    <t>All the detailed structure discussion has to be done with HO people after they  responded to the proposal which we shared through mail</t>
  </si>
  <si>
    <t>All the detailed structure discussion has to be done with HO people after they are responding to the proposal which we shared through mail</t>
  </si>
  <si>
    <t>manam chocolate</t>
  </si>
  <si>
    <t>Rambabu j</t>
  </si>
  <si>
    <t>https://drive.google.com/open?id=1_NtYZThmlKKbqsgOwqprAq1rGaCg8jqf</t>
  </si>
  <si>
    <t>https://drive.google.com/open?id=17WF4j-GOWBva0yLn5Qgm9Gioh16pcGAe</t>
  </si>
  <si>
    <t>SEA/HYD/ALO/17/1266954/2026</t>
  </si>
  <si>
    <t>https://drive.google.com/open?id=1dntAdXiOb2gZNFvyFl4Z2kXxhX95ZGol</t>
  </si>
  <si>
    <t>Rambabu k</t>
  </si>
  <si>
    <t>Sahi nawabis kitchen</t>
  </si>
  <si>
    <t>Kamlesh</t>
  </si>
  <si>
    <t>https://drive.google.com/open?id=1UB9lnAVZLJ_ESZbSY-C9PQnn3VZ_ryy3</t>
  </si>
  <si>
    <t>LBJPk3162j</t>
  </si>
  <si>
    <t>https://drive.google.com/open?id=1Drkt38q1i_BmH6UAtl3R3QBxeff4pyWK</t>
  </si>
  <si>
    <t>https://drive.google.com/open?id=1GJR5LCAoKfbnGEYOuSrN9dl8OUDyhW5K</t>
  </si>
  <si>
    <t>8146 469 729</t>
  </si>
  <si>
    <t>Kkbk 0007452</t>
  </si>
  <si>
    <t>J manikanth</t>
  </si>
  <si>
    <t xml:space="preserve">Hitech City Hyderabad </t>
  </si>
  <si>
    <t>Mickeys tiffin</t>
  </si>
  <si>
    <t>https://share.google/0FAZRMPoXgCw0Fyoq</t>
  </si>
  <si>
    <t>Asking to send proposal</t>
  </si>
  <si>
    <t>Madhapur</t>
  </si>
  <si>
    <t>Harsha deluxe mess</t>
  </si>
  <si>
    <t>KASOORI - North Indian Rooftop Restaurant https://share.google/IjWb4AWnKSOqkj97T</t>
  </si>
  <si>
    <t>Kondapur</t>
  </si>
  <si>
    <t>Kasoori</t>
  </si>
  <si>
    <t>Eshwar</t>
  </si>
  <si>
    <t>Hello is the main marketing manager looks towards online platforms</t>
  </si>
  <si>
    <t xml:space="preserve">Churrolto </t>
  </si>
  <si>
    <t>cafe coffee day</t>
  </si>
  <si>
    <t>monday</t>
  </si>
  <si>
    <t xml:space="preserve">cafe coffee day </t>
  </si>
  <si>
    <t>chocolate room</t>
  </si>
  <si>
    <t>charan</t>
  </si>
  <si>
    <t>the chocolate room</t>
  </si>
  <si>
    <t>support@roasterycoffee.co.in</t>
  </si>
  <si>
    <t>kapoors cafe</t>
  </si>
  <si>
    <t xml:space="preserve">Shiva </t>
  </si>
  <si>
    <t>+916304551271</t>
  </si>
  <si>
    <t>We need to prepare proposals point for them</t>
  </si>
  <si>
    <t>Babbai hotel</t>
  </si>
  <si>
    <t>THE SIPPING ADDA</t>
  </si>
  <si>
    <t>Thirumala reddy balashow reddy</t>
  </si>
  <si>
    <t>ONBOARDED SOME DOCUMENTS LEFT TO RECEIVE</t>
  </si>
  <si>
    <t>sAI RISHITHA FAST FOOD CENTRE</t>
  </si>
  <si>
    <t xml:space="preserve">Onboarded.I didnt received all documents </t>
  </si>
  <si>
    <t>Sathyaprasad</t>
  </si>
  <si>
    <t>for the discussion owner was not avilable need to follow up</t>
  </si>
  <si>
    <t>ABC Foods (Abiruchi biryani cafe)</t>
  </si>
  <si>
    <t>They had payment issues before with other online platform so now they are not interested in any online platform</t>
  </si>
  <si>
    <t xml:space="preserve">Balaji villas </t>
  </si>
  <si>
    <t>NOt interested in any online platyform</t>
  </si>
  <si>
    <t>Ike cafe the tasty bakery</t>
  </si>
  <si>
    <t>Kamesh</t>
  </si>
  <si>
    <t>Owner was not avilable, need to follow up for meeting schedule</t>
  </si>
  <si>
    <t>Tealogy cafe</t>
  </si>
  <si>
    <t>no one was for discussion didnt shared the contact details</t>
  </si>
  <si>
    <t>Hotel annamayya</t>
  </si>
  <si>
    <t>Krishna mohan</t>
  </si>
  <si>
    <t>Discussion done with manager,need to follow up for schedule meeting with owner</t>
  </si>
  <si>
    <t>Chickpet donne biryani house</t>
  </si>
  <si>
    <t>need to follow up to schedule meeting</t>
  </si>
  <si>
    <t>Dhaba food court</t>
  </si>
  <si>
    <t>Scheduled meeting on monday after 14:30</t>
  </si>
  <si>
    <t>sRI GOWRAS KITCHEN</t>
  </si>
  <si>
    <t>GOPI</t>
  </si>
  <si>
    <t>Tiffin kottu</t>
  </si>
  <si>
    <t>Owner was not available need to follow up</t>
  </si>
  <si>
    <t>Giri food court</t>
  </si>
  <si>
    <t>Mathru sree athidhidevobhava</t>
  </si>
  <si>
    <t>Present they are not interested, need to follow up after launch</t>
  </si>
  <si>
    <t>Induru spice kitchen</t>
  </si>
  <si>
    <t>Avinay sharma</t>
  </si>
  <si>
    <t>Meeting scheduled on tuesday after 14:00</t>
  </si>
  <si>
    <t>HIMAVANTH</t>
  </si>
  <si>
    <t>NEED TO FOLLOW UP FOR DISCUSSION</t>
  </si>
  <si>
    <t xml:space="preserve">Thakshashila curries </t>
  </si>
  <si>
    <t>Irawath kitchen</t>
  </si>
  <si>
    <t>I didnt recevied all the documents yet</t>
  </si>
  <si>
    <t>Ravi</t>
  </si>
  <si>
    <t>Discussion done with one parnter need to follow to schedule meeting with other partmer</t>
  </si>
  <si>
    <t>Ruchullo rarraju</t>
  </si>
  <si>
    <t>Sri venkateswara food court</t>
  </si>
  <si>
    <t>Thirupathi</t>
  </si>
  <si>
    <t>Need to follow up for documents collection</t>
  </si>
  <si>
    <t>Perch 24 cafe</t>
  </si>
  <si>
    <t>Saurabh yadav</t>
  </si>
  <si>
    <t>+916284003952</t>
  </si>
  <si>
    <t xml:space="preserve">He said he will talk to the owner and onboard </t>
  </si>
  <si>
    <t>The owner will return on 25th</t>
  </si>
  <si>
    <t xml:space="preserve">Sree teja food court </t>
  </si>
  <si>
    <t xml:space="preserve">The manage is convinced, he agreed to onboard on Tues </t>
  </si>
  <si>
    <t xml:space="preserve">Padmavathi food court </t>
  </si>
  <si>
    <t>We should call to the decision makers who live in nellore and talk to them. I have listed their number in the form</t>
  </si>
  <si>
    <t>Call nellore which the decision making place</t>
  </si>
  <si>
    <t xml:space="preserve">The organic creamery </t>
  </si>
  <si>
    <t xml:space="preserve">Koushik </t>
  </si>
  <si>
    <t xml:space="preserve">Mr Kousiks sister is the owner and she will be available on Monday </t>
  </si>
  <si>
    <t xml:space="preserve">Cranelle </t>
  </si>
  <si>
    <t>The owner is not interested in delivery apps</t>
  </si>
  <si>
    <t xml:space="preserve">Aditya kitchen </t>
  </si>
  <si>
    <t>https://drive.google.com/open?id=1p0EP3qh90HYIFgre-tk0LkewVFMbKRdA</t>
  </si>
  <si>
    <t>https://drive.google.com/open?id=1v2azjikW30IslxTYOt5Ug-p8vp0xLrgW</t>
  </si>
  <si>
    <t>Menu and Bank details are pending</t>
  </si>
  <si>
    <t>Dosa Hut</t>
  </si>
  <si>
    <t>Upasana's Kitchen</t>
  </si>
  <si>
    <t>BFC Crispy And Spicy</t>
  </si>
  <si>
    <t>Pakka Local Food Court</t>
  </si>
  <si>
    <t>Likith</t>
  </si>
  <si>
    <t>I send him the proposal ,need time to think</t>
  </si>
  <si>
    <t>Highway Resturant</t>
  </si>
  <si>
    <t>He want to discuss with his brother</t>
  </si>
  <si>
    <t>Ulavacharu</t>
  </si>
  <si>
    <t>Virababu</t>
  </si>
  <si>
    <t>Kakatiya Home Foods</t>
  </si>
  <si>
    <t>Na0</t>
  </si>
  <si>
    <t>Owner is  not available,They are not ready to give number</t>
  </si>
  <si>
    <t>Sri Ragavendra Vihar</t>
  </si>
  <si>
    <t>Kishore</t>
  </si>
  <si>
    <t>We need to send details in Whatsapp</t>
  </si>
  <si>
    <t>The Spicy Unions</t>
  </si>
  <si>
    <t>https://drive.google.com/open?id=1dCLs2DtvSUrxj10Ah6RkKP8Fl1ZdDrwy</t>
  </si>
  <si>
    <t>Pan Card,Menu and Bank Details Are Pending</t>
  </si>
  <si>
    <t>Need to follow up with the owner</t>
  </si>
  <si>
    <t xml:space="preserve">Bheema Restaurant </t>
  </si>
  <si>
    <t>Follow up with owner</t>
  </si>
  <si>
    <t xml:space="preserve">Farasha restaurant </t>
  </si>
  <si>
    <t>Arman</t>
  </si>
  <si>
    <t>Arabian mandi</t>
  </si>
  <si>
    <t>Bakely https://share.google/EPgu0uthGQLelQOzx</t>
  </si>
  <si>
    <t>Sumanth</t>
  </si>
  <si>
    <t>9394 141282</t>
  </si>
  <si>
    <t>https://drive.google.com/open?id=1HJGX_svu90CwIK68w9IGPfdhDRpFWrqH</t>
  </si>
  <si>
    <t xml:space="preserve"> 36BXTPC4618M2ZX</t>
  </si>
  <si>
    <t>https://drive.google.com/open?id=187v22aA0xNfGlmPAZh9n_16ShklAhoDj</t>
  </si>
  <si>
    <t>BXTPC4618M</t>
  </si>
  <si>
    <t>https://drive.google.com/open?id=1wjDPbjKlLQoYE8u69vV_LFQ71g-3bjbM</t>
  </si>
  <si>
    <t>https://drive.google.com/open?id=1iFWqFpvXzhdgWHC7QJbB04xfKRRCZ6XI</t>
  </si>
  <si>
    <t>6056 1936 317</t>
  </si>
  <si>
    <t>MAHB001361</t>
  </si>
  <si>
    <t>The bakely</t>
  </si>
  <si>
    <t xml:space="preserve">Kondapur Gachibowli </t>
  </si>
  <si>
    <t>Bakely cafe</t>
  </si>
  <si>
    <t xml:space="preserve">SUMANTH </t>
  </si>
  <si>
    <t>https://drive.google.com/open?id=18F5QkGfb2iE-oL-r98unRi2bzST-d0TS</t>
  </si>
  <si>
    <t>36BXTPC4618M2ZX</t>
  </si>
  <si>
    <t>https://drive.google.com/open?id=1pOv4Zdu0lqow7rXLOJueAjWaFCeReO13</t>
  </si>
  <si>
    <t>Bxtpc4618m</t>
  </si>
  <si>
    <t>https://drive.google.com/open?id=1ux7aC5lwsqUjooJ1TI0c3bkstcoRDbjy</t>
  </si>
  <si>
    <t>https://drive.google.com/open?id=1YveRWqKuQSveB578ZRwwNhhBR7WmMX_t</t>
  </si>
  <si>
    <t>6056 193 6317</t>
  </si>
  <si>
    <t>M a h b 001361</t>
  </si>
  <si>
    <t>The Bakely bakers</t>
  </si>
  <si>
    <t xml:space="preserve">Partnership, </t>
  </si>
  <si>
    <t>https://maps.app.goo.gl/ZX1PKgCmqgjduocj7</t>
  </si>
  <si>
    <t>00000</t>
  </si>
  <si>
    <t>Aura telegu kitchen</t>
  </si>
  <si>
    <t>https://maps.app.goo.gl/k9WJWwkpwA3V2dof7</t>
  </si>
  <si>
    <t>Dharma</t>
  </si>
  <si>
    <t>Need to follow up with the owner for onboarding</t>
  </si>
  <si>
    <t xml:space="preserve">Chinese Chinese kitchen </t>
  </si>
  <si>
    <t>Harika</t>
  </si>
  <si>
    <t>Biriyani &amp; bagara</t>
  </si>
  <si>
    <t>Safedesk</t>
  </si>
  <si>
    <t>https://maps.app.goo.gl/TTtJ7J4W3bw8JTsu9</t>
  </si>
  <si>
    <t>Ankaiya</t>
  </si>
  <si>
    <t>ankaiah85@gmail.com</t>
  </si>
  <si>
    <t>Need to follow up on Next monday</t>
  </si>
  <si>
    <t>60-70</t>
  </si>
  <si>
    <t>Sri Mama"s kitchen</t>
  </si>
  <si>
    <t>Irfan</t>
  </si>
  <si>
    <t>www.alfamadreat.com</t>
  </si>
  <si>
    <t>Alfa MadrEat</t>
  </si>
  <si>
    <t>https://maps.app.goo.gl/VdnukP9PkqLLhWqQ7</t>
  </si>
  <si>
    <t>Anil kumar</t>
  </si>
  <si>
    <t>https://drive.google.com/open?id=1a_4H2_9CknTE0d_ON89ybjkve64jWQor</t>
  </si>
  <si>
    <t>https://drive.google.com/open?id=1IcLcoA65m0XFP3qZjF2SsWwBsqCQdqsm</t>
  </si>
  <si>
    <t>https://drive.google.com/open?id=1TQ8Yzk_vYM49ejCMETCOPr4RFK0U5R2D</t>
  </si>
  <si>
    <t>HDFC0006765</t>
  </si>
  <si>
    <t xml:space="preserve">D Indra </t>
  </si>
  <si>
    <t xml:space="preserve">Madhapur Hyderabad </t>
  </si>
  <si>
    <t>Dostan Meals &amp; snacks</t>
  </si>
  <si>
    <t>https://maps.app.goo.gl/tWWabBCKUvnGKtRT9</t>
  </si>
  <si>
    <t>Owner needs to discuss and come back</t>
  </si>
  <si>
    <t>fushion xps</t>
  </si>
  <si>
    <t>https://maps.app.goo.gl/1RTgYEiDbyhJ6orG7</t>
  </si>
  <si>
    <t>Anil Kumar</t>
  </si>
  <si>
    <t>https://drive.google.com/open?id=1QtpPmtQ2GmKhyIwRqjT1D_J7nAdTaTI1</t>
  </si>
  <si>
    <t>https://drive.google.com/open?id=1lZk9Mia_V5B7OxDVWY4dSqga4JVxiyvG</t>
  </si>
  <si>
    <t>https://drive.google.com/open?id=1SXiJmvMSwMpmmTquzUuPQb56rv-arqLv</t>
  </si>
  <si>
    <t>HDFCOO06765</t>
  </si>
  <si>
    <t>D Indira</t>
  </si>
  <si>
    <t xml:space="preserve">Dostan Fast food </t>
  </si>
  <si>
    <t>https://maps.app.goo.gl/ScmmEJwWb3SHJCqB9</t>
  </si>
  <si>
    <t>https://drive.google.com/open?id=1SeRPTsRYQVU6SkqR9ic9_CMF0KvW45tR</t>
  </si>
  <si>
    <t>CJNPB6905R</t>
  </si>
  <si>
    <t>https://drive.google.com/open?id=1WR5kN81INs4UxikzdQZvdQ0EUOcCKs0y</t>
  </si>
  <si>
    <t>https://drive.google.com/open?id=129B7kMmSpA4mZCafFz_8IRegXJt-_4J9</t>
  </si>
  <si>
    <t>Dostan Tiffins</t>
  </si>
  <si>
    <t>https://maps.app.goo.gl/TNeKE9L8oEFahn8R9</t>
  </si>
  <si>
    <t>https://drive.google.com/open?id=13zsfyiLjJMynVxqMk6rFJhdR41TMTvky</t>
  </si>
  <si>
    <t>https://drive.google.com/open?id=11hizKFhvCBegDx8AxAxXCCMSNoCjcqqC</t>
  </si>
  <si>
    <t>https://drive.google.com/open?id=1ptS7jZ5pkn_KDPll2GvtPRg-N_0wFMVV</t>
  </si>
  <si>
    <t xml:space="preserve">Dostan Shawarma </t>
  </si>
  <si>
    <t>https://maps.app.goo.gl/59keb47TwkDraerf6</t>
  </si>
  <si>
    <t>https://drive.google.com/open?id=1Ub1wrnAcgo91klgFqZiNehSro4IEjnGR</t>
  </si>
  <si>
    <t>https://drive.google.com/open?id=1sdfFL7T8Wpj1CdAuuGImQkFHNds0Egke</t>
  </si>
  <si>
    <t>https://drive.google.com/open?id=1elXh5YeFZuytioObyDQQWMaskfXNiB23</t>
  </si>
  <si>
    <t>Dostan Biryani's</t>
  </si>
  <si>
    <t>Hungry spot https://share.google/CfZOTOP18H9N78OS2</t>
  </si>
  <si>
    <t>Ibrahim</t>
  </si>
  <si>
    <t>ΑΡΥΡΙ7474M</t>
  </si>
  <si>
    <t>https://drive.google.com/open?id=1vuoP8YRkmZ0wDCyP7OFh4PBIm_E2X6Ah</t>
  </si>
  <si>
    <t>https://drive.google.com/open?id=1Klvkr959tFdbo3st2OPnbRGO46ox4r5Q</t>
  </si>
  <si>
    <t>CBIN0283826</t>
  </si>
  <si>
    <t xml:space="preserve">Mohammed Ibrahim </t>
  </si>
  <si>
    <t>KondapurHyderabad</t>
  </si>
  <si>
    <t>The Hungry Spot</t>
  </si>
  <si>
    <t>Manager will be avaialble at night</t>
  </si>
  <si>
    <t xml:space="preserve">Imperial restaurant </t>
  </si>
  <si>
    <t>Faisal</t>
  </si>
  <si>
    <t>The owner will be available at 1pm everyday</t>
  </si>
  <si>
    <t>Firdous hotel</t>
  </si>
  <si>
    <t xml:space="preserve">The owner will be available in the evenings, will try to accomodate his appointment </t>
  </si>
  <si>
    <t xml:space="preserve">R K grand restaurant </t>
  </si>
  <si>
    <t xml:space="preserve">The owner will be available after 7pm but they're not giving his number </t>
  </si>
  <si>
    <t>Jai Tulja bhavani curries</t>
  </si>
  <si>
    <t>Owner told to come afternoon Tomorrow</t>
  </si>
  <si>
    <t>Rokali</t>
  </si>
  <si>
    <t>Dhanvir</t>
  </si>
  <si>
    <t>he need to discuss with owner</t>
  </si>
  <si>
    <t>Bejing Bistro</t>
  </si>
  <si>
    <t>Afroz</t>
  </si>
  <si>
    <t>owner will be available in call at 5 pm</t>
  </si>
  <si>
    <t>Liimra Arabian Mandi House</t>
  </si>
  <si>
    <t>Abhinav Reddy</t>
  </si>
  <si>
    <t>Owner was not available</t>
  </si>
  <si>
    <t>Namaste Hyderabad</t>
  </si>
  <si>
    <t>Nasimathar</t>
  </si>
  <si>
    <t>He need time to discuss with his owner</t>
  </si>
  <si>
    <t>Royal Bawarchi</t>
  </si>
  <si>
    <t>https://drive.google.com/open?id=1x2qQkfoWv8LumP2sZtDcM6fLv8gn22UJ</t>
  </si>
  <si>
    <t>Menu,Pan,Bank Details are pending</t>
  </si>
  <si>
    <t>Hafeezpet</t>
  </si>
  <si>
    <t>Sri Nakshatra Chinese Hub</t>
  </si>
  <si>
    <t>Club 10 Chicken</t>
  </si>
  <si>
    <t>Priyanka</t>
  </si>
  <si>
    <t>https://drive.google.com/open?id=1OSXdDkPlFCtN36zLV3BYIEOJisFzmKMS</t>
  </si>
  <si>
    <t>Theja</t>
  </si>
  <si>
    <t>We can talk with the owner after 6 pm</t>
  </si>
  <si>
    <t>Hotel Chal Mohana Ranga Biryani's</t>
  </si>
  <si>
    <t>Narendra</t>
  </si>
  <si>
    <t>After app launch he will decide</t>
  </si>
  <si>
    <t>Sravani Biryani's</t>
  </si>
  <si>
    <t>Ownee will be available tomorrow afternoon</t>
  </si>
  <si>
    <t>RK delux mess</t>
  </si>
  <si>
    <t>Abhinav</t>
  </si>
  <si>
    <t xml:space="preserve">He want to discuss with his brother who handles swiggy and zomato
-If he is interested he will onboard tomorrow </t>
  </si>
  <si>
    <t>TOC Bakers and Confectioners</t>
  </si>
  <si>
    <t>https://share.google/rBQh0y9tZ3jb15iLq</t>
  </si>
  <si>
    <t>Sarovar Portico Hotel</t>
  </si>
  <si>
    <t>Abhijay Verma</t>
  </si>
  <si>
    <t>gmhpo@sarovarhotels.com</t>
  </si>
  <si>
    <t>Proposal email sent</t>
  </si>
  <si>
    <t>https://share.google/oLGEXqY5nrFZoHwwT</t>
  </si>
  <si>
    <t>Hotel Greenpark &amp; Marigold</t>
  </si>
  <si>
    <t>NIRANJAN</t>
  </si>
  <si>
    <t>fbmgr.hyd@hotelgreenpark.com</t>
  </si>
  <si>
    <t>Proposal Email Sent</t>
  </si>
  <si>
    <t>Hotel Greenpark</t>
  </si>
  <si>
    <t xml:space="preserve">Zam zam restaurant </t>
  </si>
  <si>
    <t>Mohd qureshi</t>
  </si>
  <si>
    <t>He agreed to onboard, he asked me to come tomorrow at 1:00</t>
  </si>
  <si>
    <t xml:space="preserve">Sri Sai tiffins and curry point </t>
  </si>
  <si>
    <t>Sujini</t>
  </si>
  <si>
    <t>She is the signing authority and she'll ask her husband and will follow up</t>
  </si>
  <si>
    <t>Sri Sai tiffins and curry point</t>
  </si>
  <si>
    <t>Pranav</t>
  </si>
  <si>
    <t>Pranav didn't answer the call</t>
  </si>
  <si>
    <t>Honeyman</t>
  </si>
  <si>
    <t>I have submitted all the company related details and have forwarded parthivs number for further refery</t>
  </si>
  <si>
    <t>Vaibhavam</t>
  </si>
  <si>
    <t xml:space="preserve">Al furquan hotel </t>
  </si>
  <si>
    <t>The owner is not interested in delivery apps due to settlement times</t>
  </si>
  <si>
    <t>Al furquan hotel</t>
  </si>
  <si>
    <t>Amjad</t>
  </si>
  <si>
    <t xml:space="preserve">The owner is only available after 9pm </t>
  </si>
  <si>
    <t xml:space="preserve">Arabian zaiqa restaurant </t>
  </si>
  <si>
    <t xml:space="preserve">The owner is available only in midnight </t>
  </si>
  <si>
    <t>Hotel MS pride</t>
  </si>
  <si>
    <t>A, Nagar, 8-415/81, Sapthagiri Colony, Indra Reddy Allwyn Colony, Hafeezpet, Hyderabad, Telangana 500049</t>
  </si>
  <si>
    <t>SHARAT</t>
  </si>
  <si>
    <t>Mahabaala food court</t>
  </si>
  <si>
    <t>The Thickshake Factory</t>
  </si>
  <si>
    <t>Muzzammil</t>
  </si>
  <si>
    <t>Offered 17++ for 3 years, He will get back to us by next week</t>
  </si>
  <si>
    <t>The Thick Shake Factory</t>
  </si>
  <si>
    <t>New Hafeezpet, Marthanda Nagar, Hafeezpet, Hyderabad, Telangana 500049</t>
  </si>
  <si>
    <t>BISMILLAH HOTEL</t>
  </si>
  <si>
    <t xml:space="preserve">not intersted </t>
  </si>
  <si>
    <t>hotel anandh bhavan</t>
  </si>
  <si>
    <t>90001 60480</t>
  </si>
  <si>
    <t>towlichowki</t>
  </si>
  <si>
    <t xml:space="preserve">bal al mandi </t>
  </si>
  <si>
    <t>taaza tiffens</t>
  </si>
  <si>
    <t>santhosh reddy</t>
  </si>
  <si>
    <t>meeting after 10 am any day</t>
  </si>
  <si>
    <t>babai hotel</t>
  </si>
  <si>
    <t>kumar</t>
  </si>
  <si>
    <t>meet on tuesday</t>
  </si>
  <si>
    <t xml:space="preserve">babai hotel </t>
  </si>
  <si>
    <t>onboarding completeed</t>
  </si>
  <si>
    <t>kistmatpur</t>
  </si>
  <si>
    <t>rowdy momo express</t>
  </si>
  <si>
    <t>Santosh</t>
  </si>
  <si>
    <t>+91 8074 742 850</t>
  </si>
  <si>
    <t>New proposal with 15++ for 3 years contract sent, he will get back</t>
  </si>
  <si>
    <t>https://share.google/FQROJgExIdqy3vrwr</t>
  </si>
  <si>
    <t>Prost</t>
  </si>
  <si>
    <t>Raju Kumar</t>
  </si>
  <si>
    <t>Rajkumar@prost.in</t>
  </si>
  <si>
    <t>Raj B</t>
  </si>
  <si>
    <t>Manager@prost.in  Exclusive@prost.in</t>
  </si>
  <si>
    <t>Asked to meet tomorrow 24/02/2026 at 3PM</t>
  </si>
  <si>
    <t>https://share.google/s5YB6CZB2NHCEXpOl</t>
  </si>
  <si>
    <t>Paradise Biryani</t>
  </si>
  <si>
    <t>Rajesh Kulkarni</t>
  </si>
  <si>
    <t>98852 14121</t>
  </si>
  <si>
    <t>Tried calling him but he did not answer the call. POC ashish suggested to visit the corporate office between MON - FRI (11:00 - 18:00)</t>
  </si>
  <si>
    <t>The headoffice is at jubliihills need to visit for discussion</t>
  </si>
  <si>
    <t>Chutneys</t>
  </si>
  <si>
    <t>Nagendhar rao</t>
  </si>
  <si>
    <t>The owner was not Avilable in the city,he will be back after 10days need to follow up after 10days</t>
  </si>
  <si>
    <t xml:space="preserve">hotel bheemas grand </t>
  </si>
  <si>
    <t xml:space="preserve"> Syed zenil </t>
  </si>
  <si>
    <t>Owner was not available in India,he went for visiting Dubai</t>
  </si>
  <si>
    <t xml:space="preserve"> New farasha cafe </t>
  </si>
  <si>
    <t>Saffi arman</t>
  </si>
  <si>
    <t>Owner was not available at the moment</t>
  </si>
  <si>
    <t>need to follopw up for scheduling meeting</t>
  </si>
  <si>
    <t>Savera hills hotel</t>
  </si>
  <si>
    <t>srinivas</t>
  </si>
  <si>
    <t>Revisited again for the feedback still they are busy with other things,they need time to get back</t>
  </si>
  <si>
    <t>Oura telugu kitchen</t>
  </si>
  <si>
    <t xml:space="preserve">City chefs kitchen </t>
  </si>
  <si>
    <t xml:space="preserve">Appointment fixed for tomorrow for the feedback </t>
  </si>
  <si>
    <t xml:space="preserve">Harika </t>
  </si>
  <si>
    <t>Need to discuss with other partner</t>
  </si>
  <si>
    <t xml:space="preserve">Bagara and biryani </t>
  </si>
  <si>
    <t>Kundhan</t>
  </si>
  <si>
    <t>Revisited again for the feedback but owner is not available</t>
  </si>
  <si>
    <t>Ruchi plaza</t>
  </si>
  <si>
    <t>Asked to share the proposal,shared the proposal next meeting fixed next Monday for the follow up</t>
  </si>
  <si>
    <t>Sri mamas kitchen</t>
  </si>
  <si>
    <t>They are on swiggy and zomato before,they had payment issues so at present they are not interested</t>
  </si>
  <si>
    <t xml:space="preserve">Annapurna hotel </t>
  </si>
  <si>
    <t>The owner was not available,call back at 20:00</t>
  </si>
  <si>
    <t xml:space="preserve">Alfa madr eat </t>
  </si>
  <si>
    <t>Syed Harshad</t>
  </si>
  <si>
    <t>Shah restaurant</t>
  </si>
  <si>
    <t>thenawaabsrestaurant@gmail.com</t>
  </si>
  <si>
    <t>Need to sent proposal</t>
  </si>
  <si>
    <t xml:space="preserve">The nawaabs restaurant </t>
  </si>
  <si>
    <t>Amith</t>
  </si>
  <si>
    <t>Store manager will be from 9:00-18:00</t>
  </si>
  <si>
    <t xml:space="preserve">Leons burger and burger  </t>
  </si>
  <si>
    <t>Shaiju</t>
  </si>
  <si>
    <t>They have 3 outlets in hyd got business development numberhe is the descion maker</t>
  </si>
  <si>
    <t>Albaik</t>
  </si>
  <si>
    <t>Tarun</t>
  </si>
  <si>
    <t xml:space="preserve">Manager was not available for discussion,I will follow up to schedule meeting </t>
  </si>
  <si>
    <t>Raasa cafe</t>
  </si>
  <si>
    <t>AKRAM</t>
  </si>
  <si>
    <t xml:space="preserve">OWNER WILL BE AVAILABLE AFTER 4PM </t>
  </si>
  <si>
    <t xml:space="preserve"> A1 hotel </t>
  </si>
  <si>
    <t>arif khan</t>
  </si>
  <si>
    <t>OWNER WILL BE AVAILABLE TOMMROW</t>
  </si>
  <si>
    <t>OWNER WILL  BE AVAILABLE TOMMROW</t>
  </si>
  <si>
    <t xml:space="preserve"> al bawadi mandi</t>
  </si>
  <si>
    <t>manoj</t>
  </si>
  <si>
    <t>94402 21946</t>
  </si>
  <si>
    <t>SRK food court</t>
  </si>
  <si>
    <t>SAYED AYYA</t>
  </si>
  <si>
    <t>WILL BE AVAILABLE TOMMROW</t>
  </si>
  <si>
    <t>AVAILABLE TOMMROW</t>
  </si>
  <si>
    <t xml:space="preserve">fresh and hot </t>
  </si>
  <si>
    <t>ARSHAD</t>
  </si>
  <si>
    <t xml:space="preserve">shurfa  mandi </t>
  </si>
  <si>
    <t xml:space="preserve"> felfelah </t>
  </si>
  <si>
    <t>ADIL</t>
  </si>
  <si>
    <t>ASKED TO COME TOMMROW</t>
  </si>
  <si>
    <t>SIDDIQUE</t>
  </si>
  <si>
    <t>ASKED TO COME BY 3PM</t>
  </si>
  <si>
    <t>WILL BE AVAILABLE AFTER 12PM</t>
  </si>
  <si>
    <t xml:space="preserve">hotel city diamond </t>
  </si>
  <si>
    <t>17.40725330200793, 78.41484312470567</t>
  </si>
  <si>
    <t>NASEER</t>
  </si>
  <si>
    <t xml:space="preserve"> 97041 41884</t>
  </si>
  <si>
    <t>https://drive.google.com/open?id=1QASk-_HGmQ0IuQXHwiHAig9s7moEqiC5</t>
  </si>
  <si>
    <t>NASEER KHAN</t>
  </si>
  <si>
    <t>+91 97041 41884</t>
  </si>
  <si>
    <t>gate no.3, Paramount Hills, Toli Chowki, Hyderabad, Telangana 500008</t>
  </si>
  <si>
    <t>HAKIMPET</t>
  </si>
  <si>
    <t xml:space="preserve">khans arabian shawarma </t>
  </si>
  <si>
    <t>17°24'25.3"N 78°24'53.2"E</t>
  </si>
  <si>
    <t>ALTHAF</t>
  </si>
  <si>
    <t>ASKED TO COME AFTERNOON 2:45</t>
  </si>
  <si>
    <t xml:space="preserve">ASKED TO COME TOMMROW </t>
  </si>
  <si>
    <t>TOWLICHOWKI</t>
  </si>
  <si>
    <t xml:space="preserve"> makhayad al arabi </t>
  </si>
  <si>
    <t>SRINIVAS</t>
  </si>
  <si>
    <t>ASKED TO COME AT TOMMROW AT 4 PM</t>
  </si>
  <si>
    <t>NOT AVAILABLE ASKED TO COME TOMROW</t>
  </si>
  <si>
    <t xml:space="preserve">poorna food court </t>
  </si>
  <si>
    <t>rehmat</t>
  </si>
  <si>
    <t xml:space="preserve"> kebabwala</t>
  </si>
  <si>
    <t>YESHWANT</t>
  </si>
  <si>
    <t>WILL BE AVAILABLE AT 3:30 PM</t>
  </si>
  <si>
    <t>WILL BE AVAILABLE 4PM</t>
  </si>
  <si>
    <t xml:space="preserve">mana ruchulu </t>
  </si>
  <si>
    <t>RAJU</t>
  </si>
  <si>
    <t>Crispycorner0889@gmail.com</t>
  </si>
  <si>
    <t>https://drive.google.com/open?id=1wJgd-9hPULgaYdKEsVJjrsjTjoyxshJe</t>
  </si>
  <si>
    <t>QFKPS1604R</t>
  </si>
  <si>
    <t>H. No. 37-154/50, Somaiah Nagar, Jagathgirigutta, Medchal- Malkajgiri dist, Telangana-500037</t>
  </si>
  <si>
    <t>GACHIBOWLI</t>
  </si>
  <si>
    <t xml:space="preserve">crispy corner </t>
  </si>
  <si>
    <t>Recaho</t>
  </si>
  <si>
    <t>https://maps.app.goo.gl/fCaFg8X4E9UMrVj99</t>
  </si>
  <si>
    <t>Rajesh kumar</t>
  </si>
  <si>
    <t>nrrajesh22@gmail.com</t>
  </si>
  <si>
    <t>https://drive.google.com/open?id=1tUcBmTY88ciHV2VZKdmGUSTObadrxrrK</t>
  </si>
  <si>
    <t>36AUKPN4244RIZV</t>
  </si>
  <si>
    <t>https://drive.google.com/open?id=1sPfPvJNakWzDXB9tu924f-bgmxo3i20V</t>
  </si>
  <si>
    <t>AUKPN4244R</t>
  </si>
  <si>
    <t>https://drive.google.com/open?id=1-ZRqjAzUwxYL4bYH2PJSsL1fX3ZRmVnK</t>
  </si>
  <si>
    <t>https://drive.google.com/open?id=1bhGvPXDDdK_nQNmOHXe3W2kovW_aFJkU</t>
  </si>
  <si>
    <t>YESB0001196</t>
  </si>
  <si>
    <t>N Rajesh kumar</t>
  </si>
  <si>
    <t>Will open online after March 20 2026</t>
  </si>
  <si>
    <t>Financial district Hyderabad fighter 500046</t>
  </si>
  <si>
    <t xml:space="preserve">Financial district </t>
  </si>
  <si>
    <t>Sri Vigneshwara nellore ruchulu</t>
  </si>
  <si>
    <t>Sri Vigneshwara Aaha Bhojanam https://share.google/PwTHMHsXO3YCp34vE</t>
  </si>
  <si>
    <t>Jagadeeshnagothu88@gmail.com</t>
  </si>
  <si>
    <t>https://drive.google.com/open?id=1QHOJrjQ-bogE42gz1ED2GU99sKB7bE8g</t>
  </si>
  <si>
    <t>DAXPJ4199B</t>
  </si>
  <si>
    <t>https://drive.google.com/open?id=1FlTDmXDLyyVsRmXAEcUptJ6Ok7pSB0cC</t>
  </si>
  <si>
    <t>https://drive.google.com/open?id=12aSpcfELc-0b_8s3NDaYnlXXNVWRcf2-</t>
  </si>
  <si>
    <t>YESB0001453</t>
  </si>
  <si>
    <t xml:space="preserve">Sri Vigneshwara aaha Bojhanam </t>
  </si>
  <si>
    <t>Financial district Hyderabad</t>
  </si>
  <si>
    <t>Sri Vigneshwara aaha Bojhanam</t>
  </si>
  <si>
    <t>Ajay</t>
  </si>
  <si>
    <t>78930 5309 0</t>
  </si>
  <si>
    <t>jagadeeshnagothu88@gmail.com</t>
  </si>
  <si>
    <t>https://drive.google.com/open?id=1NXxcnA8eUQVkK1CZ_dZ-SV5r4d5y6oLM</t>
  </si>
  <si>
    <t>https://drive.google.com/open?id=1AUuJgduHEABT2rNKEj_CQcm5Fg0DX8Cq</t>
  </si>
  <si>
    <t>https://drive.google.com/open?id=1U3r1RGgeuGSs_ZfLpT7Dh9NcAt-p4Ewq</t>
  </si>
  <si>
    <t xml:space="preserve">Sri Vigneshwara aaha Bhojanam </t>
  </si>
  <si>
    <t>Aaha Bhojanam</t>
  </si>
  <si>
    <t>CAFE 74 https://share.google/TYORwrLcPj16kLlCm</t>
  </si>
  <si>
    <t>Nanda kishore</t>
  </si>
  <si>
    <t>cafe74tangos@gmail.com</t>
  </si>
  <si>
    <t>https://drive.google.com/open?id=1GBBHeRrEgqXpMR0Bwyb9qWksXR5CNScb</t>
  </si>
  <si>
    <t>ANOPG6386L</t>
  </si>
  <si>
    <t>https://drive.google.com/open?id=1uMIvQMobHYkC0SuzTuCD4Dsvs5m7_Ozn</t>
  </si>
  <si>
    <t>CNRB0013313</t>
  </si>
  <si>
    <t>GANAPATHI NANDAKISHORE</t>
  </si>
  <si>
    <t>Cafe 74</t>
  </si>
  <si>
    <t xml:space="preserve">Chandra Shekhar </t>
  </si>
  <si>
    <t>9391 007 154</t>
  </si>
  <si>
    <t>https://drive.google.com/open?id=1mRa1P7QF-C-SAjike4M1q1WsV0e9qMIL</t>
  </si>
  <si>
    <t>AILPP9740R</t>
  </si>
  <si>
    <t>https://drive.google.com/open?id=1iG4CHMLheLxf0_59SC_sGZL5SDBGW72m</t>
  </si>
  <si>
    <t>https://drive.google.com/open?id=1q98t4jbHMvch3nt1oNFRIwegqFPcDflg</t>
  </si>
  <si>
    <t>HDFC0004348</t>
  </si>
  <si>
    <t>Paruchuri Foods https://share.google/CZn9N1jw4d6sIgvVx</t>
  </si>
  <si>
    <t>Parchuri Foods</t>
  </si>
  <si>
    <t>Mom's Recipe https://share.google/ht27zIOhtypIH4czh</t>
  </si>
  <si>
    <t>Monica Surana</t>
  </si>
  <si>
    <t>msurana.ktm@gmail.com</t>
  </si>
  <si>
    <t>https://drive.google.com/open?id=1ElkQEBbpL4Rwh7v6l8_UqxLIy4-ZMmfV</t>
  </si>
  <si>
    <t>BKFPS9030L</t>
  </si>
  <si>
    <t>https://drive.google.com/open?id=1XCXzU_ZQ40iwh5YGuHP0HNdNsyUFCQm7</t>
  </si>
  <si>
    <t>SEA/RAN/ALO/BN/1072604/2025</t>
  </si>
  <si>
    <t>https://drive.google.com/open?id=1MXfwLVhDS0l7uBO0_3gV6iO7EBzcZxt_</t>
  </si>
  <si>
    <t>https://drive.google.com/open?id=1Ebks0NSpqDOezGoNOk04gbSu2LQ4XhqS</t>
  </si>
  <si>
    <t>UBIN0812820</t>
  </si>
  <si>
    <t xml:space="preserve">Kondapur Hyderabad </t>
  </si>
  <si>
    <t xml:space="preserve">Bommarillu </t>
  </si>
  <si>
    <t xml:space="preserve">Arjun reddy </t>
  </si>
  <si>
    <t xml:space="preserve">Have to meet Arjun reddy for Onboarding </t>
  </si>
  <si>
    <t xml:space="preserve">Rama tiffins </t>
  </si>
  <si>
    <t>PVT, Prop, Partnership</t>
  </si>
  <si>
    <t>Habeeb</t>
  </si>
  <si>
    <t xml:space="preserve">detailed discussion </t>
  </si>
  <si>
    <t>Shaalimar Sweets</t>
  </si>
  <si>
    <t>nq</t>
  </si>
  <si>
    <t>mohit</t>
  </si>
  <si>
    <t>detailed discussion</t>
  </si>
  <si>
    <t>Agra Sweets</t>
  </si>
  <si>
    <t>ilyaas</t>
  </si>
  <si>
    <t>Dreamland Bakers &amp; Confectionaries</t>
  </si>
  <si>
    <t xml:space="preserve">Mx told that he will get back to us </t>
  </si>
  <si>
    <t>Sri Raghavendra Hotel</t>
  </si>
  <si>
    <t>Al-Baik</t>
  </si>
  <si>
    <t>AZEEZ</t>
  </si>
  <si>
    <t>Detailed discussion</t>
  </si>
  <si>
    <t>Sabiib Restaurant Haven</t>
  </si>
  <si>
    <t>Bhai Chai</t>
  </si>
  <si>
    <t xml:space="preserve">Naveen Owner </t>
  </si>
  <si>
    <t>proposal sent on mail</t>
  </si>
  <si>
    <t>https://share.google/g8VtPK9T7Lq2eV6HV</t>
  </si>
  <si>
    <t>Park Hyatt</t>
  </si>
  <si>
    <t>Avinash Pant</t>
  </si>
  <si>
    <t>avinash.pant@hyatt.com</t>
  </si>
  <si>
    <t>Proposal Mail sent</t>
  </si>
  <si>
    <t>https://share.google/b7w9SqsO3x5h9MKiW</t>
  </si>
  <si>
    <t>Cock and Bull Hyderabad</t>
  </si>
  <si>
    <t>Yogesh</t>
  </si>
  <si>
    <t>8392898004‬</t>
  </si>
  <si>
    <t>Cocknbullhyd@gmail.com</t>
  </si>
  <si>
    <t>Proposal sent</t>
  </si>
  <si>
    <t>Cock &amp; Bull Hyderabad</t>
  </si>
  <si>
    <t>Meeting the GM</t>
  </si>
  <si>
    <t>Krishna Appa</t>
  </si>
  <si>
    <t xml:space="preserve">
He is very much interested to Onboard but he want to talk with his son</t>
  </si>
  <si>
    <t>In weekend he will discuss with his brother</t>
  </si>
  <si>
    <t>He need 1 week time</t>
  </si>
  <si>
    <t>K Brundavan Food Court</t>
  </si>
  <si>
    <t>Prashanth</t>
  </si>
  <si>
    <t>He want to discuss with owner</t>
  </si>
  <si>
    <t>Maa Amrutham</t>
  </si>
  <si>
    <t>https://maps.app.goo.gl/g6cNTrpwb4QL6jAz6</t>
  </si>
  <si>
    <t>Jahnavi</t>
  </si>
  <si>
    <t>+91 99009 42019</t>
  </si>
  <si>
    <t>https://drive.google.com/open?id=1h-Z7g_Fm-6WYh8wpeUhJAc5VEE3UImSM</t>
  </si>
  <si>
    <t>BCDPY7290N</t>
  </si>
  <si>
    <t>https://drive.google.com/open?id=1dApwEatKCIsTwHGolk1RsoGqT6MzO3wM</t>
  </si>
  <si>
    <t>Hdfc0000545</t>
  </si>
  <si>
    <t>HDFC bank</t>
  </si>
  <si>
    <t>Hitech City hyderabad</t>
  </si>
  <si>
    <t>Hitech city</t>
  </si>
  <si>
    <t>Charcoal shawarma</t>
  </si>
  <si>
    <t>https://maps.app.goo.gl/7zaYTnnraGZVayoE9</t>
  </si>
  <si>
    <t>Sri charan</t>
  </si>
  <si>
    <t>+91 82478 37141</t>
  </si>
  <si>
    <t>https://drive.google.com/open?id=1R4_qb9yI6Wh_R93vETPXZuqmqeANtLWU</t>
  </si>
  <si>
    <t>AUCPA2496E</t>
  </si>
  <si>
    <t>https://drive.google.com/open?id=1SuBvPzKcXh6kQlJhrQrQyAxzFyRJ4hro</t>
  </si>
  <si>
    <t>SBIN0021830</t>
  </si>
  <si>
    <t>Srikanth charan</t>
  </si>
  <si>
    <t>Avacado on wheels</t>
  </si>
  <si>
    <t>https://maps.app.goo.gl/7gGytv11hEArWsgo6</t>
  </si>
  <si>
    <t>Nitin dev</t>
  </si>
  <si>
    <t>https://drive.google.com/open?id=1gHZnSRyXz_xmPAncGCGsyYVX_rT0ryr9</t>
  </si>
  <si>
    <t>Ctspb7672j</t>
  </si>
  <si>
    <t>https://drive.google.com/open?id=1SYyUokC9rVQUv_iIDxbvpCNCC7fpFwnW</t>
  </si>
  <si>
    <t>https://drive.google.com/open?id=1jK9HCsDFwdxaYpF7b51O45QtHOyVJ1fk</t>
  </si>
  <si>
    <t>025301617423</t>
  </si>
  <si>
    <t>Icic0000253</t>
  </si>
  <si>
    <t>Mamatha budhani</t>
  </si>
  <si>
    <t>Oh my momo</t>
  </si>
  <si>
    <t xml:space="preserve">Padmavati </t>
  </si>
  <si>
    <t>30260214123371710</t>
  </si>
  <si>
    <t>https://drive.google.com/open?id=1ihTahj5bPs21wOmS6eC1bXYzaehhK9Vx</t>
  </si>
  <si>
    <t>AKIPV4192J</t>
  </si>
  <si>
    <t>https://drive.google.com/open?id=1itbC0D8IUH7ufLLHxwo-TO5HxU-YHhZg</t>
  </si>
  <si>
    <t>Barbbosruhyd</t>
  </si>
  <si>
    <t>Padmavathi vessam</t>
  </si>
  <si>
    <t>Moosapet hyderabad</t>
  </si>
  <si>
    <t>Moosapet</t>
  </si>
  <si>
    <t>Anagha Kitchen</t>
  </si>
  <si>
    <t>Bhulakshmi Mess</t>
  </si>
  <si>
    <t>Varma</t>
  </si>
  <si>
    <t>Evening time they will be free</t>
  </si>
  <si>
    <t>https://maps.app.goo.gl/FNpYJXFYk9jPzHydA</t>
  </si>
  <si>
    <t xml:space="preserve">Surya </t>
  </si>
  <si>
    <t>Meeting with the MD</t>
  </si>
  <si>
    <t xml:space="preserve">Andhana Brahma </t>
  </si>
  <si>
    <t>Granny's Kitchen</t>
  </si>
  <si>
    <t>Need Time</t>
  </si>
  <si>
    <t>Granny Kitchen</t>
  </si>
  <si>
    <t>Not interested</t>
  </si>
  <si>
    <t>Food Corner</t>
  </si>
  <si>
    <t>Sree Vakula Kitchen</t>
  </si>
  <si>
    <t>Rithvikaas Kitchen</t>
  </si>
  <si>
    <t>Jahir</t>
  </si>
  <si>
    <t>Owner will be available after 8 pm</t>
  </si>
  <si>
    <t>City Wrap and Broast</t>
  </si>
  <si>
    <t>This resturant is going to close</t>
  </si>
  <si>
    <t>Ulavapadu Biryani and Pulav</t>
  </si>
  <si>
    <t>Manager will be available at night</t>
  </si>
  <si>
    <t>Meridian Restaurant</t>
  </si>
  <si>
    <t>Goutham</t>
  </si>
  <si>
    <t>donne biryani house</t>
  </si>
  <si>
    <t>Need to follow up tomorrow around 13:00PM, discussion done with manager</t>
  </si>
  <si>
    <t>Bahar biryani nd cafe</t>
  </si>
  <si>
    <t>Akshaya patra</t>
  </si>
  <si>
    <t>Pidathala Bharathi</t>
  </si>
  <si>
    <t>Famous arabian shawarma</t>
  </si>
  <si>
    <t>Wrap nd More</t>
  </si>
  <si>
    <t>Owner was not available I will follow up to schedule meeting</t>
  </si>
  <si>
    <t>Wrap nation</t>
  </si>
  <si>
    <t>All mataam madina mandi</t>
  </si>
  <si>
    <t>Classic crown</t>
  </si>
  <si>
    <t>Anthuri dass</t>
  </si>
  <si>
    <t>Present the owner is not available,I will follow up to schedule meeting</t>
  </si>
  <si>
    <t>Athidhis kitchen</t>
  </si>
  <si>
    <t>https://maps.app.goo.gl/cs25WNq7NeyT9LMq5</t>
  </si>
  <si>
    <t>Discussed with one partner need to discuss with other partner 
Appointment fixed today at 16:00Pm</t>
  </si>
  <si>
    <t xml:space="preserve">Manikantas eat spot </t>
  </si>
  <si>
    <t>sheik ali</t>
  </si>
  <si>
    <t>tomorrow onboarding</t>
  </si>
  <si>
    <t>Limra fast food centre</t>
  </si>
  <si>
    <t>Follow back after 2 days, they are interested</t>
  </si>
  <si>
    <t>Errababu palaav</t>
  </si>
  <si>
    <t>prem kumar</t>
  </si>
  <si>
    <t>the owner is not available,I will follow up to schedule meeting</t>
  </si>
  <si>
    <t>Yuman crazy fast food center</t>
  </si>
  <si>
    <t>Bhavani food court</t>
  </si>
  <si>
    <t>Will follow up with the owner to schedule meeting</t>
  </si>
  <si>
    <t>wrap nation</t>
  </si>
  <si>
    <t>Owner was not avilable</t>
  </si>
  <si>
    <t>Beyniaz shawarma and grill</t>
  </si>
  <si>
    <t>Sheik alil</t>
  </si>
  <si>
    <t>Meeting scheduled with owner, onboarding on 25th</t>
  </si>
  <si>
    <t xml:space="preserve">Limra fast food center </t>
  </si>
  <si>
    <t>Prem kumar</t>
  </si>
  <si>
    <t>Discussed one partner need to discuss with other partner</t>
  </si>
  <si>
    <t>Manikantas eat spot</t>
  </si>
  <si>
    <t>Need to follow up tomorrow around 13:00 pm</t>
  </si>
  <si>
    <t>Bahar biryanis nd cafe</t>
  </si>
  <si>
    <t>Madhurams restaurent</t>
  </si>
  <si>
    <t>call back at 21:00 to schedule meeting</t>
  </si>
  <si>
    <t>Chickpet donne biryanis house</t>
  </si>
  <si>
    <t>Narmadha</t>
  </si>
  <si>
    <t>Newly opened need to follow up next week</t>
  </si>
  <si>
    <t>Cake factory</t>
  </si>
  <si>
    <t xml:space="preserve">
He said i will pass the information to MD and let you now after 1 day</t>
  </si>
  <si>
    <t>Shadab</t>
  </si>
  <si>
    <t>Need to visit after the launch,didntb shared the poc details</t>
  </si>
  <si>
    <t>AR Raghavendhara tiffins and meals</t>
  </si>
  <si>
    <t>Saudi arabian restaurent</t>
  </si>
  <si>
    <t xml:space="preserve">
He said i will discuss with his brother and onboard tomorrow</t>
  </si>
  <si>
    <t xml:space="preserve">Universal Restaurant </t>
  </si>
  <si>
    <t>aaha tiffins</t>
  </si>
  <si>
    <t>Discussion done with manager,friday appointment fixed with MD FOR FURTHER DIScussion</t>
  </si>
  <si>
    <t>Anandha brahma</t>
  </si>
  <si>
    <t>17.49321162833928, 78.36865605166973</t>
  </si>
  <si>
    <t xml:space="preserve">Amarendra </t>
  </si>
  <si>
    <t>Amarendranaidu@hotmail.com</t>
  </si>
  <si>
    <t>Spice Soiree</t>
  </si>
  <si>
    <t>Shamshed</t>
  </si>
  <si>
    <t>N0</t>
  </si>
  <si>
    <t>Tawakaal biryani hotel</t>
  </si>
  <si>
    <t>New Nisar cafe and restaurant</t>
  </si>
  <si>
    <t>Rafee</t>
  </si>
  <si>
    <t xml:space="preserve">Desi Zayqa </t>
  </si>
  <si>
    <t>RAM</t>
  </si>
  <si>
    <t>AFTER 3 DAYS</t>
  </si>
  <si>
    <t>Konaseema Pedi Ruchulu</t>
  </si>
  <si>
    <t>17.50002105372467, 78.40006400639113</t>
  </si>
  <si>
    <t>need discussion with his brother</t>
  </si>
  <si>
    <t>Andhra Bhavan</t>
  </si>
  <si>
    <t>Not Intrested</t>
  </si>
  <si>
    <t>Hyderabad Bakehouse</t>
  </si>
  <si>
    <t>17.424383453767042, 78.29131696728237</t>
  </si>
  <si>
    <t>MOHAN</t>
  </si>
  <si>
    <t>Gowlidoddi</t>
  </si>
  <si>
    <t>Qubz the shewarma house</t>
  </si>
  <si>
    <t xml:space="preserve">king Darbar </t>
  </si>
  <si>
    <t>17.388304936704817, 78.35450980476377</t>
  </si>
  <si>
    <t>RK GRAND</t>
  </si>
  <si>
    <t>NARSINGI</t>
  </si>
  <si>
    <t>7STARS RESTAURENT</t>
  </si>
  <si>
    <t>jagadeesh</t>
  </si>
  <si>
    <t>NOT AVAILABLE</t>
  </si>
  <si>
    <t xml:space="preserve">Varnam </t>
  </si>
  <si>
    <t>Mahabalaa Food Court</t>
  </si>
  <si>
    <t>No response from owner</t>
  </si>
  <si>
    <t>Aha bojanam</t>
  </si>
  <si>
    <t xml:space="preserve">Asked to meet tomorrow </t>
  </si>
  <si>
    <t>Telengana food court</t>
  </si>
  <si>
    <t>Sandhya</t>
  </si>
  <si>
    <t>She will intimate to us</t>
  </si>
  <si>
    <t>Homly tiffins</t>
  </si>
  <si>
    <t>Moin</t>
  </si>
  <si>
    <t xml:space="preserve">Owner asked to call tomorrow </t>
  </si>
  <si>
    <t>Tawwakal shawarma</t>
  </si>
  <si>
    <t xml:space="preserve">Asked to call tomorrow </t>
  </si>
  <si>
    <t>Chai kaburlu</t>
  </si>
  <si>
    <t xml:space="preserve">Meeting will fix tomorrow </t>
  </si>
  <si>
    <t xml:space="preserve">Raju gari biryani </t>
  </si>
  <si>
    <t>Madaram Shailaja</t>
  </si>
  <si>
    <t>madaramshailajak@gmail.com</t>
  </si>
  <si>
    <t>https://drive.google.com/open?id=14geVllZEb2onca2lRpYTtisfLBVkPKhY</t>
  </si>
  <si>
    <t>36GXMPS5146E1Z0</t>
  </si>
  <si>
    <t>https://drive.google.com/open?id=1-JYD6imr2ZmFWQmEhWQFef7oJzfstG1e</t>
  </si>
  <si>
    <t>GXMPS5146E</t>
  </si>
  <si>
    <t>https://drive.google.com/open?id=1I0HKMiYh0ZFvmjMswrS4w9tb7SoIKFqh</t>
  </si>
  <si>
    <t>SEA/RAN/ALO/SH/0967590/2024</t>
  </si>
  <si>
    <t>https://drive.google.com/open?id=1xy3O5sd_LmuHE2KT7tvpgfl0Piqh1ifQ</t>
  </si>
  <si>
    <t>https://drive.google.com/open?id=1Nzk8S-vAwlDqD7IXCXUmiKQob8Suo_Yp</t>
  </si>
  <si>
    <t>057201000019505</t>
  </si>
  <si>
    <t>IOBA0000572</t>
  </si>
  <si>
    <t>INDIAN OVERSEAS BANK</t>
  </si>
  <si>
    <t>MADARAM SHAILAJA</t>
  </si>
  <si>
    <t>6-6-41/2, Devi Nagar Colony, Behind Petrol  Pump, Kavadiguda , Secunderabad Circle  No.29, Hyderabad, Telangana-500003</t>
  </si>
  <si>
    <t>snack bite</t>
  </si>
  <si>
    <t>tommorow after 5.30</t>
  </si>
  <si>
    <t>kritunga restraunt</t>
  </si>
  <si>
    <t>shake it up</t>
  </si>
  <si>
    <t>chandu</t>
  </si>
  <si>
    <t xml:space="preserve">onboarding 2 outlets </t>
  </si>
  <si>
    <t>bna</t>
  </si>
  <si>
    <t xml:space="preserve">shravan </t>
  </si>
  <si>
    <t xml:space="preserve">hayansh kitchen </t>
  </si>
  <si>
    <t>shiva shankar</t>
  </si>
  <si>
    <t>snackbite.gachibowli@gmail.com</t>
  </si>
  <si>
    <t>https://drive.google.com/open?id=1tu_p-2MpyU5LB7dq_zMXxJtYeN5FxH3O</t>
  </si>
  <si>
    <t>36BCIPB7850G1ZM</t>
  </si>
  <si>
    <t>https://drive.google.com/open?id=1OISAb_BWPyOqQZ2ocAVOKLc4mJCl2BQX</t>
  </si>
  <si>
    <t>BCIPB7850G</t>
  </si>
  <si>
    <t>https://drive.google.com/open?id=1PxTPcogVjyTNHWUfBaYQZontjnu_Tssq</t>
  </si>
  <si>
    <t xml:space="preserve"> SEA/HYD/ALO/20/1226588/2025</t>
  </si>
  <si>
    <t>https://drive.google.com/open?id=1eUZ6TIrLZBsIZ9X-kyj91lhijdK7dBsb</t>
  </si>
  <si>
    <t>FDRL0002378</t>
  </si>
  <si>
    <t>Federal Bank</t>
  </si>
  <si>
    <t>Bhimalla Shiva Shankar</t>
  </si>
  <si>
    <t>Menu pending</t>
  </si>
  <si>
    <t>Plot No. 202, Behind Q City Buildings,  TNGO's Colony, Financial District,  Gachibowli, Serlingampally Circle No 20,  Hyderabad, Telangana - 500032</t>
  </si>
  <si>
    <t>Gachibowli</t>
  </si>
  <si>
    <t>SnackBite</t>
  </si>
  <si>
    <t>srikanth</t>
  </si>
  <si>
    <t xml:space="preserve">gachibowli </t>
  </si>
  <si>
    <t>araah cafe</t>
  </si>
  <si>
    <t xml:space="preserve">tommorow onboarding </t>
  </si>
  <si>
    <t xml:space="preserve">raghavendra tiffens </t>
  </si>
  <si>
    <t xml:space="preserve">nawabi cafeteria </t>
  </si>
  <si>
    <t>Tulasi</t>
  </si>
  <si>
    <t>tulasinandan654@gmail.com</t>
  </si>
  <si>
    <t>https://drive.google.com/open?id=1aQ1wz50Qyk_RNO1AdaFPv1QJD7vjd7Il</t>
  </si>
  <si>
    <t>36BSJPT5975K1ZR</t>
  </si>
  <si>
    <t>https://drive.google.com/open?id=1ePH_AqwjntYQcERf-9_CVVuyddXZM6pB</t>
  </si>
  <si>
    <t>BSJPT5975K</t>
  </si>
  <si>
    <t>https://drive.google.com/open?id=1Yjn4b4NkwlP6xHqNveSrp8fxDlsbulQy</t>
  </si>
  <si>
    <t>ICIC0001974</t>
  </si>
  <si>
    <t>THE BOAT HOUSE</t>
  </si>
  <si>
    <t>HEMA ADDANKI</t>
  </si>
  <si>
    <t>Followup for contract signing as owner isn't available in city till thursday.</t>
  </si>
  <si>
    <t>,PLOT  NO.4/5/6,SHOP  NO.2,KISMATPUR,SHIVASAI COLONY ,  Kismatpur , Rajendranagar, Rangareddy,  Telangana-500030</t>
  </si>
  <si>
    <t>Langar house</t>
  </si>
  <si>
    <t>The Boat House Express</t>
  </si>
  <si>
    <t>HYDER</t>
  </si>
  <si>
    <t>+91 6281 334 972</t>
  </si>
  <si>
    <t>MEETING  AT 4 PM</t>
  </si>
  <si>
    <t>ASKED TO MEET AFTER 3:30</t>
  </si>
  <si>
    <t xml:space="preserve">srk food court </t>
  </si>
  <si>
    <t>HAMID</t>
  </si>
  <si>
    <t>NOT  INTERESTED</t>
  </si>
  <si>
    <t>ASKED TO CALL AFTER 11:45</t>
  </si>
  <si>
    <t xml:space="preserve">ASKED TO CALL TOMMROW </t>
  </si>
  <si>
    <t xml:space="preserve">andra ruchulu </t>
  </si>
  <si>
    <t>GHANI</t>
  </si>
  <si>
    <t xml:space="preserve">ASKED TO MEET AFTER 5 PM
</t>
  </si>
  <si>
    <t xml:space="preserve">biryani adda </t>
  </si>
  <si>
    <t>A1 HOTEL</t>
  </si>
  <si>
    <t>ASKED TO COME AFTER 2:45</t>
  </si>
  <si>
    <t>ASKED TO COME DIRECTLY AFTER 2 PM</t>
  </si>
  <si>
    <t xml:space="preserve">A1 hotel </t>
  </si>
  <si>
    <t>ARIF KHAN</t>
  </si>
  <si>
    <t>ASKED TO COME AFTER 12:45</t>
  </si>
  <si>
    <t>HE WILL BE AVAILABLE TOMMROW</t>
  </si>
  <si>
    <t xml:space="preserve">al bawadi </t>
  </si>
  <si>
    <t>OWNER IS OUT OF STATION ASKED TO COMW ON FRIDAY</t>
  </si>
  <si>
    <t xml:space="preserve">Yum yum tree </t>
  </si>
  <si>
    <t>ALI</t>
  </si>
  <si>
    <t>ASKED TO COME  TOMMROW</t>
  </si>
  <si>
    <t>https://www.google.com/maps/place/NAWABI+CAFETERIA+%26+Family+Restaurant/@17.3412502,78.3705311,17z/data=!3m1!4b1!4m6!3m5!1s0x3bcb95e55fd5b9b7:0xb768a25ba13cdba4!8m2!3d17.3412451!4d78.373106!16s%2Fg%2F11x73bx5fy?hl=en&amp;entry=ttu&amp;g_ep=EgoyMDI2MDIxMS4wIKXMDSoASAFQAw%3D%3D</t>
  </si>
  <si>
    <t>vamsi</t>
  </si>
  <si>
    <t>Detailed discussion is required</t>
  </si>
  <si>
    <t>Nine Waves Restaurant</t>
  </si>
  <si>
    <t>Manish Dubey</t>
  </si>
  <si>
    <t>meeting with owner is required, as completed has explained on call.</t>
  </si>
  <si>
    <t>Saba - E - Kitchen</t>
  </si>
  <si>
    <t>Parota House</t>
  </si>
  <si>
    <t>Satyanarayana Reddy</t>
  </si>
  <si>
    <t>meeting with owner is required, as completed has explained directly.</t>
  </si>
  <si>
    <t>Taaza Tiffins</t>
  </si>
  <si>
    <t>SV food court</t>
  </si>
  <si>
    <t>haji</t>
  </si>
  <si>
    <t>NEED TO TALK TO HIS OWNER</t>
  </si>
  <si>
    <t>Klinkaara Restaurant</t>
  </si>
  <si>
    <t>F997+H5W Bombay Juice, Kondapur, Raghavendra Colony, Gachibowli, Hyderabad, Telangana 500084</t>
  </si>
  <si>
    <t>Ravindar</t>
  </si>
  <si>
    <t>Bombay juice</t>
  </si>
  <si>
    <t>Manager will sent in docs to owner, follow up with owner</t>
  </si>
  <si>
    <t>Arabian Mandi Banjara</t>
  </si>
  <si>
    <t>https://maps.app.goo.gl/7ZAKm49VnnqBZjCD7</t>
  </si>
  <si>
    <t>Sajjid</t>
  </si>
  <si>
    <t>Gpsajju@gmail.com</t>
  </si>
  <si>
    <t xml:space="preserve"> Need to follow up with the owner</t>
  </si>
  <si>
    <t xml:space="preserve">Banjara hills </t>
  </si>
  <si>
    <t xml:space="preserve">Golden Pavillion </t>
  </si>
  <si>
    <t>Peddinti Sharan Kumar</t>
  </si>
  <si>
    <t>sharan.peddinti@paradisefoodcourt.in</t>
  </si>
  <si>
    <t>They have a protocol of onboarding new vendors only after the launch. However they have asked to share the proposal on email</t>
  </si>
  <si>
    <t>Paradise Food Court</t>
  </si>
  <si>
    <t xml:space="preserve">Absolute Barbeque </t>
  </si>
  <si>
    <t>Karan</t>
  </si>
  <si>
    <t>+91 73517 33579</t>
  </si>
  <si>
    <t>karan.mehra@absolute-barbecue.com</t>
  </si>
  <si>
    <t>Proposal mailed shared, he mentioned he will discuss with the higher management and schedule a google meet call by next week</t>
  </si>
  <si>
    <t>Ram babu</t>
  </si>
  <si>
    <t xml:space="preserve">Need to follow up with the owner </t>
  </si>
  <si>
    <t>Sreeja Home food</t>
  </si>
  <si>
    <t>Banhajarahills</t>
  </si>
  <si>
    <t>Asked to call on monday as he is still on leave</t>
  </si>
  <si>
    <t>"dheeraj.prabhu@rbrandsasia.com</t>
  </si>
  <si>
    <t>Raunak</t>
  </si>
  <si>
    <t>raunak.dungarwal@rbrandsasia.com"</t>
  </si>
  <si>
    <t>Mr. Raunak will connect either by today evening or tomorrow afternoon to discuss about the proposal</t>
  </si>
  <si>
    <t>Proposal discussion</t>
  </si>
  <si>
    <t>Danish</t>
  </si>
  <si>
    <t>Wool cup</t>
  </si>
  <si>
    <t>Follow up with the owner</t>
  </si>
  <si>
    <t>Sabha</t>
  </si>
  <si>
    <t>Edwin Debnath</t>
  </si>
  <si>
    <t>edwin.debnath@itchotels.com</t>
  </si>
  <si>
    <t>Proposal email sent. awaiting for the meeting schedule</t>
  </si>
  <si>
    <t>ITC Kakatiya</t>
  </si>
  <si>
    <t>+91 83297 23627</t>
  </si>
  <si>
    <t>raunak.dungarwal@rbrandsasia.com</t>
  </si>
  <si>
    <t>He will be scheduling the meeting on Friday. He will confirm the time tomorrow</t>
  </si>
  <si>
    <t>Negotiatiob</t>
  </si>
  <si>
    <t>https://maps.app.goo.gl/iQh3tM84Cxr7pSrz8</t>
  </si>
  <si>
    <t xml:space="preserve">Josthna </t>
  </si>
  <si>
    <t>Chakri.kritunga@gmail.com</t>
  </si>
  <si>
    <t xml:space="preserve">Chakri </t>
  </si>
  <si>
    <t>Need to do consistent follow ups</t>
  </si>
  <si>
    <t>Kritunga</t>
  </si>
  <si>
    <t xml:space="preserve">Sumit </t>
  </si>
  <si>
    <t>Manager will submit proposal to owner and we need to follow up</t>
  </si>
  <si>
    <t xml:space="preserve">Roast </t>
  </si>
  <si>
    <t>Sadanand Yadav</t>
  </si>
  <si>
    <t>+91 6289 242 080</t>
  </si>
  <si>
    <t>sadanand.yadav@curefoods.in</t>
  </si>
  <si>
    <t>Krispy Kreme</t>
  </si>
  <si>
    <t xml:space="preserve">Chutney head office </t>
  </si>
  <si>
    <t>Need to follow up with Chutney's head office</t>
  </si>
  <si>
    <t>Chutney's</t>
  </si>
  <si>
    <t>Slice and Sauce</t>
  </si>
  <si>
    <t>Shaker</t>
  </si>
  <si>
    <t xml:space="preserve">Royal Bawarchi </t>
  </si>
  <si>
    <t>Nasimatha</t>
  </si>
  <si>
    <t xml:space="preserve">Sandeep </t>
  </si>
  <si>
    <t>https://drive.google.com/open?id=1iG2lfwDwBguIlAANoVaxNZbUGd76rKC5</t>
  </si>
  <si>
    <t>https://drive.google.com/open?id=1ze35BcFoparFRp-Iin0kt2cL25jJXWGJ</t>
  </si>
  <si>
    <t>https://drive.google.com/open?id=1CU5Ianr--_pYRZPFaO5ZAVn6TIDlAMzn</t>
  </si>
  <si>
    <t>Slice and Bytes Biryani</t>
  </si>
  <si>
    <t>https://drive.google.com/open?id=1JWWT-G2EZ-3fHoUaesA-SfFDfycfCdPn</t>
  </si>
  <si>
    <t>https://drive.google.com/open?id=14CfvEmx8e12ROf36Ry7jpxpSAaE1w5zN</t>
  </si>
  <si>
    <t>https://drive.google.com/open?id=1tO6bfG8Qg2vKQsS9KNDpZbQxJRso7eq8</t>
  </si>
  <si>
    <t>https://drive.google.com/open?id=10Sw597YYAdkr8G_N_sFceIW-TeEyDjAd</t>
  </si>
  <si>
    <t>https://drive.google.com/open?id=14K-gRnlXsPsHMbvznIikc897sO6LguG6</t>
  </si>
  <si>
    <t>https://drive.google.com/open?id=1CEVTsKfKOrj52DRMvms99Fucutp_yBqk</t>
  </si>
  <si>
    <t>Slice and Bytes Food Court</t>
  </si>
  <si>
    <t>https://drive.google.com/open?id=1hK4PK5uozGeGViyI2RbGA3O8VvgBGLnW</t>
  </si>
  <si>
    <t>Aadhya Food Court</t>
  </si>
  <si>
    <t>Http</t>
  </si>
  <si>
    <t>Asked to call tomorrow at 12pm and then asked to meet on Monday in madhapur branch</t>
  </si>
  <si>
    <t>Proposal negotiation</t>
  </si>
  <si>
    <t>Asked to come after the App is launched</t>
  </si>
  <si>
    <t>Ali Firoz</t>
  </si>
  <si>
    <t>agm.hrchitechcity@jsmts.in</t>
  </si>
  <si>
    <t>Proposal sent again to GM</t>
  </si>
  <si>
    <t>Satya Prasad</t>
  </si>
  <si>
    <t>https://drive.google.com/open?id=1pxDZ_URRx7z_7ONcgYD7-GvJK_n-JnK0</t>
  </si>
  <si>
    <t>https://drive.google.com/open?id=1hQ7KpHFxouVDxAvVs9HZvkcDXsPWCBpv</t>
  </si>
  <si>
    <t>https://drive.google.com/open?id=1R4uS2hMqH7nJg20KD0nE8_sFc2UiLkUS</t>
  </si>
  <si>
    <t>https://drive.google.com/open?id=1ioHKAsjGj6d06Lxo_Ko8pIFpd_IR1IW_</t>
  </si>
  <si>
    <t>https://drive.google.com/open?id=1dKBq2qwbhjbC2syhjXGyppBP_hrHOnM9</t>
  </si>
  <si>
    <t xml:space="preserve">Amulya Abhiruchi Biryani </t>
  </si>
  <si>
    <t>Sataya Prasad</t>
  </si>
  <si>
    <t>https://drive.google.com/open?id=1lTF_nvZWYuQbZbJKeRT_-d_qo7rc7kA8</t>
  </si>
  <si>
    <t>https://drive.google.com/open?id=1IvJvCF2das2flGPdpNf-1whUPKX1DXtn</t>
  </si>
  <si>
    <t>https://drive.google.com/open?id=1fSSKj0PB01QtLuwEJXjhrLK4sddajuOb</t>
  </si>
  <si>
    <t>https://drive.google.com/open?id=1OhJXkb5bE9UqrDDqXlZ3uMcCDmneB4fi</t>
  </si>
  <si>
    <t>https://drive.google.com/open?id=1GS8AvgbHEHbfkaYuNrmtL18TZjtR_ciK</t>
  </si>
  <si>
    <t>Amulya Abhiruchi Fast Food</t>
  </si>
  <si>
    <t>7816-007219</t>
  </si>
  <si>
    <t xml:space="preserve">Need some time </t>
  </si>
  <si>
    <t xml:space="preserve">A1 bawarchi </t>
  </si>
  <si>
    <t xml:space="preserve">Brownies Bakery </t>
  </si>
  <si>
    <t>ECHO</t>
  </si>
  <si>
    <t>HAVE TO MEET ANOTHER PERSON</t>
  </si>
  <si>
    <t>MANIKONDA</t>
  </si>
  <si>
    <t>AHA AMRUTULYA</t>
  </si>
  <si>
    <t>17.407277027117292, 78.39229526701243</t>
  </si>
  <si>
    <t>NEHAD SIDDIQI</t>
  </si>
  <si>
    <t>nehadsiddqi7@gmail.com</t>
  </si>
  <si>
    <t>KLASSIC BAKERS AND SHEWARMA AND CAFE</t>
  </si>
  <si>
    <t>ZAIQA 11</t>
  </si>
  <si>
    <t>sohebmdy9@gmail.com</t>
  </si>
  <si>
    <t>SVS SPECIAL VILLAGES AND SPICES</t>
  </si>
  <si>
    <t>sahithi</t>
  </si>
  <si>
    <t>have to visit again</t>
  </si>
  <si>
    <t xml:space="preserve">Amrutham </t>
  </si>
  <si>
    <t>Laxmipathi</t>
  </si>
  <si>
    <t>I will follow up tomorrow</t>
  </si>
  <si>
    <t>Ma oori biryani</t>
  </si>
  <si>
    <t>discussion done with manager,i will follow to schedule meeting with owner</t>
  </si>
  <si>
    <t>Manger was not available for discussion</t>
  </si>
  <si>
    <t>Saregama kitchen</t>
  </si>
  <si>
    <t>Manager was not available for discussion</t>
  </si>
  <si>
    <t>New heeramothi</t>
  </si>
  <si>
    <t>tried to reach him but unanaswearable i will follow up</t>
  </si>
  <si>
    <t>Sri rama kitchens</t>
  </si>
  <si>
    <t>Srikanth</t>
  </si>
  <si>
    <t>Crispy crunch</t>
  </si>
  <si>
    <t>DISCUSSION DONE WITH MANAGER,I WILL FOLLOW UP FOR FEEDBACK</t>
  </si>
  <si>
    <t xml:space="preserve">Moon friends </t>
  </si>
  <si>
    <t>DISCUSSION DONE WITH MANAGER GOT APPOINTMENT AFTER 10 DAYS</t>
  </si>
  <si>
    <t>MK Shawarma</t>
  </si>
  <si>
    <t>nOT INTERESTED</t>
  </si>
  <si>
    <t>Sri nidhi dsr hotel</t>
  </si>
  <si>
    <t>Bhadhri</t>
  </si>
  <si>
    <t>Chicken in wings</t>
  </si>
  <si>
    <t>Nellore chepala pulusu</t>
  </si>
  <si>
    <t>Classic crown restaurent</t>
  </si>
  <si>
    <t>Sai krishna</t>
  </si>
  <si>
    <t>Sri Tejas kitchen</t>
  </si>
  <si>
    <t>Crispy crunch dinner</t>
  </si>
  <si>
    <t>Eknath</t>
  </si>
  <si>
    <t>Appi natural fresh juice</t>
  </si>
  <si>
    <t xml:space="preserve">bhagwan </t>
  </si>
  <si>
    <t xml:space="preserve">we need to talk about that on taaza tiffens </t>
  </si>
  <si>
    <t xml:space="preserve">taaza tiffens </t>
  </si>
  <si>
    <t xml:space="preserve">karthik reddy </t>
  </si>
  <si>
    <t xml:space="preserve">sri raghavendra bhavan </t>
  </si>
  <si>
    <t xml:space="preserve">swathi tiffens </t>
  </si>
  <si>
    <t xml:space="preserve">mani </t>
  </si>
  <si>
    <t>follow up on friday</t>
  </si>
  <si>
    <t xml:space="preserve">the food court </t>
  </si>
  <si>
    <t>kishore</t>
  </si>
  <si>
    <t xml:space="preserve">after 1st march </t>
  </si>
  <si>
    <t xml:space="preserve">bandhan mithai vatika </t>
  </si>
  <si>
    <t xml:space="preserve">raghuvardhan </t>
  </si>
  <si>
    <t>raghuram dosa</t>
  </si>
  <si>
    <t xml:space="preserve">krishna rao banty </t>
  </si>
  <si>
    <t>langaara house</t>
  </si>
  <si>
    <t xml:space="preserve">epic bawarchi </t>
  </si>
  <si>
    <t xml:space="preserve">epic bawarachi tiffen centre </t>
  </si>
  <si>
    <t>krishna roa</t>
  </si>
  <si>
    <t xml:space="preserve">epic bawarchi chat bhandar </t>
  </si>
  <si>
    <t xml:space="preserve">the chinese zhang family </t>
  </si>
  <si>
    <t>nellore vantakalu</t>
  </si>
  <si>
    <t>taazatiffinsbandlagudajagir@gmail.com</t>
  </si>
  <si>
    <t>https://drive.google.com/open?id=1XBs1nLoOS-TwwL237NCvMafODBjx0ZyY</t>
  </si>
  <si>
    <t>36AFNFS5140P1ZA</t>
  </si>
  <si>
    <t>https://drive.google.com/open?id=12s0NUo5-gf53l25K59UeNpZLcd05buwc</t>
  </si>
  <si>
    <t>AFNFS5140P</t>
  </si>
  <si>
    <t>https://drive.google.com/open?id=13CKXnmGR_lAD9FeuaDm9mOxvQEQJ2NHt</t>
  </si>
  <si>
    <t>https://drive.google.com/open?id=1Dcc6NER0ijy5HWG0_rtpa-kPCfSh-Vd3</t>
  </si>
  <si>
    <t>SRI LAKSHMI ENTERPRISES</t>
  </si>
  <si>
    <t>N GOUTHAM KUMAR</t>
  </si>
  <si>
    <t>MENU PENDING</t>
  </si>
  <si>
    <t>SY NO. 13 AND 16, BANDLAGUDA JAGIR,  GANDIPET, RANGAREDDY, Gandipet,  Rangareddi, Telangana-500091</t>
  </si>
  <si>
    <t>Langar Houz</t>
  </si>
  <si>
    <t xml:space="preserve">mehandipatanam </t>
  </si>
  <si>
    <t xml:space="preserve">beyond kimchi - the taste of korea </t>
  </si>
  <si>
    <t>onboarede</t>
  </si>
  <si>
    <t xml:space="preserve">the english kitchen </t>
  </si>
  <si>
    <t>Ranjith Reddy</t>
  </si>
  <si>
    <t>https://drive.google.com/open?id=1_kAR5vOlP8FWjW8FxdwzuM8DrQsTi4Zf</t>
  </si>
  <si>
    <t>BQTPS7471M</t>
  </si>
  <si>
    <t>https://drive.google.com/open?id=10BRrmdHzFzwfXs0B0LB2LyJAGJOKin27</t>
  </si>
  <si>
    <t>https://drive.google.com/open?id=1yGqGHcHJXRvF6FdM2VMgw5vnO7A2Bags</t>
  </si>
  <si>
    <t>UTIB0005921</t>
  </si>
  <si>
    <t>SAMMIDI RANJITH REDDY</t>
  </si>
  <si>
    <t>PLOT.NO.2, Ganesh Nagar, KISMATHPUR,  Gandipet, Rangareddy, Telangana -  500086</t>
  </si>
  <si>
    <t>Mini Udipi's</t>
  </si>
  <si>
    <t xml:space="preserve">vizag beach street food </t>
  </si>
  <si>
    <t xml:space="preserve">mana vizag ruchulu </t>
  </si>
  <si>
    <t>KRISHNA ROA</t>
  </si>
  <si>
    <t>lanagaara house</t>
  </si>
  <si>
    <t>healthy food promised</t>
  </si>
  <si>
    <t>Langra house</t>
  </si>
  <si>
    <t xml:space="preserve">MILITARY REDDY TIFFENS </t>
  </si>
  <si>
    <t>D Kiran</t>
  </si>
  <si>
    <t>https://drive.google.com/open?id=1n3dh2kStL9zm1tIQRvqdl2uZ74C2xU_S</t>
  </si>
  <si>
    <t>EMZPK7205J</t>
  </si>
  <si>
    <t>https://drive.google.com/open?id=1OS5NEWfVzhsDEA6Xi8O8Jczqs9m1Cicj</t>
  </si>
  <si>
    <t>SEA/HYD/ALO05/1275738/2026</t>
  </si>
  <si>
    <t>https://drive.google.com/open?id=1MSbhVBCkb-p82sfEstgmmwqLjiFtNLhR</t>
  </si>
  <si>
    <t xml:space="preserve">MENU &amp; BANK STATEMENT DOCS </t>
  </si>
  <si>
    <t>PL NO 13, BANDLAGUDA JAGIR,RAJENDRA NAGAR CIRCLE NO 11, HYDERABAD,TELANGANA,500086</t>
  </si>
  <si>
    <t>Dum Biryani Adda</t>
  </si>
  <si>
    <t>n</t>
  </si>
  <si>
    <t>sip of health</t>
  </si>
  <si>
    <t>SRINIVASA RAO</t>
  </si>
  <si>
    <t>DETAILED STRUCTURE NEEDS TO BE DISCUSSED</t>
  </si>
  <si>
    <t>ANDHRA RUCHULU</t>
  </si>
  <si>
    <t>anna</t>
  </si>
  <si>
    <t>the brazilian juice bar</t>
  </si>
  <si>
    <t>NAGA SAI GANESH</t>
  </si>
  <si>
    <t>PROPER STRUCTURE NEEDS TO EXPLAIN</t>
  </si>
  <si>
    <t>MILLET MARVELS</t>
  </si>
  <si>
    <t>lanagara houes</t>
  </si>
  <si>
    <t xml:space="preserve">the nice juice junction </t>
  </si>
  <si>
    <t>GANI</t>
  </si>
  <si>
    <t>POSITIVE LEAD</t>
  </si>
  <si>
    <t>GREEN BUCKET BIRYANI</t>
  </si>
  <si>
    <t>SUDHEER</t>
  </si>
  <si>
    <t>FOLLOWUP REQUIRED</t>
  </si>
  <si>
    <t>SVS BAKERS &amp; FOOD COURT</t>
  </si>
  <si>
    <t>SATISH</t>
  </si>
  <si>
    <t>FOLLOW UP REQUIRED</t>
  </si>
  <si>
    <t>DSD CAFE</t>
  </si>
  <si>
    <t>JYOSTHNA &amp; CHAKRI</t>
  </si>
  <si>
    <t>chakri.kritunga@gmail.com</t>
  </si>
  <si>
    <t>mx said that they will get back to us after seeing the proposal</t>
  </si>
  <si>
    <t>KRITUNGA RESTAURANT</t>
  </si>
  <si>
    <t>Md. sajeeb</t>
  </si>
  <si>
    <t>gpsajju@gmail.com</t>
  </si>
  <si>
    <t>proposal has to be sent to mx, after detailed review he said he will get back to team</t>
  </si>
  <si>
    <t>Golden Pavilion</t>
  </si>
  <si>
    <t>CHANDAN</t>
  </si>
  <si>
    <t xml:space="preserve">ASKED TO COME ON FRIDAY FOR ONBOADING </t>
  </si>
  <si>
    <t xml:space="preserve">shreya food court </t>
  </si>
  <si>
    <t>RAGHU</t>
  </si>
  <si>
    <t>ASKED TO COME AT 12PM</t>
  </si>
  <si>
    <t>ASKED TO COME  AT 12 PM</t>
  </si>
  <si>
    <t xml:space="preserve">gayatri bhavan  </t>
  </si>
  <si>
    <t xml:space="preserve"> vengal  rao </t>
  </si>
  <si>
    <t>OWNER ASKED TO COME AFTER 4 PM</t>
  </si>
  <si>
    <t>OWNER WILL ASKED TO COME AFTER 4 PM</t>
  </si>
  <si>
    <t xml:space="preserve"> harika mess</t>
  </si>
  <si>
    <t>amans food court</t>
  </si>
  <si>
    <t xml:space="preserve">raghav </t>
  </si>
  <si>
    <t>Owner is not available asked to come back tommrow</t>
  </si>
  <si>
    <t>usha rani</t>
  </si>
  <si>
    <t>30250415119817237</t>
  </si>
  <si>
    <t>https://drive.google.com/open?id=1CZ7hvqfQ_YxQdZk1XVXbz3qvJ1DwPeyo</t>
  </si>
  <si>
    <t>GSFPS1705H</t>
  </si>
  <si>
    <t>https://drive.google.com/open?id=1GqUi1FzF3b0W2s1Z_DekgAzIFXPUmBjp</t>
  </si>
  <si>
    <t>UTIB0003386</t>
  </si>
  <si>
    <t>CAFFEINE HUB</t>
  </si>
  <si>
    <t>yousufguda hyd</t>
  </si>
  <si>
    <t>yousfuguda</t>
  </si>
  <si>
    <t>caffiene Snacks</t>
  </si>
  <si>
    <t>USHA RANI</t>
  </si>
  <si>
    <t>https://drive.google.com/open?id=1hWV_6XclsW7AfwjluWtL1IFfoZ3rQeoO</t>
  </si>
  <si>
    <t xml:space="preserve"> GSFPS1705H</t>
  </si>
  <si>
    <t>https://drive.google.com/open?id=1jHVbxfOTCsrhO_KUut8sCCtGffUn9d1b</t>
  </si>
  <si>
    <t>YOUSUFGUDA</t>
  </si>
  <si>
    <t>Yousufguda</t>
  </si>
  <si>
    <t xml:space="preserve">Caffine Meals </t>
  </si>
  <si>
    <t>https://www.google.com/maps/place//@17.3626202,78.3920017,17z/data=!3m1!4b1!4m6!1m5!3m4!2zMTfCsDIxJzQ1LjQiTiA3OMKwMjMnNDAuNSJF!8m2!3d17.3626111!4d78.3945833?hl=en&amp;entry=ttu&amp;g_ep=EgoyMDI2MDIyMi4wIKXMDSoASAFQAw%3D%3D</t>
  </si>
  <si>
    <t>DEEPAK</t>
  </si>
  <si>
    <t>https://drive.google.com/open?id=1vajF3gEJTGO5Dt5niqhoc9GikbnxWy4D</t>
  </si>
  <si>
    <t>Kkbk0007451</t>
  </si>
  <si>
    <t>deepak2002114@gmail.com</t>
  </si>
  <si>
    <t>LANGAR HOIUSE</t>
  </si>
  <si>
    <t xml:space="preserve">telugu cuisine  </t>
  </si>
  <si>
    <t>https://drive.google.com/open?id=1zu_8VbE-VdwzSqYKkTkfN28ODF7fyi51</t>
  </si>
  <si>
    <t>https://drive.google.com/open?id=1U2tUpzUHoeKmJvehvebIqSDxPpXHiobG</t>
  </si>
  <si>
    <t xml:space="preserve"> NA</t>
  </si>
  <si>
    <t>CAFFEINE BIRYANAIS</t>
  </si>
  <si>
    <t xml:space="preserve">ramu </t>
  </si>
  <si>
    <t>ASKED TO MEET TOMMROW</t>
  </si>
  <si>
    <t xml:space="preserve">biryani ustad </t>
  </si>
  <si>
    <t>https://drive.google.com/open?id=1hmxV2-hxRftF1EuWygEhGwmJ5Ktr0JIs</t>
  </si>
  <si>
    <t>https://drive.google.com/open?id=1U6ZHiBGETF-dNWX9DEOHlmH6a1nxNRFe</t>
  </si>
  <si>
    <t>YOUSUF GUDA</t>
  </si>
  <si>
    <t>CAFFEIN HUB FAST FOOD</t>
  </si>
  <si>
    <t>https://drive.google.com/open?id=1qAVVlD0Zypb86SU0-jP52c8rRSF0Rqtj</t>
  </si>
  <si>
    <t>https://drive.google.com/open?id=1hsAszpcLGPwVgp4j0ifKNJbKns-L1fnP</t>
  </si>
  <si>
    <t xml:space="preserve">UTIB0003386  </t>
  </si>
  <si>
    <t>CAFFEINE JUICE &amp; MILKSHAKES</t>
  </si>
  <si>
    <t>https://share.google/fcLsKH5VyWtrElBSB</t>
  </si>
  <si>
    <t>saleem</t>
  </si>
  <si>
    <t>https://drive.google.com/open?id=1M8jJowHRpxMOA6HGyOwiGWxMalwroQYD</t>
  </si>
  <si>
    <t>AQKPT2481Q</t>
  </si>
  <si>
    <t>https://drive.google.com/open?id=1IWO6IY8Q8s8oURYFuTHi2NcmKWBF2ATB</t>
  </si>
  <si>
    <t>https://drive.google.com/open?id=1pUzMsfy3VO37wyxAE1aPjYqL5ywJpPn8</t>
  </si>
  <si>
    <t xml:space="preserve">HDFC0001626  </t>
  </si>
  <si>
    <t>CAKES CORNER BAKERS  CONFECTIONERS</t>
  </si>
  <si>
    <t>yoiusufguda</t>
  </si>
  <si>
    <t>yousufguda</t>
  </si>
  <si>
    <t>cake corner Bakery</t>
  </si>
  <si>
    <t>https://drive.google.com/open?id=1M4X4pO2iyOaPnP2SBhWKK2oRXyUaG4Zl</t>
  </si>
  <si>
    <t>https://drive.google.com/open?id=1T8it4e6ov4ToPxrZZf8Tdjy_3n-oqElW</t>
  </si>
  <si>
    <t>https://drive.google.com/open?id=1iRVwGXp32Yr4MweuxF_xoZD9wGVSleh4</t>
  </si>
  <si>
    <t>yoususfguda</t>
  </si>
  <si>
    <t>Corner fast food</t>
  </si>
  <si>
    <t xml:space="preserve"> HDFC0001626  </t>
  </si>
  <si>
    <t>corner juice &amp; milkshake</t>
  </si>
  <si>
    <t>SAMEER</t>
  </si>
  <si>
    <t>https://drive.google.com/open?id=12lqhtUv2jODd2NIr_YvneONEjhgC8l02</t>
  </si>
  <si>
    <t>https://drive.google.com/open?id=1z8Wh0PjJJ_u1xqjbvfhBCjlWMDuPShqi</t>
  </si>
  <si>
    <t>https://drive.google.com/open?id=1SX4gLD15i2EkU2hMav3uQ9roy5VsMp9F</t>
  </si>
  <si>
    <t>CORNER FOODS</t>
  </si>
  <si>
    <t>https://share.google/BgBGogzHjTZVfrDxp</t>
  </si>
  <si>
    <t>SAI KIRAN</t>
  </si>
  <si>
    <t>36CPJPB4974G1ZQ</t>
  </si>
  <si>
    <t>BWUPG7061G</t>
  </si>
  <si>
    <t xml:space="preserve">BDBL0001608  </t>
  </si>
  <si>
    <t>CHAI KABURLU</t>
  </si>
  <si>
    <t>H</t>
  </si>
  <si>
    <t>HITECH CITY</t>
  </si>
  <si>
    <t>https://share.google/5fOzwt6aeXKXGYN1i</t>
  </si>
  <si>
    <t xml:space="preserve">SAI KIRAN </t>
  </si>
  <si>
    <t>https://drive.google.com/open?id=1z3W_seUGXJ_wrU4NmxDmt4XyYoObNkzM</t>
  </si>
  <si>
    <t>https://drive.google.com/open?id=1sEUhnwhF8OQWBiBk4s0BFZRNBraJRL93</t>
  </si>
  <si>
    <t>https://drive.google.com/open?id=1UFk5riFJgEKnyinqRWWuPAV6D1HdZ6i7</t>
  </si>
  <si>
    <t>https://drive.google.com/open?id=1cp_AokYM9t8MfLfcwsP52r7DbEW8Lj13</t>
  </si>
  <si>
    <t>BDBL0001608  CHAI KABURLU</t>
  </si>
  <si>
    <t>KPHB</t>
  </si>
  <si>
    <t xml:space="preserve">CHAI KABURLU </t>
  </si>
  <si>
    <t>Swiggy, Zomato, Magic Pin, Easy diner</t>
  </si>
  <si>
    <t>https://share.google/PciqUWGRouRjOyi4V</t>
  </si>
  <si>
    <t>Iliyas</t>
  </si>
  <si>
    <t>https://drive.google.com/open?id=1SDauxMIqPZBRvRR40vORv6tGzZIdM7gd</t>
  </si>
  <si>
    <t>36AAEFZ0658F1Z2</t>
  </si>
  <si>
    <t>https://drive.google.com/open?id=1lUgwbv7z1DSCELSOHZ9mnldmAKIHFhfY</t>
  </si>
  <si>
    <t>HDFC0009095</t>
  </si>
  <si>
    <t>5ves diner</t>
  </si>
  <si>
    <t xml:space="preserve">Gachibowli </t>
  </si>
  <si>
    <t xml:space="preserve">5ves restaurant </t>
  </si>
  <si>
    <t>Rakesh Goud</t>
  </si>
  <si>
    <t>anukitchen2026@gmail.com</t>
  </si>
  <si>
    <t>https://drive.google.com/open?id=1VSJgKbSbcf7YUF8HOFBE830QkekiDM_a</t>
  </si>
  <si>
    <t>CFOPB5110D</t>
  </si>
  <si>
    <t>https://drive.google.com/open?id=1j6XicPycJBtanEzkSuzJf3keheQwxA5y</t>
  </si>
  <si>
    <t>SEA/RAN/ALO/SH/1274861/2026</t>
  </si>
  <si>
    <t>https://drive.google.com/open?id=18MD5868uK_FlB_1KZ3JBylWxNXSWcx4F</t>
  </si>
  <si>
    <t>BURRA RAKESH GOUD</t>
  </si>
  <si>
    <t>need to collect menu &amp; bank details</t>
  </si>
  <si>
    <t>PLOT NO 1, AMRUTHA  ENCLAVE,GANDIPET,BANDLAGUDA JAGIR,  Bandlaguda  (Jagir), Rajendranagar,  Rangareddy, Telangana - 500086</t>
  </si>
  <si>
    <t>Anu Kitchen</t>
  </si>
  <si>
    <t xml:space="preserve">T Vannam </t>
  </si>
  <si>
    <t>Shwarma kingdom</t>
  </si>
  <si>
    <t>Not shared</t>
  </si>
  <si>
    <t>not shared</t>
  </si>
  <si>
    <t>Should do cold walkin again</t>
  </si>
  <si>
    <t xml:space="preserve">They will get back to us regarding the onboarding </t>
  </si>
  <si>
    <t>Southern Mirchi</t>
  </si>
  <si>
    <t>Sangram</t>
  </si>
  <si>
    <t>Asked to come at 2</t>
  </si>
  <si>
    <t>Intro</t>
  </si>
  <si>
    <t xml:space="preserve">Joharfa </t>
  </si>
  <si>
    <t>Asked to call on monday by 12:30PM</t>
  </si>
  <si>
    <t>https://maps.app.goo.gl/n6GkDThzygHgQvL6A?g_st=ic</t>
  </si>
  <si>
    <t>Kalyani</t>
  </si>
  <si>
    <t xml:space="preserve">Tomorrow getting onboarded </t>
  </si>
  <si>
    <t xml:space="preserve">Documents </t>
  </si>
  <si>
    <t>100+</t>
  </si>
  <si>
    <t>Jubilee Hills</t>
  </si>
  <si>
    <t>Meenakshi Cafe</t>
  </si>
  <si>
    <t>Banti</t>
  </si>
  <si>
    <t xml:space="preserve">Owner will be available tmr </t>
  </si>
  <si>
    <t xml:space="preserve">Ram’s Dosa House </t>
  </si>
  <si>
    <t>Joshua</t>
  </si>
  <si>
    <t>Josh@cozyraga.com</t>
  </si>
  <si>
    <t>Tmr meeting scheduled</t>
  </si>
  <si>
    <t>Audio cup coffee house</t>
  </si>
  <si>
    <t>Aha Dakshin</t>
  </si>
  <si>
    <t>Not responding to the calls</t>
  </si>
  <si>
    <t>83297 23627</t>
  </si>
  <si>
    <t xml:space="preserve">dheeraj.prabhu@rbrandsasia.com </t>
  </si>
  <si>
    <t>Asked to connect back on Monday for the meeting schedule</t>
  </si>
  <si>
    <t xml:space="preserve">Negotiation </t>
  </si>
  <si>
    <t>6289 616 585</t>
  </si>
  <si>
    <t>+919790747704</t>
  </si>
  <si>
    <t>Mr. Faizan shared another number to connect with. tried calling on the another number but there has been no response.</t>
  </si>
  <si>
    <t>He has shared the proposal with the management, he will update on monday about the discussion</t>
  </si>
  <si>
    <t>Owners are busy in Ramzan sale, however asked to connect back on Monday to get an update.</t>
  </si>
  <si>
    <t>Krishna Chaitanya</t>
  </si>
  <si>
    <t>chaitanya@icebergicecreams.com</t>
  </si>
  <si>
    <t xml:space="preserve">Discussion points to be shared, waiting for Akhil to share the details </t>
  </si>
  <si>
    <t>zinia@shovona.com</t>
  </si>
  <si>
    <t>she has forwaded the mail to her higher management. They will update by 28th Feb so asked to connect back on monday</t>
  </si>
  <si>
    <t>asked to call tomorrow morning after 11AM</t>
  </si>
  <si>
    <t>He was on leave since 3 days and he has seen the proposal today (26th feb) he will update by tomorrow or monday</t>
  </si>
  <si>
    <t>sked to call tomorrow morning after 10am for the meeting schedule</t>
  </si>
  <si>
    <t>Chiranjeevi</t>
  </si>
  <si>
    <t>Follow up required</t>
  </si>
  <si>
    <t>Biryaniwalla &amp; co</t>
  </si>
  <si>
    <t>Veer</t>
  </si>
  <si>
    <t>Have to speak with marketing manager - siddharth - 8121028033</t>
  </si>
  <si>
    <t>All Season Express</t>
  </si>
  <si>
    <t>mouryarestaurant2024@gmail.com</t>
  </si>
  <si>
    <t>They asked to share proposal over mail id.</t>
  </si>
  <si>
    <t>Mourya Restaurant</t>
  </si>
  <si>
    <t>ADNAN</t>
  </si>
  <si>
    <t>Owner will be available after 8PM</t>
  </si>
  <si>
    <t>Street view express</t>
  </si>
  <si>
    <t>Vivek</t>
  </si>
  <si>
    <t>Vivek.koudlay@baskinrobbinsindia.com</t>
  </si>
  <si>
    <t>Had a word with HO manager , he asked to drop a proposal mail</t>
  </si>
  <si>
    <t>Annie</t>
  </si>
  <si>
    <t>not interested as of now</t>
  </si>
  <si>
    <t>Sozo Cakery &amp; Cafe</t>
  </si>
  <si>
    <t>Kelvin Scale Absolute Ice Cream</t>
  </si>
  <si>
    <t>Zucifera</t>
  </si>
  <si>
    <t>Manager will be available after 1 pm</t>
  </si>
  <si>
    <t>Pulaos and Bagara</t>
  </si>
  <si>
    <t>Dinesh Kumar</t>
  </si>
  <si>
    <t>https://drive.google.com/open?id=1hAKaoPN5zuFfRksA85zt_f73omsMWM-9</t>
  </si>
  <si>
    <t>https://drive.google.com/open?id=1CScl-Xyo0gHskym0OCz_bqQXeCGMdcDG</t>
  </si>
  <si>
    <t>https://drive.google.com/open?id=1MjLb_rkwDQEMMUXJ9ZqaycaOJMDkQkI3</t>
  </si>
  <si>
    <t>https://drive.google.com/open?id=1p-j-KXQJXRAi_TieTurTGR4-HK3aDPi1</t>
  </si>
  <si>
    <t>Mexician Fried Chicken</t>
  </si>
  <si>
    <t>17.398351311392286, 78.36519086791014</t>
  </si>
  <si>
    <t>Agarwal</t>
  </si>
  <si>
    <t>meet again for referal contacts</t>
  </si>
  <si>
    <t>manikona</t>
  </si>
  <si>
    <t>Deccan Bawarchi</t>
  </si>
  <si>
    <t>SRG Restro inn</t>
  </si>
  <si>
    <t>Madhuri chand</t>
  </si>
  <si>
    <t>Shri balaji chennai spices</t>
  </si>
  <si>
    <t>Nikhils feast</t>
  </si>
  <si>
    <t>Rambala sanjay</t>
  </si>
  <si>
    <t>Dosa mart</t>
  </si>
  <si>
    <t>Surekha</t>
  </si>
  <si>
    <t>N hot chinese</t>
  </si>
  <si>
    <t>Rajugari shruthi</t>
  </si>
  <si>
    <t>Hot shawarma nd wings</t>
  </si>
  <si>
    <t>Crispy hot wings</t>
  </si>
  <si>
    <t>Hot wings</t>
  </si>
  <si>
    <t>https://maps.app.goo.gl/z9SkJgocGbESBgAP8?g_st=ic</t>
  </si>
  <si>
    <t>Mohammed omer</t>
  </si>
  <si>
    <t>Have a meeting on monday</t>
  </si>
  <si>
    <t xml:space="preserve">Explanation </t>
  </si>
  <si>
    <t>Mandi Bistro</t>
  </si>
  <si>
    <t xml:space="preserve">Navtej </t>
  </si>
  <si>
    <t>96578 78910</t>
  </si>
  <si>
    <t xml:space="preserve">Contact@thechamkila.com </t>
  </si>
  <si>
    <t xml:space="preserve">Chamkila </t>
  </si>
  <si>
    <t xml:space="preserve">Venkat </t>
  </si>
  <si>
    <t>99590 84726</t>
  </si>
  <si>
    <t>Jagadeesh</t>
  </si>
  <si>
    <t xml:space="preserve">Chaitanyas modern kitchen </t>
  </si>
  <si>
    <t>sk sports arena and drive-in, Shirdi Sai Nagar, Manikonda, Hyderabad, Telangana 500089</t>
  </si>
  <si>
    <t xml:space="preserve">Lavanya </t>
  </si>
  <si>
    <t>+91 91602 65654</t>
  </si>
  <si>
    <t xml:space="preserve">The tasty chapter </t>
  </si>
  <si>
    <t xml:space="preserve">None </t>
  </si>
  <si>
    <t xml:space="preserve">Lakshmi kanth </t>
  </si>
  <si>
    <t xml:space="preserve">Biryani Mandirr </t>
  </si>
  <si>
    <t>zaiqa 11</t>
  </si>
  <si>
    <t xml:space="preserve">Vasistas Biryanis and curry </t>
  </si>
  <si>
    <t xml:space="preserve">Have to follow up </t>
  </si>
  <si>
    <t>Srijas home foods and currys</t>
  </si>
  <si>
    <t xml:space="preserve">Ravishankar </t>
  </si>
  <si>
    <t xml:space="preserve">Followup </t>
  </si>
  <si>
    <t xml:space="preserve">Annapurna hotels and tiffins </t>
  </si>
  <si>
    <t>Mallesh mama fast food</t>
  </si>
  <si>
    <t>Methri mallesh</t>
  </si>
  <si>
    <t>Ma oori vanta</t>
  </si>
  <si>
    <t>9542891111n</t>
  </si>
  <si>
    <t xml:space="preserve">Monkeys cafe </t>
  </si>
  <si>
    <t>Best biryanis and curries</t>
  </si>
  <si>
    <t>Shyam</t>
  </si>
  <si>
    <t>Koodu the taste of Telangana</t>
  </si>
  <si>
    <t xml:space="preserve">Vishal </t>
  </si>
  <si>
    <t>98486 83819</t>
  </si>
  <si>
    <t>Sankranthi cafe</t>
  </si>
  <si>
    <t>Discussion done with manager need to follow up to schedule meeting with owner</t>
  </si>
  <si>
    <t xml:space="preserve">Bharath </t>
  </si>
  <si>
    <t>Discussion done with one partner need to discuss with other partner</t>
  </si>
  <si>
    <t>Bachelor brothers</t>
  </si>
  <si>
    <t>need to follow up,</t>
  </si>
  <si>
    <t xml:space="preserve">Arathi  Chinese fast food </t>
  </si>
  <si>
    <t>Nagaraju</t>
  </si>
  <si>
    <t>the owner was not available i will follow up to schedule meeting</t>
  </si>
  <si>
    <t>Pandemkodi</t>
  </si>
  <si>
    <t xml:space="preserve">Mahalaxmi kitchen </t>
  </si>
  <si>
    <t>the owner was not available didnt shared any details</t>
  </si>
  <si>
    <t xml:space="preserve">Nagaraju goud </t>
  </si>
  <si>
    <t>the owner was not available</t>
  </si>
  <si>
    <t xml:space="preserve">Abhi restaurant </t>
  </si>
  <si>
    <t>the owner was not available,need to follow up</t>
  </si>
  <si>
    <t>Lotus biryani nd fast good</t>
  </si>
  <si>
    <t>the manager was not available for discussion</t>
  </si>
  <si>
    <t>Spicy kitchen</t>
  </si>
  <si>
    <t>Manikanta Reddy</t>
  </si>
  <si>
    <t>https://drive.google.com/open?id=1Ps2lgMmTAyYPUW26kXCLtPOw8zpK8NbS</t>
  </si>
  <si>
    <t>https://drive.google.com/open?id=1fMJMyw68keYkSsVsJVRMynZJXSa31nYx</t>
  </si>
  <si>
    <t>https://drive.google.com/open?id=1DWTK_zbTkuXNLLrrNVHt1K1vnTgfJ3in</t>
  </si>
  <si>
    <t>https://drive.google.com/open?id=1-r1SlwvNrqBytm-3AVDDSlFoyYH5YMYM</t>
  </si>
  <si>
    <t>Menu Pending</t>
  </si>
  <si>
    <t>Sri Aadhya Food Court</t>
  </si>
  <si>
    <t>https://drive.google.com/open?id=1VzUTVP4fyXHqc7bW2dZ8WQbIjlwj9gwZ</t>
  </si>
  <si>
    <t>https://drive.google.com/open?id=1dOPrXStUc-ocn2XPS8-dAptbth1PYAZc</t>
  </si>
  <si>
    <t>https://drive.google.com/open?id=1iOJ2ihjS0fS9MrplWXmYR4-Emg4KR4wg</t>
  </si>
  <si>
    <t>Slice and Bytes Food court</t>
  </si>
  <si>
    <t xml:space="preserve">anil kumar </t>
  </si>
  <si>
    <t>Documents Pending</t>
  </si>
  <si>
    <t>Rayalaseema Biryani</t>
  </si>
  <si>
    <t>Rayalaseema Chinese</t>
  </si>
  <si>
    <t>Documents are pending</t>
  </si>
  <si>
    <t>Rayalaseema Meals And Curries</t>
  </si>
  <si>
    <t>https://share.google/CMz1OA41NbziAOgF2</t>
  </si>
  <si>
    <t>https://drive.google.com/open?id=1Lz7RcKmFO0xmdvZTZm8QKlh2bSbx7PlO</t>
  </si>
  <si>
    <t>36EWEPB2598J1Z8</t>
  </si>
  <si>
    <t>https://drive.google.com/open?id=1lAsYlkKX_UgLpmM-uNQNLOxyklL92xpq</t>
  </si>
  <si>
    <t>EWEPB2598J</t>
  </si>
  <si>
    <t>https://drive.google.com/open?id=1eN-f9JaAIy1mkcImEyc2XvE4d24l1mQ6</t>
  </si>
  <si>
    <t>https://drive.google.com/open?id=1Qm7yyZZa14R1CgpzDtgkSkm5arRaPIKo</t>
  </si>
  <si>
    <t>502000 844 9082</t>
  </si>
  <si>
    <t>Second wife c/o guntur</t>
  </si>
  <si>
    <t>Second wifes tiffins</t>
  </si>
  <si>
    <t>https://drive.google.com/open?id=1QMbe_AxSD0wRtJwzfDrQDIFFrUHXdiO-</t>
  </si>
  <si>
    <t>https://drive.google.com/open?id=1lv1e_ske_WKKM5C36QoLGb_SZUNdrUCg</t>
  </si>
  <si>
    <t>https://drive.google.com/open?id=1pEXnx0VShWNcz48h5JFBuaSgOTXtW93H</t>
  </si>
  <si>
    <t>https://drive.google.com/open?id=10iabTxcVj4Za6PKaG5em2u27iXvW8hF-</t>
  </si>
  <si>
    <t xml:space="preserve">Second wifes Biryanis </t>
  </si>
  <si>
    <t>90946 422 22</t>
  </si>
  <si>
    <t>https://drive.google.com/open?id=1jOqu9dPd-xdRBQFFzQBTxOTJziYFlC8F</t>
  </si>
  <si>
    <t>https://drive.google.com/open?id=1djX8Rx2dDuDUrrw-7Um_FHw6nmVnzCpf</t>
  </si>
  <si>
    <t>https://drive.google.com/open?id=1uW3CHzdx9jKZennRYYXyVcFI3xuydgyM</t>
  </si>
  <si>
    <t>https://drive.google.com/open?id=1zAOz-0mXATnMb5QUiDN-_Z69gNBZ9DTQ</t>
  </si>
  <si>
    <t>HDFC0004216</t>
  </si>
  <si>
    <t>Second wife rolls and snacks</t>
  </si>
  <si>
    <t>https://drive.google.com/open?id=1GS7vFCoGP47kOe8nnXzGHA7sSGMsLNhY</t>
  </si>
  <si>
    <t>https://drive.google.com/open?id=1ItyyURfuDP-ReFry76iM0kxEN9h9YVm2</t>
  </si>
  <si>
    <t>https://drive.google.com/open?id=1rpNj1AvvAbyrpbXRkkv4ZcgkTaH5ORRF</t>
  </si>
  <si>
    <t>https://drive.google.com/open?id=1oPiUCj_jgdCCD_TnRjwIrvuMQsRIK_hU</t>
  </si>
  <si>
    <t>Second wife fast food</t>
  </si>
  <si>
    <t>https://drive.google.com/open?id=1FUE3mBc6CjsVTBVguJckJPgPuaWp7zIM</t>
  </si>
  <si>
    <t>https://drive.google.com/open?id=1Rv5hKsh7TKOL9BJY1EVze33ZDlPrEJBt</t>
  </si>
  <si>
    <t>https://drive.google.com/open?id=1ffF7waPJYXEgdUHn93eUCAc21BgoQxZF</t>
  </si>
  <si>
    <t>https://drive.google.com/open?id=1ANfBuq4jiapQrVe8vsikq3MYna6QV_Z2</t>
  </si>
  <si>
    <t>502008 844 9082</t>
  </si>
  <si>
    <t xml:space="preserve">Komdapur </t>
  </si>
  <si>
    <t>Second wife meals C/o guntur</t>
  </si>
  <si>
    <t>https://share.google/ZzD5DnBNCZEb4Q0if</t>
  </si>
  <si>
    <t>Ravi kiran</t>
  </si>
  <si>
    <t>https://drive.google.com/open?id=1AHabjK3M3BFq1bDTHAIC-v_0vsqxhQ-c</t>
  </si>
  <si>
    <t>BOBPK0634J</t>
  </si>
  <si>
    <t>https://drive.google.com/open?id=19ITtfreLKXTrAhQDpxtJ9-vkkxZ5QVxi</t>
  </si>
  <si>
    <t>https://drive.google.com/open?id=1nXENJHod-X6e6HBUNRdlC2dCDwU89dWz</t>
  </si>
  <si>
    <t>91301 003 1284567</t>
  </si>
  <si>
    <t>Utib 000404</t>
  </si>
  <si>
    <t>Axis Bank</t>
  </si>
  <si>
    <t>Kondaur</t>
  </si>
  <si>
    <t>Wok 33</t>
  </si>
  <si>
    <t>Ravi kumar</t>
  </si>
  <si>
    <t>https://drive.google.com/open?id=1KhdHSlTgvasr_R8wfr7FWcOOB5KSaRK5</t>
  </si>
  <si>
    <t>https://drive.google.com/open?id=15-B-PpZnsDSPRXzineckckaKX1SIJIl8</t>
  </si>
  <si>
    <t>https://drive.google.com/open?id=1Tfvit8SMbQHmdwADQm39zULpFu97RjfZ</t>
  </si>
  <si>
    <t>9130 1003 128 4567</t>
  </si>
  <si>
    <t>Axis bank</t>
  </si>
  <si>
    <t>Mummy ki rassoi</t>
  </si>
  <si>
    <t>17.540369703987597, 78.36868222281474</t>
  </si>
  <si>
    <t>chary</t>
  </si>
  <si>
    <t>will ready to onboard</t>
  </si>
  <si>
    <t>Bachupally</t>
  </si>
  <si>
    <t>Golden Barrel Restaurent and pub</t>
  </si>
  <si>
    <t>New Restaurent as of now planning to onboard in different platforms</t>
  </si>
  <si>
    <t>17.540677923108323, 78.36782046420701</t>
  </si>
  <si>
    <t>Rajaramana</t>
  </si>
  <si>
    <t>20+</t>
  </si>
  <si>
    <t>Big guys wings and Burgers</t>
  </si>
  <si>
    <t>chandanbharati9831@gmai.com</t>
  </si>
  <si>
    <t>SREYA  FAST FOFD AND MOMO</t>
  </si>
  <si>
    <t>only in caps</t>
  </si>
  <si>
    <t>17.402568898716094, 78.37420155441876</t>
  </si>
  <si>
    <t>vasi reddy</t>
  </si>
  <si>
    <t>srijas food and currys</t>
  </si>
  <si>
    <t>zubair</t>
  </si>
  <si>
    <t>https://drive.google.com/open?id=12yruOYw-H1K_UGFjjWLOR0NC_r5279xy</t>
  </si>
  <si>
    <t>zaiqa bawarchi restaurant</t>
  </si>
  <si>
    <t>Shop No 1, And 2, Snehapuri Colony, Borabanda, Hyderabad, Telangana 500045</t>
  </si>
  <si>
    <t xml:space="preserve">Sridhar </t>
  </si>
  <si>
    <t xml:space="preserve">Owner was not available </t>
  </si>
  <si>
    <t>Ruchi Resturants</t>
  </si>
  <si>
    <t>Mohammad kudhr</t>
  </si>
  <si>
    <t>Star lite</t>
  </si>
  <si>
    <t>Parvaiz</t>
  </si>
  <si>
    <t>Need to follow up after ramzan</t>
  </si>
  <si>
    <t>Arman hotel</t>
  </si>
  <si>
    <t xml:space="preserve">They are not interested in any online platform </t>
  </si>
  <si>
    <t>Ar hotell</t>
  </si>
  <si>
    <t>Kassim</t>
  </si>
  <si>
    <t xml:space="preserve">Owner was.not available </t>
  </si>
  <si>
    <t>Hyderabadi foodie</t>
  </si>
  <si>
    <t>Vijay</t>
  </si>
  <si>
    <t xml:space="preserve">Not shared </t>
  </si>
  <si>
    <t xml:space="preserve">Should come back tmr </t>
  </si>
  <si>
    <t>Konaseema Gummagumalu</t>
  </si>
  <si>
    <t>Tealogy</t>
  </si>
  <si>
    <t>Mitha</t>
  </si>
  <si>
    <t>+91 99805 05056</t>
  </si>
  <si>
    <t xml:space="preserve">Tealogy </t>
  </si>
  <si>
    <t>Rupi</t>
  </si>
  <si>
    <t xml:space="preserve">The owner was not available discussion done on the call meeting fixed today evening </t>
  </si>
  <si>
    <t>Nagallas shawarma and kababs</t>
  </si>
  <si>
    <t>Dotpay</t>
  </si>
  <si>
    <t>https://maps.google.com/?q=Baburao%20Gari%20Biryani,%20Sri%20Sai%20Chaitanya%20Nilayam,%20Street%20Number%204,%20opposite%20Montessori%20High%20School,%20Vijaya%20Nagar%20Colony,%20Kukatpally,%20Hyderabad,%20Telangana%20500072&amp;ftid=0x3bcb919f96d79569:0xc5f549118c193c7b&amp;entry=gps&amp;shh=CAE&amp;lucs=,94297699,94284481,94231188,94280568,47071704,94266210,94218641,94282134,94286869&amp;g_st=ic</t>
  </si>
  <si>
    <t>Kakaralad@gmail.com</t>
  </si>
  <si>
    <t>Dotpay pos</t>
  </si>
  <si>
    <t xml:space="preserve">Baburao gari biriyani </t>
  </si>
  <si>
    <t>+91 99495 38044</t>
  </si>
  <si>
    <t xml:space="preserve">Jaya laxmi food centre </t>
  </si>
  <si>
    <t>Narismha Rao</t>
  </si>
  <si>
    <t xml:space="preserve">Friday meet </t>
  </si>
  <si>
    <t>Prince house family restaurant</t>
  </si>
  <si>
    <t>https://maps.app.goo.gl/c9RYPFLsTBfefUWG9?g_st=ic</t>
  </si>
  <si>
    <t xml:space="preserve">Sudheer </t>
  </si>
  <si>
    <t>Sudheermunna056@gmail.com</t>
  </si>
  <si>
    <t xml:space="preserve">Should come back for onboarding </t>
  </si>
  <si>
    <t>Athithi Biriyani Ruchulu</t>
  </si>
  <si>
    <t>Mohammed zahid</t>
  </si>
  <si>
    <t xml:space="preserve">Seven stars restaurant </t>
  </si>
  <si>
    <t xml:space="preserve">Sri Shakambhari Restaurant </t>
  </si>
  <si>
    <t>naveengoodchat120@gmail.com</t>
  </si>
  <si>
    <t>https://drive.google.com/open?id=1CmRn6ReXYRzBAN2XIiw_xv3qvQB6rPVa</t>
  </si>
  <si>
    <t>The restaurant name going to change</t>
  </si>
  <si>
    <t xml:space="preserve">  Sri Shakambhari Restaurant (tiffins)</t>
  </si>
  <si>
    <t>SreeRam</t>
  </si>
  <si>
    <t xml:space="preserve">Owner not available </t>
  </si>
  <si>
    <t xml:space="preserve">Masala Resturant </t>
  </si>
  <si>
    <t xml:space="preserve">Owner was not available i.will follow to schedule meeting </t>
  </si>
  <si>
    <t>Balaji santosh dhaba</t>
  </si>
  <si>
    <t>https://drive.google.com/open?id=18ETTcNXYtv4nBPx7hM2XWbUAZIBM-aD7</t>
  </si>
  <si>
    <t>Sri Shakambhari Restaurant (meals and curries)</t>
  </si>
  <si>
    <t>Sri Shakambhari Restaurant (Chinese)</t>
  </si>
  <si>
    <t>https://drive.google.com/open?id=1tg1YYNBpZ6tSWW_9HDDJxHqOoIveejiz</t>
  </si>
  <si>
    <t>Bawarchi mandi and Biryani</t>
  </si>
  <si>
    <t>Vijaya laxmi</t>
  </si>
  <si>
    <t>81253 97376</t>
  </si>
  <si>
    <t>She need time to think</t>
  </si>
  <si>
    <t xml:space="preserve">Mandi Specials and Biryani </t>
  </si>
  <si>
    <t xml:space="preserve">He is not interested </t>
  </si>
  <si>
    <t>Balaji Dhaba</t>
  </si>
  <si>
    <t>Shaik Sabbair</t>
  </si>
  <si>
    <t>81254 01252</t>
  </si>
  <si>
    <t xml:space="preserve">Tomorrow onboarding </t>
  </si>
  <si>
    <t>Mini Cafe</t>
  </si>
  <si>
    <t>Rishitha Curries and Biryani</t>
  </si>
  <si>
    <t>https://drive.google.com/open?id=11tXJPvuGuhQ162puehhd8sngRtxizSzN</t>
  </si>
  <si>
    <t>https://drive.google.com/open?id=16IIefTFuB7F8TgpAZfb6Lyq6TItp54et</t>
  </si>
  <si>
    <t>https://drive.google.com/open?id=1JUnT13imr2_E-8z2WaqtoxzqSErhpxBz</t>
  </si>
  <si>
    <t>Utib 00409</t>
  </si>
  <si>
    <t>Amristari dabha</t>
  </si>
  <si>
    <t xml:space="preserve">Mekallas shawarma and kababs </t>
  </si>
  <si>
    <t>Mekallas teja sai</t>
  </si>
  <si>
    <t>+91 96662 67966</t>
  </si>
  <si>
    <t xml:space="preserve">Onboarded but need to collect menu </t>
  </si>
  <si>
    <t>Mekallas shawarma and kababs</t>
  </si>
  <si>
    <t>Sheshidar reddy</t>
  </si>
  <si>
    <t xml:space="preserve">Onboarded need to collect menu </t>
  </si>
  <si>
    <t xml:space="preserve">Nagallas shawarma </t>
  </si>
  <si>
    <t>Mani</t>
  </si>
  <si>
    <t>87909 15541</t>
  </si>
  <si>
    <t>He told me to call at 9 pm today</t>
  </si>
  <si>
    <t>Sangeetha Kitchen</t>
  </si>
  <si>
    <t>Laxman</t>
  </si>
  <si>
    <t xml:space="preserve">Owner was. Not available </t>
  </si>
  <si>
    <t xml:space="preserve">Bhavani matha curry point </t>
  </si>
  <si>
    <t xml:space="preserve">Not interested in online platform </t>
  </si>
  <si>
    <t xml:space="preserve">My friend mandi </t>
  </si>
  <si>
    <t>Call nack on wed</t>
  </si>
  <si>
    <t xml:space="preserve">Gulf Mandi </t>
  </si>
  <si>
    <t>Naga Raju Reddy</t>
  </si>
  <si>
    <t>Should call</t>
  </si>
  <si>
    <t xml:space="preserve">Chittibabu Biriyani </t>
  </si>
  <si>
    <t>https://drive.google.com/open?id=1Jopvc15Mue80-daovBKdQiKBP2CF-pkt</t>
  </si>
  <si>
    <t xml:space="preserve">Lotus Biryani and Fast Food Center </t>
  </si>
  <si>
    <t>Venkatram Reddy</t>
  </si>
  <si>
    <t xml:space="preserve">Call after 2 days </t>
  </si>
  <si>
    <t>Sai Darshini Tiffins</t>
  </si>
  <si>
    <t>Syed azweli</t>
  </si>
  <si>
    <t xml:space="preserve">Ahmed restaurant </t>
  </si>
  <si>
    <t>Chandrashekhar reddy</t>
  </si>
  <si>
    <t xml:space="preserve">Discussion done with one partner need to discuss with other partner </t>
  </si>
  <si>
    <t>Hotel CVR narsingi</t>
  </si>
  <si>
    <t xml:space="preserve">Not interested </t>
  </si>
  <si>
    <t>Kuthari hotel</t>
  </si>
  <si>
    <t xml:space="preserve">Naveen Reddy </t>
  </si>
  <si>
    <t>Should come tmr</t>
  </si>
  <si>
    <t>Pakka Telangana</t>
  </si>
  <si>
    <t xml:space="preserve">Rk multi cuisine </t>
  </si>
  <si>
    <t xml:space="preserve">Discussion done with one partner need to discuss with other partners and they are not on any online platform </t>
  </si>
  <si>
    <t xml:space="preserve">Rk grand multicuisne </t>
  </si>
  <si>
    <t xml:space="preserve">Discussion done with manager need to discuss with owner and get back us </t>
  </si>
  <si>
    <t>Tawakkal kalyani biryani</t>
  </si>
  <si>
    <t xml:space="preserve">The owner was not available,they didn't shared poc details they said they will follow up </t>
  </si>
  <si>
    <t xml:space="preserve">The hungers spot </t>
  </si>
  <si>
    <t xml:space="preserve">Will onboard after app launch </t>
  </si>
  <si>
    <t xml:space="preserve">Burgers and pizzas </t>
  </si>
  <si>
    <t xml:space="preserve">No remarks </t>
  </si>
  <si>
    <t xml:space="preserve">S D fast food centre </t>
  </si>
  <si>
    <t xml:space="preserve">Goulidoddi </t>
  </si>
  <si>
    <t xml:space="preserve">Ellipaya karam express </t>
  </si>
  <si>
    <t xml:space="preserve">Siddharth </t>
  </si>
  <si>
    <t>93221 89858</t>
  </si>
  <si>
    <t>Need some time to think</t>
  </si>
  <si>
    <t xml:space="preserve">Butter bunnies </t>
  </si>
  <si>
    <t xml:space="preserve">Delicia multicusine restaurant </t>
  </si>
  <si>
    <t>Rayalaseema Karam Dosa</t>
  </si>
  <si>
    <t>500063, 5-9-20/A, Secretariat Rd, Saifabad, Khairtabad, Hyderabad, Telangana 500004</t>
  </si>
  <si>
    <t>Narayan</t>
  </si>
  <si>
    <t>Info@nicehospitality.in</t>
  </si>
  <si>
    <t>Asked to send proposal</t>
  </si>
  <si>
    <t>Asked to send the proposal in email</t>
  </si>
  <si>
    <t>Khairatabad</t>
  </si>
  <si>
    <t>Anmol continental</t>
  </si>
  <si>
    <t>88758 40852</t>
  </si>
  <si>
    <t>Asked to come on  wednesday</t>
  </si>
  <si>
    <t>Will be available on 4 th</t>
  </si>
  <si>
    <t xml:space="preserve">Hare krishna family dhaba </t>
  </si>
  <si>
    <t>Asked to come on 4 th</t>
  </si>
  <si>
    <t>Owner will be available on 4 th</t>
  </si>
  <si>
    <t>Krishna tiffins and mess</t>
  </si>
  <si>
    <t>Asked to meet at 7 pm</t>
  </si>
  <si>
    <t>Hillstar</t>
  </si>
  <si>
    <t>Bengali Food plaza</t>
  </si>
  <si>
    <t xml:space="preserve">Arambam </t>
  </si>
  <si>
    <t>Suhan</t>
  </si>
  <si>
    <t>Cafe Hyd</t>
  </si>
  <si>
    <t>hameed</t>
  </si>
  <si>
    <t>https://drive.google.com/open?id=1R0DZiA7acsmFVV4cHf2iIFoBfpW5Ud5U</t>
  </si>
  <si>
    <t>AUMPH4519B</t>
  </si>
  <si>
    <t>https://drive.google.com/open?id=1z1aWdopo4V2Z4W8UGY-6ROa5byni8O5C</t>
  </si>
  <si>
    <t>HAMDAN</t>
  </si>
  <si>
    <t>Lakdikapul Pillar No: A-1193, adjacent to Khadi Shop, Hyderabad, Telangana 500004</t>
  </si>
  <si>
    <t xml:space="preserve"> cheese and mix kitchen</t>
  </si>
  <si>
    <t>VENGAL RAO</t>
  </si>
  <si>
    <t xml:space="preserve">HE NEEDS TIME TO THINK </t>
  </si>
  <si>
    <t>HE NEEDS TIME TO THINK FOR 2 DAYS</t>
  </si>
  <si>
    <t>HARIKA MESS</t>
  </si>
  <si>
    <t>PRAVEEN</t>
  </si>
  <si>
    <t xml:space="preserve">sri sai food court </t>
  </si>
  <si>
    <t xml:space="preserve">hillstar </t>
  </si>
  <si>
    <t>KAIF</t>
  </si>
  <si>
    <t>HE WILL DISCUSS WITH HIS BROTHER AND  LET US KNOW BY TOMMROW</t>
  </si>
  <si>
    <t>HE WILL DISCUSS WITH HIS BROTHER AND LET US KNOW</t>
  </si>
  <si>
    <t>March 10 - follow up required</t>
  </si>
  <si>
    <t>Dumont Creamery</t>
  </si>
  <si>
    <t>They are having 3 branches.Spoke to manager &amp; explained business model.
Follow up required.</t>
  </si>
  <si>
    <t>Swadist Super Sweets &amp; Restaurant</t>
  </si>
  <si>
    <t>Fareed</t>
  </si>
  <si>
    <t xml:space="preserve">Have to meet tmrw - march 3rd </t>
  </si>
  <si>
    <t>Friends N Cafe</t>
  </si>
  <si>
    <t>Adnan</t>
  </si>
  <si>
    <t>Mohammedia Shawarma</t>
  </si>
  <si>
    <t xml:space="preserve">Spoke to owner , after detailed discussion of business model, he asked to meet him after launch with data
</t>
  </si>
  <si>
    <t>By the BAY</t>
  </si>
  <si>
    <t>Shehzaad</t>
  </si>
  <si>
    <t>call back @ 7PM</t>
  </si>
  <si>
    <t>7 Sauces</t>
  </si>
  <si>
    <t>Alvi</t>
  </si>
  <si>
    <t>call back after 7:30 PM</t>
  </si>
  <si>
    <t>Scoops</t>
  </si>
  <si>
    <t>Decision maker will be available only on tuesday 1PM</t>
  </si>
  <si>
    <t>Chicha's</t>
  </si>
  <si>
    <t>bishwash</t>
  </si>
  <si>
    <t>onboarded - docs pending</t>
  </si>
  <si>
    <t>Kathmandu Momos</t>
  </si>
  <si>
    <t>Res having 3.7k+ reviews</t>
  </si>
  <si>
    <t>Hamdan Bin Masood</t>
  </si>
  <si>
    <t>88014 17049</t>
  </si>
  <si>
    <t>hamdanalguthmi1234@gmail.com</t>
  </si>
  <si>
    <t>https://drive.google.com/open?id=1RN-1HWhoWVesrIbEK2dlHK5APScryeyQ</t>
  </si>
  <si>
    <t>https://drive.google.com/open?id=13zCW8D8SNib1er9ke9uEwycgWhCXbGm4</t>
  </si>
  <si>
    <t>https://drive.google.com/open?id=15XeVjTUbGM8EDFEtpE16VrUSKAdEkd5X</t>
  </si>
  <si>
    <t>UTIB0000881</t>
  </si>
  <si>
    <t>HAMDAN BIN MASOOD</t>
  </si>
  <si>
    <t>H No. 6-2-967/B/A/6, Fateh Manzil ,  Khairatabad Circle No.17, Hyderabad,  Telangana-500004</t>
  </si>
  <si>
    <t>Tulasi Nandan</t>
  </si>
  <si>
    <t>https://drive.google.com/open?id=16uzmsqr0FfEizxP4fvxZUTijkrK2F0EZ</t>
  </si>
  <si>
    <t xml:space="preserve"> 36BSJPT5975K1ZR</t>
  </si>
  <si>
    <t>https://drive.google.com/open?id=1QFSCt_8o_lASOmdaCLlzVCq2ILzAFnEK</t>
  </si>
  <si>
    <t>https://drive.google.com/open?id=19PvDBCbHxm2udfkoK3NYiHw0EGxFds77</t>
  </si>
  <si>
    <t>ICIC00001974</t>
  </si>
  <si>
    <t>menu pending</t>
  </si>
  <si>
    <t>THE BOAT HOUSE RESTAURANT,  Hno: 8-46/P,  1st Floor,  Swaren Arcade, Sai Ram Nagar  Colony,  Bandlaguda Jagir , , Rangareddy,  Telangana-500086</t>
  </si>
  <si>
    <t>The Boat house</t>
  </si>
  <si>
    <t>They are not interested in online platforms</t>
  </si>
  <si>
    <t xml:space="preserve">Swaad curries and tiffins </t>
  </si>
  <si>
    <t xml:space="preserve">Kiran kumar reddy </t>
  </si>
  <si>
    <t xml:space="preserve">The owner was not in the outlet explained on the call he said he will get back </t>
  </si>
  <si>
    <t xml:space="preserve">Idv kitchen </t>
  </si>
  <si>
    <t xml:space="preserve">The owner was not available I will follow up to schedule meeting </t>
  </si>
  <si>
    <t xml:space="preserve">Muntha masala </t>
  </si>
  <si>
    <t xml:space="preserve">Lucky Restaurant </t>
  </si>
  <si>
    <t>Raghuram</t>
  </si>
  <si>
    <t>78937 79377</t>
  </si>
  <si>
    <t xml:space="preserve">Bhadrachalam cafe </t>
  </si>
  <si>
    <t>Shiva Reddy</t>
  </si>
  <si>
    <t xml:space="preserve">Should call the owner </t>
  </si>
  <si>
    <t>Ideal Kitchen</t>
  </si>
  <si>
    <t xml:space="preserve">Owner </t>
  </si>
  <si>
    <t xml:space="preserve">The owner was not available trying to reach on call bt not available </t>
  </si>
  <si>
    <t xml:space="preserve">Hotel the Nawabi zaiqa </t>
  </si>
  <si>
    <t>Rajesh</t>
  </si>
  <si>
    <t xml:space="preserve">Shringeri kitchen </t>
  </si>
  <si>
    <t>Not interested in online platform</t>
  </si>
  <si>
    <t xml:space="preserve">Manchidhana tiffins and fast food </t>
  </si>
  <si>
    <t>Udipis ahaara arogya</t>
  </si>
  <si>
    <t>Nna</t>
  </si>
  <si>
    <t>Dostea</t>
  </si>
  <si>
    <t>Usha</t>
  </si>
  <si>
    <t xml:space="preserve">Onboarded need to collect documents </t>
  </si>
  <si>
    <t xml:space="preserve">Manager </t>
  </si>
  <si>
    <t xml:space="preserve">Manager is on the leave I will follow up to schedule meeting </t>
  </si>
  <si>
    <t xml:space="preserve">Udipis upahar </t>
  </si>
  <si>
    <t>Somnath</t>
  </si>
  <si>
    <t>+91 99516 98337</t>
  </si>
  <si>
    <t xml:space="preserve">Sri Sai Raghavendra tiffins and meals </t>
  </si>
  <si>
    <t>Manager was not available I will follow up to schedule t</t>
  </si>
  <si>
    <t xml:space="preserve">Sri bakers </t>
  </si>
  <si>
    <t>Ballaji</t>
  </si>
  <si>
    <t xml:space="preserve">Discussion done with one partner need to follow up to schedule meeting with different partner </t>
  </si>
  <si>
    <t>Balaji family dhaba</t>
  </si>
  <si>
    <t xml:space="preserve">Rajamundry vaari real rose milk </t>
  </si>
  <si>
    <t>Vikram</t>
  </si>
  <si>
    <t>+91 96760 99330</t>
  </si>
  <si>
    <t xml:space="preserve">Menu collection </t>
  </si>
  <si>
    <t xml:space="preserve">Rajahmundry vaari real rose milk </t>
  </si>
  <si>
    <t xml:space="preserve">Open heart restaurant </t>
  </si>
  <si>
    <t>Gen Z flavoria</t>
  </si>
  <si>
    <t>Vikram.</t>
  </si>
  <si>
    <t xml:space="preserve">Gen Z flavoria </t>
  </si>
  <si>
    <t xml:space="preserve">Didn't shared poc details,owner was not available </t>
  </si>
  <si>
    <t>Iyengar bakery</t>
  </si>
  <si>
    <t>RAM hotel</t>
  </si>
  <si>
    <t>Araya Bhavan</t>
  </si>
  <si>
    <t>Annappa Shetty</t>
  </si>
  <si>
    <t>https://drive.google.com/open?id=17XbcLCrOB1kWVGbZDc6o0qqlArXghP6A</t>
  </si>
  <si>
    <t>https://drive.google.com/open?id=1aPncDT6QcZySFxSwMG_xY36eBWbmKTdY</t>
  </si>
  <si>
    <t>https://drive.google.com/open?id=1rCRtXjoo9gUHuZx4kxV58RO5_mVZIDCH</t>
  </si>
  <si>
    <t>https://drive.google.com/open?id=1wGIuS5LdKX6sbKKQX06OXx33Zup9NNDv</t>
  </si>
  <si>
    <t>https://drive.google.com/open?id=1zVDsBrZSUt7yPKGsdXe1Fht57bSxdo6B</t>
  </si>
  <si>
    <t>Erragada</t>
  </si>
  <si>
    <t>Arya Bhavan</t>
  </si>
  <si>
    <t>Sathish</t>
  </si>
  <si>
    <t xml:space="preserve">Follow up on Thursday </t>
  </si>
  <si>
    <t>Poruginti Chapala Pulsu</t>
  </si>
  <si>
    <t>Prathiyaka The kitchen</t>
  </si>
  <si>
    <t xml:space="preserve">Not available </t>
  </si>
  <si>
    <t>Dum marro dum</t>
  </si>
  <si>
    <t>Sunil kumar</t>
  </si>
  <si>
    <t>They need time</t>
  </si>
  <si>
    <t>Rushibha Kitchen</t>
  </si>
  <si>
    <t>Sai</t>
  </si>
  <si>
    <t>Pulaos kitchen.com</t>
  </si>
  <si>
    <t>Mini cafe</t>
  </si>
  <si>
    <t>Shabbar</t>
  </si>
  <si>
    <t>https://drive.google.com/open?id=1UayLS9Rf8Smkz8RCq2kyqfft2PvDANsS</t>
  </si>
  <si>
    <t>https://drive.google.com/open?id=1v5AuEV3TlpgKmKiMYKdaZd8vH8Rpq39B</t>
  </si>
  <si>
    <t>Mini cafe biryani and meals</t>
  </si>
  <si>
    <t>Saddar</t>
  </si>
  <si>
    <t>https://drive.google.com/open?id=1bOy5QnrlzHUtrDvFV95MHHOPj43vYI3s</t>
  </si>
  <si>
    <t>https://drive.google.com/open?id=1TyOXQznNSb154-k3YMN5H7-uN5PXwRc7</t>
  </si>
  <si>
    <t xml:space="preserve">Mini cafe Chinese </t>
  </si>
  <si>
    <t>Pulaos and bagara</t>
  </si>
  <si>
    <t xml:space="preserve">New Restaurant </t>
  </si>
  <si>
    <t xml:space="preserve">Sr nagar </t>
  </si>
  <si>
    <t>Kokkaroko</t>
  </si>
  <si>
    <t>Anitha</t>
  </si>
  <si>
    <t xml:space="preserve">Abhiruchi food court </t>
  </si>
  <si>
    <t xml:space="preserve">Red pepper </t>
  </si>
  <si>
    <t xml:space="preserve">Victoria Restaurant </t>
  </si>
  <si>
    <t>Kumar</t>
  </si>
  <si>
    <t xml:space="preserve">Sri Raghavendra bhavan </t>
  </si>
  <si>
    <t xml:space="preserve">Al saba Restaurant </t>
  </si>
  <si>
    <t xml:space="preserve">Zucifera </t>
  </si>
  <si>
    <t>https://drive.google.com/open?id=1mmKFGEhmqRl2nTUZnF6hW__99AaOChve</t>
  </si>
  <si>
    <t>https://drive.google.com/open?id=1B73x5KBZ4-gx2NXySC5LtwoDyiVEdIIZ</t>
  </si>
  <si>
    <t xml:space="preserve">Food license pending </t>
  </si>
  <si>
    <t xml:space="preserve">Vinod </t>
  </si>
  <si>
    <t xml:space="preserve">Thursday onboarding </t>
  </si>
  <si>
    <t>Aroma Cafe</t>
  </si>
  <si>
    <t xml:space="preserve">marjaan </t>
  </si>
  <si>
    <t>will be available at 1 pm</t>
  </si>
  <si>
    <t xml:space="preserve">marjaan hotel </t>
  </si>
  <si>
    <t>vinay</t>
  </si>
  <si>
    <t>Head office is in sherlingampally 
We can go and talk directly</t>
  </si>
  <si>
    <t>Head office is in sherlingampally  We can go and talk directly</t>
  </si>
  <si>
    <t xml:space="preserve"> makers of milkshake</t>
  </si>
  <si>
    <t xml:space="preserve">altaf </t>
  </si>
  <si>
    <t>going to meet head office</t>
  </si>
  <si>
    <t xml:space="preserve"> makhayad al arabi restaurant</t>
  </si>
  <si>
    <t>Mieekal shajji</t>
  </si>
  <si>
    <t>OWNER IS NOT AVAILABLE AFTER 8 ON THURSDAY</t>
  </si>
  <si>
    <t xml:space="preserve"> felfelah</t>
  </si>
  <si>
    <t xml:space="preserve">HAVE TO REACHOUT TO HEAD OFFICE </t>
  </si>
  <si>
    <t xml:space="preserve">azebo </t>
  </si>
  <si>
    <t>MEHBOOB</t>
  </si>
  <si>
    <t>Owner will onboard on thursday</t>
  </si>
  <si>
    <t>ice station</t>
  </si>
  <si>
    <t>RAM BABU</t>
  </si>
  <si>
    <t>Owner not available today asked to come on friday</t>
  </si>
  <si>
    <t xml:space="preserve">go fresh </t>
  </si>
  <si>
    <t>ARMAN</t>
  </si>
  <si>
    <t>Owner will discuss with brother and get back on thursday</t>
  </si>
  <si>
    <t xml:space="preserve">shawarma zone </t>
  </si>
  <si>
    <t>https://www.google.com/maps/place/Madhapur+Bawarchi,+Ayyappa+Society+Main+Road/@17.4416457,78.3891354,17z/data=!3m1!4b1!4m6!3m5!1s0x3bcb915c640be665:0xd6108edbbd595caf!8m2!3d17.4416406!4d78.3917103!16s%2Fg%2F11bw4sh2j2?hl=en&amp;entry=ttu&amp;g_ep=EgoyMDI2MDMwMS4xIKXMDSoASAFQAw%3D%3D</t>
  </si>
  <si>
    <t>SHIV KUMAR</t>
  </si>
  <si>
    <t>b4ushiva@gmail.com</t>
  </si>
  <si>
    <t>https://drive.google.com/open?id=1yfedvBWS3qZedfuzJMqe7INjzyOVp5fc</t>
  </si>
  <si>
    <t>CXGPP3953G</t>
  </si>
  <si>
    <t>https://drive.google.com/open?id=1XlJpIT7i3d2qQnAyrupxDpTDl3y5jpWa</t>
  </si>
  <si>
    <t>https://drive.google.com/open?id=1TVsu2_zOmHnVog5RRJy1iHy5UtLlhaEF</t>
  </si>
  <si>
    <t>IDFB0080201</t>
  </si>
  <si>
    <t>MADHAPUR BAWARCHI</t>
  </si>
  <si>
    <t xml:space="preserve"> 88853 03345</t>
  </si>
  <si>
    <t>C9XR+F87, Ayyappa Society Main Rd, opp. Sbi bank, Megha Hills, Sri Sai Nagar, Madhapur, Hyderabad, Telangana 500081</t>
  </si>
  <si>
    <t xml:space="preserve">madhapur bawarchi </t>
  </si>
  <si>
    <t>ustaad</t>
  </si>
  <si>
    <t>lebanase grill</t>
  </si>
  <si>
    <t>harish</t>
  </si>
  <si>
    <t>mc cafe</t>
  </si>
  <si>
    <t xml:space="preserve">mr jimmy </t>
  </si>
  <si>
    <t>khairathabad</t>
  </si>
  <si>
    <t xml:space="preserve">paradise </t>
  </si>
  <si>
    <t xml:space="preserve">pizza hut </t>
  </si>
  <si>
    <t>nz</t>
  </si>
  <si>
    <t xml:space="preserve">kfc </t>
  </si>
  <si>
    <t>mfc</t>
  </si>
  <si>
    <t>prasad</t>
  </si>
  <si>
    <t xml:space="preserve">mfc </t>
  </si>
  <si>
    <t xml:space="preserve">ankith agarawal </t>
  </si>
  <si>
    <t>momo street</t>
  </si>
  <si>
    <t xml:space="preserve">laxaman </t>
  </si>
  <si>
    <t>ns</t>
  </si>
  <si>
    <t>khaiurthabad</t>
  </si>
  <si>
    <t>pista house</t>
  </si>
  <si>
    <t xml:space="preserve">sourav </t>
  </si>
  <si>
    <t>toops</t>
  </si>
  <si>
    <t>nsa</t>
  </si>
  <si>
    <t>the whole in the wall</t>
  </si>
  <si>
    <t>rs biryani</t>
  </si>
  <si>
    <t>madhapur</t>
  </si>
  <si>
    <t xml:space="preserve">scandy </t>
  </si>
  <si>
    <t>bhagwan</t>
  </si>
  <si>
    <t>onboareded</t>
  </si>
  <si>
    <t xml:space="preserve">sherligampally </t>
  </si>
  <si>
    <t>done onboarded</t>
  </si>
  <si>
    <t>darbar street</t>
  </si>
  <si>
    <t>done with onboarded</t>
  </si>
  <si>
    <t xml:space="preserve">kamat hotel </t>
  </si>
  <si>
    <t xml:space="preserve">nagnath </t>
  </si>
  <si>
    <t>anwar</t>
  </si>
  <si>
    <t xml:space="preserve">the eatary hub </t>
  </si>
  <si>
    <t>bhwaneee multicsine</t>
  </si>
  <si>
    <t>IDV muntha masala</t>
  </si>
  <si>
    <t>Venkateswara rao</t>
  </si>
  <si>
    <t xml:space="preserve">Onboarded food licence certificate pending </t>
  </si>
  <si>
    <t xml:space="preserve">Food licence certificate </t>
  </si>
  <si>
    <t>Idv kitchen munthamasala</t>
  </si>
  <si>
    <t xml:space="preserve">Needto follow up </t>
  </si>
  <si>
    <t>Balaji mitai bhander</t>
  </si>
  <si>
    <t>Poorna chander</t>
  </si>
  <si>
    <t>Need to eup</t>
  </si>
  <si>
    <t xml:space="preserve">They are not any platform and not interested in any online form </t>
  </si>
  <si>
    <t xml:space="preserve">Laxmi godavari ruchulu </t>
  </si>
  <si>
    <t>Ravindra reddy</t>
  </si>
  <si>
    <t xml:space="preserve">Need to follow up </t>
  </si>
  <si>
    <t xml:space="preserve">Brown bear baking </t>
  </si>
  <si>
    <t>Sreeja home foods</t>
  </si>
  <si>
    <t xml:space="preserve">Sreeja </t>
  </si>
  <si>
    <t xml:space="preserve">They ar not interested on online </t>
  </si>
  <si>
    <t xml:space="preserve">Zaiqa </t>
  </si>
  <si>
    <t xml:space="preserve">Called to owner gave appointment at 4:30today </t>
  </si>
  <si>
    <t>Hotel the Nawabi zaiqa</t>
  </si>
  <si>
    <t xml:space="preserve">Madhava reddy </t>
  </si>
  <si>
    <t xml:space="preserve">Kalpana tiffins and meals </t>
  </si>
  <si>
    <t xml:space="preserve">Anurag </t>
  </si>
  <si>
    <t>93431 02102</t>
  </si>
  <si>
    <t xml:space="preserve">Sent all the required info on WhatsApp </t>
  </si>
  <si>
    <t xml:space="preserve">Souskis foodies club </t>
  </si>
  <si>
    <t xml:space="preserve">Come after 8 in the evening </t>
  </si>
  <si>
    <t xml:space="preserve">Kohinoor restaurant </t>
  </si>
  <si>
    <t xml:space="preserve">Lokesh </t>
  </si>
  <si>
    <t>99495 95361</t>
  </si>
  <si>
    <t xml:space="preserve">No </t>
  </si>
  <si>
    <t xml:space="preserve">Satti Babu Biryani </t>
  </si>
  <si>
    <t>Geetha</t>
  </si>
  <si>
    <t>Didn't shared poc details need to follow up</t>
  </si>
  <si>
    <t>Geetha hotel</t>
  </si>
  <si>
    <t xml:space="preserve">Om sai kitchens </t>
  </si>
  <si>
    <t xml:space="preserve">Om Sai </t>
  </si>
  <si>
    <t xml:space="preserve">Follow up </t>
  </si>
  <si>
    <t xml:space="preserve">On Sai kitchens </t>
  </si>
  <si>
    <t xml:space="preserve">Need to follow up,the owner was.not a available </t>
  </si>
  <si>
    <t>Hakka Chinese food</t>
  </si>
  <si>
    <t>Kks bakers</t>
  </si>
  <si>
    <t xml:space="preserve">Madhu </t>
  </si>
  <si>
    <t xml:space="preserve">Sherligampally </t>
  </si>
  <si>
    <t>Butta biryani</t>
  </si>
  <si>
    <t>Need to follow up after one week</t>
  </si>
  <si>
    <t>Swarup</t>
  </si>
  <si>
    <t xml:space="preserve">Onboarding after app launch </t>
  </si>
  <si>
    <t>Kolkata food plaza</t>
  </si>
  <si>
    <t xml:space="preserve">Devaraj </t>
  </si>
  <si>
    <t>Shawarma by roxtarz</t>
  </si>
  <si>
    <t xml:space="preserve">Sri vijaya laxmi  food court </t>
  </si>
  <si>
    <t>Ashfq</t>
  </si>
  <si>
    <t xml:space="preserve">Need time to discuss </t>
  </si>
  <si>
    <t xml:space="preserve">Imperial Restaurant </t>
  </si>
  <si>
    <t xml:space="preserve">Karthikeya chitti nethi idly </t>
  </si>
  <si>
    <t>Chaat baazar</t>
  </si>
  <si>
    <t>Chat baazar</t>
  </si>
  <si>
    <t xml:space="preserve">Chat bazar </t>
  </si>
  <si>
    <t xml:space="preserve">Manager not available </t>
  </si>
  <si>
    <t>Amogha Cafe</t>
  </si>
  <si>
    <t>Tibb’s Frankie</t>
  </si>
  <si>
    <t>+91 81437 77074</t>
  </si>
  <si>
    <t xml:space="preserve">Tomorrow need to follow back </t>
  </si>
  <si>
    <t xml:space="preserve">Godhavari bajji mirchi </t>
  </si>
  <si>
    <t xml:space="preserve">Bhaskar reddy </t>
  </si>
  <si>
    <t>99635 72323</t>
  </si>
  <si>
    <t>Bakers Corner</t>
  </si>
  <si>
    <t xml:space="preserve">Captain cook </t>
  </si>
  <si>
    <t xml:space="preserve">Adbatuha </t>
  </si>
  <si>
    <t>Asked to meet tomorrow</t>
  </si>
  <si>
    <t>Ravi Babu food court</t>
  </si>
  <si>
    <t>Asked to meet sunday</t>
  </si>
  <si>
    <t>Hitech food court</t>
  </si>
  <si>
    <t>Rishi</t>
  </si>
  <si>
    <t>Will get back to us</t>
  </si>
  <si>
    <t>Omg bites</t>
  </si>
  <si>
    <t>Onboarding 6th march</t>
  </si>
  <si>
    <t>Masti 4am biryani</t>
  </si>
  <si>
    <t>Mohamad</t>
  </si>
  <si>
    <t>Asked to visit tomorrow for on boarding</t>
  </si>
  <si>
    <t>Charminar biryani</t>
  </si>
  <si>
    <t xml:space="preserve">Asked to visit tomorrow </t>
  </si>
  <si>
    <t>Konaseema Ruchulu</t>
  </si>
  <si>
    <t>Mubeen</t>
  </si>
  <si>
    <t>Sai nadh</t>
  </si>
  <si>
    <t>Will speak regarding platform</t>
  </si>
  <si>
    <t>Sri pratyeka kitchen</t>
  </si>
  <si>
    <t>Rehaman</t>
  </si>
  <si>
    <t>Diamond food court</t>
  </si>
  <si>
    <t xml:space="preserve"> prime deccan restaurant </t>
  </si>
  <si>
    <t>mosin</t>
  </si>
  <si>
    <t>owner asked to come tommrow at 7 pm</t>
  </si>
  <si>
    <t>owner asked to come tommrow</t>
  </si>
  <si>
    <t>islam</t>
  </si>
  <si>
    <t>will onboard at 7 pm</t>
  </si>
  <si>
    <t>royal family dhaba</t>
  </si>
  <si>
    <t>OWNER WILL DISCUSS WITH BROTHER AND CALL BACK TOOMROW</t>
  </si>
  <si>
    <t>sai martha food court</t>
  </si>
  <si>
    <t>SHAHBUDIN</t>
  </si>
  <si>
    <t>OWNER WILL ONBOARD AFTER APP LAUNCH</t>
  </si>
  <si>
    <t>OWNER WILL ONBARD AFTER APP LAUNCH</t>
  </si>
  <si>
    <t>AMEER</t>
  </si>
  <si>
    <t>ALREADY ONBOARDED BY AKHILA</t>
  </si>
  <si>
    <t xml:space="preserve"> almas restaurant </t>
  </si>
  <si>
    <t>Sajiya</t>
  </si>
  <si>
    <t>Follow up on monday at 4 pm</t>
  </si>
  <si>
    <t>AG Food Court</t>
  </si>
  <si>
    <t>Owner will be available tommrow</t>
  </si>
  <si>
    <t xml:space="preserve">santosh dhaba </t>
  </si>
  <si>
    <t>MAZHAR</t>
  </si>
  <si>
    <t xml:space="preserve">Al faizan arabian mandi </t>
  </si>
  <si>
    <t>Owner  will be available   on monday as he is out of station</t>
  </si>
  <si>
    <t xml:space="preserve">  krishna udipi  park </t>
  </si>
  <si>
    <t>DASHBOARD</t>
  </si>
  <si>
    <t>https://www.google.com/maps?q=17.4674346,78.3981803&amp;z=17&amp;hl=en</t>
  </si>
  <si>
    <t>WASIM AKRAM</t>
  </si>
  <si>
    <t>70082 64218</t>
  </si>
  <si>
    <t>wasimakram06052001@gmail.com</t>
  </si>
  <si>
    <t>https://drive.google.com/open?id=1DYiae-A8Ee2nqAiyJ7JwJs7M4E52k7dx</t>
  </si>
  <si>
    <t>EOPPA3743R</t>
  </si>
  <si>
    <t>https://drive.google.com/open?id=1lH-3wxZgtDEGe_MAdkn70uGnpLS720dY</t>
  </si>
  <si>
    <t>https://drive.google.com/open?id=1kX78Vn0BaJhUGBwL9QDXwpw-_X8ZxC81</t>
  </si>
  <si>
    <t>SBIN0002109</t>
  </si>
  <si>
    <t>MENU</t>
  </si>
  <si>
    <t>PLOT.NO.105/LIG PHASE-XV, KPHB COLONY , Kukatpally Circle No 24, Hyderabad, Telangana-500085</t>
  </si>
  <si>
    <t>Royal family dhaba  snackes</t>
  </si>
  <si>
    <t>bhanuprakash.adabala@gmail.com</t>
  </si>
  <si>
    <t>https://drive.google.com/open?id=1lJPCs9L2yDHxWxWfb0lDz6YmHzEBXxFh</t>
  </si>
  <si>
    <t>https://drive.google.com/open?id=1V5EcWiOz3A_zOcttE8ql8gE0VF9nNZUB</t>
  </si>
  <si>
    <t>https://drive.google.com/open?id=1KmRKETyj7ICA0orAN7PvIzfeuX0oAGYU</t>
  </si>
  <si>
    <t>https://drive.google.com/open?id=18xnuJeykyowujSYPixTqYmZ4z8kMIkvz</t>
  </si>
  <si>
    <t>Sunil Gowtham</t>
  </si>
  <si>
    <t>https://drive.google.com/open?id=14xqyVNlmVU8rOI72yuvAxjfY3tLugHhk</t>
  </si>
  <si>
    <t>https://drive.google.com/open?id=1GfzrAjULqd-OrRfwGDaizPimI8Vjfm1G</t>
  </si>
  <si>
    <t>https://drive.google.com/open?id=1UQeKyCwjI3tO6DxqxQsxQSwZmY7WJoAt</t>
  </si>
  <si>
    <t>kukatpally</t>
  </si>
  <si>
    <t>Ruchi Chupistha</t>
  </si>
  <si>
    <t>Monday Onboarding</t>
  </si>
  <si>
    <t>Kolkata Food Plaza</t>
  </si>
  <si>
    <t xml:space="preserve">Rajashekhar </t>
  </si>
  <si>
    <t xml:space="preserve">The owner was not available,need to follow up tomorrow </t>
  </si>
  <si>
    <t xml:space="preserve">Dakshina desapu ruchulu </t>
  </si>
  <si>
    <t xml:space="preserve">Monday meeting scheduled with manager </t>
  </si>
  <si>
    <t>President dhabha</t>
  </si>
  <si>
    <t>Nilhil</t>
  </si>
  <si>
    <t>Minyu</t>
  </si>
  <si>
    <t>87122 20229</t>
  </si>
  <si>
    <t xml:space="preserve">Today at 3:30meeting scheduled </t>
  </si>
  <si>
    <t>Hamara adda</t>
  </si>
  <si>
    <t xml:space="preserve">Onboarding today </t>
  </si>
  <si>
    <t xml:space="preserve">11 • food court </t>
  </si>
  <si>
    <t xml:space="preserve">Astouch </t>
  </si>
  <si>
    <t xml:space="preserve">The friger co </t>
  </si>
  <si>
    <t>Vassu</t>
  </si>
  <si>
    <t xml:space="preserve">I will follow up to schedule meeting </t>
  </si>
  <si>
    <t xml:space="preserve">Btech tiffins </t>
  </si>
  <si>
    <t>Naa</t>
  </si>
  <si>
    <t xml:space="preserve">Didn't shared poc details need to revisit again </t>
  </si>
  <si>
    <t>Paasa local</t>
  </si>
  <si>
    <t>google.com/maps?q=17.4674346,78.3981803&amp;z=17&amp;hl=en</t>
  </si>
  <si>
    <t xml:space="preserve"> 70082 64218</t>
  </si>
  <si>
    <t>https://drive.google.com/open?id=1XdvAzYEUjtR2ZM0U9nggleDGanQtie0N</t>
  </si>
  <si>
    <t>https://drive.google.com/open?id=15-wiveaMUe3YvtKu9SiRsYeiLVcJGt30</t>
  </si>
  <si>
    <t>WASIM  AKRAM</t>
  </si>
  <si>
    <t>FORMENU</t>
  </si>
  <si>
    <t>Royal family dhaba</t>
  </si>
  <si>
    <t>https://maps.app.goo.gl/2QPzRsRkpAAWKYP87</t>
  </si>
  <si>
    <t>Srinivasulu</t>
  </si>
  <si>
    <t>+91 70930 10756</t>
  </si>
  <si>
    <t>https://drive.google.com/open?id=1RTxOUqpq8Lf1_dt9-u02aVECzO0T4csi</t>
  </si>
  <si>
    <t>AYAPV0195P</t>
  </si>
  <si>
    <t>https://drive.google.com/open?id=191h83SjcYl5-9P1Lln65RMokFPR1aydy</t>
  </si>
  <si>
    <t>https://drive.google.com/open?id=1yyN6uBhrB61j64j_vr-QFy5eCUy3Ew7t</t>
  </si>
  <si>
    <t>UBIN0818348</t>
  </si>
  <si>
    <t xml:space="preserve">Srineevasulu Reddy </t>
  </si>
  <si>
    <t>Kphb</t>
  </si>
  <si>
    <t>Om Sri Hanuman Foods</t>
  </si>
  <si>
    <t>https://maps.app.goo.gl/jFdAGQyCvp6NZha37</t>
  </si>
  <si>
    <t>Srinivasa</t>
  </si>
  <si>
    <t>+91 90599 77899</t>
  </si>
  <si>
    <t>https://drive.google.com/open?id=18eeWHW3FsGjY5ka5ytfY1tymV1j7RVgv</t>
  </si>
  <si>
    <t>AHIP D8612Q</t>
  </si>
  <si>
    <t>https://drive.google.com/open?id=14VdRTF2eoOXuSrKH_Hj9PKjEktg36nVC</t>
  </si>
  <si>
    <t>KKBK0007475</t>
  </si>
  <si>
    <t>Nearby Address: Karthik interior solutions, Plot no:1452, Gopal Nagar, Gokul Enclave, Venkata Ramana Colony, Hafeezpet, Hyderabad, Telangana 500085</t>
  </si>
  <si>
    <t>Balaji Muntha Masala</t>
  </si>
  <si>
    <t>https://maps.app.goo.gl/sQMhB2TAK2ihFpq1A</t>
  </si>
  <si>
    <t>https://drive.google.com/open?id=1wtohNm56wbPAnW4EahcUgyHdRUrN0Mnx</t>
  </si>
  <si>
    <t>https://drive.google.com/open?id=1sHOy6TBEmeaoJhNdoWWy8WDdU1x5yKFb</t>
  </si>
  <si>
    <t>KKBK7475</t>
  </si>
  <si>
    <t xml:space="preserve">Kotak Mahindra </t>
  </si>
  <si>
    <t xml:space="preserve">Kphb </t>
  </si>
  <si>
    <t>Kohb</t>
  </si>
  <si>
    <t>Balaji Kitchens</t>
  </si>
  <si>
    <t>https://maps.app.goo.gl/d4aYjc9VNEkBhgtu8</t>
  </si>
  <si>
    <t>Deepu</t>
  </si>
  <si>
    <t>https://drive.google.com/open?id=1-x-uCoBNSRzcDA0LqN8lx4xBoTIxulOt</t>
  </si>
  <si>
    <t>https://drive.google.com/open?id=17VxtR690hMGCJX0r_ZTSLQMzJ9qENMUI</t>
  </si>
  <si>
    <t>UTIB0000193</t>
  </si>
  <si>
    <t>Vinayaka dileep kumar</t>
  </si>
  <si>
    <t>Nearby Address: No 1-2-49, Pallavi Home Tutions, 2nd Floor, Building, Nizampet Road, beside Jayeesha Software Pvt LTD, Kukatpally Housing Board Colony, Hyder Nagar, Kukatpally, Hyderabad, Telangana 500085</t>
  </si>
  <si>
    <t>Aroma Biryanis &amp; palauos</t>
  </si>
  <si>
    <t>https://maps.app.goo.gl/rKEwYoJBxmCtTMGs5</t>
  </si>
  <si>
    <t>https://drive.google.com/open?id=1HFGEqhL6d3aEQGQWUfnzXaRVxapWCaxb</t>
  </si>
  <si>
    <t>AAYFD1380L</t>
  </si>
  <si>
    <t>https://drive.google.com/open?id=1IauJF0dTzuOe-6wogxcGQ3m-femkwc0X</t>
  </si>
  <si>
    <t>utib0000193</t>
  </si>
  <si>
    <t>Aroma Meals and chineese</t>
  </si>
  <si>
    <t xml:space="preserve">Dfc </t>
  </si>
  <si>
    <t>Satya parsad</t>
  </si>
  <si>
    <t xml:space="preserve">Govadarai baji mirchi </t>
  </si>
  <si>
    <t xml:space="preserve">Vicky </t>
  </si>
  <si>
    <t>+91 75692 84401</t>
  </si>
  <si>
    <t xml:space="preserve">The one and only tasty </t>
  </si>
  <si>
    <t xml:space="preserve">Kings bakers </t>
  </si>
  <si>
    <t>Karthikeya ghee and dosa</t>
  </si>
  <si>
    <t xml:space="preserve">Allamduillah hotel </t>
  </si>
  <si>
    <t xml:space="preserve">Not Intrested </t>
  </si>
  <si>
    <t xml:space="preserve">Sangamesh fast food </t>
  </si>
  <si>
    <t xml:space="preserve">Afreed </t>
  </si>
  <si>
    <t>7680-825252</t>
  </si>
  <si>
    <t xml:space="preserve">Will onboard by EOD </t>
  </si>
  <si>
    <t xml:space="preserve">Maa Bhojanam </t>
  </si>
  <si>
    <t>Darbar street</t>
  </si>
  <si>
    <t>Bhawagan</t>
  </si>
  <si>
    <t xml:space="preserve">Onaborded </t>
  </si>
  <si>
    <t>Taaza tiffens</t>
  </si>
  <si>
    <t>Charan</t>
  </si>
  <si>
    <t xml:space="preserve">Avani restraunt </t>
  </si>
  <si>
    <t>89786 26202</t>
  </si>
  <si>
    <t xml:space="preserve">Madrasi military hotel </t>
  </si>
  <si>
    <t xml:space="preserve">Kamat hotel </t>
  </si>
  <si>
    <t>Anwar</t>
  </si>
  <si>
    <t xml:space="preserve">Eatery hub </t>
  </si>
  <si>
    <t>Shivananda</t>
  </si>
  <si>
    <t>‪+91 97393 68004‬</t>
  </si>
  <si>
    <t xml:space="preserve">Hotel valentine </t>
  </si>
  <si>
    <t xml:space="preserve">Danish </t>
  </si>
  <si>
    <t xml:space="preserve">Lebanese girl </t>
  </si>
  <si>
    <t>Bhawaanee multi cusine</t>
  </si>
  <si>
    <t xml:space="preserve">Rk Chinese </t>
  </si>
  <si>
    <t>Alekhya</t>
  </si>
  <si>
    <t xml:space="preserve">Alekhya </t>
  </si>
  <si>
    <t xml:space="preserve">Vinyaka tiffins </t>
  </si>
  <si>
    <t>D</t>
  </si>
  <si>
    <t>Devaraj</t>
  </si>
  <si>
    <t>Shawarma by rock star</t>
  </si>
  <si>
    <t xml:space="preserve">Butta biryani </t>
  </si>
  <si>
    <t>Ankis</t>
  </si>
  <si>
    <t xml:space="preserve">Kks bakers </t>
  </si>
  <si>
    <t>Hakka Chinese foods</t>
  </si>
  <si>
    <t xml:space="preserve">Negative </t>
  </si>
  <si>
    <t xml:space="preserve">Geetha hotel </t>
  </si>
  <si>
    <t xml:space="preserve">Ala konaseemalo </t>
  </si>
  <si>
    <t xml:space="preserve"> Sikimdar</t>
  </si>
  <si>
    <t>Done with onaboarding</t>
  </si>
  <si>
    <t xml:space="preserve">Kalpana tiffens and melas </t>
  </si>
  <si>
    <t xml:space="preserve">Ravindra reddy </t>
  </si>
  <si>
    <t xml:space="preserve">Brown bear bakery </t>
  </si>
  <si>
    <t>Nasimitha</t>
  </si>
  <si>
    <t>https://drive.google.com/open?id=1S0LHNcN-1X0rNIWRo_lb9mjmqSkluuio</t>
  </si>
  <si>
    <t>https://drive.google.com/open?id=1YY9ilWhg4vlHnWpdsEtSk2Tx9Y5tGm2Q</t>
  </si>
  <si>
    <t>https://drive.google.com/open?id=1UpMDWJiaP_SC4lYDp1CWFFl1VbTk8S1F</t>
  </si>
  <si>
    <t>https://drive.google.com/open?id=1FmWsxQNc4Ch3okxuOrB_JODQScO9TS8N</t>
  </si>
  <si>
    <t>sunil Gowtham</t>
  </si>
  <si>
    <t>https://drive.google.com/open?id=1O4VQC3MwOA0rQyX801w6EIH4z7p7jAWE</t>
  </si>
  <si>
    <t>https://drive.google.com/open?id=1aD9d-GiwbnjkiGGC7uLJunfkZARlM-MC</t>
  </si>
  <si>
    <t>https://drive.google.com/open?id=1HUqoI0sD8zQh-6IBp3-egEyP223MbVok</t>
  </si>
  <si>
    <t>Durga prasad</t>
  </si>
  <si>
    <t>Babuvgaru ruchulu</t>
  </si>
  <si>
    <t>Devayya</t>
  </si>
  <si>
    <t>Babu Bagunnava biryani</t>
  </si>
  <si>
    <t>Bandababu palau</t>
  </si>
  <si>
    <t>Mana oori mess</t>
  </si>
  <si>
    <t>AKSHAY</t>
  </si>
  <si>
    <t>Anandobhrahma</t>
  </si>
  <si>
    <t>Biryani and biryanis</t>
  </si>
  <si>
    <t>Shiva food court</t>
  </si>
  <si>
    <t>Veerendra</t>
  </si>
  <si>
    <t>Will call us after talking to partner</t>
  </si>
  <si>
    <t>Vaarahi foods</t>
  </si>
  <si>
    <t>OWNER ASKED TO MEET ON MONDAY</t>
  </si>
  <si>
    <t xml:space="preserve">sai martha food court </t>
  </si>
  <si>
    <t>ONWER ASKED TO COME ON MONDAY</t>
  </si>
  <si>
    <t xml:space="preserve">mosin </t>
  </si>
  <si>
    <t>Magic Pin</t>
  </si>
  <si>
    <t>https://www.google.com/maps?q=17.4866222,78.3978727&amp;z=17&amp;hl=en</t>
  </si>
  <si>
    <t>BABU</t>
  </si>
  <si>
    <t xml:space="preserve"> 83094 44830</t>
  </si>
  <si>
    <t>ASKED TO COEM COLLECT DOCUMENTS ON MONDAY</t>
  </si>
  <si>
    <t>KUKAPATLLY</t>
  </si>
  <si>
    <t xml:space="preserve">babu garu ruchulu and curry point </t>
  </si>
  <si>
    <t>Asked to meet on monday</t>
  </si>
  <si>
    <t>Dolphin drivn</t>
  </si>
  <si>
    <t>https://www.google.com/maps?q=17.4701567,78.4187885&amp;z=17&amp;hl=en</t>
  </si>
  <si>
    <t xml:space="preserve"> naga laxmi </t>
  </si>
  <si>
    <t>ampanagalakshmi5555@gmai.com</t>
  </si>
  <si>
    <t>https://drive.google.com/open?id=1A4BpSF8VFxdehVX10cNFUfoatYc-Xjyq</t>
  </si>
  <si>
    <t>CCEPA6147G</t>
  </si>
  <si>
    <t>https://drive.google.com/open?id=1E8QyZejNKaV1oSsAAudQhmHuvconi95k</t>
  </si>
  <si>
    <t>https://drive.google.com/open?id=17nCgx6decgDKgMXfSU6ADVUKpjIPGzH_</t>
  </si>
  <si>
    <t>HDFC0CEENAD</t>
  </si>
  <si>
    <t>DWARAKAMAYEE TIFFINS CENTRE</t>
  </si>
  <si>
    <t>AMPA NAGALAKSHMI</t>
  </si>
  <si>
    <t>ampanagalakshmi5555@gmail.com</t>
  </si>
  <si>
    <t>Aditya Arcade, Anjaneya Nagar, AGI Colony, Moosapet, Hyderabad, Telangana 500018</t>
  </si>
  <si>
    <t>MOOSAPET</t>
  </si>
  <si>
    <t>Dwaraka Mai Tiffins</t>
  </si>
  <si>
    <t>Will onboard</t>
  </si>
  <si>
    <t>https://www.google.com/maps?q=17.4878529,78.3941825&amp;z=17&amp;hl=en</t>
  </si>
  <si>
    <t xml:space="preserve"> prabhavathi</t>
  </si>
  <si>
    <t>https://drive.google.com/open?id=15-au54v6DNMl3CVWDXZBOgmqTCRg-uxi</t>
  </si>
  <si>
    <t>ENWPM4770E</t>
  </si>
  <si>
    <t>https://drive.google.com/open?id=1jmijOcaQwtJM_TDfmVnE-r2OWXY4dtMf</t>
  </si>
  <si>
    <t>https://drive.google.com/open?id=1gHOQgtEYbTqffPSb-inYKnKE-ks5zNdB</t>
  </si>
  <si>
    <t>0514073000000598</t>
  </si>
  <si>
    <t>SIBL0000514</t>
  </si>
  <si>
    <t>MAMMU'S KITCHEN</t>
  </si>
  <si>
    <t>Mv Prabhavathi</t>
  </si>
  <si>
    <t>93812 45681</t>
  </si>
  <si>
    <t>Hig -65, Temple bustand, near by water tank, Kukatpally Housing Board Colony, 3rd phase, Kukatpally, Hyderabad, Telangana 500072</t>
  </si>
  <si>
    <t>KUKATPALLY</t>
  </si>
  <si>
    <t xml:space="preserve"> mammu's kitchen </t>
  </si>
  <si>
    <t>https://www.google.com/maps/place/Ala+Konaseemaloo/@17.485835,78.388804,17z/data=!3m1!4b1!4m6!3m5!1s0x3bcb919f123fde81:0xfd35517a7df075dd!8m2!3d17.4858299!4d78.3913789!16s%2Fg%2F11ynz_g52n?hl=en&amp;entry=ttu&amp;g_ep=EgoyMDI2MDMwNS4wIKXMDSoASAFQAw%3D%3D</t>
  </si>
  <si>
    <t>arjun</t>
  </si>
  <si>
    <t xml:space="preserve"> 98666 87976</t>
  </si>
  <si>
    <t>30251122122276873</t>
  </si>
  <si>
    <t>https://drive.google.com/open?id=1egoxut77w9HxNsxwMIBVrP2RuRdNGxpr</t>
  </si>
  <si>
    <t>HCEPP9910Q</t>
  </si>
  <si>
    <t>https://drive.google.com/open?id=10d-5iKVDspm40nqJRs2FabC6V9Qh_aru</t>
  </si>
  <si>
    <t>UTIB0003385</t>
  </si>
  <si>
    <t xml:space="preserve">ala konaseemaloo  </t>
  </si>
  <si>
    <t>ARJUN</t>
  </si>
  <si>
    <t>98666 87976</t>
  </si>
  <si>
    <t>MIG-42/1-6, Kukatpally Housing Board Colony, K P H B Phase 3, Kukatpally, Hyderabad, Telangana 500072</t>
  </si>
  <si>
    <t xml:space="preserve"> ala konaseemaloo  </t>
  </si>
  <si>
    <t xml:space="preserve">Final meeting to onboard </t>
  </si>
  <si>
    <t>Sri Harsha deluxe mess</t>
  </si>
  <si>
    <t>Seshu</t>
  </si>
  <si>
    <t xml:space="preserve">Meeting with different poc for Onboarding </t>
  </si>
  <si>
    <t xml:space="preserve">Godavari food court </t>
  </si>
  <si>
    <t xml:space="preserve">Bhaskar </t>
  </si>
  <si>
    <t xml:space="preserve">Need discussion for commission </t>
  </si>
  <si>
    <t>Lakshmi Prasanna Andhra mess</t>
  </si>
  <si>
    <t xml:space="preserve">Have to meet manager owner not available they have few branches </t>
  </si>
  <si>
    <t xml:space="preserve">Pondy parrottas </t>
  </si>
  <si>
    <t xml:space="preserve">Shadruchulu </t>
  </si>
  <si>
    <t xml:space="preserve">Meeting with kiran that is new Restaurant </t>
  </si>
  <si>
    <t xml:space="preserve">Kokko Roko </t>
  </si>
  <si>
    <t>Ismail</t>
  </si>
  <si>
    <t xml:space="preserve">Cafe Melli And Bakery </t>
  </si>
  <si>
    <t>Akhil</t>
  </si>
  <si>
    <t>Docs collection has to be done</t>
  </si>
  <si>
    <t>The Hazelnut Co</t>
  </si>
  <si>
    <t>https://share.google/yJYJ5H1MhZ5AXLkmt</t>
  </si>
  <si>
    <t>Darshan</t>
  </si>
  <si>
    <t>+91 94944 33673</t>
  </si>
  <si>
    <t>celebs.reloaded@gmail.com</t>
  </si>
  <si>
    <t>https://drive.google.com/open?id=1cGslP_coDVQ4-F5hP6LWsMMhdtE-1B58</t>
  </si>
  <si>
    <t>AAWFC0994K</t>
  </si>
  <si>
    <t>https://drive.google.com/open?id=1-M9ScotpY-10RRLKrWQOBm6g6IHLhqX7</t>
  </si>
  <si>
    <t>FDRL0007777</t>
  </si>
  <si>
    <t>Rajkiran Darshan</t>
  </si>
  <si>
    <t>Celebs</t>
  </si>
  <si>
    <t>After 1 hour of meeting they don't want to onboard</t>
  </si>
  <si>
    <t>Lakshmi villas</t>
  </si>
  <si>
    <t>Veerendhra</t>
  </si>
  <si>
    <t>Will see after launch</t>
  </si>
  <si>
    <t>Telugu authentic ruchulu</t>
  </si>
  <si>
    <t>Jaya devi</t>
  </si>
  <si>
    <t>They don't want online delivery platform</t>
  </si>
  <si>
    <t>Hotel sarvanam</t>
  </si>
  <si>
    <t>Sarath</t>
  </si>
  <si>
    <t>Mithra vindha mess</t>
  </si>
  <si>
    <t>Took out number and get back to us</t>
  </si>
  <si>
    <t>Bandodu palauu</t>
  </si>
  <si>
    <t>Pamulayya</t>
  </si>
  <si>
    <t>Thinu ra mawa</t>
  </si>
  <si>
    <t>Farzan</t>
  </si>
  <si>
    <t>Explained he is interested once discuss with partner and get back to us</t>
  </si>
  <si>
    <t>Golden toast bakery</t>
  </si>
  <si>
    <t>Shivam</t>
  </si>
  <si>
    <t>Need to call for follow up</t>
  </si>
  <si>
    <t>Broast cafe</t>
  </si>
  <si>
    <t xml:space="preserve">Will onboard after launch </t>
  </si>
  <si>
    <t>Balaji kitchens</t>
  </si>
  <si>
    <t>https://share.google/cGwLiZvR7bvsWRMtF</t>
  </si>
  <si>
    <t xml:space="preserve">Waajith </t>
  </si>
  <si>
    <t>https://drive.google.com/open?id=1esF7xqbWvymnSCoo1cACkhBLCr1EVGj9</t>
  </si>
  <si>
    <t>ASBPM7099N</t>
  </si>
  <si>
    <t>https://drive.google.com/open?id=13SVa6AmlbW_yGxk_FYtSKZ_UBRoIg6gi</t>
  </si>
  <si>
    <t>https://drive.google.com/open?id=1blDtsMzIE5Djz_uh7ly460gffC5eu7wF</t>
  </si>
  <si>
    <t>SBIN0004904</t>
  </si>
  <si>
    <t>MOHD WAJID ALI KHAN</t>
  </si>
  <si>
    <t>Mathani Juice hub</t>
  </si>
  <si>
    <t>He need time</t>
  </si>
  <si>
    <t>Poriginti Chapala Pulsu</t>
  </si>
  <si>
    <t>Monday follow up</t>
  </si>
  <si>
    <t>Pulao Kitchen com</t>
  </si>
  <si>
    <t>Krishna appa</t>
  </si>
  <si>
    <t>He need time to decide</t>
  </si>
  <si>
    <t>Mandilicious</t>
  </si>
  <si>
    <t>Thann</t>
  </si>
  <si>
    <t>RK brundavan Food Court</t>
  </si>
  <si>
    <t>He is interested but need time to decide</t>
  </si>
  <si>
    <t>Sr Food Court</t>
  </si>
  <si>
    <t>he is busy with opening new outlet</t>
  </si>
  <si>
    <t>Sri Tiffins And Meals</t>
  </si>
  <si>
    <t>Laxmi Prasad</t>
  </si>
  <si>
    <t>Vinay</t>
  </si>
  <si>
    <t>Cream Town</t>
  </si>
  <si>
    <t>https://drive.google.com/open?id=12Bz7VC0RqoFHFbfFQJCg_I12soJGbFe3</t>
  </si>
  <si>
    <t>https://drive.google.com/open?id=10lRQExd8BubtK2z0E2PaHxNrlYLZbWn1</t>
  </si>
  <si>
    <t>https://drive.google.com/open?id=1Jyt-2QRh4VWHH4Pn0ZouN2KKo2X3-DZ4</t>
  </si>
  <si>
    <t>Ayan Foods</t>
  </si>
  <si>
    <t>Prasthista Food Court</t>
  </si>
  <si>
    <t>https://drive.google.com/open?id=1eFkc8IN0m7DLDeUyn0jLmgQvnogANdB8</t>
  </si>
  <si>
    <t>https://drive.google.com/open?id=10GcO4Bw1TSKSDgaNlx82hlJhVBT0lqHr</t>
  </si>
  <si>
    <t>https://drive.google.com/open?id=1q2AZINXrp1zhAuitiqlGgnKgP6V3MVPT</t>
  </si>
  <si>
    <t>https://drive.google.com/open?id=1SsWdZ2FxF2uEVv4zVgbc_IC2neGwB0qQ</t>
  </si>
  <si>
    <t>he is not interested</t>
  </si>
  <si>
    <t>Ganesh Foods</t>
  </si>
  <si>
    <t>Rathod  Ragu</t>
  </si>
  <si>
    <t>Abhiruchi</t>
  </si>
  <si>
    <t>Murali Reddy</t>
  </si>
  <si>
    <t>Follow up after 2 days</t>
  </si>
  <si>
    <t>Moksh Food Corner</t>
  </si>
  <si>
    <t>https://maps.app.goo.gl/J6fXcWdbKbn52DFf8</t>
  </si>
  <si>
    <t>Dyanshwar</t>
  </si>
  <si>
    <t>srivegamabadeluxmess@gmail.com</t>
  </si>
  <si>
    <t>https://drive.google.com/open?id=1xYvcew1vm2NmOkv7ChZ4SPsH3-5cppSs</t>
  </si>
  <si>
    <t>36AFPFS7650J1Z9</t>
  </si>
  <si>
    <t>https://drive.google.com/open?id=1xCOLOWZCAs1YaC0vGe2kk4WyMtrdAdBe</t>
  </si>
  <si>
    <t>AFPFS7650J</t>
  </si>
  <si>
    <t>https://drive.google.com/open?id=1V2GBWW8QGsCm7zGwtUq_5eLjcpg7hkX_</t>
  </si>
  <si>
    <t>https://drive.google.com/open?id=1JEn4YlMgDwnArRceuGakQkBu4ar29GJQ</t>
  </si>
  <si>
    <t>SBIN0011745</t>
  </si>
  <si>
    <t>SRI VENGAMAMBA DULUXE MESS</t>
  </si>
  <si>
    <t>Jaya sree</t>
  </si>
  <si>
    <t>SRI VENGAMAMBA DELUXE MESS</t>
  </si>
  <si>
    <t>All docs collected along with menu</t>
  </si>
  <si>
    <t>PLOT NO.1271,OPP;BHARAT PETROL BUNK,ROAD NO.63,CHECKPOST,JUBILEE HILLS,HYDERABAD-500033. , Jubilee Hills Circle No 18, Hyderabad, Telangana-500033</t>
  </si>
  <si>
    <t>Sri Vengamamba Deluxe Mess</t>
  </si>
  <si>
    <t>Dyanswar</t>
  </si>
  <si>
    <t>https://drive.google.com/open?id=1qCdhr2AD-05qs4tWmpivdqS03cvclkMd</t>
  </si>
  <si>
    <t>https://drive.google.com/open?id=1guKv_Cj3x_o6TvbAEkSwqGm2WB5TRMy-</t>
  </si>
  <si>
    <t>https://drive.google.com/open?id=1hHbFX0jlNka_NOsQPGucTULDBgQhAKya</t>
  </si>
  <si>
    <t>https://drive.google.com/open?id=1JPqAG3J3RITBg-clM7q7o-pnsuTG8Iso</t>
  </si>
  <si>
    <t>All docs collected</t>
  </si>
  <si>
    <t>Jubilee hills</t>
  </si>
  <si>
    <t>Sri vengamamba Tiffins</t>
  </si>
  <si>
    <t>https://maps.app.goo.gl/6vbWDLY4L89VdBTu9</t>
  </si>
  <si>
    <t>Arbaaz Khan</t>
  </si>
  <si>
    <t xml:space="preserve">qubzjntu@gmail.com </t>
  </si>
  <si>
    <t>https://drive.google.com/open?id=1FAkdximut1Elkc0pr9ZGPCZMPfLFuBCW</t>
  </si>
  <si>
    <t>GIZPP9472A</t>
  </si>
  <si>
    <t>https://drive.google.com/open?id=1QIIt_vECym2k-TduxMzZh2B6MGqNDOr7</t>
  </si>
  <si>
    <t>https://drive.google.com/open?id=1AZVEYhxd70CX5j7lOak7glnICKMjQzsG</t>
  </si>
  <si>
    <t>Addagutta Society - HMT Hills Rd, Addagutta Society, Jal Vayu Vihar, Kukatpally, Hyderabad, Telangana 500085</t>
  </si>
  <si>
    <t>dyanswar</t>
  </si>
  <si>
    <t>Srivegamabadeluxmess@gmail.com</t>
  </si>
  <si>
    <t>https://drive.google.com/open?id=1RzrYBrZNEpUGbQ2-2SGbQHJBcdJpOmQw</t>
  </si>
  <si>
    <t>https://drive.google.com/open?id=1wPfHWHVJwjPeJUo6E1qQMFZ8HsHGbNZc</t>
  </si>
  <si>
    <t>https://drive.google.com/open?id=1xw5oBVodeM2mgTN9b19KPSV3ffb5BR4B</t>
  </si>
  <si>
    <t>Sri vengamamba Chinese Foods</t>
  </si>
  <si>
    <t>Abbas Ali</t>
  </si>
  <si>
    <t>Mx will be available either in mornings or after 6PM</t>
  </si>
  <si>
    <t>Apsara Badam Milk</t>
  </si>
  <si>
    <t xml:space="preserve">Sameer </t>
  </si>
  <si>
    <t>lickeestelangana@gmail.com</t>
  </si>
  <si>
    <t>Spoke to HO Franchise owner,follow up required on friday.</t>
  </si>
  <si>
    <t>Lickees</t>
  </si>
  <si>
    <t>Need to speak with Marketing manager</t>
  </si>
  <si>
    <t>Chowman</t>
  </si>
  <si>
    <t>Prithvish Samanth</t>
  </si>
  <si>
    <t>Need to have a follow up call with Marketing manager - prithvish samanth</t>
  </si>
  <si>
    <t>Chowman - Madhapur</t>
  </si>
  <si>
    <t>Syed Yousuf</t>
  </si>
  <si>
    <t>Parthiv has onboarded two outlets as well.</t>
  </si>
  <si>
    <t>Hotel Yousufain Kalyani</t>
  </si>
  <si>
    <t>Need to follow up with owner - he is out of station as of now.</t>
  </si>
  <si>
    <t>Zamindar's Cafe</t>
  </si>
  <si>
    <t>Everything explained to owner - he asked to get back on wednesday</t>
  </si>
  <si>
    <t>Chickpet Donne Biryani House</t>
  </si>
  <si>
    <t xml:space="preserve">Satish </t>
  </si>
  <si>
    <t>atlurifoods@gmail.com</t>
  </si>
  <si>
    <t xml:space="preserve">Meeting done in the headoffice,the head Satish asked to share the proposal , forwarded to Charan about the details to share proposal, thursday call back to schedule meeting </t>
  </si>
  <si>
    <t xml:space="preserve">Chutneys </t>
  </si>
  <si>
    <t xml:space="preserve">The head team will be available in begumpet office in pullareddy building scheduled meeting on thursday </t>
  </si>
  <si>
    <t xml:space="preserve">Goorang kitchen </t>
  </si>
  <si>
    <t xml:space="preserve">Nayudi </t>
  </si>
  <si>
    <t xml:space="preserve">Spoke with general manager,he will discuss with the headoffice team,follow back for the feedback </t>
  </si>
  <si>
    <t>Bhojanam thayaru</t>
  </si>
  <si>
    <t xml:space="preserve">Venkatesh </t>
  </si>
  <si>
    <t xml:space="preserve">Discussion done with the manager,need to discuss with MD,asked us to share on proposal nd asked Charan to share on WhatsApp,follow back to schedule meeting </t>
  </si>
  <si>
    <t>The hole in the wall</t>
  </si>
  <si>
    <t>Kishor</t>
  </si>
  <si>
    <t>95029 22661</t>
  </si>
  <si>
    <t xml:space="preserve">Spoke with the owner on the call,he said they are going to handover to the 3rd party so that they neeed time </t>
  </si>
  <si>
    <t>The soul curry and kadalipathra</t>
  </si>
  <si>
    <t>90008 90590</t>
  </si>
  <si>
    <t xml:space="preserve">Follow up required after 2days </t>
  </si>
  <si>
    <t>Nataka</t>
  </si>
  <si>
    <t>Astoush</t>
  </si>
  <si>
    <t xml:space="preserve">Need to follow up after 2 days </t>
  </si>
  <si>
    <t>Pms</t>
  </si>
  <si>
    <t>https://maps.app.goo.gl/bmcqmqveFcxUG5189</t>
  </si>
  <si>
    <t xml:space="preserve">Akhil </t>
  </si>
  <si>
    <t>acc.hitec@monndayhotels.com</t>
  </si>
  <si>
    <t>https://drive.google.com/open?id=1gD1aW0xVDmhiTlr4swJXHfPkzvSs-TwM</t>
  </si>
  <si>
    <t xml:space="preserve">Hitechcity </t>
  </si>
  <si>
    <t xml:space="preserve">Monday Restaurant </t>
  </si>
  <si>
    <t>https://maps.app.goo.gl/czMQ9rMX5SUwHGBSA</t>
  </si>
  <si>
    <t xml:space="preserve">Kunafa Cravings </t>
  </si>
  <si>
    <t>https://share.google/KRNDtfbxOEpjMeTRs</t>
  </si>
  <si>
    <t>Acc.gachibowli@mondayhotels.com</t>
  </si>
  <si>
    <t xml:space="preserve">Monday Hotel </t>
  </si>
  <si>
    <t>https://www.google.com/travel/hotels/s/rfbsr2SurcwVJaqw9</t>
  </si>
  <si>
    <t>https://maps.app.goo.gl/pd3GpLjbyb7teD4G7</t>
  </si>
  <si>
    <t xml:space="preserve">Elysium Restaurant </t>
  </si>
  <si>
    <t>Minerva</t>
  </si>
  <si>
    <t>Amjed ali</t>
  </si>
  <si>
    <t>Need to provide them proposal data</t>
  </si>
  <si>
    <t>Palesh</t>
  </si>
  <si>
    <t xml:space="preserve">Need to send proposal and arrange meeting </t>
  </si>
  <si>
    <t>Hi tech</t>
  </si>
  <si>
    <t>Iron hill</t>
  </si>
  <si>
    <t>Rayudu</t>
  </si>
  <si>
    <t>Palao and pulavus</t>
  </si>
  <si>
    <t>Hello will call us</t>
  </si>
  <si>
    <t>Thugo</t>
  </si>
  <si>
    <t>Desert corner</t>
  </si>
  <si>
    <t>Get back to us</t>
  </si>
  <si>
    <t>Discussion done with 16% but the partners are asking inclusive of all 16%</t>
  </si>
  <si>
    <t>Machilipatnam</t>
  </si>
  <si>
    <t>Bharath</t>
  </si>
  <si>
    <t>94930 41116</t>
  </si>
  <si>
    <t xml:space="preserve">Onborded </t>
  </si>
  <si>
    <t xml:space="preserve">Raw bakers </t>
  </si>
  <si>
    <t xml:space="preserve">Revisited again for the feedback but the partner was not available </t>
  </si>
  <si>
    <t>Balaji santhosh dhabha</t>
  </si>
  <si>
    <t xml:space="preserve">For the discussion no one was available </t>
  </si>
  <si>
    <t>Shringeri kitchen</t>
  </si>
  <si>
    <t xml:space="preserve">Revisited again for the feedback but the owner said he needs time </t>
  </si>
  <si>
    <t>IDV kitchen</t>
  </si>
  <si>
    <t>pavan</t>
  </si>
  <si>
    <t>Mx having two outlets - KPHB Branch &amp; Nizampet</t>
  </si>
  <si>
    <t>Delizia Cafe</t>
  </si>
  <si>
    <t>mx not available, follow up required.</t>
  </si>
  <si>
    <t>Konaseema Vantillu</t>
  </si>
  <si>
    <t>Rahul</t>
  </si>
  <si>
    <t>Mx is least interested - need to approach after launch.</t>
  </si>
  <si>
    <t>Mx is least interested.</t>
  </si>
  <si>
    <t>Srinidhi Food Zone</t>
  </si>
  <si>
    <t>shiva</t>
  </si>
  <si>
    <t xml:space="preserve">have a word with owner mr.shiva, follow up required </t>
  </si>
  <si>
    <t>Godavari Chepala Pulusu</t>
  </si>
  <si>
    <t>Rajendra prasad</t>
  </si>
  <si>
    <t>need to meet them on friday</t>
  </si>
  <si>
    <t>Eerababu Pulav</t>
  </si>
  <si>
    <t>RAMESH</t>
  </si>
  <si>
    <t>Owner will be available after 7pm</t>
  </si>
  <si>
    <t>Wine dine Restaurant</t>
  </si>
  <si>
    <t>Nithin</t>
  </si>
  <si>
    <t>owner will be available tmrw after 6PM</t>
  </si>
  <si>
    <t>The Red Box</t>
  </si>
  <si>
    <t>thursday 10 AM</t>
  </si>
  <si>
    <t>SRI SAI FAMOUS UDIPI &amp; TIFFINS</t>
  </si>
  <si>
    <t>follow up required , need to talk with mx after 15 days</t>
  </si>
  <si>
    <t>meet tmrw</t>
  </si>
  <si>
    <t>Vada pav station</t>
  </si>
  <si>
    <t>https://maps.app.goo.gl/DT8E6ga4ZgTBtJY86</t>
  </si>
  <si>
    <t>M.K.V Swamy</t>
  </si>
  <si>
    <t>Rainbowfoods91@gmail.com</t>
  </si>
  <si>
    <t>https://drive.google.com/open?id=1lsfzeIMxyyIRWqW9F28U-RY2gWxLhSRq</t>
  </si>
  <si>
    <t>IWKPD3706G</t>
  </si>
  <si>
    <t>https://drive.google.com/open?id=1aMZIon-6AXSLtpw1SXpbccLEGSYzcJGj</t>
  </si>
  <si>
    <t>https://drive.google.com/open?id=1JtB8IbmzjN_okacxtDmWkqRMWo93j6wc</t>
  </si>
  <si>
    <t>M.Durga</t>
  </si>
  <si>
    <t>M.satya durga</t>
  </si>
  <si>
    <t>all docs collected</t>
  </si>
  <si>
    <t>Rainbow foods, near m2m jeans corner, Tulasi Nagar, HMT Hills, Kukatpally, Hyderabad, Telangana 500085</t>
  </si>
  <si>
    <t>Rainbow Foods</t>
  </si>
  <si>
    <t>Shravan kumar</t>
  </si>
  <si>
    <t>maskachaskaon@gamil.com</t>
  </si>
  <si>
    <t>https://drive.google.com/open?id=1yg7403f19zytj0hpS3zmM7ZVSR_0wbqz</t>
  </si>
  <si>
    <t>IWWPS6018G</t>
  </si>
  <si>
    <t>https://drive.google.com/open?id=1xau2FX-ursfDW_KDXXYHBjqHZT-ZnpAJ</t>
  </si>
  <si>
    <t>https://drive.google.com/open?id=1ajxV8wB8W5zjxpIQaQmKQFP5I-B_TyBa</t>
  </si>
  <si>
    <t>https://drive.google.com/open?id=1ovhh9wNQissHHpqs6hYowObINXesAUc9</t>
  </si>
  <si>
    <t>HNO 1-2-33/ VP/76, HYDERNAGAR, Balaji Hills Road, Ram Naresh Colony, , Chandanagar circle No 21, Hyderabad, Telangana-500085</t>
  </si>
  <si>
    <t>Maska Chaska - The fastfoods company</t>
  </si>
  <si>
    <t xml:space="preserve">Balaji mithai bhandar </t>
  </si>
  <si>
    <t xml:space="preserve">Seas curries </t>
  </si>
  <si>
    <t xml:space="preserve">Brown bear bakers </t>
  </si>
  <si>
    <t xml:space="preserve">Kalpana tiffens and meals </t>
  </si>
  <si>
    <t xml:space="preserve">Hotel Nawabi </t>
  </si>
  <si>
    <t xml:space="preserve">Geetha hotels </t>
  </si>
  <si>
    <t xml:space="preserve">Om Sai kitchens </t>
  </si>
  <si>
    <t xml:space="preserve">He is not interested at all </t>
  </si>
  <si>
    <t xml:space="preserve">Hakka Chinese foods </t>
  </si>
  <si>
    <t xml:space="preserve">Ankis </t>
  </si>
  <si>
    <t xml:space="preserve">Reach to head office </t>
  </si>
  <si>
    <t xml:space="preserve">Kk bakers </t>
  </si>
  <si>
    <t xml:space="preserve">Dev raj </t>
  </si>
  <si>
    <t>Shawarma by to roxtarz</t>
  </si>
  <si>
    <t xml:space="preserve">Satya Prasad </t>
  </si>
  <si>
    <t>Chaat bazzar</t>
  </si>
  <si>
    <t>Ma</t>
  </si>
  <si>
    <t xml:space="preserve">Godavari bajji Mirchi </t>
  </si>
  <si>
    <t>Onaborded</t>
  </si>
  <si>
    <t>A</t>
  </si>
  <si>
    <t xml:space="preserve">Nikhil </t>
  </si>
  <si>
    <t xml:space="preserve">They will onboard after app launch </t>
  </si>
  <si>
    <t xml:space="preserve">President dhaba </t>
  </si>
  <si>
    <t xml:space="preserve">Minyu </t>
  </si>
  <si>
    <t xml:space="preserve">Betech tiffens </t>
  </si>
  <si>
    <t>Mr cook</t>
  </si>
  <si>
    <t xml:space="preserve">Kssr bakers </t>
  </si>
  <si>
    <t xml:space="preserve">The whole in the wall </t>
  </si>
  <si>
    <t>Krishnapatanam</t>
  </si>
  <si>
    <t>Nq</t>
  </si>
  <si>
    <t xml:space="preserve">Goorangs kitchen </t>
  </si>
  <si>
    <t xml:space="preserve">Nayudu </t>
  </si>
  <si>
    <t xml:space="preserve">Boojanam thayaru </t>
  </si>
  <si>
    <t xml:space="preserve">Kishore </t>
  </si>
  <si>
    <t xml:space="preserve">Head office </t>
  </si>
  <si>
    <t>The soul curry kadali path pathra</t>
  </si>
  <si>
    <t xml:space="preserve">Karthik </t>
  </si>
  <si>
    <t xml:space="preserve">Need to talk in head office </t>
  </si>
  <si>
    <t xml:space="preserve">Maharaja </t>
  </si>
  <si>
    <t xml:space="preserve"> Dhaba food Court </t>
  </si>
  <si>
    <t xml:space="preserve">Talked with manager </t>
  </si>
  <si>
    <t xml:space="preserve">Suresh </t>
  </si>
  <si>
    <t xml:space="preserve">We have spent 5 hours for 4 partners meeting finally they said after app launch </t>
  </si>
  <si>
    <t xml:space="preserve">Machillipatanam </t>
  </si>
  <si>
    <t xml:space="preserve">They will reach after app launch </t>
  </si>
  <si>
    <t>Swayarasa</t>
  </si>
  <si>
    <t xml:space="preserve">Directly mail </t>
  </si>
  <si>
    <t xml:space="preserve">Mekong </t>
  </si>
  <si>
    <t xml:space="preserve">Vinay kunchal </t>
  </si>
  <si>
    <t xml:space="preserve">Thursday arranged meet </t>
  </si>
  <si>
    <t xml:space="preserve">Go rang </t>
  </si>
  <si>
    <t>Naiudu</t>
  </si>
  <si>
    <t xml:space="preserve">Sent email </t>
  </si>
  <si>
    <t>Boojanam thayaru</t>
  </si>
  <si>
    <t xml:space="preserve"> Talked with Manger </t>
  </si>
  <si>
    <t xml:space="preserve">Fusion 9 </t>
  </si>
  <si>
    <t xml:space="preserve">We are not interested come with numbers </t>
  </si>
  <si>
    <t xml:space="preserve">Red Box </t>
  </si>
  <si>
    <t xml:space="preserve">Come with numbers </t>
  </si>
  <si>
    <t xml:space="preserve">Pot biryani </t>
  </si>
  <si>
    <t xml:space="preserve">He need to sign the documents </t>
  </si>
  <si>
    <t xml:space="preserve">Mughals </t>
  </si>
  <si>
    <t xml:space="preserve">Not lifting calls </t>
  </si>
  <si>
    <t>Glow sip</t>
  </si>
  <si>
    <t>Harish</t>
  </si>
  <si>
    <t xml:space="preserve">We need to send the email </t>
  </si>
  <si>
    <t xml:space="preserve">Palamuru grill </t>
  </si>
  <si>
    <t xml:space="preserve">Akihila </t>
  </si>
  <si>
    <t xml:space="preserve">She will onboard </t>
  </si>
  <si>
    <t xml:space="preserve">Toops </t>
  </si>
  <si>
    <t xml:space="preserve">Hema </t>
  </si>
  <si>
    <t xml:space="preserve">Call after 6 pm she will be available I have talked with manager </t>
  </si>
  <si>
    <t xml:space="preserve">Ahobilam millets </t>
  </si>
  <si>
    <t xml:space="preserve">Sai ram </t>
  </si>
  <si>
    <t xml:space="preserve">He is busy in this tym after 6 </t>
  </si>
  <si>
    <t>Sai ram curries and meals</t>
  </si>
  <si>
    <t xml:space="preserve">She is busy she said I will call </t>
  </si>
  <si>
    <t xml:space="preserve">KL spice kitchen </t>
  </si>
  <si>
    <t xml:space="preserve">Mainland china </t>
  </si>
  <si>
    <t xml:space="preserve">9137155871/4 </t>
  </si>
  <si>
    <t xml:space="preserve">We need send proposal as owner will be on Mumbai </t>
  </si>
  <si>
    <t xml:space="preserve">Oh Calicut </t>
  </si>
  <si>
    <t xml:space="preserve">We need to send proposal </t>
  </si>
  <si>
    <t xml:space="preserve">Ohh Calicut </t>
  </si>
  <si>
    <t>https://maps.app.goo.gl/bvLLQi92EuhBxDRCA?g_st=ic</t>
  </si>
  <si>
    <t>Jwala</t>
  </si>
  <si>
    <t>They are busy dealing Gas issues, asked to come back later once the issue is solved, they said they will call later</t>
  </si>
  <si>
    <t xml:space="preserve">Raidurg </t>
  </si>
  <si>
    <t>Salt Indian Restaurant</t>
  </si>
  <si>
    <t xml:space="preserve">They are facing the issues of gas and oil  they are stopping even Swiggy and Zomato for few days 
They are getting 300 orders per day but they can’t give that much if gas is running out </t>
  </si>
  <si>
    <t xml:space="preserve">Nivedhya </t>
  </si>
  <si>
    <t xml:space="preserve">They are not interested they can do it after app launch </t>
  </si>
  <si>
    <t>Pav baji</t>
  </si>
  <si>
    <t xml:space="preserve">Navideya </t>
  </si>
  <si>
    <t xml:space="preserve">Sachin </t>
  </si>
  <si>
    <t xml:space="preserve">Momo ghar </t>
  </si>
  <si>
    <t xml:space="preserve">Shravan </t>
  </si>
  <si>
    <t xml:space="preserve">Meet after 7 
I will be going to him today </t>
  </si>
  <si>
    <t xml:space="preserve">Chinese hawk </t>
  </si>
  <si>
    <t>Zufra mandi</t>
  </si>
  <si>
    <t>Kalathinigal</t>
  </si>
  <si>
    <t>+91 81139 61718</t>
  </si>
  <si>
    <t xml:space="preserve">Zufra mandi </t>
  </si>
  <si>
    <t>Didn't shared the POC details said to reach headoffice</t>
  </si>
  <si>
    <t>Amul ice cream parlour</t>
  </si>
  <si>
    <t xml:space="preserve">Zahed </t>
  </si>
  <si>
    <t xml:space="preserve">Revisited again but owner was. Not available </t>
  </si>
  <si>
    <t xml:space="preserve">Seven starts restaurant </t>
  </si>
  <si>
    <t>Priya</t>
  </si>
  <si>
    <t xml:space="preserve">They are under renovation of kitchen they need one month of time </t>
  </si>
  <si>
    <t xml:space="preserve">Janapriya restaurant </t>
  </si>
  <si>
    <t>Ajith</t>
  </si>
  <si>
    <t xml:space="preserve">The owner was out of station </t>
  </si>
  <si>
    <t>Raghavendra food hub</t>
  </si>
  <si>
    <t xml:space="preserve">Shekar </t>
  </si>
  <si>
    <t xml:space="preserve">Not interested at present </t>
  </si>
  <si>
    <t xml:space="preserve">Shreeshan kitchen </t>
  </si>
  <si>
    <t xml:space="preserve">He needs time </t>
  </si>
  <si>
    <t xml:space="preserve">The burger company </t>
  </si>
  <si>
    <t>Navved</t>
  </si>
  <si>
    <t>Na ki</t>
  </si>
  <si>
    <t xml:space="preserve">They faced commision issues with other now they not active on any platform and not interested </t>
  </si>
  <si>
    <t>Ahla adha kitchen</t>
  </si>
  <si>
    <t xml:space="preserve">No one was available for discussion called to reach the manager but didn't answer </t>
  </si>
  <si>
    <t xml:space="preserve">Big byte cafe </t>
  </si>
  <si>
    <t>Grizzlly</t>
  </si>
  <si>
    <t>Samridhi</t>
  </si>
  <si>
    <t xml:space="preserve">Asked for a 15%including all </t>
  </si>
  <si>
    <t>Grizzly</t>
  </si>
  <si>
    <t>The shawarma co</t>
  </si>
  <si>
    <t xml:space="preserve">Naga shawarma reddy </t>
  </si>
  <si>
    <t>He needs 17%including all</t>
  </si>
  <si>
    <t>Owner was not available ,he will be available only in midnights</t>
  </si>
  <si>
    <t>Panchabhakshya</t>
  </si>
  <si>
    <t>Chandra Shekar</t>
  </si>
  <si>
    <t>Had the discuss with the resturant owner .he is interested but onboarding will be after app lauch</t>
  </si>
  <si>
    <t>After app lauch</t>
  </si>
  <si>
    <t>Vijwal Grand Resturant</t>
  </si>
  <si>
    <t>Vaibhav Resturant</t>
  </si>
  <si>
    <t>sunil</t>
  </si>
  <si>
    <t>Sri Ankapur Bhojanam</t>
  </si>
  <si>
    <t>Sitharama Raju</t>
  </si>
  <si>
    <t>After app launch</t>
  </si>
  <si>
    <t>Ravulapalem Vantillu</t>
  </si>
  <si>
    <t>Bhavana</t>
  </si>
  <si>
    <t>Call back at 7:30 pm,I called her but she is not answering</t>
  </si>
  <si>
    <t>Sri Vasista Foods</t>
  </si>
  <si>
    <t>Mr.Shawarma and Ms.Shawarma</t>
  </si>
  <si>
    <t>Vivekanand Reddy</t>
  </si>
  <si>
    <t>Sridevi</t>
  </si>
  <si>
    <t>They need time to discuss and decide</t>
  </si>
  <si>
    <t>Pulnadu Ruchulu</t>
  </si>
  <si>
    <t>Onboarding on Monday at 11 am</t>
  </si>
  <si>
    <t>Spicy Table</t>
  </si>
  <si>
    <t xml:space="preserve">Scheduled meet with owner tomorrow </t>
  </si>
  <si>
    <t xml:space="preserve">Owner will be available tomorrow only afternoons 12-1PM !!! Res manager hasn’t shared any details </t>
  </si>
  <si>
    <t>Mista Eats</t>
  </si>
  <si>
    <t>Scheduled meet with owner tomorrow 1PM</t>
  </si>
  <si>
    <t xml:space="preserve">Meet with owner </t>
  </si>
  <si>
    <t xml:space="preserve">Masala restaurant </t>
  </si>
  <si>
    <t>Sri Tirumala bakery</t>
  </si>
  <si>
    <t xml:space="preserve">Owner will be available after 6PM everyday </t>
  </si>
  <si>
    <t xml:space="preserve">Gokul tiffin center </t>
  </si>
  <si>
    <t xml:space="preserve">After launch they asked to approach </t>
  </si>
  <si>
    <t>Arabian Mandi res</t>
  </si>
  <si>
    <t>Bhanu Prasad</t>
  </si>
  <si>
    <t>Friday call back has to be made &amp; follow up required - positive lead</t>
  </si>
  <si>
    <t>Lassi story</t>
  </si>
  <si>
    <t xml:space="preserve">Merchant asked time to get onboarded into caps </t>
  </si>
  <si>
    <t xml:space="preserve">Chickpet donne biryani house </t>
  </si>
  <si>
    <t>Naidu Gari Kunda biryani</t>
  </si>
  <si>
    <t>+91 94262 32828</t>
  </si>
  <si>
    <t>On Monday prior call has to be made to merchant &amp; approach !</t>
  </si>
  <si>
    <t xml:space="preserve">Have 4 outlets, aske to come after app launch
</t>
  </si>
  <si>
    <t>Pondy Parottas</t>
  </si>
  <si>
    <t xml:space="preserve">Follow back meetings were happened 4 times, Asked to come after app launch on the final meeting </t>
  </si>
  <si>
    <t>Abhiruchi Biriyani</t>
  </si>
  <si>
    <t xml:space="preserve">Chirumamilla Rajesh </t>
  </si>
  <si>
    <t>Owner is not in the country asked to come back march ending</t>
  </si>
  <si>
    <t xml:space="preserve">Darbar Family Restaurant </t>
  </si>
  <si>
    <t>https://maps.app.goo.gl/Ao37FYj6SkoNo3bA9?g_st=ic</t>
  </si>
  <si>
    <t>VIPPALA GOVERSHAN</t>
  </si>
  <si>
    <t>RIVORA THE CAFE</t>
  </si>
  <si>
    <t xml:space="preserve">Rajeshekar </t>
  </si>
  <si>
    <t>Owner will be available only after 8PM, already informed this to Manisha to assign someone for the meeting after 8</t>
  </si>
  <si>
    <t xml:space="preserve">Donne Biriyani House </t>
  </si>
  <si>
    <t>Suraj</t>
  </si>
  <si>
    <t xml:space="preserve">They have 4 outlets, has a basic intro meeting with the POC, asked to come back after app launch </t>
  </si>
  <si>
    <t xml:space="preserve">Samjam's Pizza </t>
  </si>
  <si>
    <t>Ram Mohan Reddy</t>
  </si>
  <si>
    <t xml:space="preserve">It's a cloud kitchen, has good AOV and tier 2 outlet, owner asked to come after launch or with any founder member.
</t>
  </si>
  <si>
    <t xml:space="preserve">Vaarahi Kitchen </t>
  </si>
  <si>
    <t xml:space="preserve">Anil Rana </t>
  </si>
  <si>
    <t xml:space="preserve">Has 2 outlets, tier 1 resturant, disscussion done with the operations manager, said will speak to the owner and get back , follow back calls has been made but no response </t>
  </si>
  <si>
    <t xml:space="preserve">Mumbai Masala </t>
  </si>
  <si>
    <t>T Raghunatha Rao</t>
  </si>
  <si>
    <t xml:space="preserve">Tier 2 Resturant, wamt to onbard after the launch 
</t>
  </si>
  <si>
    <t>Sri Abhiruchi</t>
  </si>
  <si>
    <t xml:space="preserve">Minerva </t>
  </si>
  <si>
    <t>Will get sign</t>
  </si>
  <si>
    <t>Minerva blue fox</t>
  </si>
  <si>
    <t>Need to wait till gass issue solved</t>
  </si>
  <si>
    <t xml:space="preserve">Thurpu Godhavari restaurant </t>
  </si>
  <si>
    <t>Ragini</t>
  </si>
  <si>
    <t>Will get back to us after lpg issue</t>
  </si>
  <si>
    <t>Rayala seema ruchulu</t>
  </si>
  <si>
    <t>Will get back to us after lpg issue of ater one week we need to followup</t>
  </si>
  <si>
    <t>Singh</t>
  </si>
  <si>
    <t xml:space="preserve">Asked us to reach out after one week </t>
  </si>
  <si>
    <t>Tara kitchen</t>
  </si>
  <si>
    <t>ramsinghbanoth000@gmail.com</t>
  </si>
  <si>
    <t>https://drive.google.com/open?id=1Anb_aB_nVfowaJW-J4E-qUUAq8UoRryz</t>
  </si>
  <si>
    <t>EZJPB3768N</t>
  </si>
  <si>
    <t>https://drive.google.com/open?id=1_ZXq8X9lb_q5TZwd2x8HpOBIaPn2eNxV</t>
  </si>
  <si>
    <t>SEA/MED/ALO/KP/1229268/2025</t>
  </si>
  <si>
    <t>https://drive.google.com/open?id=1rKfzMBMoLhOpl-Ukt2gu6bAp2ob_bbaG</t>
  </si>
  <si>
    <t>https://drive.google.com/open?id=1e6xSf44AUu7berD98-obIeSO2duVx3r8</t>
  </si>
  <si>
    <t>All docs collected - dine in menu collected.</t>
  </si>
  <si>
    <t>12-19-46/2 , Kukatpally Circle No 24, Hyderabad, Telangana-500018</t>
  </si>
  <si>
    <t xml:space="preserve">Today onboarding </t>
  </si>
  <si>
    <t>Anandhobhrama</t>
  </si>
  <si>
    <t xml:space="preserve">17/03/26 onabording today </t>
  </si>
  <si>
    <t xml:space="preserve">Ahaar kitchen </t>
  </si>
  <si>
    <t>Habibo</t>
  </si>
  <si>
    <t>Shiva roa</t>
  </si>
  <si>
    <t xml:space="preserve">Not interested directly from owner </t>
  </si>
  <si>
    <t xml:space="preserve">Amogha </t>
  </si>
  <si>
    <t xml:space="preserve">Direct no from owner </t>
  </si>
  <si>
    <t xml:space="preserve">Madhu restraunt </t>
  </si>
  <si>
    <t xml:space="preserve">Raghav </t>
  </si>
  <si>
    <t xml:space="preserve">Hari dosa I need to talk  with owner </t>
  </si>
  <si>
    <t xml:space="preserve">Mohammed muli </t>
  </si>
  <si>
    <t xml:space="preserve">Victoria grand </t>
  </si>
  <si>
    <t xml:space="preserve">Vinay </t>
  </si>
  <si>
    <t xml:space="preserve">Amarvathi tiffens </t>
  </si>
  <si>
    <t xml:space="preserve">At the moment owner was busy meeting fixed on Monday </t>
  </si>
  <si>
    <t xml:space="preserve">Athidhis kitchen </t>
  </si>
  <si>
    <t xml:space="preserve">Narmadha </t>
  </si>
  <si>
    <t xml:space="preserve">The owner was out of station need to follow up on Monday </t>
  </si>
  <si>
    <t xml:space="preserve">Cake factory </t>
  </si>
  <si>
    <t>The owner was not available will visit in the evng again</t>
  </si>
  <si>
    <t xml:space="preserve">Bahar cafe </t>
  </si>
  <si>
    <t>Shek alli</t>
  </si>
  <si>
    <t xml:space="preserve">Owner was not available I will follow to schedule meeting </t>
  </si>
  <si>
    <t xml:space="preserve">Limra fast food centre </t>
  </si>
  <si>
    <t xml:space="preserve">Rama rao </t>
  </si>
  <si>
    <t xml:space="preserve">Due to lpg issue,he needs time to sort the issue then follow back </t>
  </si>
  <si>
    <t xml:space="preserve">SRI NAGARJUNA TIFFINS </t>
  </si>
  <si>
    <t>Sameel</t>
  </si>
  <si>
    <t xml:space="preserve">Present owner was not available scheduled meeting in the evening </t>
  </si>
  <si>
    <t>Meeting scheduled tomorrow at 12:00</t>
  </si>
  <si>
    <t>Bhojanam thali</t>
  </si>
  <si>
    <t xml:space="preserve">Needs time the proposal shared, revisited for the follow back </t>
  </si>
  <si>
    <t xml:space="preserve">Need to share proposal then he get back </t>
  </si>
  <si>
    <t>Errababu pulao</t>
  </si>
  <si>
    <t>Ayyappa</t>
  </si>
  <si>
    <t xml:space="preserve">Has to meet owner </t>
  </si>
  <si>
    <t xml:space="preserve">Guntur Goongura </t>
  </si>
  <si>
    <t>Has to talk with marketing head Ms.kajal</t>
  </si>
  <si>
    <t>Visited jubilee hills branch, spoke to res manager,they are having 3 outlets &amp; GM will be available tomorrow after 1:30PM,haven't provided the contact info</t>
  </si>
  <si>
    <t>Telugu Medium</t>
  </si>
  <si>
    <t>Chinmai</t>
  </si>
  <si>
    <t>Ms.Chinmai is the decision maker &amp; she will be available on saturday</t>
  </si>
  <si>
    <t>Punjabi Affair</t>
  </si>
  <si>
    <t>shambav - 9949305533 owner will be available after 5PM</t>
  </si>
  <si>
    <t>Suto cafe</t>
  </si>
  <si>
    <t>Follow up required | had a chat over call with owner - asked to meet on monday</t>
  </si>
  <si>
    <t>Smocky Docky</t>
  </si>
  <si>
    <t>ahmed</t>
  </si>
  <si>
    <t>they said "will get back to you"</t>
  </si>
  <si>
    <t>Chinese Wok</t>
  </si>
  <si>
    <t>Rajasekhar</t>
  </si>
  <si>
    <t>wednesday onboarding the restaurant</t>
  </si>
  <si>
    <t>Have spoken with CEO of lassi story | TR negotiations are happening</t>
  </si>
  <si>
    <t>Lassi Story</t>
  </si>
  <si>
    <t>Goutham Raj</t>
  </si>
  <si>
    <t>Bank details pending - Onboarded</t>
  </si>
  <si>
    <t>Burn</t>
  </si>
  <si>
    <t>Need to explain all about caps with manager &amp; he will be available after 1pm</t>
  </si>
  <si>
    <t>Kebabs of Kumbakhh</t>
  </si>
  <si>
    <t>onboarding will be done - wednesday 18th march</t>
  </si>
  <si>
    <t>Ammammagari hotel</t>
  </si>
  <si>
    <t>ajay sharma</t>
  </si>
  <si>
    <t xml:space="preserve">Owner name raghu &amp; he will be available on wednesday morning 10:30 </t>
  </si>
  <si>
    <t>Friday onboarding</t>
  </si>
  <si>
    <t>Janapriya restaurant</t>
  </si>
  <si>
    <t>Riyaz</t>
  </si>
  <si>
    <t>after one week , owner will be available.</t>
  </si>
  <si>
    <t>Bagara biryani</t>
  </si>
  <si>
    <t>Friday meet - 20th march</t>
  </si>
  <si>
    <t>Smoke Rebels</t>
  </si>
  <si>
    <t xml:space="preserve">maa bhojanam </t>
  </si>
  <si>
    <t>abilash</t>
  </si>
  <si>
    <t>OWNER WILL BE AVAILABLE ON FRIDAY</t>
  </si>
  <si>
    <t>minsitry of coffee affairs</t>
  </si>
  <si>
    <t>chaitaniya</t>
  </si>
  <si>
    <t xml:space="preserve">Owner is not available as he is out of station asked to come back on friday </t>
  </si>
  <si>
    <t>the big cup theory</t>
  </si>
  <si>
    <t xml:space="preserve">vara prasad </t>
  </si>
  <si>
    <t>Ask  to visit again later as your currently facing LPG issue</t>
  </si>
  <si>
    <t>hyderabad hosts</t>
  </si>
  <si>
    <t>ajay mallareddy</t>
  </si>
  <si>
    <t>Owner will be available tommrow after 3 pm</t>
  </si>
  <si>
    <t xml:space="preserve">circars burgars </t>
  </si>
  <si>
    <t>NAIDU</t>
  </si>
  <si>
    <t>Owner is not followed up with the owner he asked to come tommrow</t>
  </si>
  <si>
    <t xml:space="preserve">varahi foods </t>
  </si>
  <si>
    <t xml:space="preserve"> praveen </t>
  </si>
  <si>
    <t>Owner  is in banglore asked to call on monday so that he will be available in madhapur branch 
They own 2 more restaurants</t>
  </si>
  <si>
    <t xml:space="preserve">zamindar restaurant </t>
  </si>
  <si>
    <t xml:space="preserve">After lpg issue </t>
  </si>
  <si>
    <t>Harsha delux mess</t>
  </si>
  <si>
    <t xml:space="preserve">Naresh </t>
  </si>
  <si>
    <t xml:space="preserve">After sortout of lpg issue will onboard </t>
  </si>
  <si>
    <t>Revisited again manager was not available nd didn't shared the POC</t>
  </si>
  <si>
    <t>+91 99852 27540</t>
  </si>
  <si>
    <t>nalubola.arjun@gmail.com</t>
  </si>
  <si>
    <t xml:space="preserve">Discussion done with manager he said to share proposal I will share proposal today </t>
  </si>
  <si>
    <t xml:space="preserve">Southern spice </t>
  </si>
  <si>
    <t xml:space="preserve">Manager was not available and he is leave for 5days,after 5days I will follow up </t>
  </si>
  <si>
    <t>Arambam</t>
  </si>
  <si>
    <t xml:space="preserve">Discussion done with owner on call,he will send the documents in the evng will onboard </t>
  </si>
  <si>
    <t xml:space="preserve">Tugo flavours </t>
  </si>
  <si>
    <t xml:space="preserve">Discussion done asking for 10++ ,follow up on Saturday </t>
  </si>
  <si>
    <t>Vasista laxmi</t>
  </si>
  <si>
    <t>Chakri</t>
  </si>
  <si>
    <t>Discussion done with owner need to share proposal expecting for 15%</t>
  </si>
  <si>
    <t xml:space="preserve">Doing 9%on Swiggy expecting less then them,need to share proposal </t>
  </si>
  <si>
    <t>Jafer</t>
  </si>
  <si>
    <t xml:space="preserve">Discussion done with one partner,spoke on call with another partner,I will share the proposal today </t>
  </si>
  <si>
    <t xml:space="preserve">Kochin spices </t>
  </si>
  <si>
    <t xml:space="preserve">The POC was not available for discussion </t>
  </si>
  <si>
    <t>Pallekodi</t>
  </si>
  <si>
    <t xml:space="preserve">City kitchen </t>
  </si>
  <si>
    <t>Shivaji</t>
  </si>
  <si>
    <t xml:space="preserve">Monday follow back </t>
  </si>
  <si>
    <t>Curry man</t>
  </si>
  <si>
    <t>Tipu</t>
  </si>
  <si>
    <t>Golkanda chef</t>
  </si>
  <si>
    <t xml:space="preserve">No one was available for the feedback,revisited,he said call back on Monday </t>
  </si>
  <si>
    <t xml:space="preserve">Call back tomorrow to schedule meeting </t>
  </si>
  <si>
    <t>Azzal ammaari</t>
  </si>
  <si>
    <t>Monday call back to schedule meeting</t>
  </si>
  <si>
    <t xml:space="preserve">Hulchal desserts and bakers </t>
  </si>
  <si>
    <t>Koushik</t>
  </si>
  <si>
    <t>70753 76903</t>
  </si>
  <si>
    <t xml:space="preserve">Monday call back </t>
  </si>
  <si>
    <t xml:space="preserve">Sorse </t>
  </si>
  <si>
    <t>Grand Total</t>
  </si>
  <si>
    <t>Hard Rock CafeHard Rock Cafe</t>
  </si>
  <si>
    <t>HaldiramsHaldirams</t>
  </si>
  <si>
    <t>Almond HouseAlmond House</t>
  </si>
  <si>
    <t>MezbaanMezbaan</t>
  </si>
  <si>
    <t>Karachi BakeryKarachi Bakery</t>
  </si>
  <si>
    <t>Le Meridien HyderabadLe Meridian</t>
  </si>
  <si>
    <t>ACCORAccor</t>
  </si>
  <si>
    <t>Sarovar Portico HotelSarovar Portico Hotel</t>
  </si>
  <si>
    <t>Hotel GreenparkHotel Greenpark &amp; Marigold</t>
  </si>
  <si>
    <t>ProstProst</t>
  </si>
  <si>
    <t>Paradise BiryaniParadise Biryani</t>
  </si>
  <si>
    <t>Sweets DudeSweets Dude</t>
  </si>
  <si>
    <t>Park HyattPark Hyatt</t>
  </si>
  <si>
    <t>Cock &amp; Bull HyderabadCock and Bull Hyderabad</t>
  </si>
  <si>
    <t>COUNTA of Date</t>
  </si>
  <si>
    <t>%</t>
  </si>
  <si>
    <t>GT</t>
  </si>
  <si>
    <t>Overall Data</t>
  </si>
  <si>
    <t>Total</t>
  </si>
  <si>
    <t>RM</t>
  </si>
  <si>
    <t>Restaurant</t>
  </si>
  <si>
    <t>REMARKS</t>
  </si>
  <si>
    <t>FOLLOW UP REQD.</t>
  </si>
  <si>
    <t>Follow up date</t>
  </si>
  <si>
    <t>Follow up Time</t>
  </si>
  <si>
    <t>Onboarding Status</t>
  </si>
  <si>
    <t>Restaurant Category</t>
  </si>
  <si>
    <t>POC 1</t>
  </si>
  <si>
    <t>POC 1 NUMBER</t>
  </si>
  <si>
    <t>POC 1 EMAIL ID</t>
  </si>
  <si>
    <t>POC 2</t>
  </si>
  <si>
    <t>POC 2 NUMBER</t>
  </si>
  <si>
    <t>POC 2 EMAIL  ID</t>
  </si>
  <si>
    <t>FSSAI Status</t>
  </si>
  <si>
    <t>GST Status</t>
  </si>
  <si>
    <t>PAN Card Status</t>
  </si>
  <si>
    <t>Labour License Status</t>
  </si>
  <si>
    <t>Menu Status</t>
  </si>
  <si>
    <t>Bank Account Proof Status</t>
  </si>
  <si>
    <t>Daily Visit Data</t>
  </si>
  <si>
    <t>Follow Up Data</t>
  </si>
  <si>
    <t>COUNTA of RM</t>
  </si>
  <si>
    <t>Category Wise Visit Break Up</t>
  </si>
  <si>
    <t>Onmboarded Category Visit Break Up</t>
  </si>
  <si>
    <t>Conversion</t>
  </si>
  <si>
    <t>Onboarded Category Visit Break Up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</si>
</sst>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dd/mm/yyyy"/>
  </numFmts>
  <fonts count="11">
    <font>
      <sz val="10.0"/>
      <color rgb="FF000000"/>
      <name val="Arial"/>
      <scheme val="minor"/>
    </font>
    <font>
      <color theme="1"/>
      <name val="Arial"/>
      <scheme val="minor"/>
    </font>
    <font>
      <u/>
      <color rgb="FF0000FF"/>
      <name val="Roboto"/>
    </font>
    <font>
      <u/>
      <color rgb="FF0000FF"/>
      <name val="Roboto"/>
    </font>
    <font>
      <u/>
      <color theme="1"/>
      <name val="Arial"/>
      <scheme val="minor"/>
    </font>
    <font>
      <u/>
      <color theme="1"/>
      <name val="Arial"/>
      <scheme val="minor"/>
    </font>
    <font>
      <b/>
      <color rgb="FFFFFFFF"/>
      <name val="Arial"/>
      <scheme val="minor"/>
    </font>
    <font>
      <u/>
      <color rgb="FF0000FF"/>
    </font>
    <font>
      <b/>
      <color theme="1"/>
      <name val="Arial"/>
      <scheme val="minor"/>
    </font>
    <font/>
    <font>
      <u/>
      <color rgb="FF0000FF"/>
    </font>
  </fonts>
  <fills count="3">
    <fill>
      <patternFill patternType="none"/>
    </fill>
    <fill>
      <patternFill patternType="lightGray"/>
    </fill>
    <fill>
      <patternFill patternType="solid">
        <fgColor rgb="FFFFFF00"/>
        <bgColor rgb="FFFFFF00"/>
      </patternFill>
    </fill>
  </fills>
  <borders count="11">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Font="1"/>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1" numFmtId="1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xf borderId="0" fillId="0" fontId="4"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1" numFmtId="3" xfId="0" applyAlignment="1" applyFont="1" applyNumberFormat="1">
      <alignment readingOrder="0" shrinkToFit="0" vertical="center" wrapText="0"/>
    </xf>
    <xf borderId="0" fillId="0" fontId="1" numFmtId="14" xfId="0" applyFont="1" applyNumberFormat="1"/>
    <xf borderId="0" fillId="0" fontId="5" numFmtId="0" xfId="0" applyFont="1"/>
    <xf borderId="1" fillId="0" fontId="6" numFmtId="0" xfId="0" applyAlignment="1" applyBorder="1" applyFont="1">
      <alignment horizontal="center" readingOrder="0"/>
    </xf>
    <xf borderId="2" fillId="0" fontId="6" numFmtId="0" xfId="0" applyAlignment="1" applyBorder="1" applyFont="1">
      <alignment horizontal="center" readingOrder="0"/>
    </xf>
    <xf borderId="3" fillId="0" fontId="6" numFmtId="0" xfId="0" applyAlignment="1" applyBorder="1" applyFont="1">
      <alignment horizontal="center" readingOrder="0"/>
    </xf>
    <xf borderId="4" fillId="0" fontId="1" numFmtId="164" xfId="0" applyAlignment="1" applyBorder="1" applyFont="1" applyNumberFormat="1">
      <alignment readingOrder="0"/>
    </xf>
    <xf borderId="5" fillId="0" fontId="1" numFmtId="14" xfId="0" applyAlignment="1" applyBorder="1" applyFont="1" applyNumberFormat="1">
      <alignment readingOrder="0"/>
    </xf>
    <xf borderId="5" fillId="0" fontId="1" numFmtId="19" xfId="0" applyAlignment="1" applyBorder="1" applyFont="1" applyNumberFormat="1">
      <alignment readingOrder="0"/>
    </xf>
    <xf borderId="5" fillId="0" fontId="1" numFmtId="0" xfId="0" applyAlignment="1" applyBorder="1" applyFont="1">
      <alignment readingOrder="0"/>
    </xf>
    <xf borderId="6" fillId="0" fontId="1" numFmtId="0" xfId="0" applyAlignment="1" applyBorder="1" applyFont="1">
      <alignment readingOrder="0"/>
    </xf>
    <xf borderId="5" fillId="0" fontId="1" numFmtId="0" xfId="0" applyBorder="1" applyFont="1"/>
    <xf borderId="5" fillId="0" fontId="7" numFmtId="0" xfId="0" applyAlignment="1" applyBorder="1" applyFont="1">
      <alignment readingOrder="0"/>
    </xf>
    <xf borderId="5" fillId="0" fontId="1" numFmtId="165" xfId="0" applyAlignment="1" applyBorder="1" applyFont="1" applyNumberFormat="1">
      <alignment readingOrder="0"/>
    </xf>
    <xf borderId="7" fillId="0" fontId="1" numFmtId="0" xfId="0" applyBorder="1" applyFont="1"/>
    <xf borderId="7" fillId="0" fontId="1" numFmtId="14" xfId="0" applyBorder="1" applyFont="1" applyNumberFormat="1"/>
    <xf borderId="8" fillId="2" fontId="8" numFmtId="0" xfId="0" applyAlignment="1" applyBorder="1" applyFill="1" applyFont="1">
      <alignment horizontal="center" readingOrder="0"/>
    </xf>
    <xf borderId="9" fillId="0" fontId="9" numFmtId="0" xfId="0" applyBorder="1" applyFont="1"/>
    <xf borderId="10" fillId="0" fontId="9" numFmtId="0" xfId="0" applyBorder="1" applyFont="1"/>
    <xf borderId="7" fillId="0" fontId="8" numFmtId="0" xfId="0" applyAlignment="1" applyBorder="1" applyFont="1">
      <alignment horizontal="center"/>
    </xf>
    <xf borderId="7" fillId="0" fontId="8" numFmtId="0" xfId="0" applyAlignment="1" applyBorder="1" applyFont="1">
      <alignment horizontal="center" readingOrder="0"/>
    </xf>
    <xf borderId="7" fillId="0" fontId="1" numFmtId="0" xfId="0" applyAlignment="1" applyBorder="1" applyFont="1">
      <alignment horizontal="center"/>
    </xf>
    <xf borderId="7" fillId="0" fontId="1" numFmtId="9" xfId="0" applyAlignment="1" applyBorder="1" applyFont="1" applyNumberFormat="1">
      <alignment horizontal="center"/>
    </xf>
    <xf borderId="7" fillId="0" fontId="1" numFmtId="0" xfId="0" applyAlignment="1" applyBorder="1" applyFont="1">
      <alignment horizontal="center" readingOrder="0"/>
    </xf>
    <xf borderId="0" fillId="2" fontId="8" numFmtId="0" xfId="0" applyAlignment="1" applyFont="1">
      <alignment horizontal="center" readingOrder="0"/>
    </xf>
    <xf borderId="0" fillId="0" fontId="8" numFmtId="0" xfId="0" applyAlignment="1" applyFont="1">
      <alignment readingOrder="0"/>
    </xf>
    <xf borderId="0" fillId="0" fontId="8" numFmtId="0" xfId="0" applyFont="1"/>
    <xf borderId="0" fillId="0" fontId="1" numFmtId="19" xfId="0" applyFont="1" applyNumberFormat="1"/>
    <xf borderId="0" fillId="0" fontId="1" numFmtId="0" xfId="0" applyAlignment="1" applyFont="1">
      <alignment readingOrder="0"/>
    </xf>
    <xf borderId="0" fillId="0" fontId="10" numFmtId="0" xfId="0" applyFont="1"/>
    <xf borderId="0" fillId="0" fontId="1" numFmtId="165" xfId="0" applyFont="1" applyNumberFormat="1"/>
    <xf borderId="0" fillId="0" fontId="1" numFmtId="3" xfId="0" applyFont="1" applyNumberFormat="1"/>
    <xf borderId="0" fillId="2" fontId="8" numFmtId="0" xfId="0" applyAlignment="1" applyFont="1">
      <alignment readingOrder="0"/>
    </xf>
    <xf borderId="0" fillId="0" fontId="1" numFmtId="9" xfId="0" applyFont="1" applyNumberFormat="1"/>
    <xf borderId="7" fillId="0" fontId="1" numFmtId="9" xfId="0" applyBorder="1" applyFont="1" applyNumberFormat="1"/>
    <xf borderId="0" fillId="0" fontId="1" numFmtId="9" xfId="0" applyAlignment="1" applyFont="1" applyNumberFormat="1">
      <alignment readingOrder="0"/>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4CCCC"/>
          <bgColor rgb="FFF4CCCC"/>
        </patternFill>
      </fill>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3" pivot="0" name="Detail19-Tier-1(AOV&gt;400)-style">
      <tableStyleElement dxfId="5" type="headerRow"/>
      <tableStyleElement dxfId="6"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16"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R1777" sheet="Form responses 1"/>
  </cacheSource>
  <cacheFields>
    <cacheField name="Timestamp" numFmtId="0">
      <sharedItems containsDate="1" containsString="0" containsBlank="1">
        <m/>
        <d v="2026-02-03T16:50:52Z"/>
        <d v="2026-02-03T19:08:28Z"/>
        <d v="2026-02-03T19:16:13Z"/>
        <d v="2026-02-04T09:05:26Z"/>
        <d v="2026-02-04T09:31:19Z"/>
        <d v="2026-02-04T09:47:02Z"/>
        <d v="2026-02-04T10:00:46Z"/>
        <d v="2026-02-04T23:23:59Z"/>
        <d v="2026-02-04T23:43:22Z"/>
        <d v="2026-02-04T23:56:13Z"/>
        <d v="2026-02-05T09:55:30Z"/>
        <d v="2026-02-05T19:59:39Z"/>
        <d v="2026-02-05T20:04:35Z"/>
        <d v="2026-02-06T04:15:08Z"/>
        <d v="2026-02-06T04:17:47Z"/>
        <d v="2026-02-06T04:25:08Z"/>
        <d v="2026-02-06T08:01:15Z"/>
        <d v="2026-02-06T08:04:17Z"/>
        <d v="2026-02-06T08:09:58Z"/>
        <d v="2026-02-06T09:16:10Z"/>
        <d v="2026-02-06T09:20:59Z"/>
        <d v="2026-02-06T09:27:22Z"/>
        <d v="2026-02-06T09:27:39Z"/>
        <d v="2026-02-06T09:32:08Z"/>
        <d v="2026-02-06T09:32:16Z"/>
        <d v="2026-02-06T09:35:50Z"/>
        <d v="2026-02-06T09:38:00Z"/>
        <d v="2026-02-06T09:38:41Z"/>
        <d v="2026-02-06T09:40:08Z"/>
        <d v="2026-02-06T09:41:34Z"/>
        <d v="2026-02-06T09:43:49Z"/>
        <d v="2026-02-06T09:44:57Z"/>
        <d v="2026-02-06T09:45:15Z"/>
        <d v="2026-02-06T09:53:48Z"/>
        <d v="2026-02-06T10:10:02Z"/>
        <d v="2026-02-06T10:13:34Z"/>
        <d v="2026-02-06T10:19:41Z"/>
        <d v="2026-02-06T10:20:03Z"/>
        <d v="2026-02-06T10:20:58Z"/>
        <d v="2026-02-06T10:25:00Z"/>
        <d v="2026-02-06T13:01:01Z"/>
        <d v="2026-02-06T14:03:58Z"/>
        <d v="2026-02-06T16:00:04Z"/>
        <d v="2026-02-06T17:01:16Z"/>
        <d v="2026-02-06T17:09:46Z"/>
        <d v="2026-02-06T17:13:02Z"/>
        <d v="2026-02-06T18:05:41Z"/>
        <d v="2026-02-07T15:35:17Z"/>
        <d v="2026-02-07T15:35:43Z"/>
        <d v="2026-02-07T15:41:03Z"/>
        <d v="2026-02-07T15:46:13Z"/>
        <d v="2026-02-07T16:00:46Z"/>
        <d v="2026-02-07T16:15:25Z"/>
        <d v="2026-02-07T16:27:09Z"/>
        <d v="2026-02-08T17:34:04Z"/>
        <d v="2026-02-08T17:40:16Z"/>
        <d v="2026-02-08T18:55:04Z"/>
        <d v="2026-02-08T19:00:59Z"/>
        <d v="2026-02-08T19:04:06Z"/>
        <d v="2026-02-08T22:24:25Z"/>
        <d v="2026-02-08T22:29:52Z"/>
        <d v="2026-02-09T00:02:22Z"/>
        <d v="2026-02-09T00:04:16Z"/>
        <d v="2026-02-09T00:05:37Z"/>
        <d v="2026-02-09T00:08:01Z"/>
        <d v="2026-02-09T00:09:32Z"/>
        <d v="2026-02-09T00:22:17Z"/>
        <d v="2026-02-09T00:23:53Z"/>
        <d v="2026-02-09T00:25:12Z"/>
        <d v="2026-02-09T00:28:27Z"/>
        <d v="2026-02-09T09:12:48Z"/>
        <d v="2026-02-09T09:19:00Z"/>
        <d v="2026-02-09T09:26:18Z"/>
        <d v="2026-02-09T09:28:47Z"/>
        <d v="2026-02-09T09:34:29Z"/>
        <d v="2026-02-09T09:39:27Z"/>
        <d v="2026-02-09T10:01:01Z"/>
        <d v="2026-02-09T10:03:49Z"/>
        <d v="2026-02-09T10:05:25Z"/>
        <d v="2026-02-09T10:09:44Z"/>
        <d v="2026-02-09T10:11:33Z"/>
        <d v="2026-02-09T10:14:07Z"/>
        <d v="2026-02-09T12:08:41Z"/>
        <d v="2026-02-09T12:25:55Z"/>
        <d v="2026-02-09T13:09:01Z"/>
        <d v="2026-02-09T14:32:21Z"/>
        <d v="2026-02-09T14:54:07Z"/>
        <d v="2026-02-09T16:08:31Z"/>
        <d v="2026-02-09T17:26:09Z"/>
        <d v="2026-02-09T22:04:17Z"/>
        <d v="2026-02-09T22:12:28Z"/>
        <d v="2026-02-09T22:15:33Z"/>
        <d v="2026-02-10T09:26:41Z"/>
        <d v="2026-02-10T10:11:57Z"/>
        <d v="2026-02-10T10:21:58Z"/>
        <d v="2026-02-10T10:22:15Z"/>
        <d v="2026-02-10T10:23:14Z"/>
        <d v="2026-02-10T10:23:59Z"/>
        <d v="2026-02-10T10:26:01Z"/>
        <d v="2026-02-10T10:26:25Z"/>
        <d v="2026-02-10T10:28:47Z"/>
        <d v="2026-02-10T10:29:39Z"/>
        <d v="2026-02-10T10:31:32Z"/>
        <d v="2026-02-10T12:00:56Z"/>
        <d v="2026-02-10T12:15:47Z"/>
        <d v="2026-02-10T12:17:58Z"/>
        <d v="2026-02-10T12:20:42Z"/>
        <d v="2026-02-10T12:33:07Z"/>
        <d v="2026-02-10T12:35:38Z"/>
        <d v="2026-02-10T12:35:44Z"/>
        <d v="2026-02-10T12:37:35Z"/>
        <d v="2026-02-10T12:40:46Z"/>
        <d v="2026-02-10T12:46:04Z"/>
        <d v="2026-02-10T12:56:49Z"/>
        <d v="2026-02-10T12:59:44Z"/>
        <d v="2026-02-10T13:08:29Z"/>
        <d v="2026-02-10T13:18:22Z"/>
        <d v="2026-02-10T13:39:14Z"/>
        <d v="2026-02-10T14:26:32Z"/>
        <d v="2026-02-10T14:30:25Z"/>
        <d v="2026-02-10T15:10:55Z"/>
        <d v="2026-02-10T15:19:10Z"/>
        <d v="2026-02-10T15:27:32Z"/>
        <d v="2026-02-10T15:40:21Z"/>
        <d v="2026-02-10T15:43:26Z"/>
        <d v="2026-02-10T15:48:07Z"/>
        <d v="2026-02-10T15:59:40Z"/>
        <d v="2026-02-10T16:26:27Z"/>
        <d v="2026-02-10T16:28:55Z"/>
        <d v="2026-02-10T16:31:45Z"/>
        <d v="2026-02-10T16:32:40Z"/>
        <d v="2026-02-10T16:34:08Z"/>
        <d v="2026-02-10T16:58:39Z"/>
        <d v="2026-02-10T17:06:28Z"/>
        <d v="2026-02-10T17:08:21Z"/>
        <d v="2026-02-10T17:11:01Z"/>
        <d v="2026-02-10T17:22:37Z"/>
        <d v="2026-02-10T17:27:34Z"/>
        <d v="2026-02-10T17:29:52Z"/>
        <d v="2026-02-10T17:33:07Z"/>
        <d v="2026-02-10T17:36:19Z"/>
        <d v="2026-02-10T19:34:38Z"/>
        <d v="2026-02-10T19:37:38Z"/>
        <d v="2026-02-10T19:38:43Z"/>
        <d v="2026-02-10T19:47:39Z"/>
        <d v="2026-02-11T09:49:05Z"/>
        <d v="2026-02-11T09:54:06Z"/>
        <d v="2026-02-11T09:57:21Z"/>
        <d v="2026-02-11T09:59:45Z"/>
        <d v="2026-02-11T10:02:43Z"/>
        <d v="2026-02-11T10:09:55Z"/>
        <d v="2026-02-11T12:20:09Z"/>
        <d v="2026-02-11T12:21:33Z"/>
        <d v="2026-02-11T12:37:19Z"/>
        <d v="2026-02-11T12:38:20Z"/>
        <d v="2026-02-11T12:41:39Z"/>
        <d v="2026-02-11T13:12:38Z"/>
        <d v="2026-02-11T13:16:06Z"/>
        <d v="2026-02-11T13:18:10Z"/>
        <d v="2026-02-11T13:20:41Z"/>
        <d v="2026-02-11T13:57:04Z"/>
        <d v="2026-02-11T14:50:45Z"/>
        <d v="2026-02-11T14:54:18Z"/>
        <d v="2026-02-11T14:57:26Z"/>
        <d v="2026-02-11T14:59:46Z"/>
        <d v="2026-02-11T15:13:14Z"/>
        <d v="2026-02-11T15:27:44Z"/>
        <d v="2026-02-11T16:26:46Z"/>
        <d v="2026-02-11T16:29:09Z"/>
        <d v="2026-02-11T16:32:54Z"/>
        <d v="2026-02-11T16:34:52Z"/>
        <d v="2026-02-11T16:37:11Z"/>
        <d v="2026-02-11T16:39:18Z"/>
        <d v="2026-02-11T16:41:37Z"/>
        <d v="2026-02-11T16:43:27Z"/>
        <d v="2026-02-11T16:46:10Z"/>
        <d v="2026-02-11T16:49:27Z"/>
        <d v="2026-02-11T16:51:59Z"/>
        <d v="2026-02-11T16:55:59Z"/>
        <d v="2026-02-11T17:23:36Z"/>
        <d v="2026-02-11T17:24:24Z"/>
        <d v="2026-02-11T17:42:25Z"/>
        <d v="2026-02-11T17:44:36Z"/>
        <d v="2026-02-11T17:47:52Z"/>
        <d v="2026-02-11T17:55:59Z"/>
        <d v="2026-02-11T17:56:04Z"/>
        <d v="2026-02-11T18:57:33Z"/>
        <d v="2026-02-11T20:35:13Z"/>
        <d v="2026-02-11T21:42:23Z"/>
        <d v="2026-02-11T21:43:33Z"/>
        <d v="2026-02-11T21:45:32Z"/>
        <d v="2026-02-11T21:46:35Z"/>
        <d v="2026-02-11T21:48:33Z"/>
        <d v="2026-02-11T21:50:38Z"/>
        <d v="2026-02-11T21:52:09Z"/>
        <d v="2026-02-11T21:54:34Z"/>
        <d v="2026-02-11T23:18:19Z"/>
        <d v="2026-02-11T23:29:10Z"/>
        <d v="2026-02-11T23:31:11Z"/>
        <d v="2026-02-11T23:33:44Z"/>
        <d v="2026-02-11T23:39:03Z"/>
        <d v="2026-02-11T23:52:37Z"/>
        <d v="2026-02-12T04:30:08Z"/>
        <d v="2026-02-12T04:33:27Z"/>
        <d v="2026-02-12T04:37:21Z"/>
        <d v="2026-02-12T04:40:28Z"/>
        <d v="2026-02-12T04:44:11Z"/>
        <d v="2026-02-12T04:48:07Z"/>
        <d v="2026-02-12T04:51:05Z"/>
        <d v="2026-02-12T04:54:54Z"/>
        <d v="2026-02-12T04:57:55Z"/>
        <d v="2026-02-12T05:05:24Z"/>
        <d v="2026-02-12T05:08:24Z"/>
        <d v="2026-02-12T05:12:07Z"/>
        <d v="2026-02-12T05:15:12Z"/>
        <d v="2026-02-12T05:17:58Z"/>
        <d v="2026-02-12T05:20:52Z"/>
        <d v="2026-02-12T05:24:49Z"/>
        <d v="2026-02-12T05:28:41Z"/>
        <d v="2026-02-12T05:32:33Z"/>
        <d v="2026-02-12T05:34:10Z"/>
        <d v="2026-02-12T05:37:34Z"/>
        <d v="2026-02-12T05:40:18Z"/>
        <d v="2026-02-12T05:44:39Z"/>
        <d v="2026-02-12T05:47:27Z"/>
        <d v="2026-02-12T09:25:51Z"/>
        <d v="2026-02-12T09:33:50Z"/>
        <d v="2026-02-12T09:50:48Z"/>
        <d v="2026-02-12T09:50:50Z"/>
        <d v="2026-02-12T09:53:41Z"/>
        <d v="2026-02-12T09:56:35Z"/>
        <d v="2026-02-12T10:15:51Z"/>
        <d v="2026-02-12T11:00:22Z"/>
        <d v="2026-02-12T11:04:43Z"/>
        <d v="2026-02-12T11:09:34Z"/>
        <d v="2026-02-12T11:09:52Z"/>
        <d v="2026-02-12T11:19:33Z"/>
        <d v="2026-02-12T11:22:59Z"/>
        <d v="2026-02-12T11:32:07Z"/>
        <d v="2026-02-12T11:49:06Z"/>
        <d v="2026-02-12T11:51:35Z"/>
        <d v="2026-02-12T11:54:29Z"/>
        <d v="2026-02-12T11:55:11Z"/>
        <d v="2026-02-12T12:45:05Z"/>
        <d v="2026-02-12T12:55:40Z"/>
        <d v="2026-02-12T13:04:50Z"/>
        <d v="2026-02-12T13:11:08Z"/>
        <d v="2026-02-12T13:13:00Z"/>
        <d v="2026-02-12T13:22:27Z"/>
        <d v="2026-02-12T13:31:39Z"/>
        <d v="2026-02-12T13:51:01Z"/>
        <d v="2026-02-12T13:52:18Z"/>
        <d v="2026-02-12T13:53:39Z"/>
        <d v="2026-02-12T13:55:31Z"/>
        <d v="2026-02-12T13:56:50Z"/>
        <d v="2026-02-12T13:56:57Z"/>
        <d v="2026-02-12T13:58:45Z"/>
        <d v="2026-02-12T14:04:07Z"/>
        <d v="2026-02-12T14:06:55Z"/>
        <d v="2026-02-12T14:07:24Z"/>
        <d v="2026-02-12T14:10:36Z"/>
        <d v="2026-02-12T14:13:02Z"/>
        <d v="2026-02-12T14:13:44Z"/>
        <d v="2026-02-12T14:18:14Z"/>
        <d v="2026-02-12T14:18:22Z"/>
        <d v="2026-02-12T14:20:35Z"/>
        <d v="2026-02-12T14:20:53Z"/>
        <d v="2026-02-12T14:20:59Z"/>
        <d v="2026-02-12T14:22:11Z"/>
        <d v="2026-02-12T14:35:32Z"/>
        <d v="2026-02-12T14:41:24Z"/>
        <d v="2026-02-12T14:44:32Z"/>
        <d v="2026-02-12T15:00:55Z"/>
        <d v="2026-02-12T15:10:53Z"/>
        <d v="2026-02-12T15:10:57Z"/>
        <d v="2026-02-12T15:19:42Z"/>
        <d v="2026-02-12T15:52:29Z"/>
        <d v="2026-02-12T15:58:40Z"/>
        <d v="2026-02-12T15:59:29Z"/>
        <d v="2026-02-12T16:06:17Z"/>
        <d v="2026-02-12T16:24:27Z"/>
        <d v="2026-02-12T16:33:58Z"/>
        <d v="2026-02-12T16:36:19Z"/>
        <d v="2026-02-12T16:44:59Z"/>
        <d v="2026-02-12T17:05:20Z"/>
        <d v="2026-02-12T17:07:34Z"/>
        <d v="2026-02-12T17:09:23Z"/>
        <d v="2026-02-12T17:10:38Z"/>
        <d v="2026-02-12T17:10:39Z"/>
        <d v="2026-02-12T17:14:20Z"/>
        <d v="2026-02-12T17:17:07Z"/>
        <d v="2026-02-12T17:17:51Z"/>
        <d v="2026-02-12T17:21:49Z"/>
        <d v="2026-02-12T17:26:42Z"/>
        <d v="2026-02-12T17:35:11Z"/>
        <d v="2026-02-12T17:37:56Z"/>
        <d v="2026-02-12T17:40:33Z"/>
        <d v="2026-02-12T17:44:57Z"/>
        <d v="2026-02-12T17:49:42Z"/>
        <d v="2026-02-12T17:55:34Z"/>
        <d v="2026-02-12T18:08:44Z"/>
        <d v="2026-02-12T18:10:24Z"/>
        <d v="2026-02-12T18:11:12Z"/>
        <d v="2026-02-12T18:20:07Z"/>
        <d v="2026-02-12T18:38:32Z"/>
        <d v="2026-02-12T18:48:29Z"/>
        <d v="2026-02-12T18:51:04Z"/>
        <d v="2026-02-12T18:54:44Z"/>
        <d v="2026-02-13T11:32:33Z"/>
        <d v="2026-02-13T11:41:03Z"/>
        <d v="2026-02-13T12:08:01Z"/>
        <d v="2026-02-13T12:11:42Z"/>
        <d v="2026-02-13T12:22:04Z"/>
        <d v="2026-02-13T12:30:32Z"/>
        <d v="2026-02-13T12:31:35Z"/>
        <d v="2026-02-13T12:32:17Z"/>
        <d v="2026-02-13T12:32:44Z"/>
        <d v="2026-02-13T12:33:15Z"/>
        <d v="2026-02-13T12:34:02Z"/>
        <d v="2026-02-13T12:35:26Z"/>
        <d v="2026-02-13T12:38:14Z"/>
        <d v="2026-02-13T12:57:30Z"/>
        <d v="2026-02-13T13:02:03Z"/>
        <d v="2026-02-13T13:27:36Z"/>
        <d v="2026-02-13T13:30:39Z"/>
        <d v="2026-02-13T13:32:09Z"/>
        <d v="2026-02-13T13:33:51Z"/>
        <d v="2026-02-13T13:34:19Z"/>
        <d v="2026-02-13T13:36:43Z"/>
        <d v="2026-02-13T13:37:18Z"/>
        <d v="2026-02-13T13:39:20Z"/>
        <d v="2026-02-13T13:41:57Z"/>
        <d v="2026-02-13T13:43:45Z"/>
        <d v="2026-02-13T14:09:34Z"/>
        <d v="2026-02-13T14:10:44Z"/>
        <d v="2026-02-13T14:17:03Z"/>
        <d v="2026-02-13T14:22:33Z"/>
        <d v="2026-02-13T14:24:27Z"/>
        <d v="2026-02-13T14:27:06Z"/>
        <d v="2026-02-13T14:34:14Z"/>
        <d v="2026-02-13T14:49:02Z"/>
        <d v="2026-02-13T14:58:26Z"/>
        <d v="2026-02-13T15:01:17Z"/>
        <d v="2026-02-13T15:03:32Z"/>
        <d v="2026-02-13T15:19:22Z"/>
        <d v="2026-02-13T15:45:29Z"/>
        <d v="2026-02-13T16:03:26Z"/>
        <d v="2026-02-13T16:04:46Z"/>
        <d v="2026-02-13T16:16:58Z"/>
        <d v="2026-02-13T16:24:17Z"/>
        <d v="2026-02-13T16:26:24Z"/>
        <d v="2026-02-13T16:29:45Z"/>
        <d v="2026-02-13T16:32:36Z"/>
        <d v="2026-02-13T16:42:02Z"/>
        <d v="2026-02-13T16:44:45Z"/>
        <d v="2026-02-13T16:50:10Z"/>
        <d v="2026-02-13T16:52:58Z"/>
        <d v="2026-02-13T16:56:26Z"/>
        <d v="2026-02-13T16:57:32Z"/>
        <d v="2026-02-13T16:58:49Z"/>
        <d v="2026-02-13T17:09:25Z"/>
        <d v="2026-02-13T17:12:30Z"/>
        <d v="2026-02-13T17:13:57Z"/>
        <d v="2026-02-13T17:15:27Z"/>
        <d v="2026-02-13T17:17:30Z"/>
        <d v="2026-02-13T17:22:03Z"/>
        <d v="2026-02-13T17:23:23Z"/>
        <d v="2026-02-13T17:25:38Z"/>
        <d v="2026-02-13T17:26:46Z"/>
        <d v="2026-02-13T17:27:43Z"/>
        <d v="2026-02-13T17:29:11Z"/>
        <d v="2026-02-13T17:47:08Z"/>
        <d v="2026-02-13T18:04:04Z"/>
        <d v="2026-02-13T18:12:47Z"/>
        <d v="2026-02-13T18:19:01Z"/>
        <d v="2026-02-13T18:20:17Z"/>
        <d v="2026-02-13T18:22:54Z"/>
        <d v="2026-02-13T18:28:02Z"/>
        <d v="2026-02-13T19:01:43Z"/>
        <d v="2026-02-13T22:54:39Z"/>
        <d v="2026-02-13T22:56:46Z"/>
        <d v="2026-02-13T22:57:39Z"/>
        <d v="2026-02-13T22:58:58Z"/>
        <d v="2026-02-13T22:59:50Z"/>
        <d v="2026-02-13T23:00:46Z"/>
        <d v="2026-02-13T23:02:01Z"/>
        <d v="2026-02-13T23:03:41Z"/>
        <d v="2026-02-13T23:05:34Z"/>
        <d v="2026-02-13T23:07:32Z"/>
        <d v="2026-02-13T23:09:13Z"/>
        <d v="2026-02-13T23:10:32Z"/>
        <d v="2026-02-13T23:12:01Z"/>
        <d v="2026-02-13T23:27:26Z"/>
        <d v="2026-02-14T17:02:36Z"/>
        <d v="2026-02-14T17:04:13Z"/>
        <d v="2026-02-14T17:06:55Z"/>
        <d v="2026-02-14T20:06:17Z"/>
        <d v="2026-02-16T12:35:33Z"/>
        <d v="2026-02-16T13:22:35Z"/>
        <d v="2026-02-16T13:26:32Z"/>
        <d v="2026-02-16T13:43:49Z"/>
        <d v="2026-02-16T13:49:33Z"/>
        <d v="2026-02-16T13:52:10Z"/>
        <d v="2026-02-16T13:54:19Z"/>
        <d v="2026-02-16T13:54:56Z"/>
        <d v="2026-02-16T13:56:27Z"/>
        <d v="2026-02-16T13:58:36Z"/>
        <d v="2026-02-16T15:13:24Z"/>
        <d v="2026-02-16T15:26:23Z"/>
        <d v="2026-02-16T16:07:10Z"/>
        <d v="2026-02-16T16:19:15Z"/>
        <d v="2026-02-16T16:21:50Z"/>
        <d v="2026-02-16T16:29:50Z"/>
        <d v="2026-02-16T16:31:23Z"/>
        <d v="2026-02-16T16:33:19Z"/>
        <d v="2026-02-16T16:34:28Z"/>
        <d v="2026-02-16T16:35:59Z"/>
        <d v="2026-02-16T16:37:25Z"/>
        <d v="2026-02-16T16:48:10Z"/>
        <d v="2026-02-16T17:15:37Z"/>
        <d v="2026-02-16T17:24:33Z"/>
        <d v="2026-02-16T17:29:17Z"/>
        <d v="2026-02-16T17:30:07Z"/>
        <d v="2026-02-16T17:30:23Z"/>
        <d v="2026-02-16T17:33:04Z"/>
        <d v="2026-02-16T17:33:39Z"/>
        <d v="2026-02-16T17:35:22Z"/>
        <d v="2026-02-16T17:36:01Z"/>
        <d v="2026-02-16T17:37:15Z"/>
        <d v="2026-02-16T17:38:41Z"/>
        <d v="2026-02-16T17:43:57Z"/>
        <d v="2026-02-16T17:45:38Z"/>
        <d v="2026-02-16T17:55:18Z"/>
        <d v="2026-02-16T17:58:13Z"/>
        <d v="2026-02-16T17:58:21Z"/>
        <d v="2026-02-16T18:01:41Z"/>
        <d v="2026-02-16T18:02:19Z"/>
        <d v="2026-02-16T19:00:53Z"/>
        <d v="2026-02-16T19:20:01Z"/>
        <d v="2026-02-16T19:37:08Z"/>
        <d v="2026-02-16T19:41:04Z"/>
        <d v="2026-02-16T19:43:06Z"/>
        <d v="2026-02-16T19:46:01Z"/>
        <d v="2026-02-16T19:48:01Z"/>
        <d v="2026-02-16T19:51:06Z"/>
        <d v="2026-02-16T19:53:12Z"/>
        <d v="2026-02-16T20:00:08Z"/>
        <d v="2026-02-16T20:05:10Z"/>
        <d v="2026-02-16T20:06:52Z"/>
        <d v="2026-02-16T20:14:17Z"/>
        <d v="2026-02-16T21:41:05Z"/>
        <d v="2026-02-16T21:48:39Z"/>
        <d v="2026-02-16T21:51:35Z"/>
        <d v="2026-02-16T22:07:35Z"/>
        <d v="2026-02-16T22:18:50Z"/>
        <d v="2026-02-16T22:25:09Z"/>
        <d v="2026-02-16T22:31:15Z"/>
        <d v="2026-02-16T22:37:12Z"/>
        <d v="2026-02-16T22:44:27Z"/>
        <d v="2026-02-17T09:00:33Z"/>
        <d v="2026-02-17T09:14:17Z"/>
        <d v="2026-02-17T09:17:09Z"/>
        <d v="2026-02-17T09:20:31Z"/>
        <d v="2026-02-17T09:44:01Z"/>
        <d v="2026-02-17T09:45:30Z"/>
        <d v="2026-02-17T09:47:25Z"/>
        <d v="2026-02-17T09:50:22Z"/>
        <d v="2026-02-17T09:54:10Z"/>
        <d v="2026-02-17T09:55:49Z"/>
        <d v="2026-02-17T09:58:54Z"/>
        <d v="2026-02-17T10:01:45Z"/>
        <d v="2026-02-17T10:03:23Z"/>
        <d v="2026-02-17T10:05:21Z"/>
        <d v="2026-02-17T10:12:08Z"/>
        <d v="2026-02-17T10:14:34Z"/>
        <d v="2026-02-17T10:16:36Z"/>
        <d v="2026-02-17T10:18:32Z"/>
        <d v="2026-02-17T10:22:20Z"/>
        <d v="2026-02-17T10:55:19Z"/>
        <d v="2026-02-17T12:13:56Z"/>
        <d v="2026-02-17T12:23:40Z"/>
        <d v="2026-02-17T12:24:57Z"/>
        <d v="2026-02-17T12:30:45Z"/>
        <d v="2026-02-17T12:34:27Z"/>
        <d v="2026-02-17T12:37:49Z"/>
        <d v="2026-02-17T12:41:45Z"/>
        <d v="2026-02-17T12:45:12Z"/>
        <d v="2026-02-17T12:49:21Z"/>
        <d v="2026-02-17T12:53:50Z"/>
        <d v="2026-02-17T13:00:00Z"/>
        <d v="2026-02-17T13:04:06Z"/>
        <d v="2026-02-17T13:07:35Z"/>
        <d v="2026-02-17T13:10:31Z"/>
        <d v="2026-02-17T13:15:28Z"/>
        <d v="2026-02-17T13:21:20Z"/>
        <d v="2026-02-17T13:27:37Z"/>
        <d v="2026-02-17T13:35:39Z"/>
        <d v="2026-02-17T13:46:33Z"/>
        <d v="2026-02-17T14:06:34Z"/>
        <d v="2026-02-17T14:52:00Z"/>
        <d v="2026-02-17T15:15:54Z"/>
        <d v="2026-02-17T15:15:58Z"/>
        <d v="2026-02-17T15:21:48Z"/>
        <d v="2026-02-17T15:22:44Z"/>
        <d v="2026-02-17T15:24:20Z"/>
        <d v="2026-02-17T15:25:59Z"/>
        <d v="2026-02-17T15:26:41Z"/>
        <d v="2026-02-17T15:27:27Z"/>
        <d v="2026-02-17T15:28:54Z"/>
        <d v="2026-02-17T17:27:28Z"/>
        <d v="2026-02-17T17:28:55Z"/>
        <d v="2026-02-17T17:30:14Z"/>
        <d v="2026-02-17T17:31:09Z"/>
        <d v="2026-02-17T17:32:26Z"/>
        <d v="2026-02-17T17:34:02Z"/>
        <d v="2026-02-17T18:01:08Z"/>
        <d v="2026-02-17T18:01:39Z"/>
        <d v="2026-02-17T18:05:03Z"/>
        <d v="2026-02-17T18:08:11Z"/>
        <d v="2026-02-17T18:08:54Z"/>
        <d v="2026-02-17T18:11:49Z"/>
        <d v="2026-02-17T18:14:33Z"/>
        <d v="2026-02-17T18:17:11Z"/>
        <d v="2026-02-17T18:18:35Z"/>
        <d v="2026-02-18T09:41:41Z"/>
        <d v="2026-02-18T09:42:24Z"/>
        <d v="2026-02-18T09:45:51Z"/>
        <d v="2026-02-18T09:49:09Z"/>
        <d v="2026-02-18T09:50:41Z"/>
        <d v="2026-02-18T09:53:43Z"/>
        <d v="2026-02-18T09:54:11Z"/>
        <d v="2026-02-18T09:58:14Z"/>
        <d v="2026-02-18T09:59:47Z"/>
        <d v="2026-02-18T10:00:23Z"/>
        <d v="2026-02-18T10:07:44Z"/>
        <d v="2026-02-18T10:09:51Z"/>
        <d v="2026-02-18T10:11:53Z"/>
        <d v="2026-02-18T10:14:36Z"/>
        <d v="2026-02-18T10:16:33Z"/>
        <d v="2026-02-18T10:18:10Z"/>
        <d v="2026-02-18T10:22:05Z"/>
        <d v="2026-02-18T10:24:41Z"/>
        <d v="2026-02-18T10:26:23Z"/>
        <d v="2026-02-18T10:28:48Z"/>
        <d v="2026-02-18T10:30:31Z"/>
        <d v="2026-02-18T10:32:13Z"/>
        <d v="2026-02-18T10:33:42Z"/>
        <d v="2026-02-18T10:35:24Z"/>
        <d v="2026-02-18T10:36:47Z"/>
        <d v="2026-02-18T10:57:38Z"/>
        <d v="2026-02-18T11:03:13Z"/>
        <d v="2026-02-18T11:08:18Z"/>
        <d v="2026-02-18T11:37:24Z"/>
        <d v="2026-02-18T12:01:30Z"/>
        <d v="2026-02-18T13:19:31Z"/>
        <d v="2026-02-18T15:22:15Z"/>
        <d v="2026-02-18T15:34:10Z"/>
        <d v="2026-02-18T15:38:51Z"/>
        <d v="2026-02-18T15:58:48Z"/>
        <d v="2026-02-18T16:15:03Z"/>
        <d v="2026-02-18T16:47:02Z"/>
        <d v="2026-02-18T17:22:46Z"/>
        <d v="2026-02-18T17:29:11Z"/>
        <d v="2026-02-18T18:21:08Z"/>
        <d v="2026-02-18T18:30:12Z"/>
        <d v="2026-02-18T18:41:50Z"/>
        <d v="2026-02-18T18:44:30Z"/>
        <d v="2026-02-18T18:50:04Z"/>
        <d v="2026-02-18T19:17:24Z"/>
        <d v="2026-02-18T19:20:36Z"/>
        <d v="2026-02-18T19:25:59Z"/>
        <d v="2026-02-18T19:38:40Z"/>
        <d v="2026-02-18T19:44:13Z"/>
        <d v="2026-02-18T19:49:07Z"/>
        <d v="2026-02-18T19:52:05Z"/>
        <d v="2026-02-18T20:00:00Z"/>
        <d v="2026-02-18T21:45:06Z"/>
        <d v="2026-02-18T21:55:52Z"/>
        <d v="2026-02-18T22:04:02Z"/>
        <d v="2026-02-18T22:15:26Z"/>
        <d v="2026-02-18T22:38:37Z"/>
        <d v="2026-02-18T22:49:08Z"/>
        <d v="2026-02-18T22:55:51Z"/>
        <d v="2026-02-18T23:04:08Z"/>
        <d v="2026-02-18T23:11:32Z"/>
        <d v="2026-02-19T10:10:04Z"/>
        <d v="2026-02-19T10:12:02Z"/>
        <d v="2026-02-19T18:00:33Z"/>
        <d v="2026-02-19T18:08:25Z"/>
        <d v="2026-02-19T18:13:07Z"/>
        <d v="2026-02-19T18:18:59Z"/>
        <d v="2026-02-19T18:28:09Z"/>
        <d v="2026-02-19T18:33:34Z"/>
        <d v="2026-02-19T18:40:14Z"/>
        <d v="2026-02-19T19:40:07Z"/>
        <d v="2026-02-19T19:43:22Z"/>
        <d v="2026-02-19T19:45:44Z"/>
        <d v="2026-02-19T19:48:33Z"/>
        <d v="2026-02-19T19:51:28Z"/>
        <d v="2026-02-19T19:53:52Z"/>
        <d v="2026-02-19T19:55:08Z"/>
        <d v="2026-02-19T19:58:19Z"/>
        <d v="2026-02-19T20:01:06Z"/>
        <d v="2026-02-19T20:03:30Z"/>
        <d v="2026-02-19T20:06:10Z"/>
        <d v="2026-02-19T21:24:42Z"/>
        <d v="2026-02-19T21:32:53Z"/>
        <d v="2026-02-19T21:37:03Z"/>
        <d v="2026-02-19T21:40:32Z"/>
        <d v="2026-02-19T21:44:19Z"/>
        <d v="2026-02-19T21:50:06Z"/>
        <d v="2026-02-19T21:52:40Z"/>
        <d v="2026-02-19T21:57:42Z"/>
        <d v="2026-02-19T22:01:09Z"/>
        <d v="2026-02-19T23:10:27Z"/>
        <d v="2026-02-19T23:12:13Z"/>
        <d v="2026-02-19T23:14:57Z"/>
        <d v="2026-02-19T23:16:59Z"/>
        <d v="2026-02-19T23:28:09Z"/>
        <d v="2026-02-19T23:30:57Z"/>
        <d v="2026-02-19T23:36:54Z"/>
        <d v="2026-02-19T23:43:02Z"/>
        <d v="2026-02-19T23:48:29Z"/>
        <d v="2026-02-19T23:51:03Z"/>
        <d v="2026-02-19T23:53:36Z"/>
        <d v="2026-02-19T23:56:53Z"/>
        <d v="2026-02-20T00:10:39Z"/>
        <d v="2026-02-20T07:30:58Z"/>
        <d v="2026-02-20T07:34:08Z"/>
        <d v="2026-02-20T07:36:18Z"/>
        <d v="2026-02-20T07:38:32Z"/>
        <d v="2026-02-20T07:40:33Z"/>
        <d v="2026-02-20T07:42:21Z"/>
        <d v="2026-02-20T07:44:09Z"/>
        <d v="2026-02-20T07:46:04Z"/>
        <d v="2026-02-20T07:48:22Z"/>
        <d v="2026-02-20T07:50:01Z"/>
        <d v="2026-02-20T07:54:00Z"/>
        <d v="2026-02-20T07:58:00Z"/>
        <d v="2026-02-20T08:00:00Z"/>
        <d v="2026-02-20T08:02:42Z"/>
        <d v="2026-02-20T08:11:19Z"/>
        <d v="2026-02-20T08:14:30Z"/>
        <d v="2026-02-20T08:17:35Z"/>
        <d v="2026-02-20T08:20:24Z"/>
        <d v="2026-02-20T08:21:36Z"/>
        <d v="2026-02-20T08:26:25Z"/>
        <d v="2026-02-20T09:20:13Z"/>
        <d v="2026-02-20T09:29:05Z"/>
        <d v="2026-02-20T09:33:54Z"/>
        <d v="2026-02-20T09:44:19Z"/>
        <d v="2026-02-20T09:46:50Z"/>
        <d v="2026-02-20T09:56:47Z"/>
        <d v="2026-02-20T10:00:46Z"/>
        <d v="2026-02-20T10:01:59Z"/>
        <d v="2026-02-20T10:13:50Z"/>
        <d v="2026-02-20T10:16:13Z"/>
        <d v="2026-02-20T10:18:46Z"/>
        <d v="2026-02-20T12:52:16Z"/>
        <d v="2026-02-20T12:53:43Z"/>
        <d v="2026-02-20T13:01:30Z"/>
        <d v="2026-02-20T13:03:48Z"/>
        <d v="2026-02-20T13:07:49Z"/>
        <d v="2026-02-20T13:15:18Z"/>
        <d v="2026-02-20T13:16:21Z"/>
        <d v="2026-02-20T13:48:30Z"/>
        <d v="2026-02-20T15:22:29Z"/>
        <d v="2026-02-20T15:24:04Z"/>
        <d v="2026-02-20T15:40:35Z"/>
        <d v="2026-02-20T15:49:49Z"/>
        <d v="2026-02-20T15:53:30Z"/>
        <d v="2026-02-20T17:29:28Z"/>
        <d v="2026-02-20T17:30:52Z"/>
        <d v="2026-02-20T17:32:08Z"/>
        <d v="2026-02-20T17:32:28Z"/>
        <d v="2026-02-20T17:39:39Z"/>
        <d v="2026-02-20T17:42:53Z"/>
        <d v="2026-02-20T17:46:09Z"/>
        <d v="2026-02-20T17:48:14Z"/>
        <d v="2026-02-20T17:49:57Z"/>
        <d v="2026-02-20T17:52:57Z"/>
        <d v="2026-02-20T17:57:02Z"/>
        <d v="2026-02-20T18:26:36Z"/>
        <d v="2026-02-20T18:28:20Z"/>
        <d v="2026-02-20T18:31:54Z"/>
        <d v="2026-02-20T18:36:08Z"/>
        <d v="2026-02-20T18:55:49Z"/>
        <d v="2026-02-20T18:56:24Z"/>
        <d v="2026-02-20T19:02:35Z"/>
        <d v="2026-02-20T19:06:24Z"/>
        <d v="2026-02-20T19:12:15Z"/>
        <d v="2026-02-20T19:14:56Z"/>
        <d v="2026-02-20T19:17:52Z"/>
        <d v="2026-02-20T19:21:21Z"/>
        <d v="2026-02-20T19:23:07Z"/>
        <d v="2026-02-20T19:24:49Z"/>
        <d v="2026-02-20T19:25:48Z"/>
        <d v="2026-02-20T19:26:09Z"/>
        <d v="2026-02-20T21:25:43Z"/>
        <d v="2026-02-20T21:28:55Z"/>
        <d v="2026-02-20T21:31:16Z"/>
        <d v="2026-02-20T21:33:46Z"/>
        <d v="2026-02-20T21:36:11Z"/>
        <d v="2026-02-20T21:41:38Z"/>
        <d v="2026-02-20T21:49:48Z"/>
        <d v="2026-02-20T21:56:31Z"/>
        <d v="2026-02-21T09:49:38Z"/>
        <d v="2026-02-21T09:53:05Z"/>
        <d v="2026-02-21T09:58:35Z"/>
        <d v="2026-02-21T10:01:17Z"/>
        <d v="2026-02-21T10:02:50Z"/>
        <d v="2026-02-21T10:03:52Z"/>
        <d v="2026-02-21T10:05:15Z"/>
        <d v="2026-02-21T10:07:41Z"/>
        <d v="2026-02-21T10:10:54Z"/>
        <d v="2026-02-21T10:14:52Z"/>
        <d v="2026-02-21T10:20:26Z"/>
        <d v="2026-02-21T10:21:26Z"/>
        <d v="2026-02-21T10:22:37Z"/>
        <d v="2026-02-21T10:24:49Z"/>
        <d v="2026-02-21T10:25:12Z"/>
        <d v="2026-02-21T10:26:27Z"/>
        <d v="2026-02-21T10:27:54Z"/>
        <d v="2026-02-21T10:28:17Z"/>
        <d v="2026-02-21T10:29:47Z"/>
        <d v="2026-02-21T10:29:56Z"/>
        <d v="2026-02-21T10:31:11Z"/>
        <d v="2026-02-21T10:32:58Z"/>
        <d v="2026-02-21T10:35:02Z"/>
        <d v="2026-02-21T10:35:36Z"/>
        <d v="2026-02-21T10:37:36Z"/>
        <d v="2026-02-21T10:37:49Z"/>
        <d v="2026-02-21T10:40:14Z"/>
        <d v="2026-02-21T10:40:24Z"/>
        <d v="2026-02-21T10:41:35Z"/>
        <d v="2026-02-21T10:41:51Z"/>
        <d v="2026-02-21T10:42:58Z"/>
        <d v="2026-02-21T10:43:16Z"/>
        <d v="2026-02-21T10:44:43Z"/>
        <d v="2026-02-21T10:44:44Z"/>
        <d v="2026-02-21T10:47:11Z"/>
        <d v="2026-02-21T10:47:16Z"/>
        <d v="2026-02-21T10:48:19Z"/>
        <d v="2026-02-21T10:49:14Z"/>
        <d v="2026-02-21T12:12:57Z"/>
        <d v="2026-02-21T12:51:01Z"/>
        <d v="2026-02-21T12:52:38Z"/>
        <d v="2026-02-21T12:53:48Z"/>
        <d v="2026-02-21T12:54:55Z"/>
        <d v="2026-02-21T12:55:57Z"/>
        <d v="2026-02-21T12:56:59Z"/>
        <d v="2026-02-21T12:58:08Z"/>
        <d v="2026-02-21T13:41:50Z"/>
        <d v="2026-02-21T14:49:52Z"/>
        <d v="2026-02-21T14:53:18Z"/>
        <d v="2026-02-21T14:54:17Z"/>
        <d v="2026-02-21T14:57:04Z"/>
        <d v="2026-02-21T14:59:17Z"/>
        <d v="2026-02-21T15:01:33Z"/>
        <d v="2026-02-21T15:52:58Z"/>
        <d v="2026-02-21T15:54:37Z"/>
        <d v="2026-02-21T16:08:13Z"/>
        <d v="2026-02-21T16:10:39Z"/>
        <d v="2026-02-21T16:11:43Z"/>
        <d v="2026-02-21T16:13:34Z"/>
        <d v="2026-02-21T16:15:01Z"/>
        <d v="2026-02-21T16:34:09Z"/>
        <d v="2026-02-21T16:38:22Z"/>
        <d v="2026-02-21T16:39:39Z"/>
        <d v="2026-02-21T16:45:58Z"/>
        <d v="2026-02-21T16:49:54Z"/>
        <d v="2026-02-21T16:53:05Z"/>
        <d v="2026-02-21T16:58:25Z"/>
        <d v="2026-02-21T17:02:41Z"/>
        <d v="2026-02-21T17:03:59Z"/>
        <d v="2026-02-21T17:08:25Z"/>
        <d v="2026-02-21T17:14:26Z"/>
        <d v="2026-02-21T17:48:46Z"/>
        <d v="2026-02-21T18:22:07Z"/>
        <d v="2026-02-21T18:23:43Z"/>
        <d v="2026-02-21T18:24:46Z"/>
        <d v="2026-02-21T18:26:13Z"/>
        <d v="2026-02-21T18:27:42Z"/>
        <d v="2026-02-21T19:03:49Z"/>
        <d v="2026-02-22T15:57:09Z"/>
        <d v="2026-02-22T15:58:54Z"/>
        <d v="2026-02-22T16:00:21Z"/>
        <d v="2026-02-22T16:02:31Z"/>
        <d v="2026-02-22T16:04:16Z"/>
        <d v="2026-02-22T16:05:47Z"/>
        <d v="2026-02-22T16:07:14Z"/>
        <d v="2026-02-22T16:09:08Z"/>
        <d v="2026-02-22T16:10:53Z"/>
        <d v="2026-02-22T16:12:44Z"/>
        <d v="2026-02-22T16:14:10Z"/>
        <d v="2026-02-22T16:16:28Z"/>
        <d v="2026-02-22T16:18:45Z"/>
        <d v="2026-02-22T16:21:03Z"/>
        <d v="2026-02-22T16:23:26Z"/>
        <d v="2026-02-22T16:24:45Z"/>
        <d v="2026-02-22T16:26:10Z"/>
        <d v="2026-02-22T16:27:58Z"/>
        <d v="2026-02-22T17:03:28Z"/>
        <d v="2026-02-22T17:04:52Z"/>
        <d v="2026-02-22T17:06:25Z"/>
        <d v="2026-02-22T17:10:25Z"/>
        <d v="2026-02-22T17:12:57Z"/>
        <d v="2026-02-22T17:16:25Z"/>
        <d v="2026-02-22T19:15:39Z"/>
        <d v="2026-02-22T19:17:49Z"/>
        <d v="2026-02-22T19:19:33Z"/>
        <d v="2026-02-22T19:20:57Z"/>
        <d v="2026-02-22T19:22:24Z"/>
        <d v="2026-02-22T19:24:32Z"/>
        <d v="2026-02-22T19:27:04Z"/>
        <d v="2026-02-22T19:29:05Z"/>
        <d v="2026-02-22T19:31:04Z"/>
        <d v="2026-02-22T19:32:43Z"/>
        <d v="2026-02-22T19:37:00Z"/>
        <d v="2026-02-23T11:22:14Z"/>
        <d v="2026-02-23T11:32:36Z"/>
        <d v="2026-02-23T11:36:55Z"/>
        <d v="2026-02-23T11:44:58Z"/>
        <d v="2026-02-23T11:51:44Z"/>
        <d v="2026-02-23T12:43:23Z"/>
        <d v="2026-02-23T12:49:51Z"/>
        <d v="2026-02-23T13:01:02Z"/>
        <d v="2026-02-23T13:53:57Z"/>
        <d v="2026-02-23T14:21:31Z"/>
        <d v="2026-02-23T14:26:51Z"/>
        <d v="2026-02-23T14:33:45Z"/>
        <d v="2026-02-23T14:36:22Z"/>
        <d v="2026-02-23T14:42:59Z"/>
        <d v="2026-02-23T14:48:46Z"/>
        <d v="2026-02-23T14:53:57Z"/>
        <d v="2026-02-23T15:07:45Z"/>
        <d v="2026-02-23T16:17:32Z"/>
        <d v="2026-02-23T16:18:49Z"/>
        <d v="2026-02-23T16:20:09Z"/>
        <d v="2026-02-23T16:21:17Z"/>
        <d v="2026-02-23T16:23:07Z"/>
        <d v="2026-02-23T16:25:33Z"/>
        <d v="2026-02-23T16:28:48Z"/>
        <d v="2026-02-23T16:59:50Z"/>
        <d v="2026-02-23T17:01:35Z"/>
        <d v="2026-02-23T17:05:23Z"/>
        <d v="2026-02-23T17:08:36Z"/>
        <d v="2026-02-23T17:10:26Z"/>
        <d v="2026-02-23T17:12:08Z"/>
        <d v="2026-02-23T17:14:09Z"/>
        <d v="2026-02-23T17:16:45Z"/>
        <d v="2026-02-23T17:47:03Z"/>
        <d v="2026-02-23T17:53:08Z"/>
        <d v="2026-02-23T18:57:06Z"/>
        <d v="2026-02-23T19:00:57Z"/>
        <d v="2026-02-23T19:01:59Z"/>
        <d v="2026-02-23T19:03:23Z"/>
        <d v="2026-02-23T19:04:39Z"/>
        <d v="2026-02-23T19:05:58Z"/>
        <d v="2026-02-23T19:06:52Z"/>
        <d v="2026-02-23T19:19:55Z"/>
        <d v="2026-02-23T19:22:16Z"/>
        <d v="2026-02-23T19:24:10Z"/>
        <d v="2026-02-23T19:31:54Z"/>
        <d v="2026-02-23T19:34:06Z"/>
        <d v="2026-02-23T19:35:33Z"/>
        <d v="2026-02-23T19:36:44Z"/>
        <d v="2026-02-23T19:38:33Z"/>
        <d v="2026-02-23T20:02:13Z"/>
        <d v="2026-02-23T20:06:57Z"/>
        <d v="2026-02-23T20:11:45Z"/>
        <d v="2026-02-23T21:42:04Z"/>
        <d v="2026-02-23T21:43:25Z"/>
        <d v="2026-02-23T21:44:44Z"/>
        <d v="2026-02-23T21:46:14Z"/>
        <d v="2026-02-23T21:48:14Z"/>
        <d v="2026-02-23T21:49:25Z"/>
        <d v="2026-02-23T21:51:13Z"/>
        <d v="2026-02-23T21:52:48Z"/>
        <d v="2026-02-23T21:54:10Z"/>
        <d v="2026-02-23T21:55:40Z"/>
        <d v="2026-02-23T21:57:06Z"/>
        <d v="2026-02-23T21:58:21Z"/>
        <d v="2026-02-23T21:59:55Z"/>
        <d v="2026-02-23T22:01:17Z"/>
        <d v="2026-02-23T22:02:46Z"/>
        <d v="2026-02-23T22:04:18Z"/>
        <d v="2026-02-23T22:05:45Z"/>
        <d v="2026-02-23T23:44:52Z"/>
        <d v="2026-02-23T23:47:47Z"/>
        <d v="2026-02-23T23:50:54Z"/>
        <d v="2026-02-23T23:53:05Z"/>
        <d v="2026-02-23T23:55:21Z"/>
        <d v="2026-02-23T23:57:40Z"/>
        <d v="2026-02-24T00:00:13Z"/>
        <d v="2026-02-24T00:09:20Z"/>
        <d v="2026-02-24T00:14:41Z"/>
        <d v="2026-02-24T00:17:08Z"/>
        <d v="2026-02-24T00:19:04Z"/>
        <d v="2026-02-24T00:21:35Z"/>
        <d v="2026-02-24T00:30:28Z"/>
        <d v="2026-02-24T00:49:09Z"/>
        <d v="2026-02-24T00:55:31Z"/>
        <d v="2026-02-24T01:00:09Z"/>
        <d v="2026-02-24T01:06:12Z"/>
        <d v="2026-02-24T01:10:39Z"/>
        <d v="2026-02-24T01:16:58Z"/>
        <d v="2026-02-24T09:05:11Z"/>
        <d v="2026-02-24T09:07:12Z"/>
        <d v="2026-02-24T11:31:16Z"/>
        <d v="2026-02-24T11:33:28Z"/>
        <d v="2026-02-24T11:35:35Z"/>
        <d v="2026-02-24T11:37:48Z"/>
        <d v="2026-02-24T11:39:25Z"/>
        <d v="2026-02-24T11:41:55Z"/>
        <d v="2026-02-24T11:44:17Z"/>
        <d v="2026-02-24T12:03:50Z"/>
        <d v="2026-02-24T12:16:12Z"/>
        <d v="2026-02-24T12:34:20Z"/>
        <d v="2026-02-24T12:39:07Z"/>
        <d v="2026-02-24T13:11:44Z"/>
        <d v="2026-02-24T13:15:13Z"/>
        <d v="2026-02-24T13:16:43Z"/>
        <d v="2026-02-24T13:35:03Z"/>
        <d v="2026-02-24T15:26:59Z"/>
        <d v="2026-02-24T15:33:21Z"/>
        <d v="2026-02-24T15:41:59Z"/>
        <d v="2026-02-24T15:49:32Z"/>
        <d v="2026-02-24T17:07:30Z"/>
        <d v="2026-02-24T17:07:57Z"/>
        <d v="2026-02-24T17:09:05Z"/>
        <d v="2026-02-24T17:11:24Z"/>
        <d v="2026-02-24T17:12:57Z"/>
        <d v="2026-02-24T17:14:25Z"/>
        <d v="2026-02-24T17:15:54Z"/>
        <d v="2026-02-24T17:17:18Z"/>
        <d v="2026-02-24T17:18:49Z"/>
        <d v="2026-02-24T17:19:45Z"/>
        <d v="2026-02-24T17:21:53Z"/>
        <d v="2026-02-24T17:24:49Z"/>
        <d v="2026-02-24T17:26:22Z"/>
        <d v="2026-02-24T17:27:47Z"/>
        <d v="2026-02-24T17:29:37Z"/>
        <d v="2026-02-24T17:32:01Z"/>
        <d v="2026-02-24T17:33:30Z"/>
        <d v="2026-02-24T17:34:46Z"/>
        <d v="2026-02-24T17:35:59Z"/>
        <d v="2026-02-24T17:36:09Z"/>
        <d v="2026-02-24T17:37:23Z"/>
        <d v="2026-02-24T17:38:34Z"/>
        <d v="2026-02-24T17:40:08Z"/>
        <d v="2026-02-24T17:40:24Z"/>
        <d v="2026-02-24T17:41:25Z"/>
        <d v="2026-02-24T17:42:03Z"/>
        <d v="2026-02-24T17:42:48Z"/>
        <d v="2026-02-24T17:44:45Z"/>
        <d v="2026-02-24T17:46:04Z"/>
        <d v="2026-02-24T17:47:02Z"/>
        <d v="2026-02-24T17:48:14Z"/>
        <d v="2026-02-24T17:51:39Z"/>
        <d v="2026-02-24T17:52:08Z"/>
        <d v="2026-02-24T17:52:41Z"/>
        <d v="2026-02-24T17:53:46Z"/>
        <d v="2026-02-24T17:53:51Z"/>
        <d v="2026-02-24T17:55:06Z"/>
        <d v="2026-02-24T17:56:37Z"/>
        <d v="2026-02-24T17:59:48Z"/>
        <d v="2026-02-24T18:48:30Z"/>
        <d v="2026-02-24T18:51:18Z"/>
        <d v="2026-02-24T18:56:30Z"/>
        <d v="2026-02-24T19:04:45Z"/>
        <d v="2026-02-24T19:24:54Z"/>
        <d v="2026-02-24T19:26:37Z"/>
        <d v="2026-02-24T19:31:31Z"/>
        <d v="2026-02-24T19:36:57Z"/>
        <d v="2026-02-24T19:39:24Z"/>
        <d v="2026-02-24T19:49:18Z"/>
        <d v="2026-02-24T20:02:01Z"/>
        <d v="2026-02-24T21:24:43Z"/>
        <d v="2026-02-24T21:26:04Z"/>
        <d v="2026-02-24T21:27:25Z"/>
        <d v="2026-02-24T21:28:46Z"/>
        <d v="2026-02-24T21:29:56Z"/>
        <d v="2026-02-24T21:31:09Z"/>
        <d v="2026-02-24T21:41:29Z"/>
        <d v="2026-02-24T21:50:34Z"/>
        <d v="2026-02-24T21:52:38Z"/>
        <d v="2026-02-24T21:55:19Z"/>
        <d v="2026-02-24T21:55:57Z"/>
        <d v="2026-02-24T21:58:18Z"/>
        <d v="2026-02-24T21:59:55Z"/>
        <d v="2026-02-24T22:01:35Z"/>
        <d v="2026-02-24T22:08:17Z"/>
        <d v="2026-02-24T22:40:53Z"/>
        <d v="2026-02-24T23:23:35Z"/>
        <d v="2026-02-24T23:28:31Z"/>
        <d v="2026-02-24T23:33:53Z"/>
        <d v="2026-02-24T23:48:45Z"/>
        <d v="2026-02-24T23:54:54Z"/>
        <d v="2026-02-25T00:02:47Z"/>
        <d v="2026-02-25T00:06:10Z"/>
        <d v="2026-02-25T00:10:28Z"/>
        <d v="2026-02-25T07:48:56Z"/>
        <d v="2026-02-25T07:51:02Z"/>
        <d v="2026-02-25T07:52:30Z"/>
        <d v="2026-02-25T07:55:08Z"/>
        <d v="2026-02-25T10:08:37Z"/>
        <d v="2026-02-25T10:11:42Z"/>
        <d v="2026-02-25T10:20:37Z"/>
        <d v="2026-02-25T12:13:28Z"/>
        <d v="2026-02-25T12:41:23Z"/>
        <d v="2026-02-25T12:57:48Z"/>
        <d v="2026-02-25T13:34:10Z"/>
        <d v="2026-02-25T13:53:33Z"/>
        <d v="2026-02-25T14:02:27Z"/>
        <d v="2026-02-25T14:17:23Z"/>
        <d v="2026-02-25T14:39:18Z"/>
        <d v="2026-02-25T17:06:08Z"/>
        <d v="2026-02-25T17:09:44Z"/>
        <d v="2026-02-25T17:14:22Z"/>
        <d v="2026-02-25T17:15:09Z"/>
        <d v="2026-02-25T17:16:58Z"/>
        <d v="2026-02-25T17:20:09Z"/>
        <d v="2026-02-25T17:21:16Z"/>
        <d v="2026-02-25T17:22:13Z"/>
        <d v="2026-02-25T17:25:23Z"/>
        <d v="2026-02-25T17:29:08Z"/>
        <d v="2026-02-25T17:31:11Z"/>
        <d v="2026-02-25T17:47:55Z"/>
        <d v="2026-02-25T17:51:21Z"/>
        <d v="2026-02-25T17:55:44Z"/>
        <d v="2026-02-25T17:59:03Z"/>
        <d v="2026-02-25T17:59:53Z"/>
        <d v="2026-02-25T18:11:41Z"/>
        <d v="2026-02-25T19:00:24Z"/>
        <d v="2026-02-25T19:17:16Z"/>
        <d v="2026-02-25T19:20:47Z"/>
        <d v="2026-02-25T19:31:26Z"/>
        <d v="2026-02-25T19:33:43Z"/>
        <d v="2026-02-25T19:42:55Z"/>
        <d v="2026-02-25T19:49:52Z"/>
        <d v="2026-02-25T19:58:43Z"/>
        <d v="2026-02-25T20:10:45Z"/>
        <d v="2026-02-25T21:06:49Z"/>
        <d v="2026-02-25T21:08:36Z"/>
        <d v="2026-02-25T21:09:56Z"/>
        <d v="2026-02-25T21:11:21Z"/>
        <d v="2026-02-25T21:13:05Z"/>
        <d v="2026-02-25T21:14:20Z"/>
        <d v="2026-02-25T21:15:59Z"/>
        <d v="2026-02-25T21:17:57Z"/>
        <d v="2026-02-25T21:20:37Z"/>
        <d v="2026-02-25T21:22:17Z"/>
        <d v="2026-02-25T21:24:06Z"/>
        <d v="2026-02-25T21:25:48Z"/>
        <d v="2026-02-25T21:27:08Z"/>
        <d v="2026-02-25T21:29:12Z"/>
        <d v="2026-02-25T21:30:43Z"/>
        <d v="2026-02-25T21:52:01Z"/>
        <d v="2026-02-25T21:55:00Z"/>
        <d v="2026-02-25T21:56:20Z"/>
        <d v="2026-02-25T21:59:38Z"/>
        <d v="2026-02-25T22:02:16Z"/>
        <d v="2026-02-25T22:03:33Z"/>
        <d v="2026-02-25T22:07:12Z"/>
        <d v="2026-02-25T22:09:22Z"/>
        <d v="2026-02-25T22:11:58Z"/>
        <d v="2026-02-25T22:13:44Z"/>
        <d v="2026-02-25T22:18:28Z"/>
        <d v="2026-02-25T22:21:29Z"/>
        <d v="2026-02-25T22:22:36Z"/>
        <d v="2026-02-25T22:25:16Z"/>
        <d v="2026-02-25T22:27:36Z"/>
        <d v="2026-02-25T22:27:45Z"/>
        <d v="2026-02-25T22:30:15Z"/>
        <d v="2026-02-25T22:32:40Z"/>
        <d v="2026-02-25T22:35:20Z"/>
        <d v="2026-02-25T22:36:09Z"/>
        <d v="2026-02-25T22:36:55Z"/>
        <d v="2026-02-25T22:38:24Z"/>
        <d v="2026-02-25T22:39:15Z"/>
        <d v="2026-02-25T22:39:44Z"/>
        <d v="2026-02-25T22:41:03Z"/>
        <d v="2026-02-25T22:41:10Z"/>
        <d v="2026-02-25T22:42:42Z"/>
        <d v="2026-02-25T22:43:56Z"/>
        <d v="2026-02-25T22:45:52Z"/>
        <d v="2026-02-25T22:47:48Z"/>
        <d v="2026-02-25T23:03:28Z"/>
        <d v="2026-02-25T23:09:17Z"/>
        <d v="2026-02-25T23:29:50Z"/>
        <d v="2026-02-25T23:37:14Z"/>
        <d v="2026-02-25T23:41:16Z"/>
        <d v="2026-02-25T23:51:36Z"/>
        <d v="2026-02-25T23:57:00Z"/>
        <d v="2026-02-25T23:59:42Z"/>
        <d v="2026-02-26T00:04:05Z"/>
        <d v="2026-02-26T00:07:50Z"/>
        <d v="2026-02-26T00:14:24Z"/>
        <d v="2026-02-26T00:25:36Z"/>
        <d v="2026-02-26T00:33:12Z"/>
        <d v="2026-02-26T00:37:41Z"/>
        <d v="2026-02-26T00:45:23Z"/>
        <d v="2026-02-26T00:57:33Z"/>
        <d v="2026-02-26T01:04:53Z"/>
        <d v="2026-02-26T01:20:51Z"/>
        <d v="2026-02-26T08:22:29Z"/>
        <d v="2026-02-26T10:36:59Z"/>
        <d v="2026-02-26T10:39:04Z"/>
        <d v="2026-02-26T11:58:53Z"/>
        <d v="2026-02-26T12:01:12Z"/>
        <d v="2026-02-26T13:40:55Z"/>
        <d v="2026-02-26T14:21:39Z"/>
        <d v="2026-02-26T14:55:53Z"/>
        <d v="2026-02-26T16:47:09Z"/>
        <d v="2026-02-26T18:12:04Z"/>
        <d v="2026-02-26T18:21:04Z"/>
        <d v="2026-02-26T18:35:12Z"/>
        <d v="2026-02-26T19:02:20Z"/>
        <d v="2026-02-26T19:05:17Z"/>
        <d v="2026-02-26T19:18:00Z"/>
        <d v="2026-02-26T19:20:41Z"/>
        <d v="2026-02-26T19:23:14Z"/>
        <d v="2026-02-26T19:26:53Z"/>
        <d v="2026-02-26T19:39:01Z"/>
        <d v="2026-02-26T23:13:15Z"/>
        <d v="2026-02-26T23:17:09Z"/>
        <d v="2026-02-26T23:18:42Z"/>
        <d v="2026-02-26T23:20:19Z"/>
        <d v="2026-02-26T23:22:28Z"/>
        <d v="2026-02-26T23:23:51Z"/>
        <d v="2026-02-27T09:59:57Z"/>
        <d v="2026-02-27T10:01:43Z"/>
        <d v="2026-02-27T10:03:52Z"/>
        <d v="2026-02-27T10:09:15Z"/>
        <d v="2026-02-27T10:12:37Z"/>
        <d v="2026-02-27T11:00:33Z"/>
        <d v="2026-02-27T11:03:09Z"/>
        <d v="2026-02-27T11:04:37Z"/>
        <d v="2026-02-27T11:06:09Z"/>
        <d v="2026-02-27T11:08:03Z"/>
        <d v="2026-02-27T11:09:45Z"/>
        <d v="2026-02-27T11:11:15Z"/>
        <d v="2026-02-27T11:17:39Z"/>
        <d v="2026-02-27T11:22:02Z"/>
        <d v="2026-02-27T15:58:58Z"/>
        <d v="2026-02-27T17:27:59Z"/>
        <d v="2026-02-27T17:30:21Z"/>
        <d v="2026-02-27T17:34:16Z"/>
        <d v="2026-02-27T17:41:17Z"/>
        <d v="2026-02-27T17:45:17Z"/>
        <d v="2026-02-27T18:43:00Z"/>
        <d v="2026-02-27T18:48:02Z"/>
        <d v="2026-02-27T18:51:07Z"/>
        <d v="2026-02-28T13:29:11Z"/>
        <d v="2026-02-28T13:33:09Z"/>
        <d v="2026-02-28T13:41:18Z"/>
        <d v="2026-02-28T18:38:58Z"/>
        <d v="2026-02-28T18:42:27Z"/>
        <d v="2026-02-28T18:45:45Z"/>
        <d v="2026-02-28T18:48:14Z"/>
        <d v="2026-02-28T18:50:35Z"/>
        <d v="2026-02-28T18:52:23Z"/>
        <d v="2026-02-28T18:55:07Z"/>
        <d v="2026-02-28T19:00:06Z"/>
        <d v="2026-02-28T19:01:51Z"/>
        <d v="2026-02-28T19:03:59Z"/>
        <d v="2026-02-28T19:05:35Z"/>
        <d v="2026-03-01T13:33:00Z"/>
        <d v="2026-03-01T13:38:45Z"/>
        <d v="2026-03-01T13:44:18Z"/>
        <d v="2026-03-01T13:45:57Z"/>
        <d v="2026-03-01T13:47:35Z"/>
        <d v="2026-03-01T20:46:51Z"/>
        <d v="2026-03-01T20:54:20Z"/>
        <d v="2026-03-01T21:05:54Z"/>
        <d v="2026-03-01T21:19:16Z"/>
        <d v="2026-03-01T21:26:04Z"/>
        <d v="2026-03-01T22:36:59Z"/>
        <d v="2026-03-01T22:43:24Z"/>
        <d v="2026-03-02T09:19:16Z"/>
        <d v="2026-03-02T09:23:51Z"/>
        <d v="2026-03-02T09:24:07Z"/>
        <d v="2026-03-02T09:30:37Z"/>
        <d v="2026-03-02T09:34:53Z"/>
        <d v="2026-03-02T12:11:16Z"/>
        <d v="2026-03-02T12:25:49Z"/>
        <d v="2026-03-02T12:30:19Z"/>
        <d v="2026-03-02T12:40:13Z"/>
        <d v="2026-03-02T12:42:33Z"/>
        <d v="2026-03-02T12:47:25Z"/>
        <d v="2026-03-02T13:06:02Z"/>
        <d v="2026-03-02T13:31:03Z"/>
        <d v="2026-03-02T13:43:53Z"/>
        <d v="2026-03-02T13:58:49Z"/>
        <d v="2026-03-02T14:01:04Z"/>
        <d v="2026-03-02T14:11:31Z"/>
        <d v="2026-03-02T14:13:11Z"/>
        <d v="2026-03-02T14:16:46Z"/>
        <d v="2026-03-02T14:23:29Z"/>
        <d v="2026-03-02T14:24:03Z"/>
        <d v="2026-03-02T14:49:03Z"/>
        <d v="2026-03-02T14:50:55Z"/>
        <d v="2026-03-02T14:52:19Z"/>
        <d v="2026-03-02T14:53:28Z"/>
        <d v="2026-03-02T14:54:29Z"/>
        <d v="2026-03-02T14:56:06Z"/>
        <d v="2026-03-02T14:57:30Z"/>
        <d v="2026-03-02T15:10:03Z"/>
        <d v="2026-03-02T15:21:16Z"/>
        <d v="2026-03-02T15:23:07Z"/>
        <d v="2026-03-02T15:39:19Z"/>
        <d v="2026-03-02T15:54:24Z"/>
        <d v="2026-03-02T15:55:14Z"/>
        <d v="2026-03-02T15:56:50Z"/>
        <d v="2026-03-02T16:08:05Z"/>
        <d v="2026-03-02T16:09:31Z"/>
        <d v="2026-03-02T16:37:15Z"/>
        <d v="2026-03-02T17:00:08Z"/>
        <d v="2026-03-02T17:04:31Z"/>
        <d v="2026-03-02T17:05:25Z"/>
        <d v="2026-03-02T17:11:36Z"/>
        <d v="2026-03-02T17:20:07Z"/>
        <d v="2026-03-02T17:21:13Z"/>
        <d v="2026-03-02T17:22:16Z"/>
        <d v="2026-03-02T17:39:12Z"/>
        <d v="2026-03-02T17:40:59Z"/>
        <d v="2026-03-02T17:45:07Z"/>
        <d v="2026-03-02T17:46:23Z"/>
        <d v="2026-03-02T17:57:59Z"/>
        <d v="2026-03-02T18:00:10Z"/>
        <d v="2026-03-02T18:03:22Z"/>
        <d v="2026-03-02T18:05:47Z"/>
        <d v="2026-03-02T18:13:26Z"/>
        <d v="2026-03-02T18:26:22Z"/>
        <d v="2026-03-02T18:46:55Z"/>
        <d v="2026-03-02T18:50:39Z"/>
        <d v="2026-03-02T21:15:05Z"/>
        <d v="2026-03-02T21:17:25Z"/>
        <d v="2026-03-02T21:19:37Z"/>
        <d v="2026-03-02T21:23:29Z"/>
        <d v="2026-03-02T22:00:40Z"/>
        <d v="2026-03-02T22:02:42Z"/>
        <d v="2026-03-02T22:04:29Z"/>
        <d v="2026-03-02T22:07:59Z"/>
        <d v="2026-03-02T22:09:56Z"/>
        <d v="2026-03-02T22:11:05Z"/>
        <d v="2026-03-02T22:12:04Z"/>
        <d v="2026-03-02T22:13:14Z"/>
        <d v="2026-03-02T22:14:32Z"/>
        <d v="2026-03-02T22:30:47Z"/>
        <d v="2026-03-02T22:38:59Z"/>
        <d v="2026-03-03T11:33:32Z"/>
        <d v="2026-03-03T11:41:59Z"/>
        <d v="2026-03-03T11:43:07Z"/>
        <d v="2026-03-03T11:45:02Z"/>
        <d v="2026-03-03T11:46:31Z"/>
        <d v="2026-03-03T11:51:40Z"/>
        <d v="2026-03-03T11:53:06Z"/>
        <d v="2026-03-03T11:57:16Z"/>
        <d v="2026-03-03T12:17:03Z"/>
        <d v="2026-03-03T13:16:36Z"/>
        <d v="2026-03-03T13:17:44Z"/>
        <d v="2026-03-03T13:36:40Z"/>
        <d v="2026-03-03T13:43:36Z"/>
        <d v="2026-03-03T14:00:28Z"/>
        <d v="2026-03-03T14:19:26Z"/>
        <d v="2026-03-03T14:29:25Z"/>
        <d v="2026-03-03T15:23:22Z"/>
        <d v="2026-03-03T15:24:37Z"/>
        <d v="2026-03-03T15:25:40Z"/>
        <d v="2026-03-03T15:40:21Z"/>
        <d v="2026-03-03T16:02:54Z"/>
        <d v="2026-03-03T16:31:43Z"/>
        <d v="2026-03-03T16:33:33Z"/>
        <d v="2026-03-03T16:35:49Z"/>
        <d v="2026-03-03T16:37:13Z"/>
        <d v="2026-03-03T16:38:48Z"/>
        <d v="2026-03-03T16:40:23Z"/>
        <d v="2026-03-03T16:44:29Z"/>
        <d v="2026-03-03T16:46:26Z"/>
        <d v="2026-03-03T16:47:32Z"/>
        <d v="2026-03-03T18:24:47Z"/>
        <d v="2026-03-03T18:27:31Z"/>
        <d v="2026-03-03T18:30:09Z"/>
        <d v="2026-03-03T18:32:37Z"/>
        <d v="2026-03-03T18:35:23Z"/>
        <d v="2026-03-03T20:32:48Z"/>
        <d v="2026-03-03T20:35:28Z"/>
        <d v="2026-03-04T10:42:56Z"/>
        <d v="2026-03-04T10:45:43Z"/>
        <d v="2026-03-04T10:48:43Z"/>
        <d v="2026-03-04T10:52:32Z"/>
        <d v="2026-03-04T10:56:20Z"/>
        <d v="2026-03-04T10:59:15Z"/>
        <d v="2026-03-04T11:01:32Z"/>
        <d v="2026-03-04T11:03:48Z"/>
        <d v="2026-03-04T11:50:02Z"/>
        <d v="2026-03-04T23:24:16Z"/>
        <d v="2026-03-04T23:25:28Z"/>
        <d v="2026-03-04T23:26:12Z"/>
        <d v="2026-03-04T23:27:14Z"/>
        <d v="2026-03-04T23:28:51Z"/>
        <d v="2026-03-04T23:30:16Z"/>
        <d v="2026-03-04T23:31:50Z"/>
        <d v="2026-03-04T23:33:04Z"/>
        <d v="2026-03-04T23:34:43Z"/>
        <d v="2026-03-04T23:36:17Z"/>
        <d v="2026-03-04T23:37:50Z"/>
        <d v="2026-03-04T23:38:42Z"/>
        <d v="2026-03-04T23:39:21Z"/>
        <d v="2026-03-04T23:40:14Z"/>
        <d v="2026-03-04T23:40:47Z"/>
        <d v="2026-03-04T23:42:05Z"/>
        <d v="2026-03-04T23:45:24Z"/>
        <d v="2026-03-04T23:46:21Z"/>
        <d v="2026-03-04T23:47:23Z"/>
        <d v="2026-03-04T23:48:37Z"/>
        <d v="2026-03-04T23:50:10Z"/>
        <d v="2026-03-04T23:51:19Z"/>
        <d v="2026-03-05T14:18:52Z"/>
        <d v="2026-03-05T14:25:59Z"/>
        <d v="2026-03-05T14:28:55Z"/>
        <d v="2026-03-05T14:35:45Z"/>
        <d v="2026-03-05T14:45:02Z"/>
        <d v="2026-03-05T14:55:59Z"/>
        <d v="2026-03-05T14:59:37Z"/>
        <d v="2026-03-05T15:01:23Z"/>
        <d v="2026-03-05T15:17:27Z"/>
        <d v="2026-03-05T15:19:10Z"/>
        <d v="2026-03-05T15:21:08Z"/>
        <d v="2026-03-05T15:22:45Z"/>
        <d v="2026-03-05T15:28:45Z"/>
        <d v="2026-03-05T15:29:54Z"/>
        <d v="2026-03-05T15:37:58Z"/>
        <d v="2026-03-05T15:43:15Z"/>
        <d v="2026-03-05T15:49:16Z"/>
        <d v="2026-03-05T15:51:42Z"/>
        <d v="2026-03-05T16:00:13Z"/>
        <d v="2026-03-05T16:01:24Z"/>
        <d v="2026-03-05T16:01:39Z"/>
        <d v="2026-03-05T16:03:16Z"/>
        <d v="2026-03-05T16:07:14Z"/>
        <d v="2026-03-05T16:08:09Z"/>
        <d v="2026-03-05T16:09:57Z"/>
        <d v="2026-03-05T16:12:43Z"/>
        <d v="2026-03-05T16:20:03Z"/>
        <d v="2026-03-05T16:21:37Z"/>
        <d v="2026-03-05T16:25:51Z"/>
        <d v="2026-03-05T16:26:50Z"/>
        <d v="2026-03-05T21:32:14Z"/>
        <d v="2026-03-05T21:33:13Z"/>
        <d v="2026-03-05T21:34:51Z"/>
        <d v="2026-03-05T21:35:41Z"/>
        <d v="2026-03-05T21:36:51Z"/>
        <d v="2026-03-05T21:38:45Z"/>
        <d v="2026-03-05T21:40:07Z"/>
        <d v="2026-03-05T21:48:04Z"/>
        <d v="2026-03-05T21:49:56Z"/>
        <d v="2026-03-05T21:52:49Z"/>
        <d v="2026-03-05T23:31:37Z"/>
        <d v="2026-03-05T23:34:24Z"/>
        <d v="2026-03-05T23:36:18Z"/>
        <d v="2026-03-05T23:38:26Z"/>
        <d v="2026-03-05T23:40:18Z"/>
        <d v="2026-03-06T16:45:50Z"/>
        <d v="2026-03-05T23:43:42Z"/>
        <d v="2026-03-05T23:41:58Z"/>
        <d v="2026-03-05T23:46:20Z"/>
        <d v="2026-03-06T00:09:28Z"/>
        <d v="2026-03-06T10:34:33Z"/>
        <d v="2026-03-06T10:44:18Z"/>
        <d v="2026-03-06T10:48:13Z"/>
        <d v="2026-03-06T12:45:08Z"/>
        <d v="2026-03-06T13:06:34Z"/>
        <d v="2026-03-06T13:09:32Z"/>
        <d v="2026-03-06T13:11:19Z"/>
        <d v="2026-03-06T13:37:03Z"/>
        <d v="2026-03-06T15:46:14Z"/>
        <d v="2026-03-06T15:48:38Z"/>
        <d v="2026-03-06T16:16:50Z"/>
        <d v="2026-03-05T23:58:03Z"/>
        <d v="2026-03-06T16:48:11Z"/>
        <d v="2026-03-06T17:01:17Z"/>
        <d v="2026-03-06T17:07:59Z"/>
        <d v="2026-03-06T17:18:25Z"/>
        <d v="2026-03-06T17:26:08Z"/>
        <d v="2026-03-06T19:00:36Z"/>
        <d v="2026-03-06T19:01:55Z"/>
        <d v="2026-03-06T19:01:57Z"/>
        <d v="2026-03-06T19:02:40Z"/>
        <d v="2026-03-06T19:03:18Z"/>
        <d v="2026-03-06T19:04:09Z"/>
        <d v="2026-03-06T19:05:01Z"/>
        <d v="2026-03-06T19:06:19Z"/>
        <d v="2026-03-06T19:07:58Z"/>
        <d v="2026-03-06T19:08:19Z"/>
        <d v="2026-03-06T19:09:11Z"/>
        <d v="2026-03-06T19:10:07Z"/>
        <d v="2026-03-06T19:11:14Z"/>
        <d v="2026-03-06T19:12:47Z"/>
        <d v="2026-03-06T19:14:35Z"/>
        <d v="2026-03-06T19:14:39Z"/>
        <d v="2026-03-06T19:15:29Z"/>
        <d v="2026-03-06T19:16:06Z"/>
        <d v="2026-03-06T19:18:54Z"/>
        <d v="2026-03-06T19:20:24Z"/>
        <d v="2026-03-06T19:21:55Z"/>
        <d v="2026-03-06T19:22:44Z"/>
        <d v="2026-03-06T19:23:26Z"/>
        <d v="2026-03-06T19:24:15Z"/>
        <d v="2026-03-06T19:24:49Z"/>
        <d v="2026-03-06T19:25:26Z"/>
        <d v="2026-03-06T19:25:47Z"/>
        <d v="2026-03-06T19:26:24Z"/>
        <d v="2026-03-06T19:27:07Z"/>
        <d v="2026-03-06T19:27:49Z"/>
        <d v="2026-03-06T20:33:27Z"/>
        <d v="2026-03-06T20:37:47Z"/>
        <d v="2026-03-06T20:52:59Z"/>
        <d v="2026-03-06T21:04:35Z"/>
        <d v="2026-03-07T08:55:39Z"/>
        <d v="2026-03-07T08:57:40Z"/>
        <d v="2026-03-07T08:58:27Z"/>
        <d v="2026-03-07T09:58:15Z"/>
        <d v="2026-03-07T09:00:27Z"/>
        <d v="2026-03-07T09:01:28Z"/>
        <d v="2026-03-07T09:02:47Z"/>
        <d v="2026-03-07T10:03:40Z"/>
        <d v="2026-03-07T10:08:07Z"/>
        <d v="2026-03-07T10:13:18Z"/>
        <d v="2026-03-07T12:15:32Z"/>
        <d v="2026-03-07T08:59:29Z"/>
        <d v="2026-03-07T11:11:33Z"/>
        <d v="2026-03-07T09:04:03Z"/>
        <d v="2026-03-07T13:42:53Z"/>
        <d v="2026-03-07T14:24:56Z"/>
        <d v="2026-03-08T10:48:00Z"/>
        <d v="2026-03-08T10:52:01Z"/>
        <d v="2026-03-08T10:57:34Z"/>
        <d v="2026-03-08T11:00:44Z"/>
        <d v="2026-03-08T11:03:13Z"/>
        <d v="2026-03-08T11:06:26Z"/>
        <d v="2026-03-08T11:09:10Z"/>
        <d v="2026-03-08T20:24:52Z"/>
        <d v="2026-03-09T15:35:03Z"/>
        <d v="2026-03-09T16:25:26Z"/>
        <d v="2026-03-09T16:26:59Z"/>
        <d v="2026-03-09T16:28:29Z"/>
        <d v="2026-03-09T16:29:32Z"/>
        <d v="2026-03-09T16:31:01Z"/>
        <d v="2026-03-09T16:32:21Z"/>
        <d v="2026-03-09T16:34:10Z"/>
        <d v="2026-03-09T16:36:35Z"/>
        <d v="2026-03-09T16:38:12Z"/>
        <d v="2026-03-09T16:45:37Z"/>
        <d v="2026-03-09T18:00:27Z"/>
        <d v="2026-03-09T18:01:42Z"/>
        <d v="2026-03-09T18:05:45Z"/>
        <d v="2026-03-09T20:58:55Z"/>
        <d v="2026-03-09T21:00:23Z"/>
        <d v="2026-03-09T21:01:56Z"/>
        <d v="2026-03-09T21:03:39Z"/>
        <d v="2026-03-09T21:05:35Z"/>
        <d v="2026-03-09T21:10:25Z"/>
        <d v="2026-03-09T21:11:44Z"/>
        <d v="2026-03-09T21:15:40Z"/>
        <d v="2026-03-09T21:22:15Z"/>
        <d v="2026-03-09T21:23:24Z"/>
        <d v="2026-03-09T21:24:51Z"/>
        <d v="2026-03-09T21:26:42Z"/>
        <d v="2026-03-09T21:51:04Z"/>
        <d v="2026-03-09T21:56:54Z"/>
        <d v="2026-03-09T22:03:54Z"/>
        <d v="2026-03-09T22:10:08Z"/>
        <d v="2026-03-09T22:52:24Z"/>
        <d v="2026-03-09T22:54:56Z"/>
        <d v="2026-03-09T22:56:35Z"/>
        <d v="2026-03-09T22:58:05Z"/>
        <d v="2026-03-09T22:59:58Z"/>
        <d v="2026-03-09T23:02:17Z"/>
        <d v="2026-03-09T23:05:20Z"/>
        <d v="2026-03-10T11:47:30Z"/>
        <d v="2026-03-10T11:49:45Z"/>
        <d v="2026-03-10T12:11:07Z"/>
        <d v="2026-03-10T12:25:34Z"/>
        <d v="2026-03-10T13:45:58Z"/>
        <d v="2026-03-10T14:06:46Z"/>
        <d v="2026-03-10T14:20:08Z"/>
        <d v="2026-03-10T14:59:34Z"/>
        <d v="2026-03-10T15:03:14Z"/>
        <d v="2026-03-10T15:06:12Z"/>
        <d v="2026-03-10T15:09:27Z"/>
        <d v="2026-03-10T15:12:09Z"/>
        <d v="2026-03-10T18:32:13Z"/>
        <d v="2026-03-10T18:36:43Z"/>
        <d v="2026-03-10T18:41:24Z"/>
        <d v="2026-03-10T18:42:53Z"/>
        <d v="2026-03-10T18:44:44Z"/>
        <d v="2026-03-10T18:48:28Z"/>
        <d v="2026-03-10T21:33:21Z"/>
        <d v="2026-03-10T21:35:34Z"/>
        <d v="2026-03-10T21:37:33Z"/>
        <d v="2026-03-10T21:38:57Z"/>
        <d v="2026-03-10T21:40:15Z"/>
        <d v="2026-03-10T22:28:39Z"/>
        <d v="2026-03-10T22:30:00Z"/>
        <d v="2026-03-10T22:31:45Z"/>
        <d v="2026-03-10T22:35:01Z"/>
        <d v="2026-03-10T22:36:52Z"/>
        <d v="2026-03-10T22:38:06Z"/>
        <d v="2026-03-10T22:39:39Z"/>
        <d v="2026-03-10T22:41:11Z"/>
        <d v="2026-03-10T22:42:52Z"/>
        <d v="2026-03-10T22:44:10Z"/>
        <d v="2026-03-10T22:58:34Z"/>
        <d v="2026-03-10T23:03:37Z"/>
        <d v="2026-03-11T11:21:31Z"/>
        <d v="2026-03-11T11:22:22Z"/>
        <d v="2026-03-11T11:23:24Z"/>
        <d v="2026-03-11T11:24:22Z"/>
        <d v="2026-03-11T11:25:10Z"/>
        <d v="2026-03-11T11:25:49Z"/>
        <d v="2026-03-11T11:26:59Z"/>
        <d v="2026-03-11T11:28:20Z"/>
        <d v="2026-03-11T11:29:29Z"/>
        <d v="2026-03-11T11:30:23Z"/>
        <d v="2026-03-11T11:31:26Z"/>
        <d v="2026-03-11T11:32:45Z"/>
        <d v="2026-03-11T11:33:59Z"/>
        <d v="2026-03-11T11:35:06Z"/>
        <d v="2026-03-11T11:36:08Z"/>
        <d v="2026-03-11T11:37:21Z"/>
        <d v="2026-03-11T11:38:31Z"/>
        <d v="2026-03-11T11:40:00Z"/>
        <d v="2026-03-11T11:41:35Z"/>
        <d v="2026-03-11T11:43:35Z"/>
        <d v="2026-03-11T11:44:27Z"/>
        <d v="2026-03-11T11:45:55Z"/>
        <d v="2026-03-11T11:50:41Z"/>
        <d v="2026-03-11T11:52:08Z"/>
        <d v="2026-03-11T11:53:18Z"/>
        <d v="2026-03-11T11:54:52Z"/>
        <d v="2026-03-11T11:55:35Z"/>
        <d v="2026-03-11T11:57:22Z"/>
        <d v="2026-03-11T11:58:23Z"/>
        <d v="2026-03-11T11:59:10Z"/>
        <d v="2026-03-11T11:59:53Z"/>
        <d v="2026-03-11T12:00:54Z"/>
        <d v="2026-03-11T12:01:36Z"/>
        <d v="2026-03-11T12:08:36Z"/>
        <d v="2026-03-11T12:10:26Z"/>
        <d v="2026-03-11T12:11:09Z"/>
        <d v="2026-03-11T12:12:39Z"/>
        <d v="2026-03-11T12:13:59Z"/>
        <d v="2026-03-11T12:14:52Z"/>
        <d v="2026-03-11T12:15:53Z"/>
        <d v="2026-03-11T12:17:09Z"/>
        <d v="2026-03-11T12:18:16Z"/>
        <d v="2026-03-11T12:20:07Z"/>
        <d v="2026-03-11T12:20:53Z"/>
        <d v="2026-03-11T12:21:56Z"/>
        <d v="2026-03-11T14:09:01Z"/>
        <d v="2026-03-11T14:09:56Z"/>
        <d v="2026-03-11T14:11:06Z"/>
        <d v="2026-03-11T14:33:47Z"/>
        <d v="2026-03-11T14:38:01Z"/>
        <d v="2026-03-11T15:26:15Z"/>
        <d v="2026-03-11T15:29:18Z"/>
        <d v="2026-03-11T15:30:47Z"/>
        <d v="2026-03-11T16:54:23Z"/>
        <d v="2026-03-11T16:58:53Z"/>
        <d v="2026-03-11T16:59:58Z"/>
        <d v="2026-03-11T17:00:02Z"/>
        <d v="2026-03-11T17:01:33Z"/>
        <d v="2026-03-11T17:02:53Z"/>
        <d v="2026-03-11T17:04:44Z"/>
        <d v="2026-03-11T17:05:58Z"/>
        <d v="2026-03-11T17:07:48Z"/>
        <d v="2026-03-11T17:11:20Z"/>
        <d v="2026-03-11T17:13:18Z"/>
        <d v="2026-03-11T17:15:18Z"/>
        <d v="2026-03-11T17:16:49Z"/>
        <d v="2026-03-11T17:18:39Z"/>
        <d v="2026-03-11T20:00:03Z"/>
        <d v="2026-03-11T20:02:23Z"/>
        <d v="2026-03-11T20:03:29Z"/>
        <d v="2026-03-11T20:04:54Z"/>
        <d v="2026-03-11T20:06:53Z"/>
        <d v="2026-03-11T20:08:59Z"/>
        <d v="2026-03-11T20:10:21Z"/>
        <d v="2026-03-11T20:12:27Z"/>
        <d v="2026-03-11T20:14:08Z"/>
        <d v="2026-03-11T22:39:42Z"/>
        <d v="2026-03-11T22:41:46Z"/>
        <d v="2026-03-11T22:43:12Z"/>
        <d v="2026-03-11T22:44:28Z"/>
        <d v="2026-03-11T22:46:57Z"/>
        <d v="2026-03-11T22:48:34Z"/>
        <d v="2026-03-11T22:51:38Z"/>
        <d v="2026-03-11T22:56:12Z"/>
        <d v="2026-03-12T00:19:23Z"/>
        <d v="2026-03-12T00:21:55Z"/>
        <d v="2026-03-12T00:25:56Z"/>
        <d v="2026-03-12T00:31:08Z"/>
        <d v="2026-03-12T00:35:14Z"/>
        <d v="2026-03-12T00:38:35Z"/>
        <d v="2026-03-12T00:42:56Z"/>
        <d v="2026-03-12T00:47:25Z"/>
        <d v="2026-03-12T00:49:27Z"/>
        <d v="2026-03-12T09:27:08Z"/>
        <d v="2026-03-12T09:28:05Z"/>
        <d v="2026-03-12T09:29:23Z"/>
        <d v="2026-03-12T09:30:32Z"/>
        <d v="2026-03-12T09:32:23Z"/>
        <d v="2026-03-12T10:13:32Z"/>
        <d v="2026-03-17T10:59:04Z"/>
        <d v="2026-03-17T11:00:07Z"/>
        <d v="2026-03-17T11:00:43Z"/>
        <d v="2026-03-17T11:01:46Z"/>
        <d v="2026-03-17T11:03:21Z"/>
        <d v="2026-03-17T11:05:25Z"/>
        <d v="2026-03-17T11:08:12Z"/>
        <d v="2026-03-17T11:10:51Z"/>
        <d v="2026-03-17T12:47:54Z"/>
        <d v="2026-03-17T12:52:31Z"/>
        <d v="2026-03-17T12:55:39Z"/>
        <d v="2026-03-17T12:58:23Z"/>
        <d v="2026-03-17T13:37:31Z"/>
        <d v="2026-03-17T13:40:22Z"/>
        <d v="2026-03-17T13:50:47Z"/>
        <d v="2026-03-17T13:57:01Z"/>
        <d v="2026-03-17T14:24:27Z"/>
        <d v="2026-03-17T20:42:20Z"/>
        <d v="2026-03-17T20:43:51Z"/>
        <d v="2026-03-17T21:32:12Z"/>
        <d v="2026-03-17T21:34:48Z"/>
        <d v="2026-03-17T21:59:35Z"/>
        <d v="2026-03-17T22:03:16Z"/>
        <d v="2026-03-17T22:05:19Z"/>
        <d v="2026-03-17T22:06:48Z"/>
        <d v="2026-03-17T22:11:39Z"/>
        <d v="2026-03-17T22:13:14Z"/>
        <d v="2026-03-17T22:14:54Z"/>
        <d v="2026-03-17T22:16:23Z"/>
        <d v="2026-03-17T22:18:33Z"/>
        <d v="2026-03-17T22:20:25Z"/>
        <d v="2026-03-17T22:21:53Z"/>
        <d v="2026-03-17T22:22:52Z"/>
        <d v="2026-03-17T22:50:12Z"/>
        <d v="2026-03-17T22:52:28Z"/>
        <d v="2026-03-17T22:54:30Z"/>
        <d v="2026-03-17T22:57:58Z"/>
        <d v="2026-03-17T23:00:13Z"/>
        <d v="2026-03-17T23:01:55Z"/>
        <d v="2026-03-17T23:04:03Z"/>
        <d v="2026-03-18T10:00:55Z"/>
        <d v="2026-03-18T13:01:38Z"/>
        <d v="2026-03-18T13:04:00Z"/>
        <d v="2026-03-18T13:06:06Z"/>
        <d v="2026-03-18T13:25:30Z"/>
        <d v="2026-03-18T13:27:52Z"/>
        <d v="2026-03-18T13:30:57Z"/>
        <d v="2026-03-18T13:33:32Z"/>
        <d v="2026-03-18T14:29:37Z"/>
        <d v="2026-03-18T15:36:42Z"/>
        <d v="2026-03-18T16:00:25Z"/>
        <d v="2026-03-18T16:02:31Z"/>
        <d v="2026-03-18T16:04:32Z"/>
        <d v="2026-03-18T16:06:28Z"/>
        <d v="2026-03-18T16:23:00Z"/>
        <d v="2026-03-18T16:25:42Z"/>
        <d v="2026-03-18T16:27:39Z"/>
        <d v="2026-03-18T16:29:42Z"/>
      </sharedItems>
    </cacheField>
    <cacheField name="Date">
      <sharedItems containsDate="1" containsString="0" containsBlank="1" containsMixedTypes="1">
        <m/>
        <d v="2022-01-16T00:00:00Z"/>
        <d v="2026-02-03T00:00:00Z"/>
        <d v="2026-02-02T00:00:00Z"/>
        <d v="2026-02-04T00:00:00Z"/>
        <d v="2026-02-05T00:00:00Z"/>
        <d v="2026-06-02T00:00:00Z"/>
        <d v="2026-02-06T00:00:00Z"/>
        <d v="2026-02-09T00:00:00Z"/>
        <d v="2026-02-10T00:00:00Z"/>
        <d v="2026-02-11T00:00:00Z"/>
        <d v="2026-01-31T00:00:00Z"/>
        <d v="2026-02-07T00:00:00Z"/>
        <d v="2026-02-12T00:00:00Z"/>
        <d v="2026-02-13T00:00:00Z"/>
        <d v="2026-02-19T00:00:00Z"/>
        <d v="2026-02-16T00:00:00Z"/>
        <d v="2026-02-14T00:00:00Z"/>
        <n v="-684419.0"/>
        <d v="2026-02-25T00:00:00Z"/>
        <d v="2026-02-17T00:00:00Z"/>
        <d v="2026-02-18T00:00:00Z"/>
        <d v="2026-02-20T00:00:00Z"/>
        <n v="-319170.0"/>
        <d v="2026-02-21T00:00:00Z"/>
        <d v="2026-02-23T00:00:00Z"/>
        <d v="2026-02-24T00:00:00Z"/>
        <d v="2026-04-24T00:00:00Z"/>
        <d v="2026-02-26T00:00:00Z"/>
        <d v="2026-02-27T00:00:00Z"/>
        <d v="2026-03-27T00:00:00Z"/>
        <d v="2026-02-28T00:00:00Z"/>
        <d v="2026-03-02T00:00:00Z"/>
        <d v="2026-03-03T00:00:00Z"/>
        <d v="2026-03-05T00:00:00Z"/>
        <d v="2026-03-06T00:00:00Z"/>
        <d v="2026-03-08T00:00:00Z"/>
        <d v="2026-03-09T00:00:00Z"/>
        <d v="2026-03-10T00:00:00Z"/>
        <d v="2026-03-11T00:00:00Z"/>
        <d v="2026-03-16T00:00:00Z"/>
        <d v="2026-03-17T00:00:00Z"/>
        <d v="2026-03-18T00:00:00Z"/>
      </sharedItems>
    </cacheField>
    <cacheField name="Time" numFmtId="0">
      <sharedItems containsDate="1" containsString="0" containsBlank="1">
        <m/>
        <d v="1899-12-30T10:11:00Z"/>
        <d v="1899-12-30T16:00:00Z"/>
        <d v="1899-12-30T15:30:00Z"/>
        <d v="1899-12-30T18:00:00Z"/>
        <d v="1899-12-30T05:45:00Z"/>
        <d v="1899-12-30T03:00:00Z"/>
        <d v="1899-12-30T21:52:00Z"/>
        <d v="1899-12-30T22:24:00Z"/>
        <d v="1899-12-30T22:44:00Z"/>
        <d v="1899-12-30T15:00:00Z"/>
        <d v="1899-12-30T19:29:00Z"/>
        <d v="1899-12-30T17:35:00Z"/>
        <d v="1899-12-30T19:00:00Z"/>
        <d v="1899-12-30T13:00:00Z"/>
        <d v="1899-12-30T12:00:00Z"/>
        <d v="1899-12-30T12:13:00Z"/>
        <d v="1899-12-30T16:32:00Z"/>
        <d v="1899-12-30T20:00:00Z"/>
        <d v="1899-12-30T13:46:00Z"/>
        <d v="1899-12-30T13:30:00Z"/>
        <d v="1899-12-30T14:30:00Z"/>
        <d v="1899-12-30T11:30:00Z"/>
        <d v="1899-12-30T12:30:00Z"/>
        <d v="1899-12-30T10:55:00Z"/>
        <d v="1899-12-30T14:00:00Z"/>
        <d v="1899-12-30T15:35:00Z"/>
        <d v="1899-12-30T16:07:00Z"/>
        <d v="1899-12-30T17:00:00Z"/>
        <d v="1899-12-30T01:00:00Z"/>
        <d v="1899-12-30T10:00:00Z"/>
        <d v="1899-12-30T02:30:00Z"/>
        <d v="1899-12-30T14:45:00Z"/>
        <d v="1899-12-30T16:10:00Z"/>
        <d v="1899-12-30T12:10:00Z"/>
        <d v="1899-12-30T16:06:00Z"/>
        <d v="1899-12-30T11:00:00Z"/>
        <d v="1899-12-30T13:05:00Z"/>
        <d v="1899-12-30T14:09:00Z"/>
        <d v="1899-12-30T15:33:00Z"/>
        <d v="1899-12-30T01:30:00Z"/>
        <d v="1899-12-30T05:50:00Z"/>
        <d v="1899-12-30T17:30:00Z"/>
        <d v="1899-12-30T11:45:00Z"/>
        <d v="1899-12-30T12:14:00Z"/>
        <d v="1899-12-30T12:34:00Z"/>
        <d v="1899-12-30T12:25:00Z"/>
        <d v="1899-12-30T02:00:00Z"/>
        <d v="1899-12-30T12:40:00Z"/>
        <d v="1899-12-30T12:55:00Z"/>
        <d v="1899-12-30T12:58:00Z"/>
        <d v="1899-12-30T12:45:00Z"/>
        <d v="1899-12-30T13:35:00Z"/>
        <d v="1899-12-30T14:20:00Z"/>
        <d v="1899-12-30T14:10:00Z"/>
        <d v="1899-12-30T15:14:00Z"/>
        <d v="1899-12-30T15:20:00Z"/>
        <d v="1899-12-30T04:00:00Z"/>
        <d v="1899-12-30T04:30:00Z"/>
        <d v="1899-12-30T16:25:00Z"/>
        <d v="1899-12-30T17:08:00Z"/>
        <d v="1899-12-30T17:15:00Z"/>
        <d v="1899-12-30T17:25:00Z"/>
        <d v="1899-12-30T17:28:00Z"/>
        <d v="1899-12-30T00:43:00Z"/>
        <d v="1899-12-30T13:10:00Z"/>
        <d v="1899-12-30T13:17:00Z"/>
        <d v="1899-12-30T14:16:00Z"/>
        <d v="1899-12-30T14:02:00Z"/>
        <d v="1899-12-30T12:18:00Z"/>
        <d v="1899-12-30T12:19:00Z"/>
        <d v="1899-12-30T00:30:00Z"/>
        <d v="1899-12-30T11:53:00Z"/>
        <d v="1899-12-30T00:37:00Z"/>
        <d v="1899-12-30T13:11:00Z"/>
        <d v="1899-12-30T12:50:00Z"/>
        <d v="1899-12-30T13:04:00Z"/>
        <d v="1899-12-30T13:45:00Z"/>
        <d v="1899-12-30T14:58:00Z"/>
        <d v="1899-12-30T15:49:00Z"/>
        <d v="1899-12-30T14:50:00Z"/>
        <d v="1899-12-30T13:36:00Z"/>
        <d v="1899-12-30T17:50:00Z"/>
        <d v="1899-12-30T20:12:00Z"/>
        <d v="1899-12-30T01:04:00Z"/>
        <d v="1899-12-30T01:12:00Z"/>
        <d v="1899-12-30T01:40:00Z"/>
        <d v="1899-12-30T01:47:00Z"/>
        <d v="1899-12-30T05:54:00Z"/>
        <d v="1899-12-30T05:30:00Z"/>
        <d v="1899-12-30T22:00:00Z"/>
        <d v="1899-12-30T14:38:00Z"/>
        <d v="1899-12-30T14:46:00Z"/>
        <d v="1899-12-30T22:30:00Z"/>
        <d v="1899-12-30T11:57:00Z"/>
        <d v="1899-12-30T12:23:00Z"/>
        <d v="1899-12-30T13:09:00Z"/>
        <d v="1899-12-30T13:31:00Z"/>
        <d v="1899-12-30T12:42:00Z"/>
        <d v="1899-12-30T12:53:00Z"/>
        <d v="1899-12-30T13:03:00Z"/>
        <d v="1899-12-30T12:59:00Z"/>
        <d v="1899-12-30T13:20:00Z"/>
        <d v="1899-12-30T01:27:00Z"/>
        <d v="1899-12-30T01:50:00Z"/>
        <d v="1899-12-30T13:15:00Z"/>
        <d v="1899-12-30T13:49:00Z"/>
        <d v="1899-12-30T13:25:00Z"/>
        <d v="1899-12-30T13:50:00Z"/>
        <d v="1899-12-30T12:15:00Z"/>
        <d v="1899-12-30T12:16:00Z"/>
        <d v="1899-12-30T14:15:00Z"/>
        <d v="1899-12-30T14:04:00Z"/>
        <d v="1899-12-30T14:52:00Z"/>
        <d v="1899-12-30T14:17:00Z"/>
        <d v="1899-12-30T14:36:00Z"/>
        <d v="1899-12-30T15:10:00Z"/>
        <d v="1899-12-30T15:45:00Z"/>
        <d v="1899-12-30T15:34:00Z"/>
        <d v="1899-12-30T04:40:00Z"/>
        <d v="1899-12-30T16:45:00Z"/>
        <d v="1899-12-30T04:55:00Z"/>
        <d v="1899-12-30T17:07:00Z"/>
        <d v="1899-12-30T17:10:00Z"/>
        <d v="1899-12-30T05:04:00Z"/>
        <d v="1899-12-30T16:43:00Z"/>
        <d v="1899-12-30T05:27:00Z"/>
        <d v="1899-12-30T05:29:00Z"/>
        <d v="1899-12-30T05:43:00Z"/>
        <d v="1899-12-30T06:07:00Z"/>
        <d v="1899-12-30T06:00:00Z"/>
        <d v="1899-12-30T18:30:00Z"/>
        <d v="1899-12-30T17:59:00Z"/>
        <d v="1899-12-30T11:27:00Z"/>
        <d v="1899-12-30T11:39:00Z"/>
        <d v="1899-12-30T12:03:00Z"/>
        <d v="1899-12-30T12:20:00Z"/>
        <d v="1899-12-30T12:31:00Z"/>
        <d v="1899-12-30T13:40:00Z"/>
        <d v="1899-12-30T00:06:00Z"/>
        <d v="1899-12-30T00:12:00Z"/>
        <d v="1899-12-30T00:19:00Z"/>
        <d v="1899-12-30T00:35:00Z"/>
        <d v="1899-12-30T03:30:00Z"/>
        <d v="1899-12-30T04:50:00Z"/>
        <d v="1899-12-30T03:45:00Z"/>
        <d v="1899-12-30T16:11:00Z"/>
        <d v="1899-12-30T16:22:00Z"/>
        <d v="1899-12-30T16:30:00Z"/>
        <d v="1899-12-30T16:33:00Z"/>
        <d v="1899-12-30T16:36:00Z"/>
        <d v="1899-12-30T16:42:00Z"/>
        <d v="1899-12-30T16:47:00Z"/>
        <d v="1899-12-30T14:55:00Z"/>
        <d v="1899-12-30T16:55:00Z"/>
        <d v="1899-12-30T17:05:00Z"/>
        <d v="1899-12-30T03:01:00Z"/>
        <d v="1899-12-30T03:51:00Z"/>
        <d v="1899-12-30T05:10:00Z"/>
        <d v="1899-12-30T11:40:00Z"/>
        <d v="1899-12-30T12:26:00Z"/>
        <d v="1899-12-30T01:39:00Z"/>
        <d v="1899-12-30T02:25:00Z"/>
        <d v="1899-12-30T02:46:00Z"/>
        <d v="1899-12-30T02:49:00Z"/>
        <d v="1899-12-30T03:35:00Z"/>
        <d v="1899-12-30T03:53:00Z"/>
        <d v="1899-12-30T05:16:00Z"/>
        <d v="1899-12-30T05:36:00Z"/>
        <d v="1899-12-30T05:52:00Z"/>
        <d v="1899-12-30T06:30:00Z"/>
        <d v="1899-12-30T15:55:00Z"/>
        <d v="1899-12-30T04:44:00Z"/>
        <d v="1899-12-30T03:03:00Z"/>
        <d v="1899-12-30T01:06:00Z"/>
        <d v="1899-12-30T01:21:00Z"/>
        <d v="1899-12-30T13:21:00Z"/>
        <d v="1899-12-30T03:58:00Z"/>
        <d v="1899-12-30T11:34:00Z"/>
        <d v="1899-12-30T00:10:00Z"/>
        <d v="1899-12-30T00:04:00Z"/>
        <d v="1899-12-30T00:21:00Z"/>
        <d v="1899-12-30T00:45:00Z"/>
        <d v="1899-12-30T01:44:00Z"/>
        <d v="1899-12-30T03:44:00Z"/>
        <d v="1899-12-30T16:54:00Z"/>
        <d v="1899-12-30T05:21:00Z"/>
        <d v="1899-12-30T16:58:00Z"/>
        <d v="1899-12-30T16:44:00Z"/>
        <d v="1899-12-30T17:40:00Z"/>
        <d v="1899-12-30T15:37:00Z"/>
        <d v="1899-12-30T19:30:00Z"/>
        <d v="1899-12-30T19:40:00Z"/>
        <d v="1899-12-30T19:15:00Z"/>
        <d v="1899-12-30T19:35:00Z"/>
        <d v="1899-12-30T03:20:00Z"/>
        <d v="1899-12-30T04:53:00Z"/>
        <d v="1899-12-30T20:26:00Z"/>
        <d v="1899-12-30T01:45:00Z"/>
        <d v="1899-12-30T05:13:00Z"/>
        <d v="1899-12-30T06:18:00Z"/>
        <d v="1899-12-30T07:15:00Z"/>
        <d v="1899-12-30T15:39:00Z"/>
        <d v="1899-12-30T10:15:00Z"/>
        <d v="1899-12-30T12:21:00Z"/>
        <d v="1899-12-30T12:28:00Z"/>
        <d v="1899-12-30T12:35:00Z"/>
        <d v="1899-12-30T01:14:00Z"/>
        <d v="1899-12-30T01:23:00Z"/>
        <d v="1899-12-30T13:13:00Z"/>
        <d v="1899-12-30T01:24:00Z"/>
        <d v="1899-12-30T14:06:00Z"/>
        <d v="1899-12-30T16:40:00Z"/>
        <d v="1899-12-30T16:52:00Z"/>
        <d v="1899-12-30T05:00:00Z"/>
        <d v="1899-12-30T13:48:00Z"/>
        <d v="1899-12-30T13:52:00Z"/>
        <d v="1899-12-30T11:31:00Z"/>
        <d v="1899-12-30T11:35:00Z"/>
        <d v="1899-12-30T15:25:00Z"/>
        <d v="1899-12-30T18:19:00Z"/>
        <d v="1899-12-30T18:28:00Z"/>
        <d v="1899-12-30T18:43:00Z"/>
        <d v="1899-12-30T18:49:00Z"/>
        <d v="1899-12-30T08:50:00Z"/>
        <d v="1899-12-30T08:56:00Z"/>
        <d v="1899-12-30T10:30:00Z"/>
        <d v="1899-12-30T11:55:00Z"/>
        <d v="1899-12-30T17:20:00Z"/>
        <d v="1899-12-30T16:29:00Z"/>
        <d v="1899-12-30T14:49:00Z"/>
        <d v="1899-12-30T18:45:00Z"/>
        <d v="1899-12-30T01:15:00Z"/>
        <d v="1899-12-30T01:20:00Z"/>
        <d v="1899-12-30T02:15:00Z"/>
        <d v="1899-12-30T03:50:00Z"/>
        <d v="1899-12-30T09:00:00Z"/>
        <d v="1899-12-30T11:43:00Z"/>
        <d v="1899-12-30T14:03:00Z"/>
        <d v="1899-12-30T14:48:00Z"/>
        <d v="1899-12-30T04:52:00Z"/>
        <d v="1899-12-30T13:28:00Z"/>
        <d v="1899-12-30T06:02:00Z"/>
        <d v="1899-12-30T00:48:00Z"/>
        <d v="1899-12-30T01:03:00Z"/>
        <d v="1899-12-30T01:55:00Z"/>
        <d v="1899-12-30T03:43:00Z"/>
        <d v="1899-12-30T04:46:00Z"/>
        <d v="1899-12-30T05:20:00Z"/>
        <d v="1899-12-30T06:26:00Z"/>
        <d v="1899-12-30T07:26:00Z"/>
        <d v="1899-12-30T12:38:00Z"/>
        <d v="1899-12-30T12:07:00Z"/>
        <d v="1899-12-30T01:52:00Z"/>
        <d v="1899-12-30T02:01:00Z"/>
        <d v="1899-12-30T02:59:00Z"/>
        <d v="1899-12-30T03:15:00Z"/>
        <d v="1899-12-30T04:58:00Z"/>
        <d v="1899-12-30T06:13:00Z"/>
        <d v="1899-12-30T01:33:00Z"/>
        <d v="1899-12-30T02:11:00Z"/>
        <d v="1899-12-30T02:18:00Z"/>
        <d v="1899-12-30T03:14:00Z"/>
        <d v="1899-12-30T03:33:00Z"/>
        <d v="1899-12-30T04:27:00Z"/>
        <d v="1899-12-30T09:30:00Z"/>
        <d v="1899-12-30T01:42:00Z"/>
        <d v="1899-12-30T02:19:00Z"/>
        <d v="1899-12-30T02:40:00Z"/>
        <d v="1899-12-30T03:17:00Z"/>
        <d v="1899-12-30T12:41:00Z"/>
        <d v="1899-12-30T01:10:00Z"/>
        <d v="1899-12-30T01:53:00Z"/>
        <d v="1899-12-30T02:13:00Z"/>
        <d v="1899-12-30T02:51:00Z"/>
        <d v="1899-12-30T15:29:00Z"/>
        <d v="1899-12-30T05:25:00Z"/>
        <d v="1899-12-30T05:33:00Z"/>
        <d v="1899-12-30T05:56:00Z"/>
        <d v="1899-12-30T14:07:00Z"/>
        <d v="1899-12-30T14:53:00Z"/>
        <d v="1899-12-30T15:02:00Z"/>
        <d v="1899-12-30T15:41:00Z"/>
        <d v="1899-12-30T15:51:00Z"/>
        <d v="1899-12-30T16:41:00Z"/>
        <d v="1899-12-30T16:49:00Z"/>
        <d v="1899-12-30T11:20:00Z"/>
        <d v="1899-12-30T12:39:00Z"/>
        <d v="1899-12-30T12:47:00Z"/>
        <d v="1899-12-30T02:20:00Z"/>
        <d v="1899-12-30T02:31:00Z"/>
        <d v="1899-12-30T11:47:00Z"/>
        <d v="1899-12-30T13:14:00Z"/>
        <d v="1899-12-30T13:26:00Z"/>
        <d v="1899-12-30T13:55:00Z"/>
        <d v="1899-12-30T15:40:00Z"/>
        <d v="1899-12-30T15:47:00Z"/>
        <d v="1899-12-30T16:31:00Z"/>
        <d v="1899-12-30T16:37:00Z"/>
        <d v="1899-12-30T00:52:00Z"/>
        <d v="1899-12-30T14:28:00Z"/>
        <d v="1899-12-30T04:13:00Z"/>
        <d v="1899-12-30T06:23:00Z"/>
        <d v="1899-12-30T07:11:00Z"/>
        <d v="1899-12-30T07:32:00Z"/>
        <d v="1899-12-30T17:45:00Z"/>
        <d v="1899-12-30T11:50:00Z"/>
        <d v="1899-12-30T16:15:00Z"/>
        <d v="1899-12-30T20:30:00Z"/>
        <d v="1899-12-30T20:45:00Z"/>
        <d v="1899-12-30T21:50:00Z"/>
        <d v="1899-12-30T12:02:00Z"/>
        <d v="1899-12-30T01:41:00Z"/>
        <d v="1899-12-30T14:01:00Z"/>
        <d v="1899-12-30T03:07:00Z"/>
        <d v="1899-12-30T13:01:00Z"/>
        <d v="1899-12-30T13:34:00Z"/>
        <d v="1899-12-30T12:05:00Z"/>
        <d v="1899-12-30T15:48:00Z"/>
        <d v="1899-12-30T14:21:00Z"/>
        <d v="1899-12-30T15:32:00Z"/>
        <d v="1899-12-30T15:57:00Z"/>
        <d v="1899-12-30T16:26:00Z"/>
        <d v="1899-12-30T11:18:00Z"/>
        <d v="1899-12-30T17:27:00Z"/>
        <d v="1899-12-30T17:46:00Z"/>
        <d v="1899-12-30T10:45:00Z"/>
        <d v="1899-12-30T00:13:00Z"/>
        <d v="1899-12-30T00:20:00Z"/>
        <d v="1899-12-30T00:25:00Z"/>
        <d v="1899-12-30T14:25:00Z"/>
        <d v="1899-12-30T16:20:00Z"/>
        <d v="1899-12-30T15:28:00Z"/>
        <d v="1899-12-30T07:22:00Z"/>
        <d v="1899-12-30T01:59:00Z"/>
        <d v="1899-12-30T09:50:00Z"/>
        <d v="1899-12-30T03:10:00Z"/>
        <d v="1899-12-30T04:21:00Z"/>
        <d v="1899-12-30T15:12:00Z"/>
        <d v="1899-12-30T04:15:00Z"/>
        <d v="1899-12-30T15:03:00Z"/>
        <d v="1899-12-30T12:12:00Z"/>
        <d v="1899-12-30T14:37:00Z"/>
        <d v="1899-12-30T16:50:00Z"/>
        <d v="1899-12-30T17:18:00Z"/>
        <d v="1899-12-30T17:21:00Z"/>
        <d v="1899-12-30T18:10:00Z"/>
        <d v="1899-12-30T18:22:00Z"/>
        <d v="1899-12-30T14:35:00Z"/>
        <d v="1899-12-30T10:57:00Z"/>
        <d v="1899-12-30T02:06:00Z"/>
        <d v="1899-12-30T02:33:00Z"/>
        <d v="1899-12-30T06:51:00Z"/>
        <d v="1899-12-30T06:46:00Z"/>
        <d v="1899-12-30T10:19:00Z"/>
        <d v="1899-12-30T07:00:00Z"/>
        <d v="1899-12-30T07:46:00Z"/>
        <d v="1899-12-30T07:57:00Z"/>
        <d v="1899-12-30T06:49:00Z"/>
        <d v="1899-12-30T05:49:00Z"/>
        <d v="1899-12-30T02:03:00Z"/>
        <d v="1899-12-30T12:37:00Z"/>
        <d v="1899-12-30T06:21:00Z"/>
        <d v="1899-12-30T16:35:00Z"/>
        <d v="1899-12-30T12:04:00Z"/>
        <d v="1899-12-30T03:32:00Z"/>
        <d v="1899-12-30T03:23:00Z"/>
        <d v="1899-12-30T11:58:00Z"/>
        <d v="1899-12-30T11:49:00Z"/>
        <d v="1899-12-30T13:54:00Z"/>
        <d v="1899-12-30T12:24:00Z"/>
        <d v="1899-12-30T13:02:00Z"/>
        <d v="1899-12-30T13:29:00Z"/>
        <d v="1899-12-30T13:57:00Z"/>
        <d v="1899-12-30T14:12:00Z"/>
        <d v="1899-12-30T13:08:00Z"/>
        <d v="1899-12-30T14:22:00Z"/>
        <d v="1899-12-30T14:23:00Z"/>
        <d v="1899-12-30T13:53:00Z"/>
        <d v="1899-12-30T13:58:00Z"/>
        <d v="1899-12-30T14:05:00Z"/>
        <d v="1899-12-30T14:33:00Z"/>
        <d v="1899-12-30T14:40:00Z"/>
        <d v="1899-12-30T15:19:00Z"/>
        <d v="1899-12-30T15:21:00Z"/>
        <d v="1899-12-30T15:38:00Z"/>
        <d v="1899-12-30T15:53:00Z"/>
        <d v="1899-12-30T15:54:00Z"/>
        <d v="1899-12-30T16:59:00Z"/>
        <d v="1899-12-30T17:04:00Z"/>
        <d v="1899-12-30T17:19:00Z"/>
        <d v="1899-12-30T04:36:00Z"/>
        <d v="1899-12-30T02:14:00Z"/>
        <d v="1899-12-30T01:43:00Z"/>
        <d v="1899-12-30T03:26:00Z"/>
        <d v="1899-12-30T04:38:00Z"/>
        <d v="1899-12-30T05:05:00Z"/>
        <d v="1899-12-30T05:42:00Z"/>
        <d v="1899-12-30T06:35:00Z"/>
        <d v="1899-12-30T02:10:00Z"/>
        <d v="1899-12-30T11:32:00Z"/>
        <d v="1899-12-30T11:42:00Z"/>
        <d v="1899-12-30T11:51:00Z"/>
        <d v="1899-12-30T11:56:00Z"/>
        <d v="1899-12-30T13:16:00Z"/>
        <d v="1899-12-30T13:41:00Z"/>
        <d v="1899-12-30T13:59:00Z"/>
        <d v="1899-12-30T14:18:00Z"/>
        <d v="1899-12-30T14:27:00Z"/>
        <d v="1899-12-30T15:22:00Z"/>
        <d v="1899-12-30T15:23:00Z"/>
        <d v="1899-12-30T15:24:00Z"/>
        <d v="1899-12-30T16:01:00Z"/>
        <d v="1899-12-30T11:16:00Z"/>
        <d v="1899-12-30T16:46:00Z"/>
        <d v="1899-12-30T17:44:00Z"/>
        <d v="1899-12-30T02:04:00Z"/>
        <d v="1899-12-30T02:05:00Z"/>
        <d v="1899-12-30T02:36:00Z"/>
        <d v="1899-12-30T02:41:00Z"/>
        <d v="1899-12-30T02:50:00Z"/>
        <d v="1899-12-30T02:55:00Z"/>
        <d v="1899-12-30T14:34:00Z"/>
        <d v="1899-12-30T14:44:00Z"/>
        <d v="1899-12-30T02:45:00Z"/>
        <d v="1899-12-30T02:58:00Z"/>
        <d v="1899-12-30T03:13:00Z"/>
        <d v="1899-12-30T15:13:00Z"/>
        <d v="1899-12-30T03:28:00Z"/>
        <d v="1899-12-30T03:48:00Z"/>
        <d v="1899-12-30T15:50:00Z"/>
        <d v="1899-12-30T04:08:00Z"/>
        <d v="1899-12-30T16:21:00Z"/>
        <d v="1899-12-30T20:47:00Z"/>
        <d v="1899-12-30T12:44:00Z"/>
        <d v="1899-12-30T13:06:00Z"/>
        <d v="1899-12-30T15:42:00Z"/>
        <d v="1899-12-30T00:05:00Z"/>
        <d v="1899-12-30T00:15:00Z"/>
        <d v="1899-12-30T00:40:00Z"/>
        <d v="1899-12-30T04:48:00Z"/>
        <d v="1899-12-30T03:40:00Z"/>
        <d v="1899-12-30T03:36:00Z"/>
        <d v="1899-12-30T02:54:00Z"/>
        <d v="1899-12-30T21:00:00Z"/>
        <d v="1899-12-30T19:20:00Z"/>
        <d v="1899-12-30T23:22:00Z"/>
        <d v="1899-12-30T15:15:00Z"/>
        <d v="1899-12-30T15:59:00Z"/>
        <d v="1899-12-30T13:12:00Z"/>
        <d v="1899-12-30T18:26:00Z"/>
        <d v="1899-12-30T17:29:00Z"/>
        <d v="1899-12-30T18:09:00Z"/>
        <d v="1899-12-30T18:03:00Z"/>
        <d v="1899-12-30T15:27:00Z"/>
        <d v="1899-12-30T12:48:00Z"/>
        <d v="1899-12-30T11:48:00Z"/>
        <d v="1899-12-30T11:52:00Z"/>
        <d v="1899-12-30T13:43:00Z"/>
        <d v="1899-12-30T14:19:00Z"/>
        <d v="1899-12-30T21:39:00Z"/>
        <d v="1899-12-30T04:33:00Z"/>
        <d v="1899-12-30T03:04:00Z"/>
        <d v="1899-12-30T02:44:00Z"/>
        <d v="1899-12-30T12:32:00Z"/>
        <d v="1899-12-30T12:06:00Z"/>
        <d v="1899-12-30T02:26:00Z"/>
        <d v="1899-12-30T02:29:00Z"/>
        <d v="1899-12-30T03:22:00Z"/>
        <d v="1899-12-30T03:59:00Z"/>
        <d v="1899-12-30T04:02:00Z"/>
        <d v="1899-12-30T04:06:00Z"/>
        <d v="1899-12-30T04:22:00Z"/>
        <d v="1899-12-30T12:46:00Z"/>
        <d v="1899-12-30T12:56:00Z"/>
        <d v="1899-12-30T04:45:00Z"/>
        <d v="1899-12-30T11:54:00Z"/>
        <d v="1899-12-30T12:08:00Z"/>
        <d v="1899-12-30T04:54:00Z"/>
        <d v="1899-12-30T03:56:00Z"/>
        <d v="1899-12-30T02:34:00Z"/>
        <d v="1899-12-30T02:37:00Z"/>
        <d v="1899-12-30T03:27:00Z"/>
        <d v="1899-12-30T04:10:00Z"/>
        <d v="1899-12-30T14:41:00Z"/>
        <d v="1899-12-30T17:12:00Z"/>
        <d v="1899-12-30T17:31:00Z"/>
        <d v="1899-12-30T18:06:00Z"/>
        <d v="1899-12-30T18:23:00Z"/>
        <d v="1899-12-30T18:42:00Z"/>
        <d v="1899-12-30T18:58:00Z"/>
        <d v="1899-12-30T04:42:00Z"/>
        <d v="1899-12-30T12:43:00Z"/>
        <d v="1899-12-30T13:37:00Z"/>
        <d v="1899-12-30T12:09:00Z"/>
        <d v="1899-12-30T03:18:00Z"/>
        <d v="1899-12-30T03:47:00Z"/>
        <d v="1899-12-30T04:28:00Z"/>
        <d v="1899-12-30T12:22:00Z"/>
        <d v="1899-12-30T04:26:00Z"/>
        <d v="1899-12-30T04:20:00Z"/>
        <d v="1899-12-30T05:40:00Z"/>
        <d v="1899-12-30T16:02:00Z"/>
        <d v="1899-12-30T16:05:00Z"/>
        <d v="1899-12-30T16:23:00Z"/>
        <d v="1899-12-30T16:28:00Z"/>
      </sharedItems>
    </cacheField>
    <cacheField name="Type Of Meeting" numFmtId="0">
      <sharedItems containsBlank="1">
        <m/>
        <s v="Growth Meeting"/>
        <s v="Intro Meeting"/>
        <s v="Follow up"/>
        <s v="Expansion"/>
      </sharedItems>
    </cacheField>
    <cacheField name="Name of Restaurant ?&#10;" numFmtId="0">
      <sharedItems containsBlank="1">
        <m/>
        <s v="Bhuvan’s Kitchen "/>
        <s v="Bhojanams &amp; Birynis"/>
        <s v="Sunrise Business Hotel"/>
        <s v="ZYROS BIRYANI HOUSE "/>
        <s v="Slice of Spice"/>
        <s v="ROLO BAKERS"/>
        <s v=" rayalseema spice  restaurant  "/>
        <s v="alankrutha multicuisine restaurant "/>
        <s v="GUNTUR MESS"/>
        <s v="Bihar Dhaba"/>
        <s v="hunan chinese cusine "/>
        <s v="Rameshwaram cafe"/>
        <s v="Hamara Adda"/>
        <s v="kiss me mandi"/>
        <s v="Girl Friend Mandi"/>
        <s v="Shree Balaji Tiffin Center"/>
        <s v="President Dhaba"/>
        <s v=" lucky multicusine restaurant "/>
        <s v="Adhirath"/>
        <s v="BIRYANI N BIRYANI"/>
        <s v="Mehfil"/>
        <s v="AL RAWAF HOME MADE DISHES"/>
        <s v="Govinda's Resturant"/>
        <s v="KNOX"/>
        <s v="NEW FARMAISH RESTAURANT"/>
        <s v="Zythum"/>
        <s v="Ohri's Cake Nation"/>
        <s v="KNOX "/>
        <s v="Naseeb Cafe"/>
        <s v="Sri Balaji Family Dhaba"/>
        <s v="10th street coffee"/>
        <s v="Mujataba Grills"/>
        <s v="Samastha Tiffins "/>
        <s v="Mokshi kitchens"/>
        <s v="Exotic Shawarma"/>
        <s v="Sri Sai Swetha foods"/>
        <s v="JUS VOUS"/>
        <s v="BEGUM KI BIRYANI"/>
        <s v="FOOD 4 U"/>
        <s v="TAHARI HOUSE"/>
        <s v="RAHAT RESTURANT"/>
        <s v="Bhavani mess"/>
        <s v="Kausar cafe,Al nabi cafe"/>
        <s v="Madhapuram food court "/>
        <s v="anand bhavan mess "/>
        <s v="The smash city"/>
        <s v="Gold sparrow millets "/>
        <s v="BREW COMMUNE CAFE&amp;BISTRO"/>
        <s v="HOTEL INNER CIRCLE"/>
        <s v="RENAO"/>
        <s v="merajs restraunt "/>
        <s v="Flavors Of Briyani Cafe"/>
        <s v="lassi corner "/>
        <s v="Pandu Fast Food Center"/>
        <s v="sri udupi grand pure veg"/>
        <s v="SSR FOOD ZONE"/>
        <s v="Mammu’s Kitchen"/>
        <s v="Kshatriya Grand"/>
        <s v="Bakeway bakers "/>
        <s v="Golconda Biryani House"/>
        <s v="Veeramma Gari Vantillu"/>
        <s v="Bhojanam Tayyari"/>
        <s v="CAFE REELS"/>
        <s v="Veera di chaap"/>
        <s v="Donut O clock"/>
        <s v="kush mandi"/>
        <s v="Tempt chocolates"/>
        <s v="La Boulangerie"/>
        <s v="BABAI HOTEL"/>
        <s v="Say cheese patisserie"/>
        <s v="Labond"/>
        <s v="Chubby Chow"/>
        <s v="Burma Burma"/>
        <s v="Gabru Di Chaap"/>
        <s v="kumbhakk"/>
        <s v="1000 biryanis"/>
        <s v="my froyo land"/>
        <s v="California Burrito "/>
        <s v="Rayalaseema Ruchulu "/>
        <s v="Rayalaseema spice "/>
        <s v="Kake di hatti"/>
        <s v="Cafe Cilantro "/>
        <s v="Vaikuntapuram"/>
        <s v="Mama Thinu"/>
        <s v="Onesta Pizzeria "/>
        <s v="Parampara "/>
        <s v="Tipsy Topsy Bakers"/>
        <s v="D and D Caters "/>
        <s v="Manasa Kitchen"/>
        <s v="Vasista Sri Lakshmi "/>
        <s v="Dosthugallu Mandi"/>
        <s v="Namesthe"/>
        <s v="Spicy Express "/>
        <s v="Chintamani Pulaos"/>
        <s v="Brew and bloom coffee heaven shop"/>
        <s v="Santosh Dhaba"/>
        <s v="Sree vakula kitchen"/>
        <s v="Kohinoor Restaurant "/>
        <s v="Anu Archana kitchen "/>
        <s v="SUBHAM GRAND MULTI CUISINE FAMILY RESTAURANT"/>
        <s v="hotel armani"/>
        <s v="pakisa"/>
        <s v="fb bakers"/>
        <s v="MAHARAJA "/>
        <s v="THATTI IDLY "/>
        <s v="LUCKY RESTAURANT [somajiguda]"/>
        <s v="Anu Archan Kitchen"/>
        <s v="Ma potta Ma istam"/>
        <s v="Dragon Tales"/>
        <s v="Aaha"/>
        <s v="Viyala vari pindi vantalu"/>
        <s v="Karam Dosa"/>
        <s v="Qubz The shewarma Revolution "/>
        <s v="Ttastryy"/>
        <s v="SHOHRAT"/>
        <s v="Chantabbai Biryani "/>
        <s v="Navarasa "/>
        <s v="Reddy Brothers "/>
        <s v="Vasireddy swagruha foods "/>
        <s v="Mandi king "/>
        <s v="Good Flipping Burgers "/>
        <s v="Girl friend mandi "/>
        <s v="Babai Hotel "/>
        <s v="Vela Bites"/>
        <s v="Brew Commune and Bistro "/>
        <s v="Polar bear "/>
        <s v="Thick shake factory "/>
        <s v="Palle vindu"/>
        <s v="Suryakantham Military hotel"/>
        <s v="Kanchi cafe"/>
        <s v="Abu Zayed Bait Al Mandi"/>
        <s v="The Indian wok"/>
        <s v=" Aha Dakshin"/>
        <s v="Burger King"/>
        <s v="WOW China"/>
        <s v="The Thickshake Factory "/>
        <s v="Frankie"/>
        <s v="Khaan Saab"/>
        <s v="Chai point "/>
        <s v="Onesta "/>
        <s v="7th Heaven &amp; white hart"/>
      </sharedItems>
    </cacheField>
    <cacheField name="Seating Capacity">
      <sharedItems containsBlank="1" containsMixedTypes="1" containsNumber="1" containsInteger="1">
        <m/>
        <n v="85.0"/>
        <n v="30.0"/>
        <n v="100.0"/>
        <n v="8.0"/>
        <n v="150.0"/>
        <n v="20.0"/>
        <n v="40.0"/>
        <n v="80.0"/>
        <n v="50.0"/>
        <n v="60.0"/>
        <n v="200.0"/>
        <n v="25.0"/>
        <n v="70.0"/>
        <n v="1.0"/>
        <n v="300.0"/>
        <n v="320.0"/>
        <n v="400.0"/>
        <n v="15.0"/>
        <n v="90.0"/>
        <n v="10.0"/>
        <n v="120.0"/>
        <n v="130.0"/>
        <n v="250.0"/>
        <n v="75.0"/>
        <n v="5.0"/>
        <n v="3.0"/>
        <n v="140.0"/>
        <n v="34.0"/>
        <n v="500.0"/>
        <n v="35.0"/>
        <n v="33.0"/>
        <n v="98.0"/>
        <n v="700.0"/>
        <n v="230.0"/>
        <n v="12.0"/>
        <n v="48.0"/>
        <n v="273.0"/>
        <n v="112.0"/>
        <s v="01"/>
        <n v="132.0"/>
        <n v="26.0"/>
        <n v="46.0"/>
        <n v="42.0"/>
        <n v="45.0"/>
        <n v="59.0"/>
      </sharedItems>
    </cacheField>
    <cacheField name="AOV" numFmtId="0">
      <sharedItems containsString="0" containsBlank="1" containsNumber="1" containsInteger="1">
        <m/>
        <n v="250.0"/>
        <n v="500.0"/>
        <n v="300.0"/>
        <n v="5000.0"/>
        <n v="200.0"/>
        <n v="1.0"/>
        <n v="90.0"/>
        <n v="150.0"/>
        <n v="400.0"/>
        <n v="1000.0"/>
        <n v="600.0"/>
        <n v="450.0"/>
        <n v="120.0"/>
        <n v="160.0"/>
        <n v="100.0"/>
        <n v="2000.0"/>
        <n v="1500.0"/>
        <n v="230.0"/>
        <n v="280.0"/>
        <n v="130.0"/>
        <n v="350.0"/>
        <n v="209.0"/>
        <n v="50.0"/>
        <n v="900.0"/>
        <n v="33.0"/>
        <n v="270.0"/>
        <n v="800.0"/>
        <n v="650.0"/>
        <n v="1200.0"/>
        <n v="550.0"/>
        <n v="3000.0"/>
        <n v="180.0"/>
        <n v="3009.0"/>
        <n v="700.0"/>
        <n v="260.0"/>
        <n v="220.0"/>
        <n v="210.0"/>
        <n v="25000.0"/>
        <n v="290.0"/>
      </sharedItems>
    </cacheField>
    <cacheField name="POS">
      <sharedItems containsBlank="1" containsMixedTypes="1" containsNumber="1" containsInteger="1">
        <m/>
        <s v="OrderMatic"/>
        <s v="NA"/>
        <s v="Own"/>
        <s v="YES"/>
        <s v="own software"/>
        <s v="PET POOJA"/>
        <s v="PETPOOJA"/>
        <s v="NO POS"/>
        <s v="intro meeting not done"/>
        <n v="1.0"/>
        <s v="Mobile Software"/>
        <s v="Nikhil"/>
        <s v="Mobile Application"/>
        <s v="Peta Puja"/>
        <s v="-"/>
        <s v="Brain power"/>
        <s v="explorates"/>
        <s v="Rista"/>
        <s v="N/a"/>
        <s v="They are not using any online platforms currently "/>
        <s v="Order matic"/>
        <s v="Not present"/>
        <s v="PetPuja"/>
        <s v="Pet Pooja "/>
        <s v="Mobile "/>
        <s v="None"/>
        <s v="Ba"/>
        <s v="No"/>
        <s v="Chef’s Desk"/>
        <s v="Pet poja"/>
        <n v="33.0"/>
        <s v="Urban Piper"/>
        <s v="Mobile Application "/>
        <s v="urban pipers"/>
        <s v="POSBANK"/>
        <s v="Paytm POS"/>
        <s v="Scantech"/>
        <s v="Breeza (Exporex)"/>
        <s v="In House"/>
        <s v="MICROS"/>
        <s v="Hungerbox"/>
        <s v="Pet Puja"/>
        <s v="Safedesk"/>
        <s v="Recaho"/>
        <s v="nq"/>
        <s v="ECHO"/>
        <s v="None "/>
        <s v="Dotpay"/>
        <s v="DASHBOARD"/>
        <s v="Pms"/>
      </sharedItems>
    </cacheField>
    <cacheField name="Daily Revenue? " numFmtId="0">
      <sharedItems containsString="0" containsBlank="1" containsNumber="1" containsInteger="1">
        <m/>
        <n v="50000.0"/>
        <n v="24.0"/>
        <n v="60000.0"/>
        <n v="120000.0"/>
        <n v="25000.0"/>
        <n v="21000.0"/>
        <n v="24000.0"/>
        <n v="10000.0"/>
        <n v="15000.0"/>
        <n v="12000.0"/>
        <n v="1.0"/>
        <n v="30000.0"/>
        <n v="16000.0"/>
        <n v="90000.0"/>
        <n v="20000.0"/>
        <n v="200000.0"/>
        <n v="100000.0"/>
        <n v="8000.0"/>
        <n v="9000.0"/>
        <n v="40000.0"/>
        <n v="5000.0"/>
        <n v="7000.0"/>
        <n v="18000.0"/>
        <n v="1000.0"/>
        <n v="150000.0"/>
        <n v="6000.0"/>
        <n v="23.0"/>
        <n v="600000.0"/>
        <n v="50.0"/>
        <n v="105000.0"/>
        <n v="70000.0"/>
        <n v="80000.0"/>
        <n v="14000.0"/>
        <n v="45000.0"/>
        <n v="33.0"/>
        <n v="500000.0"/>
        <n v="7200.0"/>
        <n v="2500.0"/>
        <n v="2000.0"/>
        <n v="75000.0"/>
        <n v="37500.0"/>
        <n v="19250.0"/>
        <n v="35000.0"/>
        <n v="15.0"/>
        <n v="12500.0"/>
        <n v="23000.0"/>
        <n v="49000.0"/>
      </sharedItems>
    </cacheField>
    <cacheField name="Kind of Restaurant" numFmtId="0">
      <sharedItems containsBlank="1">
        <m/>
        <s v="Tier-2 (AOV &lt;400)"/>
        <s v="Tier-1(AOV&gt;400)"/>
        <s v="Tier-3 ( AOV&lt;200 )"/>
        <s v="Cloud Kitchen"/>
        <s v="Both restaurants are newly opened so no info regarding AOV and POS"/>
        <s v="Food Court"/>
        <s v="Na"/>
        <s v="Res having 3.7k+ reviews"/>
      </sharedItems>
    </cacheField>
    <cacheField name="Restaurant Live on " numFmtId="0">
      <sharedItems containsBlank="1">
        <m/>
        <s v="None"/>
        <s v="Zomato"/>
        <s v="Swiggy, Zomato"/>
        <s v="Swiggy"/>
        <s v="Swiggy, Zomato, Magic Pin"/>
        <s v="Swiggy, Zomato, None"/>
        <s v="Swiggy &amp; Zomato"/>
        <s v="None, New Restaurant"/>
        <s v="Swiggy, Magic Pin"/>
        <s v="Swiggy, Zomato, Magic Pin, Easy diner"/>
        <s v="New Restaurent as of now planning to onboard in different platforms"/>
        <s v="only in caps"/>
        <s v="New Restaurant "/>
        <s v="Magic Pin"/>
      </sharedItems>
    </cacheField>
    <cacheField name="Claimed Margins (Competition) " numFmtId="0">
      <sharedItems containsString="0" containsBlank="1" containsNumber="1">
        <m/>
        <n v="28.0"/>
        <n v="22.0"/>
        <n v="15.0"/>
        <n v="20.0"/>
        <n v="18.0"/>
        <n v="21.0"/>
        <n v="17.0"/>
        <n v="1.0"/>
        <n v="30.0"/>
        <n v="19.0"/>
        <n v="25.0"/>
        <n v="19.7"/>
        <n v="40.0"/>
        <n v="10.0"/>
        <n v="9.0"/>
        <n v="23.0"/>
        <n v="33.0"/>
        <n v="34.0"/>
        <n v="24.0"/>
      </sharedItems>
    </cacheField>
    <cacheField name="Expected Margins (Caps)" numFmtId="0">
      <sharedItems containsString="0" containsBlank="1" containsNumber="1">
        <m/>
        <n v="20.0"/>
        <n v="18.0"/>
        <n v="22.0"/>
        <n v="15.0"/>
        <n v="19.0"/>
        <n v="21.0"/>
        <n v="10.0"/>
        <n v="17.0"/>
        <n v="18.5"/>
        <n v="12.0"/>
        <n v="16.0"/>
        <n v="201.0"/>
        <n v="33.0"/>
        <n v="23.0"/>
      </sharedItems>
    </cacheField>
    <cacheField name="No.of Branches?" numFmtId="0">
      <sharedItems containsString="0" containsBlank="1" containsNumber="1" containsInteger="1">
        <m/>
        <n v="1.0"/>
        <n v="15.0"/>
        <n v="3.0"/>
        <n v="2.0"/>
        <n v="10.0"/>
        <n v="11.0"/>
        <n v="7.0"/>
        <n v="8.0"/>
        <n v="9.0"/>
        <n v="4.0"/>
        <n v="25.0"/>
        <n v="16.0"/>
        <n v="30.0"/>
        <n v="5.0"/>
        <n v="20.0"/>
        <n v="48.0"/>
        <n v="33.0"/>
        <n v="18.0"/>
        <n v="52.0"/>
        <n v="14.0"/>
        <n v="19.0"/>
        <n v="6.0"/>
        <n v="17.0"/>
        <n v="12.0"/>
        <n v="34.0"/>
        <n v="27.0"/>
        <n v="38.0"/>
        <n v="23.0"/>
        <n v="112.0"/>
      </sharedItems>
    </cacheField>
    <cacheField name="Type of Ownership" numFmtId="0">
      <sharedItems containsBlank="1">
        <m/>
        <s v="Prop"/>
        <s v="Partnership"/>
        <s v="Intro meet not done because owner will be available after 19:00pm"/>
        <s v="Didnt meet the client,got the niumber of the owner"/>
        <s v="Trust"/>
        <s v="PVT"/>
        <s v="NA"/>
        <s v="N/a"/>
        <s v="PVT, Prop"/>
        <s v="Prop, Partnership"/>
        <s v="Food Court"/>
        <s v="Partnership, "/>
        <s v="PVT, Prop, Partnership"/>
        <s v="N"/>
      </sharedItems>
    </cacheField>
    <cacheField name="GST" numFmtId="0">
      <sharedItems containsBlank="1">
        <m/>
        <s v="Yes"/>
        <s v="No"/>
      </sharedItems>
    </cacheField>
    <cacheField name="FSSAI" numFmtId="0">
      <sharedItems containsBlank="1">
        <m/>
        <s v="Active"/>
        <s v="Not Applied"/>
        <s v="Expired"/>
      </sharedItems>
    </cacheField>
    <cacheField name="Labour License" numFmtId="0">
      <sharedItems containsBlank="1">
        <m/>
        <s v="Not Applied"/>
        <s v="Yes"/>
        <s v="No"/>
      </sharedItems>
    </cacheField>
    <cacheField name="Google Map Business link">
      <sharedItems containsBlank="1" containsMixedTypes="1" containsNumber="1" containsInteger="1">
        <m/>
        <s v="https://maps.app.goo.gl/QukQHejyepep1eaLA?g_st=ic"/>
        <s v="yes"/>
        <s v="https://maps.app.goo.gl/U96V4tJ8v4oih7cF9"/>
        <s v="https://www.google.com/maps/place/17%C2%B027'04.3%22N+78%C2%B023'30.1%22E/@17.4512028,78.389128,17z/data=!3m1!4b1!4m4!3m3!8m2!3d17.4512028!4d78.3917029?hl=en&amp;entry=ttu&amp;g_ep=EgoyMDI2MDIwMS4wIKXMDSoKLDEwMDc5MjA2OUgBUAM%3D"/>
        <s v="2-52/1/3, Hitech City Rd, Phase 2, Kavuri Hills, Madhapur, Hyderabad, Telangana 500081"/>
        <s v="google.com/maps?q=17.440473,78.3934188&amp;z=17&amp;hl=en"/>
        <s v="https://www.google.com/maps/place/Rayalaseema+Spice+Restaurant/@17.4463018,78.3898889,17z/data=!3m1!4b1!4m6!3m5!1s0x3bcb91140c324827:0xb8961b47ea2ebc6a!8m2!3d17.4463018!4d78.3924638!16s%2Fg%2F11ks1mwcz0?entry=ttu&amp;g_ep=EgoyMDI2MDIwMS4wIKXMDSoKLDEwMDc5MjA2O"/>
        <s v="https://www.google.com/maps/place/Alankrutha+Restaurant/@17.44665,78.3922746,3a,75y,90t/data=!3m8!1e2!3m6!1sAF1QipN-ydSRKlr93jgWDRaakYdE5oV8xhAkUs2hDWna!2e10!3e12!6shttps:%2F%2Flh3.googleusercontent.com%2Fp%2FAF1QipN-ydSRKlr93jgWDRaakYdE5oV8xhAkUs2hDWna%3"/>
        <s v="https://www.google.com/maps/place/Hunan+Chinese+Cuisine/@17.4478451,78.3885023,17z/data=!3m1!4b1!4m6!3m5!1s0x3bcb91b50352f21f:0xee872dfeab40a154!8m2!3d17.4478451!4d78.3885023!16s%2Fg%2F11vxjzpgh9?hl=en&amp;entry=ttu&amp;g_ep=EgoyMDI2MDIwMS4wIKXMDSoKLDEwMDc5MjA2OU"/>
        <s v="72, Capital Pk Rd, beside Jain Sadguru Capital Park, Cyber Hills Colony, VIP Hills, Silicon Valley, Madhapur, Serilingampalle (M), Hyderabad, Telangana 500081"/>
        <s v="G-02, Ground Floor, Silicon Towers, Image Gardens Road, Madhapur, Hyderabad"/>
        <s v="NA"/>
        <s v="https://maps.app.goo.gl/7YMoNqTWQYbg4jmu7"/>
        <s v="https://www.google.com/maps/place/lucky+multi+cuisine+restaurant+madhapur/data=!4m2!3m1!1s0x3bcb915eea8173fb:0x9c806787d3a94d48?sa=X&amp;ved=1t:242&amp;ictx=111"/>
        <s v="https://maps.app.goo.gl/bVjfB92p6JmtmXyu9"/>
        <s v="https://maps.app.goo.gl/3NoTX3DyLcp6bSMX7"/>
        <s v="https://maps.app.goo.gl/2zVYUFdRf5UbswRq8"/>
        <s v="https://maps.app.goo.gl/Aiiv6UZV7TLfDBn47"/>
        <s v="-"/>
        <s v="https://maps.app.goo.gl/gbPqgYV9ZsUP1gDc8"/>
        <s v="https://maps.app.goo.gl/CYfpD7HuaPaEeArM6"/>
        <s v="https://share.google/2dLN0NYKphOuVkK3U"/>
        <s v="https://maps.app.goo.gl/avzks9t6kSFWe88o8"/>
        <s v="https://share.google/tMU7i0NamuInUBqVj"/>
        <s v="https://maps.app.goo.gl/6hdkrbad7BwbvaWQ6"/>
        <s v="https://maps.app.goo.gl/9s4KoQNjMUjsr5Kj8"/>
        <s v="https://www.google.com/maps/place/ANAND+BHAVAN+MESS/@17.4471051,78.3854684,17z/data=!3m1!4b1!4m6!3m5!1s0x3bcb910040604355:0x1b5af753bc8c8b9e!8m2!3d17.4471051!4d78.3880433!16s%2Fg%2F11mt5nf89c?hl=en&amp;entry=ttu&amp;g_ep=EgoyMDI2MDIwMS4wIKXMDSoKLDEwMDc5MjA2OUgBUA"/>
        <s v="https://share.google/SZFJJlssb5hkmphPA"/>
        <s v="https://maps.app.goo.gl/Azm6uVjLA8CHdEVq5?g_st=ic"/>
        <s v="https://maps.app.goo.gl/ZRjTitSxKuHU45Vv7?g_st=ic"/>
        <s v="https://maps.app.goo.gl/W2xHqpTu7pXfvcBD6"/>
        <s v="https://maps.app.goo.gl/PmQrZ6A18zjb25S37?g_st=ic"/>
        <s v="https://www.google.com/maps/dir//Bhojanam+Thali,+1200,+Rd+Number+59,+Jubilee+Hills,+Hyderabad,+Telangana+500033/@17.4358528,78.4072704,11z/data=!4m8!4m7!1m0!1m5!1m1!1s0x3bcb91ff414df91d:0xb3f0fa00e20c4e2d!2m2!1d78.4095133!2d17.4290901?entry=ttu&amp;g_ep=EgoyM"/>
        <s v="Shop 1, House 1-8-153/2, Ground Floor, Circle 29, PG Road, Secunderabad"/>
        <s v="1-8-153⁄1, Ground Floor, Amaan Arcade, Circle 29, PG Road, Secunderabad"/>
        <s v="http"/>
        <s v=" C94M+W3M, Shivapuri Colony, Muppas Panchavati Colony, Manikonda, Hyderabad, Telangana 500089"/>
        <s v="Western Plaza Rd, OU Colony, Shaikpet, Hyderabad, Telangana 500104"/>
        <s v="Shivalayam Temple, Opposit, Manikonda Main Rd, OU Colony, Shaikpet, Hyderabad, Telangana 500104 15 m · 17"/>
        <s v="https://maps.app.goo.gl/1qDaKDQ4ZYJq3Euk7?g_st=ic"/>
        <s v="17,18/G-2, Sri Sai Arcade, Shop No 7, 1-455/16, Mytrivanam Road, Ameerpet, Hyderabad, Telangana 500016"/>
        <s v="https://www.google.com/maps/place/SUBHAM+GRAND+MULTICUISINE+FAMILY+RESTAURANT/@17.4261765,78.4544318,17z/data=!3m1!4b1!4m6!3m5!1s0x3bcb975c71ce4f23:0xaf7b1a826964a38f!8m2!3d17.4261714!4d78.4570067!16s%2Fg%2F11w4twbg4t?entry=ttu&amp;g_ep=EgoyMDI2MDIwNC4wIKXMDS"/>
        <s v="https://www.google.com/maps/place/Lucky+Multicuisine+Restaurant/@17.422848,78.4586384,17z/data=!3m1!4b1!4m6!3m5!1s0x3bcb90b4f1a76c29:0x2dd97a740a6f0a53!8m2!3d17.4228429!4d78.4612133!16s%2Fg%2F11fr3lwfw5?hl=en&amp;entry=ttu&amp;g_ep=EgoyMDI2MDIwMS4wIKXMDSoKLDEwMDc"/>
        <s v="Snaapp 224, Food Court, Gandipet Main Rd, beside Ncc Urban One, Kokapet, Hyderabad, Telangana 500075"/>
        <s v="Address: 2nd floor, Hardhik crown building, above HDFC bank, HUDA Techno Enclave, HITEC City, Hyderabad, Telangana 500081"/>
        <s v="Plot 19, Huda Enclave, Sector 2, Hitech City, Hyderabad"/>
        <s v="House 1-98/C/8, Vittal Rao Nagar, Opposite Melange Towers, Hitech City, Hyderabad"/>
        <s v="google.com/maps?sca_esv=dcb567104b2294d0&amp;sxsrf=ANbL-n5lqbl4Fui7H-cLK-YtgJP6EbfQNg:1770874365686&amp;biw=1366&amp;bih=581&amp;um=1&amp;ie=UTF-8&amp;fb=1&amp;gl=in&amp;sa=X&amp;geocode=KYnj5j4Nk8s7MboSR4ZVvDAD&amp;daddr=C9VM%2BFH2,+Patrika+Nagar,+HITEC+City,+Hyderabad,+Telangana+500081"/>
        <s v="7, Balkampet Rd, Hanuman Temple Complex, Swathi Avenue, Ameerpet, Hyderabad, Telangana 500016"/>
        <s v="https://maps.app.goo.gl/MLPAk8oqSLDkFd4U9"/>
        <s v="Road Number 86, Nizam Colony, Toli Chowki, Hyderabad, Telangana"/>
        <s v="https://maps.app.goo.gl/h5mfCSmAMJu8DGXGA?g_st=ic"/>
        <s v="Lakshmi Narasimhaswamy Nagar, Anupama Homes, Manikonda, Hyderabad, Telangana 500089 "/>
        <s v="Lakshmi Narasimhaswamy Nagar, Puppal Guda, Puppalguda, Manikonda, Hyderabad, Telangana 500089"/>
        <s v="https://maps.app.goo.gl/sYXCnfhqxd3hu7ip9"/>
        <s v="https://maps.app.goo.gl/at2JYB7H8y98ogrP6"/>
        <s v="https://maps.app.goo.gl/Ee99adJhmANZ7wbi8"/>
        <s v="https://www.google.com/maps/place/Hitech+Bawarchi+Food+Court/@17.4411555,78.3891442,17z/data=!3m2!4b1!5s0x3bcb915c69673b95:0x2e57b919b7100bcf!4m6!3m5!1s0x3bcb915c697f825f:0x1a999cc2808c5734!8m2!3d17.4411504!4d78.3917191!16s%2Fg%2F11byxft_qc?entry=ttu&amp;g_ep"/>
        <s v="https://maps.app.goo.gl/rLANGzUP8SGcpU1U9"/>
        <s v="https://maps.app.goo.gl/6iuCt9p5WZeixZtb6?g_st=ic"/>
        <s v="htpp"/>
        <s v="https://maps.app.goo.gl/Nk7sXotTrfTDzGZ97?g_st=ic"/>
        <s v="Alkapur Township, Mahalneknapur, Puppalguda, Hyderabad, Telangana"/>
        <s v=" Store No. - 6, Crave &amp; Dine Sy No.11, Road No. 20, Alkapur Township Neknampur road, (Back side of, Manikonda, Hyderabad, Telangana 500089·32 m"/>
        <s v="79, Care Crystal, Vinayak Nagar Colony, Gachibowli, Hyderabad"/>
        <s v="5G Patiala Plate North Indian"/>
        <s v="https://share.google/NGYbU0jsM5QQzbN2H"/>
        <s v="https://share.google/Rak1DxkX5m16fu3uV"/>
        <s v="https://share.google/CHy1tdi4IZ9qchmkI"/>
        <s v="http://www.alanati.in/"/>
        <s v="https://share.google/M0vWSrt6a1iawTVxb"/>
        <s v="Shop No 03, near Golden Temple Road, beside of Gowtham model school, Sri Ram Nagar Colony, Puppalguda, Manikonda, Hyderabad, Telangana 500089"/>
        <s v="Golden Temple Rd, Secretariat Colony, KPR Colony, Puppalguda, Manikonda, Hyderabad, Telangana 500089"/>
        <s v="https://maps.app.goo.gl/J3Wsvxeh1yxFtzcG9?g_st=ic"/>
        <s v="https://maps.app.goo.gl/owvSW6ouv6EYP9Py5?g_st=ic"/>
        <s v="Manikonda "/>
        <s v="https://maps.google.com/maps/place//data=!4m2!3m1!1s0x3bcb974d964ebe25:0xece3580d587566f?entry=s&amp;sa=X&amp;ved=2ahUKEwjugt--qtaSAxV3TGwGHaIQFDYQ4kB6BAgXEAA&amp;hl=en"/>
        <s v="https://maps.app.goo.gl/hpXVVA38FNwEDCzNA"/>
        <s v="https://maps.app.goo.gl/fRG9MCSzy7tPywEL7"/>
        <n v="33.0"/>
        <s v="Meenakshi Bamboos, opposite AIG Hospital &amp; Antera, Bamboos, Phase 2, Gachibowli, Hyderabad, Telangana 500032"/>
        <s v="https://www.google.com/maps/place/Mysore+bakery/@17.3618028,78.3870037,17z/data=!3m1!4b1!4m6!3m5!1s0x3bcb9768cdcae48b:0xb25ceaf90e26b101!8m2!3d17.3617977!4d78.3895786!16s%2Fg%2F11qqgqx9sb?entry=ttu&amp;g_ep=EgoyMDI2MDIxMS4wIKXMDSoASAFQAw%3D%3D"/>
        <s v="https://share.google/Dw0aunpNz3KYzSitm"/>
        <s v="google.com/maps?gs_lcrp=EgZjaHJvbWUyBggAEEUYOTIICAEQABgWGB4yCAgCEAAYFhgeMggIAxAAGBYYHjIICAQQABgWGB4yCAgFEAAYFhgeMggIBhAAGBYYHjIICAcQABgWGB4yCAgIEAAYFhgeMggICRAAGBYYHtIBCDc0MDBqMGo3qAIAsAIA&amp;um=1&amp;ie=UTF-8&amp;fb=1&amp;gl=in&amp;sa=X&amp;geocode=KRHLCwtbkcs7MQxXM_ZqyHLw&amp;dad"/>
        <s v="Udipi's Upahar, Kondapur, Haanuman Nagar, Silpa Park, Hafeezpet, Hyderabad, Telangana 500084"/>
        <s v="https://www.google.com/maps?gs_lcrp=EgZjaHJvbWUqDQgBEC4YrwEYxwEYgAQyCggAEEUYFhgeGDkyDQgBEC4YrwEYxwEYgAQyBwgCEAAYgAQyBwgDEAAYgAQyBwgEEAAYgAQyCAgFEAAYFhgeMggIBhAAGBYYHjIICAcQABgWGB4yCAgIEAAYFhge0gEJMTc0OTdqMGo3qAIIsAIB8QVsLCl7Jib_JQ&amp;um=1&amp;ie=UTF-8&amp;fb=1&amp;gl=in"/>
        <s v="https://www.google.com/maps?sca_esv=d6eb6bac57f34326&amp;sxsrf=ANbL-n4B5OSWpuRwcNbMRnTof1uYTLjeBg:1771311097540&amp;biw=1470&amp;bih=723&amp;uact=5&amp;gs_lp=Egxnd3Mtd2l6LXNlcnAiFWNodXRuZXlzIGlub3JiaXQgbWFsbDILEC4YgAQYxwEYrwEyBRAAGIAEMgYQABgHGB4yBBAAGB4yBBAAGB4yAhAmMgIQJjILE"/>
        <s v="https://www.google.com/maps?gs_lcrp=EgZjaHJvbWUyBggAEEUYOTIJCAEQIRgKGKABMgkIAhAhGAoYoAEyBwgDECEYjwIyBwgEECEYjwIyBwgFECEYjwLSAQgzNDk1ajBqNKgCALACAQ&amp;um=1&amp;ie=UTF-8&amp;fb=1&amp;gl=in&amp;sa=X&amp;geocode=KZWrt9Rxkcs7MVfIMjfyFA-9&amp;daddr=4th+Floor,+Inorbit+Mall,+Mindspace+Madh"/>
        <s v="https://www.google.com/maps?sca_esv=d6eb6bac57f34326&amp;sxsrf=ANbL-n4yy65I9ZopH6s6emlSjdlh6FYi8g:1771311529307&amp;biw=1470&amp;bih=723&amp;uact=5&amp;gs_lp=Egxnd3Mtd2l6LXNlcnAiEGZvbyBpbm9yYml0IG1hbGwyCxAuGIAEGMcBGK8BMgUQABiABDIGEAAYBxgeMgYQABgHGB4yBhAAGAcYHjIEEAAYHjILEAAYg"/>
        <s v="https://www.google.com/maps?gs_lcrp=EgZjaHJvbWUyBggAEEUYOTIPCAEQLhgNGK8BGMcBGIAEMgkIAhAAGA0YgAQyCQgDEAAYDRiABDIJCAQQABgNGIAEMggIBRAAGBYYHjIICAYQABgWGB4yCAgHEAAYFhgeMggICBAAGBYYHtIBCDgwMDdqMGo0qAIAsAIA&amp;um=1&amp;ie=UTF-8&amp;fb=1&amp;gl=in&amp;sa=X&amp;geocode=KR1HXg5tkcs7MdTq"/>
        <s v="https://www.google.com/maps?sca_esv=d6eb6bac57f34326&amp;sxsrf=ANbL-n5KH_hAYgxz9splnQUSXuh-YowONw:1771311989973&amp;biw=1470&amp;bih=723&amp;uact=5&amp;gs_lp=Egxnd3Mtd2l6LXNlcnAiF21hZCBhYm91dCBjaGluYSBpbm9yYml0MgsQLhiABBjHARivATICECYyCBAAGIAEGKIEMggQABiABBiiBDIFEAAY7wUyGhAuG"/>
        <s v="https://www.google.com/maps?sca_esv=d6eb6bac57f34326&amp;biw=1470&amp;bih=723&amp;sxsrf=ANbL-n4uhRq8CYMe_VjmiXbTIjoYRrhr_Q:1771312186517&amp;uact=5&amp;gs_lp=Egxnd3Mtd2l6LXNlcnAiEWtldmVudGVycyBpbm9yYml0Mg4QLhiABBjHARiOBRivATILEC4YgAQYxwEYrwEyBRAAGIAEMgQQABgeMgQQABgeMgQQABgeM"/>
        <s v="https://www.google.com/maps?gs_lcrp=EgZjaHJvbWUqBwgBECEYoAEyBggAEEUYOTIHCAEQIRigATIHCAIQIRigATIHCAMQIRigATIHCAQQIRigATIHCAUQIRiPAjIHCAYQIRiPAtIBCTE0Mzk2ajBqNKgCALACAA&amp;um=1&amp;ie=UTF-8&amp;fb=1&amp;gl=in&amp;sa=X&amp;geocode=KY0d_WHukcs7Mdgo-dk7ysUX&amp;daddr=L4,+Inorbit+Mall,+I"/>
        <s v="https://www.google.com/maps?gs_lcrp=EgZjaHJvbWUyBggAEEUYOTISCAEQLhgNGK8BGMcBGIAEGI4FMgkIAhAAGA0YgAQyCQgDEAAYDRiABDIJCAQQABgNGIAEMgkIBRAAGA0YgAQyCAgGEAAYFhgeMggIBxAAGBYYHjIICAgQABgWGB7SAQgzODUwajBqNKgCALACAA&amp;um=1&amp;ie=UTF-8&amp;fb=1&amp;gl=in&amp;sa=X&amp;geocode=KRmtG-nNk8"/>
        <s v="https://www.google.com/maps?sca_esv=d6eb6bac57f34326&amp;sxsrf=ANbL-n7BVT6m7RNWJrGmzVXHAzXMfEDB9w:1771313119547&amp;biw=1470&amp;bih=723&amp;gs_lp=Egxnd3Mtd2l6LXNlcnAiEWdhYnJ1IGRpIGNoYWFwIEluKgIIADILEC4YgAQYxwEYrwEyCxAuGIAEGMcBGK8BMgUQABiABDIFEAAYgAQyBRAAGIAEMgsQLhiABBjH"/>
        <s v="https://www.google.com/maps?sca_esv=d6eb6bac57f34326&amp;biw=1470&amp;bih=723&amp;sxsrf=ANbL-n6OSFptNvghbGoqHUIlXaLvaUZMkA:1771313504989&amp;uact=5&amp;gs_lp=Egxnd3Mtd2l6LXNlcnAiEnBsdXQwIGlub3JiaXQgbWFsbDIFEAAY7wUyCBAAGIAEGKIEMggQABiABBiiBDIIEAAYgAQYogRI_QdQ0AVY0AVwAXgBkAEAm"/>
        <s v="https://www.google.com/maps?biw=1470&amp;bih=723&amp;sca_esv=d6eb6bac57f34326&amp;sxsrf=ANbL-n7z1uRNTkPoYZu0ed8tQc0S2iL6kg:1771313508929&amp;um=1&amp;ie=UTF-8&amp;fb=1&amp;gl=in&amp;sa=X&amp;geocode=KRf-pxRSkcs7MROeYlBUg-3s&amp;daddr=64,+Inorbit+Mall+Rd,+APIIC+Software+Layout,+Madhapur,+Hyderab"/>
        <s v="https://www.google.com/maps?sca_esv=d6eb6bac57f34326&amp;sxsrf=ANbL-n6zMXS_xjfTwnoF_9GIZIWGUolzMg:1771313953825&amp;biw=1470&amp;bih=723&amp;uact=5&amp;gs_lp=Egxnd3Mtd2l6LXNlcnAiD2FtIGFoYSBpbiBvcmJpdDICECYyBRAAGO8FMgUQABjvBTIFEAAY7wUyCBAAGIAEGKIEMgUQABjvBUj7B1CvA1jEBnABeACQA"/>
        <s v="https://www.google.com/maps?um=1&amp;ie=UTF-8&amp;fb=1&amp;gl=in&amp;sa=X&amp;geocode=KUF8vUYlkcs7MS0rNCnlKQ5i&amp;daddr=103,+104,+5th+Floor,+Inorbit+Mall,+Software+Units+Layout,+Madhapur,+Hyderabad,+Telangana+500081"/>
        <s v="https://www.google.com/maps?sca_esv=d6eb6bac57f34326&amp;biw=1470&amp;bih=723&amp;sxsrf=ANbL-n68xkf7rupxCnfQJmGSVa9MS1buSQ:1771314459815&amp;gs_lp=Egxnd3Mtd2l6LXNlcnAiFmFic29sdXRlIGJhcmJlY3VlIGlub3IqAggAMgsQLhiABBjHARivATILEAAYgAQYkQIYigUyBRAAGIAEMgYQABgWGB4yBhAAGBYYHjIG"/>
        <s v="https://www.google.com/maps/dir//The+Game+Palacio,+Level+5,+Inorbit+Mall+Rd,+near+PVR+Cinema,+Software+Units+Layout,+HITEC+City,+Hyderabad,+Telangana+500081/@17.4391296,78.4859136,15z/data=!4m8!4m7!1m0!1m5!1m1!1s0x3bcb91b9b901e80d:0x5aebc4a84f5dfbba!2m2!1"/>
        <s v="http//"/>
        <s v="F952+H45 Burfi Ghar Sweet Shop, 1-57/11c, 3rd St, opp. Civil Hospital, Kondapur, Sri Ramnagar - Block C, Gachibowli, Hyderabad, Telangana 500084"/>
        <s v="https://maps.app.goo.gl/2Kktb6CGw3TCfPBx7"/>
        <s v="https://maps.app.goo.gl/UP22p3iYoUeYTUdz7"/>
        <s v="Address: Villa 05, Wonder Cherish Villas, Masjid Banda, Telangana 500084"/>
        <s v="Address: 13, beside Apollo pharmacy, Kondapur Main Road, Botanical Garden Rd, Kondapur, Sri Ram Nagar, Kondapur, Telangana 500084"/>
        <s v="https://share.google/ONj2n2GaI20X3tFea"/>
        <s v="https://share.google/srUHBGWH63dYunKNW"/>
        <s v="Om Sai Ram Tiffins https://www.google.com/search?kgmid=%2Fg%2F11f6g5js3m&amp;hl=en-IN&amp;q=Om%20Sai%20Ram%20Tiffins&amp;shndl=30&amp;source=sh%2Fx%2Floc%2Fosrp%2Fm1%2F2&amp;kgs=aced7a64b6679088"/>
        <s v="https://share.google/WbSC2YeW2euvyWXec"/>
        <s v="https://share.google/YfSA4bjUxoJiV6vSl"/>
        <s v="17.433044074663634, 78.38136655335184"/>
        <s v="17.43391403132923, 78.38254875300429"/>
        <s v="17.434247898762155, 78.38196122416875"/>
        <s v="17.433158540214496, 78.38246986649779"/>
        <s v="17.434874274137258, 78.38273486649781"/>
        <s v="Hitech City Rd, Kondapur, Laxmi Cyber City, Whitefields, Gachibowli, Hyderabad, Telangana 500084"/>
        <s v="https://maps.app.goo.gl/xK7xrwBxYyjxiacc8"/>
        <s v="https://maps.app.goo.gl/oXwuf4LKsNdYomaPA"/>
        <s v="https://maps.app.goo.gl/nA3YjUfHoAfydvHw9"/>
        <s v="https://maps.app.goo.gl/tx9Nc1Maef9y1ixo7"/>
        <s v="https://maps.app.goo.gl/Fy7aeqRmTAGgLgWn6"/>
        <s v="https://maps.app.goo.gl/wrTbDZnD5N3mw4cu5"/>
        <s v="https://maps.app.goo.gl/NN3VLf1stEGKdp4HA"/>
        <s v="Chicken Shawarma Hut https://share.google/2XaGD76rDi428j0H6"/>
        <s v="17.43324929596664, 78.38234912601712"/>
        <s v="https://share.google/AxIFmrqurMJGg5zip"/>
        <s v="https://maps.app.goo.gl/RQ4eFXL7YjP8chk99"/>
        <s v="https://share.google/XMBxRGaXbDmXdehfP"/>
        <s v="https://maps.app.goo.gl/CfCrheay9uRm8XX9A"/>
        <s v="KAMAKSHI TIFFINS AND SNACKS https://share.google/Jgrnxq442N5g3OQmw"/>
        <s v="https://maps.app.goo.gl/WhDMmw7eW8W5E6xW8"/>
        <s v="Address: plot no:25, Jayabheri Enclave, Gachibowli, Hyderabad, Telangana 500032"/>
        <s v="Address: Kanhaiyalal Complex, Old Mumbai Hwy, Indira Nagar, Gachibowli, Hyderabad, Telangana 500032"/>
        <s v="https://www.google.com/maps/place/Hi-Tech+Bawarchi+Multi+Cuisine+Restaurant/@17.4463925,78.3553254,17z/data=!3m1!4b1!4m6!3m5!1s0x3bcb93957fc72207:0x7041b4aed2113221!8m2!3d17.4463874!4d78.3579003!16s%2Fg%2F119wpxspp?hl=en&amp;entry=ttu&amp;g_ep=EgoyMDI2MDIxMS4wIKX"/>
        <s v="17.398296633261864, 78.48459875214712"/>
        <s v="17.405983759038325, 78.46758593069016"/>
        <s v="Twilight Manikonda, Twilight, Road number 1, Neknampur Rd, Alkapur Twp, Puppalguda, Hyderabad, Telangana 500089"/>
        <s v="https://www.google.com/maps/place/Malabar+Kitchen/@17.4509053,78.3083533,17z/data=!3m1!4b1!4m6!3m5!1s0x3bcb93c30d57cb29:0xf2046a6c2f2ee5b6!8m2!3d17.4509002!4d78.3109282!16s%2Fg%2F11h7r438dt?entry=ttu&amp;g_ep=EgoyMDI2MDIxMS4wIKXMDSoASAFQAw%3D%3D"/>
        <s v="https://www.google.com/maps/place/Yum+Yum+Tree+Arabian+Food+Court+gachibowli/@17.4305869,78.3219044,17z/data=!3m1!4b1!4m6!3m5!1s0x3bcb936f8238cc77:0x170954685a40fb08!8m2!3d17.4305818!4d78.3244793!16s%2Fg%2F11f4t6jqmj?entry=ttu&amp;g_ep=EgoyMDI2MDIxMS4wIKXMDSo"/>
        <s v="17.373163795634103, 78.41510373680133"/>
        <s v="https://maps.app.goo.gl/H9SX4U2MU2PjPQZe7"/>
        <s v="https://share.google/uwobkDmwrtS7lnqmR"/>
        <s v="17.44764549885319, 78.40989510874411"/>
        <s v="https://maps.app.goo.gl/EVJtCvpror5Cgh7o8"/>
        <s v="https://share.google/UD00MDZGwWVyGDAmY"/>
        <s v="https://share.google/M1PB6kWW79XB9UDIO"/>
        <s v="https://share.google/3zAzeNUNZf8ETdCvG"/>
        <s v="https://share.google/0FAZRMPoXgCw0Fyoq"/>
        <s v="KASOORI - North Indian Rooftop Restaurant https://share.google/IjWb4AWnKSOqkj97T"/>
        <s v="Bakely https://share.google/EPgu0uthGQLelQOzx"/>
        <s v="https://maps.app.goo.gl/ZX1PKgCmqgjduocj7"/>
        <s v="https://maps.app.goo.gl/k9WJWwkpwA3V2dof7"/>
        <s v="https://maps.app.goo.gl/TTtJ7J4W3bw8JTsu9"/>
        <s v="https://maps.app.goo.gl/VdnukP9PkqLLhWqQ7"/>
        <s v="https://maps.app.goo.gl/tWWabBCKUvnGKtRT9"/>
        <s v="https://maps.app.goo.gl/1RTgYEiDbyhJ6orG7"/>
        <s v="https://maps.app.goo.gl/ScmmEJwWb3SHJCqB9"/>
        <s v="https://maps.app.goo.gl/TNeKE9L8oEFahn8R9"/>
        <s v="https://maps.app.goo.gl/59keb47TwkDraerf6"/>
        <s v="Hungry spot https://share.google/CfZOTOP18H9N78OS2"/>
        <s v="https://share.google/rBQh0y9tZ3jb15iLq"/>
        <s v="https://share.google/oLGEXqY5nrFZoHwwT"/>
        <s v="A, Nagar, 8-415/81, Sapthagiri Colony, Indra Reddy Allwyn Colony, Hafeezpet, Hyderabad, Telangana 500049"/>
        <s v="New Hafeezpet, Marthanda Nagar, Hafeezpet, Hyderabad, Telangana 500049"/>
        <s v="https://share.google/FQROJgExIdqy3vrwr"/>
        <s v="https://share.google/s5YB6CZB2NHCEXpOl"/>
        <s v="17.40725330200793, 78.41484312470567"/>
        <s v="17°24'25.3&quot;N 78°24'53.2&quot;E"/>
        <s v="https://maps.app.goo.gl/fCaFg8X4E9UMrVj99"/>
        <s v="Sri Vigneshwara Aaha Bhojanam https://share.google/PwTHMHsXO3YCp34vE"/>
        <s v="CAFE 74 https://share.google/TYORwrLcPj16kLlCm"/>
        <s v="Mom's Recipe https://share.google/ht27zIOhtypIH4czh"/>
        <s v="https://share.google/g8VtPK9T7Lq2eV6HV"/>
        <s v="https://share.google/b7w9SqsO3x5h9MKiW"/>
        <s v="https://maps.app.goo.gl/g6cNTrpwb4QL6jAz6"/>
        <s v="https://maps.app.goo.gl/7zaYTnnraGZVayoE9"/>
        <s v="https://maps.app.goo.gl/7gGytv11hEArWsgo6"/>
        <s v="https://maps.app.goo.gl/FNpYJXFYk9jPzHydA"/>
        <s v="https://maps.app.goo.gl/cs25WNq7NeyT9LMq5"/>
        <s v="17.49321162833928, 78.36865605166973"/>
        <s v="17.50002105372467, 78.40006400639113"/>
        <s v="17.424383453767042, 78.29131696728237"/>
        <s v="17.388304936704817, 78.35450980476377"/>
        <s v="bna"/>
        <s v="https://www.google.com/maps/place/NAWABI+CAFETERIA+%26+Family+Restaurant/@17.3412502,78.3705311,17z/data=!3m1!4b1!4m6!3m5!1s0x3bcb95e55fd5b9b7:0xb768a25ba13cdba4!8m2!3d17.3412451!4d78.373106!16s%2Fg%2F11x73bx5fy?hl=en&amp;entry=ttu&amp;g_ep=EgoyMDI2MDIxMS4wIKXMDS"/>
        <s v="F997+H5W Bombay Juice, Kondapur, Raghavendra Colony, Gachibowli, Hyderabad, Telangana 500084"/>
        <s v="https://maps.app.goo.gl/7ZAKm49VnnqBZjCD7"/>
        <s v="Banhajarahills"/>
        <s v="https://maps.app.goo.gl/iQh3tM84Cxr7pSrz8"/>
        <s v="17.407277027117292, 78.39229526701243"/>
        <s v="nq"/>
        <s v="anna"/>
        <s v="https://www.google.com/maps/place//@17.3626202,78.3920017,17z/data=!3m1!4b1!4m6!1m5!3m4!2zMTfCsDIxJzQ1LjQiTiA3OMKwMjMnNDAuNSJF!8m2!3d17.3626111!4d78.3945833?hl=en&amp;entry=ttu&amp;g_ep=EgoyMDI2MDIyMi4wIKXMDSoASAFQAw%3D%3D"/>
        <s v="https://share.google/fcLsKH5VyWtrElBSB"/>
        <s v="https://share.google/BgBGogzHjTZVfrDxp"/>
        <s v="https://share.google/5fOzwt6aeXKXGYN1i"/>
        <s v="https://share.google/PciqUWGRouRjOyi4V"/>
        <s v="https://maps.app.goo.gl/n6GkDThzygHgQvL6A?g_st=ic"/>
        <s v="17.398351311392286, 78.36519086791014"/>
        <s v="https://maps.app.goo.gl/z9SkJgocGbESBgAP8?g_st=ic"/>
        <s v="sk sports arena and drive-in, Shirdi Sai Nagar, Manikonda, Hyderabad, Telangana 500089"/>
        <s v="https://share.google/CMz1OA41NbziAOgF2"/>
        <s v="https://share.google/ZzD5DnBNCZEb4Q0if"/>
        <s v="17.540369703987597, 78.36868222281474"/>
        <s v="17.540677923108323, 78.36782046420701"/>
        <s v="17.402568898716094, 78.37420155441876"/>
        <s v="https://maps.google.com/?q=Baburao%20Gari%20Biryani,%20Sri%20Sai%20Chaitanya%20Nilayam,%20Street%20Number%204,%20opposite%20Montessori%20High%20School,%20Vijaya%20Nagar%20Colony,%20Kukatpally,%20Hyderabad,%20Telangana%20500072&amp;ftid=0x3bcb919f96d79569:0xc5"/>
        <s v="https://maps.app.goo.gl/c9RYPFLsTBfefUWG9?g_st=ic"/>
        <s v=" Na"/>
        <s v="500063, 5-9-20/A, Secretariat Rd, Saifabad, Khairtabad, Hyderabad, Telangana 500004"/>
        <s v="https://www.google.com/maps/place/Madhapur+Bawarchi,+Ayyappa+Society+Main+Road/@17.4416457,78.3891354,17z/data=!3m1!4b1!4m6!3m5!1s0x3bcb915c640be665:0xd6108edbbd595caf!8m2!3d17.4416406!4d78.3917103!16s%2Fg%2F11bw4sh2j2?hl=en&amp;entry=ttu&amp;g_ep=EgoyMDI2MDMwMS4"/>
        <s v="ns"/>
        <s v="https://www.google.com/maps?q=17.4674346,78.3981803&amp;z=17&amp;hl=en"/>
        <s v="google.com/maps?q=17.4674346,78.3981803&amp;z=17&amp;hl=en"/>
        <s v="https://maps.app.goo.gl/2QPzRsRkpAAWKYP87"/>
        <s v="https://maps.app.goo.gl/jFdAGQyCvp6NZha37"/>
        <s v="https://maps.app.goo.gl/sQMhB2TAK2ihFpq1A"/>
        <s v="https://maps.app.goo.gl/d4aYjc9VNEkBhgtu8"/>
        <s v="https://maps.app.goo.gl/rKEwYoJBxmCtTMGs5"/>
        <s v="Miyapur "/>
        <s v="https://www.google.com/maps?q=17.4866222,78.3978727&amp;z=17&amp;hl=en"/>
        <s v="https://www.google.com/maps?q=17.4701567,78.4187885&amp;z=17&amp;hl=en"/>
        <s v="https://www.google.com/maps?q=17.4878529,78.3941825&amp;z=17&amp;hl=en"/>
        <s v="https://www.google.com/maps/place/Ala+Konaseemaloo/@17.485835,78.388804,17z/data=!3m1!4b1!4m6!3m5!1s0x3bcb919f123fde81:0xfd35517a7df075dd!8m2!3d17.4858299!4d78.3913789!16s%2Fg%2F11ynz_g52n?hl=en&amp;entry=ttu&amp;g_ep=EgoyMDI2MDMwNS4wIKXMDSoASAFQAw%3D%3D"/>
        <s v="https://share.google/yJYJ5H1MhZ5AXLkmt"/>
        <s v="https://share.google/cGwLiZvR7bvsWRMtF"/>
        <s v="https://maps.app.goo.gl/J6fXcWdbKbn52DFf8"/>
        <s v="https://maps.app.goo.gl/6vbWDLY4L89VdBTu9"/>
        <s v="https://maps.app.goo.gl/bmcqmqveFcxUG5189"/>
        <s v="https://maps.app.goo.gl/czMQ9rMX5SUwHGBSA"/>
        <s v="https://share.google/KRNDtfbxOEpjMeTRs"/>
        <s v="https://www.google.com/travel/hotels/s/rfbsr2SurcwVJaqw9"/>
        <s v="https://maps.app.goo.gl/pd3GpLjbyb7teD4G7"/>
        <s v="Minerva"/>
        <s v="https://maps.app.goo.gl/DT8E6ga4ZgTBtJY86"/>
        <s v="https://maps.app.goo.gl/bvLLQi92EuhBxDRCA?g_st=ic"/>
        <s v="https://maps.app.goo.gl/Ao37FYj6SkoNo3bA9?g_st=ic"/>
        <s v="Ameerpet "/>
      </sharedItems>
    </cacheField>
    <cacheField name="Restaurant ID">
      <sharedItems containsBlank="1" containsMixedTypes="1" containsNumber="1" containsInteger="1">
        <m/>
        <n v="5823694.0"/>
        <n v="1.2345578E7"/>
        <s v="Krishna teeram"/>
        <s v="Ahaladha kitchen"/>
        <s v="Delicia"/>
        <s v="Palapitta Ruchulu"/>
        <s v="lucky restaurant "/>
        <s v="godavari restaurant "/>
        <s v="frozen bottles "/>
        <s v="minyu"/>
        <s v=" hyderabad host"/>
        <s v="king mandi "/>
        <s v="Bahar Biryani"/>
        <s v="Singha Dhaba"/>
        <s v="Minerva Blue fox hotel "/>
        <s v="Rayalasema Ruchulu"/>
        <s v="Ahara Tiffins"/>
        <s v="godavari  restaurant "/>
        <s v="UCKY RESTAURANT"/>
        <s v="NA"/>
        <s v="Mandi@36"/>
        <s v="LUCKY RESTAURANT"/>
        <s v="SARVI RESTAURANT "/>
        <s v="Maraheb mandi"/>
        <s v="Hiyya the chrono jail mandi"/>
        <s v="Toscano"/>
        <s v="itlu bobbatlu"/>
        <s v="Hard rock cafe"/>
        <s v="krishnapatanam "/>
        <s v="Simply parottas "/>
        <s v="ARMAN HOTEL"/>
        <s v="Suryakantham military hotel "/>
        <s v="royal arabian mandi "/>
        <s v="7 spices "/>
        <s v="Raw bakers"/>
        <s v="South n spice "/>
        <s v="Biryaniwala nd co"/>
        <s v="mr faddy "/>
        <s v=" gyros doner by nice juice centre "/>
        <s v="kabul darbar"/>
        <s v="parcel counter"/>
        <s v="ZEESHAN "/>
        <s v="The good sparrow"/>
        <s v="Bhoojanam Tayyaru"/>
        <s v="Tadipatri"/>
        <s v="N"/>
        <s v="Biryaniwala &amp; CO"/>
        <s v="Eat spot "/>
        <s v="Kings biryani "/>
        <s v="AI RAHAMAN BAKERY"/>
        <s v="AL BAIK"/>
        <s v="Al Rikaab"/>
        <s v="Sns bakehouse bakery and cafe "/>
        <s v="Kochinspices"/>
        <s v="Poruginti chepala pulusu "/>
        <s v="CAFE UNITED"/>
        <s v="Hotel Farzaan"/>
        <s v="Tipsy Topsy "/>
        <s v="Suryakantham Military Hotel"/>
        <s v="Ritvikas kitchen "/>
        <s v="Naidu gari kunda biryani"/>
        <s v="Kakatiyya tiffins"/>
        <s v="CAFE 555 AND AQEEQ RESTAURANT"/>
        <s v="Meghana non veg parcels"/>
        <s v="Emerald food house "/>
        <s v="Lassi and shakes"/>
        <s v="City555"/>
        <s v="Imperial "/>
        <s v="Bhimavaram thali "/>
        <s v="badrachalam cafe"/>
        <s v="bab al mandi"/>
        <s v="oven fresh bakery"/>
        <s v="nza"/>
        <s v="Vinni cabin cafe "/>
        <s v=" Aha Dakshin"/>
        <s v="Burger King"/>
        <s v="WOW China"/>
        <s v="The Thickshake Factory "/>
        <s v="The Spicy Express "/>
        <s v="Frankie"/>
        <s v="Khaan Saab"/>
        <s v="Chai point "/>
        <s v="Onesta "/>
        <s v="7th Heaven &amp; white hart"/>
        <s v=" fire and ice  ice cream "/>
        <s v="Bakers harvest"/>
        <s v="NAWAB CAFETERIA"/>
        <s v="Deerga Ayushman bhava "/>
        <s v="Hari dosa "/>
        <s v="Missamma restaurant "/>
        <s v="Rainbow mandi "/>
        <s v="Raagam foods "/>
        <s v="Kings biryani adda "/>
        <s v="Qubz"/>
        <s v="Special 9"/>
        <s v="Pala pitta ruchulu"/>
        <s v="Patnam ruchulu"/>
        <s v="Pandaga"/>
        <s v="Sorse"/>
        <s v="Haldirams"/>
        <s v="Almond House"/>
        <s v="Mezbaan"/>
        <s v="Peshawar"/>
        <s v="Organic Creamery"/>
        <s v="Shanghai Flavours of China"/>
        <s v="Karachi Bakery"/>
        <s v="Narthanashala"/>
        <s v="Spicy hut"/>
        <s v="Fb bakers"/>
        <s v="Sri subham food court "/>
        <s v="Lassi shop"/>
        <s v="Times food courtt"/>
        <s v="Kulcha kulcha"/>
        <s v="Southern fusion"/>
        <s v="IFC INDIAN FAV CHEF"/>
        <s v="Le Meridian"/>
        <s v="Sweets Dude"/>
        <s v="Accor"/>
        <s v="Kunafa Bake"/>
        <s v="Chai Point"/>
        <s v="Haldiram"/>
        <s v="Sankala bakery"/>
        <s v="Spicy food court"/>
        <s v="Rayalaseema spice"/>
        <s v="Spicy Express "/>
        <s v="JAI BHAVANI AK FOOD COURT"/>
        <s v="Arya tiffins"/>
        <s v="Sai Ram tiffins "/>
        <s v="Vasudo dhaba "/>
        <s v="Delhi ke famous nagpals "/>
        <s v="Persis"/>
        <s v="Athidis kitchen "/>
        <s v="Punjabi chaska"/>
        <s v="PREETI TIFFINS "/>
        <s v="Aha ruchulu "/>
        <s v="Hotel surichi"/>
        <s v="Godavari ruchulu"/>
        <s v="Mohammed yaser"/>
        <s v="sri poorna "/>
        <s v="o ginger"/>
        <s v="Kush mandi"/>
        <s v="swach"/>
        <s v="Zaiqa 11 "/>
        <s v="vellanki"/>
        <s v="thrive some cafe and cpo"/>
        <s v="Zafaron shawarma and chinese fast food"/>
        <s v="Sri akshaya tiffins "/>
        <s v="Midland bakers"/>
        <s v="chaitanya food court"/>
        <s v="cafe coffee day"/>
        <s v="chocolate room"/>
        <s v="THE SIPPING ADDA"/>
        <s v="sAI RISHITHA FAST FOOD CENTRE"/>
        <s v="Mathru sree athidhidevobhava"/>
        <s v="Induru spice kitchen"/>
        <s v="Irawath kitchen"/>
        <s v="Sri venkateswara food court"/>
        <s v="Perch 24 cafe"/>
        <s v="The bakely"/>
        <s v="Club 10 Chicken"/>
        <s v="Sarovar Portico Hotel"/>
        <s v="Hotel Greenpark &amp; Marigold"/>
        <s v="Zam zam restaurant "/>
        <s v="Sri Sai tiffins and curry point "/>
        <s v="Al furquan hotel "/>
        <s v="The Thickshake Factory"/>
        <s v="taaza tiffens"/>
        <s v="babai hotel"/>
        <s v="Prost"/>
        <s v="Paradise Biryani"/>
        <s v="City chefs kitchen "/>
        <s v=" felfelah "/>
        <s v="Park Hyatt"/>
        <s v="Cock and Bull Hyderabad"/>
        <s v="Ulavacharu"/>
        <s v="Bhulakshmi Mess"/>
        <s v="Granny's Kitchen"/>
        <s v="Akshaya patra"/>
        <s v="Famous arabian shawarma"/>
        <s v="Afroz"/>
        <s v="Classic crown"/>
        <s v="Bhavani food court"/>
        <s v="shake it up"/>
        <s v="srk food court "/>
        <s v="A1 HOTEL"/>
        <s v="Yum yum tree "/>
        <s v="Absolute Barbeque "/>
        <s v="Rokali"/>
        <s v="Universal Restaurant "/>
        <s v="Royal Bawarchi "/>
        <s v="Classic crown restaurent"/>
        <s v="Sri Tejas kitchen"/>
        <s v="Crispy crunch dinner"/>
        <s v="Appi natural fresh juice"/>
        <s v="amans food court"/>
        <s v="Aha Dakshin"/>
        <s v="SRG Restro inn"/>
        <s v="Shri balaji chennai spices"/>
        <s v="Nikhils feast"/>
        <s v="Manikantas eat spot"/>
        <s v="Dosa mart"/>
        <s v="N hot chinese"/>
        <s v="Hot shawarma nd wings"/>
        <s v="Crispy hot wings"/>
        <s v="Hot wings"/>
        <s v="Mallesh mama fast food"/>
        <s v="Ma oori vanta"/>
        <s v="Monkeys cafe "/>
        <s v="Best biryanis and curries"/>
        <s v="Koodu the taste of Telangana"/>
        <s v="Tealogy"/>
        <s v="Sri Shakambhari Restaurant "/>
        <s v="Sri Shakambhari Restaurant (Chinese)"/>
        <s v="Mekallas shawarma and kababs "/>
        <s v="Nagallas shawarma and kababs"/>
        <s v="Rk multi cuisine "/>
        <s v="hillstar "/>
        <s v="Udipis ahaara arogya"/>
        <s v="Dostea"/>
        <s v="Rajamundry vaari real rose milk "/>
        <s v="Open heart restaurant "/>
        <s v="Gen Z flavoria"/>
        <s v="Araya Bhavan"/>
        <s v="Mini cafe"/>
        <s v="Zucifera "/>
        <s v="mfc"/>
        <s v="kamat hotel "/>
        <s v="IDV muntha masala"/>
        <s v="Sreeja home foods"/>
        <s v=" prime deccan restaurant "/>
        <s v="Arabian mandi"/>
        <s v="Slice and Sauce"/>
        <s v="Rk Chinese "/>
        <s v="Alekhya "/>
        <s v="sai martha food court "/>
        <s v="Aroma Cafe"/>
        <s v="Kolkata Food Plaza"/>
        <s v="Zufra mandi"/>
        <s v="Grizzlly"/>
        <s v="The shawarma co"/>
        <s v="Chickpet donne biryani house"/>
        <s v="Minerva "/>
        <s v="maa bhojanam "/>
        <s v="minsitry of coffee affairs"/>
        <s v="the big cup theory"/>
      </sharedItems>
    </cacheField>
    <cacheField name="Name (POC-1)">
      <sharedItems containsBlank="1" containsMixedTypes="1" containsNumber="1" containsInteger="1">
        <m/>
        <s v="sandeep"/>
        <s v="Rama Rao"/>
        <s v="Mohammed Amir"/>
        <s v="Shesha sai"/>
        <s v="Venkat Lingam"/>
        <s v="NATVA SANTOSH KUMAR"/>
        <s v="GM RAGHAVENDRA"/>
        <s v="narapu reddy "/>
        <s v="AKASH"/>
        <s v="SHIVA"/>
        <s v="prajwah kumar"/>
        <s v="RAVI"/>
        <s v="Suresh"/>
        <s v="Naveen"/>
        <s v="no details"/>
        <s v="owner"/>
        <s v="Vishwa"/>
        <s v="didnt mention"/>
        <s v="khasim "/>
        <s v="syed Aman"/>
        <s v="shiek Nazeer"/>
        <s v="B.Raja Yeshwanth Kumar"/>
        <s v="Nikhil"/>
        <s v="Mansoor"/>
        <s v="satya"/>
        <s v="bhanu"/>
        <s v="Mukesh"/>
        <s v="ajay "/>
        <s v="HARI"/>
        <s v="Uttam Kumar"/>
        <s v="Masood"/>
        <s v="kavi raj"/>
        <s v="ASFIYA SULTANA"/>
        <s v="Harish Dhas"/>
        <s v="Das "/>
        <s v="SYED AMEER HUSSAIN"/>
        <s v="Bodh"/>
        <s v="Bhargav"/>
        <s v="Surendar Singh"/>
        <s v="Ravi Kanth"/>
        <s v="Jashwanth"/>
        <s v="BHURDHABAN"/>
        <s v="Khuddus Hussian"/>
        <s v="Rihaan"/>
        <s v="Prathap"/>
        <s v="AFROZE"/>
        <s v="Hamzad ali"/>
        <s v="99590 20310"/>
        <s v="Venu"/>
        <s v="Harsha "/>
        <s v="Harsha"/>
        <s v="Vinesh Reddy"/>
        <s v="Praveen"/>
        <s v="SHABANA BEGUM"/>
        <s v="SYED AMEER HUSSIAN"/>
        <s v="MOHD ARSHAD"/>
        <s v="MOHAMMED FEROZ"/>
        <s v="Anil"/>
        <s v="Mirza Hussain"/>
        <s v="SUDHAKAR"/>
        <s v="JYOTHI"/>
        <s v="SHANKAR"/>
        <s v="ANKIT"/>
        <s v="SANTOSH"/>
        <s v="KHASIM"/>
        <s v="Pranay"/>
        <s v="Ramchanra rao"/>
        <s v="CHALLA TRIVENI"/>
        <s v="NAVEEN REDDY"/>
        <s v="IBRAHIM KHAN"/>
        <s v="ASHRAF ALI"/>
        <s v="SHEIK NAZEER"/>
        <s v="MOHD UMAR KHAN "/>
        <s v="Sai Teja"/>
        <s v="ashok thapa"/>
        <s v="Sai Kumar Goud"/>
        <s v="manjunath "/>
        <s v="Dinesh "/>
        <s v="Kanshith"/>
        <s v="Prabavathi"/>
        <s v="Karthik"/>
        <s v="K Nagabhushan rao"/>
        <s v="Prasad"/>
        <s v="Suryam"/>
        <s v="Bhoojanam"/>
        <s v="Mandi@69"/>
        <s v="Prabath"/>
        <s v="Juhi Sanjay Sajnani"/>
        <s v="NA"/>
        <s v="DINESH REDDY"/>
        <s v="MAHESH "/>
        <s v="Manger(Rohith)"/>
        <s v="Anjayya"/>
        <s v="DANIAL"/>
        <s v="Anji"/>
        <s v="Manager(Chandu)"/>
        <s v="Uma"/>
        <s v="Pasha"/>
        <s v="Rajesh GM"/>
        <s v="Zakil"/>
        <s v="Santhosh"/>
        <s v="Saddam(Manager)"/>
        <s v="MAJEED"/>
        <s v="Maraheb"/>
        <s v="Swathi"/>
        <s v="Kajal"/>
        <s v="Bala"/>
        <s v="Fayz"/>
        <s v="vijay"/>
        <s v="SAHIL"/>
        <s v="Ali firoz"/>
        <s v="vinod"/>
        <n v="7.00363664E9"/>
        <s v="Rajini "/>
        <s v="Narsigin Rao"/>
        <s v="Srinu"/>
        <s v="Prabhakar"/>
        <s v="Nun"/>
        <s v="Venkatesh"/>
        <s v="ZUBAIR"/>
        <s v="BARBEQUE NATION"/>
        <s v="SYED VARIS"/>
        <s v="Sai krishna "/>
        <s v="Rupesh "/>
        <s v="Syed Habid"/>
        <s v="Ali"/>
        <s v="Zunaid "/>
        <s v="Arvind Chowdary"/>
        <s v="Pruthvi"/>
        <s v="RAKESH"/>
        <s v="sai krishna"/>
        <s v="AYUB QURESHI"/>
        <s v="Nageshwar rao"/>
        <s v="Ramya "/>
        <s v="Sudheerr "/>
        <s v="Abdul"/>
        <s v="Sandhya Rani"/>
        <s v="Basawath"/>
        <s v="Balu"/>
        <s v="Omkar"/>
        <s v="ibharim "/>
        <s v="ASHFAQ"/>
        <s v="ali "/>
        <s v="satya "/>
        <s v="Deepak kumar"/>
        <s v="Thalmal"/>
        <s v="Praney"/>
        <s v="Abib"/>
        <s v="Sridhar"/>
        <s v="Manager"/>
        <s v="Raza"/>
        <s v="Owners"/>
        <s v="Chandrashekar"/>
        <s v="Sangham Veg Aaffair"/>
        <s v="Deccan biryani house and restaurent"/>
        <s v="Maheswar rao"/>
        <s v="Mahesh"/>
        <s v="HUSSAIN"/>
        <s v="ABRAR"/>
        <s v="abdul malik "/>
        <s v="Sajaz"/>
        <s v="SHAKEEL"/>
        <s v="Anjaiah"/>
        <s v="SUDARSAN NAYAK"/>
        <s v="hotel armani"/>
        <s v="irsaad"/>
        <s v="pakisa"/>
        <s v="ahmed "/>
        <s v="ashok"/>
        <s v="UMAR KHAN "/>
        <s v="REHAAN"/>
        <s v="BABULAN"/>
        <s v="Ramchandra rao"/>
        <s v="Rama chandarrao "/>
        <s v="Srithisk"/>
        <s v="Ramachandra rao"/>
        <s v="Kondaiah"/>
        <s v="Manchu Manoj "/>
        <s v="Shekar"/>
        <s v="Raju"/>
        <s v="Hazrat"/>
        <s v="Prashanth reddy "/>
        <s v="Aravind reddy "/>
        <s v="Sameer"/>
        <s v="Bhargav "/>
        <s v="Krishna"/>
        <s v="Srikanth reddy "/>
        <s v="Upendra "/>
        <s v="Ashwaq"/>
        <s v="Nasir"/>
        <s v="Dinesh reddy "/>
        <s v="Akhil reddy"/>
        <s v="Ibrahim Khan "/>
        <s v="Triveni "/>
        <s v="Ashish kumar "/>
        <s v="Manasa "/>
        <s v="Rajesh kethineni"/>
        <s v="Vidya Sagar kadali"/>
        <s v="Nagendar "/>
        <s v="Shanker"/>
        <s v="Maheshwar rao"/>
        <s v="Dhakshina murthy"/>
        <s v="Adi"/>
        <s v="Manikanta"/>
        <s v="Azeez "/>
        <s v="Param"/>
        <s v="Basha "/>
        <s v="RAHAMAN"/>
        <s v="Aram"/>
        <s v="Uma maheshwar rao"/>
        <s v="AL BAIK"/>
        <s v="Sanjeev Reddy"/>
        <s v="Vijay "/>
        <s v="Sirish"/>
        <s v="Subhash"/>
        <s v="Shiva kumar"/>
        <s v="Jeff"/>
        <s v="Sai kiran"/>
        <s v="ARBAR"/>
        <s v="Raju "/>
        <s v="Ram"/>
        <s v="ILYAS"/>
        <s v="Khan saab"/>
        <s v="Giri"/>
        <s v="Chandu(branch incharge)"/>
        <s v="Dilip"/>
        <s v="Awaiz Ammari"/>
        <s v="Divya"/>
        <s v="faheen"/>
        <s v="Basha"/>
        <s v="Padmavathi"/>
        <s v="Sohail"/>
        <s v="Md.Atif Ali"/>
        <s v="ABDUL MALIK"/>
        <s v="gulam"/>
        <s v="Deepak"/>
        <s v="CHANDRA KANT"/>
        <s v="NA "/>
        <s v="abhimanyu "/>
        <s v="Ram reddy"/>
        <s v="E. Manikanteswara Reddy"/>
        <s v="Jagan Mohan "/>
        <s v="Naveen "/>
        <s v="Aashritha "/>
        <s v="Krishna "/>
        <s v="Sri latha"/>
        <s v="Giri "/>
        <s v="Kali "/>
        <s v="Sudhakar "/>
        <s v="Sai "/>
        <s v="Sarath "/>
        <s v="Chandu "/>
        <s v="Pundari naidu "/>
        <s v="abbas"/>
        <s v="umar "/>
        <s v="Jeevan"/>
        <s v="Piyush"/>
        <s v="Vamshi"/>
        <s v="Haritha"/>
        <s v="Shekhar "/>
        <s v="Satyam"/>
        <s v="Jaffar"/>
        <s v="Jamindar"/>
        <s v="Ramana"/>
        <s v="Sai Kiran "/>
        <s v="Ramakrishna "/>
        <s v="Lead"/>
        <s v="Lead murali"/>
        <s v="samdar"/>
        <s v="GANESH"/>
        <s v="Lead murali "/>
        <s v="ranjan "/>
        <s v="Durga"/>
        <s v="Madhushekar "/>
        <s v="Sudhakar reddy "/>
        <s v="Ravi Kumar "/>
        <s v="Ravi Kumar"/>
        <s v="Sridar"/>
        <s v="Anad"/>
        <s v="Kalyani "/>
        <s v="Kedarnath reddy "/>
        <s v=" mohammed "/>
        <s v="abhimanyu"/>
        <s v="sarbeena "/>
        <s v="suresh "/>
        <s v="Rohan"/>
        <s v="Alif"/>
        <s v="Gm"/>
        <s v="Hyder"/>
        <s v="Syder"/>
        <s v="Sunny"/>
        <s v="Ragvendra"/>
        <s v="Rama "/>
        <s v="Rajashekar"/>
        <s v="Venkata reddy"/>
        <s v="Arun"/>
        <s v="Sravan reddy "/>
        <s v="Deva "/>
        <s v="Satish"/>
        <s v="raghuram"/>
        <s v="mirza "/>
        <s v="fathima"/>
        <s v="deepak "/>
        <s v="irfaan "/>
        <s v="ashok "/>
        <s v="mohammed"/>
        <s v="shiva "/>
        <s v="vidhya sagar"/>
        <s v="shruthi"/>
        <n v="33.0"/>
        <s v="Test"/>
        <s v="Vinesh "/>
        <s v="P rohit "/>
        <s v="Shoukat "/>
        <s v="Sudhanshu "/>
        <s v="Muzzammil "/>
        <s v="Mohan Singh"/>
        <s v="Venkateswar Rao"/>
        <s v="Chandu"/>
        <s v=" Yashwant sai"/>
        <s v="Rakesh "/>
        <s v="syed "/>
        <s v="Suraj "/>
        <s v="Srinivas Reddy "/>
        <s v="Charan "/>
        <s v="Aditya "/>
        <s v="Priyan"/>
        <s v="Ragav"/>
        <s v="Mohammed khaleel"/>
        <s v="Srikant Reddy"/>
        <s v="Amit"/>
        <s v="megha"/>
        <s v="azhar"/>
        <s v="Teja"/>
        <s v="ashish"/>
        <s v="VENKETESH"/>
        <s v="Gurvinder Singh "/>
        <s v="DINESH"/>
        <s v="Sultan "/>
        <s v="Santhosh "/>
        <s v="IRFAN"/>
        <s v="Sri ram"/>
        <s v="T Naveen Kumar"/>
        <s v="Srinivas "/>
        <s v="Hari palve"/>
        <s v="Divya "/>
        <s v="Surendra"/>
        <n v="9.381425752E9"/>
        <s v="Venu "/>
        <s v="Hemanth"/>
        <s v="MAHENDRA "/>
        <s v="THAKUR PRASHANTH SINGH"/>
        <s v="Sai Lakshmi"/>
        <s v="VENKATA PADMAVATHI"/>
        <s v="sheik sammer "/>
        <s v="SHIHARI GOUD"/>
        <s v="ravi teja"/>
        <s v="abhishek "/>
        <s v="Rajan"/>
        <s v="Darik"/>
        <s v="Swamy"/>
        <s v="Rohith"/>
        <s v="Manne hanumanth"/>
        <s v="Nithesh"/>
        <s v="Niranjan"/>
        <s v="Noufa"/>
        <s v="Vishnu"/>
        <s v="Khaleel"/>
        <s v="sai"/>
        <s v="Koushilk"/>
        <s v="Sukant "/>
        <s v="Kishan Negi (Head Office POC)"/>
        <s v="Gaffar Khan"/>
        <s v="Call Centre"/>
        <s v="Gopi (Area Manager)"/>
        <s v="Prajitesh (GM)"/>
        <s v="Mahender (Area Manager)"/>
        <s v="Ssanjeev Seth (GM)"/>
        <s v="Sri Nivas (Area Manager)"/>
        <s v="Mr. Amar (Area Manager)"/>
        <s v="KSN Murthi (Delivery Manager)"/>
        <s v="Umar (Area Manager) (Generally Available at Sarascity Mall)"/>
        <s v="Vamsi (Owner)"/>
        <s v="Ameer (Area Manager)"/>
        <s v="Mr. Laxman"/>
        <s v="Mr. Pasha"/>
        <s v="Mr. Suraj (Territory Manager)"/>
        <s v="Mr. Reeshav (Business Head)"/>
        <s v="Sumit bajaj"/>
        <s v="gopal "/>
        <s v="zia"/>
        <s v="Santosh "/>
        <s v="Sushmitha "/>
        <s v="Zinia "/>
        <s v="Bhanu Prakash"/>
        <s v="Saif"/>
        <s v="Devi sri"/>
        <s v="Venkat"/>
        <s v="Narsimha"/>
        <s v="Sai kumar"/>
        <s v="Manu"/>
        <s v="Rohit"/>
        <s v="Chandrashekhar "/>
        <s v="Raj"/>
        <s v="Syed"/>
        <s v="Sapan Kumar Jena"/>
        <s v="Triven"/>
        <s v="Pradeep"/>
        <s v="Probin"/>
        <s v="Kalyan"/>
        <s v="David"/>
        <s v="Kailash"/>
        <s v="Savitha"/>
        <s v="Sita Ram"/>
        <s v="Mohan"/>
        <s v="Sathyam"/>
        <s v="Ramakrishna reddy "/>
        <s v="Shanan "/>
        <s v="suraj"/>
        <s v="Venkat reddy"/>
        <s v="Balaji"/>
        <s v="Sanjeev Mandal"/>
        <s v="Dheeraj"/>
        <s v="Naveen Kumar Gadhamsetty"/>
        <s v="Gyandeep Singh"/>
        <s v="Dinesh Naidu"/>
        <s v="Vijay kumar"/>
        <s v="Sujeeth"/>
        <s v="Rasheed"/>
        <s v="Varun"/>
        <s v="Santosh (Regional Manager)"/>
        <s v="Nizzamuddin (Marketing Lead)"/>
        <s v="Pradeep (GM)"/>
        <s v="Santosh (South Head)"/>
        <s v="Mohd Ali (Shift Manger)"/>
        <s v="Sai Ram (Shift Manager)"/>
        <s v="Kapil Bishnoi"/>
        <s v="Monica "/>
        <s v="Harshavardhan "/>
        <s v="Syed Shahid"/>
        <s v="Md ghouse"/>
        <s v="Zamin ali "/>
        <s v="Yeshwanth"/>
        <s v="Mohammed "/>
        <s v="Sk janbee"/>
        <s v="Md ameenudden "/>
        <s v="Kalim (GM)"/>
        <s v="Akshay (F&amp;B Manager)"/>
        <s v="Kirti Kumar"/>
        <s v="Purna chandhar rao 9"/>
        <s v="Mahesh D"/>
        <s v="D mahesh "/>
        <s v="P srinivasulu"/>
        <s v="Srinivaasulu"/>
        <s v="Sk jaani"/>
        <s v="Srija"/>
        <s v="Thufail"/>
        <s v="Hema"/>
        <s v="Syed hissam uddin "/>
        <s v="Rayalaseema spice"/>
        <s v="Neerja"/>
        <s v="Nagendra"/>
        <s v="Anjaneyareddy"/>
        <s v="Manohar"/>
        <s v="SVS BAKERS"/>
        <s v="DURGA PRASAD "/>
        <s v="SIRAJ"/>
        <s v="AJAY"/>
        <s v="PRAVEEN KUMAR"/>
        <s v="ASLAM"/>
        <s v="IMRAN"/>
        <s v="YASHWANT"/>
        <s v="Ram "/>
        <s v="Neethu sethia"/>
        <s v="Sai ram"/>
        <s v="Abhishek"/>
        <s v="Inder"/>
        <s v="Shlok"/>
        <s v="Deva"/>
        <s v="Manas sahoo"/>
        <s v="Nikhilesh"/>
        <s v="Kiran"/>
        <s v="Mahendra"/>
        <s v="Pandu"/>
        <s v="cafe cocktail music"/>
        <s v="Auddin"/>
        <s v="Mazar "/>
        <s v="Bose Babu"/>
        <s v="G NARASIMHA MURTHY"/>
        <s v="sajan"/>
        <s v="Chakra"/>
        <s v="Rajnikant "/>
        <n v="9.000239392E9"/>
        <s v="Diksha "/>
        <s v="Pramod"/>
        <s v="Ramkrishna"/>
        <s v="Ramesh"/>
        <s v="Gaurav"/>
        <s v="Liakhath"/>
        <s v="Imran "/>
        <s v="Ramesh "/>
        <s v="Surya"/>
        <s v="Hitesh"/>
        <s v="Hussain "/>
        <s v="Pavan"/>
        <s v="Ajay Kumar"/>
        <s v="Sonali Avinash Jadhav"/>
        <s v="Manoj"/>
        <s v="Annapurna "/>
        <s v="Ramnath"/>
        <s v="Kalayan"/>
        <s v="Srinivas"/>
        <s v="Abhishek Agarwal"/>
        <s v="BHANU SHEKAR"/>
        <s v="Gopinath"/>
        <s v="Ahan"/>
        <s v="Ahmed"/>
        <s v="NIhar"/>
        <s v="padmavathi kasa"/>
        <s v="rehamad"/>
        <s v="red oven "/>
        <s v="sri hari "/>
        <s v="srinaik "/>
        <s v="karthik reddy"/>
        <s v="Ajar"/>
        <s v="akshay"/>
        <s v="Abishek"/>
        <s v="vikas"/>
        <s v="krishna roa "/>
        <s v="roopchand "/>
        <s v="mangement"/>
        <s v="Nithesh hussain"/>
        <s v="management"/>
        <s v="pravallika "/>
        <s v="bagwan "/>
        <s v="Hitish"/>
        <s v="anurag"/>
        <s v="Vishnu "/>
        <s v="Sainadh"/>
        <s v="Jagadeesh "/>
        <s v="Naresh"/>
        <s v="Raghu"/>
        <s v="Avinash"/>
        <s v="joel nayak "/>
        <s v="prithvi"/>
        <s v="Arjun"/>
        <s v="Khan"/>
        <s v="Faizal"/>
        <s v="Rambabu j"/>
        <s v="Kamlesh"/>
        <s v="Eshwar"/>
        <s v="charan"/>
        <s v="Thirumala reddy balashow reddy"/>
        <s v="Sathyaprasad"/>
        <s v="Kamesh"/>
        <s v="Krishna mohan"/>
        <s v="GOPI"/>
        <s v="Avinay sharma"/>
        <s v="HIMAVANTH"/>
        <s v="Thirupathi"/>
        <s v="Saurabh yadav"/>
        <s v="Koushik "/>
        <s v="Likith"/>
        <s v="Virababu"/>
        <s v="Na0"/>
        <s v="Kishore"/>
        <s v="Arman"/>
        <s v="Sumanth"/>
        <s v="SUMANTH "/>
        <s v="Dharma"/>
        <s v="Harika"/>
        <s v="Ankaiya"/>
        <s v="Anil kumar"/>
        <s v="Ibrahim"/>
        <s v="Faisal"/>
        <s v="Dhanvir"/>
        <s v="Afroz"/>
        <s v="Abhinav Reddy"/>
        <s v="Nasimathar"/>
        <s v="Priyanka"/>
        <s v="Theja"/>
        <s v="Narendra"/>
        <s v="Abhinav"/>
        <s v="Abhijay Verma"/>
        <s v="Mohd qureshi"/>
        <s v="Sujini"/>
        <s v="Pranav"/>
        <s v="Amjad"/>
        <s v="SHARAT"/>
        <s v="Faizan"/>
        <s v="santhosh reddy"/>
        <s v="kumar"/>
        <s v="Raju Kumar"/>
        <s v="Rajesh Kulkarni"/>
        <s v="Nagendhar rao"/>
        <s v=" Syed zenil "/>
        <s v="Saffi arman"/>
        <s v="Harika "/>
        <s v="Kundhan"/>
        <s v="ankaiah85@gmail.com"/>
        <s v="Syed Harshad"/>
        <s v="thenawaabsrestaurant@gmail.com"/>
        <s v="Amith"/>
        <s v="Shaiju"/>
        <s v="Tarun"/>
        <s v="AKRAM"/>
        <s v="arif khan"/>
        <s v="SAYED AYYA"/>
        <s v="ARSHAD"/>
        <s v="ADIL"/>
        <s v="SIDDIQUE"/>
        <s v="NASEER"/>
        <s v="ALTHAF"/>
        <s v="rehmat"/>
        <s v="YESHWANT"/>
        <s v="Rajesh kumar"/>
        <s v="Nanda kishore"/>
        <s v="Chandra Shekhar "/>
        <s v="Monica Surana"/>
        <s v="Arjun reddy "/>
        <s v="Habeeb"/>
        <s v="mohit"/>
        <s v="ilyaas"/>
        <s v="AZEEZ"/>
        <s v="Naveen Owner "/>
        <s v="Avinash Pant"/>
        <s v="Yogesh"/>
        <s v="Krishna Appa"/>
        <s v="Prashanth"/>
        <s v="Jahnavi"/>
        <s v="Sri charan"/>
        <s v="Nitin dev"/>
        <s v="Padmavati "/>
        <s v="Varma"/>
        <s v="Surya "/>
        <s v="Jahir"/>
        <s v="Goutham"/>
        <s v="Pidathala Bharathi"/>
        <s v="Anthuri dass"/>
        <s v="sheik ali"/>
        <s v="prem kumar"/>
        <s v="Sheik alil"/>
        <s v="Narmadha"/>
        <s v="Amarendra "/>
        <s v="Shamshed"/>
        <s v="Rafee"/>
        <s v="RK GRAND"/>
        <s v="jagadeesh"/>
        <s v="Sandhya"/>
        <s v="Moin"/>
        <s v="Madaram Shailaja"/>
        <s v="shravan "/>
        <s v="shiva shankar"/>
        <s v="srikanth"/>
        <s v="Tulasi"/>
        <s v="HAMID"/>
        <s v="VAMSI"/>
        <s v="GHANI"/>
        <s v="Manish Dubey"/>
        <s v="Satyanarayana Reddy"/>
        <s v="haji"/>
        <s v="Ravindar"/>
        <s v="Sajjid"/>
        <s v="Peddinti Sharan Kumar"/>
        <s v="Karan"/>
        <s v="Ram babu"/>
        <s v="Danish"/>
        <s v="Edwin Debnath"/>
        <s v="Raunak"/>
        <s v="Josthna "/>
        <s v="Sumit "/>
        <s v="Sadanand Yadav"/>
        <s v="Chutney head office "/>
        <s v="Shaker"/>
        <s v="Nasimatha"/>
        <s v="Sandeep "/>
        <s v="Satya Prasad"/>
        <s v="Sataya Prasad"/>
        <s v="NEHAD SIDDIQI"/>
        <s v="ZAIQA 11"/>
        <s v="sahithi"/>
        <s v="Laxmipathi"/>
        <s v="Bhadhri"/>
        <s v="Eknath"/>
        <s v="bhagwan "/>
        <s v="karthik reddy "/>
        <s v="mani "/>
        <s v="raghuvardhan "/>
        <s v="krishna rao banty "/>
        <s v="krishna roa"/>
        <s v="Ranjith Reddy"/>
        <s v="D Kiran"/>
        <s v="SRINIVASA RAO"/>
        <s v="NAGA SAI GANESH"/>
        <s v="GANI"/>
        <s v="SUDHEER"/>
        <s v="JYOSTHNA &amp; CHAKRI"/>
        <s v="Md. sajeeb"/>
        <s v="CHANDAN"/>
        <s v=" vengal  rao "/>
        <s v="raghav "/>
        <s v="usha rani"/>
        <s v="ramu "/>
        <s v="saleem"/>
        <s v="Iliyas"/>
        <s v="Rakesh Goud"/>
        <s v="Not shared"/>
        <s v="Sangram"/>
        <s v="Kalyani"/>
        <s v="Banti"/>
        <s v="Joshua"/>
        <s v="Krishna Chaitanya"/>
        <s v="Chiranjeevi"/>
        <s v="Veer"/>
        <s v="ADNAN"/>
        <s v="Vivek"/>
        <s v="Annie"/>
        <s v="Dinesh Kumar"/>
        <s v="Agarwal"/>
        <s v="Madhuri chand"/>
        <s v="Rambala sanjay"/>
        <s v="Surekha"/>
        <s v="Rajugari shruthi"/>
        <s v="Mohammed omer"/>
        <s v="Navtej "/>
        <s v="Venkat "/>
        <s v="Lavanya "/>
        <s v="Lakshmi kanth "/>
        <s v="Vasistas Biryanis and curry "/>
        <s v="Ravishankar "/>
        <s v="Methri mallesh"/>
        <s v="Shyam"/>
        <s v="Vishal "/>
        <s v="Sankranthi cafe"/>
        <s v="Bharath "/>
        <s v="Nagaraju"/>
        <s v="Mahalaxmi kitchen "/>
        <s v="Nagaraju goud "/>
        <s v="nq"/>
        <s v="Manikanta Reddy"/>
        <s v="anil kumar "/>
        <s v="Ravi kiran"/>
        <s v="chary"/>
        <s v="Rajaramana"/>
        <s v="vasi reddy"/>
        <s v="Sridhar "/>
        <s v="Mohammad kudhr"/>
        <s v="Parvaiz"/>
        <s v="Kassim"/>
        <s v="Mitha"/>
        <s v="Rupi"/>
        <s v="Narismha Rao"/>
        <s v="Sudheer "/>
        <s v="Mohammed zahid"/>
        <s v="SreeRam"/>
        <s v="Vijaya laxmi"/>
        <s v="Shaik Sabbair"/>
        <s v="Mekallas teja sai"/>
        <s v="Sheshidar reddy"/>
        <s v="Mani"/>
        <s v="Laxman"/>
        <s v="Naga Raju Reddy"/>
        <s v="Venkatram Reddy"/>
        <s v="Syed azweli"/>
        <s v="Chandrashekhar reddy"/>
        <s v="Naveen Reddy "/>
        <s v="Siddharth "/>
        <s v="Narayan"/>
        <s v="Bengali Food plaza"/>
        <s v="Suhan"/>
        <s v="hameed"/>
        <s v="VENGAL RAO"/>
        <s v="KAIF"/>
        <s v="Fareed"/>
        <s v="Shehzaad"/>
        <s v="Alvi"/>
        <s v="bishwash"/>
        <s v="Hamdan Bin Masood"/>
        <s v="Tulasi Nandan"/>
        <s v="Kiran kumar reddy "/>
        <s v="Shiva Reddy"/>
        <s v="Owner "/>
        <s v="Rajesh"/>
        <s v="Usha"/>
        <s v="Manager "/>
        <s v="Somnath"/>
        <s v="Ballaji"/>
        <s v="Vikram"/>
        <s v="Vikram."/>
        <s v="Annappa Shetty"/>
        <s v="Sathish"/>
        <s v="Sunil kumar"/>
        <s v="Shabbar"/>
        <s v="Saddar"/>
        <s v="Anitha"/>
        <s v="Red pepper "/>
        <s v="Vinod "/>
        <s v="marjaan "/>
        <s v="vinay"/>
        <s v="altaf "/>
        <s v="Mieekal shajji"/>
        <s v="MEHBOOB"/>
        <s v="SHIV KUMAR"/>
        <s v="harish"/>
        <s v="mr jimmy "/>
        <n v="7.995259345E9"/>
        <s v="ankith agarawal "/>
        <s v="laxaman "/>
        <s v="sourav "/>
        <s v="bhagwan"/>
        <s v="nagnath "/>
        <s v="anwar"/>
        <s v="Venkateswara rao"/>
        <s v="Poorna chander"/>
        <s v="Ravindra reddy"/>
        <s v="Sreeja "/>
        <s v="Zaiqa "/>
        <s v="Madhava reddy "/>
        <s v="Anurag "/>
        <s v="Lokesh "/>
        <s v="Geetha"/>
        <s v="Om Sai "/>
        <s v="Madhu "/>
        <s v="Swarup"/>
        <s v="Devaraj "/>
        <s v="Ashfq"/>
        <s v="Chat baazar"/>
        <s v="Bhaskar reddy "/>
        <s v="Rishi"/>
        <s v="Mohamad"/>
        <s v="Mubeen"/>
        <s v="Sai nadh"/>
        <s v="Rehaman"/>
        <s v="mosin"/>
        <s v="islam"/>
        <s v="SHAHBUDIN"/>
        <s v="AMEER"/>
        <s v="Sajiya"/>
        <s v="MAZHAR"/>
        <s v="WASIM AKRAM"/>
        <s v="Sunil Gowtham"/>
        <s v="Rajashekhar "/>
        <s v="Nilhil"/>
        <s v="Astouch "/>
        <s v="Vassu"/>
        <s v="Naa"/>
        <s v="Srinivasulu"/>
        <s v="Srinivasa"/>
        <s v="Deepu"/>
        <s v="Satya parsad"/>
        <s v="Vicky "/>
        <s v="Afreed "/>
        <s v="Bhawagan"/>
        <s v="Shivananda"/>
        <s v="Danish "/>
        <s v="Alekhya"/>
        <s v="D"/>
        <s v="Ankis"/>
        <s v=" Sikimdar"/>
        <s v="Ravindra reddy "/>
        <s v="Nasimitha"/>
        <s v="Durga prasad"/>
        <s v="Devayya"/>
        <s v="Veerendra"/>
        <s v="mosin "/>
        <s v="BABU"/>
        <s v=" naga laxmi "/>
        <s v=" prabhavathi"/>
        <s v="Seshu"/>
        <s v="Bhaskar "/>
        <s v="Ismail"/>
        <s v="Akhil"/>
        <s v="Darshan"/>
        <s v="Veerendhra"/>
        <s v="Jaya devi"/>
        <s v="Sarath"/>
        <s v="Pamulayya"/>
        <s v="Farzan"/>
        <s v="Shivam"/>
        <s v="Waajith "/>
        <s v="Thann"/>
        <s v="Laxmi Prasad"/>
        <s v="Rathod  Ragu"/>
        <s v="Murali Reddy"/>
        <s v="Dyanshwar"/>
        <s v="Dyanswar"/>
        <s v="Arbaaz Khan"/>
        <s v="Abbas Ali"/>
        <s v="Sameer "/>
        <s v="Prithvish Samanth"/>
        <s v="Syed Yousuf"/>
        <s v="Satish "/>
        <s v="Nayudi "/>
        <s v="Venkatesh "/>
        <s v="Kishor"/>
        <s v="Astoush"/>
        <s v="Akhil "/>
        <s v="Amjed ali"/>
        <s v="Palesh"/>
        <s v="Rayudu"/>
        <s v="N"/>
        <s v="Bharath"/>
        <s v="Rahul"/>
        <s v="Rajendra prasad"/>
        <s v="Nithin"/>
        <n v="7.989383201E9"/>
        <s v="Shravan kumar"/>
        <s v="Ankis "/>
        <s v="Dev raj "/>
        <s v="Satya Prasad "/>
        <s v="A"/>
        <s v="Nikhil "/>
        <s v="Nayudu "/>
        <s v="Kishore "/>
        <s v="Karthik "/>
        <s v="Vinay kunchal "/>
        <s v="Naiudu"/>
        <s v="Akihila "/>
        <s v="Hema "/>
        <s v="Sai ram "/>
        <s v="Mainland china "/>
        <s v="Oh Calicut "/>
        <s v="Jwala"/>
        <s v="Sachin "/>
        <s v="Kalathinigal"/>
        <s v="Zahed "/>
        <s v="Priya"/>
        <s v="Ajith"/>
        <s v="Shekar "/>
        <s v="Navved"/>
        <s v="Samridhi"/>
        <s v="Naga shawarma reddy "/>
        <s v="Chandra Shekar"/>
        <s v="sunil"/>
        <s v="Sitharama Raju"/>
        <s v="Bhavana"/>
        <s v="Vivekanand Reddy"/>
        <s v="Bhanu Prasad"/>
        <s v="Chirumamilla Rajesh "/>
        <s v="VIPPALA GOVERSHAN"/>
        <s v="Rajeshekar "/>
        <s v="Ram Mohan Reddy"/>
        <s v="Anil Rana "/>
        <s v="T Raghunatha Rao"/>
        <s v="Ragini"/>
        <s v="Singh"/>
        <s v="Shiva roa"/>
        <s v="Mohammed muli "/>
        <s v="Vinay "/>
        <s v="Narmadha "/>
        <s v="Shek alli"/>
        <s v="Rama rao "/>
        <s v="Sameel"/>
        <s v="Ayyappa"/>
        <s v="Chinmai"/>
        <s v="Rajasekhar"/>
        <s v="Goutham Raj"/>
        <s v="ajay sharma"/>
        <s v="Riyaz"/>
        <s v="abilash"/>
        <s v="chaitaniya"/>
        <s v="vara prasad "/>
        <s v="hyderabad hosts"/>
        <s v="ajay mallareddy"/>
        <s v="NAIDU"/>
        <s v=" praveen "/>
        <s v="Naresh "/>
        <s v="Chakri"/>
        <s v="Jafer"/>
        <s v="Shivaji"/>
        <s v="Tipu"/>
        <s v="Azzal ammaari"/>
        <s v="Koushik"/>
      </sharedItems>
    </cacheField>
    <cacheField name="Contact Number (POC-1)">
      <sharedItems containsBlank="1" containsMixedTypes="1" containsNumber="1" containsInteger="1">
        <m/>
        <n v="9.16679555E8"/>
        <n v="9.030611616E9"/>
        <n v="9.9498146E9"/>
        <n v="9.052592437E9"/>
        <n v="8.989873636E9"/>
        <n v="6.302181276E9"/>
        <n v="8.88655996E8"/>
        <n v="9.963968917E9"/>
        <n v="6.301782448E9"/>
        <n v="8.341514984E9"/>
        <n v="9.391167117E9"/>
        <n v="9.441674841E9"/>
        <n v="7.396735758E9"/>
        <n v="9.985609966E9"/>
        <n v="8.555086883E9"/>
        <s v="no details"/>
        <n v="8.712220229E9"/>
        <n v="8.522886035E9"/>
        <n v="7.032682089E9"/>
        <n v="9.849108337E9"/>
        <n v="9.866174396E9"/>
        <n v="8.886904546E9"/>
        <n v="9.705812524E9"/>
        <n v="7.799956667E9"/>
        <n v="9.676213874E9"/>
        <n v="9.553119997E9"/>
        <n v="8.309230685E9"/>
        <s v="na"/>
        <n v="7.799223445E9"/>
        <n v="9.849991664E9"/>
        <n v="9.010022093E9"/>
        <n v="9.059787788E9"/>
        <n v="9.502632532E9"/>
        <n v="9.9648187E9"/>
        <n v="7.842264138E9"/>
        <n v="9.742645678E9"/>
        <n v="8.978216439E9"/>
        <n v="8.019447999E9"/>
        <n v="9.8488146E9"/>
        <n v="6.309794222E9"/>
        <n v="9.100007676E9"/>
        <n v="8.249132908E9"/>
        <n v="9.182466676E9"/>
        <s v="04023536061"/>
        <n v="9.063906004E9"/>
        <n v="9.032417871E9"/>
        <n v="9.030266975E9"/>
        <s v="99590 20310"/>
        <n v="9.493106693E9"/>
        <n v="9.704204592E9"/>
        <n v="9.604204592E9"/>
        <n v="8.500703171E9"/>
        <n v="9.032460766E9"/>
        <n v="8.121007155E9"/>
        <n v="8.247496273E9"/>
        <n v="7.097949648E9"/>
        <s v="72868 01930"/>
        <s v="96403 07014"/>
        <n v="7.893713995E9"/>
        <n v="9.856666589E9"/>
        <n v="7.702070233E9"/>
        <n v="6.281845369E9"/>
        <n v="9.346811687E9"/>
        <n v="7.093742666E9"/>
        <n v="9.966644448E9"/>
        <n v="9.963967706E9"/>
        <n v="8.977709421E9"/>
        <n v="8.333833299E9"/>
        <n v="9.676945646E9"/>
        <n v="9.010924E9"/>
        <n v="9.701916013E9"/>
        <n v="9.885199151E9"/>
        <n v="9.642897117E9"/>
        <n v="7.995109409E9"/>
        <n v="9.030518803E9"/>
        <n v="8.125178544E9"/>
        <n v="6.281821329E9"/>
        <n v="9.34705965E9"/>
        <n v="9.381245681E9"/>
        <n v="9.642431013E9"/>
        <s v="+91 85010 24577"/>
        <n v="9.761859999E9"/>
        <n v="9.849995653E9"/>
        <n v="7.028412666E9"/>
        <n v="9.381522074E9"/>
        <n v="9.148628899E9"/>
        <s v="+91 78428 04422"/>
        <s v="+91 6281 845 369"/>
        <n v="9.133847766E9"/>
        <n v="9.908662728E9"/>
        <s v="+91 98491 08337"/>
        <n v="8.121020121E9"/>
        <n v="9.908199083E9"/>
        <n v="6.30252957E9"/>
        <n v="9.0597125102E10"/>
        <s v="no"/>
        <n v="6.303246535E9"/>
        <n v="9.398881323E9"/>
        <n v="8.985607723E9"/>
        <n v="9.032245891E9"/>
        <n v="6.300797895E9"/>
        <n v="9.493932004E9"/>
        <n v="9.032515133E9"/>
        <n v="7.739656963E9"/>
        <n v="9.581749555E9"/>
        <n v="9.014249702E9"/>
        <n v="7.396422628E9"/>
        <n v="7.977765789E9"/>
        <n v="9.986998503E9"/>
        <n v="9.966991234E9"/>
        <n v="8.688843788E9"/>
        <n v="9.100368473E9"/>
        <n v="9.39205514E8"/>
        <n v="9.769343996E9"/>
        <n v="7.337001104E9"/>
        <n v="9.172541254E9"/>
        <s v="Surjith"/>
        <n v="9.95902031E9"/>
        <n v="7.075777491E9"/>
        <n v="9.959160354E9"/>
        <n v="9.140523292E9"/>
        <n v="9.704025498E9"/>
        <n v="9.392857604E9"/>
        <n v="9.052878671E9"/>
        <n v="9.346166695E9"/>
        <n v="8.886767272E9"/>
        <n v="9.888586813E10"/>
        <n v="7.991231238E9"/>
        <n v="7.618754404E9"/>
        <n v="8.074932383E9"/>
        <n v="8.885294412E9"/>
        <n v="9.515977021E9"/>
        <n v="9.13710387E9"/>
        <n v="7.995184676E9"/>
        <n v="9.88586813E9"/>
        <n v="9.866847607E9"/>
        <n v="9.849343059E9"/>
        <s v="78937 77231"/>
        <n v="8.185802329E9"/>
        <n v="9.550402185E9"/>
        <n v="9.966660134E9"/>
        <n v="9.052253253E9"/>
        <n v="9.059036521E9"/>
        <n v="7.032735002E9"/>
        <n v="9.133424262E9"/>
        <n v="7.799777981E9"/>
        <n v="9.966591281E9"/>
        <n v="9.10044213E9"/>
        <n v="9.493041116E9"/>
        <n v="8.32839342E9"/>
        <n v="9.145845425E9"/>
        <n v="9.000338443E9"/>
        <n v="9.866667E9"/>
        <n v="9.000211792E9"/>
        <n v="7.897979742E9"/>
        <n v="8.374447297E9"/>
        <n v="9.246573562E9"/>
        <n v="9.154408946E9"/>
        <n v="6.300840049E9"/>
        <n v="8.309463956E9"/>
        <n v="9.100886637E9"/>
        <n v="9.550001177E9"/>
        <n v="9.346036222E9"/>
        <n v="8.125583337E9"/>
        <s v="72070 83888"/>
        <n v="8.008623545E9"/>
        <n v="9.393852636E9"/>
        <n v="9.346197565E9"/>
        <n v="7.569933996E9"/>
        <n v="8.939369888E9"/>
        <n v="8.885057806E9"/>
        <n v="7.013847849E9"/>
        <n v="9.000143978E9"/>
        <n v="9.989071021E9"/>
        <n v="9.603021048E9"/>
        <n v="9.100172163E9"/>
        <n v="8.688995094E9"/>
        <n v="9.704673535E9"/>
        <n v="7.981730116E9"/>
        <n v="8.125526123E9"/>
        <n v="9.849499208E9"/>
        <n v="8.801027834E9"/>
        <n v="9.959244406E9"/>
        <s v="+91 98858 68130"/>
        <n v="9.866402028E9"/>
        <n v="8.096999908E9"/>
        <n v="9.949429494E9"/>
        <n v="8.985909898E9"/>
        <n v="9.05981013E9"/>
        <s v="+91 93985 56461"/>
        <s v="733-7332022"/>
        <n v="7.306445599E9"/>
        <n v="7.09504025E8"/>
        <s v="80080 20304"/>
        <n v="7.396769261E9"/>
        <n v="8.438457084E9"/>
        <s v="+919063747177"/>
        <n v="7.702428848E9"/>
        <s v="87901 30941"/>
        <s v="99850 95605"/>
        <n v="7.993930918E9"/>
        <n v="9.849765228E9"/>
        <n v="9.010776408E9"/>
        <n v="7.981607619E9"/>
        <n v="8.884066682E9"/>
        <n v="9.849963003E9"/>
        <n v="8.125125635E9"/>
        <n v="6.28174849E9"/>
        <s v="95422 33485"/>
        <n v="9.000252549E9"/>
        <s v="96422 34333"/>
        <s v="863-9381583"/>
        <n v="9.3700938E9"/>
        <s v="+91 94943 99656"/>
        <n v="9.392458574E9"/>
        <n v="9.544186712E9"/>
        <n v="7.842474608E9"/>
        <n v="9.398948353E9"/>
        <n v="7.842474013E9"/>
        <n v="8.309112838E9"/>
        <n v="8.688077052E9"/>
        <n v="9.346342272E9"/>
        <s v="99660 33399"/>
        <n v="7.093051795E9"/>
        <n v="9.866896332E9"/>
        <n v="9.000931717E9"/>
        <n v="7.995243674E9"/>
        <n v="7.416826069E9"/>
        <n v="8.121749748E9"/>
        <n v="8.466082222E9"/>
        <n v="7.729900669E9"/>
        <n v="9.98550631E9"/>
        <n v="9.34603623E8"/>
        <s v="040 23510000"/>
        <n v="8.125655929E9"/>
        <n v="9.703471098E9"/>
        <n v="9.966740877E9"/>
        <n v="9.391575027E9"/>
        <n v="9.100016663E9"/>
        <n v="7.981956278E9"/>
        <s v="09885215007"/>
        <s v="95733 94555"/>
        <n v="9.966627E9"/>
        <n v="9.959223649E9"/>
        <s v="85209 37226"/>
        <s v="6302-751766"/>
        <n v="8.80129776E9"/>
        <n v="9.06906404E9"/>
        <s v="70130 27770"/>
        <n v="7.659856207E9"/>
        <s v="90596 66300"/>
        <n v="9.536442345E9"/>
        <n v="9.948505639E9"/>
        <s v="+91 79897 34545"/>
        <n v="8.12565211E9"/>
        <n v="9.908602056E9"/>
        <n v="8.121764465E9"/>
        <n v="8.31769626E9"/>
        <n v="8.074793426E9"/>
        <n v="7.569890018E9"/>
        <n v="8.179514738E9"/>
        <n v="8.374167037E9"/>
        <n v="9.652444418E9"/>
        <n v="9.885215007E9"/>
        <s v="93461 12262"/>
        <n v="8.319942382E9"/>
        <s v="75699 96701"/>
        <n v="9.885552731E9"/>
        <n v="9.49477772E9"/>
        <n v="6.300802819E9"/>
        <n v="9.381425752E9"/>
        <s v="Lead "/>
        <s v="Lead"/>
        <n v="8.519979693E9"/>
        <n v="8.712342023E9"/>
        <s v="7680-006511"/>
        <n v="9.502547468E9"/>
        <n v="9.177960195E9"/>
        <n v="8.333936696E9"/>
        <n v="7.970928335E9"/>
        <n v="7.98992243E9"/>
        <n v="8.978621009E9"/>
        <n v="9.246290001E9"/>
        <n v="8.341366998E9"/>
        <n v="7.396369586E9"/>
        <n v="9.030474848E9"/>
        <n v="7.416812233E9"/>
        <n v="9.966321486E9"/>
        <n v="9.346951279E9"/>
        <n v="8.309678652E9"/>
        <n v="9.989649223E9"/>
        <s v="6281 334 972"/>
        <s v=" 99086 02056"/>
        <n v="9.248067813E9"/>
        <n v="8.886741212E9"/>
        <n v="9.700389127E9"/>
        <n v="9.912324749E9"/>
        <n v="9.949992294E9"/>
        <n v="9.70011819E9"/>
        <n v="7.386992552E9"/>
        <n v="9.493862863E9"/>
        <n v="9.100396662E9"/>
        <n v="9.00002378E8"/>
        <n v="7.306506572E9"/>
        <n v="9.177171107E9"/>
        <s v="+91 94939 89362"/>
        <n v="9.652222583E9"/>
        <s v="97034 33533"/>
        <s v="98492 42228"/>
        <n v="7.066346634E9"/>
        <n v="7.893779377E9"/>
        <n v="9.66644062E9"/>
        <s v="na "/>
        <n v="9.505255701E9"/>
        <n v="8.919193385E9"/>
        <n v="9.980102334E9"/>
        <n v="7.780667655E9"/>
        <n v="9.640166669E9"/>
        <n v="9.94907222E9"/>
        <n v="9.985404412E9"/>
        <n v="9.91269903E8"/>
        <n v="33.0"/>
        <s v="Test"/>
        <s v="+91 83746 28209"/>
        <n v="9.000266581E9"/>
        <s v="94533 15094"/>
        <s v="98498 82217"/>
        <s v="7848-873441 "/>
        <s v="824-7534864"/>
        <s v="92468 78121"/>
        <n v="9.912013333E9"/>
        <n v="9.100002909E9"/>
        <n v="8.790606524E9"/>
        <s v="91827 69806"/>
        <s v="761-8754404"/>
        <n v="9.381014399E9"/>
        <s v="90003 43427"/>
        <s v="97804 55455"/>
        <s v="93907 32422"/>
        <s v="863-9857988"/>
        <s v="80087 45888"/>
        <n v="7.70294282E9"/>
        <n v="8.897351867E9"/>
        <s v="70705 67056"/>
        <n v="9.985489397E9"/>
        <n v="9.704551666E9"/>
        <n v="8.897622869E9"/>
        <n v="9.121399119E9"/>
        <s v=" 84649 15054"/>
        <n v="7.036844444E9"/>
        <n v="7.801005204E9"/>
        <n v="8.328471182E9"/>
        <n v="9.666746674E9"/>
        <s v="832 856 8920"/>
        <n v="9.642357335E9"/>
        <n v="9.885238434E9"/>
        <n v="9.790769073E9"/>
        <s v="+91 891 919 3385"/>
        <n v="8.008566191E9"/>
        <n v="9.985287122E9"/>
        <s v="+91 96180 84946"/>
        <s v="+917702428848"/>
        <s v="90595 55171"/>
        <s v="+919127893278"/>
        <s v="81425 20056"/>
        <s v="91779 37307"/>
        <s v="90320 00555"/>
        <n v="8.801656811E9"/>
        <n v="6.2175906581E10"/>
        <n v="8.008115681E9"/>
        <s v="89789 36410"/>
        <n v="9.505154858E9"/>
        <s v="97034 45554"/>
        <s v="99855 59905"/>
        <n v="8.096987009E9"/>
        <s v="Saharsh udipi"/>
        <n v="9.182628576E9"/>
        <n v="7.331139799E9"/>
        <n v="9.00046444E9"/>
        <n v="9.676367127E9"/>
        <n v="9.154993447E9"/>
        <n v="9.84900012E9"/>
        <n v="9.640290237E9"/>
        <n v="9.552323334E9"/>
        <n v="7.680947465E9"/>
        <n v="7.075376903E9"/>
        <n v="9.700815352E9"/>
        <n v="9.818808004E9"/>
        <n v="7.893734731E9"/>
        <n v="1.860266001E10"/>
        <n v="6.381622735E9"/>
        <n v="7.030998709E9"/>
        <n v="9.663743265E9"/>
        <n v="7.905152075E9"/>
        <n v="9.959615992E9"/>
        <n v="7.002773847E9"/>
        <n v="9.398596919E9"/>
        <n v="8.374972864E9"/>
        <n v="9.494405373E9"/>
        <n v="8.639535389E9"/>
        <n v="7.093369917E9"/>
        <n v="7.731019977E9"/>
        <n v="9.907958581E9"/>
        <n v="9.867122223E9"/>
        <n v="8.668045147E9"/>
        <n v="9.967535945E9"/>
        <n v="9.100009426E9"/>
        <s v="90143 87137"/>
        <n v="8.07474285E9"/>
        <n v="8.319637722E9"/>
        <n v="8.919506757E9"/>
        <n v="9.147716232E9"/>
        <n v="8.297190571E9"/>
        <n v="9.615550066E9"/>
        <n v="7.032888705E9"/>
        <n v="6.303602919E9"/>
        <n v="9.030066247E9"/>
        <n v="9.38138984E9"/>
        <n v="9.59359399E8"/>
        <n v="8.247047507E9"/>
        <n v="9.700119173E9"/>
        <n v="8.12521E9"/>
        <n v="9.494567064E9"/>
        <n v="7.00424097E9"/>
        <n v="9.642114111E9"/>
        <n v="8.309163739E9"/>
        <s v="6302-303453"/>
        <n v="8.341901102E9"/>
        <n v="6.281737216E9"/>
        <n v="7.33099147E9"/>
        <n v="9.393895558E9"/>
        <n v="9.441469962E9"/>
        <n v="8.3747595E8"/>
        <n v="9.154819482E9"/>
        <n v="9.000027744E9"/>
        <n v="7.330661433E9"/>
        <n v="9.491064999E9"/>
        <n v="9.08338532E8"/>
        <n v="9.66666921E9"/>
        <n v="9.553399599E9"/>
        <n v="8.858725032E9"/>
        <n v="8.977945506E9"/>
        <n v="9.000360723E9"/>
        <n v="9.233549583E9"/>
        <n v="8.106842929E9"/>
        <s v="POC-70042 40970(Owner)"/>
        <n v="9.493989362E9"/>
        <n v="9.700553599E9"/>
        <s v="949310 6693"/>
        <s v="733 883 6300"/>
        <s v="70328 88705"/>
        <s v="81234 01137"/>
        <n v="7.416022022E9"/>
        <s v="88863 31102"/>
        <n v="7.799208404E9"/>
        <s v="832 837 8624"/>
        <n v="9.400053063E9"/>
        <s v="95382 15301"/>
        <n v="9.500619904E9"/>
        <n v="9.247100786E9"/>
        <n v="9.493304525E9"/>
        <n v="9.840561868E9"/>
        <n v="9.63747578E9"/>
        <n v="8.712248966E9"/>
        <n v="9.053247967E9"/>
        <n v="8.897928087E9"/>
        <s v="970420 4592"/>
        <s v="836700 7137"/>
        <n v="8.801925991E9"/>
        <s v="8102 839 784"/>
        <s v="951 575 8788"/>
        <s v="9912 340 407"/>
        <n v="9.573462351E9"/>
        <s v="9618 09 6343"/>
        <n v="8.97874752E9"/>
        <n v="9.16724049E9"/>
        <s v="9949 838 582"/>
        <n v="9.390077903E9"/>
        <s v="7406 46642"/>
        <n v="7.406466642E9"/>
        <s v="8096 234 311"/>
        <s v="8790 689 367"/>
        <n v="7.660889977E9"/>
        <n v="9.133711711E9"/>
        <n v="8.317528467E9"/>
        <n v="8.0742365E9"/>
        <n v="7.981900413E9"/>
        <n v="9.989547754E9"/>
        <n v="7.032362999E9"/>
        <n v="9.154051768E9"/>
        <n v="6.302764631E9"/>
        <n v="8.639337298E9"/>
        <n v="9.39138984E9"/>
        <n v="9.885869143E9"/>
        <n v="8.143603999E9"/>
        <n v="6.30477213E9"/>
        <n v="7.702484488E9"/>
        <n v="9.3938748E9"/>
        <n v="9.5535255E9"/>
        <n v="9.640241237E9"/>
        <n v="9.247109555E9"/>
        <n v="8.617755298E9"/>
        <n v="8.096631022E9"/>
        <n v="7.207477577E9"/>
        <n v="9.542781785E9"/>
        <n v="6.300043595E9"/>
        <n v="8.099941233E9"/>
        <n v="8.074223013E9"/>
        <n v="7.981933914E9"/>
        <n v="9.603123374E9"/>
        <n v="6300.0"/>
        <n v="8.143117473E9"/>
        <n v="9.247499482E9"/>
        <n v="9.959838242E9"/>
        <n v="6.307547076E9"/>
        <n v="8.074010978E9"/>
        <n v="6.281968245E9"/>
        <n v="9.15422602E9"/>
        <n v="7.841881125E9"/>
        <n v="9.39181173E9"/>
        <n v="9.00000965E9"/>
        <n v="9.059457021E9"/>
        <n v="7.995719834E9"/>
        <n v="9.642274228E9"/>
        <n v="9.84970953E8"/>
        <n v="8.91904832E9"/>
        <n v="9.9518525E9"/>
        <n v="9.010089099E9"/>
        <n v="7.730072371E9"/>
        <n v="8.019347999E9"/>
        <n v="9.030000622E9"/>
        <n v="9.701959365E9"/>
        <n v="9.00023939392E11"/>
        <s v="Rajnikant "/>
        <n v="7.058580596E9"/>
        <n v="9.154323333E9"/>
        <s v="0000"/>
        <n v="9.381789995E9"/>
        <n v="9.79412788E9"/>
        <n v="8.37457252E9"/>
        <n v="9.583618255E9"/>
        <n v="9.515736223E9"/>
        <n v="9.000939335E9"/>
        <n v="9.642302809E9"/>
        <n v="7.396928999E9"/>
        <s v="73963 68972"/>
        <n v="6.30097803E9"/>
        <n v="9.948562177E9"/>
        <n v="8.142488588E9"/>
        <n v="8.096301302E9"/>
        <n v="7.893787203E9"/>
        <n v="9.550955064E9"/>
        <n v="8.897389987E9"/>
        <n v="8.121340883E9"/>
        <n v="7.020226949E9"/>
        <n v="9.49473281E8"/>
        <s v="+91 73373 09794"/>
        <n v="9.705995817E9"/>
        <n v="9.494739281E9"/>
        <n v="0.0"/>
        <n v="8.977779072E9"/>
        <n v="9.866650027E9"/>
        <n v="9.966118848E9"/>
        <n v="8.008783939E9"/>
        <n v="8.179777635E9"/>
        <n v="7.995520794E9"/>
        <n v="8.978265222E9"/>
        <n v="8.007452222E9"/>
        <s v="80080 49249"/>
        <s v="99801 02334"/>
        <n v="6.28181763E9"/>
        <n v="9.963696969E9"/>
        <n v="8.00831909E9"/>
        <s v="95051 54858"/>
        <s v="99490 72220"/>
        <n v="9.000777275E9"/>
        <n v="9.063076187E9"/>
        <n v="8.688612955E9"/>
        <n v="9.370982719E9"/>
        <s v="8008350423/6300700000"/>
        <n v="7.207206239E9"/>
        <n v="6.300044131E9"/>
        <n v="8.179622604E9"/>
        <s v="83099 70801"/>
        <n v="7.893354044E9"/>
        <n v="7.893777231E9"/>
        <n v="9.502201776E9"/>
        <n v="9.1002255E9"/>
        <n v="6.304257429E9"/>
        <n v="9.441166869E9"/>
        <n v="9.8859885001581E13"/>
        <n v="8.790072864E9"/>
        <n v="9.989981294E9"/>
        <n v="9.1600061E9"/>
        <n v="9.912104569E9"/>
        <n v="9.000003851E9"/>
        <n v="9.885649456E9"/>
        <n v="6.304208062E9"/>
        <n v="9.654295135E9"/>
        <n v="9.14067331122E11"/>
        <n v="8.374223982E9"/>
        <n v="9.959968514E9"/>
        <n v="7.681877271E9"/>
        <n v="8.121685645E9"/>
        <n v="9.032833756E9"/>
        <n v="6.39410162E9"/>
        <n v="9.014113139E9"/>
        <n v="6.30370215E9"/>
        <n v="7.386013565E9"/>
        <n v="8.341379379E9"/>
        <n v="9.705659494E9"/>
        <n v="9.573318519E9"/>
        <n v="6.30959061E9"/>
        <s v="+916304551271"/>
        <n v="9.666674299E9"/>
        <n v="7.013883666E9"/>
        <n v="9.96665808E9"/>
        <n v="9.44004922E9"/>
        <n v="9.912733258E9"/>
        <n v="9.640067678E9"/>
        <n v="7.995740832E9"/>
        <n v="8.88612008E9"/>
        <n v="7.993346699E9"/>
        <n v="9.38265312E9"/>
        <n v="8.886363573E9"/>
        <n v="9.1775858E9"/>
        <n v="9.866983997E9"/>
        <s v="+916284003952"/>
        <n v="8.125178871E9"/>
        <n v="9.50275210663035E19"/>
        <n v="8.639727263E9"/>
        <n v="8.074507215E9"/>
        <n v="9.441162225E9"/>
        <n v="9.61854168E9"/>
        <n v="8.179825296E9"/>
        <n v="999.0"/>
        <n v="8.121825518E9"/>
        <n v="9.686943703E9"/>
        <s v="9394 141282"/>
        <n v="9.394141282E9"/>
        <s v="00000"/>
        <n v="9.833858958E9"/>
        <n v="7.993021641E9"/>
        <n v="6.301481281E9"/>
        <n v="7.032209668E9"/>
        <n v="9.177844625E9"/>
        <n v="7.032209667E9"/>
        <n v="9.866305976E9"/>
        <n v="9.391777337E9"/>
        <n v="8.099706321E9"/>
        <n v="8.247717177E9"/>
        <n v="9.100425287E9"/>
        <n v="6.281371177E9"/>
        <n v="9.133944255E9"/>
        <n v="9.550514455E9"/>
        <n v="8.919621196E9"/>
        <n v="9.440340854E9"/>
        <n v="8.886775599E9"/>
        <n v="9.246526606E9"/>
        <n v="9.84863319E9"/>
        <n v="9.849399807E9"/>
        <n v="6.301560085E9"/>
        <n v="7.993472121E9"/>
        <n v="9.989188881E9"/>
        <n v="8.977656268E9"/>
        <n v="8.886333304E9"/>
        <n v="6.289616585E9"/>
        <s v="90001 60480"/>
        <n v="9.34768181E9"/>
        <n v="9.908336133E9"/>
        <s v="+91 8074 742 850"/>
        <n v="7.090567395E9"/>
        <s v="98852 14121"/>
        <n v="8.686943703E9"/>
        <n v="9.700112955E9"/>
        <n v="9.177944625E9"/>
        <n v="8.019924037E9"/>
        <n v="9.0722188E9"/>
        <n v="9.701049241E9"/>
        <n v="9.393316686E9"/>
        <s v="94402 21946"/>
        <n v="9.030079776E9"/>
        <n v="9.160602449E9"/>
        <n v="9.985151185E9"/>
        <s v=" 97041 41884"/>
        <n v="9.703736799E9"/>
        <n v="9.010022442E9"/>
        <n v="8.328283516E9"/>
        <n v="8.309232321E9"/>
        <n v="8.131917627E9"/>
        <n v="9.29324515E9"/>
        <n v="7.89305309E9"/>
        <s v="78930 5309 0"/>
        <n v="6.301730136E9"/>
        <s v="9391 007 154"/>
        <n v="9.177712111E9"/>
        <n v="7.207092756E9"/>
        <n v="9.966440312E9"/>
        <n v="8.885442441E9"/>
        <n v="7.993012727E9"/>
        <n v="7.767042422E9"/>
        <s v="8392898004‬"/>
        <n v="8.886331102E9"/>
        <n v="9.949390399E9"/>
        <n v="9.10017709E9"/>
        <s v="+91 99009 42019"/>
        <s v="+91 82478 37141"/>
        <n v="9.028234693E9"/>
        <n v="7.396680184E9"/>
        <n v="8.897966743E9"/>
        <n v="9.938380231E9"/>
        <n v="8.977797797E9"/>
        <n v="9.010031068E9"/>
        <n v="9.032730504E9"/>
        <n v="9.090070708E9"/>
        <n v="8.016963924E9"/>
        <n v="7.989456218E9"/>
        <n v="9.398294016E9"/>
        <n v="7.981177252E9"/>
        <n v="9.700131887E9"/>
        <n v="8.074527844E9"/>
        <n v="9.550551971E9"/>
        <n v="9.912667177E9"/>
        <n v="9.885343999E9"/>
        <n v="8.688546247E9"/>
        <n v="9.440860933E9"/>
        <n v="7.989953036E9"/>
        <n v="8.125641626E9"/>
        <n v="6.301174005E9"/>
        <n v="8.328632386E9"/>
        <n v="9.030272322E9"/>
        <n v="9.613056789E9"/>
        <n v="9.64249749E9"/>
        <n v="9.398196192E9"/>
        <n v="9.347368545E9"/>
        <n v="8.55509073E9"/>
        <n v="9.96600676E9"/>
        <n v="9.398163983E9"/>
        <n v="8.498938264E9"/>
        <n v="9.494569463E9"/>
        <n v="7.075997535E9"/>
        <n v="9.96625404E9"/>
        <n v="7.036356575E9"/>
        <n v="9.100267638E9"/>
        <n v="9.177050547E9"/>
        <n v="9.642140555E9"/>
        <n v="8.885040804E9"/>
        <n v="6.300227403E9"/>
        <n v="9.030058654E9"/>
        <s v="+91 6281 334 972"/>
        <n v="9.014757764E9"/>
        <n v="9.346411788E9"/>
        <n v="9.502247618E9"/>
        <n v="7.660939863E9"/>
        <n v="7.981113402E9"/>
        <n v="9.000373041E9"/>
        <n v="9.700116661E9"/>
        <n v="8.297740515E9"/>
        <n v="8.347797111E9"/>
        <n v="9.06467356E9"/>
        <n v="8.247031311E9"/>
        <n v="9.66622946E9"/>
        <s v="+91 73517 33579"/>
        <n v="9.246824449E9"/>
        <n v="9.103239869E9"/>
        <s v="Sai Kumar"/>
        <s v="+91 83297 23627"/>
        <n v="9.915448817E9"/>
        <s v="+91 6289 242 080"/>
        <n v="9.949391723E9"/>
        <n v="9.615650066E9"/>
        <n v="8.3333936696E10"/>
        <s v="7816-007219"/>
        <n v="9.94899904E9"/>
        <n v="9.381475016E9"/>
        <n v="8.977725647E9"/>
        <n v="9.963027222E9"/>
        <n v="7.013437054E9"/>
        <n v="7.013324055E9"/>
        <n v="9.010130464E9"/>
        <n v="9.133979236E9"/>
        <n v="9.014527193E9"/>
        <n v="7.893253733E9"/>
        <n v="9.908775555E9"/>
        <n v="9.703988539E9"/>
        <n v="9.287878779E9"/>
        <n v="8.790049756E9"/>
        <n v="8.121271982E9"/>
        <n v="9.398293706E9"/>
        <n v="9.347072802E9"/>
        <n v="8.328135391E9"/>
        <n v="9.986881566E9"/>
        <n v="8.328177189E9"/>
        <n v="7.842712111E9"/>
        <n v="9.392482884E9"/>
        <n v="8.074023731E9"/>
        <n v="8.019889606E9"/>
        <n v="9.393935407E9"/>
        <n v="9.110781474E9"/>
        <n v="7.799678883E9"/>
        <n v="9.9558546E8"/>
        <n v="9.490422404E9"/>
        <n v="9.059524358E9"/>
        <n v="7.816087272E9"/>
        <n v="9.100735996E9"/>
        <n v="8.978565854E9"/>
        <n v="8.978565845E9"/>
        <n v="8.886466857E9"/>
        <n v="9.553442334E9"/>
        <n v="9.70107248E8"/>
        <s v="not shared"/>
        <n v="9.121377727E9"/>
        <n v="8.247679019E9"/>
        <n v="6.281419251E9"/>
        <n v="8.80006609E10"/>
        <s v="83297 23627"/>
        <s v="6289 616 585"/>
        <n v="6.303556689E9"/>
        <n v="9.739852103E9"/>
        <n v="9.398380469E9"/>
        <n v="9.64250262E9"/>
        <n v="9.67615422E9"/>
        <n v="8.106872005E9"/>
        <n v="9.17781711E8"/>
        <n v="9.100028909E9"/>
        <n v="7.337595099E9"/>
        <n v="8.790330858E9"/>
        <n v="9.849869084E9"/>
        <n v="9.505032225E9"/>
        <n v="6.30343949E9"/>
        <n v="6.305683109E9"/>
        <n v="7.411228981E9"/>
        <n v="9.381305084E9"/>
        <s v="96578 78910"/>
        <s v="99590 84726"/>
        <s v="+91 91602 65654"/>
        <n v="8.886044412E9"/>
        <n v="9.989090291E9"/>
        <n v="9.494406167E9"/>
        <n v="9.908312934E9"/>
        <s v="9542891111n"/>
        <n v="9.901990454E9"/>
        <s v="98486 83819"/>
        <n v="9.963082999E9"/>
        <n v="9.392726661E9"/>
        <n v="7.989325546E9"/>
        <n v="6.30195308E8"/>
        <n v="8.600620057E9"/>
        <n v="7.095822597E9"/>
        <n v="9.652750853E9"/>
        <n v="9.094642222E9"/>
        <s v="90946 422 22"/>
        <n v="8.019112034E9"/>
        <n v="9.032785954E9"/>
        <n v="9.959966551E9"/>
        <n v="9.95585646E9"/>
        <n v="9.391713197E9"/>
        <n v="9.24621305E9"/>
        <n v="6.303141544E9"/>
        <n v="9.948407679E9"/>
        <n v="7.680950847E9"/>
        <n v="7.674800999E9"/>
        <s v="+91 99805 05056"/>
        <n v="8.885727679E9"/>
        <n v="9.951343434E9"/>
        <s v="+91 99495 38044"/>
        <n v="9.154181471E9"/>
        <n v="8.688880266E9"/>
        <n v="7.993924605E9"/>
        <n v="9.908393938E9"/>
        <n v="9.703174809E9"/>
        <n v="9.9637979E9"/>
        <s v="81253 97376"/>
        <s v="81254 01252"/>
        <n v="9.949098489E9"/>
        <n v="8.019112033E9"/>
        <s v="+91 96662 67966"/>
        <s v="87909 15541"/>
        <n v="9.618033021E9"/>
        <n v="7.569105214E9"/>
        <n v="9.666313134E9"/>
        <n v="9.010000086E9"/>
        <n v="9.959610369E9"/>
        <n v="7.396234446E9"/>
        <n v="9.885747504E9"/>
        <s v="93221 89858"/>
        <n v="9.154999897E9"/>
        <s v="88758 40852"/>
        <n v="9.347536751E9"/>
        <n v="9.182984761E9"/>
        <n v="8.801417049E9"/>
        <n v="9.989859992E9"/>
        <n v="8.297858217E9"/>
        <n v="6.301944159E9"/>
        <n v="8.686503599E9"/>
        <n v="9.01405136E9"/>
        <n v="8.8018589E9"/>
        <s v="88014 17049"/>
        <n v="9.701997097E9"/>
        <n v="9.652727251E9"/>
        <n v="9.550045222E9"/>
        <s v="78937 79377"/>
        <n v="9.652233332E9"/>
        <n v="7.032537092E9"/>
        <n v="9.849847665E9"/>
        <n v="8.328047934E9"/>
        <n v="7.981958799E9"/>
        <n v="7.780194279E9"/>
        <s v="+91 99516 98337"/>
        <n v="9.177056777E9"/>
        <n v="9.352613128E9"/>
        <s v="+91 96760 99330"/>
        <n v="9.989762336E9"/>
        <n v="9.849794341E9"/>
        <n v="8.374165833E9"/>
        <n v="8.008712749E9"/>
        <n v="7.680960113E9"/>
        <n v="9.95901137E9"/>
        <n v="7.981180887E9"/>
        <n v="8.125401252E9"/>
        <n v="7.569171589E9"/>
        <n v="9.603039045E9"/>
        <n v="9.177781711E9"/>
        <n v="9.966887205E9"/>
        <n v="9.703972766E9"/>
        <n v="9.885748057E9"/>
        <n v="9.985294783E9"/>
        <n v="9.3910197604E10"/>
        <n v="7.989506022E9"/>
        <n v="8.885303345E9"/>
        <n v="8.801729791E9"/>
        <n v="9.347762647E9"/>
        <n v="9.652374967E9"/>
        <s v="prasad"/>
        <n v="9.100086888E9"/>
        <n v="9.392458705E9"/>
        <n v="7.397400542E9"/>
        <n v="8.1795347E9"/>
        <n v="9.030944113E9"/>
        <n v="6.300703058E9"/>
        <n v="8.4660342E9"/>
        <n v="9.849183812E9"/>
        <n v="9.030785244E9"/>
        <n v="9.849555522E9"/>
        <s v="93431 02102"/>
        <s v="99495 95361"/>
        <n v="7.396581234E9"/>
        <n v="9.948859827E9"/>
        <n v="9.13169973E9"/>
        <n v="6.301975575E9"/>
        <n v="8.125638358E9"/>
        <n v="9.831175306E9"/>
        <n v="8.686464689E9"/>
        <n v="6.281337544E9"/>
        <n v="9.700603719E9"/>
        <n v="9.177813356E9"/>
        <s v="+91 81437 77074"/>
        <s v="99635 72323"/>
        <n v="9.13399102E9"/>
        <n v="7.097575173E9"/>
        <n v="9.95885047E9"/>
        <n v="9.963612578E9"/>
        <n v="9.573281025E9"/>
        <n v="9.398645876E9"/>
        <n v="9.15489371E9"/>
        <n v="8.019975006E9"/>
        <n v="7.780181321E9"/>
        <n v="8.008645443E9"/>
        <n v="9.989445803E9"/>
        <s v="70082 64218"/>
        <n v="8.125638368E9"/>
        <n v="9.985690739E9"/>
        <s v="87122 20229"/>
        <n v="8.978532143E9"/>
        <n v="6.36198949E9"/>
        <s v=" 70082 64218"/>
        <s v="+91 70930 10756"/>
        <s v="+91 90599 77899"/>
        <n v="9.392580216E9"/>
        <n v="7.760502088E9"/>
        <n v="8.143777074E9"/>
        <s v="+91 75692 84401"/>
        <s v="7680-825252"/>
        <s v="89786 26202"/>
        <s v="‪+91 97393 68004‬"/>
        <n v="8.303445729E9"/>
        <n v="9.396420235E9"/>
        <s v="Devaraj"/>
        <n v="8.9784063E8"/>
        <s v=" 83094 44830"/>
        <n v="9.177015185E9"/>
        <s v=" 98666 87976"/>
        <n v="7.799810105E9"/>
        <n v="7.601018276E9"/>
        <n v="8.106599233E9"/>
        <n v="8.919308595E9"/>
        <s v="+91 94944 33673"/>
        <s v="Ba"/>
        <n v="9.989016111E9"/>
        <n v="9.014794304E9"/>
        <n v="9.392583121E9"/>
        <n v="9.705805877E9"/>
        <n v="9.390851792E9"/>
        <n v="9.100692616E9"/>
        <n v="9.666368516E9"/>
        <n v="9.505976437E9"/>
        <n v="9.700651582E9"/>
        <n v="7.671075758E9"/>
        <n v="9.948711846E9"/>
        <n v="9.121417638E9"/>
        <n v="9.000200207E9"/>
        <n v="9.353196139E9"/>
        <n v="6.305311698E9"/>
        <n v="8.897575075E9"/>
        <n v="9.230997403E9"/>
        <n v="9.90370419E9"/>
        <n v="8.686506624E9"/>
        <n v="8.688820076E9"/>
        <n v="7.675017029E9"/>
        <n v="9.398262097E9"/>
        <s v="95029 22661"/>
        <s v="90008 90590"/>
        <n v="9.03501996E8"/>
        <n v="9.133277966E9"/>
        <s v="94930 41116"/>
        <n v="7.794963658E9"/>
        <n v="7.032536269E9"/>
        <n v="8.143334411E9"/>
        <n v="8.46686234E9"/>
        <n v="7.20771366E9"/>
        <n v="8.374917077E9"/>
        <n v="6.281752314E9"/>
        <n v="8.121677227E9"/>
        <n v="6.38397829E9"/>
        <n v="7.39660009E9"/>
        <s v="M.K.V Swamy"/>
        <n v="9.000314794E9"/>
        <n v="8.97840633E9"/>
        <s v="Ma"/>
        <s v="Nq"/>
        <n v="9.502922661E9"/>
        <n v="9.00089059E9"/>
        <n v="9.581009911E9"/>
        <n v="9.390573556E9"/>
        <s v="9137155871/4 "/>
        <n v="8.867857222E9"/>
        <s v="+91 81139 61718"/>
        <n v="9.06357174E9"/>
        <n v="9.866609233E9"/>
        <n v="7.799456778E9"/>
        <n v="7.801043438E9"/>
        <n v="8.333802404E9"/>
        <n v="9.550997309E9"/>
        <n v="8.530280062E9"/>
        <n v="8.125063777E9"/>
        <n v="9.908889944E9"/>
        <n v="9.059693328E9"/>
        <n v="9.985876885E9"/>
        <n v="9.632710669E9"/>
        <n v="9.911990304E9"/>
        <n v="9.666659779E9"/>
        <n v="9.030090088E9"/>
        <n v="9.948476572E9"/>
        <n v="8.501088773E9"/>
        <n v="7.386840498E9"/>
        <s v="+91 94262 32828"/>
        <n v="9.33319125E8"/>
        <n v="9.989686953E9"/>
        <n v="9.959357179E9"/>
        <n v="9.059435788E9"/>
        <n v="9.429803735E9"/>
        <n v="9.988557288E9"/>
        <n v="9.959666113E9"/>
        <n v="9.959545449E9"/>
        <n v="8.790664378E9"/>
        <n v="9.866536396E9"/>
        <n v="8.978607478E9"/>
        <n v="9.866307741E9"/>
        <s v="N"/>
        <n v="9.866986194E9"/>
        <n v="9.885484224E9"/>
        <n v="9.000620666E9"/>
        <n v="9.030023124E9"/>
        <n v="9.985515133E9"/>
        <n v="9.346198983E9"/>
        <n v="8.686972783E9"/>
        <n v="7.799550044E9"/>
        <n v="9.959973064E9"/>
        <n v="8.977033476E9"/>
        <n v="8.885000505E9"/>
        <n v="7.975376382E9"/>
        <n v="7.989218677E9"/>
        <n v="6.281926349E9"/>
        <n v="7.680825252E9"/>
        <n v="7.347413137E9"/>
        <n v="9.390353857E9"/>
        <n v="9.160002E9"/>
        <n v="9.885166652E9"/>
        <n v="9.052685685E9"/>
        <n v="9.642888994E9"/>
        <n v="6.302303453E9"/>
        <s v="+91 99852 27540"/>
        <n v="9.959740131E9"/>
        <n v="9.908396763E9"/>
        <n v="9.550014444E9"/>
        <n v="9.490334499E9"/>
        <n v="8.885552082E9"/>
        <s v="70753 76903"/>
      </sharedItems>
    </cacheField>
    <cacheField name="Email- ID (POC-1)">
      <sharedItems containsBlank="1" containsMixedTypes="1" containsNumber="1" containsInteger="1">
        <m/>
        <s v="parul986@gmail"/>
        <s v="Bhuvan’skitchen25@gmail.com"/>
        <s v="na"/>
        <s v="sheshasai@gmail.com"/>
        <s v="bowlrise.srnagar@gmail.com"/>
        <s v="nsantosh086@gmail.com"/>
        <s v="bowlrise.srnagar@gmail.com "/>
        <s v="rayalseemaspice@gmail.com"/>
        <s v="cakash121@gmail.com"/>
        <s v="shiva@gmail.com"/>
        <s v="thehumanspice@gmail.com"/>
        <s v="krishnateeram2025@gmail.com"/>
        <s v="didnt recevied"/>
        <s v="no details"/>
        <s v="didnt received"/>
        <s v="didnt provided"/>
        <s v="didnt got mail"/>
        <s v="ya6822534@gmail.com"/>
        <s v="-"/>
        <s v="knowclubandkitchen@gmail.com"/>
        <s v="khuddushussian7@gmail.com"/>
        <s v="bidhaniyasony@gmail.com"/>
        <s v="ak.8977.ak@gmail.com"/>
        <s v="anandbhavanmess@gmail.com"/>
        <s v="smashcity.bk2025@gmail.com"/>
        <s v="brewcommunecafe@gmail.com"/>
        <s v="CAFEREELS@GMAIL.COM"/>
        <s v="amer786khan@gmail.com"/>
        <s v="flavourbiryanicafe9@gmail.com"/>
        <s v="vishnuthapaaaa@gamil.com"/>
        <s v="rebalsaikumargoud@gmail.com"/>
        <s v="bmanjunathkotteri@gmail.com"/>
        <s v="dinesh.pedamallu@gmail.com"/>
        <s v="Mattaparthykanakshith@gmail.com"/>
        <s v="tkartheek.516@gmail.com"/>
        <s v="bhushankottavalasa@gmail.com"/>
        <s v="veerammagarivantillu@gmail.com"/>
        <s v="Yes"/>
        <s v="n/a"/>
        <s v="frostbakeryindia@gmail.com"/>
        <s v="Not given "/>
        <s v="Info@rayalaseemaruchulu.com"/>
        <s v="Not given"/>
        <s v="NA "/>
        <s v="sudheer2409@gmail.com"/>
        <s v="Addomkar@gmail.com"/>
        <s v="dhanyasideepakvarma@gmail.com"/>
        <s v="hsgsubhamgrand@gmail.com"/>
        <s v="Info@goodsparrow.in"/>
        <s v="info@goodsparroe.in"/>
        <s v="Naveen "/>
        <s v="Vjfoodprenures@gmail.com"/>
        <s v="Jaimaanukonda7@gmail.com"/>
        <s v="bakehousesns@gmail.com"/>
        <s v="mohdilyas13@gmail.com"/>
        <s v="faheen88977@gmail.com"/>
        <s v="Tipsytopsy1@gmail.com "/>
        <s v="punjabijunctionyf@gmail.com"/>
        <s v="Sohailmd990@gmail.com"/>
        <s v="emkreddy.19@gmail.com"/>
        <s v="Koduriskitchen@gmail.com"/>
        <s v="srichandrakakarla@gmail.com"/>
        <s v="Lead"/>
        <s v="velagapudi6@gmail.com"/>
        <s v="amoghacafe@gmail.com"/>
        <s v="c.sivakarthik@gmail.com"/>
        <s v="Info@omsreesaifoods.com"/>
        <s v="Ahsth"/>
        <s v="Ht"/>
        <s v="Arukhaflavours@gmail.com"/>
        <s v="sribhimavaramthali@gmail.com"/>
        <s v="kaaramthespicekitchen@gmail.com"/>
        <n v="33.0"/>
        <s v="Test"/>
        <s v="avinesh363@gmail.com"/>
        <s v="Rathodvenkat62@gmail.com"/>
        <s v="mohammedirfan5731@gmail.com"/>
        <s v="om.hrchyd@jsmcorp.in"/>
        <s v="lakshmisai349@gmail.com"/>
        <s v="padmakasa76@gmail.com"/>
        <s v="kothashok25@gmail.com"/>
        <s v="oakbistro0@gmail.com"/>
        <s v="sukant@udupi.com"/>
        <s v="vamsiprince94944@gmail.com"/>
        <s v="reeshav@pjhindia.com"/>
        <s v="sumit.bajaj@haldirams.com"/>
        <s v="Online@karachibakery"/>
        <s v="Bulliabbai@gmail.com"/>
        <s v="Balu.evana396@gmail.com"/>
        <s v="Gundavenuprakash74@gmail.com"/>
        <s v="sanjeev.mandal@marriott.com"/>
        <s v="Requested"/>
        <s v="dheeraj.prabhu@rbrandsasia.com"/>
        <s v="naveen@sweetsdude.in"/>
        <s v="gyandeep.singh@accor.com"/>
        <s v="dinesh.naidu@almondhouse.com"/>
        <s v="Vijjivo52@gmail.com"/>
        <s v="Sujit.atric@gmail.com"/>
        <s v="rfcoproductions@gmail.com"/>
        <s v="seventhheavenrestaurant1998@gmail.com"/>
        <s v="gm@whiskysambahyd.in"/>
        <s v="Msurana.ktm@gmail.com"/>
        <s v="Vardhan 2563@gmail.com"/>
        <s v="Syed Shah 509@gmail.com"/>
        <s v="South MD 28@gmail.com"/>
        <s v="Alisahil66636@gmail.com"/>
        <s v="Santhakam ruchulu@gmail.com"/>
        <s v="Ghadiyal Mohit 7@gmail.com"/>
        <s v="Sk.janbee@gmail.com"/>
        <s v="Aminuddin srinagar@gmail.com"/>
        <s v="Maheshdontham@gmail.com"/>
        <s v="Skjani19892@gmail.com"/>
        <s v="Priyamoff05@gmail.com"/>
        <s v="Murthysam07@gmail.com"/>
        <s v="Rajnikant@presidentdhaba.com"/>
        <s v="Rajnikant@presidentdhaba"/>
        <s v="Diksha@myfroyoland"/>
        <s v="Dinesh@natukitchen"/>
        <s v="Durga@gmail.com"/>
        <s v=" A"/>
        <s v=" Na"/>
        <s v="info@bilwa36.com"/>
        <s v="kothaashok25@gmail.com"/>
        <s v="aromabirayanispulaos@gmail.com"/>
        <s v="roopchand7545@gmail.Com"/>
        <s v="vellankifood89@gmail.com"/>
        <s v="Snakingcafe@gmail.com"/>
        <s v="afbm@rdhyderabad.com"/>
        <s v="kedar@maanhospitality.com"/>
        <s v="Gunjichandrashekar@gmail.com"/>
        <s v="care@manamchocolate.com"/>
        <s v="support@roasterycoffee.co.in"/>
        <s v="ankaiah85@gmail.com"/>
        <s v="www.alfamadreat.com"/>
        <s v="gmhpo@sarovarhotels.com"/>
        <s v="fbmgr.hyd@hotelgreenpark.com"/>
        <s v="Rajkumar@prost.in"/>
        <s v="thenawaabsrestaurant@gmail.com"/>
        <s v="Crispycorner0889@gmail.com"/>
        <s v="nrrajesh22@gmail.com"/>
        <s v="Jagadeeshnagothu88@gmail.com"/>
        <s v="cafe74tangos@gmail.com"/>
        <s v="avinash.pant@hyatt.com"/>
        <s v="Cocknbullhyd@gmail.com"/>
        <s v="Amarendranaidu@hotmail.com"/>
        <s v="madaramshailajak@gmail.com"/>
        <s v="snackbite.gachibowli@gmail.com"/>
        <s v="tulasinandan654@gmail.com"/>
        <s v="Gpsajju@gmail.com"/>
        <s v="sharan.peddinti@paradisefoodcourt.in"/>
        <s v="karan.mehra@absolute-barbecue.com"/>
        <s v="&quot;dheeraj.prabhu@rbrandsasia.com"/>
        <s v="edwin.debnath@itchotels.com"/>
        <s v="raunak.dungarwal@rbrandsasia.com"/>
        <s v="Chakri.kritunga@gmail.com"/>
        <s v="sadanand.yadav@curefoods.in"/>
        <s v="nehadsiddqi7@gmail.com"/>
        <s v="sohebmdy9@gmail.com"/>
        <s v="taazatiffinsbandlagudajagir@gmail.com"/>
        <s v="n"/>
        <s v="anukitchen2026@gmail.com"/>
        <s v="Not shared"/>
        <s v="Josh@cozyraga.com"/>
        <s v="agm.hrchitechcity@jsmts.in"/>
        <s v="chaitanya@icebergicecreams.com"/>
        <s v="zinia@shovona.com"/>
        <s v="mouryarestaurant2024@gmail.com"/>
        <s v="Vivek.koudlay@baskinrobbinsindia.com"/>
        <s v="Contact@thechamkila.com "/>
        <s v="chandanbharati9831@gmai.com"/>
        <s v="Not shared "/>
        <s v="Kakaralad@gmail.com"/>
        <s v="Sudheermunna056@gmail.com"/>
        <s v="naveengoodchat120@gmail.com"/>
        <s v="Info@nicehospitality.in"/>
        <s v="hamdanalguthmi1234@gmail.com"/>
        <s v="Nna"/>
        <s v="b4ushiva@gmail.com"/>
        <s v="nsa"/>
        <s v="wasimakram06052001@gmail.com"/>
        <s v="bhanuprakash.adabala@gmail.com"/>
        <s v="ampanagalakshmi5555@gmai.com"/>
        <s v="celebs.reloaded@gmail.com"/>
        <s v="srivegamabadeluxmess@gmail.com"/>
        <s v="qubzjntu@gmail.com "/>
        <s v="lickeestelangana@gmail.com"/>
        <s v="atlurifoods@gmail.com"/>
        <s v="acc.hitec@monndayhotels.com"/>
        <s v="Acc.gachibowli@mondayhotels.com"/>
        <s v="Rainbowfoods91@gmail.com"/>
        <s v="maskachaskaon@gamil.com"/>
        <s v="Ma"/>
        <s v="Nq"/>
        <s v="Na ki"/>
        <s v="ramsinghbanoth000@gmail.com"/>
        <s v="nalubola.arjun@gmail.com"/>
      </sharedItems>
    </cacheField>
    <cacheField name="Name (POC-2)" numFmtId="0">
      <sharedItems containsBlank="1">
        <m/>
        <s v="amit"/>
        <s v="NA"/>
        <s v="Jaspreet Singh"/>
        <s v="Yes"/>
        <s v="Rithik"/>
        <s v="Azeez"/>
        <s v="Avinash"/>
        <s v="8309-541582"/>
        <s v="Md.owais"/>
        <s v="Purushottam "/>
        <s v="lead"/>
        <s v="Dheeraj"/>
        <s v="Faizan"/>
        <s v="Rajan (Asst. Rest. Manager)"/>
        <s v="Surya (Cashier)"/>
        <s v="Amitava (Entry Manager)"/>
        <s v="Raju Samba"/>
        <s v="Pradeep (Shift Manager)"/>
        <s v="Syed Fouzan"/>
        <s v="Charanjit (Shift Manager)"/>
        <s v="Ravi Teja (Area Manager)"/>
        <s v="Brijesh Kumar"/>
        <s v="reference given by Miss Sandhya"/>
        <s v="Mr. Sahoo"/>
        <s v="Kabir (Shift Manager)"/>
        <s v="Mr. Jeet"/>
        <s v="Mukul (Shift Manager)"/>
        <s v="Ranjit (Shift Manager)"/>
        <s v="Mr Bala (Area Manager)"/>
        <s v="Tapas"/>
        <s v="Lavina( owner)"/>
        <s v="Rama"/>
        <s v="gopi "/>
        <s v="Muzzammil"/>
        <s v="Raj B"/>
        <s v="Raunak"/>
        <s v="Chakri "/>
        <s v="Ali Firoz"/>
        <s v="NEHAD SIDDIQI"/>
        <s v="Jagadeesh"/>
        <s v="Sai"/>
        <s v="Vinay"/>
        <s v="Sridevi"/>
      </sharedItems>
    </cacheField>
    <cacheField name="Contact Number (POC-2)">
      <sharedItems containsBlank="1" containsMixedTypes="1" containsNumber="1" containsInteger="1">
        <m/>
        <n v="7.896541232E9"/>
        <n v="9.848444396E9"/>
        <n v="9.95902031E9"/>
        <n v="4.785863578E9"/>
        <n v="685.0"/>
        <n v="67.0"/>
        <n v="8.847805035E9"/>
        <n v="9.985095605E9"/>
        <n v="7.977757237E9"/>
        <n v="1.0"/>
        <n v="9.866667E9"/>
        <n v="12.0"/>
        <n v="7.660912558E9"/>
        <n v="9.290643848E9"/>
        <s v="81234 01137"/>
        <n v="9.281054033E9"/>
        <n v="9.097949702E9"/>
        <n v="9.832874225E9"/>
        <n v="9.79481482E9"/>
        <n v="9.515868969E9"/>
        <n v="7.416690785E9"/>
        <n v="6.290172851E9"/>
        <n v="7.731019988E9"/>
        <n v="9.121165812E9"/>
        <n v="8.099420329E9"/>
        <n v="9.010023567E9"/>
        <n v="9.57334519E9"/>
        <n v="9.50277777E9"/>
        <n v="9.390442627E9"/>
        <n v="8.978211625E9"/>
        <n v="8.247534864E9"/>
        <n v="7.376299999E9"/>
        <n v="8.123401137E9"/>
        <n v="7.799678883E9"/>
        <n v="9.769343996E9"/>
        <n v="9.381475016E9"/>
        <s v="+919790747704"/>
        <n v="9.502041334E9"/>
        <n v="9.908013301E9"/>
      </sharedItems>
    </cacheField>
    <cacheField name="Email- ID (POC-2)" numFmtId="0">
      <sharedItems containsBlank="1">
        <m/>
        <s v="parul@gmail"/>
        <s v="NA"/>
        <s v="Yes"/>
        <s v="Vinod"/>
        <s v="Manager@prost.in  Exclusive@prost.in"/>
        <s v="raunak.dungarwal@rbrandsasia.com&quot;"/>
        <s v="dheeraj.prabhu@rbrandsasia.com"/>
        <s v="Chakri.kritunga@gmail.com"/>
        <s v="agm.hrchitechcity@jsmts.in"/>
        <s v="dheeraj.prabhu@rbrandsasia.com "/>
      </sharedItems>
    </cacheField>
    <cacheField name="Do you want to Submit Documents" numFmtId="0">
      <sharedItems containsBlank="1">
        <m/>
        <s v="Yes"/>
        <s v="No"/>
      </sharedItems>
    </cacheField>
    <cacheField name="FSSAI Number">
      <sharedItems containsBlank="1" containsMixedTypes="1" containsNumber="1" containsInteger="1">
        <m/>
        <n v="3589795.0"/>
        <s v="20251226108111377"/>
        <n v="1.3619013001993E13"/>
        <n v="2.36250300015E13"/>
        <n v="1.3625010001295E13"/>
        <n v="2.3625032003555E13"/>
        <n v="2.3624032003815E13"/>
        <n v="1.3623013001342E13"/>
        <n v="2.3625028001267E13"/>
        <n v="2.3625032004054E13"/>
        <n v="2.3625034003143E13"/>
        <n v="1.3622013001491E13"/>
        <n v="2.3625030002129E13"/>
        <n v="2.3625030004336E13"/>
        <n v="1.3622015000429E13"/>
        <n v="2.3622028000187E13"/>
        <s v="30260206123260477"/>
        <n v="1.3620011000085E13"/>
        <n v="2.3623028001095E13"/>
        <n v="2.3623028000252E13"/>
        <n v="2.3625030005083E13"/>
        <n v="2.3625030004696E13"/>
        <n v="1.3624011000338E13"/>
        <n v="2.362503200008E13"/>
        <n v="2.3625032007575E13"/>
        <n v="2.3625032006375E13"/>
        <n v="1.3626013000059E13"/>
        <n v="2.3626030000702E13"/>
        <n v="2.3621030003744E13"/>
        <n v="2.362503200784E13"/>
        <n v="2.3625032006338E13"/>
        <n v="2.3624032003894E13"/>
        <n v="1.3623013000736E13"/>
        <n v="2.3625032006654E13"/>
        <n v="1.3624011000865E13"/>
        <n v="2.3625032003822E13"/>
        <n v="1.362501300113E13"/>
        <n v="1.3625013000865E13"/>
        <n v="1.3623011000278E13"/>
        <n v="2.3625032007582E13"/>
        <n v="2.3626032000604E13"/>
        <n v="2.3624032003427E13"/>
        <n v="1.3624011001092E13"/>
        <n v="1.3618013000561E13"/>
        <n v="2.3625030004177E13"/>
        <n v="2.3625030001846E13"/>
        <n v="2.3625028004025E13"/>
        <n v="1.3625038000099E13"/>
        <n v="2.3625032003903E13"/>
        <s v="30260204123234536"/>
        <n v="2.3625030000684E13"/>
        <n v="2.3625030006925E13"/>
        <n v="2.3625030006936E13"/>
        <n v="2.362503000395E12"/>
        <s v="30260107122865276"/>
        <n v="1.362401300127E13"/>
        <n v="2.3624032004478E13"/>
        <n v="2.362402800172E13"/>
        <n v="2.3621028002247E13"/>
        <n v="2.3626034000477E13"/>
        <n v="2.3622028000835E13"/>
        <n v="2.362102800316E13"/>
        <n v="2.3626028000182E13"/>
        <n v="2.3626028000436E13"/>
        <n v="2.3624028001996E13"/>
        <n v="2.3625028004314E13"/>
        <n v="1.362501000016E13"/>
        <n v="2.3625032003808E13"/>
        <n v="2.362503200192E13"/>
        <n v="2.3621032002292E13"/>
        <n v="2.3625030005784E13"/>
        <n v="1.362401100025E13"/>
        <n v="236.0"/>
        <n v="2.3626030000081E13"/>
        <n v="2.3623030000703E13"/>
        <n v="2.3626030000759E13"/>
        <n v="1.3623011001549E13"/>
        <n v="2.3625030000123E13"/>
        <n v="2.3625030005242E13"/>
        <n v="2.3621030000064E13"/>
        <n v="2.362503200736E13"/>
        <s v="2362403270003467"/>
        <n v="1.3625013000918E13"/>
        <n v="2.3625032008581E13"/>
        <s v="23625 03200 5700"/>
        <n v="2.3625032007245E13"/>
        <n v="2.3625032008726E13"/>
        <n v="2.3625032008245E13"/>
        <n v="2.3625032007243E13"/>
        <n v="2.3625030003863E13"/>
        <s v="NA"/>
        <n v="2.3622032002896E13"/>
        <n v="2.3624032003115E13"/>
        <n v="2.3624032004909E13"/>
        <n v="2.3626030000551E13"/>
        <n v="2.3624032003078E13"/>
        <n v="2.3625032006946E13"/>
        <n v="2.3626032000549E13"/>
        <n v="2.3625032008397E13"/>
        <n v="2.3625032006945E13"/>
        <n v="2.3625030005167E13"/>
        <n v="2.3626033000369E13"/>
        <n v="2.3625032007321E13"/>
        <n v="2.3625032003365E13"/>
        <n v="2.3620030001763E13"/>
        <n v="2.3625032002303E13"/>
        <n v="2.3625032007439E13"/>
        <n v="2.3626032001133E13"/>
        <s v="30260214123371710"/>
        <n v="2.3624028002421E13"/>
        <n v="2.3625032007611E13"/>
        <n v="2.3625028000372E13"/>
        <n v="1.3625010000289E13"/>
        <n v="2.3626028000655E13"/>
        <n v="2.3626034000501E13"/>
        <s v="30250415119817237"/>
        <n v="2.3625030000153E13"/>
        <n v="2.362403200428E13"/>
        <n v="2.362503200372E13"/>
        <n v="2.3626028000632E13"/>
        <n v="2.362503200695E13"/>
        <n v="2.3625032008742E13"/>
        <n v="1.362301300051E13"/>
        <n v="2.3624030000025E13"/>
        <n v="1.362401000017E13"/>
        <n v="1.3622013001321E13"/>
        <n v="2.3626032001637E13"/>
        <n v="2.3626032001539E13"/>
        <n v="2.3625032001874E13"/>
        <n v="2.3626032001236E13"/>
        <n v="2.3623032002732E13"/>
        <n v="2.3626032001312E13"/>
        <s v="30251122122276873"/>
        <n v="2.3625032008215E13"/>
        <n v="2.3625032008557E13"/>
        <n v="2.3625030002496E13"/>
        <n v="2.3625032007391E13"/>
        <n v="1.3622013001786E13"/>
        <n v="2.3625032003923E13"/>
        <n v="2.3625032008333E13"/>
        <n v="2.3625032007679E13"/>
      </sharedItems>
    </cacheField>
    <cacheField name="fssai2" numFmtId="0">
      <sharedItems containsBlank="1">
        <m/>
        <s v="https://drive.google.com/open?id=1K2GAYdf9j8OoeRQJN7a2rrWNqrJv-Yr8"/>
        <s v="https://drive.google.com/open?id=1zQ8cp3_66Bhden1m6eXDLNsshBt8JXb3"/>
        <s v="https://drive.google.com/open?id=1jDd9udZkiYFM95E6qDnBXxB9dZAPA3Q6"/>
        <s v="https://drive.google.com/open?id=1p7jWoaNGA48ZsmXz8piawFvDD6h8MZPo"/>
        <s v="https://drive.google.com/open?id=19PGovlvYadreb67eUHeNKzrktgJO-8bX"/>
        <s v="https://drive.google.com/open?id=1O-A-ESorVgS21JbM9bD4LsPgYXHMCp0d"/>
        <s v="https://drive.google.com/open?id=16IQXYD4HTTgs7GCdBU6iPTmSXHfWlbQY"/>
        <s v="https://drive.google.com/open?id=12A0pBqsWeMNRgfr4-RewydCYL1MhGFzW"/>
        <s v="https://drive.google.com/open?id=1yUrIaR5y55zD2nSA-kJ0RTpJklMZhyOE"/>
        <s v="https://drive.google.com/open?id=1eq2DvTRrEKjx7F39onOqBAWekTlxGmlf"/>
        <s v="https://drive.google.com/open?id=1FDLfrP2vE0w4X7UHEaSFNcpu27KdfG4j"/>
        <s v="https://drive.google.com/open?id=1M7jn0BGrwdxzFH55n7AA8m6MyWVZRx1z"/>
        <s v="https://drive.google.com/open?id=1uEv1SbghR4V6SRNuV_W5cWmXTxOGaOTk"/>
        <s v="https://drive.google.com/open?id=1jlS2uzGgdXIiBFtKTniOqZcQQP1Def9B"/>
        <s v="https://drive.google.com/open?id=1XHti40Q6rcjbNTd4338mnP-gp5zYiTTo"/>
        <s v="https://drive.google.com/open?id=1GwUWxdepNWvDVaZTDr0zsGPPIuKR_QoL"/>
        <s v="https://drive.google.com/open?id=1hhJ4HCs3cnLc731dz0ty_EzVSMGi6q8m"/>
        <s v="https://drive.google.com/open?id=1aZgR-8WQbSPhz8kdHLDR2naTnc3fOi42"/>
        <s v="https://drive.google.com/open?id=1sAnOS-klkKNxUHLQQA1nebfrNs7UHF3f"/>
        <s v="https://drive.google.com/open?id=1S1WlPojpvf1raedXv-niWA3UjYFTUlk5"/>
        <s v="https://drive.google.com/open?id=1yf9M7K7UhdTNA3TQu2NOSU6PrAh13spn"/>
        <s v="https://drive.google.com/open?id=1AlxCOdJ1Za0jZBdQ3zWZHURu3hmd6ii2"/>
        <s v="https://drive.google.com/open?id=1-8lOUY6jgkJa66YVEByy-q1eWlWTl5rK"/>
        <s v="https://drive.google.com/open?id=1DlC2bj1dFOqdVO20DL-nBeSxxMLICMpI"/>
        <s v="https://drive.google.com/open?id=1-Dl1aiT5Ad0HRsUNS4BdokXeybknF0vr"/>
        <s v="https://drive.google.com/open?id=1TyQ5VyQoYOXBgO6bKGNQK8FFz5yUt2Nw"/>
        <s v="https://drive.google.com/open?id=1f4MJPvzkVHBffgC4W0BlFcwQrLXPEzPq"/>
        <s v="https://drive.google.com/open?id=1rHTW-WZBcmBuGCZkK9YDvq-bRkFEbAAL"/>
        <s v="https://drive.google.com/open?id=1fGbSlo6SQePsw9IXCKG5RYAxMZoOHZ-d"/>
        <s v="https://drive.google.com/open?id=1oKV_3cQoMNE-A5xCKoHVszsAgIot6crY"/>
        <s v="https://drive.google.com/open?id=176ECpGpxZDmqD8I_vWbXX5K-YBZRlh3A"/>
        <s v="https://drive.google.com/open?id=1FPCiNB0YBRTLIUvuT9773zFtJI3rUXLv"/>
        <s v="https://drive.google.com/open?id=1_pVvhL8ftMgUTL7yMtxYmWWO7q2tGY8Y"/>
        <s v="https://drive.google.com/open?id=1h3_DBVEvIMkLFlPtsfWS18CSpghzWTn2"/>
        <s v="https://drive.google.com/open?id=1Z-lRC1l3IL3T3kyON-FcG7O_JcxZeZJF"/>
        <s v="https://drive.google.com/open?id=14aiEgHPTLKqKHTq6XSwqDEBE2xAfhvkI"/>
        <s v="https://drive.google.com/open?id=1RXkZ-moPk64eEHlh8LGIRgU1nGyi4Hm-"/>
        <s v="https://drive.google.com/open?id=1nFJkCl5MASyahmgFBFpfuuaFmGwr4WfO"/>
        <s v="https://drive.google.com/open?id=1LLEJekJcTxrNm2QagzhMxqyDXOWjpyCP"/>
        <s v="https://drive.google.com/open?id=1UlTTQTrZr1eADuCSZrV_BPpaH4jLCq_v"/>
        <s v="https://drive.google.com/open?id=1mlYB2ikwWJ-JF1B6rw17HV_R-3hmedEX"/>
        <s v="https://drive.google.com/open?id=1dzCPMgBk7v1BOPqjGbCpJvxzaj3B5s04"/>
        <s v="https://drive.google.com/open?id=1tUv-8B6zLHP5QCXxzN1yLw_QwqmSiAES"/>
        <s v="https://drive.google.com/open?id=1PdI1UU9f5OPowNVgD7fReE2oDtxxx4Mn"/>
        <s v="https://drive.google.com/open?id=1QmWrK_rT287ulHBndycSFpNyv3pFYCxb"/>
        <s v="https://drive.google.com/open?id=1OhYuUPJZtUt9ADEJV6NmHD-6_CD-YagI"/>
        <s v="https://drive.google.com/open?id=1W5DvnQWJlR0kGJulI7-q7OPepzyaL_ZD"/>
        <s v="https://drive.google.com/open?id=17M8j3mFhZFG3wU77l4cQMHYhXq8pD0tH"/>
        <s v="https://drive.google.com/open?id=1bOdmrQWowW-khG2i25-X3I8JS1GVT-FV"/>
        <s v="https://drive.google.com/open?id=1lRsfS8PW2rGv9OdqTH2xf99j_u_nNw-E"/>
        <s v="https://drive.google.com/open?id=15LQNQwFCSmtoa-ANPNjSw85OKSSf_V4h"/>
        <s v="https://drive.google.com/open?id=1bYYNkuI4klJFNRxozmqIxILvA32fXEGy"/>
        <s v="https://drive.google.com/open?id=1Y2r1fJ76bZRYNZ76UjnNFLyBLdtVuebW"/>
        <s v="https://drive.google.com/open?id=1lckDHfTyIZ5yB82IYRdKjbdKZl3Jc_jX"/>
        <s v="https://drive.google.com/open?id=1yxAcSsnzIiU3Ql7cs-2Q1mpsTEeB95JQ"/>
        <s v="https://drive.google.com/open?id=1Y4KiVuvKsiEij0pmuN9chObs0R6zRWix"/>
        <s v="https://drive.google.com/open?id=1MLUUMknW2eGLiMy4-2efmMrFgAz1nhYH"/>
        <s v="https://drive.google.com/open?id=1E0YyvYuvkww1Vl4LmBKqT1b-yVnr6XXq"/>
        <s v="https://drive.google.com/open?id=1WyRpq7Y9UlNtgHY06tO1Rf-kj6bCjxqg"/>
        <s v="https://drive.google.com/open?id=1d95a7vRIcXsPASPsC4bzqOyFhSVR4OSZ"/>
        <s v="https://drive.google.com/open?id=1EXRoLkUeVUy1NFPvVCPy0gMxGzevA2zB"/>
        <s v="https://drive.google.com/open?id=1HrStDjCgHTofQeCbOBlxQbgfOzFz-65r"/>
        <s v="https://drive.google.com/open?id=1f5YEmi8R5RjXfuitMzBruEY8OzIZ72t8"/>
        <s v="https://drive.google.com/open?id=1WXzJB5jAq-ErFkqRSFDqCwMunYuUzXes"/>
        <s v="https://drive.google.com/open?id=1RqIgGbKdS7V0393jSefvmGbOHW9VQV1S"/>
        <s v="https://drive.google.com/open?id=1aG-dLFSw3LpAi8pn-Qwq1DOev6gi8frp"/>
        <s v="https://drive.google.com/open?id=1fxLJs5jB-xpQQqYcyKiJa9ow9u28RGf_"/>
        <s v="https://drive.google.com/open?id=1Bs5j9AK0RG5Hl2wupt4lloyhDgXIhyxN"/>
        <s v="https://drive.google.com/open?id=15OcZoL691OxDeIQUq7hxTLlVkESpAFxU"/>
        <s v="https://drive.google.com/open?id=1xK1wKlI15IktTyXKw_xMHwAZmL8l0hv2"/>
        <s v="https://drive.google.com/open?id=1PmaUkgNxXz5G-6LFNQQU3Aw1hn4ZzMGv"/>
        <s v="https://drive.google.com/open?id=19bhmAYOCFdCddBwZl3Wau73LQMozPDuZ"/>
        <s v="https://drive.google.com/open?id=1dAEDqfgo5WXJ-OTH7YaLBgpqRr8Vw7T9"/>
        <s v="https://drive.google.com/open?id=1z2n-KhU_rLTCL1gYXHa3gKHQePwZpwM1"/>
        <s v="https://drive.google.com/open?id=15w-41KfK4yuAaZbxJPFH_B99m-hbwa4F"/>
        <s v="https://drive.google.com/open?id=1CPG3HtOWnpLMHqHuEIjVRE95CmobxkfV"/>
        <s v="https://drive.google.com/open?id=1GMZ4NH82b3mgZS90MqbElPLVhwFtsXrH"/>
        <s v="https://drive.google.com/open?id=1gcv9RnzFa4BVuSpZKCyspNeRZ9pq7tQm"/>
        <s v="https://drive.google.com/open?id=1YamiPESl9lY_-e9DER0dGwAA3iNj4XIl"/>
        <s v="https://drive.google.com/open?id=17t9rSNa1ACIcY4EyDJMioAGOKy4ezj_V"/>
        <s v="https://drive.google.com/open?id=1t5Stq0SMOsAKB4MzMx0D5ctoM9FxcKaY"/>
        <s v="https://drive.google.com/open?id=17Or-bhIxOB_fO2sEGmNwr5IQ6ixU3vvE"/>
        <s v="https://drive.google.com/open?id=1QnMLths7iNcb1nTv46dC1aw-7bW5GTgf"/>
        <s v="https://drive.google.com/open?id=1QpPC9T80dwxRb-wHw66rsvN9lSGhW9w4"/>
        <s v="https://drive.google.com/open?id=1yq3TS2sV89Wt5V8ytwcIHq2eDEvfkyCA"/>
        <s v="https://drive.google.com/open?id=1YCWgJXNqdWEF_bLRHD7fB-jAF0Gum0RP"/>
        <s v="https://drive.google.com/open?id=1v8GuVB6FT1xhXRdZk20oBYf8sShOinDH"/>
        <s v="https://drive.google.com/open?id=1E3GFAcJKhqQYmGTMwQlEvoFQWzviRTW1"/>
        <s v="https://drive.google.com/open?id=1cYN7h_LAZ4WEiQB9JGKxfb5s7iNY2O6y"/>
        <s v="https://drive.google.com/open?id=1qCO3zcHYab6Ni473npDxy_YcSbImrwhZ"/>
        <s v="https://drive.google.com/open?id=1tiJVZz0afAaAtdukvIjB2p6eA73oWqM7"/>
        <s v="https://drive.google.com/open?id=16k493vsOc5EyewYiso7AgZvxNRtpsHwS"/>
        <s v="https://drive.google.com/open?id=1cWIBkV2BJ7J0xgnp5ZfIMiQCx6aDLs0n"/>
        <s v="https://drive.google.com/open?id=1JkXdJV6m74LD-RAl0FyQDJteR06jW_9X"/>
        <s v="https://drive.google.com/open?id=1LAz6YfU48rjgUm90rjucNoyHLFOblYJ1"/>
        <s v="https://drive.google.com/open?id=1ia1w9zN8y7Hhp3yXc1c1rMX3MWIwrlTo"/>
        <s v="https://drive.google.com/open?id=1FaoWhwagdXOqBkQSbc5J4CR47LYsrDkN"/>
        <s v="https://drive.google.com/open?id=1xjX5JwWB2h-OdF7dTFNTZzEZgfatGvaC"/>
        <s v="https://drive.google.com/open?id=1_oMdjFshA5OacqXz-P5K3wFYDMTELQH3"/>
        <s v="https://drive.google.com/open?id=1Vk7oOI9LH_xIejew7Y-jbw9vU268TCPa"/>
        <s v="https://drive.google.com/open?id=1waSIzAH-MIZnU9Z2Cf4OEIbVIJfuSsAd"/>
        <s v="https://drive.google.com/open?id=125T7pFP7_Nj1RyExE6yiGLlMNItiF0U5"/>
        <s v="https://drive.google.com/open?id=1-PmbyHH_FFcytI0mUI-24IqfZBGvv0lV"/>
        <s v="https://drive.google.com/open?id=1AIJY0WXmXEWz_SjgX4mvaV5iufPJIEDK"/>
        <s v="https://drive.google.com/open?id=1Yme6KvX9A5Q2bO4gaJvBIARQqEpdANjj"/>
        <s v="https://drive.google.com/open?id=13Dds29Tr2HY-QAhKBxqO6CFmA56taYhg"/>
        <s v="https://drive.google.com/open?id=1aWK762ejH9coEq15X3GXpnOEkFD9iAAt"/>
        <s v="https://drive.google.com/open?id=1eKGwCZlTvrm9EuAd82fGvz2TcSFkMfOG"/>
        <s v="https://drive.google.com/open?id=1N7xMX3EOZrJDHQhrTC35u_p5wcRgengC"/>
        <s v="https://drive.google.com/open?id=1gVIhGFh3TtKR_VDLHfpcXDblyt3RssT2"/>
        <s v="https://drive.google.com/open?id=1_EsQCbBvreBn1i4-iQY3OWPNNvw0YO6W"/>
        <s v="https://drive.google.com/open?id=1_NtYZThmlKKbqsgOwqprAq1rGaCg8jqf"/>
        <s v="https://drive.google.com/open?id=1UB9lnAVZLJ_ESZbSY-C9PQnn3VZ_ryy3"/>
        <s v="https://drive.google.com/open?id=1p0EP3qh90HYIFgre-tk0LkewVFMbKRdA"/>
        <s v="https://drive.google.com/open?id=1dCLs2DtvSUrxj10Ah6RkKP8Fl1ZdDrwy"/>
        <s v="https://drive.google.com/open?id=1HJGX_svu90CwIK68w9IGPfdhDRpFWrqH"/>
        <s v="https://drive.google.com/open?id=18F5QkGfb2iE-oL-r98unRi2bzST-d0TS"/>
        <s v="https://drive.google.com/open?id=1a_4H2_9CknTE0d_ON89ybjkve64jWQor"/>
        <s v="https://drive.google.com/open?id=1QtpPmtQ2GmKhyIwRqjT1D_J7nAdTaTI1"/>
        <s v="https://drive.google.com/open?id=1SeRPTsRYQVU6SkqR9ic9_CMF0KvW45tR"/>
        <s v="https://drive.google.com/open?id=13zsfyiLjJMynVxqMk6rFJhdR41TMTvky"/>
        <s v="https://drive.google.com/open?id=1Ub1wrnAcgo91klgFqZiNehSro4IEjnGR"/>
        <s v="https://drive.google.com/open?id=1x2qQkfoWv8LumP2sZtDcM6fLv8gn22UJ"/>
        <s v="https://drive.google.com/open?id=1OSXdDkPlFCtN36zLV3BYIEOJisFzmKMS"/>
        <s v="https://drive.google.com/open?id=1QASk-_HGmQ0IuQXHwiHAig9s7moEqiC5"/>
        <s v="https://drive.google.com/open?id=1wJgd-9hPULgaYdKEsVJjrsjTjoyxshJe"/>
        <s v="https://drive.google.com/open?id=1tUcBmTY88ciHV2VZKdmGUSTObadrxrrK"/>
        <s v="https://drive.google.com/open?id=1QHOJrjQ-bogE42gz1ED2GU99sKB7bE8g"/>
        <s v="https://drive.google.com/open?id=1NXxcnA8eUQVkK1CZ_dZ-SV5r4d5y6oLM"/>
        <s v="https://drive.google.com/open?id=1GBBHeRrEgqXpMR0Bwyb9qWksXR5CNScb"/>
        <s v="https://drive.google.com/open?id=1mRa1P7QF-C-SAjike4M1q1WsV0e9qMIL"/>
        <s v="https://drive.google.com/open?id=1ElkQEBbpL4Rwh7v6l8_UqxLIy4-ZMmfV"/>
        <s v="https://drive.google.com/open?id=1h-Z7g_Fm-6WYh8wpeUhJAc5VEE3UImSM"/>
        <s v="https://drive.google.com/open?id=1R4_qb9yI6Wh_R93vETPXZuqmqeANtLWU"/>
        <s v="https://drive.google.com/open?id=1gHZnSRyXz_xmPAncGCGsyYVX_rT0ryr9"/>
        <s v="https://drive.google.com/open?id=1ihTahj5bPs21wOmS6eC1bXYzaehhK9Vx"/>
        <s v="https://drive.google.com/open?id=14geVllZEb2onca2lRpYTtisfLBVkPKhY"/>
        <s v="https://drive.google.com/open?id=1tu_p-2MpyU5LB7dq_zMXxJtYeN5FxH3O"/>
        <s v="https://drive.google.com/open?id=1aQ1wz50Qyk_RNO1AdaFPv1QJD7vjd7Il"/>
        <s v="https://drive.google.com/open?id=1iG2lfwDwBguIlAANoVaxNZbUGd76rKC5"/>
        <s v="https://drive.google.com/open?id=1JWWT-G2EZ-3fHoUaesA-SfFDfycfCdPn"/>
        <s v="https://drive.google.com/open?id=10Sw597YYAdkr8G_N_sFceIW-TeEyDjAd"/>
        <s v="https://drive.google.com/open?id=1hK4PK5uozGeGViyI2RbGA3O8VvgBGLnW"/>
        <s v="https://drive.google.com/open?id=1pxDZ_URRx7z_7ONcgYD7-GvJK_n-JnK0"/>
        <s v="https://drive.google.com/open?id=1lTF_nvZWYuQbZbJKeRT_-d_qo7rc7kA8"/>
        <s v="https://drive.google.com/open?id=1XBs1nLoOS-TwwL237NCvMafODBjx0ZyY"/>
        <s v="https://drive.google.com/open?id=1_kAR5vOlP8FWjW8FxdwzuM8DrQsTi4Zf"/>
        <s v="https://drive.google.com/open?id=1n3dh2kStL9zm1tIQRvqdl2uZ74C2xU_S"/>
        <s v="https://drive.google.com/open?id=1CZ7hvqfQ_YxQdZk1XVXbz3qvJ1DwPeyo"/>
        <s v="https://drive.google.com/open?id=1hWV_6XclsW7AfwjluWtL1IFfoZ3rQeoO"/>
        <s v="https://drive.google.com/open?id=1zu_8VbE-VdwzSqYKkTkfN28ODF7fyi51"/>
        <s v="https://drive.google.com/open?id=1hmxV2-hxRftF1EuWygEhGwmJ5Ktr0JIs"/>
        <s v="https://drive.google.com/open?id=1qAVVlD0Zypb86SU0-jP52c8rRSF0Rqtj"/>
        <s v="https://drive.google.com/open?id=1M8jJowHRpxMOA6HGyOwiGWxMalwroQYD"/>
        <s v="https://drive.google.com/open?id=1M4X4pO2iyOaPnP2SBhWKK2oRXyUaG4Zl"/>
        <s v="https://drive.google.com/open?id=12lqhtUv2jODd2NIr_YvneONEjhgC8l02"/>
        <s v="https://drive.google.com/open?id=1z3W_seUGXJ_wrU4NmxDmt4XyYoObNkzM"/>
        <s v="https://drive.google.com/open?id=1SDauxMIqPZBRvRR40vORv6tGzZIdM7gd"/>
        <s v="https://drive.google.com/open?id=1VSJgKbSbcf7YUF8HOFBE830QkekiDM_a"/>
        <s v="https://drive.google.com/open?id=1hAKaoPN5zuFfRksA85zt_f73omsMWM-9"/>
        <s v="https://drive.google.com/open?id=1Ps2lgMmTAyYPUW26kXCLtPOw8zpK8NbS"/>
        <s v="https://drive.google.com/open?id=1VzUTVP4fyXHqc7bW2dZ8WQbIjlwj9gwZ"/>
        <s v="https://drive.google.com/open?id=1Lz7RcKmFO0xmdvZTZm8QKlh2bSbx7PlO"/>
        <s v="https://drive.google.com/open?id=1QMbe_AxSD0wRtJwzfDrQDIFFrUHXdiO-"/>
        <s v="https://drive.google.com/open?id=1jOqu9dPd-xdRBQFFzQBTxOTJziYFlC8F"/>
        <s v="https://drive.google.com/open?id=1GS7vFCoGP47kOe8nnXzGHA7sSGMsLNhY"/>
        <s v="https://drive.google.com/open?id=1FUE3mBc6CjsVTBVguJckJPgPuaWp7zIM"/>
        <s v="https://drive.google.com/open?id=1AHabjK3M3BFq1bDTHAIC-v_0vsqxhQ-c"/>
        <s v="https://drive.google.com/open?id=1KhdHSlTgvasr_R8wfr7FWcOOB5KSaRK5"/>
        <s v="https://drive.google.com/open?id=12yruOYw-H1K_UGFjjWLOR0NC_r5279xy"/>
        <s v="https://drive.google.com/open?id=11tXJPvuGuhQ162puehhd8sngRtxizSzN"/>
        <s v="https://drive.google.com/open?id=1Jopvc15Mue80-daovBKdQiKBP2CF-pkt"/>
        <s v="https://drive.google.com/open?id=1R0DZiA7acsmFVV4cHf2iIFoBfpW5Ud5U"/>
        <s v="https://drive.google.com/open?id=1RN-1HWhoWVesrIbEK2dlHK5APScryeyQ"/>
        <s v="https://drive.google.com/open?id=16uzmsqr0FfEizxP4fvxZUTijkrK2F0EZ"/>
        <s v="https://drive.google.com/open?id=17XbcLCrOB1kWVGbZDc6o0qqlArXghP6A"/>
        <s v="https://drive.google.com/open?id=1UayLS9Rf8Smkz8RCq2kyqfft2PvDANsS"/>
        <s v="https://drive.google.com/open?id=1bOy5QnrlzHUtrDvFV95MHHOPj43vYI3s"/>
        <s v="https://drive.google.com/open?id=1yfedvBWS3qZedfuzJMqe7INjzyOVp5fc"/>
        <s v="https://drive.google.com/open?id=1DYiae-A8Ee2nqAiyJ7JwJs7M4E52k7dx"/>
        <s v="https://drive.google.com/open?id=1lJPCs9L2yDHxWxWfb0lDz6YmHzEBXxFh"/>
        <s v="https://drive.google.com/open?id=14xqyVNlmVU8rOI72yuvAxjfY3tLugHhk"/>
        <s v="https://drive.google.com/open?id=1XdvAzYEUjtR2ZM0U9nggleDGanQtie0N"/>
        <s v="https://drive.google.com/open?id=1RTxOUqpq8Lf1_dt9-u02aVECzO0T4csi"/>
        <s v="https://drive.google.com/open?id=18eeWHW3FsGjY5ka5ytfY1tymV1j7RVgv"/>
        <s v="https://drive.google.com/open?id=1wtohNm56wbPAnW4EahcUgyHdRUrN0Mnx"/>
        <s v="https://drive.google.com/open?id=1-x-uCoBNSRzcDA0LqN8lx4xBoTIxulOt"/>
        <s v="https://drive.google.com/open?id=1HFGEqhL6d3aEQGQWUfnzXaRVxapWCaxb"/>
        <s v="https://drive.google.com/open?id=1S0LHNcN-1X0rNIWRo_lb9mjmqSkluuio"/>
        <s v="https://drive.google.com/open?id=1O4VQC3MwOA0rQyX801w6EIH4z7p7jAWE"/>
        <s v="https://drive.google.com/open?id=1A4BpSF8VFxdehVX10cNFUfoatYc-Xjyq"/>
        <s v="https://drive.google.com/open?id=15-au54v6DNMl3CVWDXZBOgmqTCRg-uxi"/>
        <s v="https://drive.google.com/open?id=1egoxut77w9HxNsxwMIBVrP2RuRdNGxpr"/>
        <s v="https://drive.google.com/open?id=1cGslP_coDVQ4-F5hP6LWsMMhdtE-1B58"/>
        <s v="https://drive.google.com/open?id=1esF7xqbWvymnSCoo1cACkhBLCr1EVGj9"/>
        <s v="https://drive.google.com/open?id=12Bz7VC0RqoFHFbfFQJCg_I12soJGbFe3"/>
        <s v="https://drive.google.com/open?id=1eFkc8IN0m7DLDeUyn0jLmgQvnogANdB8"/>
        <s v="https://drive.google.com/open?id=1xYvcew1vm2NmOkv7ChZ4SPsH3-5cppSs"/>
        <s v="https://drive.google.com/open?id=1qCdhr2AD-05qs4tWmpivdqS03cvclkMd"/>
        <s v="https://drive.google.com/open?id=1FAkdximut1Elkc0pr9ZGPCZMPfLFuBCW"/>
        <s v="https://drive.google.com/open?id=1RzrYBrZNEpUGbQ2-2SGbQHJBcdJpOmQw"/>
        <s v="https://drive.google.com/open?id=1gD1aW0xVDmhiTlr4swJXHfPkzvSs-TwM"/>
        <s v="https://drive.google.com/open?id=1lsfzeIMxyyIRWqW9F28U-RY2gWxLhSRq"/>
        <s v="https://drive.google.com/open?id=1yg7403f19zytj0hpS3zmM7ZVSR_0wbqz"/>
        <s v="https://drive.google.com/open?id=1Anb_aB_nVfowaJW-J4E-qUUAq8UoRryz"/>
      </sharedItems>
    </cacheField>
    <cacheField name="GST Number">
      <sharedItems containsBlank="1" containsMixedTypes="1" containsNumber="1" containsInteger="1">
        <m/>
        <n v="6.954865895E9"/>
        <s v="36AAHFi2620K1ZF"/>
        <s v="36ACHFA3021A1Z7"/>
        <s v="36BQBPK2933A1ZD"/>
        <s v="36AAKFE8997J1ZI"/>
        <s v="36ABJFR8448R1Z2"/>
        <s v="36BDMPC6430Q1Z4"/>
        <s v="na"/>
        <s v="36AAJFL6331Q1ZQ"/>
        <s v="36AAAT10017P3ZM"/>
        <s v="36DBDPM7611E1ZT"/>
        <s v="36BEYPC6487C1Z2"/>
        <s v="36AOWPN9130L1Z4"/>
        <s v="36AGTPG0230F2Z0"/>
        <s v="36AIQPL1573R1ZD"/>
        <s v="36CCKPP9029G1Z6"/>
        <s v="36AALCG5072C1ZO"/>
        <s v="36AAIFL0277C1ZJ"/>
        <s v="36JNTPK6496P1ZG"/>
        <s v=":36AAVFV4710H1ZS"/>
        <s v="36AGOPV9411C1Z4"/>
        <s v="36ACKFA4226G1ZJ"/>
        <s v="36AIQPM3544D1Z6"/>
        <s v="36ABYPE8677J1Z0"/>
        <s v="36ANCPK0655Q2ZM"/>
        <s v="36ADVPT3228M3ZN"/>
        <s v="36AAZFT3952B1ZS"/>
        <s v="36ACIFA6493M1ZR"/>
        <s v="36AEJPU0926Q2ZQ"/>
        <s v=" 36BXTPC4618M2ZX"/>
        <s v="36BXTPC4618M2ZX"/>
        <s v="36AUKPN4244RIZV"/>
        <s v="36GXMPS5146E1Z0"/>
        <s v="36BCIPB7850G1ZM"/>
        <s v="36BSJPT5975K1ZR"/>
        <s v="36AFNFS5140P1ZA"/>
        <s v="n/a"/>
        <s v="36CPJPB4974G1ZQ"/>
        <s v="36AAEFZ0658F1Z2"/>
        <s v="36EWEPB2598J1Z8"/>
        <s v=" 36BSJPT5975K1ZR"/>
        <s v="36AFPFS7650J1Z9"/>
        <n v="2.3625030002496E13"/>
      </sharedItems>
    </cacheField>
    <cacheField name="gst2" numFmtId="0">
      <sharedItems containsBlank="1">
        <m/>
        <s v="https://drive.google.com/open?id=1Xrc3uPOk64pgUM1gMvRHq-hhYc6pYKJT"/>
        <s v="https://drive.google.com/open?id=1wmAzfgRO6AUexNEcncft5vbltGIV8av4"/>
        <s v="https://drive.google.com/open?id=1hZ4_XJa0ar_5viyQyWSwjO63ut7o3QIh"/>
        <s v="https://drive.google.com/open?id=1xkvSfuIbWsf_ar7Z_3_MFx49cCnJTGSd"/>
        <s v="https://drive.google.com/open?id=15R5f8q3so1Ik7UrWJk_3rCjAQY8sBEFO"/>
        <s v="https://drive.google.com/open?id=1QyRpGDX2lP1lX3GoLj4kqxGuQ7cNxZ5q"/>
        <s v="https://drive.google.com/open?id=1w2-0S2iGSW_hsqhFAKZANxRRUo2t8rGA"/>
        <s v="https://drive.google.com/open?id=19lSB9R9cl_cCitMQsEsLggwyE9tp94F1"/>
        <s v="https://drive.google.com/open?id=1wfQiIC4z7mrMJ5O4AxkRDuixJ2qPRhk2"/>
        <s v="https://drive.google.com/open?id=16MNvuqRPFC7_QYv133p_s5qg9F-FCQ4f"/>
        <s v="https://drive.google.com/open?id=1DvL3nMVvblvTgCQjw2nEz6TTgrlJB-SM"/>
        <s v="https://drive.google.com/open?id=1lzn9VjNKeaCPDBh4aYrl3n_K7W9Qn8cy"/>
        <s v="https://drive.google.com/open?id=1-gR1d5RyzErC3JexistxNdbSDXRnqA4B"/>
        <s v="https://drive.google.com/open?id=1oMq8fqPB0ZMZ2V7hVfWrTU4nKYssh1mD"/>
        <s v="https://drive.google.com/open?id=1EzGKkfBdCwxpUid7iVSOGiOiFaC375_N"/>
        <s v="https://drive.google.com/open?id=1eEfT6eZGwPzwadX92zbnoIOERbRBDC6Z"/>
        <s v="https://drive.google.com/open?id=1mGWWMK_seDKY43K2NZSUjD03Ky_AuJtM"/>
        <s v="https://drive.google.com/open?id=1f3HDxJ2e7YVMA6zQIKF8G75AQEmqiRfH"/>
        <s v="https://drive.google.com/open?id=1C6Yj7irP-AOhQl7Tm9zhPVp-6PeHCotG"/>
        <s v="https://drive.google.com/open?id=1M9oQEmkMPWMxfuaY50HMSDTxpW7WCXs4"/>
        <s v="https://drive.google.com/open?id=1TKBICOHdgFm-5O9irakhUBYhhEYE5Ogf"/>
        <s v="https://drive.google.com/open?id=1iR45OA_9VnjsNVeuN-H1TZ1lyxkj8tq2"/>
        <s v="https://drive.google.com/open?id=19BCFWchfw9SLUCNJLnr37brcZdh2n_qP"/>
        <s v="https://drive.google.com/open?id=1Esnne3EF0nDCVFY0yNF0s-O0oIeM9LkT"/>
        <s v="https://drive.google.com/open?id=1r64PXvZavziIzd-tSp9m3zPWq4KCPVd6"/>
        <s v="https://drive.google.com/open?id=1Xt_N59iQiL-ckJBW-gBNtWBQPr972Kl-"/>
        <s v="https://drive.google.com/open?id=1U6JzgmUtu9GghBUA6vtVT1X_i_LLPJ_2"/>
        <s v="https://drive.google.com/open?id=12_glf7ohtBGogh91v9HxkwCJo0GOxHT3"/>
        <s v="https://drive.google.com/open?id=1GBAFJfylOBRP0t3YAWBWrCnfFE4H5WKK"/>
        <s v="https://drive.google.com/open?id=1YtsOjbmfLCJHe1vfL7Jb_0ohsVBQEOKV"/>
        <s v="https://drive.google.com/open?id=187v22aA0xNfGlmPAZh9n_16ShklAhoDj"/>
        <s v="https://drive.google.com/open?id=1pOv4Zdu0lqow7rXLOJueAjWaFCeReO13"/>
        <s v="https://drive.google.com/open?id=1sPfPvJNakWzDXB9tu924f-bgmxo3i20V"/>
        <s v="https://drive.google.com/open?id=1-JYD6imr2ZmFWQmEhWQFef7oJzfstG1e"/>
        <s v="https://drive.google.com/open?id=1OISAb_BWPyOqQZ2ocAVOKLc4mJCl2BQX"/>
        <s v="https://drive.google.com/open?id=1ePH_AqwjntYQcERf-9_CVVuyddXZM6pB"/>
        <s v="https://drive.google.com/open?id=1hQ7KpHFxouVDxAvVs9HZvkcDXsPWCBpv"/>
        <s v="https://drive.google.com/open?id=1IvJvCF2das2flGPdpNf-1whUPKX1DXtn"/>
        <s v="https://drive.google.com/open?id=12s0NUo5-gf53l25K59UeNpZLcd05buwc"/>
        <s v="https://drive.google.com/open?id=1sEUhnwhF8OQWBiBk4s0BFZRNBraJRL93"/>
        <s v="https://drive.google.com/open?id=1lUgwbv7z1DSCELSOHZ9mnldmAKIHFhfY"/>
        <s v="https://drive.google.com/open?id=1lAsYlkKX_UgLpmM-uNQNLOxyklL92xpq"/>
        <s v="https://drive.google.com/open?id=1lv1e_ske_WKKM5C36QoLGb_SZUNdrUCg"/>
        <s v="https://drive.google.com/open?id=1djX8Rx2dDuDUrrw-7Um_FHw6nmVnzCpf"/>
        <s v="https://drive.google.com/open?id=1ItyyURfuDP-ReFry76iM0kxEN9h9YVm2"/>
        <s v="https://drive.google.com/open?id=1Rv5hKsh7TKOL9BJY1EVze33ZDlPrEJBt"/>
        <s v="https://drive.google.com/open?id=1QFSCt_8o_lASOmdaCLlzVCq2ILzAFnEK"/>
        <s v="https://drive.google.com/open?id=1aPncDT6QcZySFxSwMG_xY36eBWbmKTdY"/>
        <s v="https://drive.google.com/open?id=10GcO4Bw1TSKSDgaNlx82hlJhVBT0lqHr"/>
        <s v="https://drive.google.com/open?id=1xCOLOWZCAs1YaC0vGe2kk4WyMtrdAdBe"/>
        <s v="https://drive.google.com/open?id=1guKv_Cj3x_o6TvbAEkSwqGm2WB5TRMy-"/>
        <s v="https://drive.google.com/open?id=1wPfHWHVJwjPeJUo6E1qQMFZ8HsHGbNZc"/>
      </sharedItems>
    </cacheField>
    <cacheField name="PAN Number" numFmtId="0">
      <sharedItems containsBlank="1">
        <m/>
        <s v="685654hgu"/>
        <s v="AWNPV9668G"/>
        <s v="AAKFE8997J"/>
        <s v="ABJFR8448R"/>
        <s v="BDMPC6430Q"/>
        <s v="AOXPC9349D"/>
        <s v="AIOPB0243L"/>
        <s v="AAJFL6331Q"/>
        <s v="QGEPS7989L"/>
        <s v="AAATI0017P"/>
        <s v="BJVPS7089G"/>
        <s v="AZCPH8455M"/>
        <s v="MMLPS4120E"/>
        <s v="KKDPS6734N"/>
        <s v="BNUPA9377G"/>
        <s v="DEZPM8147A"/>
        <s v="AOCPJ4808H"/>
        <s v="DBDPM7611E"/>
        <s v="BEYPC6487C"/>
        <s v="BSYPT7188K"/>
        <s v="ANSPY4470D"/>
        <s v="ANNPT1216H"/>
        <s v="AKEPY8763E"/>
        <s v="AOWPN9130L"/>
        <s v="AIQPL1573R"/>
        <s v="CCKPP9029G"/>
        <s v="AALCG5072C"/>
        <s v="AAIFL0277C"/>
        <s v="Jntpk6496p"/>
        <s v="CYXPK8989B"/>
        <s v="AAVF4710H"/>
        <s v="AGOPV9411C"/>
        <s v="AZHPS7919Q"/>
        <s v="AIQPM3544D"/>
        <s v="CFKPK4644H"/>
        <s v="NMOPS2250B"/>
        <s v="ANCPK0655Q"/>
        <s v="AHQPJ8887R"/>
        <s v="Na"/>
        <s v="BSZPA3555N"/>
        <s v="QZQPS6238M"/>
        <s v="CMWPA0852L"/>
        <s v="GQUPK8220G"/>
        <s v="CSYPM7177G"/>
        <s v="BNVPK3956Q"/>
        <s v="ADVPT3228M"/>
        <s v="CEBPSO666G"/>
        <s v="HVVPK9099E"/>
        <s v="AAZFT3952B"/>
        <s v="AKWPF9205C"/>
        <s v="DEBPG9946D"/>
        <s v="ACIFA6493M"/>
        <s v="BFNPJ9763G"/>
        <s v="CKJPA1503M"/>
        <s v="Bkfps9030L"/>
        <s v="GVKPK6229N"/>
        <s v="Kuyps3414l "/>
        <s v="Dnhpm3852h"/>
        <s v="Aripa7368L"/>
        <s v="AEJPU0926Q"/>
        <s v="Ccepb8117k"/>
        <s v="Jznps2226b"/>
        <s v="Byapa0613g"/>
        <s v="OBkps6819c"/>
        <s v="AZEPY3804D"/>
        <s v="CBBPD9955R"/>
        <s v="BTBPS8674M"/>
        <s v="FZVPB3717G"/>
        <s v="AKYPG8489P"/>
        <s v="CITPN9921Q"/>
        <s v="GPSPM3722L"/>
        <s v="AKUPU6341C"/>
        <s v="GFPPM2649H"/>
        <s v="ABNCS4602F"/>
        <s v="MJQPS7220H"/>
        <s v="LBJPk3162j"/>
        <s v="BXTPC4618M"/>
        <s v="CJNPB6905R"/>
        <s v="ΑΡΥΡΙ7474M"/>
        <s v="QFKPS1604R"/>
        <s v="AUKPN4244R"/>
        <s v="DAXPJ4199B"/>
        <s v="ANOPG6386L"/>
        <s v="AILPP9740R"/>
        <s v="BCDPY7290N"/>
        <s v="AUCPA2496E"/>
        <s v="Ctspb7672j"/>
        <s v="AKIPV4192J"/>
        <s v="GXMPS5146E"/>
        <s v="BCIPB7850G"/>
        <s v="BSJPT5975K"/>
        <s v="AFNFS5140P"/>
        <s v="BQTPS7471M"/>
        <s v="EMZPK7205J"/>
        <s v="GSFPS1705H"/>
        <s v=" GSFPS1705H"/>
        <s v="AQKPT2481Q"/>
        <s v="BWUPG7061G"/>
        <s v="CFOPB5110D"/>
        <s v="EWEPB2598J"/>
        <s v="BOBPK0634J"/>
        <s v="AUMPH4519B"/>
        <s v="CXGPP3953G"/>
        <s v="EOPPA3743R"/>
        <s v="AYAPV0195P"/>
        <s v="AHIP D8612Q"/>
        <s v="AAYFD1380L"/>
        <s v="CCEPA6147G"/>
        <s v="ENWPM4770E"/>
        <s v="HCEPP9910Q"/>
        <s v="AAWFC0994K"/>
        <s v="ASBPM7099N"/>
        <s v="AFPFS7650J"/>
        <s v="GIZPP9472A"/>
        <s v="IWKPD3706G"/>
        <s v="IWWPS6018G"/>
        <s v="EZJPB3768N"/>
      </sharedItems>
    </cacheField>
    <cacheField name="PAN Card" numFmtId="0">
      <sharedItems containsBlank="1">
        <m/>
        <s v="https://drive.google.com/open?id=1P8o5u-wkGayDLIcyTArlaMzpPcBL8IP1"/>
        <s v="https://drive.google.com/open?id=11LbxcMTLS62PuKE6EHwzu8WdUemKU5ba"/>
        <s v="https://drive.google.com/open?id=1r4LwvkbszhmmgLl56dsxPyTtENCSry3W"/>
        <s v="https://drive.google.com/open?id=1wLa_Pt-AJbdtSV0NDD93Cgm0a-yocPNO"/>
        <s v="https://drive.google.com/open?id=1pP1p8yHifkOvlMj3fFQXJ-_zZU02HhTR"/>
        <s v="https://drive.google.com/open?id=1lHnQS6jFD0j-ODzzm6ncc6Fds_MkMTOj"/>
        <s v="https://drive.google.com/open?id=1-S0Ms1yARTteTRwzAtfYIosgIvtAoKrD"/>
        <s v="https://drive.google.com/open?id=1NsZ5WcHnZIPbzaY8z4g91aZM_fe2ibN8"/>
        <s v="https://drive.google.com/open?id=14vl9WR1NycmF9z9tVJiiS1sjEI4BpUgn"/>
        <s v="https://drive.google.com/open?id=1i3JNiPqA3bg9GskvIiKQOkcygNvWSwFo"/>
        <s v="https://drive.google.com/open?id=1Uop_OL_J095nxx7Re4m3p62_DS8J7Cai"/>
        <s v="https://drive.google.com/open?id=14IVRIxSnIQQt6lva1v7ExVvqU4V4bM6l"/>
        <s v="https://drive.google.com/open?id=1TGEb0yhwAAch3o-uj61e77IJ76PBiiNm"/>
        <s v="https://drive.google.com/open?id=1SefsNnW2N-5RAzKURGcWE46DoH3EFMvZ"/>
        <s v="https://drive.google.com/open?id=16VMSkJtnx2sth2a93gMBw8bIauhQ4QgY"/>
        <s v="https://drive.google.com/open?id=1_dVx2u88AJbRK_cdhlcm5w9BOa-NL-qE"/>
        <s v="https://drive.google.com/open?id=1mShRP-cqmHVFZLU640-JIitYc1Hbdu-w"/>
        <s v="https://drive.google.com/open?id=1AJ6Bfl3fKA7EyjUaT33Q-BEaqLJYLFpE"/>
        <s v="https://drive.google.com/open?id=1bIvEcXpfVNl_DQCS6PvKRh51VxqYyyLn"/>
        <s v="https://drive.google.com/open?id=10C5WjBtCBIlv55ac_HFiCjrMwueH5--t"/>
        <s v="https://drive.google.com/open?id=1sI3WqNOFvKe4niWEHF_25fgwDL5FWJv4"/>
        <s v="https://drive.google.com/open?id=18bZYxppjAI2i6dJ5kmCHOmhA6qsOjZuW"/>
        <s v="https://drive.google.com/open?id=1dMfhXyQ5x-FzUs_VFgnZWPWGoRTr7BXk"/>
        <s v="https://drive.google.com/open?id=1_F3xmRV2zlRSNziROJSeDL0iKC_VNGZt"/>
        <s v="https://drive.google.com/open?id=1nTgwZ-m4rPslhVYuqeVe_nRrYljsedOK"/>
        <s v="https://drive.google.com/open?id=1ve20UFwuWtQjg3TMnjmn_jLJwONfRNiH"/>
        <s v="https://drive.google.com/open?id=1iJA6UzP29nUggmceli9hvRZ-6uEpTCFf"/>
        <s v="https://drive.google.com/open?id=1QBcjT0hK85JwnNDGRyW3KOcdn-M1YT8-"/>
        <s v="https://drive.google.com/open?id=1d4BXXvEiNmx6Dq1mA_V9h4cZaoAkrMjq"/>
        <s v="https://drive.google.com/open?id=14aEMqG4cRhEAWWWEUNigYvfesqexjYkw"/>
        <s v="https://drive.google.com/open?id=1CkVgioQfrxvRRy0dt9R1ow16d6h9z3l2"/>
        <s v="https://drive.google.com/open?id=1DKhgeaOM1lxMrzSlLawBSx8tlUKAqWaQ"/>
        <s v="https://drive.google.com/open?id=1CvNTbmPl5H3Pl4kxzAGEv9k6yWwZYSnE"/>
        <s v="https://drive.google.com/open?id=1XOEGZNv7dqwn1eaZHpqzdPOQ_bcOsHXU"/>
        <s v="https://drive.google.com/open?id=1-SCscuHBy-YUrhyfqQGP43svE7_kLMWr"/>
        <s v="https://drive.google.com/open?id=16XFbrGSMZvIL1QzjcXJBj1KIHbIhWKDf"/>
        <s v="https://drive.google.com/open?id=1qE5ez9Tj8VeTC7DGpU3OzbvCVZGo-IC-"/>
        <s v="https://drive.google.com/open?id=1v0Q4P_xuBK-3EP4oJ5-F7SUtrC346hHR"/>
        <s v="https://drive.google.com/open?id=1_xt5uT6DbdEE-AEue2BQMzy6YXo2zcIg"/>
        <s v="https://drive.google.com/open?id=1sDrRhLZEmvz0XjP4BBf4HBBHVNAglB3S"/>
        <s v="https://drive.google.com/open?id=14kcMFkw4Z8IDUJoLnnR9MRizu0k0-Bqy"/>
        <s v="https://drive.google.com/open?id=1LGqkwoVNZb_k67wzigd4fkwMHJLGDjMy"/>
        <s v="https://drive.google.com/open?id=1lgW0kIjnPAZ5KLVH-CnWfgRd9KntwZz5"/>
        <s v="https://drive.google.com/open?id=1YLzd-h6M_cVMp9BAWEwQEL6usbuyBhDk"/>
        <s v="https://drive.google.com/open?id=1Lui1FIfU_zhdyYNbhdIUlGp6GG6Sfkc2"/>
        <s v="https://drive.google.com/open?id=1cKpMV49fCKB-o1IzWrDE-ogDddLX-IEP"/>
        <s v="https://drive.google.com/open?id=1a4jrdCpp0mdyelv-EXaW5gTBFvJFBFj8"/>
        <s v="https://drive.google.com/open?id=1Ob5ZsFBnNcbO1RXlHH9F9alkofaUv9JU"/>
        <s v="https://drive.google.com/open?id=1SHS07UZY0g1n5LwrKZvE3xpK2gX8BWk0"/>
        <s v="https://drive.google.com/open?id=12ghaPXC0kCxeonRGdc1yrqfLQMmtnlTa"/>
        <s v="https://drive.google.com/open?id=1ecRpt3QjIY5PotmiNiHR1HBPyDPtQuvl"/>
        <s v="https://drive.google.com/open?id=1zBdMZcQqrV-mArYvL02JEA_MH9zQNp7y"/>
        <s v="https://drive.google.com/open?id=1cyQLytiQvsiU0vA4tc9EQj5yhuJDrOPW"/>
        <s v="https://drive.google.com/open?id=17tcFw2cINnz_Ih3bP9CBcgAGFyyMS4Ul"/>
        <s v="https://drive.google.com/open?id=1nLvd4DvtCUcB1ziwiCLawkm7WjK0wHT0"/>
        <s v="https://drive.google.com/open?id=1QXAlKpIBQInBixggqbC_jI6MPRubZ-Dv"/>
        <s v="https://drive.google.com/open?id=1o18SdyJdHxK1ivAa17eVfBuiGzaeuCpU"/>
        <s v="https://drive.google.com/open?id=12K4b8vhs3pAxMC0tiMtzobsXR3Sz9XyS"/>
        <s v="https://drive.google.com/open?id=16r6DJTjOKtSG2yn0_TX4bS1xeLipnrUa"/>
        <s v="https://drive.google.com/open?id=1qC8zQOc9yxc7yoFkX8JM-IzFatcOjmzh"/>
        <s v="https://drive.google.com/open?id=1tRWmDpkyPg_hKBpEZFmJ5ONSHZi68ZRk"/>
        <s v="https://drive.google.com/open?id=1oollF86MvkeP8F7pfPJA4uSPIrURUU4y"/>
        <s v="https://drive.google.com/open?id=1LUkvi82AtTdaF_7imhG0sKxXvD8gJwEg"/>
        <s v="https://drive.google.com/open?id=1-4NWD5Y-cmWKKxC99_hPPygKjk_uxo6S"/>
        <s v="https://drive.google.com/open?id=1F5Akbwd88epJsI8yovUNIxNwIgwavCJH"/>
        <s v="https://drive.google.com/open?id=1uQmldAeGEJwNboL-RxQC_Qg7L0iJnEGh"/>
        <s v="https://drive.google.com/open?id=1lpeezznRAOebSXSygIRK15676Fs9DdAI"/>
        <s v="https://drive.google.com/open?id=1AgZE2LCQPK0lup15zm83h4rQPN-YjOos"/>
        <s v="https://drive.google.com/open?id=17SuBAYQXu3DrAwrWtWchmjuu19fRWOaM"/>
        <s v="https://drive.google.com/open?id=1f5N7Aw76L4XL8WeYMZPIIMivduLu_S11"/>
        <s v="https://drive.google.com/open?id=1v_GRSU39RFaKGSR0BsUyD8Mw28ER73I5"/>
        <s v="https://drive.google.com/open?id=1rkz2vG3ra98Pa6PjLFJ35frMOZxpm2MN"/>
        <s v="https://drive.google.com/open?id=1H-Fn8nHUs2HU8MkYd5LHpk0Oi7It1s2a"/>
        <s v="https://drive.google.com/open?id=1tl-OLTTvJ-HV-kEgm3sykXDHnFp46ijg"/>
        <s v="https://drive.google.com/open?id=19Q_XKziHGd0OH8LyXLXakehql9R1pi5B"/>
        <s v="https://drive.google.com/open?id=1yjWsvWZYtU0tQZ7BF1MDZA80e_e01Ruk"/>
        <s v="https://drive.google.com/open?id=17EI432R4YqUB68oBIsJ39RFep66Up9kt"/>
        <s v="https://drive.google.com/open?id=1Gz0r1WmfBDdQi3wDUk_cmZY6OsGfV8vF"/>
        <s v="https://drive.google.com/open?id=1FMMHBLDuF6nxxlVmbGqOCpNbn5kVh4y_"/>
        <s v="https://drive.google.com/open?id=1JdgccoLtSZE2h7hkXgz_valyJD6DBH9w"/>
        <s v="https://drive.google.com/open?id=1IBDIV6ROtZVYMZFcVDruA8ZCPQ2NC7cK"/>
        <s v="https://drive.google.com/open?id=1qzmK3TLyJFsE8wG4oqpQujaSq0R3R3Xt"/>
        <s v="https://drive.google.com/open?id=1lEvwVgmvQfRvkTPM7gykXehs-Dwt-ffx"/>
        <s v="https://drive.google.com/open?id=1QNYcLPMeC0UgmXXSnFXDTAgyB8qfLFME"/>
        <s v="https://drive.google.com/open?id=1fyc7UMJwnYQe1gnfEn6ERAWKYc96dUR9"/>
        <s v="https://drive.google.com/open?id=1kQOQ0kicVr2cCG9DSM-uee5ZGrwBkTKr"/>
        <s v="https://drive.google.com/open?id=1-6yZUYECRiR_Cjh4Tg5KruPhVbpZQQOW"/>
        <s v="https://drive.google.com/open?id=1m8Ivaol53x-yS9rTfsZUPVdUAKeXK-g6"/>
        <s v="https://drive.google.com/open?id=1b5A9jNsukoJijOmYkdLeDG4HYchGTAcE"/>
        <s v="https://drive.google.com/open?id=1f0Y8W6ZF6kcIvmPXr5nQV3I7uDMJbg8W"/>
        <s v="https://drive.google.com/open?id=1TB274l4YnS8pi_PsZ8ZaMCBEWk9Ut3_6"/>
        <s v="https://drive.google.com/open?id=1CVL6Qcvx8sy1Jhl6QyaPogFVKvB8jtAn"/>
        <s v="https://drive.google.com/open?id=1LYdObCkVkWMoJMNmbQ9OG9HBCq-7ACGq"/>
        <s v="https://drive.google.com/open?id=1ET7KPHyMQAF1mtAz-dPlK-N_MOhW-Dxr"/>
        <s v="https://drive.google.com/open?id=17WF4j-GOWBva0yLn5Qgm9Gioh16pcGAe"/>
        <s v="https://drive.google.com/open?id=1Drkt38q1i_BmH6UAtl3R3QBxeff4pyWK"/>
        <s v="https://drive.google.com/open?id=1v2azjikW30IslxTYOt5Ug-p8vp0xLrgW"/>
        <s v="https://drive.google.com/open?id=1wjDPbjKlLQoYE8u69vV_LFQ71g-3bjbM"/>
        <s v="https://drive.google.com/open?id=1ux7aC5lwsqUjooJ1TI0c3bkstcoRDbjy"/>
        <s v="https://drive.google.com/open?id=1IcLcoA65m0XFP3qZjF2SsWwBsqCQdqsm"/>
        <s v="https://drive.google.com/open?id=1WR5kN81INs4UxikzdQZvdQ0EUOcCKs0y"/>
        <s v="https://drive.google.com/open?id=11hizKFhvCBegDx8AxAxXCCMSNoCjcqqC"/>
        <s v="https://drive.google.com/open?id=1sdfFL7T8Wpj1CdAuuGImQkFHNds0Egke"/>
        <s v="https://drive.google.com/open?id=1vuoP8YRkmZ0wDCyP7OFh4PBIm_E2X6Ah"/>
        <s v="https://drive.google.com/open?id=1-ZRqjAzUwxYL4bYH2PJSsL1fX3ZRmVnK"/>
        <s v="https://drive.google.com/open?id=1FlTDmXDLyyVsRmXAEcUptJ6Ok7pSB0cC"/>
        <s v="https://drive.google.com/open?id=1AUuJgduHEABT2rNKEj_CQcm5Fg0DX8Cq"/>
        <s v="https://drive.google.com/open?id=1uMIvQMobHYkC0SuzTuCD4Dsvs5m7_Ozn"/>
        <s v="https://drive.google.com/open?id=1iG4CHMLheLxf0_59SC_sGZL5SDBGW72m"/>
        <s v="https://drive.google.com/open?id=1XCXzU_ZQ40iwh5YGuHP0HNdNsyUFCQm7"/>
        <s v="https://drive.google.com/open?id=1dApwEatKCIsTwHGolk1RsoGqT6MzO3wM"/>
        <s v="https://drive.google.com/open?id=1SuBvPzKcXh6kQlJhrQrQyAxzFyRJ4hro"/>
        <s v="https://drive.google.com/open?id=1SYyUokC9rVQUv_iIDxbvpCNCC7fpFwnW"/>
        <s v="https://drive.google.com/open?id=1itbC0D8IUH7ufLLHxwo-TO5HxU-YHhZg"/>
        <s v="https://drive.google.com/open?id=1I0HKMiYh0ZFvmjMswrS4w9tb7SoIKFqh"/>
        <s v="https://drive.google.com/open?id=1PxTPcogVjyTNHWUfBaYQZontjnu_Tssq"/>
        <s v="https://drive.google.com/open?id=1Yjn4b4NkwlP6xHqNveSrp8fxDlsbulQy"/>
        <s v="https://drive.google.com/open?id=1ze35BcFoparFRp-Iin0kt2cL25jJXWGJ"/>
        <s v="https://drive.google.com/open?id=14CfvEmx8e12ROf36Ry7jpxpSAaE1w5zN"/>
        <s v="https://drive.google.com/open?id=14K-gRnlXsPsHMbvznIikc897sO6LguG6"/>
        <s v="https://drive.google.com/open?id=1R4uS2hMqH7nJg20KD0nE8_sFc2UiLkUS"/>
        <s v="https://drive.google.com/open?id=1fSSKj0PB01QtLuwEJXjhrLK4sddajuOb"/>
        <s v="https://drive.google.com/open?id=13CKXnmGR_lAD9FeuaDm9mOxvQEQJ2NHt"/>
        <s v="https://drive.google.com/open?id=10BRrmdHzFzwfXs0B0LB2LyJAGJOKin27"/>
        <s v="https://drive.google.com/open?id=1OS5NEWfVzhsDEA6Xi8O8Jczqs9m1Cicj"/>
        <s v="https://drive.google.com/open?id=1GqUi1FzF3b0W2s1Z_DekgAzIFXPUmBjp"/>
        <s v="https://drive.google.com/open?id=1jHVbxfOTCsrhO_KUut8sCCtGffUn9d1b"/>
        <s v="https://drive.google.com/open?id=1vajF3gEJTGO5Dt5niqhoc9GikbnxWy4D"/>
        <s v="https://drive.google.com/open?id=1U2tUpzUHoeKmJvehvebIqSDxPpXHiobG"/>
        <s v="https://drive.google.com/open?id=1U6ZHiBGETF-dNWX9DEOHlmH6a1nxNRFe"/>
        <s v="https://drive.google.com/open?id=1hsAszpcLGPwVgp4j0ifKNJbKns-L1fnP"/>
        <s v="https://drive.google.com/open?id=1IWO6IY8Q8s8oURYFuTHi2NcmKWBF2ATB"/>
        <s v="https://drive.google.com/open?id=1T8it4e6ov4ToPxrZZf8Tdjy_3n-oqElW"/>
        <s v="https://drive.google.com/open?id=1z8Wh0PjJJ_u1xqjbvfhBCjlWMDuPShqi"/>
        <s v="https://drive.google.com/open?id=1UFk5riFJgEKnyinqRWWuPAV6D1HdZ6i7"/>
        <s v="https://drive.google.com/open?id=1j6XicPycJBtanEzkSuzJf3keheQwxA5y"/>
        <s v="https://drive.google.com/open?id=1CScl-Xyo0gHskym0OCz_bqQXeCGMdcDG"/>
        <s v="https://drive.google.com/open?id=1fMJMyw68keYkSsVsJVRMynZJXSa31nYx"/>
        <s v="https://drive.google.com/open?id=1dOPrXStUc-ocn2XPS8-dAptbth1PYAZc"/>
        <s v="https://drive.google.com/open?id=1eN-f9JaAIy1mkcImEyc2XvE4d24l1mQ6"/>
        <s v="https://drive.google.com/open?id=1pEXnx0VShWNcz48h5JFBuaSgOTXtW93H"/>
        <s v="https://drive.google.com/open?id=1uW3CHzdx9jKZennRYYXyVcFI3xuydgyM"/>
        <s v="https://drive.google.com/open?id=1rpNj1AvvAbyrpbXRkkv4ZcgkTaH5ORRF"/>
        <s v="https://drive.google.com/open?id=1ffF7waPJYXEgdUHn93eUCAc21BgoQxZF"/>
        <s v="https://drive.google.com/open?id=19ITtfreLKXTrAhQDpxtJ9-vkkxZ5QVxi"/>
        <s v="https://drive.google.com/open?id=15-B-PpZnsDSPRXzineckckaKX1SIJIl8"/>
        <s v="https://drive.google.com/open?id=1CmRn6ReXYRzBAN2XIiw_xv3qvQB6rPVa"/>
        <s v="https://drive.google.com/open?id=18ETTcNXYtv4nBPx7hM2XWbUAZIBM-aD7"/>
        <s v="https://drive.google.com/open?id=1tg1YYNBpZ6tSWW_9HDDJxHqOoIveejiz"/>
        <s v="https://drive.google.com/open?id=16IIefTFuB7F8TgpAZfb6Lyq6TItp54et"/>
        <s v="https://drive.google.com/open?id=1z1aWdopo4V2Z4W8UGY-6ROa5byni8O5C"/>
        <s v="https://drive.google.com/open?id=13zCW8D8SNib1er9ke9uEwycgWhCXbGm4"/>
        <s v="https://drive.google.com/open?id=19PvDBCbHxm2udfkoK3NYiHw0EGxFds77"/>
        <s v="https://drive.google.com/open?id=1rCRtXjoo9gUHuZx4kxV58RO5_mVZIDCH"/>
        <s v="https://drive.google.com/open?id=1v5AuEV3TlpgKmKiMYKdaZd8vH8Rpq39B"/>
        <s v="https://drive.google.com/open?id=1TyOXQznNSb154-k3YMN5H7-uN5PXwRc7"/>
        <s v="https://drive.google.com/open?id=1mmKFGEhmqRl2nTUZnF6hW__99AaOChve"/>
        <s v="https://drive.google.com/open?id=1XlJpIT7i3d2qQnAyrupxDpTDl3y5jpWa"/>
        <s v="https://drive.google.com/open?id=1lH-3wxZgtDEGe_MAdkn70uGnpLS720dY"/>
        <s v="https://drive.google.com/open?id=1V5EcWiOz3A_zOcttE8ql8gE0VF9nNZUB"/>
        <s v="https://drive.google.com/open?id=1GfzrAjULqd-OrRfwGDaizPimI8Vjfm1G"/>
        <s v="https://drive.google.com/open?id=15-wiveaMUe3YvtKu9SiRsYeiLVcJGt30"/>
        <s v="https://drive.google.com/open?id=191h83SjcYl5-9P1Lln65RMokFPR1aydy"/>
        <s v="https://drive.google.com/open?id=14VdRTF2eoOXuSrKH_Hj9PKjEktg36nVC"/>
        <s v="https://drive.google.com/open?id=1sHOy6TBEmeaoJhNdoWWy8WDdU1x5yKFb"/>
        <s v="https://drive.google.com/open?id=17VxtR690hMGCJX0r_ZTSLQMzJ9qENMUI"/>
        <s v="https://drive.google.com/open?id=1IauJF0dTzuOe-6wogxcGQ3m-femkwc0X"/>
        <s v="https://drive.google.com/open?id=1YY9ilWhg4vlHnWpdsEtSk2Tx9Y5tGm2Q"/>
        <s v="https://drive.google.com/open?id=1aD9d-GiwbnjkiGGC7uLJunfkZARlM-MC"/>
        <s v="https://drive.google.com/open?id=1E8QyZejNKaV1oSsAAudQhmHuvconi95k"/>
        <s v="https://drive.google.com/open?id=1jmijOcaQwtJM_TDfmVnE-r2OWXY4dtMf"/>
        <s v="https://drive.google.com/open?id=10d-5iKVDspm40nqJRs2FabC6V9Qh_aru"/>
        <s v="https://drive.google.com/open?id=1-M9ScotpY-10RRLKrWQOBm6g6IHLhqX7"/>
        <s v="https://drive.google.com/open?id=13SVa6AmlbW_yGxk_FYtSKZ_UBRoIg6gi"/>
        <s v="https://drive.google.com/open?id=10lRQExd8BubtK2z0E2PaHxNrlYLZbWn1"/>
        <s v="https://drive.google.com/open?id=1q2AZINXrp1zhAuitiqlGgnKgP6V3MVPT"/>
        <s v="https://drive.google.com/open?id=1V2GBWW8QGsCm7zGwtUq_5eLjcpg7hkX_"/>
        <s v="https://drive.google.com/open?id=1hHbFX0jlNka_NOsQPGucTULDBgQhAKya"/>
        <s v="https://drive.google.com/open?id=1QIIt_vECym2k-TduxMzZh2B6MGqNDOr7"/>
        <s v="https://drive.google.com/open?id=1xw5oBVodeM2mgTN9b19KPSV3ffb5BR4B"/>
        <s v="https://drive.google.com/open?id=1aMZIon-6AXSLtpw1SXpbccLEGSYzcJGj"/>
        <s v="https://drive.google.com/open?id=1xau2FX-ursfDW_KDXXYHBjqHZT-ZnpAJ"/>
        <s v="https://drive.google.com/open?id=1_ZXq8X9lb_q5TZwd2x8HpOBIaPn2eNxV"/>
      </sharedItems>
    </cacheField>
    <cacheField name="Labour License Number">
      <sharedItems containsBlank="1" containsMixedTypes="1" containsNumber="1" containsInteger="1">
        <m/>
        <n v="5.484581245E9"/>
        <s v="36AKEPY8763E1ZL"/>
        <s v="AMEND202553969"/>
        <s v=" SEA/MED/ACL/PC/1201162/2025"/>
        <s v="A2/0897818/2024"/>
        <s v="0934892"/>
        <s v="SEA/RAN/ALO/BN/1123877/2025"/>
        <s v="SEA/RAN/ACL/RR/1257597/2026"/>
        <s v="NA"/>
        <s v="SEA/HYD/ALO/17/1266954/2026"/>
        <s v="SEA/RAN/ALO/BN/1072604/2025"/>
        <s v="SEA/RAN/ALO/SH/0967590/2024"/>
        <s v=" SEA/HYD/ALO/20/1226588/2025"/>
        <s v="SEA/HYD/ALO05/1275738/2026"/>
        <s v="SEA/RAN/ALO/SH/1274861/2026"/>
        <s v="SEA/MED/ALO/KP/1229268/2025"/>
      </sharedItems>
    </cacheField>
    <cacheField name="labour license2" numFmtId="0">
      <sharedItems containsBlank="1">
        <m/>
        <s v="https://drive.google.com/open?id=1zOmxq565qkkMqqCAFCaCRWzjb7i60OTF"/>
        <s v="https://drive.google.com/open?id=1yiMZ_9SQgNkHaFczbCDoGLcoQaoiMWqz"/>
        <s v="https://drive.google.com/open?id=1EZX1yqE9A9WyTNlB7ShJMB6qtXLxeZoC"/>
        <s v="https://drive.google.com/open?id=1gZv8AfQJERFpRc1DcTxPJAfAAKNSFNEb"/>
        <s v="https://drive.google.com/open?id=1qCkHg4Q5BTWb_r67QEH7wbvl6kslEcxf"/>
        <s v="https://drive.google.com/open?id=12s2f57VzvxLLaOdnwoVFKLOsBR6DugpZ"/>
        <s v="https://drive.google.com/open?id=1xB7gqJCUL6xbRxNZqDKvTuXJj0yO8EYc"/>
        <s v="https://drive.google.com/open?id=1I0nDgARq3-b4FG1xDYyGvkDT3cyzY6YV"/>
        <s v="https://drive.google.com/open?id=1xf1yB3ZQVA3SzkTp9AW2VoLh9LPy_xvg"/>
        <s v="https://drive.google.com/open?id=1BIYKKTui-geMacpBdE2bNO7Mgdto7mOH"/>
        <s v="https://drive.google.com/open?id=1jX4__Ei1uQlFS5DZI3VjqtlXUCBm3Zoe"/>
        <s v="https://drive.google.com/open?id=1umbnoHwDcTbur0RGBkkD4OYAZW2Kxi1p"/>
        <s v="https://drive.google.com/open?id=1dntAdXiOb2gZNFvyFl4Z2kXxhX95ZGol"/>
        <s v="https://drive.google.com/open?id=1lZk9Mia_V5B7OxDVWY4dSqga4JVxiyvG"/>
        <s v="https://drive.google.com/open?id=1MXfwLVhDS0l7uBO0_3gV6iO7EBzcZxt_"/>
        <s v="https://drive.google.com/open?id=1xy3O5sd_LmuHE2KT7tvpgfl0Piqh1ifQ"/>
        <s v="https://drive.google.com/open?id=1eUZ6TIrLZBsIZ9X-kyj91lhijdK7dBsb"/>
        <s v="https://drive.google.com/open?id=1ioHKAsjGj6d06Lxo_Ko8pIFpd_IR1IW_"/>
        <s v="https://drive.google.com/open?id=1OhJXkb5bE9UqrDDqXlZ3uMcCDmneB4fi"/>
        <s v="https://drive.google.com/open?id=1MSbhVBCkb-p82sfEstgmmwqLjiFtNLhR"/>
        <s v="https://drive.google.com/open?id=18MD5868uK_FlB_1KZ3JBylWxNXSWcx4F"/>
        <s v="https://drive.google.com/open?id=1DWTK_zbTkuXNLLrrNVHt1K1vnTgfJ3in"/>
        <s v="https://drive.google.com/open?id=1wGIuS5LdKX6sbKKQX06OXx33Zup9NNDv"/>
        <s v="https://drive.google.com/open?id=1rKfzMBMoLhOpl-Ukt2gu6bAp2ob_bbaG"/>
      </sharedItems>
    </cacheField>
    <cacheField name="Menu (Image)" numFmtId="0">
      <sharedItems containsBlank="1">
        <m/>
        <s v="https://drive.google.com/open?id=1qsXvdJuct7_aToPR8ThIMJcmid9TRtyr"/>
        <s v="https://drive.google.com/open?id=1zs5LVtkzfw6Ig4tlx1lPWSn0Lm-7bwoP"/>
        <s v="https://drive.google.com/open?id=1kddVXBDtmyxBYZuEGyQzheu06kPD2YCr"/>
        <s v="https://drive.google.com/open?id=1DMx_aqiNEP9UWnIpWFPjhq9IVflDo6wh"/>
        <s v="https://drive.google.com/open?id=1d5gMIAgwLYoo1XE8r6S6l9xrXBuHC_fD"/>
        <s v="https://drive.google.com/open?id=12gU5eBF4h4UumpvRgJOtQk-imBWvHY8u"/>
        <s v="https://drive.google.com/open?id=12EAJVco-KdWw1uSYlFtmmTicVZ84gYM2"/>
        <s v="https://drive.google.com/open?id=1cyi3Awg4bkM-qh0jCZ9AYvANscdYVEcQ"/>
        <s v="https://drive.google.com/open?id=1aJ7jyiQI1BxadWuyiDV75Cr6pKDhzzPn"/>
        <s v="https://drive.google.com/open?id=1Km226MX9KwuUpcWS9pqTAKGqr92Mg0Y3"/>
        <s v="https://drive.google.com/open?id=1co_tLOZJen6Y4IPvYNvxKakldF9XaDv6"/>
        <s v="https://drive.google.com/open?id=1pK59o1Aziv19WH0wSGHnNWo73zXeKHr_"/>
        <s v="https://drive.google.com/open?id=1o3AopNhsVJvFWoH8x_tLVNIZCcVx7cOn"/>
        <s v="https://drive.google.com/open?id=1nEMKQeAuolmOzlaxJpjW6qF6_rmIf6AP"/>
        <s v="https://drive.google.com/open?id=1Bon9T4mlU4z4S-rJrHY4p_4GBEaqvBis"/>
        <s v="https://drive.google.com/open?id=17qIijHeA5A66t0mbM5MuK1vxY67ZvH_w"/>
        <s v="https://drive.google.com/open?id=1MGUb-FLSLWz3mtFRYvr2kA8UU9R1ZDoe"/>
        <s v="https://drive.google.com/open?id=1aI50gadedsudO6h3wLqQp1xHLebrCR10"/>
        <s v="https://drive.google.com/open?id=1eUsNeyEj8OgtygeMyLiVEJod82SwU5zN"/>
        <s v="https://drive.google.com/open?id=1MjLb_rkwDQEMMUXJ9ZqaycaOJMDkQkI3"/>
        <s v="https://drive.google.com/open?id=1B73x5KBZ4-gx2NXySC5LtwoDyiVEdIIZ"/>
        <s v="https://drive.google.com/open?id=1KmRKETyj7ICA0orAN7PvIzfeuX0oAGYU"/>
        <s v="https://drive.google.com/open?id=1UpMDWJiaP_SC4lYDp1CWFFl1VbTk8S1F"/>
        <s v="https://drive.google.com/open?id=1ajxV8wB8W5zjxpIQaQmKQFP5I-B_TyBa"/>
      </sharedItems>
    </cacheField>
    <cacheField name="Bank Account Proof" numFmtId="0">
      <sharedItems containsBlank="1">
        <m/>
        <s v="https://drive.google.com/open?id=13qbsLsi98K74BchvdcD_7-swJp4EtkeO"/>
        <s v="https://drive.google.com/open?id=1LV1wXeDgKShlIJHBUn--Sn9J2gR1xgxD"/>
        <s v="https://drive.google.com/open?id=12sEwp13vy0B0IOgjOaR48di8G3M0dgC6"/>
        <s v="https://drive.google.com/open?id=1HMbFf9NKxwpNmJpRUAoeT4JSbWFH_gsM"/>
        <s v="https://drive.google.com/open?id=1B_C4vy9xoX9tPLwjSW2tR-EM6ekXOlYl"/>
        <s v="https://drive.google.com/open?id=1xJurv609CUKpePCGd0rcMOwYy6MJKEto"/>
        <s v="https://drive.google.com/open?id=1EM4vsraBCi3CmJzJUZ8gpuR8XRGBOcDh"/>
        <s v="https://drive.google.com/open?id=1-_wWaTH5f5gEAIqiuRyYQXb_tpy1C51V"/>
        <s v="https://drive.google.com/open?id=1HoToRS41uHrqu_gErmgajRS9Q13SKrzV"/>
        <s v="https://drive.google.com/open?id=1FHEOkgoHN1uVC9-OPnLYD4xoB1lkx6FT"/>
        <s v="https://drive.google.com/open?id=1-wjf481GOo4dlMS7Mn0_aN82x0QlqFIb"/>
        <s v="https://drive.google.com/open?id=174krwSmWS-7Ns96sjRGj3zQCcClDenc9"/>
        <s v="https://drive.google.com/open?id=1gCFHksXqJDMO9XNunUEWVv0oVwAAtw9X"/>
        <s v="https://drive.google.com/open?id=1z18XBbhWksdkjRHgsWjBufUzI3CtoA82"/>
        <s v="https://drive.google.com/open?id=17gc3uKZwnSFjbItrX6qAUmzjxO6L0k0z"/>
        <s v="https://drive.google.com/open?id=1dKb9onDSn0QUhvFk10SsnWf6GzlGdEV2"/>
        <s v="https://drive.google.com/open?id=1hdLV6N4fySfFzccVvxE7fAxQDFXVc5kZ"/>
        <s v="https://drive.google.com/open?id=1MSZTJnrSvojZAVGFGN9ERkT44CKcaSkX"/>
        <s v="https://drive.google.com/open?id=1z9xSy2R7BX9_IGQo40Fw_7fa7sypwjLg"/>
        <s v="https://drive.google.com/open?id=1RJg0vZYb8rpZ2eJBCHN88JVswb33w6cp"/>
        <s v="https://drive.google.com/open?id=1CsPd5PJwoKYcmy0ljOmn5Tm4rcNoXc_o"/>
        <s v="https://drive.google.com/open?id=1P_CpJZaQU2rNcw0-VvaemxIwfiMVd5Jx"/>
        <s v="https://drive.google.com/open?id=1hHYKH2vaxK2MdQvW2T-DLbQa7QTnUOnE"/>
        <s v="https://drive.google.com/open?id=12sMx09M1ImUhIZqd82WIvNaInTBWDcDb"/>
        <s v="https://drive.google.com/open?id=1fZKkhOY4LGNL-4ZQ8W2N88rEaTjYMZ6T"/>
        <s v="https://drive.google.com/open?id=1QQz-dSrn8BLxQJ2yneKFg763S5lFmEn9"/>
        <s v="https://drive.google.com/open?id=1dYdxSEdKDP25VExUX-FmWdaIiSXHMgdB"/>
        <s v="https://drive.google.com/open?id=181YFkStbeQu9DiIOSorReiJkbKFB5kZE"/>
        <s v="https://drive.google.com/open?id=1GzwV68LZjE7yRgLhc0J8Np1acynTdVFG"/>
        <s v="https://drive.google.com/open?id=1YV_3V66B3IfEOWAvik5kQtmn72HGp0jh"/>
        <s v="https://drive.google.com/open?id=1zu_M2fRUfLRdFPZfETU9gn84XXlL3P0m"/>
        <s v="https://drive.google.com/open?id=1dxElB3vRZ1tS6RVyXUrVqeRnYh81rGTu"/>
        <s v="https://drive.google.com/open?id=1TG-6YHm1tSjM2QKx8bxcb5OsnRWbvTBx"/>
        <s v="https://drive.google.com/open?id=15hJdUQGf_fyRP9LiydLCMSi1StFZTTjv"/>
        <s v="https://drive.google.com/open?id=1c5OX2uUNeQWX_ZBgExdNadzag4rWD5lN"/>
        <s v="https://drive.google.com/open?id=1DztSeMbfTMIHcNUCvl3ObaM0uq3Eem1t"/>
        <s v="https://drive.google.com/open?id=1s3qkv8BsnDod67ajNIztoNk4pVhhTL74"/>
        <s v="https://drive.google.com/open?id=1iSONILkt5lH4Z6I8zgC4f5FG-WyYCWjD"/>
        <s v="https://drive.google.com/open?id=1XqfSCML6SoFCVD8TCEqvqtCDTAEjdvUa"/>
        <s v="https://drive.google.com/open?id=1gaojrQDsRKOnMGTffrg7CRd7nH8P-4wY"/>
        <s v="https://drive.google.com/open?id=1XZ9ZsEViH7b8kP1ukMLroSjXiL-dq7y_"/>
        <s v="https://drive.google.com/open?id=1iM2kJS9HkQ3zvV9PvTqoRtXsVkbBQHGe"/>
        <s v="https://drive.google.com/open?id=1rd37Nb7X_DnLu5vq5RT9zuDu_yvrcW0G"/>
        <s v="https://drive.google.com/open?id=18yRO-B3Lj3Gfw91ri3Ga2IQUP3tgwc8p"/>
        <s v="https://drive.google.com/open?id=1GeVV81U6D5F9tTaSAVz-8ZxKWT8UmvBG"/>
        <s v="https://drive.google.com/open?id=1ktOhb0u7Zp5tL4_e1kwCHdk8MnTVqz9S"/>
        <s v="https://drive.google.com/open?id=1LYTwoCS--h120P_e4AkLSKjaqZ3Lupsi"/>
        <s v="https://drive.google.com/open?id=14urNv3pIYh9cA2bgR2TgNpjceg_5fQ3z"/>
        <s v="https://drive.google.com/open?id=1oeWZTEIc09G0jV1DRernRUzSTaBycY9e"/>
        <s v="https://drive.google.com/open?id=105qvkmlCWecN--NR_X2-JQYI1kJKwbAT"/>
        <s v="https://drive.google.com/open?id=1QjCULw6L2OGsSDChaQymVKSkeE7zaATb"/>
        <s v="https://drive.google.com/open?id=1qBXCbE_vTaiYmE4_PYtfAjCd5k4f_Ji8"/>
        <s v="https://drive.google.com/open?id=1QzadrdF1fruc3XZQktLe8rw6eHtQSBeF"/>
        <s v="https://drive.google.com/open?id=1ZqqbAXMee-gtK1xay_XrZdq-HxLWYqJo"/>
        <s v="https://drive.google.com/open?id=1KWhmvCRV6edvP7Im57nVrGEySdll2Kkx"/>
        <s v="https://drive.google.com/open?id=12x4Z2BqC7w_Q3Z9r3zQaOyy6lzRKedSp"/>
        <s v="https://drive.google.com/open?id=1GJR5LCAoKfbnGEYOuSrN9dl8OUDyhW5K"/>
        <s v="https://drive.google.com/open?id=1iFWqFpvXzhdgWHC7QJbB04xfKRRCZ6XI"/>
        <s v="https://drive.google.com/open?id=1YveRWqKuQSveB578ZRwwNhhBR7WmMX_t"/>
        <s v="https://drive.google.com/open?id=1TQ8Yzk_vYM49ejCMETCOPr4RFK0U5R2D"/>
        <s v="https://drive.google.com/open?id=1SXiJmvMSwMpmmTquzUuPQb56rv-arqLv"/>
        <s v="https://drive.google.com/open?id=129B7kMmSpA4mZCafFz_8IRegXJt-_4J9"/>
        <s v="https://drive.google.com/open?id=1ptS7jZ5pkn_KDPll2GvtPRg-N_0wFMVV"/>
        <s v="https://drive.google.com/open?id=1elXh5YeFZuytioObyDQQWMaskfXNiB23"/>
        <s v="https://drive.google.com/open?id=1Klvkr959tFdbo3st2OPnbRGO46ox4r5Q"/>
        <s v="https://drive.google.com/open?id=1bhGvPXDDdK_nQNmOHXe3W2kovW_aFJkU"/>
        <s v="https://drive.google.com/open?id=12aSpcfELc-0b_8s3NDaYnlXXNVWRcf2-"/>
        <s v="https://drive.google.com/open?id=1U3r1RGgeuGSs_ZfLpT7Dh9NcAt-p4Ewq"/>
        <s v="https://drive.google.com/open?id=1q98t4jbHMvch3nt1oNFRIwegqFPcDflg"/>
        <s v="https://drive.google.com/open?id=1Ebks0NSpqDOezGoNOk04gbSu2LQ4XhqS"/>
        <s v="https://drive.google.com/open?id=1jK9HCsDFwdxaYpF7b51O45QtHOyVJ1fk"/>
        <s v="https://drive.google.com/open?id=1Nzk8S-vAwlDqD7IXCXUmiKQob8Suo_Yp"/>
        <s v="https://drive.google.com/open?id=1CU5Ianr--_pYRZPFaO5ZAVn6TIDlAMzn"/>
        <s v="https://drive.google.com/open?id=1tO6bfG8Qg2vKQsS9KNDpZbQxJRso7eq8"/>
        <s v="https://drive.google.com/open?id=1CEVTsKfKOrj52DRMvms99Fucutp_yBqk"/>
        <s v="https://drive.google.com/open?id=1dKBq2qwbhjbC2syhjXGyppBP_hrHOnM9"/>
        <s v="https://drive.google.com/open?id=1GS8AvgbHEHbfkaYuNrmtL18TZjtR_ciK"/>
        <s v="https://drive.google.com/open?id=1Dcc6NER0ijy5HWG0_rtpa-kPCfSh-Vd3"/>
        <s v="https://drive.google.com/open?id=1yGqGHcHJXRvF6FdM2VMgw5vnO7A2Bags"/>
        <s v="https://drive.google.com/open?id=1pUzMsfy3VO37wyxAE1aPjYqL5ywJpPn8"/>
        <s v="https://drive.google.com/open?id=1iRVwGXp32Yr4MweuxF_xoZD9wGVSleh4"/>
        <s v="https://drive.google.com/open?id=1SX4gLD15i2EkU2hMav3uQ9roy5VsMp9F"/>
        <s v="https://drive.google.com/open?id=1cp_AokYM9t8MfLfcwsP52r7DbEW8Lj13"/>
        <s v="https://drive.google.com/open?id=1p-j-KXQJXRAi_TieTurTGR4-HK3aDPi1"/>
        <s v="https://drive.google.com/open?id=1-r1SlwvNrqBytm-3AVDDSlFoyYH5YMYM"/>
        <s v="https://drive.google.com/open?id=1iOJ2ihjS0fS9MrplWXmYR4-Emg4KR4wg"/>
        <s v="https://drive.google.com/open?id=1Qm7yyZZa14R1CgpzDtgkSkm5arRaPIKo"/>
        <s v="https://drive.google.com/open?id=10iabTxcVj4Za6PKaG5em2u27iXvW8hF-"/>
        <s v="https://drive.google.com/open?id=1zAOz-0mXATnMb5QUiDN-_Z69gNBZ9DTQ"/>
        <s v="https://drive.google.com/open?id=1oPiUCj_jgdCCD_TnRjwIrvuMQsRIK_hU"/>
        <s v="https://drive.google.com/open?id=1ANfBuq4jiapQrVe8vsikq3MYna6QV_Z2"/>
        <s v="https://drive.google.com/open?id=1nXENJHod-X6e6HBUNRdlC2dCDwU89dWz"/>
        <s v="https://drive.google.com/open?id=1Tfvit8SMbQHmdwADQm39zULpFu97RjfZ"/>
        <s v="https://drive.google.com/open?id=1JUnT13imr2_E-8z2WaqtoxzqSErhpxBz"/>
        <s v="https://drive.google.com/open?id=15XeVjTUbGM8EDFEtpE16VrUSKAdEkd5X"/>
        <s v="https://drive.google.com/open?id=1zVDsBrZSUt7yPKGsdXe1Fht57bSxdo6B"/>
        <s v="https://drive.google.com/open?id=1TVsu2_zOmHnVog5RRJy1iHy5UtLlhaEF"/>
        <s v="https://drive.google.com/open?id=1kX78Vn0BaJhUGBwL9QDXwpw-_X8ZxC81"/>
        <s v="https://drive.google.com/open?id=18xnuJeykyowujSYPixTqYmZ4z8kMIkvz"/>
        <s v="https://drive.google.com/open?id=1UQeKyCwjI3tO6DxqxQsxQSwZmY7WJoAt"/>
        <s v="https://drive.google.com/open?id=1yyN6uBhrB61j64j_vr-QFy5eCUy3Ew7t"/>
        <s v="https://drive.google.com/open?id=1FmWsxQNc4Ch3okxuOrB_JODQScO9TS8N"/>
        <s v="https://drive.google.com/open?id=1HUqoI0sD8zQh-6IBp3-egEyP223MbVok"/>
        <s v="https://drive.google.com/open?id=17nCgx6decgDKgMXfSU6ADVUKpjIPGzH_"/>
        <s v="https://drive.google.com/open?id=1gHOQgtEYbTqffPSb-inYKnKE-ks5zNdB"/>
        <s v="https://drive.google.com/open?id=1blDtsMzIE5Djz_uh7ly460gffC5eu7wF"/>
        <s v="https://drive.google.com/open?id=1Jyt-2QRh4VWHH4Pn0ZouN2KKo2X3-DZ4"/>
        <s v="https://drive.google.com/open?id=1SsWdZ2FxF2uEVv4zVgbc_IC2neGwB0qQ"/>
        <s v="https://drive.google.com/open?id=1JEn4YlMgDwnArRceuGakQkBu4ar29GJQ"/>
        <s v="https://drive.google.com/open?id=1JPqAG3J3RITBg-clM7q7o-pnsuTG8Iso"/>
        <s v="https://drive.google.com/open?id=1AZVEYhxd70CX5j7lOak7glnICKMjQzsG"/>
        <s v="https://drive.google.com/open?id=1JtB8IbmzjN_okacxtDmWkqRMWo93j6wc"/>
        <s v="https://drive.google.com/open?id=1ovhh9wNQissHHpqs6hYowObINXesAUc9"/>
        <s v="https://drive.google.com/open?id=1e6xSf44AUu7berD98-obIeSO2duVx3r8"/>
      </sharedItems>
    </cacheField>
    <cacheField name="Account Number">
      <sharedItems containsBlank="1" containsMixedTypes="1" containsNumber="1" containsInteger="1">
        <m/>
        <n v="5.4946489461649E13"/>
        <n v="5.0200102000231E13"/>
        <n v="1.0192341683E10"/>
        <n v="8.03705000004E11"/>
        <n v="6.450935473E9"/>
        <n v="1.12005003328E11"/>
        <n v="2.0100061259823E13"/>
        <n v="6.598200001283E12"/>
        <n v="1.548257253E9"/>
        <n v="5.0200064899781E13"/>
        <n v="3.79474434E10"/>
        <s v="02711500006880"/>
        <n v="1.57097949648E11"/>
        <s v="018361900006050"/>
        <n v="1.850667931E9"/>
        <s v="00000044866997013"/>
        <n v="6.414081002E9"/>
        <n v="3.269632568E9"/>
        <n v="3.212110291E9"/>
        <n v="4.4573150739E10"/>
        <s v="NA"/>
        <n v="9.24020006428812E14"/>
        <n v="1.11605002567E11"/>
        <n v="5.0200037070989E13"/>
        <n v="5.0200018292136E13"/>
        <n v="2.0264673793E10"/>
        <n v="5.0200069149286E13"/>
        <n v="8.9494399655E10"/>
        <n v="5.020116850493E12"/>
        <n v="9.17020033027897E14"/>
        <n v="3.0542010072789E13"/>
        <n v="1.4730200007249E13"/>
        <n v="5.871063531E9"/>
        <n v="3.8920550013E11"/>
        <s v="020101513526"/>
        <n v="8.150356795E9"/>
        <n v="1.47661900001351E14"/>
        <n v="5.020010653571E13"/>
        <n v="2.109100059E9"/>
        <n v="1.57002000000978E14"/>
        <n v="5.0100460528124E13"/>
        <s v="815 035 6795"/>
        <s v="420 3277 3051"/>
        <s v="50100 40693 7092"/>
        <s v="92 1 9210 23008 513078"/>
        <s v="147 23 7809 34"/>
        <s v="0446 104000 204 927"/>
        <s v="9814 50 1154"/>
        <s v="5010066 339 8448"/>
        <s v="5201016 319 482"/>
        <s v="25951 575 8788"/>
        <s v="1111 015 18283"/>
        <n v="3.99760777E9"/>
        <s v="502000 347 22 082"/>
        <s v="8945 296 083"/>
        <s v="2109 10039"/>
        <s v="2002 503 5345"/>
        <s v="20025 035345"/>
        <s v="2005 235 5986"/>
        <s v="50200 1016 49 450"/>
        <n v="9.9980112182519E13"/>
        <n v="1.0225700253E10"/>
        <n v="1.01220051002355E14"/>
        <s v="040710100033245"/>
        <s v="899 899 812 58"/>
        <n v="1.86303070215E12"/>
        <s v="8146 469 729"/>
        <s v="6056 1936 317"/>
        <s v="6056 193 6317"/>
        <n v="5.0100788335152E13"/>
        <n v="5.936315853E9"/>
        <n v="1.19650700001669E14"/>
        <n v="1.45361900001302E14"/>
        <n v="1.10031112647E11"/>
        <n v="5.0200031660125E13"/>
        <n v="1.28212010003325E14"/>
        <n v="5.0200112639819E13"/>
        <n v="6.2229638385E10"/>
        <s v="025301617423"/>
        <n v="3.499010005873E12"/>
        <s v="057201000019505"/>
        <n v="2.3780200001972E13"/>
        <n v="1.97405500141E11"/>
        <n v="1.97405001433E11"/>
        <n v="9.25010020128231E14"/>
        <n v="9.20020055993691E14"/>
        <n v="3.549801169E9"/>
        <n v="5.020007950961E13"/>
        <n v="2.0100077076521E13"/>
        <n v="5.0200112176575E13"/>
        <s v="502000 844 9082"/>
        <n v="5.0200088449082E13"/>
        <s v="502008 844 9082"/>
        <s v="91301 003 1284567"/>
        <s v="9130 1003 128 4567"/>
        <n v="9.21010003523141E14"/>
        <n v="1.0036566072E10"/>
        <n v="3.8834634507E10"/>
        <n v="1.83410100007985E14"/>
        <n v="3.3401005475E11"/>
        <n v="9.20010059932943E14"/>
        <n v="1.011014000017E12"/>
        <s v="0514073000000598"/>
        <n v="9.2502003302611E14"/>
        <n v="7.7770109390035E13"/>
        <n v="2.0287776633E10"/>
        <n v="4.4167291537E10"/>
        <n v="1.45361900002201E14"/>
      </sharedItems>
    </cacheField>
    <cacheField name="IFSC ">
      <sharedItems containsBlank="1" containsMixedTypes="1" containsNumber="1" containsInteger="1">
        <m/>
        <s v="949464bguhb"/>
        <s v="HDFC0010090"/>
        <s v="IDFB00B0231"/>
        <s v="ICIC0008037"/>
        <s v="KKBK0000561"/>
        <s v="ICIC0001120"/>
        <s v="BDBL0002722"/>
        <s v="BARB0DBMDHP"/>
        <s v="HDFC0004277"/>
        <s v="SBIN0005322"/>
        <s v="DCBL0000027"/>
        <s v="INDB0001052"/>
        <s v="YESB0000183"/>
        <s v="KKBK0008392"/>
        <s v="SBIN0014676"/>
        <s v="IDIB000K284"/>
        <s v="CBIN0283883"/>
        <s v="KKBK0000560"/>
        <s v="SBIN0032241"/>
        <s v="UTIB0003305"/>
        <s v="ICIC0001116"/>
        <s v="HDFC0000512"/>
        <s v="BDBL00018292136"/>
        <s v="SBI0014170"/>
        <s v="HDFC000394"/>
        <s v="IDB0080205"/>
        <s v="HDFC000642"/>
        <s v="UTIB0001628"/>
        <s v="CNRB0013054"/>
        <s v="FDRL0001473"/>
        <s v="CBIN0285206"/>
        <s v="ICIC0003892"/>
        <s v="Icic0000069"/>
        <s v="IDIB000H601"/>
        <s v="YESB0001315"/>
        <s v="HDFC0006456"/>
        <s v="SBIN0021357"/>
        <s v="IOBA0001570"/>
        <s v="HDFC0001031"/>
        <s v="Idib 0000h 601"/>
        <s v="SBI n0020530"/>
        <s v="HDFC 0004216"/>
        <s v="Utib 0004719"/>
        <s v="SBI 10020593"/>
        <s v="Ubin0812820"/>
        <s v="Idbkl 000446"/>
        <s v="KK BK 0007488"/>
        <s v="HDFC 000 1626"/>
        <s v="Ubing 0905 909"/>
        <s v="IMDb 0000004"/>
        <s v="ICICI 000 111"/>
        <s v="SBIN0040479"/>
        <s v="HDFC 0002391"/>
        <s v="Kkbk 0007489"/>
        <s v="SBI and 0012 941"/>
        <s v="SBI and 000 1441"/>
        <s v="SBI n 000 1441"/>
        <s v="SBI 100 11081"/>
        <s v="SBI n00 11081"/>
        <s v="HDFC 000 1821"/>
        <s v="IDFB0080205"/>
        <s v="ICIC00ADRSH"/>
        <s v="UBIN0804070"/>
        <s v="Idfcb008022"/>
        <s v="Indb0000004"/>
        <s v="Kkbk 0007452"/>
        <s v="MAHB001361"/>
        <s v="M a h b 001361"/>
        <s v="HDFC0006765"/>
        <s v="HDFCOO06765"/>
        <s v="CBIN0283826"/>
        <s v="YESB0001196"/>
        <s v="YESB0001453"/>
        <s v="CNRB0013313"/>
        <s v="HDFC0004348"/>
        <s v="Hdfc0000545"/>
        <s v="SBIN0021830"/>
        <s v="Icic0000253"/>
        <s v="Barbbosruhyd"/>
        <s v="IOBA0000572"/>
        <s v="FDRL0002378"/>
        <s v="ICIC0001974"/>
        <s v="UTIB0005921"/>
        <s v="UTIB0003386"/>
        <s v="Kkbk0007451"/>
        <s v="UTIB0003386  "/>
        <s v="HDFC0001626  "/>
        <s v=" HDFC0001626  "/>
        <n v="2.0100077076521E13"/>
        <s v="BDBL0001608  CHAI KABURLU"/>
        <s v="HDFC0009095"/>
        <s v="HDFC0004216"/>
        <s v="Utib 000404"/>
        <s v="Utib 00409"/>
        <s v="UTIB0000881"/>
        <s v="ICIC00001974"/>
        <s v="IDFB0080201"/>
        <s v="SBIN0002109"/>
        <s v="UBIN0818348"/>
        <s v="KKBK0007475"/>
        <s v="KKBK7475"/>
        <s v="UTIB0000193"/>
        <s v="HDFC0CEENAD"/>
        <s v="SIBL0000514"/>
        <s v="UTIB0003385"/>
        <s v="FDRL0007777"/>
        <s v="SBIN0004904"/>
        <s v="SBIN0011745"/>
      </sharedItems>
    </cacheField>
    <cacheField name="Name on Bank Account" numFmtId="0">
      <sharedItems containsBlank="1">
        <m/>
        <s v="icici"/>
        <s v="HDFC Bank "/>
        <s v="IDFC"/>
        <s v="ICICI BANK"/>
        <s v="EASTIN HOTELS AND RESORTS "/>
        <s v="BANDHAN BANK"/>
        <s v="BANK OF BARODA"/>
        <s v="HUNAN CHINESE CUSINE"/>
        <s v="LUCKY MULTI CUISINE RESTAURANT"/>
        <s v="State Bank Of India"/>
        <s v="DCB Bank Limited"/>
        <s v="Indusland Bank"/>
        <s v="ANAND BHAVAN MESS"/>
        <s v="KOTAK MAHINDRA BANK"/>
        <s v="SBI"/>
        <s v="Indian Bank"/>
        <s v="Central Bank Of India"/>
        <s v="AXIS BANK"/>
        <s v="GOOD SPARROW FOODS PRIVATE LIMITED"/>
        <s v="Sambasiva rao kethineni"/>
        <s v="VJ food prenuers"/>
        <s v="IDFC first bank "/>
        <s v="Al saba cafe"/>
        <s v="G HITECH BAWARCHI FOOD COURT"/>
        <s v="Canara Bank"/>
        <s v="Padmavathi Food court"/>
        <s v="Rambabu ji"/>
        <s v="Bulli abbai kodi palau"/>
        <s v="Arukha flavours"/>
        <s v="Arukha flavours "/>
        <s v="Akurha flavours"/>
        <s v="HDFC BANK"/>
        <s v="C DINESH KUMAR"/>
        <s v="INDIAN OVERSEAS "/>
        <s v="HDFC"/>
        <s v="Bullet abbai Kodi palav "/>
        <s v="Padavala ramalakshmi"/>
        <s v="Venu Prakash Gunda"/>
        <s v="Sri Sai Rama tiffins"/>
        <s v="Kanchu muthyam"/>
        <s v="Monica surana"/>
        <s v="Golla kumar"/>
        <s v="Syed shahed"/>
        <s v="Mohammed ghouse"/>
        <s v="Zamin ali"/>
        <s v="Santhakam ruchulu"/>
        <s v="Mohammed zahera begum"/>
        <s v="SHAIK JANBEE"/>
        <s v="Alamideem shawarma"/>
        <s v="Laxmi shailaja sutrave"/>
        <s v="Ichirakur rAmin house"/>
        <s v="Dontham mahesh"/>
        <s v="SBI n 000 1441"/>
        <s v="P srinivasulu "/>
        <s v="P srinivasulu"/>
        <s v="Sekh jani bakas"/>
        <s v="GUNDRA AJAY KUMAR"/>
        <s v="NAIDU FOOD COURT"/>
        <s v="Adarsh bank"/>
        <s v="Union Bank"/>
        <s v="Snaking Cafe private limited"/>
        <s v="Indus bank"/>
        <s v="Rambabu k"/>
        <s v="J manikanth"/>
        <s v="The bakely"/>
        <s v="D Indra "/>
        <s v="D Indira"/>
        <s v="Mohammed Ibrahim "/>
        <s v="N Rajesh kumar"/>
        <s v="Sri Vigneshwara aaha Bojhanam "/>
        <s v="Sri Vigneshwara aaha Bhojanam "/>
        <s v="GANAPATHI NANDAKISHORE"/>
        <s v="Parchuri foods"/>
        <s v="Srikanth charan"/>
        <s v="Mamatha budhani"/>
        <s v="Padmavathi vessam"/>
        <s v="INDIAN OVERSEAS BANK"/>
        <s v="Federal Bank"/>
        <s v="THE BOAT HOUSE"/>
        <s v="SRI LAKSHMI ENTERPRISES"/>
        <s v="SAMMIDI RANJITH REDDY"/>
        <s v="CAFFEINE HUB"/>
        <s v="DEEPAK"/>
        <s v="CAKES CORNER BAKERS  CONFECTIONERS"/>
        <s v="BDBL0001608  "/>
        <s v="5ves diner"/>
        <s v="Second wife c/o guntur"/>
        <s v="HAMDAN BIN MASOOD"/>
        <s v="HEMA ADDANKI"/>
        <s v="MADHAPUR BAWARCHI"/>
        <s v="WASIM AKRAM"/>
        <s v="WASIM  AKRAM"/>
        <s v="Srineevasulu Reddy "/>
        <s v="Srinivas "/>
        <s v="Kotak Mahindra "/>
        <s v="Vinayaka dileep kumar"/>
        <s v="DWARAKAMAYEE TIFFINS CENTRE"/>
        <s v="MAMMU'S KITCHEN"/>
        <s v="ala konaseemaloo  "/>
        <s v="Rajkiran Darshan"/>
        <s v="MOHD WAJID ALI KHAN"/>
        <s v="SRI VENGAMAMBA DULUXE MESS"/>
        <s v="M.Durga"/>
      </sharedItems>
    </cacheField>
    <cacheField name="Owner Name" numFmtId="0">
      <sharedItems containsBlank="1">
        <m/>
        <s v="jihughyfu"/>
        <s v="Rama Rao"/>
        <s v="SHESHA SAI"/>
        <s v="VENKAT LINGAM"/>
        <s v="NATVA SANTOSH KUMAR"/>
        <s v="VAMSI"/>
        <s v="GM RAGHAVENDRA"/>
        <s v="POKURI PRATHYUSHA"/>
        <s v="ALANKRUTHA RESTAURANT"/>
        <s v="RAVI"/>
        <s v="B RAJA YESHWANTH KUMAR"/>
        <s v="MANSOOR"/>
        <s v="Uttam Kumar"/>
        <s v="Harish Dhas"/>
        <s v="SYED"/>
        <s v="Quddus Hussain"/>
        <s v="B SONI"/>
        <s v="MOHAMMED FEROZ"/>
        <s v="MADAPURAM ANIL KUMAR"/>
        <s v="SHANKAR"/>
        <s v="PRANAY"/>
        <s v="CHALLA TRIVENI"/>
        <s v="M SaiTeja"/>
        <s v="Sai Kumar Goud"/>
        <s v="Kartheek"/>
        <s v="Suryam"/>
        <s v="SUDARSAN NAYAK"/>
        <s v="Ramachandr rao"/>
        <s v="Rama chandhar rao"/>
        <s v="Ramachandra rao"/>
        <s v="KHASIM"/>
        <s v="Ashish kumar"/>
        <s v="Rajesh kethiklneni"/>
        <s v="Sagar"/>
        <s v="Subhash"/>
        <s v="Shiva kumar"/>
        <s v="MOHAMMED ILYAS"/>
        <s v="Faheen"/>
        <s v="Padmavathi"/>
        <s v="SANTHOSH"/>
        <s v="SRI LATHA"/>
        <s v="venkat reddy"/>
        <s v="Arun"/>
        <s v="C DINESH KUMAR"/>
        <s v="TOKALA MAHENDRA REDDY"/>
        <s v="KOTHA ASHOK"/>
        <s v="Ameenudden "/>
        <s v="Mahesh "/>
        <s v="GUNDRA AJAY KUMAR"/>
        <s v="SAI"/>
        <s v="G NARASIMHA MURTHY"/>
        <s v="Madala Rama KrishnaReddy"/>
        <s v="NASEER KHAN"/>
        <s v="RAJU"/>
        <s v="MADARAM SHAILAJA"/>
        <s v="Bhimalla Shiva Shankar"/>
        <s v="HEMA ADDANKI"/>
        <s v="N GOUTHAM KUMAR"/>
        <s v="SAMMIDI RANJITH REDDY"/>
        <s v="DEEPAK"/>
        <s v="CHAI KABURLU"/>
        <s v="BURRA RAKESH GOUD"/>
        <s v="HAMDAN"/>
        <s v="HAMDAN BIN MASOOD"/>
        <s v="SHIV KUMAR"/>
        <s v="WASIM AKRAM"/>
        <s v="WASIM  AKRAM"/>
        <s v="AMPA NAGALAKSHMI"/>
        <s v="Mv Prabhavathi"/>
        <s v="ARJUN"/>
        <s v="Jaya sree"/>
        <s v="M.satya durga"/>
      </sharedItems>
    </cacheField>
    <cacheField name="Owner Contact Number">
      <sharedItems containsBlank="1" containsMixedTypes="1" containsNumber="1" containsInteger="1">
        <m/>
        <n v="6.4946165597E10"/>
        <n v="9.030611616E9"/>
        <n v="9.052592437E9"/>
        <n v="8.989873636E9"/>
        <n v="6.302181276E9"/>
        <n v="9.01470785E9"/>
        <n v="9.963968917E9"/>
        <n v="6.301782448E9"/>
        <n v="8.341514984E9"/>
        <n v="7.396735758E9"/>
        <n v="9.705812524E9"/>
        <n v="9.676213874E9"/>
        <n v="9.010022093E9"/>
        <n v="9.9648187E9"/>
        <n v="9.742645678E9"/>
        <n v="9.182466676E9"/>
        <n v="7.097949648E9"/>
        <n v="7.893713995E9"/>
        <n v="7.093742666E9"/>
        <n v="9.963967706E9"/>
        <n v="8.333833299E9"/>
        <n v="9.642897117E9"/>
        <n v="9.030518803E9"/>
        <n v="9.642431013E9"/>
        <n v="9.849995653E9"/>
        <s v="80086 23545"/>
        <n v="8.977709421E9"/>
        <n v="9.849108337E9"/>
        <n v="9.494399656E9"/>
        <n v="9.346342272E9"/>
        <s v="74168 26069‬"/>
        <n v="8.466082222E9"/>
        <n v="9.959223649E9"/>
        <n v="9.177937307E9"/>
        <n v="9.980102334E9"/>
        <n v="9.247109555E9"/>
        <n v="7.981933914E9"/>
        <s v=" 77300 72371"/>
        <n v="9.494739281E9"/>
        <s v="+91 97041 41884"/>
        <n v="7.793930889E9"/>
        <n v="9.100267638E9"/>
        <n v="8.885040804E9"/>
        <n v="9.030058654E9"/>
        <n v="8.328177189E9"/>
        <n v="7.816087272E9"/>
        <n v="9.553442334E9"/>
        <n v="8.801417049E9"/>
        <s v=" 88853 03345"/>
        <s v="70082 64218"/>
        <n v="9.177015185E9"/>
        <s v="93812 45681"/>
        <s v="98666 87976"/>
        <n v="8.142006008E9"/>
        <n v="7.989383201E9"/>
      </sharedItems>
    </cacheField>
    <cacheField name="Owner Email address" numFmtId="0">
      <sharedItems containsBlank="1">
        <m/>
        <s v="jhgyfyf2@GMAIL,COM"/>
        <s v="bhuvanskitchen25@gmail.com"/>
        <s v="BOWLRISE.SRNAGAR@GMAIL.COM"/>
        <s v="nsantosh086@gmail.com"/>
        <s v="info@eastinhotel.com"/>
        <s v="cakash121@gmail.com"/>
        <s v="thehumanspice@gmail.com"/>
        <s v="ya6822534@gmail.com"/>
        <s v="khuddushussian7@gmail.com"/>
        <s v="bidhaniyasony@gmail.com"/>
        <s v="anandbhavanmess@gmail.com"/>
        <s v="SMASHCITY.BK2025@GMAIL.COM"/>
        <s v="brewcommunecafe@gmail.com"/>
        <s v="rebalsaikumargoud@gmail.com"/>
        <s v="veerammagarivantillu@gmail.com"/>
        <s v="hsgsubhamgrand@gmail.com"/>
        <s v="NA"/>
        <s v="bakehousesns@gmail.com"/>
        <s v="mohdilyas13@gmail.com"/>
        <s v="faheen88977@gmail.com"/>
        <s v="PUNJABIJUNCTIONYF@GMAIL.COM"/>
        <s v="srichandrakakarla@gmail.com"/>
        <s v="kothaaashok25@gmail.com"/>
        <s v="Murthysam07@gmail.com"/>
        <s v="Crispycorner0889@gmail.com"/>
        <s v="madaramshailajak@gmail.com"/>
        <s v="snackbite.gachibowli@gmail.com"/>
        <s v="tulasinandan654@gmail.com"/>
        <s v="deepak2002114@gmail.com"/>
        <s v="anukitchen2026@gmail.com"/>
        <s v="hamdanalguthmi1234@gmail.com"/>
        <s v="b4ushiva@gmail.com"/>
        <s v="wasimakram06052001@gmail.com"/>
        <s v="ampanagalakshmi5555@gmail.com"/>
      </sharedItems>
    </cacheField>
    <cacheField name="Legal Entity Name" numFmtId="0">
      <sharedItems containsBlank="1">
        <m/>
        <s v="HVTFUGYFYGJH"/>
        <s v="Bhuvan’s Kitchen"/>
        <s v="INVENCES FOODS"/>
        <s v="AARAV SUNRISE HOSPITALITES"/>
        <s v="NATVA SANTOSH KUMAR"/>
        <s v="ROLO ONE BAKERS"/>
        <s v="POKURI PRATHYUSHA"/>
        <s v="ALANKRUTHA MULTICUSINE RESTAURANT"/>
        <s v="Ravi "/>
        <s v="SHREE BALAJI TIFFIN CENTER"/>
        <s v="LUCKY MULTI CUISINE RESTAURANT"/>
        <s v="BIRYANI N BIRYANI"/>
        <s v="Naseeb Cafe"/>
        <s v="Sri Balaji Family Dhaba"/>
        <s v="Madapuram food court "/>
        <s v="ANAND BHAVAN MESS"/>
        <s v="SMASH CITY"/>
        <s v="BREW COMMUNE CAFE &amp; BISTRO"/>
        <s v="The good sparrow food pvt ltd"/>
        <s v="Good sparrow foods private limited"/>
        <s v="MOHAMMED ILYAS"/>
        <s v="YUMMY FOODS"/>
        <s v="COSTAL KITCHEN"/>
        <s v="C DINESH KUMAR"/>
        <s v="tealogy cafe"/>
        <s v="AAhara  Food court"/>
        <s v="DIYI SATYANARAYAN "/>
        <s v="G NARASIMHA MURTHY"/>
        <s v="NASEER KHAN"/>
        <s v="Madaram Shailaja"/>
        <s v="Bhimalla Shiva Shankar"/>
        <s v="HEMA ADDANKI"/>
        <s v="N GOUTHAM KUMAR"/>
        <s v="DEEPAK"/>
        <s v="BURRA RAKESH GOUD"/>
        <s v="zaiqa bawarchi restaurant"/>
        <s v="HAMDAN BIN MASOOD"/>
        <s v="SHIV KUMAR"/>
        <s v="WASIM AKRAM"/>
        <s v="WASIM  AKRAM"/>
        <s v="AMPA NAGALAKSHMI"/>
        <s v="Mv Prabhavathi"/>
        <s v="ala konaseemaloo  "/>
        <s v="SRI VENGAMAMBA DELUXE MESS"/>
      </sharedItems>
    </cacheField>
    <cacheField name="Onboarding Done" numFmtId="0">
      <sharedItems containsBlank="1">
        <m/>
        <s v="Yes"/>
        <s v="Will follow up tomorrow "/>
        <s v="No"/>
      </sharedItems>
    </cacheField>
    <cacheField name="Remarks(Comments)" numFmtId="0">
      <sharedItems containsBlank="1">
        <m/>
        <s v="Res has been onboarded "/>
        <s v="PARTNER ON BOARDED"/>
        <s v="They got impress with our application take away point "/>
        <s v="ONBOARDED "/>
        <s v="Onboarded"/>
        <s v="on boarded waiting for documents"/>
        <s v="onboarded waiting for documets"/>
        <s v="Onboarding done but Adhar and pan details didnt recevied at."/>
        <s v="Onboarding done "/>
        <s v="Onboarding is Done"/>
        <s v="Onboarding Completed"/>
        <s v="Onboarding Done"/>
        <s v="The restaurant owner Mr Satyanarayana lives in khammam, will get confirmation from him tomorrow. Mr Anil who takes care of bhavani mess in Hyderabad is very impressed with the pitch and is okay for onboarding. Just need Mr Satyanarayana's permission."/>
        <s v="ON BOARDED"/>
        <s v="na"/>
        <s v="Closed by Ankitha, documents will be submitted by her."/>
        <s v="need to get bank details,adhar card and pan card"/>
        <s v="n/a"/>
        <s v="we onboarded the restraunts "/>
        <s v="ASKED TO CALL BEFORE COMING"/>
        <s v="Restraunt under renovation"/>
        <s v="Owner not available"/>
        <s v="NO"/>
        <s v="Need to submit docs"/>
        <s v="Onboarded at 20% flat commission"/>
        <s v="N"/>
        <s v="Onboarding done,documents submitted "/>
        <s v="NOT INTERESTED"/>
        <s v="OWNER WILL BE AVAILABLE ON MONDAY"/>
        <s v="Need to contact kolkata team for descion making "/>
        <s v="NOT INTERESTED IN ONLINE PLATFORM"/>
        <s v="Needs to submit docs"/>
        <s v="Yes"/>
        <s v="Bhimavaram thali onboarded at 22% ++"/>
        <s v="Test"/>
        <s v="Test&#10;"/>
        <s v="He is on leave asked comeback on 25th for onboarding"/>
        <s v="Asked to share the proposal"/>
        <s v="Asked to call on Thursday to check for an update (19/02/2026)"/>
        <s v="He was on leave asked to call tomorrow (17/02/2026)"/>
        <s v="Tried calling but he disconnected the call. Will calling him tomorrow (17/02/2026)"/>
        <s v="Manager did not answer the call, however will try again tomorrow (17/02/2026)"/>
        <s v="Tried calling him but no response, will follow up tomorrow (17/02/2026)"/>
        <s v="Asked to share the proposal after that he will connect back with us"/>
        <s v="They are developing there own app"/>
        <s v="Asked to share the proposal over the email"/>
        <s v="Onboarding will be done tomorrow "/>
        <s v="I should call him tomorrow at 1:00 regarding an update from his side"/>
        <s v="He asked for two days time regarding the decision. Will follow him up"/>
        <s v="The receptionist asked me to call tomorrow at 11am for checking the availability of the owner"/>
        <s v="He has asked for time regarding the decision but he is interested . I will follow up the day after tomorrow "/>
        <s v="They have agreed to onboard next Monday "/>
        <s v="I should call Mr Surendra owner tomorrow "/>
        <s v="I should call him tomorrow for appointment "/>
        <s v="This restaurant's owner has been postponing onboarding from the last 3 days"/>
        <s v="Mr venu has asked me to meet after 4 pm tomorrow "/>
        <s v="He has asked me to call and come tomorrow after 4pm"/>
        <s v="DONE ONBORDING"/>
        <s v="ONBOARDING "/>
        <s v="onbaorded"/>
        <s v="Discussion done with manager,he need to discuss with head a"/>
        <s v="Manager was not available"/>
        <s v="Manager was not available,following to connect him"/>
        <s v="Manager was not available,following up"/>
        <s v="following up to fix intro meeting"/>
        <s v="following up 17/02/2026"/>
        <s v="Descion maker will be available at athapur branch,they have 14 outlets"/>
        <s v="They are not doing any online orders"/>
        <s v="They are developing the food app"/>
        <s v="Call back next week on monday"/>
        <s v="Need to send proposal"/>
        <s v="Discussion done with manager and he need to discuss with owner"/>
        <s v="Partner should be onboarded by the next meeting"/>
        <s v="Call Mr. Kishan"/>
        <s v="Call Mr. Gaffar and meet him at 5 pm at Jubliee Hills office"/>
        <s v="Call again"/>
        <s v="Call Mr. Gopi"/>
        <s v="Call Mr. Prajitesh"/>
        <s v="Call Mr. Mahendra"/>
        <s v="Call Mr. Sanjeev post 11 am"/>
        <s v="Call Sri Nivas"/>
        <s v="No food deliveries on Inorbit location due to high demand and small kitchen need to approach for different locations"/>
        <s v="KFC coming up with their own delivery app have own delivery partners and third party tie ups for peaks. Need to connect with delivery manager "/>
        <s v="Call Mr. Umar"/>
        <s v="Call Mr. Vamsi share proposal on mail. He white labels soda for Swiggy's brand Noice now selling soda at there own counters 3 more counters planned"/>
        <s v="Call Mr. Ameer"/>
        <s v="Call Mr. Laxman"/>
        <s v="Meet after calling Mr. Pasha"/>
        <s v="Doing 12-13 L daily revenue over all branches with Swiggy and Zomato. Maximum sale is of Combo Box : AOV 1200. Ala carte 500"/>
        <s v="Not available on Swiggy and Zomato looking for onboarding on online delivery platform, 19 outlets Pan India . Mr. Reeshav is the Business Head handle lead with care"/>
        <s v="Asked to share an email&#10;AOV - 500&#10;Seating capacity 60&#10;Location- begumpet"/>
        <s v="Dinesh &#10;Sits in Kukatpally branch&#10;&#10;Asked to share the proposal on email. He will be sharing his email ID shortly"/>
        <s v="Owner not available today as he is busy in court case. POC will give me a call tomorrow once the owner comes"/>
        <s v="Seating capacity - 50&#10;AOV - 300&#10;&#10;Asked to share the proposal on WhatsApp after that he will connect us with the concerned person"/>
        <s v="have 7 outlets in HYD and 2 in Vinaywada Asked call after 5pm as he in a night shift"/>
        <s v="1 day time "/>
        <s v="Out of station "/>
        <s v="Seating capacity - 48 head sits out of head office in Kolkata Tried calling him but no response will follow up more"/>
        <s v="Owner will be available at 7 pm"/>
        <s v="Follow up"/>
        <s v="Receptionist asked to visit banjara hills branch as the main POC will be available there"/>
        <s v="They need time to think"/>
        <s v="They are not interested"/>
        <s v="We need to call him"/>
        <s v="Onboarding tomorrow "/>
        <s v="He need 2 months time"/>
        <s v="Owner is not available "/>
        <s v="Owner is nit available "/>
        <s v="Have to meet with the owner"/>
        <s v="Will be onboarded by 18th of Feb"/>
        <s v="follow back"/>
        <s v="Will be onboarded by 18th February"/>
        <s v="onboarding tomorrow"/>
        <s v="They dont do any online platform"/>
        <s v="Discussion done with manager,appointment fixed Md tomorrow"/>
        <s v="Pan Card and Bank Details are pending"/>
        <s v="Follo up"/>
        <s v="fixed appointment an sat"/>
        <s v="Follow up for feedback"/>
        <s v="following up"/>
        <s v="Tomorrow meeting scheduled with manager"/>
        <s v="meeting scheduled tomorrow"/>
        <s v="following up for next meeting"/>
        <s v="following up to get the area manager ka number"/>
        <s v="need to check details on google"/>
        <s v="didnt shared any details"/>
        <s v="Meeting fixed with Md"/>
        <s v="meeting scheduled with Md"/>
        <s v="following up to get meeting with manager"/>
        <s v="discussion done with owner he nee to discuss with other partner"/>
        <s v="discussion done with owner need to think"/>
        <s v="Did a follow up call, waiting for the email where proposal can be shared"/>
        <s v="Proposal shared over the email"/>
        <s v="Shared the email ID and asked to share the proposal"/>
        <s v="Proposal shared on whatsapp and asked to come on Monday to meet Faizan area manager. He will let me know time on Monday."/>
        <s v="Proposal shared on whatsapp as requested."/>
        <s v="Asked to call tomorrow (19/02/2026)"/>
        <s v="Proposal Shared on whatsapp"/>
        <s v="Proposal shared over the email."/>
        <s v="Proposal shared over the email ID"/>
        <s v="Proposal shared on whatsapp (He will call me back tomorrow 19/02/2026 for the further discussion)"/>
        <s v="Very low orders on swiggy and zomato. Entire food court runs on an internal app called hunger box. (sattva.hungerbox.com) "/>
        <s v="A part of marketing team for Sattva foodcourt asked to come again on Tuesday or Wednesday next week. Hungerbox is internal app and website used to preorder and book food from food court. the app can tell about the KPT and the billing and payment is done t"/>
        <s v="Mr. Predeep will be back by Saturday. He will be available in between Lunch and Dinner "/>
        <s v="Follow Up with Mr. Santosh Reqd"/>
        <s v="Walkin required at Begumpet branch as General Manager not available due to his wedding "/>
        <s v="Same"/>
        <s v="Not in favour of Delivery, customer experience will get hampered. Said will create a smaller menu for delivery option in future. "/>
        <s v="Call Kalim"/>
        <s v="Call and visit again"/>
        <s v="After 2 weeks follow up"/>
        <s v="Need to speak with other partner for final discussion"/>
        <s v="She was not available,I need to follow up for meeting "/>
        <s v="Discussion done with one of the partner,they need to discuss and come back,i will follow up for feedback"/>
        <s v="Discussion done with one partner,need to disuss with other partner, I will follow up"/>
        <s v="During Lunch she was busy,I will follow up"/>
        <s v="Owner was not available,I spoke with him on a call tomorrow appointment fixed"/>
        <s v="Manager and owner was not available took number from front team"/>
        <s v="Discussion done,They are intrested but owner was busy to schedule"/>
        <s v="Discussion done with manager need to discuss with owner"/>
        <s v="Need to collect menu and documents "/>
        <s v="Bank details are pending  he need 1 week time"/>
        <s v="Bank details and Menu"/>
        <s v="Documents are pending "/>
        <s v="Menu is pending "/>
        <s v="Menu pending need time to send "/>
        <s v="ON BOARDING"/>
        <s v="ON BOARDED&#10;"/>
        <s v="The manager syed isn't answering calls. Wil followup up directly "/>
        <s v="He wants to check the app after launch to come to a decision. Will follow up again "/>
        <s v="Mr Ram said he will follow up after two days. Will follow up today"/>
        <s v="Their orders per day 5 , so I don't think they can be onboarded"/>
        <s v="He said he will onboard today at 12:30 pm. I will get him onboarded"/>
        <s v="He is available everyday day at 13:00 at the outlet. Will follow up and get him onboarded"/>
        <s v="I have followed up on 19th Feb but he wasn't answering calls"/>
        <s v="Meeting time isn't confirmed yet, will follow up "/>
        <s v="The outlet has just started and he doesn't have any documents yet, wil follow up "/>
        <s v="All the decisions related to aamantran are taken at rtcxroads branch"/>
        <s v="I will follow up for the availability of a different POC in the evening "/>
        <s v="The manager sunny is convinced but the owner is not coming to the outlet from 3 days"/>
        <s v="The owner is available after 8pm"/>
        <s v="The owner is available to meet everyday from 4pm-5pm"/>
        <s v="He has asked to call him at 12 to fix an appointment in the evening "/>
        <s v="I have to follow up Mahendra for his update"/>
        <s v="The. Owner is available after 8 pm"/>
        <s v="He asked to come onboard on monday"/>
        <s v="follow up waiting furthur"/>
        <s v="ONBORDED"/>
        <s v="follow up with m.d"/>
        <s v="follow up required for documents collection"/>
        <s v="need to follow ups"/>
        <s v="Meeting scheduled on friday"/>
        <s v="need to follow up"/>
        <s v="They are not on online and they are not interested "/>
        <s v="Not intrested in any online platform as of now after one month they are going to start Restaurent follow up after one month"/>
        <s v="Need to go back to get back the manager "/>
        <s v="NEED TO GO BACK AFTER 6 to meet the owner"/>
        <s v="Need to meet with poc , details not shared"/>
        <s v="Need a follow up meetings"/>
        <s v="This club is not interested in online orders as it is dining oriented"/>
        <s v="Will call Mr raju and follow up"/>
        <s v="Owner is available 10am-11am everyday "/>
        <s v="The owner Mr Imran is in Saudi and he'll return on 27th "/>
        <s v="He is looking for 12%"/>
        <s v="Discussion done with the owner need to follow up for onboarding as he is busy today "/>
        <s v="I need to follow up meeting schedule "/>
        <s v="Discussion done with manager,need to update to manager and I will follow up them"/>
        <s v="Discussion done with manager need to discuss with owner I will follow up "/>
        <s v="Discussion done with 2partners need to discuss with another partner "/>
        <s v="The owner will be available in jubliee hills branch they have 6outlets "/>
        <s v="We need to meet different POC on Monday"/>
        <s v="Meeting On Monday"/>
        <s v="Bank Details are pending"/>
        <s v="Pan Card,Menu, Bank Acount Proof Is Pending"/>
        <s v="Nenu pending "/>
        <s v="Menu pending "/>
        <s v="Owner will be available at 7pm"/>
        <s v="Owner will be available at night"/>
        <s v="contract signed"/>
        <s v="not intersted"/>
        <s v="onboarded complete"/>
        <s v="he will call us when required"/>
        <s v="onbpoarded"/>
        <s v="collect documents"/>
        <s v="documents"/>
        <s v="we need to follow up"/>
        <s v="Discussion done with manager,need to follow up"/>
        <s v="we need to follow "/>
        <s v="Discussion done with one partner and need to discuss with other partner"/>
        <s v="need to follow up to schedule into meeting"/>
        <s v="Shared proposal need to follow up in next week"/>
        <s v="all onboarding done"/>
        <s v="They have 6 outlets,main branch is in jubliee hills kbr park"/>
        <s v="Owner was not avilable,need to follow up"/>
        <s v="followup"/>
        <s v="Onboarding on monday"/>
        <s v="Explained everything to the area manager, need to speak with his team and revertback"/>
        <s v="The owner doesn't want to onboard because wants spot settlement. He is not there on other delivery platforms as. Well "/>
        <s v="Will talk to the owner at 2pm"/>
        <s v="Can meet the owner after 2pm"/>
        <s v="The owner is available after 1 pn"/>
        <s v="Owner available on Monday after 4"/>
        <s v="Owner might be available after 7 pm"/>
        <s v="All the decisions of olive mithai are taken at Hyder guda branch"/>
        <s v="Owner is available after 6pm. Will follow up "/>
        <s v="Owner available after 6pm"/>
        <s v="Owner is available after 8pm"/>
        <s v="The owner is available to meet on monday after 2pm"/>
        <s v="Poc said to come on Monday in the morning time"/>
        <s v="The owner needs to discuss with his son. Told me to follow up after 2 days"/>
        <s v="Need to prepare proposals while next meet"/>
        <s v="we need to send them the proposal"/>
        <s v="we  need to follow up"/>
        <s v="he is not intersted any online platforms"/>
        <s v="we are meeting him now"/>
        <s v="he is busy need to talk on monday"/>
        <s v="Manager is only available after 5PM"/>
        <s v="Manager told that he will discuss with owner &amp; get back to us.&#10;"/>
        <s v="Follow up required - P0 lead"/>
        <s v="Manager informed to meet after ramzan - after 3PM"/>
        <s v="They asked to share proposal through mail id "/>
        <s v="All the detailed structure discussion has to be done with HO people after they  responded to the proposal which we shared through mail"/>
        <s v="Asking to send proposal"/>
        <s v="Hello is the main marketing manager looks towards online platforms"/>
        <s v="monday"/>
        <s v="We need to prepare proposals point for them"/>
        <s v="ONBOARDED SOME DOCUMENTS LEFT TO RECEIVE"/>
        <s v="Onboarded.I didnt received all documents "/>
        <s v="for the discussion owner was not avilable need to follow up"/>
        <s v="They had payment issues before with other online platform so now they are not interested in any online platform"/>
        <s v="NOt interested in any online platyform"/>
        <s v="Owner was not avilable, need to follow up for meeting schedule"/>
        <s v="no one was for discussion didnt shared the contact details"/>
        <s v="Discussion done with manager,need to follow up for schedule meeting with owner"/>
        <s v="need to follow up to schedule meeting"/>
        <s v="Scheduled meeting on monday after 14:30"/>
        <s v="Owner was not available need to follow up"/>
        <s v="Present they are not interested, need to follow up after launch"/>
        <s v="Meeting scheduled on tuesday after 14:00"/>
        <s v="NEED TO FOLLOW UP FOR DISCUSSION"/>
        <s v="I didnt recevied all the documents yet"/>
        <s v="Discussion done with one parnter need to follow to schedule meeting with other partmer"/>
        <s v="Need to follow up for documents collection"/>
        <s v="He said he will talk to the owner and onboard "/>
        <s v="The owner will return on 25th"/>
        <s v="The manage is convinced, he agreed to onboard on Tues "/>
        <s v="We should call to the decision makers who live in nellore and talk to them. I have listed their number in the form"/>
        <s v="Mr Kousiks sister is the owner and she will be available on Monday "/>
        <s v="The owner is not interested in delivery apps"/>
        <s v="Menu and Bank details are pending"/>
        <s v="I send him the proposal ,need time to think"/>
        <s v="He want to discuss with his brother"/>
        <s v="Owner is  not available,They are not ready to give number"/>
        <s v="We need to send details in Whatsapp"/>
        <s v="Pan Card,Menu and Bank Details Are Pending"/>
        <s v="Need to follow up with the owner"/>
        <s v="Follow up with owner"/>
        <s v="Meeting with owner"/>
        <s v="Need to follow up with the owner for onboarding"/>
        <s v="Need to follow up on Next monday"/>
        <s v="Owner needs to discuss and come back"/>
        <s v="Manager will be avaialble at night"/>
        <s v="The owner will be available at 1pm everyday"/>
        <s v="The owner will be available in the evenings, will try to accomodate his appointment "/>
        <s v="The owner will be available after 7pm but they're not giving his number "/>
        <s v="Owner told to come afternoon Tomorrow"/>
        <s v="he need to discuss with owner"/>
        <s v="owner will be available in call at 5 pm"/>
        <s v="Owner was not available"/>
        <s v="He need time to discuss with his owner"/>
        <s v="Menu,Pan,Bank Details are pending"/>
        <s v="We can talk with the owner after 6 pm"/>
        <s v="After app launch he will decide"/>
        <s v="Ownee will be available tomorrow afternoon"/>
        <s v="He want to discuss with his brother who handles swiggy and zomato&#10;-If he is interested he will onboard tomorrow "/>
        <s v="Proposal email sent"/>
        <s v="He agreed to onboard, he asked me to come tomorrow at 1:00"/>
        <s v="She is the signing authority and she'll ask her husband and will follow up"/>
        <s v="Pranav didn't answer the call"/>
        <s v="I have submitted all the company related details and have forwarded parthivs number for further refery"/>
        <s v="The owner is not interested in delivery apps due to settlement times"/>
        <s v="The owner is only available after 9pm "/>
        <s v="The owner is available only in midnight "/>
        <s v="Offered 17++ for 3 years, He will get back to us by next week"/>
        <s v="not intersted "/>
        <s v="meeting after 10 am any day"/>
        <s v="meet on tuesday"/>
        <s v="onboarding completeed"/>
        <s v="New proposal with 15++ for 3 years contract sent, he will get back"/>
        <s v="Asked to meet tomorrow 24/02/2026 at 3PM"/>
        <s v="Tried calling him but he did not answer the call. POC ashish suggested to visit the corporate office between MON - FRI (11:00 - 18:00)"/>
        <s v="The headoffice is at jubliihills need to visit for discussion"/>
        <s v="The owner was not Avilable in the city,he will be back after 10days need to follow up after 10days"/>
        <s v="Owner was not available in India,he went for visiting Dubai"/>
        <s v="Owner was not available at the moment"/>
        <s v="need to follopw up for scheduling meeting"/>
        <s v="Revisited again for the feedback still they are busy with other things,they need time to get back"/>
        <s v="Appointment fixed for tomorrow for the feedback "/>
        <s v="Need to discuss with other partner"/>
        <s v="Revisited again for the feedback but owner is not available"/>
        <s v="Asked to share the proposal,shared the proposal next meeting fixed next Monday for the follow up"/>
        <s v="They are on swiggy and zomato before,they had payment issues so at present they are not interested"/>
        <s v="The owner was not available,call back at 20:00"/>
        <s v="Need to sent proposal"/>
        <s v="Store manager will be from 9:00-18:00"/>
        <s v="They have 3 outlets in hyd got business development numberhe is the descion maker"/>
        <s v="Manager was not available for discussion,I will follow up to schedule meeting "/>
        <s v="OWNER WILL BE AVAILABLE AFTER 4PM "/>
        <s v="OWNER WILL BE AVAILABLE TOMMROW"/>
        <s v="WILL BE AVAILABLE TOMMROW"/>
        <s v="ASKED TO COME TOMMROW"/>
        <s v="ASKED TO COME BY 3PM"/>
        <s v="ASKED TO COME AFTERNOON 2:45"/>
        <s v="ASKED TO COME AT TOMMROW AT 4 PM"/>
        <s v="WILL BE AVAILABLE AT 3:30 PM"/>
        <s v="Will open online after March 20 2026"/>
        <s v="Have to meet Arjun reddy for Onboarding "/>
        <s v="detailed discussion "/>
        <s v="detailed discussion"/>
        <s v="Mx told that he will get back to us "/>
        <s v="proposal sent on mail"/>
        <s v="Proposal Mail sent"/>
        <s v="Proposal sent"/>
        <s v="Meeting the GM"/>
        <s v="&#10;He is very much interested to Onboard but he want to talk with his son"/>
        <s v="In weekend he will discuss with his brother"/>
        <s v="He need 1 week time"/>
        <s v="He want to discuss with owner"/>
        <s v="Evening time they will be free"/>
        <s v="Meeting with the MD"/>
        <s v="Need Time"/>
        <s v="Owner will be available after 8 pm"/>
        <s v="This resturant is going to close"/>
        <s v="Manager will be available at night"/>
        <s v="Need to follow up tomorrow around 13:00PM, discussion done with manager"/>
        <s v="Owner was not available I will follow up to schedule meeting"/>
        <s v="Present the owner is not available,I will follow up to schedule meeting"/>
        <s v="Discussed with one partner need to discuss with other partner &#10;Appointment fixed today at 16:00Pm"/>
        <s v="tomorrow onboarding"/>
        <s v="Follow back after 2 days, they are interested"/>
        <s v="the owner is not available,I will follow up to schedule meeting"/>
        <s v="Will follow up with the owner to schedule meeting"/>
        <s v="Owner was not avilable"/>
        <s v="Meeting scheduled with owner, onboarding on 25th"/>
        <s v="Discussed one partner need to discuss with other partner"/>
        <s v="Need to follow up tomorrow around 13:00 pm"/>
        <s v="call back at 21:00 to schedule meeting"/>
        <s v="Newly opened need to follow up next week"/>
        <s v="&#10;He said i will pass the information to MD and let you now after 1 day"/>
        <s v="Need to visit after the launch,didntb shared the poc details"/>
        <s v="&#10;He said i will discuss with his brother and onboard tomorrow"/>
        <s v="Discussion done with manager,friday appointment fixed with MD FOR FURTHER DIScussion"/>
        <s v="N0"/>
        <s v="AFTER 3 DAYS"/>
        <s v="need discussion with his brother"/>
        <s v="Not Intrested"/>
        <s v="NOT AVAILABLE"/>
        <s v="No response from owner"/>
        <s v="Asked to meet tomorrow "/>
        <s v="She will intimate to us"/>
        <s v="Owner asked to call tomorrow "/>
        <s v="Asked to call tomorrow "/>
        <s v="Meeting will fix tomorrow "/>
        <s v="tommorow after 5.30"/>
        <s v="onboarding 2 outlets "/>
        <s v="Menu pending"/>
        <s v="tommorow onboarding "/>
        <s v="Followup for contract signing as owner isn't available in city till thursday."/>
        <s v="MEETING  AT 4 PM"/>
        <s v="ASKED TO CALL AFTER 11:45"/>
        <s v="ASKED TO MEET AFTER 5 PM&#10;"/>
        <s v="ASKED TO COME AFTER 2:45"/>
        <s v="ASKED TO COME AFTER 12:45"/>
        <s v="OWNER IS OUT OF STATION ASKED TO COMW ON FRIDAY"/>
        <s v="ASKED TO COME  TOMMROW"/>
        <s v="Detailed discussion is required"/>
        <s v="meeting with owner is required, as completed has explained on call."/>
        <s v="meeting with owner is required, as completed has explained directly."/>
        <s v="NEED TO TALK TO HIS OWNER"/>
        <s v="Manager will sent in docs to owner, follow up with owner"/>
        <s v=" Need to follow up with the owner"/>
        <s v="They have a protocol of onboarding new vendors only after the launch. However they have asked to share the proposal on email"/>
        <s v="Proposal mailed shared, he mentioned he will discuss with the higher management and schedule a google meet call by next week"/>
        <s v="Need to follow up with the owner "/>
        <s v="Asked to call on monday as he is still on leave"/>
        <s v="Mr. Raunak will connect either by today evening or tomorrow afternoon to discuss about the proposal"/>
        <s v="Follow up with the owner"/>
        <s v="Proposal email sent. awaiting for the meeting schedule"/>
        <s v="He will be scheduling the meeting on Friday. He will confirm the time tomorrow"/>
        <s v="Need to do consistent follow ups"/>
        <s v="Manager will submit proposal to owner and we need to follow up"/>
        <s v="Need to follow up with Chutney's head office"/>
        <s v="Asked to call tomorrow at 12pm and then asked to meet on Monday in madhapur branch"/>
        <s v="Asked to come after the App is launched"/>
        <s v="Proposal sent again to GM"/>
        <s v="Need some time "/>
        <s v="HAVE TO MEET ANOTHER PERSON"/>
        <s v="have to visit again"/>
        <s v="I will follow up tomorrow"/>
        <s v="discussion done with manager,i will follow to schedule meeting with owner"/>
        <s v="Manger was not available for discussion"/>
        <s v="Manager was not available for discussion"/>
        <s v="tried to reach him but unanaswearable i will follow up"/>
        <s v="DISCUSSION DONE WITH MANAGER,I WILL FOLLOW UP FOR FEEDBACK"/>
        <s v="DISCUSSION DONE WITH MANAGER GOT APPOINTMENT AFTER 10 DAYS"/>
        <s v="we need to talk about that on taaza tiffens "/>
        <s v="follow up on friday"/>
        <s v="after 1st march "/>
        <s v="onboarede"/>
        <s v="MENU &amp; BANK STATEMENT DOCS "/>
        <s v="DETAILED STRUCTURE NEEDS TO BE DISCUSSED"/>
        <s v="PROPER STRUCTURE NEEDS TO EXPLAIN"/>
        <s v="POSITIVE LEAD"/>
        <s v="FOLLOWUP REQUIRED"/>
        <s v="FOLLOW UP REQUIRED"/>
        <s v="mx said that they will get back to us after seeing the proposal"/>
        <s v="proposal has to be sent to mx, after detailed review he said he will get back to team"/>
        <s v="ASKED TO COME ON FRIDAY FOR ONBOADING "/>
        <s v="ASKED TO COME AT 12PM"/>
        <s v="OWNER ASKED TO COME AFTER 4 PM"/>
        <s v="Owner is not available asked to come back tommrow"/>
        <s v=" NA"/>
        <s v="ASKED TO MEET TOMMROW"/>
        <s v="need to collect menu &amp; bank details"/>
        <s v="Should do cold walkin again"/>
        <s v="Asked to come at 2"/>
        <s v="Asked to call on monday by 12:30PM"/>
        <s v="Tomorrow getting onboarded "/>
        <s v="Owner will be available tmr "/>
        <s v="Tmr meeting scheduled"/>
        <s v="Not responding to the calls"/>
        <s v="Asked to connect back on Monday for the meeting schedule"/>
        <s v="Mr. Faizan shared another number to connect with. tried calling on the another number but there has been no response."/>
        <s v="He has shared the proposal with the management, he will update on monday about the discussion"/>
        <s v="Owners are busy in Ramzan sale, however asked to connect back on Monday to get an update."/>
        <s v="Discussion points to be shared, waiting for Akhil to share the details "/>
        <s v="she has forwaded the mail to her higher management. They will update by 28th Feb so asked to connect back on monday"/>
        <s v="asked to call tomorrow morning after 11AM"/>
        <s v="He was on leave since 3 days and he has seen the proposal today (26th feb) he will update by tomorrow or monday"/>
        <s v="sked to call tomorrow morning after 10am for the meeting schedule"/>
        <s v="Have to speak with marketing manager - siddharth - 8121028033"/>
        <s v="They asked to share proposal over mail id."/>
        <s v="Owner will be available after 8PM"/>
        <s v="Had a word with HO manager , he asked to drop a proposal mail"/>
        <s v="not interested as of now"/>
        <s v="Manager will be available after 1 pm"/>
        <s v="meet again for referal contacts"/>
        <s v="Have a meeting on monday"/>
        <s v="Have to follow up "/>
        <s v="Followup "/>
        <s v="Discussion done with manager need to follow up to schedule meeting with owner"/>
        <s v="Discussion done with one partner need to discuss with other partner"/>
        <s v="need to follow up,"/>
        <s v="the owner was not available i will follow up to schedule meeting"/>
        <s v="the owner was not available didnt shared any details"/>
        <s v="the owner was not available"/>
        <s v="the owner was not available,need to follow up"/>
        <s v="the manager was not available for discussion"/>
        <s v="Documents Pending"/>
        <s v="Documents are pending"/>
        <s v="will ready to onboard"/>
        <s v="Owner was not available "/>
        <s v="Need to follow up after ramzan"/>
        <s v="They are not interested in any online platform "/>
        <s v="Owner was.not available "/>
        <s v="Should come back tmr "/>
        <s v="The owner was not available discussion done on the call meeting fixed today evening "/>
        <s v="Dotpay pos"/>
        <s v="Friday meet "/>
        <s v="Should come back for onboarding "/>
        <s v="The restaurant name going to change"/>
        <s v="Owner not available "/>
        <s v="Owner was not available i.will follow to schedule meeting "/>
        <s v="She need time to think"/>
        <s v="He is not interested "/>
        <s v="Tomorrow onboarding "/>
        <s v="Onboarded but need to collect menu "/>
        <s v="Onboarded need to collect menu "/>
        <s v="He told me to call at 9 pm today"/>
        <s v="Owner was. Not available "/>
        <s v="Not interested in online platform "/>
        <s v="Call nack on wed"/>
        <s v="Should call"/>
        <s v="Call after 2 days "/>
        <s v="Discussion done with one partner need to discuss with other partner "/>
        <s v="Not interested "/>
        <s v="Should come tmr"/>
        <s v="Discussion done with one partner need to discuss with other partners and they are not on any online platform "/>
        <s v="Discussion done with manager need to discuss with owner and get back us "/>
        <s v="The owner was not available,they didn't shared poc details they said they will follow up "/>
        <s v="Will onboard after app launch "/>
        <s v="No remarks "/>
        <s v="Need some time to think"/>
        <s v="Asked to send proposal"/>
        <s v="Asked to come on  wednesday"/>
        <s v="Asked to come on 4 th"/>
        <s v="Asked to meet at 7 pm"/>
        <s v="HE NEEDS TIME TO THINK "/>
        <s v="HE WILL DISCUSS WITH HIS BROTHER AND  LET US KNOW BY TOMMROW"/>
        <s v="March 10 - follow up required"/>
        <s v="They are having 3 branches.Spoke to manager &amp; explained business model.&#10;Follow up required."/>
        <s v="Have to meet tmrw - march 3rd "/>
        <s v="Spoke to owner , after detailed discussion of business model, he asked to meet him after launch with data&#10;"/>
        <s v="call back @ 7PM"/>
        <s v="call back after 7:30 PM"/>
        <s v="Decision maker will be available only on tuesday 1PM"/>
        <s v="onboarded - docs pending"/>
        <s v="They are not interested in online platforms"/>
        <s v="The owner was not in the outlet explained on the call he said he will get back "/>
        <s v="The owner was not available I will follow up to schedule meeting "/>
        <s v="Should call the owner "/>
        <s v="The owner was not available trying to reach on call bt not available "/>
        <s v="Onboarded need to collect documents "/>
        <s v="Manager is on the leave I will follow up to schedule meeting "/>
        <s v="Manager was not available I will follow up to schedule t"/>
        <s v="Discussion done with one partner need to follow up to schedule meeting with different partner "/>
        <s v="Didn't shared poc details,owner was not available "/>
        <s v="Follow up on Thursday "/>
        <s v="Not available "/>
        <s v="They need time"/>
        <s v="Food license pending "/>
        <s v="Thursday onboarding "/>
        <s v="will be available at 1 pm"/>
        <s v="Head office is in sherlingampally &#10;We can go and talk directly"/>
        <s v="going to meet head office"/>
        <s v="OWNER IS NOT AVAILABLE AFTER 8 ON THURSDAY"/>
        <s v="HAVE TO REACHOUT TO HEAD OFFICE "/>
        <s v="Owner will onboard on thursday"/>
        <s v="Owner not available today asked to come on friday"/>
        <s v="Owner will discuss with brother and get back on thursday"/>
        <s v="nz"/>
        <s v="ns"/>
        <s v="onboareded"/>
        <s v="done onboarded"/>
        <s v="done with onboarded"/>
        <s v="Onboarded food licence certificate pending "/>
        <s v="Needto follow up "/>
        <s v="Need to eup"/>
        <s v="They are not any platform and not interested in any online form "/>
        <s v="Need to follow up "/>
        <s v="They ar not interested on online "/>
        <s v="Called to owner gave appointment at 4:30today "/>
        <s v="Sent all the required info on WhatsApp "/>
        <s v="Come after 8 in the evening "/>
        <s v="No "/>
        <s v="Didn't shared poc details need to follow up"/>
        <s v="Follow up "/>
        <s v="Need to follow up,the owner was.not a available "/>
        <s v="Need to follow up after one week"/>
        <s v="Onboarding after app launch "/>
        <s v="Need time to discuss "/>
        <s v="Manager not available "/>
        <s v="Tomorrow need to follow back "/>
        <s v="Asked to meet tomorrow"/>
        <s v="Asked to meet sunday"/>
        <s v="Will get back to us"/>
        <s v="Onboarding 6th march"/>
        <s v="Asked to visit tomorrow for on boarding"/>
        <s v="Asked to visit tomorrow "/>
        <s v="Will speak regarding platform"/>
        <s v="owner asked to come tommrow at 7 pm"/>
        <s v="will onboard at 7 pm"/>
        <s v="OWNER WILL DISCUSS WITH BROTHER AND CALL BACK TOOMROW"/>
        <s v="OWNER WILL ONBOARD AFTER APP LAUNCH"/>
        <s v="ALREADY ONBOARDED BY AKHILA"/>
        <s v="Follow up on monday at 4 pm"/>
        <s v="Owner  will be available   on monday as he is out of station"/>
        <s v="Monday Onboarding"/>
        <s v="The owner was not available,need to follow up tomorrow "/>
        <s v="Monday meeting scheduled with manager "/>
        <s v="Today at 3:30meeting scheduled "/>
        <s v="Onboarding today "/>
        <s v="I will follow up to schedule meeting "/>
        <s v="Didn't shared poc details need to revisit again "/>
        <s v="Not Intrested "/>
        <s v="Will onboard by EOD "/>
        <s v="Onaborded "/>
        <s v="Ba"/>
        <s v="Negative "/>
        <s v="Done with onaboarding"/>
        <s v="ASKED TO COME ON MONDAY"/>
        <s v="Will call us after talking to partner"/>
        <s v="OWNER ASKED TO MEET ON MONDAY"/>
        <s v="ONWER ASKED TO COME ON MONDAY"/>
        <s v="Asked to meet on monday"/>
        <s v="Will onboard"/>
        <s v="Final meeting to onboard "/>
        <s v="Meeting with different poc for Onboarding "/>
        <s v="Need discussion for commission "/>
        <s v="Have to meet manager owner not available they have few branches "/>
        <s v="Meeting with kiran that is new Restaurant "/>
        <s v="Docs collection has to be done"/>
        <s v="After 1 hour of meeting they don't want to onboard"/>
        <s v="Will see after launch"/>
        <s v="They don't want online delivery platform"/>
        <s v="Took out number and get back to us"/>
        <s v="Explained he is interested once discuss with partner and get back to us"/>
        <s v="Need to call for follow up"/>
        <s v="Will onboard after launch "/>
        <s v="He need time"/>
        <s v="Monday follow up"/>
        <s v="He need time to decide"/>
        <s v="He is interested but need time to decide"/>
        <s v="he is busy with opening new outlet"/>
        <s v="he is not interested"/>
        <s v="Follow up after 2 days"/>
        <s v="All docs collected along with menu"/>
        <s v="All docs collected"/>
        <s v="Mx will be available either in mornings or after 6PM"/>
        <s v="Spoke to HO Franchise owner,follow up required on friday."/>
        <s v="Need to speak with Marketing manager"/>
        <s v="Need to have a follow up call with Marketing manager - prithvish samanth"/>
        <s v="Parthiv has onboarded two outlets as well."/>
        <s v="Need to follow up with owner - he is out of station as of now."/>
        <s v="Everything explained to owner - he asked to get back on wednesday"/>
        <s v="Meeting done in the headoffice,the head Satish asked to share the proposal , forwarded to Charan about the details to share proposal, thursday call back to schedule meeting "/>
        <s v="The head team will be available in begumpet office in pullareddy building scheduled meeting on thursday "/>
        <s v="Spoke with general manager,he will discuss with the headoffice team,follow back for the feedback "/>
        <s v="Discussion done with the manager,need to discuss with MD,asked us to share on proposal nd asked Charan to share on WhatsApp,follow back to schedule meeting "/>
        <s v="Spoke with the owner on the call,he said they are going to handover to the 3rd party so that they neeed time "/>
        <s v="Follow up required after 2days "/>
        <s v="Need to follow up after 2 days "/>
        <s v="Need to provide them proposal data"/>
        <s v="Need to send proposal and arrange meeting "/>
        <s v="Hello will call us"/>
        <s v="Get back to us"/>
        <s v="Discussion done with 16% but the partners are asking inclusive of all 16%"/>
        <s v="Onborded "/>
        <s v="Revisited again for the feedback but the partner was not available "/>
        <s v="For the discussion no one was available "/>
        <s v="Revisited again for the feedback but the owner said he needs time "/>
        <s v="Mx having two outlets - KPHB Branch &amp; Nizampet"/>
        <s v="mx not available, follow up required."/>
        <s v="Mx is least interested - need to approach after launch."/>
        <s v="have a word with owner mr.shiva, follow up required "/>
        <s v="need to meet them on friday"/>
        <s v="Owner will be available after 7pm"/>
        <s v="owner will be available tmrw after 6PM"/>
        <s v="thursday 10 AM"/>
        <s v="follow up required , need to talk with mx after 15 days"/>
        <s v="meet tmrw"/>
        <s v="He is not interested at all "/>
        <s v="Reach to head office "/>
        <s v="Onaborded"/>
        <s v="They will onboard after app launch "/>
        <s v="Head office "/>
        <s v="Need to talk in head office "/>
        <s v="Talked with manager "/>
        <s v="We have spent 5 hours for 4 partners meeting finally they said after app launch "/>
        <s v="They will reach after app launch "/>
        <s v="Directly mail "/>
        <s v="Thursday arranged meet "/>
        <s v="Sent email "/>
        <s v=" Talked with Manger "/>
        <s v="We are not interested come with numbers "/>
        <s v="Come with numbers "/>
        <s v="He need to sign the documents "/>
        <s v="Not lifting calls "/>
        <s v="We need to send the email "/>
        <s v="She will onboard "/>
        <s v="Call after 6 pm she will be available I have talked with manager "/>
        <s v="He is busy in this tym after 6 "/>
        <s v="She is busy she said I will call "/>
        <s v="We need send proposal as owner will be on Mumbai "/>
        <s v="We need to send proposal "/>
        <s v="They are busy dealing Gas issues, asked to come back later once the issue is solved, they said they will call later"/>
        <s v="They are facing the issues of gas and oil  they are stopping even Swiggy and Zomato for few days &#10;They are getting 300 orders per day but they can’t give that much if gas is running out "/>
        <s v="They are not interested they can do it after app launch "/>
        <s v="Meet after 7 &#10;I will be going to him today "/>
        <s v="Didn't shared the POC details said to reach headoffice"/>
        <s v="Revisited again but owner was. Not available "/>
        <s v="They are under renovation of kitchen they need one month of time "/>
        <s v="The owner was out of station "/>
        <s v="Not interested at present "/>
        <s v="He needs time "/>
        <s v="They faced commision issues with other now they not active on any platform and not interested "/>
        <s v="No one was available for discussion called to reach the manager but didn't answer "/>
        <s v="Asked for a 15%including all "/>
        <s v="He needs 17%including all"/>
        <s v="Owner was not available ,he will be available only in midnights"/>
        <s v="Had the discuss with the resturant owner .he is interested but onboarding will be after app lauch"/>
        <s v="After app launch"/>
        <s v="Call back at 7:30 pm,I called her but she is not answering"/>
        <s v="They need time to discuss and decide"/>
        <s v="Onboarding on Monday at 11 am"/>
        <s v="Scheduled meet with owner tomorrow "/>
        <s v="Scheduled meet with owner tomorrow 1PM"/>
        <s v="Meet with owner "/>
        <s v="Owner will be available after 6PM everyday "/>
        <s v="After launch they asked to approach "/>
        <s v="Friday call back has to be made &amp; follow up required - positive lead"/>
        <s v="Merchant asked time to get onboarded into caps "/>
        <s v="On Monday prior call has to be made to merchant &amp; approach !"/>
        <s v="Have 4 outlets, aske to come after app launch&#10;"/>
        <s v="Follow back meetings were happened 4 times, Asked to come after app launch on the final meeting "/>
        <s v="Owner is not in the country asked to come back march ending"/>
        <s v="Owner will be available only after 8PM, already informed this to Manisha to assign someone for the meeting after 8"/>
        <s v="They have 4 outlets, has a basic intro meeting with the POC, asked to come back after app launch "/>
        <s v="It's a cloud kitchen, has good AOV and tier 2 outlet, owner asked to come after launch or with any founder member.&#10;"/>
        <s v="Has 2 outlets, tier 1 resturant, disscussion done with the operations manager, said will speak to the owner and get back , follow back calls has been made but no response "/>
        <s v="Tier 2 Resturant, wamt to onbard after the launch &#10;"/>
        <s v="Will get sign"/>
        <s v="Need to wait till gass issue solved"/>
        <s v="Will get back to us after lpg issue"/>
        <s v="Will get back to us after lpg issue of ater one week we need to followup"/>
        <s v="Asked us to reach out after one week "/>
        <s v="All docs collected - dine in menu collected."/>
        <s v="Today onboarding "/>
        <s v="17/03/26 onabording today "/>
        <s v="Not interested directly from owner "/>
        <s v="Direct no from owner "/>
        <s v="Hari dosa I need to talk  with owner "/>
        <s v="At the moment owner was busy meeting fixed on Monday "/>
        <s v="The owner was out of station need to follow up on Monday "/>
        <s v="The owner was not available will visit in the evng again"/>
        <s v="Owner was not available I will follow to schedule meeting "/>
        <s v="Due to lpg issue,he needs time to sort the issue then follow back "/>
        <s v="Present owner was not available scheduled meeting in the evening "/>
        <s v="Meeting scheduled tomorrow at 12:00"/>
        <s v="Needs time the proposal shared, revisited for the follow back "/>
        <s v="Need to share proposal then he get back "/>
        <s v="Has to meet owner "/>
        <s v="Has to talk with marketing head Ms.kajal"/>
        <s v="Visited jubilee hills branch, spoke to res manager,they are having 3 outlets &amp; GM will be available tomorrow after 1:30PM,haven't provided the contact info"/>
        <s v="Ms.Chinmai is the decision maker &amp; she will be available on saturday"/>
        <s v="shambav - 9949305533 owner will be available after 5PM"/>
        <s v="Follow up required | had a chat over call with owner - asked to meet on monday"/>
        <s v="they said &quot;will get back to you&quot;"/>
        <s v="wednesday onboarding the restaurant"/>
        <s v="Have spoken with CEO of lassi story | TR negotiations are happening"/>
        <s v="Bank details pending - Onboarded"/>
        <s v="Need to explain all about caps with manager &amp; he will be available after 1pm"/>
        <s v="onboarding will be done - wednesday 18th march"/>
        <s v="Owner name raghu &amp; he will be available on wednesday morning 10:30 "/>
        <s v="Friday onboarding"/>
        <s v="after one week , owner will be available."/>
        <s v="Friday meet - 20th march"/>
        <s v="OWNER WILL BE AVAILABLE ON FRIDAY"/>
        <s v="Owner is not available as he is out of station asked to come back on friday "/>
        <s v="Ask  to visit again later as your currently facing LPG issue"/>
        <s v="Owner will be available tommrow after 3 pm"/>
        <s v="Owner is not followed up with the owner he asked to come tommrow"/>
        <s v="Owner  is in banglore asked to call on monday so that he will be available in madhapur branch &#10;They own 2 more restaurants"/>
        <s v="After lpg issue "/>
        <s v="After sortout of lpg issue will onboard "/>
        <s v="Revisited again manager was not available nd didn't shared the POC"/>
        <s v="Discussion done with manager he said to share proposal I will share proposal today "/>
        <s v="Manager was not available and he is leave for 5days,after 5days I will follow up "/>
        <s v="Discussion done with owner on call,he will send the documents in the evng will onboard "/>
        <s v="Discussion done asking for 10++ ,follow up on Saturday "/>
        <s v="Discussion done with owner need to share proposal expecting for 15%"/>
        <s v="Doing 9%on Swiggy expecting less then them,need to share proposal "/>
        <s v="Discussion done with one partner,spoke on call with another partner,I will share the proposal today "/>
        <s v="The POC was not available for discussion "/>
        <s v="Monday follow back "/>
        <s v="No one was available for the feedback,revisited,he said call back on Monday "/>
        <s v="Call back tomorrow to schedule meeting "/>
        <s v="Monday call back to schedule meeting"/>
        <s v="Monday call back "/>
      </sharedItems>
    </cacheField>
    <cacheField name="Follow Up Meeting Required?" numFmtId="0">
      <sharedItems containsBlank="1">
        <m/>
        <s v="Yes"/>
        <s v="No"/>
      </sharedItems>
    </cacheField>
    <cacheField name="Meeting agenda for follow up" numFmtId="0">
      <sharedItems containsBlank="1">
        <m/>
        <s v="Document Collection"/>
        <s v="Contract Signing"/>
        <s v="Need to receive some of the documents"/>
        <s v="Onboarding done."/>
        <s v="Met the front office team,"/>
        <s v="To explain about our platform"/>
        <s v="Manager need to discuss with owner and he will get up to us,but I will follow up."/>
        <s v="Owner was busy during lunch and he said to follow up on monday"/>
        <s v="Meeting with different POC"/>
        <s v="NA"/>
        <s v="Negotiation"/>
        <s v="Introduction"/>
        <s v="Onboarded "/>
        <s v="Meeting with owner"/>
        <s v="They are not interested right now due to losses by Swiggy and zomato"/>
        <s v="After App launch "/>
        <s v="After App lauch"/>
        <s v="MENU COLLECTION"/>
        <s v="Onboarding "/>
        <s v="I am following up  as he said he'll convey the msg to his owners"/>
        <s v="He asked for two days time regarding the decision "/>
        <s v="The receptionist asked me to call tomorrow at 11am for checking the availability of the owner"/>
        <s v="He has asked for time regarding the decision but he is interested "/>
        <s v="They have agreed for onboarding on next Monday "/>
        <s v="Onboarding"/>
        <s v="Onboarding discussion "/>
        <s v="Proposal Discussion"/>
        <s v="I have followed up on 18th Feb and he wants to check the app after launch to come to a decision "/>
        <s v="contract signed"/>
        <s v="Call nellore which the decision making place"/>
        <s v="follow up"/>
        <s v="Menu collection "/>
        <s v="Food licence certificate "/>
        <s v="Onboarded"/>
        <s v="Everything explained to owner - he asked to get back on wednesday"/>
        <s v="Mx is least interested."/>
      </sharedItems>
    </cacheField>
    <cacheField name="Points to be prepared" numFmtId="0">
      <sharedItems containsBlank="1">
        <m/>
        <s v="KBUHIH"/>
        <s v="NA"/>
        <s v="interface about the AAP"/>
        <s v="Comiision"/>
        <s v="documents collection"/>
        <s v="commissions &amp; documents signs"/>
        <s v="Commissions, documents collections, Competrtiors"/>
        <s v="commissions, demo"/>
        <s v="Meetings are with HOD's at minerva group of hotels"/>
        <s v="Need discuss how are Planning the things What our Vision from merchant Pointnof View"/>
        <s v="Commisions "/>
        <s v="Commisions"/>
        <s v="We need to share the proposal "/>
        <s v="asked for Propsal and Comission I have Pitched is 20++,need to call him tmrw eveng fro Scduling the meeting"/>
        <s v="Intro meeting need dicuss regarding Commision for all branches"/>
        <s v="20++ Comission we Sait it"/>
        <s v="Intro meeting"/>
        <s v="Same Poc Who is for CreamStone"/>
        <s v="need to call him after 2 pm today"/>
        <s v="Intro meetng we Visted the Outelt Yesterday"/>
        <s v="We need to approach Marketing team"/>
        <s v="Toscano  POC-Bala(Manager) 9986998503  Owners will be in Bangalore  They are exclusive on swiggy and zomato,Before they have tried other food delivery platforms but they got more negative feedback so once launch is done,depending on the marketing the mana"/>
        <s v="we need to colect the documents"/>
        <s v="He will talk with Marketing Team and let us know "/>
        <s v="Manager will be available after 7 pm"/>
        <s v="POC-Ali Firoz 9769343996 Discussed with manager,he is interested but he need the proposal to sent on email with clear points about our platform and commissions and the offers.so that he can discuss with his higher officials for approval. AOV-2000-5000+ La"/>
        <s v="We need contact with Marketing team"/>
        <s v="In Tolichowki tha manager will be there"/>
        <s v="It has 35outlets and manager will be available after 19:00pm in outlet "/>
        <s v="Owner will be available after 21:00Pm in the restaurant(Kondapur)"/>
        <s v="She want to discuss with Owner"/>
        <s v="HE IS OUT OF STATIOIN"/>
        <s v="ASKED TO VISIT ATTAPUR HEAD OFFICE "/>
        <s v="OWNER IS NOT AVAILABLE "/>
        <s v="OWNER WILL BE AVAILABLE AT 11 PM EVENING"/>
        <s v="Manager will be available in the evng after 19:00PM"/>
        <s v="Ready for Onboarding but need time"/>
        <s v="OWNER WILL BE AVAILABLE AT 11 PM IN EVENIING"/>
        <s v="If he interested he will contact us"/>
        <s v="owner want to discuss with his brother,I will follow up"/>
        <s v="He need check with partner,follow up tomorrow after 18:00"/>
        <s v="Manager is on the leave,follow up after 2 days"/>
        <s v="Owner will be available in the evening,I will follow up for meeting"/>
        <s v="Discussed with the manager,got the details of the owner,available to take calls in the evening,I will follow up"/>
        <s v="Discussion done with manager,Owners will  be available after 20:00Pm"/>
        <s v="owners is busy and he is not coming to restaurent,call back after 4 days for schedling meeting"/>
        <s v="Follow up,manager will discuss with owner"/>
        <s v="Follow up,owner is out of station will be back after one week"/>
        <s v="need to follow up"/>
        <s v="discussion done with the manager,got the details of the owner,follow up"/>
        <s v="Owner will be available after 3 days"/>
        <s v="OWNER NOT AVAILABLE"/>
        <s v="OWNER WILL TALK TO THE PARTNER AND LET US KNOW"/>
        <s v="Owner asked to visit on friday as he is not available today and tommrow"/>
        <s v="OWNER IS NOT AVAILABLE HE COME AFTER 9 PM"/>
        <s v="need to discuss regarding Commision Part, as the other Platforms Were giving 9++ Comission"/>
        <s v="21++ I Want to Pitch"/>
        <s v="HIS SON IS THE SIGNING AUTHORITY"/>
        <s v="Manager is not available got the contact details from the supervisor "/>
        <s v="Commission I need to discuss "/>
        <s v="Manager is not available,when I visited the cafe got the contact details,I will follow up"/>
        <s v="Manager will be available after 5 in the restaurant "/>
        <s v="Need to discuss about the restaurant how the other Platforms Were doing "/>
        <s v="19++"/>
        <s v="Manager is not available,will be available after 18:00pm"/>
        <s v="They are 4 partners,discussion done with one partner  need to discuss with other partners,200-400 average orders per day in online platforms"/>
        <s v="Manager is not available"/>
        <s v="WE EXPLAINED EVERY THING WE NEED TO COLLECT DOCUMENTS ON MONDAY"/>
        <s v="Manager will be available after 19:00"/>
        <s v="Owner will be available after 18th of these month"/>
        <s v="No"/>
        <s v="ASKED TO COME ON MONDAY"/>
        <s v="Not in any online platform we have explain every thing but not interested as of now will contact if interested"/>
        <s v="HE WILL BE AVAILABLE TOMMROW AT 12 IN THE MORNING"/>
        <s v="Need to Close him for 15 ++"/>
        <s v="TOMMROW  AFTER 3 PM"/>
        <s v="MANAGER WILL BE AVAILABLE AFTER 5"/>
        <s v="Spoke with manager on the call,gave appointment on Monday"/>
        <s v="Monday will be available "/>
        <s v="Need to contact kolkata branch for descion "/>
        <s v="Monday meeting scheduled "/>
        <s v="Area head is responsible for descion making,she said she will pass the info I will follow up her "/>
        <s v="Manager need to discuss with owner "/>
        <s v="AFTER 3 PM OWNER WILL BE AVAILABLE "/>
        <s v="Owner  will be available after7"/>
        <s v="He will give the documents after app lauch"/>
        <s v="WILL ONBOARD ON MONDAY"/>
        <s v="WILL ON BOARD ON MONDAY "/>
        <s v="Owner will be available on monday at 11 am"/>
        <s v="Will onborad at 6 pm"/>
        <s v="15++ all restaurants"/>
        <s v="Already I came and discussed With Manager"/>
        <s v="OWNER WILL BE AVAILABLE  AFTER 8"/>
        <s v="ASKED TO COME 5 PM"/>
        <s v="Intrested to Onboard"/>
        <s v="Call Mr. Kishan "/>
        <s v="Call and meet Mr. Gaffar"/>
        <s v="Connect to call centre and fix meeting with area manager"/>
        <s v="CAll Mr. Gopi"/>
        <s v="Call Mr. Prajitesh"/>
        <s v="Call Mr. Mahendra"/>
        <s v="Call Mr. Sanjeev"/>
        <s v="Call Mr. Sri Nivas"/>
        <s v="Call Mr Amar"/>
        <s v="Call Mr. KSN Murhi"/>
        <s v="Call Mr. Umar"/>
        <s v="Call Mr. Vamsi and share proposal on mail"/>
        <s v="Call Mr. Ameer"/>
        <s v="Call Mr. Laxman"/>
        <s v="Meet Mr, Pasha post 4 pm on Wednesday"/>
        <s v="Call Mr. Suraj"/>
        <s v="Message Mr. Reeshav get appointment, share proposal on Email"/>
        <s v="1 day time"/>
        <s v="Proposal Disucssion"/>
        <s v="Proposal"/>
        <s v="Proposal Discussion"/>
        <s v="Interested in delivery, not getting orders from Swiggy"/>
        <s v="Research about the hungerbox app (call before meeting)"/>
        <s v="Need to follow up at Begumpet branch"/>
        <s v="Need to meet Mr. Bala contact details not shared by Sai Ram"/>
        <s v="Send Proposal"/>
        <s v="Call Mr. Kalim"/>
        <s v="Call Mr.Akshay"/>
        <s v="ASKED TO COME ON FRIDAY"/>
        <s v="ASKED TO COLLECT DOCUMENTS ON MONDAY"/>
        <s v="OWNER WILL BE AVAILABLE  ON FRIDAY"/>
        <s v="OWNER WILL BE AVAILABLE AFTER 10 PM EVENING"/>
        <s v="OWNER WILL AV AILABLE AFTER 5 PM"/>
        <s v="HAVE TO TAKE GST AND EMAIL ID"/>
        <s v="Proper structure has to be explained to manager in the follow up meet"/>
        <s v="Detailed discussion needed about the structure of caps with owner "/>
        <s v="Detailed discussion with manager required as we spoke to cashier at res."/>
        <s v="details has to be discussed with owner"/>
        <s v="detailed structure discussion"/>
        <s v="All the detailed structure discussion has to be done with HO people after they are responding to the proposal which we shared through mail"/>
        <s v="OWNER WILL  BE AVAILABLE TOMMROW"/>
        <s v="OWNER WILL BE AVAILABLE TOMMROW"/>
        <s v="AVAILABLE TOMMROW"/>
        <s v="WILL BE AVAILABLE TOMMROW"/>
        <s v="ASKED TO COME TOMMROW"/>
        <s v="WILL BE AVAILABLE AFTER 12PM"/>
        <s v="ASKED TO COME TOMMROW "/>
        <s v="NOT AVAILABLE ASKED TO COME TOMROW"/>
        <s v="WILL BE AVAILABLE 4PM"/>
        <s v="ASKED TO MEET AFTER 3:30"/>
        <s v="NOT  INTERESTED"/>
        <s v="ASKED TO CALL TOMMROW "/>
        <s v="ASKED TO COME DIRECTLY AFTER 2 PM"/>
        <s v="HE WILL BE AVAILABLE TOMMROW"/>
        <s v="Negotiatiob"/>
        <s v="Proposal negotiation"/>
        <s v="ASKED TO COME  AT 12 PM"/>
        <s v="OWNER WILL ASKED TO COME AFTER 4 PM"/>
        <s v="Owner is not available asked to come back tommrow"/>
        <s v="ASKED TO MEET TOMMROW"/>
        <s v="They will get back to us regarding the onboarding "/>
        <s v="Intro"/>
        <s v="Documents "/>
        <s v="Negotiation "/>
        <s v="Explanation "/>
        <s v="Onboarding "/>
        <s v="Asked to send the proposal in email"/>
        <s v="Will be available on 4 th"/>
        <s v="Owner will be available on 4 th"/>
        <s v="Owner will be available at 7pm"/>
        <s v="HE NEEDS TIME TO THINK FOR 2 DAYS"/>
        <s v="HE WILL DISCUSS WITH HIS BROTHER AND LET US KNOW"/>
        <s v="Head office is in sherlingampally  We can go and talk directly"/>
        <s v="Owner not available today asked to come on friday"/>
        <s v="Owner will discuss with brother and get back on thursday"/>
        <s v="owner asked to come tommrow"/>
        <s v="will onboard at 7 pm"/>
        <s v="OWNER WILL DISCUSS WITH BROTHER AND CALL BACK TOOMROW"/>
        <s v="OWNER WILL ONBARD AFTER APP LAUNCH"/>
        <s v="ALREADY ONBOARDED BY AKHILA"/>
        <s v="OWNER WILL BE AVAILABLE ON MONDAY"/>
        <s v="Owner  will be available   on monday as he is out of station"/>
        <s v="MENU"/>
        <s v="FORMENU"/>
        <s v="OWNER ASKED TO MEET ON MONDAY"/>
        <s v="ONWER ASKED TO COME ON MONDAY"/>
        <s v="ASKED TO COEM COLLECT DOCUMENTS ON MONDAY"/>
        <s v="Owner will be available tomorrow only afternoons 12-1PM !!! Res manager hasn’t shared any details "/>
        <s v="Meet with owner "/>
        <s v="Have spoken with CEO of lassi story | TR negotiations are happening"/>
      </sharedItems>
    </cacheField>
    <cacheField name="Meeting Date" numFmtId="0">
      <sharedItems containsDate="1" containsString="0" containsBlank="1">
        <m/>
        <d v="1996-02-03T00:00:00Z"/>
        <d v="2026-02-04T00:00:00Z"/>
        <d v="2026-02-03T00:00:00Z"/>
        <d v="2026-02-06T00:00:00Z"/>
        <d v="2026-02-09T00:00:00Z"/>
        <d v="2026-02-10T00:00:00Z"/>
        <d v="2026-02-16T00:00:00Z"/>
        <d v="2026-02-11T00:00:00Z"/>
        <d v="2026-03-01T00:00:00Z"/>
        <d v="2026-02-08T00:00:00Z"/>
        <d v="2026-02-12T00:00:00Z"/>
        <d v="2026-02-13T00:00:00Z"/>
        <d v="2026-02-20T00:00:00Z"/>
        <d v="2026-02-14T00:00:00Z"/>
        <d v="2026-02-17T00:00:00Z"/>
        <d v="2026-02-21T00:00:00Z"/>
        <d v="2026-02-15T00:00:00Z"/>
        <d v="2026-02-18T00:00:00Z"/>
        <d v="2026-02-25T00:00:00Z"/>
        <d v="2026-02-19T00:00:00Z"/>
        <d v="2026-02-23T00:00:00Z"/>
        <d v="2026-02-24T00:00:00Z"/>
        <d v="2026-02-22T00:00:00Z"/>
        <d v="2026-02-28T00:00:00Z"/>
        <d v="2026-03-28T00:00:00Z"/>
        <d v="2026-02-26T00:00:00Z"/>
        <d v="2026-03-02T00:00:00Z"/>
        <d v="2026-02-27T00:00:00Z"/>
        <d v="2026-03-20T00:00:00Z"/>
        <d v="2026-02-02T00:00:00Z"/>
        <d v="2026-03-03T00:00:00Z"/>
        <d v="2026-03-04T00:00:00Z"/>
        <d v="2026-03-05T00:00:00Z"/>
        <d v="2026-03-06T00:00:00Z"/>
        <d v="2026-03-08T00:00:00Z"/>
        <d v="2026-03-07T00:00:00Z"/>
        <d v="2026-03-09T00:00:00Z"/>
        <d v="2026-03-10T00:00:00Z"/>
        <d v="2026-03-12T00:00:00Z"/>
        <d v="2026-03-13T00:00:00Z"/>
        <d v="2026-03-11T00:00:00Z"/>
        <d v="2026-03-25T00:00:00Z"/>
        <d v="2026-03-16T00:00:00Z"/>
        <d v="2026-03-23T00:00:00Z"/>
        <d v="2026-03-18T00:00:00Z"/>
        <d v="2026-03-21T00:00:00Z"/>
        <d v="2026-03-24T00:00:00Z"/>
      </sharedItems>
    </cacheField>
    <cacheField name="Meeting Time" numFmtId="0">
      <sharedItems containsDate="1" containsString="0" containsBlank="1">
        <m/>
        <d v="1899-12-30T10:11:00Z"/>
        <d v="1899-12-30T11:00:00Z"/>
        <d v="1899-12-30T20:20:00Z"/>
        <d v="1899-12-30T05:45:00Z"/>
        <d v="1899-12-30T15:00:00Z"/>
        <d v="1899-12-30T14:00:00Z"/>
        <d v="1899-12-30T13:00:00Z"/>
        <d v="1899-12-30T16:00:00Z"/>
        <d v="1899-12-30T12:00:00Z"/>
        <d v="1899-12-30T19:00:00Z"/>
        <d v="1899-12-30T13:30:00Z"/>
        <d v="1899-12-30T11:30:00Z"/>
        <d v="1899-12-30T12:30:00Z"/>
        <d v="1899-12-30T09:30:00Z"/>
        <d v="1899-12-30T17:00:00Z"/>
        <d v="1899-12-30T18:00:00Z"/>
        <d v="1899-12-30T03:00:00Z"/>
        <d v="1899-12-30T15:30:00Z"/>
        <d v="1899-12-30T10:00:00Z"/>
        <d v="1899-12-30T10:30:00Z"/>
        <d v="1899-12-30T14:30:00Z"/>
        <d v="1899-12-30T06:30:00Z"/>
        <d v="1899-12-30T03:30:00Z"/>
        <d v="1899-12-30T04:30:00Z"/>
        <d v="1899-12-30T20:30:00Z"/>
        <d v="1899-12-30T17:30:00Z"/>
        <d v="1899-12-30T02:00:00Z"/>
        <d v="1899-12-30T13:45:00Z"/>
        <d v="1899-12-30T20:00:00Z"/>
        <d v="1899-12-30T02:30:00Z"/>
        <d v="1899-12-30T06:00:00Z"/>
        <d v="1899-12-30T13:55:00Z"/>
        <d v="1899-12-30T01:30:00Z"/>
        <d v="1899-12-30T05:00:00Z"/>
        <d v="1899-12-30T07:30:00Z"/>
        <d v="1899-12-30T16:30:00Z"/>
        <d v="1899-12-30T12:20:00Z"/>
        <d v="1899-12-30T04:50:00Z"/>
        <d v="1899-12-30T17:29:00Z"/>
        <d v="1899-12-30T17:15:00Z"/>
        <d v="1899-12-30T11:22:00Z"/>
        <d v="1899-12-30T11:45:00Z"/>
        <d v="1899-12-30T14:45:00Z"/>
        <d v="1899-12-30T16:50:00Z"/>
        <d v="1899-12-30T22:00:00Z"/>
        <d v="1899-12-30T09:50:00Z"/>
        <d v="1899-12-30T05:50:00Z"/>
        <d v="1899-12-30T04:00:00Z"/>
        <d v="1899-12-30T01:00:00Z"/>
        <d v="1899-12-30T12:45:00Z"/>
        <d v="1899-12-30T02:45:00Z"/>
        <d v="1899-12-30T04:55:00Z"/>
        <d v="1899-12-30T07:00:00Z"/>
        <d v="1899-12-30T12:23:00Z"/>
        <d v="1899-12-30T14:40:00Z"/>
        <d v="1899-12-30T14:47:00Z"/>
        <d v="1899-12-30T16:45:00Z"/>
      </sharedItems>
    </cacheField>
    <cacheField name="Email address" numFmtId="0">
      <sharedItems containsBlank="1">
        <m/>
        <s v="TEST"/>
        <s v="manasa.chigurupati@capsdelivery.com"/>
        <s v="sumadhur.mummadi@capsdelivery.com"/>
        <s v="chanakya.inugala@capsdelivery.com"/>
        <s v="parthive.maganti@capsdelivery.com"/>
        <s v="moin.khan@capsdelivery.com"/>
        <s v="nitya.akshara@capsdelivery.com"/>
        <s v="greeshma.vanneldas@capsdelivery.com"/>
        <s v="ankitha.baske@capsdelivery.com"/>
        <s v="akhila.narra@capsdelivery.com"/>
        <s v="madhumitha.sonnakula@capsdelivery.com"/>
        <s v="amit.kaler@capsdelivery.com"/>
        <s v="Manisha Kumari"/>
        <s v="manisha.kumari@capsdelivery.com"/>
        <s v="anisha.poddar@capsdelivery.com"/>
        <s v="srivani.reddy@capsdelivery.com"/>
      </sharedItems>
    </cacheField>
    <cacheField name="Cold Walk/ Scheduled" numFmtId="0">
      <sharedItems containsBlank="1">
        <m/>
        <s v="Cold Walk-in"/>
        <s v="Scheduled"/>
      </sharedItems>
    </cacheField>
    <cacheField name="POC Available" numFmtId="0">
      <sharedItems containsBlank="1">
        <m/>
        <s v="Yes"/>
        <s v="No"/>
      </sharedItems>
    </cacheField>
    <cacheField name="Manager Name" numFmtId="0">
      <sharedItems containsBlank="1">
        <m/>
        <s v="SURYAKANTHAM MILTARY HOTEL"/>
      </sharedItems>
    </cacheField>
    <cacheField name="Manager Contact Details" numFmtId="0">
      <sharedItems containsString="0" containsBlank="1">
        <m/>
      </sharedItems>
    </cacheField>
    <cacheField name="Manager Email ID" numFmtId="0">
      <sharedItems containsString="0" containsBlank="1">
        <m/>
      </sharedItems>
    </cacheField>
    <cacheField name="Manager Contact Number" numFmtId="0">
      <sharedItems containsString="0" containsBlank="1" containsNumber="1" containsInteger="1">
        <m/>
        <n v="8.979923649E9"/>
      </sharedItems>
    </cacheField>
    <cacheField name="manager email id2" numFmtId="0">
      <sharedItems containsBlank="1">
        <m/>
        <s v="suryakanthammiltaryhotel@gmail.com"/>
      </sharedItems>
    </cacheField>
    <cacheField name="Caps Magin %" numFmtId="0">
      <sharedItems containsString="0" containsBlank="1" containsNumber="1">
        <m/>
        <n v="22.0"/>
        <n v="19.0"/>
        <n v="17.0"/>
        <n v="15.0"/>
        <n v="0.22"/>
        <n v="12.0"/>
        <n v="20.0"/>
        <n v="0.19"/>
        <n v="18.0"/>
        <n v="0.15"/>
        <n v="23.0"/>
        <n v="26.0"/>
        <n v="0.23"/>
        <n v="21.0"/>
      </sharedItems>
    </cacheField>
    <cacheField name="Additional 2% Distance Margin " numFmtId="0">
      <sharedItems containsBlank="1">
        <m/>
        <s v="No"/>
        <s v="Yes"/>
      </sharedItems>
    </cacheField>
    <cacheField name="Restaurant Open Time" numFmtId="0">
      <sharedItems containsDate="1" containsString="0" containsBlank="1">
        <m/>
        <d v="1899-12-30T11:00:00Z"/>
        <d v="1899-12-30T10:00:00Z"/>
        <d v="1899-12-30T11:30:00Z"/>
        <d v="1899-12-30T05:00:00Z"/>
        <d v="1899-12-30T08:00:00Z"/>
        <d v="1899-12-30T12:00:00Z"/>
        <d v="1899-12-30T09:00:00Z"/>
        <d v="1899-12-30T07:00:00Z"/>
        <d v="1899-12-30T13:00:00Z"/>
        <d v="1899-12-30T02:00:00Z"/>
        <d v="1899-12-30T00:00:00Z"/>
        <d v="1899-12-30T12:30:00Z"/>
        <d v="1899-12-30T07:30:00Z"/>
        <d v="1899-12-30T07:50:00Z"/>
        <d v="1899-12-30T03:00:00Z"/>
        <d v="1899-12-30T14:00:00Z"/>
      </sharedItems>
    </cacheField>
    <cacheField name="Restaurant Close Time" numFmtId="0">
      <sharedItems containsDate="1" containsString="0" containsBlank="1">
        <m/>
        <d v="1899-12-30T00:00:00Z"/>
        <d v="1899-12-30T22:00:00Z"/>
        <d v="1899-12-30T17:00:00Z"/>
        <d v="1899-12-30T23:00:00Z"/>
        <d v="1899-12-30T00:30:00Z"/>
        <d v="1899-12-30T23:59:00Z"/>
        <d v="1899-12-30T01:00:00Z"/>
        <d v="1899-12-30T11:30:00Z"/>
        <d v="1899-12-30T11:00:00Z"/>
        <d v="1899-12-30T21:20:00Z"/>
        <d v="1899-12-30T20:30:00Z"/>
        <d v="1899-12-30T10:40:00Z"/>
        <d v="1899-12-30T23:30:00Z"/>
        <d v="1899-12-30T12:00:00Z"/>
        <d v="1899-12-30T22:30:00Z"/>
        <d v="1899-12-30T23:50:00Z"/>
        <d v="1899-12-30T23:25:00Z"/>
        <d v="1899-12-30T03:00:00Z"/>
      </sharedItems>
    </cacheField>
    <cacheField name="Daily Online Orders">
      <sharedItems containsBlank="1" containsMixedTypes="1" containsNumber="1" containsInteger="1">
        <m/>
        <n v="60.0"/>
        <n v="40.0"/>
        <s v="50-60"/>
        <n v="20.0"/>
        <n v="30.0"/>
        <n v="0.0"/>
        <n v="50.0"/>
        <n v="70.0"/>
        <n v="10.0"/>
        <n v="80.0"/>
        <s v="20-30"/>
        <n v="25.0"/>
        <s v="NA"/>
        <s v="30-50"/>
        <n v="90.0"/>
        <n v="150.0"/>
        <n v="300.0"/>
        <n v="200.0"/>
        <n v="20000.0"/>
        <s v="New to online "/>
        <n v="100.0"/>
        <n v="35.0"/>
        <n v="15.0"/>
        <n v="1.0"/>
        <n v="22.0"/>
        <s v="200++"/>
        <n v="3.0"/>
        <s v="30-40"/>
        <s v="40+"/>
        <s v="50+"/>
        <n v="85.0"/>
        <n v="2.0"/>
        <n v="5.0"/>
        <n v="45.0"/>
        <n v="55.0"/>
        <n v="120.0"/>
        <n v="50000.0"/>
        <s v="60-70"/>
        <n v="75.0"/>
        <s v="100+"/>
        <s v="20+"/>
      </sharedItems>
    </cacheField>
    <cacheField name="Restaurant Address" numFmtId="0">
      <sharedItems containsBlank="1">
        <m/>
        <s v="SHOP PREMISES BEARING PLOT NO 86,KHANMET,AYYAPPA SOCIETY,RANGA REDDY DIST"/>
        <s v="S.No: 8-3-944/11/2, Ameerpet Main Road,Beside Ramraj Cotton, Ameerpet, Hyderabad, Telangana 500073"/>
        <s v="somajiguda"/>
        <s v="Lane, opposite to Reliance smart bazaar, Sri Ganesh Nagar, Punjagutta Officers Colony, Ameerpet, Hyderabad, Telangana 500082"/>
        <s v="Kukatpally "/>
        <s v="FLAT NO-5 (FIRST FLOOR), BLOCK NO-6, MUNICIPAL NO-15-31-21-6/5,KPHB COLONY, , Moosapet Circle No 23, Hyderabad, Telangana - 500072"/>
        <s v="17,18/G-2, Sri Sai Arcade, Shop No 7, 1-455/16, Mytrivanam Road, Ameerpet, Hyderabad, Telangana 500016"/>
        <s v="First floor, 6-3-902/3, Raj Bhavan Rd, beside Pratul Honda, Durga Nagar Colony, Somajiguda, Hyderabad, Telangana 500082"/>
        <s v="Jsr mall vidia colony madeenaguda near alywn x road miyapur 500050"/>
        <s v="1-55/196&amp; 199A botanical garden road serlingampally circle 20 "/>
        <s v="Syno 274(p) aparna hill park commercial building chandanagar"/>
        <s v="LUCKY RESTAURANT [somajiguda]"/>
        <s v="Shutter no 3 plot no2A sy no 12 Kondapur serlingampally circle no 20 Hyderabad 500084"/>
        <s v="Plot to a Whitefield Kondapur circle number 20 Hyderabad"/>
        <s v="Hno 27-3/26 siva sai nagar 11 bairaguda hyd"/>
        <s v="0, PLOT NO 9, 0 0, ShivBagh, Balkampet, Hyderabad, Telangana 500016"/>
        <s v="1, Satyam Theatre Rd, opp. ad it ya trade center center, Kumar Basti, Srinivasa Nagar, Ameerpet, Hyderabad, Telangana 500038"/>
        <s v="Ameerpet "/>
        <s v="Sai Nath Enclave, Block F2,Gokul Plots, Venkataramana Colony, K P H B Phase 9, Hafeezpet, Hyderabad, Telangana 500085"/>
        <s v="Moosapet "/>
        <s v="H.no-33-A,APHB colony,Indira nagar,Gachibowli,500032"/>
        <s v="uilding No./Flat No.: H No. 8-3-222/C/1/12 Road/Street: Madhura Nagar Nearby Landmark: PILLAR NO. C1467 City/Town/Village: Hyderabad District: Hyderabad State: Telangana PIN Code: 500045"/>
        <s v="1-98/90/24, Ayyappa Society Main Rd, opp. IOC Petrol Pump, Megha Hills, Sri Sai Nagar, Madhapur, Hyderabad, Telangana 500081"/>
        <s v="Gate number:-4, Paramount,Colony near Amen masjid, tolichoki,Hyderabad Mehdipatnam Circle no:-12, 5000028"/>
        <s v="TWO SHUTTERS NO.1 &amp; 2, IN H.NO.8-3-  318/6/3/13/1/8, ALI NAGAR,  YELLAREDDYGUDA HYDERABAD 500073,  Yousufguda Circle No 19, Hyderabad,  Telangana - 500073"/>
        <s v="grounf floor,Hno.7-14/32/iiB,A/1 Alkapuri township,pupalaguda rajendranagar manikonda"/>
        <s v="Addagutta cooperative society, Addagutta Society, Jal Vayu Vihar, Kukatpally, Hyderabad, Telangana 500085"/>
        <s v="H.NO-8/1,IN sector-11 of Hudo techno enclave,madhapur,serlingampally,Rangareddy,500081"/>
        <s v="Mother’s Kitchen"/>
        <s v="Vindhu Maharaj"/>
        <s v="Sri Aadhya Delicious "/>
        <s v="8-3-222/8/76/G2 , Yousufguda Circle  No 19, Hyderabad, , Telangana,  500038"/>
        <s v="Shop No 8-3-22/16A &amp; 16 B/6, Kavya  Deluxe Complex, Madhuranagar, Opp  Allahabad Bank, Yosufguda, Hyderabad -  500073 , Yousufguda Circle No 19,  Hyderabad, Telangana - 500073"/>
        <s v="8-3-633/82/1 ali nagar tawwakal nagar Yella reddy,guda hyd telegana 500073"/>
        <s v="Sr nagar"/>
        <s v="Plot no: 64, Opp. HP Petrol pump, Peeramcheruv, GANDHAMGUDA, Bandlaguda Jagir, Gandipet M, Gandipet, Rangareddy,, Telangana, 500086"/>
        <s v="beside Paradise, Vinayak Nagar, Indira Nagar, Gachibowli, Hyderabad, Telangana 500032"/>
        <s v="Hafzeepet"/>
        <s v="HNO 3-3/55 TULJA BHAVANI NILAYAM VINAYAKA NAGAR COLONY BANDLAGUDA JAGIR RAJENDRA NAGER RANGA REDDY , Gandipet, Rangareddi, Telangana-500086"/>
        <s v="100, Himgiry Nagar Colony Rd, Himagiri Nagar, Shanthinagar Colony, Raghuram Nagar Colony, Hydershakote, Bandlaguda Jagir, Telangana 500091"/>
        <s v="Η NO: 1-124, KISMATHPUR, Rajendra Nagar circle No 11, Hyderabad, Telangana-500086"/>
        <s v="NO.75,76 AND 77,DWARAKA NAGAR MAIN  ROAD,OPP;RAUS SCHOOL,BANDLAGUDA  JAGIR,GANDIPET  MANDAL,R.R.DIST-500086. , Gandipet,  Rangareddy, Telangana-500086"/>
        <s v=" H.No 5-68, Shanthi Nagar, Hydershakote ,  Bandlaguda  (Jagir) , Rajendranagar,  Rangareddi, Telangana-500091"/>
        <s v="shop No-101,plot No-36,St.Mincheals  colony,Bandlaguda , Gandipet,  Rangareddy, Telangana-500086"/>
        <s v="PLOT NO- 1, DARGA KHALIJ KHAN, LV  PRASAD EYE INSTITUTE, H NO- 4, 200003,  KISMATPUR ROAD, BESIDE LVPEI ,  Gandipet, Rangareddy, Telangana-500086"/>
        <s v="SY NO . 20/AA WESTERN COLONY  GANDHAMGUDA  BANDLAGUDA  TELANGANA-500086 , Gandipet,  Rangareddy, Telangana-500086"/>
        <s v="SHOP NO:10, Abhuyudaya Nagar-Anandh  nagar colony-Himayathsagar village) ,  Gandipet, Rangareddy, Telangana-500075"/>
        <s v="Office Shop No 1 2 3 4 ,H No  5-6-69870,Bandlaguda Jagir, Rangareddy,  Telangana-500091"/>
        <s v="Hazeepet"/>
        <s v="Kukatapally"/>
        <s v="Kukatpally"/>
        <s v="Shop number 8-3-22 16A and 16b Madhura Nagar"/>
        <s v="Ccpq + hhs circle number 17 Madhura Nagar 500073"/>
        <s v="House number 2-92 / 3 shop number 4 Telangana 500084"/>
        <s v="Yousufguda circle number 19 Hyderabad Telangana 500038"/>
        <s v="Ads 3-228 / 1280 / 46, circle number 19 Hyderabad 500045"/>
        <s v="Plot number 2A SY number 12 opposite Divya Hyderabad 500084"/>
        <s v="Plot number to a dash 218-sy number 12 Kondapur 500084"/>
        <s v="Message yousufguda circle number 1950045"/>
        <s v="Shriram Nagar yusufguda Hyderabad fighter 0"/>
        <s v="Banjara hills 500034"/>
        <s v="Do number 6 s3-1192 / 1 / g / 8 White House G4 Hyderabad 5000 16"/>
        <s v="– 3 – 235 yousufguda – 500045"/>
        <s v="Yousuguda"/>
        <s v="Srinagar colony"/>
        <s v="Kothaguda Hyderabad city kabab road 500084"/>
        <s v="Kondapur circle number 20 kothaguda"/>
        <s v="Amina Pur Chandanagar selling company 5000"/>
        <s v="Kondapur kathgodha Hyderabad"/>
        <s v="Plot number to 12 Prashant Nagar Kondapur 500084"/>
        <s v="Plot number 2 12 Prashanth Nagar Kondapur 500084"/>
        <s v="Coimbatore – 41 / Prashanth Nagar"/>
        <s v="Hafeezpet "/>
        <s v="Miyapur "/>
        <s v="AAhara  Food court"/>
        <s v="NA"/>
        <s v="NAIDUS FOOD COURT"/>
        <s v="Address: LP Towers, Plot no 56, Hitech City Rd, HUDA Techno Enclave, Madhapur, Hyderabad, Telangana 500081"/>
        <s v="9CF8+63C, Langar House Rd, Bapu Nagar, Langar Houz, Hyderabad, Telangana 500008"/>
        <s v="Miyapur"/>
        <s v="Kothaguda"/>
        <s v="Kothaguda "/>
        <s v="Hitech City Hyderabad"/>
        <s v="Hitech City "/>
        <s v="Yousufguda "/>
        <s v="Hitech City Hyderabad "/>
        <s v="Kondapur Gachibowli "/>
        <s v="Madhapur Hyderabad "/>
        <s v="Madhapur"/>
        <s v="KondapurHyderabad"/>
        <s v="Hafeezpet"/>
        <s v="gate no.3, Paramount Hills, Toli Chowki, Hyderabad, Telangana 500008"/>
        <s v="H. No. 37-154/50, Somaiah Nagar, Jagathgirigutta, Medchal- Malkajgiri dist, Telangana-500037"/>
        <s v="Financial district Hyderabad fighter 500046"/>
        <s v="Financial district Hyderabad"/>
        <s v="Paruchuri Foods https://share.google/CZn9N1jw4d6sIgvVx"/>
        <s v="Kondapur Hyderabad "/>
        <s v="Moosapet hyderabad"/>
        <s v="6-6-41/2, Devi Nagar Colony, Behind Petrol  Pump, Kavadiguda , Secunderabad Circle  No.29, Hyderabad, Telangana-500003"/>
        <s v="Plot No. 202, Behind Q City Buildings,  TNGO's Colony, Financial District,  Gachibowli, Serlingampally Circle No 20,  Hyderabad, Telangana - 500032"/>
        <s v=",PLOT  NO.4/5/6,SHOP  NO.2,KISMATPUR,SHIVASAI COLONY ,  Kismatpur , Rajendranagar, Rangareddy,  Telangana-500030"/>
        <s v="SY NO. 13 AND 16, BANDLAGUDA JAGIR,  GANDIPET, RANGAREDDY, Gandipet,  Rangareddi, Telangana-500091"/>
        <s v="PLOT.NO.2, Ganesh Nagar, KISMATHPUR,  Gandipet, Rangareddy, Telangana -  500086"/>
        <s v="PL NO 13, BANDLAGUDA JAGIR,RAJENDRA NAGAR CIRCLE NO 11, HYDERABAD,TELANGANA,500086"/>
        <s v="yousufguda hyd"/>
        <s v="YOUSUFGUDA"/>
        <s v="yoiusufguda"/>
        <s v="yoususfguda"/>
        <s v="H"/>
        <s v="KPHB"/>
        <s v="Gachibowli "/>
        <s v="PLOT NO 1, AMRUTHA  ENCLAVE,GANDIPET,BANDLAGUDA JAGIR,  Bandlaguda  (Jagir), Rajendranagar,  Rangareddy, Telangana - 500086"/>
        <s v="Komdapur"/>
        <s v="Kondapur"/>
        <s v="Kondaur"/>
        <s v="Shop No 1, And 2, Snehapuri Colony, Borabanda, Hyderabad, Telangana 500045"/>
        <s v="Lakdikapul Pillar No: A-1193, adjacent to Khadi Shop, Hyderabad, Telangana 500004"/>
        <s v="H No. 6-2-967/B/A/6, Fateh Manzil ,  Khairatabad Circle No.17, Hyderabad,  Telangana-500004"/>
        <s v="THE BOAT HOUSE RESTAURANT,  Hno: 8-46/P,  1st Floor,  Swaren Arcade, Sai Ram Nagar  Colony,  Bandlaguda Jagir , , Rangareddy,  Telangana-500086"/>
        <s v="Erragada"/>
        <s v="C9XR+F87, Ayyappa Society Main Rd, opp. Sbi bank, Megha Hills, Sri Sai Nagar, Madhapur, Hyderabad, Telangana 500081"/>
        <s v="PLOT.NO.105/LIG PHASE-XV, KPHB COLONY , Kukatpally Circle No 24, Hyderabad, Telangana-500085"/>
        <s v="Nearby Address: Karthik interior solutions, Plot no:1452, Gopal Nagar, Gokul Enclave, Venkata Ramana Colony, Hafeezpet, Hyderabad, Telangana 500085"/>
        <s v="Kphb "/>
        <s v="Nearby Address: No 1-2-49, Pallavi Home Tutions, 2nd Floor, Building, Nizampet Road, beside Jayeesha Software Pvt LTD, Kukatpally Housing Board Colony, Hyder Nagar, Kukatpally, Hyderabad, Telangana 500085"/>
        <s v="Aditya Arcade, Anjaneya Nagar, AGI Colony, Moosapet, Hyderabad, Telangana 500018"/>
        <s v="Hig -65, Temple bustand, near by water tank, Kukatpally Housing Board Colony, 3rd phase, Kukatpally, Hyderabad, Telangana 500072"/>
        <s v="MIG-42/1-6, Kukatpally Housing Board Colony, K P H B Phase 3, Kukatpally, Hyderabad, Telangana 500072"/>
        <s v="Hitech city"/>
        <s v="Raidurg"/>
        <s v="PLOT NO.1271,OPP;BHARAT PETROL BUNK,ROAD NO.63,CHECKPOST,JUBILEE HILLS,HYDERABAD-500033. , Jubilee Hills Circle No 18, Hyderabad, Telangana-500033"/>
        <s v="Addagutta Society - HMT Hills Rd, Addagutta Society, Jal Vayu Vihar, Kukatpally, Hyderabad, Telangana 500085"/>
        <s v="Hitechcity "/>
        <s v="Rainbow foods, near m2m jeans corner, Tulasi Nagar, HMT Hills, Kukatpally, Hyderabad, Telangana 500085"/>
        <s v="HNO 1-2-33/ VP/76, HYDERNAGAR, Balaji Hills Road, Ram Naresh Colony, , Chandanagar circle No 21, Hyderabad, Telangana-500085"/>
        <s v="12-19-46/2 , Kukatpally Circle No 24, Hyderabad, Telangana-500018"/>
      </sharedItems>
    </cacheField>
    <cacheField name="Cluster">
      <sharedItems containsBlank="1" containsMixedTypes="1" containsNumber="1" containsInteger="1">
        <m/>
        <n v="1.0"/>
        <n v="3.0"/>
        <s v="Jublii Hills"/>
        <s v="Jubliee hills"/>
        <s v="jubilee hills"/>
        <s v="somajiguda"/>
        <s v="Hi tech city, lakdikapol, ameerpet, Jubilee hills"/>
        <s v="Banzara hills "/>
        <s v="manikonda"/>
        <s v="Kukatpally "/>
        <s v="Ameerpet "/>
        <s v="Manikonda "/>
        <s v="mehadipatanam "/>
        <s v="mehandipatanam"/>
        <s v="BEGUMPET"/>
        <s v="Raidurg"/>
        <s v="Madhapur "/>
        <s v="Somajiguda "/>
        <s v="MADHAPUR"/>
        <s v="Hakimpet"/>
        <s v="Kukatpally"/>
        <s v="Na"/>
        <s v="Launger houz"/>
        <s v="Banjara hills"/>
        <s v="langara house"/>
        <s v="langerhouse"/>
        <s v="langerahouse"/>
        <s v="Test"/>
        <s v="Langar Hous"/>
        <s v="Khajaguda "/>
        <s v="LANGER HOUSE"/>
        <s v="Goulidoddi"/>
        <s v="Gaulidoodi"/>
        <s v="Gaulidoodi "/>
        <s v="LANGERA HOUSE"/>
        <s v="LANAGARA HOSUE"/>
        <s v="langarahouse"/>
        <s v="Jubleii Hills"/>
        <s v="Hi-tech city"/>
        <s v="Haldirams"/>
        <s v="Almond House"/>
        <s v="Mezbaan"/>
        <s v="Peshawar"/>
        <s v="Organic creamery"/>
        <s v="Shanghai flavours of china"/>
        <s v="Karachi Bakery"/>
        <s v="Le Meridien Hyderabad"/>
        <s v="Sweets Dude"/>
        <s v="ACCOR"/>
        <s v="Kunafa Bake"/>
        <s v="HI Tech City"/>
        <s v="gachibowli"/>
        <s v="HIMAYAT NAGAR"/>
        <s v="khairatabad"/>
        <s v="nanakramguda"/>
        <s v="LANGAR HOUSE"/>
        <s v="Komdapur"/>
        <s v="Moosapet "/>
        <s v="lanagara house"/>
        <s v="lanagarahouse"/>
        <s v="khairthabad"/>
        <s v="begumpet "/>
        <s v="narsing"/>
        <s v="sirligampally"/>
        <s v="Hitech chity "/>
        <s v="Yousufguda "/>
        <s v="Hitech City "/>
        <s v="Kondapur"/>
        <s v="Madhapur Hyderabad "/>
        <s v="Sarovar Portico Hotel"/>
        <s v="Hotel Greenpark"/>
        <s v="towlichowki"/>
        <s v="kistmatpur"/>
        <s v="Prost"/>
        <s v="Paradise Biryani"/>
        <s v="Financial district "/>
        <s v="Miyapur "/>
        <s v="Park Hyatt"/>
        <s v="Cock &amp; Bull Hyderabad"/>
        <s v="Hitech city"/>
        <s v="Moosapet"/>
        <s v="Gowlidoddi"/>
        <s v="NARSINGI"/>
        <s v="gachibowli "/>
        <s v="Banjara hills "/>
        <s v="Paradise Food Court"/>
        <s v=" Aha Dakshin"/>
        <s v="Frankie"/>
        <s v="langaara house"/>
        <s v="Langar Houz"/>
        <s v="mehandipatanam "/>
        <s v="lanagaara house"/>
        <s v="Langra house"/>
        <s v="lanagara houes"/>
        <s v="yousfuguda"/>
        <s v="Yousufguda"/>
        <s v="LANGAR HOIUSE"/>
        <s v="YOUSUF GUDA"/>
        <s v="KPHB"/>
        <s v="manikona"/>
        <s v="Komdapur "/>
        <s v="Bachupally"/>
        <s v="Goulidoddi "/>
        <s v="Sr nagar "/>
        <s v="khairathabad"/>
        <s v="khaiurthabad"/>
        <s v="sherligampally "/>
        <s v="Kohb"/>
        <s v="KUKAPATLLY"/>
        <s v="Hi tech"/>
        <s v="Raidurg "/>
      </sharedItems>
    </cacheField>
    <cacheField name="Name of Restaurant Walk" numFmtId="0">
      <sharedItems containsString="0" containsBlank="1">
        <m/>
      </sharedItems>
    </cacheField>
    <cacheField name="Name of Restaurant" numFmtId="0">
      <sharedItems containsBlank="1">
        <m/>
        <s v="Eat spot"/>
        <s v="Hari Dosa "/>
        <s v="Kings biryani adda "/>
        <s v="Tipsy Topsy "/>
        <s v="The turban taste"/>
        <s v="Cake exotica bakers"/>
        <s v="Palleturi dosa"/>
        <s v="AI RAHAMN BAKERY"/>
        <s v="AFC"/>
        <s v="Honey foods Tapeshwaram Kaja"/>
        <s v="AL BAIK "/>
        <s v="Coffee place "/>
        <s v="Al - Rikaaab"/>
        <s v="Kalingapatnam "/>
        <s v="Mayuri Foods"/>
        <s v="Missamma restaurant "/>
        <s v="Gatox cafe "/>
        <s v="Garuda Cafe"/>
        <s v="Sns bake house bakery nd cafe "/>
        <s v="Al Saba cafe"/>
        <s v="Kochin spices"/>
        <s v="Smoky docky"/>
        <s v="Poruginti chepala pulusu "/>
        <s v="CAFE UNITED "/>
        <s v="1pm to 1am"/>
        <s v="Zamindars cafe"/>
        <s v="hitech bawarchi food court "/>
        <s v="100N Gourmet shawarma the homly bowls"/>
        <s v="MMD Restaurant "/>
        <s v="Vasireddy swagruha foods "/>
        <s v="Sri vindha tiffins"/>
        <s v="Hulchal desserts and bakers"/>
        <s v="Rainbow mandi restaurant "/>
        <s v="Hotel Farzaan"/>
        <s v="Royal Darbar"/>
        <s v="Exotica bakers"/>
        <s v="Padmavathi food court"/>
        <s v="punjabi Dhaba"/>
        <s v="Cozmo Cafe "/>
        <s v="Alkapuri Bawarchi Biryani "/>
        <s v="GYRO DONER "/>
        <s v="morine bakery"/>
        <s v="Balaji Family Dabha"/>
        <s v="fire and ice bakers "/>
        <s v="Amrutham"/>
        <s v="surabhi hotel udupi veg "/>
        <s v="Shiva Nagi Reddy sweets"/>
        <s v="Trinetra Cafe &amp; Restaurant"/>
        <s v="Koduris kitchen "/>
        <s v="Bamma tiffins "/>
        <s v="Urban Franky "/>
        <s v="Raja Rani Ruchulu"/>
        <s v="Suryakantham Military Hotel"/>
        <s v="Palle Vindu Dosa "/>
        <s v="A1 shawarma bites "/>
        <s v="Yummy Feast"/>
        <s v="Hut-K Biryani "/>
        <s v="Great Britain waffle "/>
        <s v="Ritvikas kitchen"/>
        <s v="Sweet Stories"/>
        <s v="Naidu gari kunda biryani "/>
        <s v="Old A1 Restraunt "/>
        <s v="Kakatiyya Tuffins"/>
        <s v="Bahar cafe"/>
        <s v="CAFE 555 AND AQEEQ RESTAURANT"/>
        <s v="imperial  multicuisine restaurant"/>
        <s v="AN TE RA KITCHEN AND BAR"/>
        <s v="Amogha"/>
        <s v="Shanghai chef "/>
        <s v="Wow momo"/>
        <s v="Gali punjab di "/>
        <s v="Polar bear the ice cream sundae zone "/>
        <s v="Meghana non veg parcels"/>
        <s v="Satyam foods "/>
        <s v="Emerald food house "/>
        <s v="Patiala plate "/>
        <s v="Lassi and shakes"/>
        <s v="Hanuman juice point"/>
        <s v="Trigunas kitchen"/>
        <s v="Chaayos"/>
        <s v="Raagam foods"/>
        <s v="The spicy venue"/>
        <s v="Sri Kanya comfort"/>
        <s v="mayur sweets and dry fruits "/>
        <s v=" ganesh virat food court"/>
        <s v="Itihaas Restaurant and Banquets"/>
        <s v="chai nagri "/>
        <s v="Alanati"/>
        <s v="Gumagumalu "/>
        <s v="Chopsticks"/>
        <s v="Parchuri foods"/>
        <s v="Nakshtra Tiffins "/>
        <s v="Bakers Town "/>
        <s v="Nellore Padmvati Ruchlu "/>
        <s v="Cake Walkers "/>
        <s v="Mother’s Kitchen"/>
        <s v="Vindhu Maharaj"/>
        <s v="Amogha Cafe and restaurant "/>
        <s v="Sri Aadhaya Delicious "/>
        <s v="Wow! Vadapav"/>
        <s v="Creative Home Baker’s "/>
        <s v="Wrappy"/>
        <s v="Raj Darbar"/>
        <s v="Fuel smoke House "/>
        <s v="Sri Krishna"/>
        <s v="Om sree Sai foods"/>
        <s v="Manduva Ruchulu "/>
        <s v=" dadas tiffin and fast food "/>
        <s v=" Hotel shurbhi udpi"/>
        <s v="elite delight cafe "/>
        <s v=" krishna grand  "/>
        <s v="Kadali kitchen"/>
        <s v="City 555"/>
        <s v="Imperative "/>
        <s v="Dwarak Res"/>
        <s v="Hyderabad wala"/>
        <s v="Mana O Salv"/>
        <s v="Sree Balaji Tiffins"/>
        <s v="Santosh Dhaba"/>
        <s v="Palnodu Caterers"/>
        <s v="The Bombay Chaat"/>
        <s v="Sangeeth Kitchen "/>
        <s v="Bruvaka Tiffins"/>
        <s v="Sri Raghavendra Cafe"/>
        <s v="Errababu Pulavos"/>
        <s v="Chittibabu Biryani "/>
        <s v="Sahi nawabs biryani"/>
        <s v="Gadu Rajugari Ruchulu"/>
        <s v="Military Rajanna Hotel"/>
        <s v="Bulli abbai kodi palav"/>
        <s v="Arukha Flavours "/>
        <s v="Amma chethi Ruchulu"/>
        <s v="Tara kitchen "/>
        <s v="Hello Kafe "/>
        <s v="Brew Gato"/>
        <s v=" Bhimavaram thali "/>
        <s v="badrachalam cafe "/>
        <s v="laibas cafe"/>
        <s v="rrr mandi"/>
        <s v="bab al mandi"/>
        <s v="arabian affairs "/>
        <s v="sreenindhi fast food "/>
        <s v="oven fresh bakery "/>
        <s v="nawabi "/>
        <s v="tealogy "/>
        <s v="bawarchi express"/>
        <s v="madhura restraunt bar "/>
        <s v="flavours of andhra "/>
        <s v="gismat jail"/>
        <s v="kaaram the authentic telangana spice kitchen "/>
        <s v="Test"/>
        <s v="Vinni cabin cafe "/>
        <s v="Indira Darshini tiffins "/>
        <s v=" Aha Dakshin"/>
        <s v="Burger King"/>
        <s v="WOW China"/>
        <s v="The Thickshake Factory "/>
        <s v="The Spicy Express "/>
        <s v="Frankie"/>
        <s v="Venkees kitchen "/>
        <s v="FireWater"/>
        <s v="Fuel Box"/>
        <s v="Khaan Saab"/>
        <s v="Chai point "/>
        <s v="Onesta "/>
        <s v="Sweet Basket"/>
        <s v="Agra Sweets "/>
        <s v="Machili Patnam "/>
        <s v="Big Byte "/>
        <s v="Amy’s cafe "/>
        <s v="Tosh e Daan "/>
        <s v="Tteok bokki "/>
        <s v="Bakers Harvest "/>
        <s v="Sri Raghavendra Bhavan"/>
        <s v="Kings Kohinoor Hotels"/>
        <s v="7th Heaven &amp; white hart"/>
        <s v="Swad of Grandma "/>
        <s v="Burfi ghar"/>
        <s v="preeti tiffins"/>
        <s v="Andhra canteen"/>
        <s v=" fire and ice cream "/>
        <s v="Bakers Harvest"/>
        <s v="minerva  sweet "/>
        <s v="Kodi kura chitti gaare"/>
        <s v="Hope in a cup"/>
        <s v="Deccan Dhaba"/>
        <s v="priyansh fast food "/>
        <s v="Sardarji kitchen "/>
        <s v="mysore bakery "/>
        <s v="Kingston Restaurant "/>
        <s v="Akshaya bhojanam "/>
        <s v="NAWAB CAFETERIA"/>
        <s v="Bejjawada junction"/>
        <s v="Hard Rock Cafe"/>
        <s v="Deerga Ayushman bhava "/>
        <s v="Simply parottas "/>
        <s v="Hari dosa"/>
        <s v="Raagam foods "/>
        <s v="Qubz"/>
        <s v="ZEESHAN "/>
        <s v="SS BAWARCHI"/>
        <s v="Al Aadaab Arabian Mandi Restaurant "/>
        <s v="SRI RAMANA MAHARSHI FOOD COURT "/>
        <s v="TEAALOGY"/>
        <s v="oak bistro"/>
        <s v="SHA SHA SHAWARMA "/>
        <s v="AROMA BIRYANIS PULAOS   "/>
        <s v="flavours of andhra"/>
        <s v="Daily Rituals"/>
        <s v="Tiffins and more"/>
        <s v="Dwaraka Restuarant "/>
        <s v="special 9"/>
        <s v="Saharsh udipi"/>
        <s v="My bowl"/>
        <s v="Palapitta ruchulu"/>
        <s v="Patnam ruchulu"/>
        <s v="Kodi kura chitti gare"/>
        <s v="Shawarma burger"/>
        <s v="Cafe Ikigai"/>
        <s v="Barbeque nation"/>
        <s v="DID LI Arabian kitchen"/>
        <s v="Bejawada junction"/>
        <s v="Tadipathri biryani"/>
        <s v="Pandaga"/>
        <s v="Sorse"/>
        <s v="Udupi restaurant"/>
        <s v="Cafe Delhi Heights"/>
        <s v="Chutnety's"/>
        <s v="Starbucks"/>
        <s v="Wisphot"/>
        <s v="Foo"/>
        <s v="Popoyes"/>
        <s v="Mad about China +  Indian Tadka"/>
        <s v="Keventers"/>
        <s v="California Burrito"/>
        <s v="KFC Inorbit Mall"/>
        <s v="Gabru Di Chaap"/>
        <s v="Pluto (Soda)"/>
        <s v="The Yellow Straw"/>
        <s v="AM AHA"/>
        <s v="Amnesia Sky Bar"/>
        <s v="Absolute Barbeque"/>
        <s v="Game Palacio"/>
        <s v="Haldirams"/>
        <s v="Almond House"/>
        <s v="Mezbaan"/>
        <s v="Peshawar"/>
        <s v="Organic creamery"/>
        <s v="Murugans Cofee"/>
        <s v="House of Taste"/>
        <s v="Shanghai flavours of china"/>
        <s v="VR Tiffins"/>
        <s v="Slice and Sauce "/>
        <s v="Karachi Bakery"/>
        <s v="Laksmi Duga Andhra Ruchulu"/>
        <s v="Theme Cafe"/>
        <s v="Baskin Robbins"/>
        <s v="Pizza Mania"/>
        <s v="Andhra House"/>
        <s v="Maska Chaska"/>
        <s v="Bimvaram Bulodu"/>
        <s v="Ahara Avaham"/>
        <s v="Burfighar"/>
        <s v="Punjabi paratha House "/>
        <s v="Cherrys Restaurant "/>
        <s v="IFC- Indian favourite Chef"/>
        <s v="My Biriyani "/>
        <s v="Babai Hotel "/>
        <s v="Narthanashala"/>
        <s v="Southern Fusion"/>
        <s v="Spicy hut"/>
        <s v="SS Live Kitchen"/>
        <s v="The bake factory"/>
        <s v="Mayabazar"/>
        <s v="Maheswari balaji family dhabha "/>
        <s v="Kings Restaurant and bar "/>
        <s v="RR Food Court"/>
        <s v="KS Bakers"/>
        <s v="Fb bakers"/>
        <s v="Tulja Bhavani Hotel"/>
        <s v="Sri subham food court "/>
        <s v="Bichareddy"/>
        <s v="Lassi shop"/>
        <s v="Peni icecandy"/>
        <s v="Just bake"/>
        <s v="Sandwichsquare "/>
        <s v="Mojo Pizza"/>
        <s v="Authenetic kunda biryanis"/>
        <s v="Times food courtt"/>
        <s v="Vrindhavan kitchen"/>
        <s v="Kulcha kulcha"/>
        <s v="The red box"/>
        <s v="Claysutra pottery"/>
        <s v="Livora cafe nd kitchen"/>
        <s v="IFC INDIAN FAV CHEF"/>
        <s v="Bulli abbai kodi palau"/>
        <s v="Brands of Bhimavaram (bob)"/>
        <s v="Ahara Kitchens"/>
        <s v="Le Meridien Hyderabad"/>
        <s v="Sweets Dude"/>
        <s v="ACCOR"/>
        <s v="Sri Sai Rama tiffins"/>
        <s v="Sri varahi sampradaya vindhu "/>
        <s v="Kunafa Bake"/>
        <s v="Chai Point"/>
        <s v="Haldiram"/>
        <s v="Hakka Station"/>
        <s v="Sattva Food Court"/>
        <s v="Raasta"/>
        <s v="Flurry"/>
        <s v="Cream Centre"/>
        <s v="Toscano"/>
        <s v="Whisky Samba"/>
        <s v="Moms recipe "/>
        <s v="Samastha Tiffins"/>
        <s v="Yousiffain kalyani biryani "/>
        <s v="Iq shawarma"/>
        <s v="Zamana shawarma"/>
        <s v="Santhakam ruchulu"/>
        <s v="Blend and roast cafe"/>
        <s v="Mahreens kitchen "/>
        <s v="Chicken shawarma hut"/>
        <s v="Manam Chocolate"/>
        <s v="Sabko"/>
        <s v="Chinese express "/>
        <s v="Ichirakai Rameen house"/>
        <s v="Rao gari military hotel"/>
        <s v="Kamakshi tiffins"/>
        <s v="Kamakshi snakes meals and curries"/>
        <s v="Royal odisha daba"/>
        <s v="Shasha shandaar shawarma"/>
        <s v="Palle vindhu"/>
        <s v="Malabaris"/>
        <s v="Zara hi fi restaurent"/>
        <s v="Sankala bakery"/>
        <s v="Babai ruchi mess nd biryani"/>
        <s v="Spicy food court"/>
        <s v="Tass Spice hut"/>
        <s v="Midhunam"/>
        <s v="Rayalaseema spice"/>
        <s v="BTO PIZZA WINGS SALAD"/>
        <s v="Spicy Express "/>
        <s v="Rooster Chicken "/>
        <s v="Dragon Kitchen "/>
        <s v="Slice and Bytes "/>
        <s v="Ayaansh Food Court"/>
        <s v="Red Bucket Biryani "/>
        <s v="Ahara Aahvanam"/>
        <s v="Annam Parabrahma"/>
        <s v="HITECH BAWARCHI FOOD ZONE"/>
        <s v="SURABHI HOTEL"/>
        <s v="USTAADS HYDERABADI ZAIQA"/>
        <s v="GRANDSONS BADEMIYAN KEBAB AND RESTAURANT"/>
        <s v="AAHARA FOOD COURT"/>
        <s v="GULF BAKERS"/>
        <s v="JAI BHAVANI AK FOOD COURT"/>
        <s v="SANGAM DHABA"/>
        <s v="ASTRIO RESTAURANT"/>
        <s v="SK MUNNA RESTAURANT"/>
        <s v="DWARAKA MULTICUISINE RESTAURANT"/>
        <s v="HYDERABAD SHAHI RESTAURANT"/>
        <s v="NAIDUS FOOD COURT"/>
        <s v="Dine o china"/>
        <s v="Arya tiffins"/>
        <s v="Subway"/>
        <s v="Waffles N More"/>
        <s v="Sai Ram tiffins "/>
        <s v="Nosh bistro "/>
        <s v="Vasudo dhaba "/>
        <s v="La chai de"/>
        <s v="Delhi ke famous nagpals"/>
        <s v="Aamantran"/>
        <s v="Udupi tiffins veg"/>
        <s v="Street darbar "/>
        <s v="BBQ Bites "/>
        <s v="Shiridi sai tiffins meals and snacks"/>
        <s v="Grand bawarchi hotel "/>
        <s v="Pakka telangana "/>
        <s v="Persis"/>
        <s v="Bhattad ki idly"/>
        <s v="Woodfire pizza "/>
        <s v="Athidis kitchen "/>
        <s v="Malabar kitchen"/>
        <s v="Punjabi chaska"/>
        <s v="Yum Yum Tree"/>
        <s v="Cherry Restaurent"/>
        <s v="ASIAN PAN HOUSE AND RESTAURANT"/>
        <s v="The chocolate room"/>
        <s v="Kafika"/>
        <s v="President Dhaba"/>
        <s v="Krishnapatnam"/>
        <s v="Myfroyoland "/>
        <s v="Bhai ki chai "/>
        <s v=" Chai chaska"/>
        <s v="Nath Kitchen"/>
        <s v="Palamgiri kitchen "/>
        <s v="Van lavino"/>
        <s v="Telegu Jublii hills"/>
        <s v="Thyme and Whisk"/>
        <s v="Naughty Kudi"/>
        <s v="Insomnia night club"/>
        <s v="Aha ruchulu"/>
        <s v="Al saba"/>
        <s v="Arabian Mandi "/>
        <s v="Hotel swaruchi"/>
        <s v="Bhimavaram ruchulu"/>
        <s v="Godavari ruchulu"/>
        <s v="Sirisha fast food "/>
        <s v="Sankar villas tiffins"/>
        <s v="Venkateswara foods"/>
        <s v="Zaiqa 11"/>
        <s v="Kadak house "/>
        <s v="Eruvaaka "/>
        <s v="RR Orisha Dhaba"/>
        <s v="Raju Gari Bhimavaram Biryani"/>
        <s v="Sai Mumbai Famous"/>
        <s v="Sravanthi tiffins"/>
        <s v="Orugallu Ruchulu "/>
        <s v="Sattibabu Biryani "/>
        <s v="Laxmi Foods and Meals"/>
        <s v="Sravati Biryani "/>
        <s v="Sravanthi Fast Food"/>
        <s v="Sravanthi mess"/>
        <s v="DOSA HUT"/>
        <s v="Upasanna's Kitchen"/>
        <s v="BFC Crispy N Spicy"/>
        <s v="Thunderbolts"/>
        <s v="Pakka Local Food"/>
        <s v="Bayyas food hub"/>
        <s v="SK FOODS"/>
        <s v="Contico"/>
        <s v="Yum Crumble Waffle"/>
        <s v="Tiffin xpress"/>
        <s v="Southern Kithchen"/>
        <s v="Victoria Tiffins and Fast food"/>
        <s v="kings arabian "/>
        <s v="oak bistro "/>
        <s v="fire and ice bakers"/>
        <s v="redoven"/>
        <s v="sha sha shandar shawarma"/>
        <s v="aroma biryani and pulaos"/>
        <s v="raghavendra tiffens"/>
        <s v="rs birayani "/>
        <s v="samosa party "/>
        <s v="aazeboo"/>
        <s v="Brost nation"/>
        <s v="scoops "/>
        <s v="sri poorna hotel "/>
        <s v="Crave and corners"/>
        <s v="avani restraunt "/>
        <s v="Moms kitchen"/>
        <s v="shawarama house"/>
        <s v="o ginger "/>
        <s v="Kush mandi"/>
        <s v="sangam dhaba "/>
        <s v="Kadak house"/>
        <s v="swach "/>
        <s v="Balle alle punjabi"/>
        <s v="Zaiqa 11 "/>
        <s v="abhiruchi sagurha foods"/>
        <s v="Venkateshwara restaurent"/>
        <s v="vellanki "/>
        <s v="Sirisha fast food"/>
        <s v="thrivesome cafe"/>
        <s v="Godhavari ruchulu"/>
        <s v="thualsi villas"/>
        <s v="Zafaron shawarma and chinese fast food"/>
        <s v="raghavendra"/>
        <s v="taaza"/>
        <s v="FB Cakes"/>
        <s v="Sri akshaya "/>
        <s v="Midland bakers"/>
        <s v="Blue star restaurant "/>
        <s v="Rayudu's kitchen "/>
        <s v="Agra sweets"/>
        <s v="Sainadh tiffins"/>
        <s v="Olive mithai "/>
        <s v="Srinivasa mixture hub"/>
        <s v="Parnasala kitchen"/>
        <s v="Rayudu hotels"/>
        <s v="Subbayamma foods "/>
        <s v="Maa oori vanta "/>
        <s v="Vasistas  sri lakshmi"/>
        <s v="Pind to play "/>
        <s v="radisson (chillis)"/>
        <s v="parampara"/>
        <s v="third wave coffee"/>
        <s v="chaitanya food court "/>
        <s v="hummus house"/>
        <s v="Borasted chicken shawarma "/>
        <s v="Habitat"/>
        <s v="Park frankies "/>
        <s v="Pakka Local"/>
        <s v="Seasons Express"/>
        <s v="Dine Hill"/>
        <s v="Exotica"/>
        <s v="Sravanam 4am biryani"/>
        <s v="Sahi nawabis kitchen"/>
        <s v="Mickeys tiffin"/>
        <s v="Harsha deluxe mess"/>
        <s v="Kasoori"/>
        <s v="Churrolto "/>
        <s v="cafe coffee day "/>
        <s v="kapoors cafe"/>
        <s v="Babbai hotel"/>
        <s v="THE SIPPING ADDA"/>
        <s v="sAI RISHITHA FAST FOOD CENTRE"/>
        <s v="ABC Foods (Abiruchi biryani cafe)"/>
        <s v="Balaji villas "/>
        <s v="Ike cafe the tasty bakery"/>
        <s v="Tealogy cafe"/>
        <s v="Hotel annamayya"/>
        <s v="Chickpet donne biryani house"/>
        <s v="Dhaba food court"/>
        <s v="sRI GOWRAS KITCHEN"/>
        <s v="Tiffin kottu"/>
        <s v="Giri food court"/>
        <s v="Mathru sree athidhidevobhava"/>
        <s v="Induru spice kitchen"/>
        <s v="Thakshashila curries "/>
        <s v="Irawath kitchen"/>
        <s v="Ruchullo rarraju"/>
        <s v="Sri venkateswara food court"/>
        <s v="Perch 24 cafe"/>
        <s v="Sree teja food court "/>
        <s v="Padmavathi food court "/>
        <s v="The organic creamery "/>
        <s v="Cranelle "/>
        <s v="Aditya kitchen "/>
        <s v="Upasana's Kitchen"/>
        <s v="BFC Crispy And Spicy"/>
        <s v="Pakka Local Food Court"/>
        <s v="Highway Resturant"/>
        <s v="Ulavacharu"/>
        <s v="Kakatiya Home Foods"/>
        <s v="Sri Ragavendra Vihar"/>
        <s v="The Spicy Unions"/>
        <s v="Bheema Restaurant "/>
        <s v="Farasha restaurant "/>
        <s v="Arabian mandi"/>
        <s v="Bakely cafe"/>
        <s v="The Bakely bakers"/>
        <s v="Aura telegu kitchen"/>
        <s v="Chinese Chinese kitchen "/>
        <s v="Biriyani &amp; bagara"/>
        <s v="Sri Mama&quot;s kitchen"/>
        <s v="Alfa MadrEat"/>
        <s v="Dostan Meals &amp; snacks"/>
        <s v="fushion xps"/>
        <s v="Dostan Fast food "/>
        <s v="Dostan Tiffins"/>
        <s v="Dostan Shawarma "/>
        <s v="Dostan Biryani's"/>
        <s v="The Hungry Spot"/>
        <s v="Imperial restaurant "/>
        <s v="Firdous hotel"/>
        <s v="R K grand restaurant "/>
        <s v="Jai Tulja bhavani curries"/>
        <s v="Rokali"/>
        <s v="Bejing Bistro"/>
        <s v="Liimra Arabian Mandi House"/>
        <s v="Namaste Hyderabad"/>
        <s v="Royal Bawarchi"/>
        <s v="Sri Nakshatra Chinese Hub"/>
        <s v="Club 10 Chicken"/>
        <s v="Hotel Chal Mohana Ranga Biryani's"/>
        <s v="Sravani Biryani's"/>
        <s v="RK delux mess"/>
        <s v="TOC Bakers and Confectioners"/>
        <s v="Sarovar Portico Hotel"/>
        <s v="Hotel Greenpark"/>
        <s v="Zam zam restaurant "/>
        <s v="Sri Sai tiffins and curry point"/>
        <s v="Honeyman"/>
        <s v="Vaibhavam"/>
        <s v="Al furquan hotel"/>
        <s v="Arabian zaiqa restaurant "/>
        <s v="Hotel MS pride"/>
        <s v="Mahabaala food court"/>
        <s v="The Thick Shake Factory"/>
        <s v="BISMILLAH HOTEL"/>
        <s v="hotel anandh bhavan"/>
        <s v="bal al mandi "/>
        <s v="rowdy momo express"/>
        <s v="Prost"/>
        <s v="Paradise Biryani"/>
        <s v="Chutneys"/>
        <s v="hotel bheemas grand "/>
        <s v=" New farasha cafe "/>
        <s v="Savera hills hotel"/>
        <s v="Oura telugu kitchen"/>
        <s v="City chefs kitchen "/>
        <s v="Bagara and biryani "/>
        <s v="Ruchi plaza"/>
        <s v="Sri mamas kitchen"/>
        <s v="Annapurna hotel "/>
        <s v="Alfa madr eat "/>
        <s v="Shah restaurant"/>
        <s v="The nawaabs restaurant "/>
        <s v="Leons burger and burger  "/>
        <s v="Albaik"/>
        <s v="Raasa cafe"/>
        <s v=" A1 hotel "/>
        <s v=" al bawadi mandi"/>
        <s v="SRK food court"/>
        <s v="fresh and hot "/>
        <s v="shurfa  mandi "/>
        <s v=" felfelah "/>
        <s v="hotel city diamond "/>
        <s v="khans arabian shawarma "/>
        <s v=" makhayad al arabi "/>
        <s v="poorna food court "/>
        <s v=" kebabwala"/>
        <s v="mana ruchulu "/>
        <s v="crispy corner "/>
        <s v="Sri Vigneshwara nellore ruchulu"/>
        <s v="Sri Vigneshwara aaha Bojhanam"/>
        <s v="Aaha Bhojanam"/>
        <s v="Cafe 74"/>
        <s v="Bommarillu "/>
        <s v="Rama tiffins "/>
        <s v="Shaalimar Sweets"/>
        <s v="Dreamland Bakers &amp; Confectionaries"/>
        <s v="Sri Raghavendra Hotel"/>
        <s v="Al-Baik"/>
        <s v="Sabiib Restaurant Haven"/>
        <s v="Bhai Chai"/>
        <s v="Park Hyatt"/>
        <s v="Cock &amp; Bull Hyderabad"/>
        <s v="K Brundavan Food Court"/>
        <s v="Maa Amrutham"/>
        <s v="Charcoal shawarma"/>
        <s v="Avacado on wheels"/>
        <s v="Oh my momo"/>
        <s v="Anagha Kitchen"/>
        <s v="Bhulakshmi Mess"/>
        <s v="Andhana Brahma "/>
        <s v="Granny Kitchen"/>
        <s v="Food Corner"/>
        <s v="Sree Vakula Kitchen"/>
        <s v="Rithvikaas Kitchen"/>
        <s v="City Wrap and Broast"/>
        <s v="Ulavapadu Biryani and Pulav"/>
        <s v="Meridian Restaurant"/>
        <s v="donne biryani house"/>
        <s v="Bahar biryani nd cafe"/>
        <s v="Akshaya patra"/>
        <s v="Famous arabian shawarma"/>
        <s v="Wrap nd More"/>
        <s v="Wrap nation"/>
        <s v="All mataam madina mandi"/>
        <s v="Classic crown"/>
        <s v="Athidhis kitchen"/>
        <s v="Manikantas eat spot "/>
        <s v="Limra fast food centre"/>
        <s v="Errababu palaav"/>
        <s v="Yuman crazy fast food center"/>
        <s v="Bhavani food court"/>
        <s v="Beyniaz shawarma and grill"/>
        <s v="Limra fast food center "/>
        <s v="Manikantas eat spot"/>
        <s v="Bahar biryanis nd cafe"/>
        <s v="Madhurams restaurent"/>
        <s v="Chickpet donne biryanis house"/>
        <s v="Cake factory"/>
        <s v="Shadab"/>
        <s v="AR Raghavendhara tiffins and meals"/>
        <s v="Saudi arabian restaurent"/>
        <s v="Universal Restaurant "/>
        <s v="aaha tiffins"/>
        <s v="Anandha brahma"/>
        <s v="Spice Soiree"/>
        <s v="Tawakaal biryani hotel"/>
        <s v="New Nisar cafe and restaurant"/>
        <s v="Desi Zayqa "/>
        <s v="Konaseema Pedi Ruchulu"/>
        <s v="Andhra Bhavan"/>
        <s v="Hyderabad Bakehouse"/>
        <s v="Qubz the shewarma house"/>
        <s v="king Darbar "/>
        <s v="7STARS RESTAURENT"/>
        <s v="Varnam "/>
        <s v="Mahabalaa Food Court"/>
        <s v="Aha bojanam"/>
        <s v="Telengana food court"/>
        <s v="Homly tiffins"/>
        <s v="Tawwakal shawarma"/>
        <s v="Chai kaburlu"/>
        <s v="Raju gari biryani "/>
        <s v="snack bite"/>
        <s v="kritunga restraunt"/>
        <s v="shake it up"/>
        <s v="hayansh kitchen "/>
        <s v="SnackBite"/>
        <s v="araah cafe"/>
        <s v="raghavendra tiffens "/>
        <s v="nawabi cafeteria "/>
        <s v="The Boat House Express"/>
        <s v="srk food court "/>
        <s v="andra ruchulu "/>
        <s v="biryani adda "/>
        <s v="A1 hotel "/>
        <s v="al bawadi "/>
        <s v="Yum yum tree "/>
        <s v="Nine Waves Restaurant"/>
        <s v="Saba - E - Kitchen"/>
        <s v="Parota House"/>
        <s v="Taaza Tiffins"/>
        <s v="SV food court"/>
        <s v="Klinkaara Restaurant"/>
        <s v="Bombay juice"/>
        <s v="Arabian Mandi Banjara"/>
        <s v="Golden Pavillion "/>
        <s v="Paradise Food Court"/>
        <s v="Absolute Barbeque "/>
        <s v="Sreeja Home food"/>
        <s v="Wool cup"/>
        <s v="Sabha"/>
        <s v="ITC Kakatiya"/>
        <s v="Kritunga"/>
        <s v="Roast "/>
        <s v="Krispy Kreme"/>
        <s v="Chutney's"/>
        <s v="Slice and Sauce"/>
        <s v="Royal Bawarchi "/>
        <s v="Slice and Bytes Biryani"/>
        <s v="Slice and Bytes Food Court"/>
        <s v="Aadhya Food Court"/>
        <s v="Amulya Abhiruchi Biryani "/>
        <s v="Amulya Abhiruchi Fast Food"/>
        <s v="A1 bawarchi "/>
        <s v="Brownies Bakery "/>
        <s v="AHA AMRUTULYA"/>
        <s v="KLASSIC BAKERS AND SHEWARMA AND CAFE"/>
        <s v="SVS SPECIAL VILLAGES AND SPICES"/>
        <s v="Amrutham "/>
        <s v="Ma oori biryani"/>
        <s v="Saregama kitchen"/>
        <s v="New heeramothi"/>
        <s v="Sri rama kitchens"/>
        <s v="Crispy crunch"/>
        <s v="Moon friends "/>
        <s v="MK Shawarma"/>
        <s v="Sri nidhi dsr hotel"/>
        <s v="Chicken in wings"/>
        <s v="Nellore chepala pulusu"/>
        <s v="Classic crown restaurent"/>
        <s v="Sri Tejas kitchen"/>
        <s v="Crispy crunch dinner"/>
        <s v="Appi natural fresh juice"/>
        <s v="taaza tiffens "/>
        <s v="sri raghavendra bhavan "/>
        <s v="swathi tiffens "/>
        <s v="the food court "/>
        <s v="bandhan mithai vatika "/>
        <s v="raghuram dosa"/>
        <s v="epic bawarchi "/>
        <s v="epic bawarachi tiffen centre "/>
        <s v="epic bawarchi chat bhandar "/>
        <s v="the chinese zhang family "/>
        <s v="nellore vantakalu"/>
        <s v="beyond kimchi - the taste of korea "/>
        <s v="the english kitchen "/>
        <s v="Mini Udipi's"/>
        <s v="vizag beach street food "/>
        <s v="mana vizag ruchulu "/>
        <s v="healthy food promised"/>
        <s v="MILITARY REDDY TIFFENS "/>
        <s v="Dum Biryani Adda"/>
        <s v="sip of health"/>
        <s v="ANDHRA RUCHULU"/>
        <s v="the brazilian juice bar"/>
        <s v="MILLET MARVELS"/>
        <s v="the nice juice junction "/>
        <s v="GREEN BUCKET BIRYANI"/>
        <s v="SVS BAKERS &amp; FOOD COURT"/>
        <s v="DSD CAFE"/>
        <s v="KRITUNGA RESTAURANT"/>
        <s v="Golden Pavilion"/>
        <s v="shreya food court "/>
        <s v="gayatri bhavan  "/>
        <s v=" harika mess"/>
        <s v="amans food court"/>
        <s v="caffiene Snacks"/>
        <s v="Caffine Meals "/>
        <s v="telugu cuisine  "/>
        <s v="CAFFEINE BIRYANAIS"/>
        <s v="biryani ustad "/>
        <s v="CAFFEIN HUB FAST FOOD"/>
        <s v="CAFFEINE JUICE &amp; MILKSHAKES"/>
        <s v="cake corner Bakery"/>
        <s v="Corner fast food"/>
        <s v="corner juice &amp; milkshake"/>
        <s v="CORNER FOODS"/>
        <s v="CHAI KABURLU "/>
        <s v="5ves restaurant "/>
        <s v="Anu Kitchen"/>
        <s v="T Vannam "/>
        <s v="Shwarma kingdom"/>
        <s v="Southern Mirchi"/>
        <s v="Joharfa "/>
        <s v="Meenakshi Cafe"/>
        <s v="Ram’s Dosa House "/>
        <s v="Audio cup coffee house"/>
        <s v="Aha Dakshin"/>
        <s v="Hotel Greenpark &amp; Marigold"/>
        <s v="Biryaniwalla &amp; co"/>
        <s v="All Season Express"/>
        <s v="Mourya Restaurant"/>
        <s v="Street view express"/>
        <s v="Sozo Cakery &amp; Cafe"/>
        <s v="Kelvin Scale Absolute Ice Cream"/>
        <s v="Zucifera"/>
        <s v="Pulaos and Bagara"/>
        <s v="Mexician Fried Chicken"/>
        <s v="Deccan Bawarchi"/>
        <s v="SRG Restro inn"/>
        <s v="Shri balaji chennai spices"/>
        <s v="Nikhils feast"/>
        <s v="Dosa mart"/>
        <s v="N hot chinese"/>
        <s v="Hot shawarma nd wings"/>
        <s v="Crispy hot wings"/>
        <s v="Hot wings"/>
        <s v="Mandi Bistro"/>
        <s v="Chamkila "/>
        <s v="Chaitanyas modern kitchen "/>
        <s v="The tasty chapter "/>
        <s v="Biryani Mandirr "/>
        <s v="Srijas home foods and currys"/>
        <s v="Annapurna hotels and tiffins "/>
        <s v="Mallesh mama fast food"/>
        <s v="Ma oori vanta"/>
        <s v="Monkeys cafe "/>
        <s v="Best biryanis and curries"/>
        <s v="Koodu the taste of Telangana"/>
        <s v="Sankranthi cafe"/>
        <s v="Bachelor brothers"/>
        <s v="Arathi  Chinese fast food "/>
        <s v="Pandemkodi"/>
        <s v="Mahalaxmi kitchen "/>
        <s v="Abhi restaurant "/>
        <s v="Lotus biryani nd fast good"/>
        <s v="Spicy kitchen"/>
        <s v="Sri Aadhya Food Court"/>
        <s v="Rayalaseema Biryani"/>
        <s v="Rayalaseema Chinese"/>
        <s v="Rayalaseema Meals And Curries"/>
        <s v="Second wifes tiffins"/>
        <s v="Second wifes Biryanis "/>
        <s v="Second wife rolls and snacks"/>
        <s v="Second wife fast food"/>
        <s v="Second wife meals C/o guntur"/>
        <s v="Wok 33"/>
        <s v="Mummy ki rassoi"/>
        <s v="Golden Barrel Restaurent and pub"/>
        <s v="Big guys wings and Burgers"/>
        <s v="SREYA  FAST FOFD AND MOMO"/>
        <s v="srijas food and currys"/>
        <s v="zaiqa bawarchi restaurant"/>
        <s v="Ruchi Resturants"/>
        <s v="Star lite"/>
        <s v="Arman hotel"/>
        <s v="Ar hotell"/>
        <s v="Hyderabadi foodie"/>
        <s v="Konaseema Gummagumalu"/>
        <s v="Nagallas shawarma and kababs"/>
        <s v="Baburao gari biriyani "/>
        <s v="Jaya laxmi food centre "/>
        <s v="Prince house family restaurant"/>
        <s v="Athithi Biriyani Ruchulu"/>
        <s v="Seven stars restaurant "/>
        <s v="  Sri Shakambhari Restaurant (tiffins)"/>
        <s v="Masala Resturant "/>
        <s v="Balaji santosh dhaba"/>
        <s v="Sri Shakambhari Restaurant (meals and curries)"/>
        <s v="Sri Shakambhari Restaurant "/>
        <s v="Bawarchi mandi and Biryani"/>
        <s v="Mandi Specials and Biryani "/>
        <s v="Balaji Dhaba"/>
        <s v="Mini Cafe"/>
        <s v="Rishitha Curries and Biryani"/>
        <s v="Amristari dabha"/>
        <s v="Mekallas shawarma and kababs"/>
        <s v="Nagallas shawarma "/>
        <s v="Sangeetha Kitchen"/>
        <s v="Bhavani matha curry point "/>
        <s v="My friend mandi "/>
        <s v="Gulf Mandi "/>
        <s v="Chittibabu Biriyani "/>
        <s v="Lotus Biryani and Fast Food Center "/>
        <s v="Sai Darshini Tiffins"/>
        <s v="Ahmed restaurant "/>
        <s v="Hotel CVR narsingi"/>
        <s v="Kuthari hotel"/>
        <s v="Pakka Telangana"/>
        <s v="Rk grand multicuisne "/>
        <s v="Tawakkal kalyani biryani"/>
        <s v="The hungers spot "/>
        <s v="Burgers and pizzas "/>
        <s v="S D fast food centre "/>
        <s v="Ellipaya karam express "/>
        <s v="Butter bunnies "/>
        <s v="Delicia multicusine restaurant "/>
        <s v="Rayalaseema Karam Dosa"/>
        <s v="Anmol continental"/>
        <s v="Hare krishna family dhaba "/>
        <s v="Krishna tiffins and mess"/>
        <s v="Hillstar"/>
        <s v="Arambam "/>
        <s v="Cafe Hyd"/>
        <s v=" cheese and mix kitchen"/>
        <s v="HARIKA MESS"/>
        <s v="sri sai food court "/>
        <s v="hillstar "/>
        <s v="Dumont Creamery"/>
        <s v="Swadist Super Sweets &amp; Restaurant"/>
        <s v="Friends N Cafe"/>
        <s v="Mohammedia Shawarma"/>
        <s v="By the BAY"/>
        <s v="7 Sauces"/>
        <s v="Scoops"/>
        <s v="Chicha's"/>
        <s v="Kathmandu Momos"/>
        <s v="The Boat house"/>
        <s v="Swaad curries and tiffins "/>
        <s v="Idv kitchen "/>
        <s v="Muntha masala "/>
        <s v="Lucky Restaurant "/>
        <s v="Bhadrachalam cafe "/>
        <s v="Ideal Kitchen"/>
        <s v="Hotel the Nawabi zaiqa "/>
        <s v="Shringeri kitchen "/>
        <s v="Manchidhana tiffins and fast food "/>
        <s v="Udipis ahaara arogya"/>
        <s v="Dostea"/>
        <s v="Udipis upahar "/>
        <s v="Sri Sai Raghavendra tiffins and meals "/>
        <s v="Sri bakers "/>
        <s v="Balaji family dhaba"/>
        <s v="Rajahmundry vaari real rose milk "/>
        <s v="Open heart restaurant "/>
        <s v="Gen Z flavoria "/>
        <s v="Iyengar bakery"/>
        <s v="RAM hotel"/>
        <s v="Arya Bhavan"/>
        <s v="Poruginti Chapala Pulsu"/>
        <s v="Prathiyaka The kitchen"/>
        <s v="Dum marro dum"/>
        <s v="Rushibha Kitchen"/>
        <s v="Pulaos kitchen.com"/>
        <s v="Mini cafe biryani and meals"/>
        <s v="Mini cafe Chinese "/>
        <s v="Kokkaroko"/>
        <s v="Abhiruchi food court "/>
        <s v="Victoria Restaurant "/>
        <s v="Al saba Restaurant "/>
        <s v="Zucifera "/>
        <s v="Aroma Cafe"/>
        <s v="marjaan hotel "/>
        <s v=" makers of milkshake"/>
        <s v=" makhayad al arabi restaurant"/>
        <s v=" felfelah"/>
        <s v="azebo "/>
        <s v="ice station"/>
        <s v="go fresh "/>
        <s v="shawarma zone "/>
        <s v="madhapur bawarchi "/>
        <s v="mirza "/>
        <s v="ustaad"/>
        <s v="lebanase grill"/>
        <s v="mc cafe"/>
        <s v="paradise "/>
        <s v="pizza hut "/>
        <s v="kfc "/>
        <s v="mfc "/>
        <s v="momo street"/>
        <s v="pista house"/>
        <s v="cafe coffee day"/>
        <s v="toops"/>
        <s v="the whole in the wall"/>
        <s v="rs biryani"/>
        <s v="scandy "/>
        <s v="darbar street"/>
        <s v="kamat hotel "/>
        <s v="the eatary hub "/>
        <s v="bhwaneee multicsine"/>
        <s v="Idv kitchen munthamasala"/>
        <s v="Balaji mitai bhander"/>
        <s v="Laxmi godavari ruchulu "/>
        <s v="Brown bear baking "/>
        <s v="Sreeja home foods"/>
        <s v="Hotel the Nawabi zaiqa"/>
        <s v="Kalpana tiffins and meals "/>
        <s v="Souskis foodies club "/>
        <s v="Kohinoor restaurant "/>
        <s v="Satti Babu Biryani "/>
        <s v="Geetha hotel"/>
        <s v="Om sai kitchens "/>
        <s v="On Sai kitchens "/>
        <s v="Hakka Chinese food"/>
        <s v="Kks bakers"/>
        <s v="Butta biryani"/>
        <s v="Kolkata food plaza"/>
        <s v="Shawarma by roxtarz"/>
        <s v="Sri vijaya laxmi  food court "/>
        <s v="Karthikeya chitti nethi idly "/>
        <s v="Chaat baazar"/>
        <s v="Chat bazar "/>
        <s v="Amogha Cafe"/>
        <s v="Tibb’s Frankie"/>
        <s v="Godhavari bajji mirchi "/>
        <s v="Bakers Corner"/>
        <s v="Captain cook "/>
        <s v="Adbatuha "/>
        <s v="Ravi Babu food court"/>
        <s v="Hitech food court"/>
        <s v="Omg bites"/>
        <s v="Masti 4am biryani"/>
        <s v="Charminar biryani"/>
        <s v="Konaseema Ruchulu"/>
        <s v="Sri pratyeka kitchen"/>
        <s v="Diamond food court"/>
        <s v=" prime deccan restaurant "/>
        <s v="royal family dhaba"/>
        <s v="sai martha food court"/>
        <s v=" almas restaurant "/>
        <s v="AG Food Court"/>
        <s v="santosh dhaba "/>
        <s v="Al faizan arabian mandi "/>
        <s v="  krishna udipi  park "/>
        <s v="Royal family dhaba  snackes"/>
        <s v="Ruchi Chupistha"/>
        <s v="Dakshina desapu ruchulu "/>
        <s v="President dhabha"/>
        <s v="Minyu"/>
        <s v="Hamara adda"/>
        <s v="11 • food court "/>
        <s v="The friger co "/>
        <s v="Btech tiffins "/>
        <s v="Paasa local"/>
        <s v="Om Sri Hanuman Foods"/>
        <s v="Balaji Muntha Masala"/>
        <s v="Balaji Kitchens"/>
        <s v="Aroma Biryanis &amp; palauos"/>
        <s v="Aroma Meals and chineese"/>
        <s v="Dfc "/>
        <s v="Govadarai baji mirchi "/>
        <s v="The one and only tasty "/>
        <s v="Chat baazar"/>
        <s v="Kings bakers "/>
        <s v="Karthikeya ghee and dosa"/>
        <s v="Allamduillah hotel "/>
        <s v="Sangamesh fast food "/>
        <s v="Maa Bhojanam "/>
        <s v="Taaza tiffens"/>
        <s v="Madrasi military hotel "/>
        <s v="Eatery hub "/>
        <s v="Hotel valentine "/>
        <s v="Lebanese girl "/>
        <s v="Bhawaanee multi cusine"/>
        <s v="Rk Chinese "/>
        <s v="Vinyaka tiffins "/>
        <s v="Shawarma by rock star"/>
        <s v="Butta biryani "/>
        <s v="Kks bakers "/>
        <s v="Hakka Chinese foods"/>
        <s v="Geetha hotel "/>
        <s v="Ala konaseemalo "/>
        <s v="Kalpana tiffens and melas "/>
        <s v="Brown bear bakery "/>
        <s v="Babuvgaru ruchulu"/>
        <s v="Babu Bagunnava biryani"/>
        <s v="Bandababu palau"/>
        <s v="Mana oori mess"/>
        <s v="Anandobhrahma"/>
        <s v="Biryani and biryanis"/>
        <s v="Shiva food court"/>
        <s v="Vaarahi foods"/>
        <s v="sai martha food court "/>
        <s v="babu garu ruchulu and curry point "/>
        <s v="Dolphin drivn"/>
        <s v="Dwaraka Mai Tiffins"/>
        <s v=" mammu's kitchen "/>
        <s v=" ala konaseemaloo  "/>
        <s v="Sri Harsha deluxe mess"/>
        <s v="Godavari food court "/>
        <s v="Lakshmi Prasanna Andhra mess"/>
        <s v="Pondy parrottas "/>
        <s v="Shadruchulu "/>
        <s v="Kokko Roko "/>
        <s v="Cafe Melli And Bakery "/>
        <s v="The Hazelnut Co"/>
        <s v="Celebs"/>
        <s v="Lakshmi villas"/>
        <s v="Telugu authentic ruchulu"/>
        <s v="Hotel sarvanam"/>
        <s v="Mithra vindha mess"/>
        <s v="Bandodu palauu"/>
        <s v="Thinu ra mawa"/>
        <s v="Golden toast bakery"/>
        <s v="Broast cafe"/>
        <s v="Mathani Juice hub"/>
        <s v="Poriginti Chapala Pulsu"/>
        <s v="Pulao Kitchen com"/>
        <s v="Mandilicious"/>
        <s v="RK brundavan Food Court"/>
        <s v="Sr Food Court"/>
        <s v="Sri Tiffins And Meals"/>
        <s v="Cream Town"/>
        <s v="Ayan Foods"/>
        <s v="Prasthista Food Court"/>
        <s v="Ganesh Foods"/>
        <s v="Abhiruchi"/>
        <s v="Moksh Food Corner"/>
        <s v="Sri Vengamamba Deluxe Mess"/>
        <s v="Sri vengamamba Tiffins"/>
        <s v="Sri vengamamba Chinese Foods"/>
        <s v="Apsara Badam Milk"/>
        <s v="Lickees"/>
        <s v="Chowman"/>
        <s v="Chowman - Madhapur"/>
        <s v="Hotel Yousufain Kalyani"/>
        <s v="Zamindar's Cafe"/>
        <s v="Chutneys "/>
        <s v="Goorang kitchen "/>
        <s v="Bhojanam thayaru"/>
        <s v="The hole in the wall"/>
        <s v="The soul curry and kadalipathra"/>
        <s v="Nataka"/>
        <s v="Monday Restaurant "/>
        <s v="Kunafa Cravings "/>
        <s v="Monday Hotel "/>
        <s v="Elysium Restaurant "/>
        <s v="Minerva"/>
        <s v="Iron hill"/>
        <s v="Palao and pulavus"/>
        <s v="Thugo"/>
        <s v="Desert corner"/>
        <s v="Machilipatnam"/>
        <s v="Raw bakers "/>
        <s v="Balaji santhosh dhabha"/>
        <s v="Shringeri kitchen"/>
        <s v="IDV kitchen"/>
        <s v="Delizia Cafe"/>
        <s v="Konaseema Vantillu"/>
        <s v="Srinidhi Food Zone"/>
        <s v="Godavari Chepala Pulusu"/>
        <s v="Eerababu Pulav"/>
        <s v="Wine dine Restaurant"/>
        <s v="SRI SAI FAMOUS UDIPI &amp; TIFFINS"/>
        <s v="Vada pav station"/>
        <s v="Rainbow Foods"/>
        <s v="Maska Chaska - The fastfoods company"/>
        <s v="Balaji mithai bhandar "/>
        <s v="Seas curries "/>
        <s v="Brown bear bakers "/>
        <s v="Kalpana tiffens and meals "/>
        <s v="Hotel Nawabi "/>
        <s v="Geetha hotels "/>
        <s v="Hakka Chinese foods "/>
        <s v="Kk bakers "/>
        <s v="Shawarma by to roxtarz"/>
        <s v="Chaat bazzar"/>
        <s v="Godavari bajji Mirchi "/>
        <s v="President dhaba "/>
        <s v="Minyu "/>
        <s v="Betech tiffens "/>
        <s v="Mr cook"/>
        <s v="Kssr bakers "/>
        <s v="The whole in the wall "/>
        <s v="Krishnapatanam"/>
        <s v="Goorangs kitchen "/>
        <s v="Boojanam thayaru "/>
        <s v="The soul curry kadali path pathra"/>
        <s v="Maharaja "/>
        <s v=" Dhaba food Court "/>
        <s v="Polar bear "/>
        <s v="Machillipatanam "/>
        <s v="Swayarasa"/>
        <s v="Mekong "/>
        <s v="Go rang "/>
        <s v="Boojanam thayaru"/>
        <s v="Fusion 9 "/>
        <s v="Red Box "/>
        <s v="Pot biryani "/>
        <s v="Mughals "/>
        <s v="Glow sip"/>
        <s v="Palamuru grill "/>
        <s v="Toops "/>
        <s v="Ahobilam millets "/>
        <s v="Sai ram curries and meals"/>
        <s v="KL spice kitchen "/>
        <s v="Mainland china "/>
        <s v="Ohh Calicut "/>
        <s v="Salt Indian Restaurant"/>
        <s v="Nivedhya "/>
        <s v="Pav baji"/>
        <s v="Navideya "/>
        <s v="Momo ghar "/>
        <s v="Chinese hawk "/>
        <s v="Zufra mandi "/>
        <s v="Amul ice cream parlour"/>
        <s v="Seven starts restaurant "/>
        <s v="Janapriya restaurant "/>
        <s v="Raghavendra food hub"/>
        <s v="Shreeshan kitchen "/>
        <s v="The burger company "/>
        <s v="Ahla adha kitchen"/>
        <s v="Big byte cafe "/>
        <s v="Grizzly"/>
        <s v="The shawarma co"/>
        <s v="Panchabhakshya"/>
        <s v="Vijwal Grand Resturant"/>
        <s v="Vaibhav Resturant"/>
        <s v="Sri Ankapur Bhojanam"/>
        <s v="Ravulapalem Vantillu"/>
        <s v="Sri Vasista Foods"/>
        <s v="Mr.Shawarma and Ms.Shawarma"/>
        <s v="Pulnadu Ruchulu"/>
        <s v="Spicy Table"/>
        <s v="Mista Eats"/>
        <s v="Masala restaurant "/>
        <s v="Sri Tirumala bakery"/>
        <s v="Gokul tiffin center "/>
        <s v="Arabian Mandi res"/>
        <s v="Lassi story"/>
        <s v="Chickpet donne biryani house "/>
        <s v="Naidu Gari Kunda biryani"/>
        <s v="Pondy Parottas"/>
        <s v="Abhiruchi Biriyani"/>
        <s v="Darbar Family Restaurant "/>
        <s v="RIVORA THE CAFE"/>
        <s v="Donne Biriyani House "/>
        <s v="Samjam's Pizza "/>
        <s v="Vaarahi Kitchen "/>
        <s v="Mumbai Masala "/>
        <s v="Sri Abhiruchi"/>
        <s v="Minerva blue fox"/>
        <s v="Thurpu Godhavari restaurant "/>
        <s v="Rayala seema ruchulu"/>
        <s v="Tara kitchen"/>
        <s v="Anandhobhrama"/>
        <s v="Ahaar kitchen "/>
        <s v="Habibo"/>
        <s v="Amogha "/>
        <s v="Madhu restraunt "/>
        <s v="Victoria grand "/>
        <s v="Amarvathi tiffens "/>
        <s v="Athidhis kitchen "/>
        <s v="Cake factory "/>
        <s v="Bahar cafe "/>
        <s v="Limra fast food centre "/>
        <s v="SRI NAGARJUNA TIFFINS "/>
        <s v="Bhojanam thali"/>
        <s v="Errababu pulao"/>
        <s v="Guntur Goongura "/>
        <s v="Burma Burma"/>
        <s v="Telugu Medium"/>
        <s v="Punjabi Affair"/>
        <s v="Suto cafe"/>
        <s v="Smocky Docky"/>
        <s v="Chinese Wok"/>
        <s v="Burn"/>
        <s v="Kebabs of Kumbakhh"/>
        <s v="Ammammagari hotel"/>
        <s v="Janapriya restaurant"/>
        <s v="Bagara biryani"/>
        <s v="Smoke Rebels"/>
        <s v="minsitry of coffee affairs"/>
        <s v="the big cup theory"/>
        <s v="hyderabad hosts"/>
        <s v="circars burgars "/>
        <s v="varahi foods "/>
        <s v="zamindar restaurant "/>
        <s v="Harsha delux mess"/>
        <s v="Southern spice "/>
        <s v="Arambam"/>
        <s v="Tugo flavours "/>
        <s v="Vasista laxmi"/>
        <s v="Kochin spices "/>
        <s v="Pallekodi"/>
        <s v="City kitchen "/>
        <s v="Curry man"/>
        <s v="Golkanda chef"/>
        <s v="Hulchal desserts and bakers "/>
        <s v="Sorse "/>
      </sharedItems>
    </cacheField>
    <cacheField name="Name of Ra" numFmtId="0">
      <sharedItems containsString="0" containsBlank="1">
        <m/>
      </sharedItems>
    </cacheField>
    <cacheField name="Restaurant Name Concat" numFmtId="0">
      <sharedItems containsBlank="1">
        <m/>
        <s v="5823694"/>
        <s v="Bhuvan’s Kitchen "/>
        <s v="12345578"/>
        <s v="Bhojanams &amp; Birynis"/>
        <s v="Sunrise Business Hotel"/>
        <s v="ZYROS BIRYANI HOUSE "/>
        <s v="Slice of Spice"/>
        <s v="ROLO BAKERS"/>
        <s v=" rayalseema spice  restaurant  "/>
        <s v="alankrutha multicuisine restaurant "/>
        <s v="GUNTUR MESS"/>
        <s v="Bihar Dhaba"/>
        <s v="hunan chinese cusine "/>
        <s v="Krishna teeram"/>
        <s v="Ahaladha kitchen"/>
        <s v="Rameshwaram cafe"/>
        <s v="Hamara Adda"/>
        <s v="Delicia"/>
        <s v="Palapitta Ruchulu"/>
        <s v="lucky restaurant "/>
        <s v="kiss me mandi"/>
        <s v="Girl Friend Mandi"/>
        <s v="Shree Balaji Tiffin Center"/>
        <s v="President Dhaba"/>
        <s v=" lucky multicusine restaurant "/>
        <s v="godavari restaurant "/>
        <s v="frozen bottles "/>
        <s v="Adhirath"/>
        <s v="minyu"/>
        <s v=" hyderabad host"/>
        <s v="BIRYANI N BIRYANI"/>
        <s v="Mehfil"/>
        <s v="king mandi "/>
        <s v="AL RAWAF HOME MADE DISHES"/>
        <s v="Govinda's Resturant"/>
        <s v="KNOX"/>
        <s v="NEW FARMAISH RESTAURANT"/>
        <s v="Bahar Biryani"/>
        <s v="Zythum"/>
        <s v="Singha Dhaba"/>
        <s v="Ohri's Cake Nation"/>
        <s v="KNOX "/>
        <s v="Naseeb Cafe"/>
        <s v="Sri Balaji Family Dhaba"/>
        <s v="10th street coffee"/>
        <s v="Mujataba Grills"/>
        <s v="Minerva Blue fox hotel "/>
        <s v="Rayalasema Ruchulu"/>
        <s v="Ahara Tiffins"/>
        <s v="Samastha Tiffins "/>
        <s v="Mokshi kitchens"/>
        <s v="Exotic Shawarma"/>
        <s v="Sri Sai Swetha foods"/>
        <s v="JUS VOUS"/>
        <s v="BEGUM KI BIRYANI"/>
        <s v="FOOD 4 U"/>
        <s v="TAHARI HOUSE"/>
        <s v="RAHAT RESTURANT"/>
        <s v="Bhavani mess"/>
        <s v="Kausar cafe,Al nabi cafe"/>
        <s v="Madhapuram food court "/>
        <s v=""/>
        <s v="godavari  restaurant "/>
        <s v="anand bhavan mess "/>
        <s v="UCKY RESTAURANT"/>
        <s v="The smash city"/>
        <s v="Gold sparrow millets "/>
        <s v="BREW COMMUNE CAFE&amp;BISTRO"/>
        <s v="NA"/>
        <s v="HOTEL INNER CIRCLE"/>
        <s v="RENAO"/>
        <s v="merajs restraunt "/>
        <s v="Flavors Of Briyani Cafe"/>
        <s v="lassi corner "/>
        <s v="Pandu Fast Food Center"/>
        <s v="sri udupi grand pure veg"/>
        <s v="SSR FOOD ZONE"/>
        <s v="Mammu’s Kitchen"/>
        <s v="Kshatriya Grand"/>
        <s v="Bakeway bakers "/>
        <s v="Golconda Biryani House"/>
        <s v="Veeramma Gari Vantillu"/>
        <s v="Bhojanam Tayyari"/>
        <s v="Mandi@36"/>
        <s v="CAFE REELS"/>
        <s v="Veera di chaap"/>
        <s v="Donut O clock"/>
        <s v="kush mandi"/>
        <s v="LUCKY RESTAURANT"/>
        <s v="Tempt chocolates"/>
        <s v="La Boulangerie"/>
        <s v="BABAI HOTEL"/>
        <s v="Say cheese patisserie"/>
        <s v="SARVI RESTAURANT "/>
        <s v="Labond"/>
        <s v="Chubby Chow"/>
        <s v="Maraheb mandi"/>
        <s v="Hiyya the chrono jail mandi"/>
        <s v="Burma Burma"/>
        <s v="Toscano"/>
        <s v="itlu bobbatlu"/>
        <s v="Gabru Di Chaap"/>
        <s v="kumbhakk"/>
        <s v="1000 biryanis"/>
        <s v="Hard rock cafe"/>
        <s v="krishnapatanam "/>
        <s v="my froyo land"/>
        <s v="California Burrito "/>
        <s v="Rayalaseema Ruchulu "/>
        <s v="Rayalaseema spice "/>
        <s v="Kake di hatti"/>
        <s v="Cafe Cilantro "/>
        <s v="Vaikuntapuram"/>
        <s v="Mama Thinu"/>
        <s v="Simply parottas "/>
        <s v="Onesta Pizzeria "/>
        <s v="Parampara "/>
        <s v="Tipsy Topsy Bakers"/>
        <s v="ARMAN HOTEL"/>
        <s v="Suryakantham military hotel "/>
        <s v="D and D Caters "/>
        <s v="Manasa Kitchen"/>
        <s v="Vasista Sri Lakshmi "/>
        <s v="Dosthugallu Mandi"/>
        <s v="Namesthe"/>
        <s v="Spicy Express "/>
        <s v="Chintamani Pulaos"/>
        <s v="royal arabian mandi "/>
        <s v="7 spices "/>
        <s v="Brew and bloom coffee heaven shop"/>
        <s v="Santosh Dhaba"/>
        <s v="Raw bakers"/>
        <s v="South n spice "/>
        <s v="Biryaniwala nd co"/>
        <s v="Sree vakula kitchen"/>
        <s v="mr faddy "/>
        <s v=" gyros doner by nice juice centre "/>
        <s v="Kohinoor Restaurant "/>
        <s v="kabul darbar"/>
        <s v="Anu Archana kitchen "/>
        <s v="SUBHAM GRAND MULTI CUISINE FAMILY RESTAURANT"/>
        <s v="hotel armani"/>
        <s v="pakisa"/>
        <s v="parcel counter"/>
        <s v="fb bakers"/>
        <s v="MAHARAJA "/>
        <s v="ZEESHAN "/>
        <s v="THATTI IDLY "/>
        <s v="The good sparrow"/>
        <s v="Bhoojanam Tayyaru"/>
        <s v="Tadipatri"/>
        <s v="N"/>
        <s v="LUCKY RESTAURANT [somajiguda]"/>
        <s v="Anu Archan Kitchen"/>
        <s v="Ma potta Ma istam"/>
        <s v="Dragon Tales"/>
        <s v="Aaha"/>
        <s v="Viyala vari pindi vantalu"/>
        <s v="Karam Dosa"/>
        <s v="Qubz The shewarma Revolution "/>
        <s v="Ttastryy"/>
        <s v="SHOHRAT"/>
        <s v="Chantabbai Biryani "/>
        <s v="Navarasa "/>
        <s v="Reddy Brothers "/>
        <s v="Vasireddy swagruha foods "/>
        <s v="Mandi king "/>
        <s v="Good Flipping Burgers "/>
        <s v="Girl friend mandi "/>
        <s v="Babai Hotel "/>
        <s v="Vela Bites"/>
        <s v="Brew Commune and Bistro "/>
        <s v="Polar bear "/>
        <s v="Thick shake factory "/>
        <s v="Palle vindu"/>
        <s v="Suryakantham Military hotel"/>
        <s v="Biryaniwala &amp; CO"/>
        <s v="Kanchi cafe"/>
        <s v="Abu Zayed Bait Al Mandi"/>
        <s v="The Indian wok"/>
        <s v="Eat spotEat spot "/>
        <s v="Hari Dosa "/>
        <s v="Kings biryani adda Kings biryani "/>
        <s v="Tipsy Topsy "/>
        <s v="The turban taste"/>
        <s v="Cake exotica bakers"/>
        <s v="Palleturi dosa"/>
        <s v="AI RAHAMN BAKERYAI RAHAMAN BAKERY"/>
        <s v="AFC"/>
        <s v="Honey foods Tapeshwaram Kaja"/>
        <s v="AL BAIK AL BAIK"/>
        <s v="Coffee place "/>
        <s v="Al - RikaaabAl Rikaab"/>
        <s v="Kalingapatnam "/>
        <s v="Mayuri Foods"/>
        <s v="Missamma restaurant "/>
        <s v="Gatox cafe "/>
        <s v="Garuda Cafe"/>
        <s v="Sns bake house bakery nd cafe Sns bakehouse bakery and cafe "/>
        <s v="Al Saba cafe"/>
        <s v="Kochin spicesKochinspices"/>
        <s v="Smoky docky"/>
        <s v="Poruginti chepala pulusu Poruginti chepala pulusu "/>
        <s v="CAFE UNITED CAFE UNITED"/>
        <s v="1pm to 1am"/>
        <s v="Zamindars cafe"/>
        <s v="hitech bawarchi food court "/>
        <s v="100N Gourmet shawarma the homly bowls"/>
        <s v="MMD Restaurant "/>
        <s v="Sri vindha tiffins"/>
        <s v="Hulchal desserts and bakers"/>
        <s v="Rainbow mandi restaurant "/>
        <s v="Hotel FarzaanHotel Farzaan"/>
        <s v="Royal Darbar"/>
        <s v="Tipsy Topsy Tipsy Topsy "/>
        <s v="Exotica bakers"/>
        <s v="Padmavathi food court"/>
        <s v="punjabi Dhaba"/>
        <s v="Cozmo Cafe "/>
        <s v="Alkapuri Bawarchi Biryani "/>
        <s v="GYRO DONER "/>
        <s v="morine bakery"/>
        <s v="Balaji Family Dabha"/>
        <s v="fire and ice bakers "/>
        <s v="Amrutham"/>
        <s v="surabhi hotel udupi veg "/>
        <s v="Shiva Nagi Reddy sweets"/>
        <s v="Trinetra Cafe &amp; Restaurant"/>
        <s v="Koduris kitchen "/>
        <s v="Bamma tiffins "/>
        <s v="Urban Franky "/>
        <s v="Raja Rani Ruchulu"/>
        <s v="Suryakantham Military HotelSuryakantham Military Hotel"/>
        <s v="Palle Vindu Dosa "/>
        <s v="A1 shawarma bites "/>
        <s v="Yummy Feast"/>
        <s v="Hut-K Biryani "/>
        <s v="Great Britain waffle "/>
        <s v="Ritvikas kitchenRitvikas kitchen "/>
        <s v="Sweet Stories"/>
        <s v="Naidu gari kunda biryani Naidu gari kunda biryani"/>
        <s v="Old A1 Restraunt "/>
        <s v="Kakatiyya TuffinsKakatiyya tiffins"/>
        <s v="Bahar cafe"/>
        <s v="CAFE 555 AND AQEEQ RESTAURANTCAFE 555 AND AQEEQ RESTAURANT"/>
        <s v="imperial  multicuisine restaurant"/>
        <s v="AN TE RA KITCHEN AND BAR"/>
        <s v="Amogha"/>
        <s v="Shanghai chef "/>
        <s v="Wow momo"/>
        <s v="Gali punjab di "/>
        <s v="Polar bear the ice cream sundae zone "/>
        <s v="Meghana non veg parcelsMeghana non veg parcels"/>
        <s v="Satyam foods "/>
        <s v="Emerald food house Emerald food house "/>
        <s v="Patiala plate "/>
        <s v="Lassi and shakesLassi and shakes"/>
        <s v="Hanuman juice point"/>
        <s v="Trigunas kitchen"/>
        <s v="Chaayos"/>
        <s v="Raagam foods"/>
        <s v="The spicy venue"/>
        <s v="Sri Kanya comfort"/>
        <s v="mayur sweets and dry fruits "/>
        <s v=" ganesh virat food court"/>
        <s v="Itihaas Restaurant and Banquets"/>
        <s v="chai nagri "/>
        <s v="Alanati"/>
        <s v="Gumagumalu "/>
        <s v="Chopsticks"/>
        <s v="Parchuri foods"/>
        <s v="Nakshtra Tiffins "/>
        <s v="Bakers Town "/>
        <s v="Nellore Padmvati Ruchlu "/>
        <s v="Cake Walkers "/>
        <s v="Mother’s Kitchen"/>
        <s v="Vindhu Maharaj"/>
        <s v="Amogha Cafe and restaurant "/>
        <s v="Sri Aadhaya Delicious "/>
        <s v="Wow! Vadapav"/>
        <s v="Creative Home Baker’s "/>
        <s v="Wrappy"/>
        <s v="Raj Darbar"/>
        <s v="Fuel smoke House "/>
        <s v="Sri Krishna"/>
        <s v="Om sree Sai foods"/>
        <s v="Manduva Ruchulu "/>
        <s v=" dadas tiffin and fast food "/>
        <s v=" Hotel shurbhi udpi"/>
        <s v="elite delight cafe "/>
        <s v=" krishna grand  "/>
        <s v="Kadali kitchen"/>
        <s v="City 555City555"/>
        <s v="Imperative Imperial "/>
        <s v="Dwarak Res"/>
        <s v="Hyderabad wala"/>
        <s v="Mana O Salv"/>
        <s v="Sree Balaji Tiffins"/>
        <s v="Palnodu Caterers"/>
        <s v="The Bombay Chaat"/>
        <s v="Sangeeth Kitchen "/>
        <s v="Bruvaka Tiffins"/>
        <s v="Sri Raghavendra Cafe"/>
        <s v="Errababu Pulavos"/>
        <s v="Chittibabu Biryani "/>
        <s v="Sahi nawabs biryani"/>
        <s v="Gadu Rajugari Ruchulu"/>
        <s v="Military Rajanna Hotel"/>
        <s v="Bulli abbai kodi palav"/>
        <s v="Arukha Flavours "/>
        <s v="Amma chethi RuchuluNa"/>
        <s v="Tara kitchen "/>
        <s v="Hello Kafe "/>
        <s v="Brew Gato"/>
        <s v="Amma chethi Ruchulu"/>
        <s v=" Bhimavaram thali Bhimavaram thali "/>
        <s v="badrachalam cafe badrachalam cafe"/>
        <s v="laibas cafe"/>
        <s v="rrr mandi"/>
        <s v="bab al mandibab al mandi"/>
        <s v="arabian affairs "/>
        <s v="sreenindhi fast food "/>
        <s v="oven fresh bakery oven fresh bakery"/>
        <s v="nawabi "/>
        <s v="tealogy "/>
        <s v="bawarchi express"/>
        <s v="madhura restraunt bar na"/>
        <s v="flavours of andhra na"/>
        <s v="gismat jailnza"/>
        <s v="kaaram the authentic telangana spice kitchen "/>
        <s v="Test"/>
        <s v="Vinni cabin cafe Vinni cabin cafe "/>
        <s v="Indira Darshini tiffins "/>
        <s v=" Aha Dakshin Aha Dakshin Aha Dakshin"/>
        <s v="Burger KingBurger KingBurger King"/>
        <s v="WOW ChinaWOW ChinaWOW China"/>
        <s v="The Thickshake Factory The Thickshake Factory The Thickshake Factory "/>
        <s v="The Spicy Express The Spicy Express "/>
        <s v="FrankieFrankieFrankie"/>
        <s v="Venkees kitchen "/>
        <s v="FireWater"/>
        <s v="Fuel Box"/>
        <s v="Khaan SaabKhaan SaabKhaan Saab"/>
        <s v="Chai point Chai point Chai point "/>
        <s v="Onesta Onesta Onesta "/>
        <s v="Sweet Basket"/>
        <s v="Agra Sweets "/>
        <s v="Machili Patnam "/>
        <s v="Big Byte "/>
        <s v="Amy’s cafe "/>
        <s v="Tosh e Daan "/>
        <s v="Tteok bokki "/>
        <s v="Bakers Harvest "/>
        <s v="Sri Raghavendra Bhavan"/>
        <s v="Kings Kohinoor Hotels"/>
        <s v="7th Heaven &amp; white hart7th Heaven &amp; white hart7th Heaven &amp; white hart"/>
        <s v="Swad of Grandma "/>
        <s v="Burfi ghar"/>
        <s v="preeti tiffins"/>
        <s v="Andhra canteen"/>
        <s v=" fire and ice cream  fire and ice  ice cream "/>
        <s v="Bakers HarvestBakers harvest"/>
        <s v="minerva  sweet "/>
        <s v="Kodi kura chitti gaare"/>
        <s v="Hope in a cup"/>
        <s v="Deccan Dhaba"/>
        <s v="priyansh fast food "/>
        <s v="Sardarji kitchen "/>
        <s v="mysore bakery "/>
        <s v="Kingston Restaurant "/>
        <s v="Akshaya bhojanam "/>
        <s v="NAWAB CAFETERIANAWAB CAFETERIA"/>
        <s v="Bejjawada junction"/>
        <s v="Hard Rock CafeHard Rock Cafe"/>
        <s v="Deerga Ayushman bhava Deerga Ayushman bhava "/>
        <s v="Simply parottas Simply parottas "/>
        <s v="Hari dosaHari dosa "/>
        <s v="Missamma restaurant Missamma restaurant "/>
        <s v="Rainbow mandi restaurant Rainbow mandi "/>
        <s v="Raagam foods Raagam foods "/>
        <s v="Kings biryani adda Kings biryani adda "/>
        <s v="QubzQubz"/>
        <s v="SS BAWARCHI"/>
        <s v="Al Aadaab Arabian Mandi Restaurant "/>
        <s v="SRI RAMANA MAHARSHI FOOD COURT "/>
        <s v="TEAALOGY"/>
        <s v="oak bistro"/>
        <s v="SHA SHA SHAWARMA "/>
        <s v="AROMA BIRYANIS PULAOS   "/>
        <s v="flavours of andhra"/>
        <s v="Daily Rituals"/>
        <s v="Tiffins and more"/>
        <s v="Dwaraka Restuarant "/>
        <s v="special 9Special 9"/>
        <s v="Saharsh udipi"/>
        <s v="My bowl"/>
        <s v="Palapitta ruchuluPala pitta ruchulu"/>
        <s v="Patnam ruchuluPatnam ruchulu"/>
        <s v="Kodi kura chitti gare"/>
        <s v="Shawarma burger"/>
        <s v="Cafe Ikigai"/>
        <s v="Barbeque nation"/>
        <s v="DID LI Arabian kitchen"/>
        <s v="Bejawada junction"/>
        <s v="Tadipathri biryani"/>
        <s v="PandagaPandaga"/>
        <s v="SorseSorse"/>
        <s v="Udupi restaurant"/>
        <s v="Cafe Delhi Heights"/>
        <s v="Chutnety's"/>
        <s v="Starbucks"/>
        <s v="Wisphot"/>
        <s v="Foo"/>
        <s v="Popoyes"/>
        <s v="Mad about China +  Indian Tadka"/>
        <s v="Keventers"/>
        <s v="California Burrito"/>
        <s v="KFC Inorbit Mall"/>
        <s v="Pluto (Soda)"/>
        <s v="The Yellow Straw"/>
        <s v="AM AHA"/>
        <s v="Amnesia Sky Bar"/>
        <s v="Absolute Barbeque"/>
        <s v="Game Palacio"/>
        <s v="HaldiramsHaldirams"/>
        <s v="Almond HouseAlmond House"/>
        <s v="MezbaanMezbaan"/>
        <s v="PeshawarPeshawar"/>
        <s v="Organic creameryOrganic Creamery"/>
        <s v="Murugans Cofee"/>
        <s v="House of Taste"/>
        <s v="Shanghai flavours of chinaShanghai Flavours of China"/>
        <s v="VR Tiffins"/>
        <s v="Slice and Sauce "/>
        <s v="Karachi BakeryKarachi Bakery"/>
        <s v="Laksmi Duga Andhra Ruchulu"/>
        <s v="Theme Cafe"/>
        <s v="Baskin Robbins"/>
        <s v="Pizza Mania"/>
        <s v="Andhra House"/>
        <s v="Maska Chaska"/>
        <s v="Bimvaram Bulodu"/>
        <s v="Ahara Avaham"/>
        <s v="Burfighar"/>
        <s v="Punjabi paratha House "/>
        <s v="Cherrys Restaurant "/>
        <s v="IFC- Indian favourite Chef"/>
        <s v="My Biriyani "/>
        <s v="NarthanashalaNarthanashala"/>
        <s v="Southern Fusion"/>
        <s v="Spicy hutSpicy hut"/>
        <s v="SS Live Kitchen"/>
        <s v="The bake factory"/>
        <s v="Mayabazar"/>
        <s v="Maheswari balaji family dhabha "/>
        <s v="Kings Restaurant and bar "/>
        <s v="RR Food Court"/>
        <s v="KS Bakers"/>
        <s v="Fb bakersFb bakers"/>
        <s v="Tulja Bhavani Hotel"/>
        <s v="Sri subham food court Sri subham food court "/>
        <s v="Bichareddy"/>
        <s v="Lassi shopLassi shop"/>
        <s v="Peni icecandy"/>
        <s v="Just bake"/>
        <s v="Sandwichsquare "/>
        <s v="Mojo Pizza"/>
        <s v="Authenetic kunda biryanis"/>
        <s v="Times food courttTimes food courtt"/>
        <s v="Vrindhavan kitchen"/>
        <s v="Kulcha kulchaKulcha kulcha"/>
        <s v="The red box"/>
        <s v="Claysutra pottery"/>
        <s v="Livora cafe nd kitchen"/>
        <s v="Southern fusionSouthern fusion"/>
        <s v="IFC INDIAN FAV CHEFIFC INDIAN FAV CHEF"/>
        <s v="Bulli abbai kodi palau"/>
        <s v="Brands of Bhimavaram (bob)Na"/>
        <s v="Ahara KitchensNa"/>
        <s v="Le Meridien HyderabadLe Meridian"/>
        <s v="Burger KingBurger King"/>
        <s v="Sweets DudeSweets Dude"/>
        <s v="ACCORAccor"/>
        <s v="Sri Sai Rama tiffins"/>
        <s v="Sri varahi sampradaya vindhu "/>
        <s v="WOW ChinaWOW China"/>
        <s v="Kunafa BakeKunafa Bake"/>
        <s v="FrankieFrankie"/>
        <s v="Chai PointChai Point"/>
        <s v="7th Heaven &amp; white hart7th Heaven &amp; white hart"/>
        <s v="HaldiramHaldiram"/>
        <s v="Hakka Station"/>
        <s v="Sattva Food Court"/>
        <s v="Raasta"/>
        <s v="Flurry"/>
        <s v="Cream Centre"/>
        <s v="Whisky Samba"/>
        <s v="Moms recipe "/>
        <s v="Samastha Tiffins"/>
        <s v="Yousiffain kalyani biryani "/>
        <s v="Iq shawarma"/>
        <s v="Zamana shawarma"/>
        <s v="Santhakam ruchulu"/>
        <s v="Blend and roast cafe"/>
        <s v="Mahreens kitchen "/>
        <s v="Chicken shawarma hut"/>
        <s v="Manam Chocolate"/>
        <s v="Sabko"/>
        <s v="Chinese express "/>
        <s v="Ichirakai Rameen house"/>
        <s v="Rao gari military hotel"/>
        <s v="Kamakshi tiffins"/>
        <s v="Kamakshi snakes meals and curries"/>
        <s v="Royal odisha daba"/>
        <s v="Shasha shandaar shawarma"/>
        <s v="Palle vindhu"/>
        <s v="Malabaris"/>
        <s v="Zara hi fi restaurent"/>
        <s v="Sankala bakerySankala bakery"/>
        <s v="Babai ruchi mess nd biryani"/>
        <s v="Spicy food courtSpicy food court"/>
        <s v="Tass Spice hut"/>
        <s v="Midhunam"/>
        <s v="Rayalaseema spiceRayalaseema spice"/>
        <s v="BTO PIZZA WINGS SALAD"/>
        <s v="Spicy Express Spicy Express "/>
        <s v="Rooster Chicken "/>
        <s v="Dragon Kitchen "/>
        <s v="Slice and Bytes "/>
        <s v="Ayaansh Food Court"/>
        <s v="Red Bucket Biryani "/>
        <s v="Ahara Aahvanam"/>
        <s v="Annam Parabrahma"/>
        <s v="HITECH BAWARCHI FOOD ZONE"/>
        <s v="SURABHI HOTEL"/>
        <s v="USTAADS HYDERABADI ZAIQA"/>
        <s v="GRANDSONS BADEMIYAN KEBAB AND RESTAURANT"/>
        <s v="AAHARA FOOD COURT"/>
        <s v="GULF BAKERS"/>
        <s v="JAI BHAVANI AK FOOD COURTJAI BHAVANI AK FOOD COURT"/>
        <s v="SANGAM DHABA"/>
        <s v="ASTRIO RESTAURANT"/>
        <s v="SK MUNNA RESTAURANT"/>
        <s v="DWARAKA MULTICUISINE RESTAURANT"/>
        <s v="HYDERABAD SHAHI RESTAURANT"/>
        <s v="NAIDUS FOOD COURT"/>
        <s v="Dine o china"/>
        <s v="Arya tiffinsArya tiffins"/>
        <s v="Subway"/>
        <s v="Waffles N More"/>
        <s v="Sai Ram tiffins Sai Ram tiffins "/>
        <s v="Nosh bistro "/>
        <s v="Vasudo dhaba Vasudo dhaba "/>
        <s v="La chai de"/>
        <s v="Delhi ke famous nagpalsDelhi ke famous nagpals "/>
        <s v="Aamantran"/>
        <s v="Udupi tiffins veg"/>
        <s v="Street darbar "/>
        <s v="BBQ Bites "/>
        <s v="Shiridi sai tiffins meals and snacks"/>
        <s v="Grand bawarchi hotel "/>
        <s v="Pakka telangana "/>
        <s v="PersisPersis"/>
        <s v="Bhattad ki idly"/>
        <s v="Woodfire pizza "/>
        <s v="Athidis kitchen Athidis kitchen "/>
        <s v="Malabar kitchen"/>
        <s v="Punjabi chaskaPunjabi chaska"/>
        <s v="Yum Yum Tree"/>
        <s v="Cherry Restaurent"/>
        <s v="ASIAN PAN HOUSE AND RESTAURANT"/>
        <s v="PREETI TIFFINSPREETI TIFFINS "/>
        <s v="The chocolate room"/>
        <s v="Kafika"/>
        <s v="Krishnapatnam"/>
        <s v="Myfroyoland "/>
        <s v="Bhai ki chai "/>
        <s v=" Chai chaska"/>
        <s v="Nath Kitchen"/>
        <s v="Palamgiri kitchen "/>
        <s v="Van lavino"/>
        <s v="Almond House"/>
        <s v="Telegu Jublii hills"/>
        <s v="Thyme and Whisk"/>
        <s v="Naughty Kudi"/>
        <s v="Insomnia night club"/>
        <s v="Aha ruchuluAha ruchulu "/>
        <s v="Al saba"/>
        <s v="Arabian Mandi "/>
        <s v="Hotel swaruchiHotel surichi"/>
        <s v="Bhimavaram ruchulu"/>
        <s v="Godavari ruchuluGodavari ruchulu"/>
        <s v="Sirisha fast food "/>
        <s v="Sankar villas tiffins"/>
        <s v="Venkateswara foods"/>
        <s v="Zaiqa 11"/>
        <s v="Kadak house "/>
        <s v="Eruvaaka "/>
        <s v="RR Orisha Dhaba"/>
        <s v="Raju Gari Bhimavaram Biryani"/>
        <s v="Sai Mumbai Famous"/>
        <s v="Sravanthi tiffins"/>
        <s v="Orugallu Ruchulu "/>
        <s v="Sattibabu Biryani "/>
        <s v="Laxmi Foods and Meals"/>
        <s v="Sravati Biryani "/>
        <s v="Sravanthi Fast Food"/>
        <s v="Sravanthi mess"/>
        <s v="DOSA HUT"/>
        <s v="Upasanna's Kitchen"/>
        <s v="BFC Crispy N Spicy"/>
        <s v="Thunderbolts"/>
        <s v="Pakka Local Food"/>
        <s v="Bayyas food hub"/>
        <s v="SK FOODS"/>
        <s v="Contico"/>
        <s v="Yum Crumble Waffle"/>
        <s v="Tiffin xpressMohammed yaser"/>
        <s v="Southern Kithchen"/>
        <s v="Victoria Tiffins and Fast food"/>
        <s v="kings arabian "/>
        <s v="oak bistro "/>
        <s v="fire and ice bakers"/>
        <s v="redoven"/>
        <s v="sha sha shandar shawarma"/>
        <s v="aroma biryani and pulaos"/>
        <s v="raghavendra tiffens"/>
        <s v="rs birayani "/>
        <s v="samosa party "/>
        <s v="aazeboo"/>
        <s v="Brost nation"/>
        <s v="scoops "/>
        <s v="sri poorna hotel sri poorna "/>
        <s v="Crave and corners"/>
        <s v="avani restraunt "/>
        <s v="Moms kitchen"/>
        <s v="shawarama house"/>
        <s v="o ginger o ginger"/>
        <s v="Kush mandiKush mandi"/>
        <s v="sangam dhaba "/>
        <s v="Kadak house"/>
        <s v="swach swach"/>
        <s v="Balle alle punjabi"/>
        <s v="Zaiqa 11 Zaiqa 11 "/>
        <s v="abhiruchi sagurha foods"/>
        <s v="Venkateshwara restaurent"/>
        <s v="vellanki vellanki"/>
        <s v="Sirisha fast food"/>
        <s v="thrivesome cafethrive some cafe and cpo"/>
        <s v="Godhavari ruchulu"/>
        <s v="thualsi villas"/>
        <s v="Zafaron shawarma and chinese fast foodZafaron shawarma and chinese fast food"/>
        <s v="raghavendra"/>
        <s v="taaza"/>
        <s v="FB Cakes"/>
        <s v="Sri akshaya Sri akshaya tiffins "/>
        <s v="Midland bakersMidland bakers"/>
        <s v="Blue star restaurant "/>
        <s v="Rayudu's kitchen "/>
        <s v="Agra sweets"/>
        <s v="Sainadh tiffins"/>
        <s v="Olive mithai "/>
        <s v="Srinivasa mixture hub"/>
        <s v="Parnasala kitchen"/>
        <s v="Rayudu hotels"/>
        <s v="Subbayamma foods "/>
        <s v="Maa oori vanta "/>
        <s v="Vasistas  sri lakshmiNa"/>
        <s v="Pind to play "/>
        <s v="radisson (chillis)"/>
        <s v="parampara"/>
        <s v="third wave coffee"/>
        <s v="chaitanya food court chaitanya food court"/>
        <s v="hummus house"/>
        <s v="Borasted chicken shawarma "/>
        <s v="Habitat"/>
        <s v="Park frankies "/>
        <s v="Pakka Local"/>
        <s v="Seasons Express"/>
        <s v="Dine Hill"/>
        <s v="Exotica"/>
        <s v="Sravanam 4am biryani"/>
        <s v="Sahi nawabis kitchen"/>
        <s v="Mickeys tiffinNa"/>
        <s v="Harsha deluxe mess"/>
        <s v="Kasoori"/>
        <s v="Churrolto Na"/>
        <s v="cafe coffee day cafe coffee day"/>
        <s v="the chocolate roomchocolate room"/>
        <s v="kapoors cafe"/>
        <s v="Babbai hotel"/>
        <s v="THE SIPPING ADDATHE SIPPING ADDA"/>
        <s v="sAI RISHITHA FAST FOOD CENTREsAI RISHITHA FAST FOOD CENTRE"/>
        <s v="ABC Foods (Abiruchi biryani cafe)"/>
        <s v="Balaji villas "/>
        <s v="Ike cafe the tasty bakery"/>
        <s v="Tealogy cafe"/>
        <s v="Hotel annamayya"/>
        <s v="Chickpet donne biryani house"/>
        <s v="Dhaba food court"/>
        <s v="sRI GOWRAS KITCHEN"/>
        <s v="Tiffin kottu"/>
        <s v="Giri food court"/>
        <s v="Mathru sree athidhidevobhavaMathru sree athidhidevobhava"/>
        <s v="Induru spice kitchenInduru spice kitchen"/>
        <s v="Thakshashila curries "/>
        <s v="Irawath kitchenIrawath kitchen"/>
        <s v="Ruchullo rarraju"/>
        <s v="Sri venkateswara food courtSri venkateswara food court"/>
        <s v="Perch 24 cafePerch 24 cafe"/>
        <s v="Sree teja food court "/>
        <s v="Padmavathi food court "/>
        <s v="The organic creamery "/>
        <s v="Cranelle "/>
        <s v="Aditya kitchen "/>
        <s v="Upasana's Kitchen"/>
        <s v="BFC Crispy And Spicy"/>
        <s v="Pakka Local Food Court"/>
        <s v="Highway Resturant"/>
        <s v="Ulavacharu"/>
        <s v="Kakatiya Home Foods"/>
        <s v="Sri Ragavendra Vihar"/>
        <s v="The Spicy Unions"/>
        <s v="Bheema Restaurant "/>
        <s v="Farasha restaurant "/>
        <s v="Arabian mandi"/>
        <s v="Bakely cafe"/>
        <s v="The Bakely bakersThe bakely"/>
        <s v="Aura telegu kitchen"/>
        <s v="Chinese Chinese kitchen "/>
        <s v="Biriyani &amp; bagara"/>
        <s v="Sri Mama&quot;s kitchen"/>
        <s v="Alfa MadrEat"/>
        <s v="Dostan Meals &amp; snacks"/>
        <s v="fushion xps"/>
        <s v="Dostan Fast food "/>
        <s v="Dostan Tiffins"/>
        <s v="Dostan Shawarma "/>
        <s v="Dostan Biryani's"/>
        <s v="The Hungry Spot"/>
        <s v="Imperial restaurant "/>
        <s v="Firdous hotel"/>
        <s v="R K grand restaurant "/>
        <s v="Jai Tulja bhavani curries"/>
        <s v="Rokali"/>
        <s v="Bejing Bistro"/>
        <s v="Liimra Arabian Mandi House"/>
        <s v="Namaste Hyderabad"/>
        <s v="Royal Bawarchi"/>
        <s v="Sri Nakshatra Chinese Hub"/>
        <s v="Club 10 ChickenClub 10 Chicken"/>
        <s v="Hotel Chal Mohana Ranga Biryani's"/>
        <s v="Sravani Biryani's"/>
        <s v="RK delux mess"/>
        <s v="TOC Bakers and Confectioners"/>
        <s v="Sarovar Portico HotelSarovar Portico Hotel"/>
        <s v="Hotel GreenparkHotel Greenpark &amp; Marigold"/>
        <s v="Zam zam restaurant Zam zam restaurant "/>
        <s v="Sri Sai tiffins and curry pointSri Sai tiffins and curry point "/>
        <s v="Honeyman"/>
        <s v="Vaibhavam"/>
        <s v="Al furquan hotelAl furquan hotel "/>
        <s v="Arabian zaiqa restaurant "/>
        <s v="Hotel MS pride"/>
        <s v="Mahabaala food court"/>
        <s v="The Thick Shake FactoryThe Thickshake Factory"/>
        <s v="BISMILLAH HOTEL"/>
        <s v="hotel anandh bhavan"/>
        <s v="bal al mandi "/>
        <s v="taazataaza tiffens"/>
        <s v="babai hotel babai hotel"/>
        <s v="rowdy momo express"/>
        <s v="ProstProst"/>
        <s v="Paradise BiryaniParadise Biryani"/>
        <s v="Chutneys"/>
        <s v="hotel bheemas grand "/>
        <s v=" New farasha cafe "/>
        <s v="Savera hills hotel"/>
        <s v="Oura telugu kitchen"/>
        <s v="City chefs kitchen City chefs kitchen "/>
        <s v="Bagara and biryani "/>
        <s v="Ruchi plaza"/>
        <s v="Sri mamas kitchen"/>
        <s v="Annapurna hotel "/>
        <s v="Alfa madr eat "/>
        <s v="Shah restaurant"/>
        <s v="The nawaabs restaurant "/>
        <s v="Leons burger and burger  "/>
        <s v="Albaik"/>
        <s v="Raasa cafe"/>
        <s v=" A1 hotel "/>
        <s v=" al bawadi mandi"/>
        <s v="SRK food court"/>
        <s v="fresh and hot "/>
        <s v="shurfa  mandi "/>
        <s v=" felfelah  felfelah "/>
        <s v="hotel city diamond "/>
        <s v="khans arabian shawarma "/>
        <s v=" makhayad al arabi "/>
        <s v="poorna food court "/>
        <s v=" kebabwala"/>
        <s v="mana ruchulu "/>
        <s v="crispy corner "/>
        <s v="Sri Vigneshwara nellore ruchulu"/>
        <s v="Sri Vigneshwara aaha Bojhanam"/>
        <s v="Aaha Bhojanam"/>
        <s v="Cafe 74"/>
        <s v="Bommarillu "/>
        <s v="Rama tiffins "/>
        <s v="Shaalimar Sweets"/>
        <s v="Dreamland Bakers &amp; Confectionaries"/>
        <s v="Sri Raghavendra Hotel"/>
        <s v="Al-Baik"/>
        <s v="Sabiib Restaurant Haven"/>
        <s v="Bhai Chai"/>
        <s v="Park HyattPark Hyatt"/>
        <s v="Cock &amp; Bull HyderabadCock and Bull Hyderabad"/>
        <s v="UlavacharuUlavacharu"/>
        <s v="K Brundavan Food Court"/>
        <s v="Maa Amrutham"/>
        <s v="Charcoal shawarma"/>
        <s v="Avacado on wheels"/>
        <s v="Oh my momo"/>
        <s v="Anagha Kitchen"/>
        <s v="Bhulakshmi MessBhulakshmi Mess"/>
        <s v="Andhana Brahma "/>
        <s v="Granny KitchenGranny's Kitchen"/>
        <s v="Food Corner"/>
        <s v="Rithvikaas Kitchen"/>
        <s v="City Wrap and Broast"/>
        <s v="Ulavapadu Biryani and Pulav"/>
        <s v="Meridian Restaurant"/>
        <s v="donne biryani house"/>
        <s v="Bahar biryani nd cafe"/>
        <s v="Akshaya patraAkshaya patra"/>
        <s v="Famous arabian shawarmaFamous arabian shawarma"/>
        <s v="Wrap nd MoreAfroz"/>
        <s v="Wrap nation"/>
        <s v="All mataam madina mandi"/>
        <s v="Classic crownClassic crown"/>
        <s v="Athidhis kitchen"/>
        <s v="Manikantas eat spot "/>
        <s v="Limra fast food centre"/>
        <s v="Errababu palaav"/>
        <s v="Yuman crazy fast food center"/>
        <s v="Bhavani food courtBhavani food court"/>
        <s v="Beyniaz shawarma and grill"/>
        <s v="Limra fast food center "/>
        <s v="Manikantas eat spot"/>
        <s v="Bahar biryanis nd cafe"/>
        <s v="Madhurams restaurent"/>
        <s v="Chickpet donne biryanis house"/>
        <s v="Cake factory"/>
        <s v="Shadab"/>
        <s v="AR Raghavendhara tiffins and meals"/>
        <s v="Saudi arabian restaurent"/>
        <s v="Universal Restaurant "/>
        <s v="aaha tiffins"/>
        <s v="Anandha brahma"/>
        <s v="Spice Soiree"/>
        <s v="Tawakaal biryani hotel"/>
        <s v="New Nisar cafe and restaurant"/>
        <s v="Desi Zayqa "/>
        <s v="Konaseema Pedi Ruchulu"/>
        <s v="Andhra Bhavan"/>
        <s v="Hyderabad Bakehouse"/>
        <s v="Qubz the shewarma house"/>
        <s v="king Darbar "/>
        <s v="7STARS RESTAURENT"/>
        <s v="Varnam "/>
        <s v="Mahabalaa Food Court"/>
        <s v="Aha bojanam"/>
        <s v="Telengana food court"/>
        <s v="Homly tiffins"/>
        <s v="Tawwakal shawarma"/>
        <s v="Chai kaburlu"/>
        <s v="Raju gari biryani "/>
        <s v="snack bite"/>
        <s v="kritunga restraunt"/>
        <s v="shake it upshake it up"/>
        <s v="hayansh kitchen "/>
        <s v="SnackBite"/>
        <s v="araah cafe"/>
        <s v="raghavendra tiffens "/>
        <s v="nawabi cafeteria "/>
        <s v="The Boat House Express"/>
        <s v="CAFE 555 AND AQEEQ RESTAURANT"/>
        <s v="srk food court srk food court "/>
        <s v="andra ruchulu "/>
        <s v="biryani adda "/>
        <s v="A1 hotel A1 HOTEL"/>
        <s v="al bawadi "/>
        <s v="Yum yum tree Yum yum tree "/>
        <s v="Nine Waves Restaurant"/>
        <s v="Saba - E - Kitchen"/>
        <s v="Parota House"/>
        <s v="Taaza Tiffins"/>
        <s v="SV food court"/>
        <s v="Klinkaara Restaurant"/>
        <s v="Bombay juice"/>
        <s v="Arabian Mandi Banjara"/>
        <s v="Golden Pavillion "/>
        <s v="Paradise Food Court"/>
        <s v="Absolute Barbeque Absolute Barbeque "/>
        <s v="Sreeja Home food"/>
        <s v=" Aha Dakshin"/>
        <s v="Wool cup"/>
        <s v="Sabha"/>
        <s v="ITC Kakatiya"/>
        <s v="Kritunga"/>
        <s v="Roast "/>
        <s v="Krispy Kreme"/>
        <s v="Chutney's"/>
        <s v="Slice and Sauce"/>
        <s v="RokaliRokali"/>
        <s v="Universal Restaurant Universal Restaurant "/>
        <s v="Royal Bawarchi Royal Bawarchi "/>
        <s v="Slice and Bytes Biryani"/>
        <s v="Slice and Bytes Food Court"/>
        <s v="Aadhya Food Court"/>
        <s v="Frankie"/>
        <s v="Amulya Abhiruchi Biryani "/>
        <s v="Amulya Abhiruchi Fast Food"/>
        <s v="A1 bawarchi NA"/>
        <s v="Brownies Bakery "/>
        <s v="AHA AMRUTULYA"/>
        <s v="KLASSIC BAKERS AND SHEWARMA AND CAFE"/>
        <s v="SVS SPECIAL VILLAGES AND SPICES"/>
        <s v="Amrutham "/>
        <s v="Ma oori biryani"/>
        <s v="Saregama kitchen"/>
        <s v="New heeramothi"/>
        <s v="Sri rama kitchens"/>
        <s v="Crispy crunch"/>
        <s v="Moon friends "/>
        <s v="MK Shawarma"/>
        <s v="Sri nidhi dsr hotel"/>
        <s v="Chicken in wings"/>
        <s v="Nellore chepala pulusu"/>
        <s v="Classic crown restaurentClassic crown restaurent"/>
        <s v="Sri Tejas kitchenSri Tejas kitchen"/>
        <s v="Crispy crunch dinnerCrispy crunch dinner"/>
        <s v="Appi natural fresh juiceAppi natural fresh juice"/>
        <s v="taaza tiffens "/>
        <s v="sri raghavendra bhavan "/>
        <s v="swathi tiffens "/>
        <s v="the food court "/>
        <s v="bandhan mithai vatika "/>
        <s v="raghuram dosa"/>
        <s v="epic bawarchi "/>
        <s v="epic bawarachi tiffen centre "/>
        <s v="epic bawarchi chat bhandar "/>
        <s v="the chinese zhang family "/>
        <s v="nellore vantakalu"/>
        <s v="beyond kimchi - the taste of korea "/>
        <s v="the english kitchen "/>
        <s v="Mini Udipi's"/>
        <s v="vizag beach street food "/>
        <s v="mana vizag ruchulu "/>
        <s v="healthy food promised"/>
        <s v="MILITARY REDDY TIFFENS "/>
        <s v="Dum Biryani Adda"/>
        <s v="sip of health"/>
        <s v="ANDHRA RUCHULU"/>
        <s v="the brazilian juice bar"/>
        <s v="MILLET MARVELS"/>
        <s v="the nice juice junction "/>
        <s v="GREEN BUCKET BIRYANI"/>
        <s v="SVS BAKERS &amp; FOOD COURT"/>
        <s v="DSD CAFE"/>
        <s v="KRITUNGA RESTAURANT"/>
        <s v="Golden Pavilion"/>
        <s v="shreya food court "/>
        <s v="gayatri bhavan  "/>
        <s v=" harika mess"/>
        <s v="amans food courtamans food court"/>
        <s v="caffiene Snacks"/>
        <s v="Caffine Meals "/>
        <s v="telugu cuisine  "/>
        <s v="CAFFEINE BIRYANAIS"/>
        <s v="biryani ustad "/>
        <s v="CAFFEIN HUB FAST FOOD"/>
        <s v="CAFFEINE JUICE &amp; MILKSHAKES"/>
        <s v="cake corner Bakery"/>
        <s v="Corner fast food"/>
        <s v="corner juice &amp; milkshake"/>
        <s v="CORNER FOODS"/>
        <s v="CHAI KABURLU "/>
        <s v="5ves restaurant "/>
        <s v="Anu Kitchen"/>
        <s v="T Vannam "/>
        <s v="Shwarma kingdom"/>
        <s v="Southern Mirchi"/>
        <s v="Joharfa "/>
        <s v="Meenakshi Cafe"/>
        <s v="Ram’s Dosa House "/>
        <s v="Audio cup coffee house"/>
        <s v="Aha DakshinAha Dakshin"/>
        <s v="Hotel Greenpark &amp; MarigoldHotel Greenpark &amp; Marigold"/>
        <s v="Biryaniwalla &amp; co"/>
        <s v="All Season Express"/>
        <s v="Mourya Restaurant"/>
        <s v="Street view express"/>
        <s v="Sozo Cakery &amp; Cafe"/>
        <s v="Kelvin Scale Absolute Ice Cream"/>
        <s v="Zucifera"/>
        <s v="Pulaos and Bagara"/>
        <s v="Mexician Fried Chicken"/>
        <s v="Deccan Bawarchi"/>
        <s v="SRG Restro innSRG Restro inn"/>
        <s v="Shri balaji chennai spicesShri balaji chennai spices"/>
        <s v="Nikhils feastNikhils feast"/>
        <s v="Manikantas eat spotManikantas eat spot"/>
        <s v="Dosa martDosa mart"/>
        <s v="N hot chineseN hot chinese"/>
        <s v="Hot shawarma nd wingsHot shawarma nd wings"/>
        <s v="Crispy hot wingsCrispy hot wings"/>
        <s v="Hot wingsHot wings"/>
        <s v="Mandi Bistro"/>
        <s v="Chamkila NA"/>
        <s v="Chaitanyas modern kitchen "/>
        <s v="The tasty chapter "/>
        <s v="Biryani Mandirr "/>
        <s v="Srijas home foods and currys"/>
        <s v="Annapurna hotels and tiffins "/>
        <s v="Mallesh mama fast foodMallesh mama fast food"/>
        <s v="Ma oori vantaMa oori vanta"/>
        <s v="Monkeys cafe Monkeys cafe "/>
        <s v="Best biryanis and curriesBest biryanis and curries"/>
        <s v="Koodu the taste of TelanganaKoodu the taste of Telangana"/>
        <s v="Sankranthi cafe"/>
        <s v="Bachelor brothers"/>
        <s v="Arathi  Chinese fast food "/>
        <s v="Pandemkodi"/>
        <s v="Mahalaxmi kitchen "/>
        <s v="Abhi restaurant "/>
        <s v="Lotus biryani nd fast good"/>
        <s v="Spicy kitchen"/>
        <s v="Sri Aadhya Food Court"/>
        <s v="Rayalaseema Biryani"/>
        <s v="Rayalaseema Chinese"/>
        <s v="Rayalaseema Meals And Curries"/>
        <s v="Second wifes tiffins"/>
        <s v="Second wifes Biryanis "/>
        <s v="Second wife rolls and snacks"/>
        <s v="Second wife fast food"/>
        <s v="Second wife meals C/o guntur"/>
        <s v="Wok 33"/>
        <s v="Mummy ki rassoi"/>
        <s v="Golden Barrel Restaurent and pub"/>
        <s v="Big guys wings and Burgers"/>
        <s v="SREYA  FAST FOFD AND MOMO"/>
        <s v="srijas food and currys"/>
        <s v="zaiqa bawarchi restaurant"/>
        <s v="Ruchi Resturants"/>
        <s v="Star lite"/>
        <s v="Ar hotell"/>
        <s v="Hyderabadi foodie"/>
        <s v="Konaseema Gummagumalu"/>
        <s v="Tealogy Tealogy"/>
        <s v="Nagallas shawarma and kababs"/>
        <s v="Baburao gari biriyani "/>
        <s v="Jaya laxmi food centre "/>
        <s v="Prince house family restaurant"/>
        <s v="Athithi Biriyani Ruchulu"/>
        <s v="Seven stars restaurant "/>
        <s v="  Sri Shakambhari Restaurant (tiffins)Sri Shakambhari Restaurant "/>
        <s v="Masala Resturant "/>
        <s v="Balaji santosh dhaba"/>
        <s v="Sri Shakambhari Restaurant (meals and curries)Sri Shakambhari Restaurant "/>
        <s v="Sri Shakambhari Restaurant Sri Shakambhari Restaurant (Chinese)"/>
        <s v="Bawarchi mandi and Biryani"/>
        <s v="Mandi Specials and Biryani "/>
        <s v="Balaji Dhaba"/>
        <s v="Mini Cafe"/>
        <s v="Rishitha Curries and Biryani"/>
        <s v="Amristari dabha"/>
        <s v="Mekallas shawarma and kababsMekallas shawarma and kababs "/>
        <s v="Nagallas shawarma Nagallas shawarma and kababs"/>
        <s v="Sangeetha Kitchen"/>
        <s v="Bhavani matha curry point "/>
        <s v="My friend mandi "/>
        <s v="Gulf Mandi "/>
        <s v="Chittibabu Biriyani "/>
        <s v="Lotus Biryani and Fast Food Center "/>
        <s v="Sai Darshini Tiffins"/>
        <s v="Ahmed restaurant "/>
        <s v="Hotel CVR narsingi"/>
        <s v="Kuthari hotel"/>
        <s v="Pakka Telangana"/>
        <s v="Rk grand multicuisne Rk multi cuisine "/>
        <s v="Tawakkal kalyani biryani"/>
        <s v="The hungers spot "/>
        <s v="Burgers and pizzas "/>
        <s v="S D fast food centre "/>
        <s v="Ellipaya karam express "/>
        <s v="Butter bunnies NA"/>
        <s v="Delicia multicusine restaurant "/>
        <s v="Rayalaseema Karam Dosa"/>
        <s v="Anmol continental"/>
        <s v="Hare krishna family dhaba "/>
        <s v="Krishna tiffins and mess"/>
        <s v="Hillstar"/>
        <s v="Arambam "/>
        <s v="Cafe Hyd"/>
        <s v=" cheese and mix kitchen"/>
        <s v="HARIKA MESS"/>
        <s v="sri sai food court "/>
        <s v="hillstar hillstar "/>
        <s v="Dumont Creamery"/>
        <s v="Swadist Super Sweets &amp; Restaurant"/>
        <s v="Friends N Cafe"/>
        <s v="Mohammedia Shawarma"/>
        <s v="By the BAY"/>
        <s v="7 Sauces"/>
        <s v="Scoops"/>
        <s v="Chicha's"/>
        <s v="Kathmandu Momos"/>
        <s v="The Boat house"/>
        <s v="Swaad curries and tiffins "/>
        <s v="Idv kitchen "/>
        <s v="Muntha masala "/>
        <s v="Bhadrachalam cafe "/>
        <s v="Ideal Kitchen"/>
        <s v="Hotel the Nawabi zaiqa "/>
        <s v="Shringeri kitchen "/>
        <s v="Manchidhana tiffins and fast food "/>
        <s v="Udipis ahaara arogyaUdipis ahaara arogya"/>
        <s v="DosteaDostea"/>
        <s v="Udipis upahar "/>
        <s v="Sri Sai Raghavendra tiffins and meals "/>
        <s v="Sri bakers "/>
        <s v="Balaji family dhaba"/>
        <s v="Rajahmundry vaari real rose milk Rajamundry vaari real rose milk "/>
        <s v="Open heart restaurant Open heart restaurant "/>
        <s v="Gen Z flavoria Gen Z flavoria"/>
        <s v="Iyengar bakery"/>
        <s v="RAM hotel"/>
        <s v="Arya BhavanAraya Bhavan"/>
        <s v="Poruginti Chapala Pulsu"/>
        <s v="Prathiyaka The kitchen"/>
        <s v="Dum marro dum"/>
        <s v="Rushibha Kitchen"/>
        <s v="Pulaos kitchen.com"/>
        <s v="Mini cafe biryani and mealsMini cafe"/>
        <s v="Mini cafe Chinese Mini cafe"/>
        <s v="Kokkaroko"/>
        <s v="Abhiruchi food court "/>
        <s v="Victoria Restaurant "/>
        <s v="Al saba Restaurant "/>
        <s v="Zucifera Zucifera "/>
        <s v="Aroma Cafe"/>
        <s v="marjaan hotel "/>
        <s v=" makers of milkshake"/>
        <s v=" makhayad al arabi restaurant"/>
        <s v=" felfelah"/>
        <s v="azebo "/>
        <s v="ice station"/>
        <s v="go fresh "/>
        <s v="shawarma zone "/>
        <s v="madhapur bawarchi "/>
        <s v="mirza "/>
        <s v="ustaad"/>
        <s v="lebanase grill"/>
        <s v="mc cafe"/>
        <s v="paradise "/>
        <s v="pizza hut "/>
        <s v="kfc "/>
        <s v="mfc mfc"/>
        <s v="momo street"/>
        <s v="pista house"/>
        <s v="cafe coffee day"/>
        <s v="toops"/>
        <s v="the whole in the wall"/>
        <s v="rs biryani"/>
        <s v="shake it up"/>
        <s v="scandy "/>
        <s v="darbar street"/>
        <s v="kamat hotel kamat hotel "/>
        <s v="the eatary hub "/>
        <s v="bhwaneee multicsine"/>
        <s v="Idv kitchen munthamasalaIDV muntha masala"/>
        <s v="Balaji mitai bhander"/>
        <s v="Laxmi godavari ruchulu "/>
        <s v="Brown bear baking "/>
        <s v="Sreeja home foodsSreeja home foods"/>
        <s v="Hotel the Nawabi zaiqa"/>
        <s v="Kalpana tiffins and meals "/>
        <s v="Souskis foodies club "/>
        <s v="Satti Babu Biryani "/>
        <s v="Geetha hotel"/>
        <s v="Om sai kitchens "/>
        <s v="On Sai kitchens "/>
        <s v="Hakka Chinese food"/>
        <s v="Kks bakers"/>
        <s v="Butta biryani"/>
        <s v="Kolkata food plaza"/>
        <s v="Shawarma by roxtarz"/>
        <s v="Sri vijaya laxmi  food court "/>
        <s v="Karthikeya chitti nethi idly "/>
        <s v="Chaat baazar"/>
        <s v="Chat bazar "/>
        <s v="Amogha Cafe"/>
        <s v="Tibb’s Frankie"/>
        <s v="Godhavari bajji mirchi "/>
        <s v="Bakers Corner"/>
        <s v="Captain cook "/>
        <s v="Adbatuha "/>
        <s v="Ravi Babu food court"/>
        <s v="Hitech food court"/>
        <s v="Omg bites"/>
        <s v="Masti 4am biryani"/>
        <s v="Charminar biryani"/>
        <s v="Konaseema Ruchulu"/>
        <s v="Qubz"/>
        <s v="Sri pratyeka kitchen"/>
        <s v="Diamond food court"/>
        <s v=" prime deccan restaurant  prime deccan restaurant "/>
        <s v="royal family dhaba"/>
        <s v="sai martha food court"/>
        <s v="Arabian mandiArabian mandi"/>
        <s v=" almas restaurant "/>
        <s v="AG Food Court"/>
        <s v="santosh dhaba "/>
        <s v="Al faizan arabian mandi "/>
        <s v="  krishna udipi  park "/>
        <s v="Royal family dhaba  snackes"/>
        <s v="Slice and SauceSlice and Sauce"/>
        <s v="Ruchi Chupistha"/>
        <s v="Dakshina desapu ruchulu "/>
        <s v="President dhabha"/>
        <s v="11 • food court "/>
        <s v="The friger co "/>
        <s v="Btech tiffins "/>
        <s v="Paasa local"/>
        <s v="Om Sri Hanuman Foods"/>
        <s v="Balaji Muntha Masala"/>
        <s v="Balaji Kitchens"/>
        <s v="Aroma Biryanis &amp; palauos"/>
        <s v="Aroma Meals and chineese"/>
        <s v="Dfc "/>
        <s v="Govadarai baji mirchi "/>
        <s v="The one and only tasty "/>
        <s v="Chat baazar"/>
        <s v="Kings bakers "/>
        <s v="Karthikeya ghee and dosa"/>
        <s v="Allamduillah hotel "/>
        <s v="Sangamesh fast food "/>
        <s v="Maa Bhojanam "/>
        <s v="Taaza tiffens"/>
        <s v="Madrasi military hotel "/>
        <s v="Kamat hotel "/>
        <s v="Eatery hub "/>
        <s v="Hotel valentine "/>
        <s v="Lebanese girl "/>
        <s v="Bhawaanee multi cusine"/>
        <s v="Rk Chinese Rk Chinese "/>
        <s v="Vinyaka tiffins Alekhya "/>
        <s v="Shawarma by rock star"/>
        <s v="Butta biryani "/>
        <s v="Kks bakers "/>
        <s v="Hakka Chinese foods"/>
        <s v="Geetha hotel "/>
        <s v="Ala konaseemalo "/>
        <s v="Kalpana tiffens and melas "/>
        <s v="Brown bear bakery "/>
        <s v="Babuvgaru ruchulu"/>
        <s v="Babu Bagunnava biryani"/>
        <s v="Bandababu palau"/>
        <s v="Mana oori mess"/>
        <s v="Anandobhrahma"/>
        <s v="Biryani and biryanis"/>
        <s v="Shiva food court"/>
        <s v="Vaarahi foods"/>
        <s v="sai martha food court sai martha food court "/>
        <s v=" prime deccan restaurant "/>
        <s v="babu garu ruchulu and curry point "/>
        <s v="Dolphin drivn"/>
        <s v="Dwaraka Mai Tiffins"/>
        <s v=" mammu's kitchen "/>
        <s v=" ala konaseemaloo  "/>
        <s v="Sri Harsha deluxe mess"/>
        <s v="Godavari food court "/>
        <s v="Lakshmi Prasanna Andhra mess"/>
        <s v="Pondy parrottas "/>
        <s v="Shadruchulu "/>
        <s v="Kokko Roko Na"/>
        <s v="Cafe Melli And Bakery "/>
        <s v="The Hazelnut Co"/>
        <s v="Celebs"/>
        <s v="Lakshmi villas"/>
        <s v="Telugu authentic ruchulu"/>
        <s v="Hotel sarvanam"/>
        <s v="Mithra vindha mess"/>
        <s v="Bandodu palauu"/>
        <s v="Thinu ra mawa"/>
        <s v="Golden toast bakery"/>
        <s v="Broast cafe"/>
        <s v="Mathani Juice hub"/>
        <s v="Poriginti Chapala Pulsu"/>
        <s v="Pulao Kitchen com"/>
        <s v="Mandilicious"/>
        <s v="RK brundavan Food Court"/>
        <s v="Sr Food Court"/>
        <s v="Sri Tiffins And Meals"/>
        <s v="Cream Town"/>
        <s v="Aroma CafeAroma Cafe"/>
        <s v="Ayan Foods"/>
        <s v="Prasthista Food Court"/>
        <s v="Kolkata Food PlazaKolkata Food Plaza"/>
        <s v="Ganesh Foods"/>
        <s v="Abhiruchi"/>
        <s v="Moksh Food Corner"/>
        <s v="Sri Vengamamba Deluxe Mess"/>
        <s v="Sri vengamamba Tiffins"/>
        <s v="Sri vengamamba Chinese Foods"/>
        <s v="Apsara Badam Milk"/>
        <s v="Lickees"/>
        <s v="Chowman"/>
        <s v="Chowman - Madhapur"/>
        <s v="Hotel Yousufain Kalyani"/>
        <s v="Zamindar's Cafe"/>
        <s v="Chutneys "/>
        <s v="Goorang kitchen "/>
        <s v="Bhojanam thayaru"/>
        <s v="The hole in the wall"/>
        <s v="The soul curry and kadalipathra"/>
        <s v="Nataka"/>
        <s v="Monday Restaurant "/>
        <s v="Kunafa Cravings "/>
        <s v="Monday Hotel "/>
        <s v="Elysium Restaurant "/>
        <s v="Minerva"/>
        <s v="Iron hill"/>
        <s v="Palao and pulavus"/>
        <s v="Thugo"/>
        <s v="Desert cornerNa"/>
        <s v="Machilipatnam"/>
        <s v="Raw bakers Raw bakers"/>
        <s v="Balaji santhosh dhabha"/>
        <s v="Shringeri kitchen"/>
        <s v="IDV kitchen"/>
        <s v="Delizia Cafe"/>
        <s v="Konaseema Vantillu"/>
        <s v="Srinidhi Food Zone"/>
        <s v="Godavari Chepala Pulusu"/>
        <s v="Eerababu Pulav"/>
        <s v="Wine dine Restaurant"/>
        <s v="SRI SAI FAMOUS UDIPI &amp; TIFFINS"/>
        <s v="Vada pav station"/>
        <s v="Rainbow Foods"/>
        <s v="Maska Chaska - The fastfoods company"/>
        <s v="Balaji mithai bhandar "/>
        <s v="Seas curries "/>
        <s v="Brown bear bakers "/>
        <s v="Kalpana tiffens and meals "/>
        <s v="Hotel Nawabi "/>
        <s v="Geetha hotels "/>
        <s v="Hakka Chinese foods "/>
        <s v="Kk bakers "/>
        <s v="Shawarma by to roxtarz"/>
        <s v="Chaat bazzar"/>
        <s v="Godavari bajji Mirchi "/>
        <s v="President dhaba "/>
        <s v="Minyu "/>
        <s v="Betech tiffens "/>
        <s v="Mr cook"/>
        <s v="Kssr bakers "/>
        <s v="The whole in the wall "/>
        <s v="Krishnapatanam"/>
        <s v="Goorangs kitchen "/>
        <s v="Boojanam thayaru "/>
        <s v="The soul curry kadali path pathra"/>
        <s v=" Dhaba food Court "/>
        <s v="Machillipatanam "/>
        <s v="Swayarasa"/>
        <s v="Mekong "/>
        <s v="Go rang "/>
        <s v="Boojanam thayaru"/>
        <s v="Fusion 9 "/>
        <s v="Red Box "/>
        <s v="Pot biryani "/>
        <s v="Mughals "/>
        <s v="Glow sip"/>
        <s v="Palamuru grill "/>
        <s v="Toops "/>
        <s v="Ahobilam millets "/>
        <s v="Sai ram curries and meals"/>
        <s v="KL spice kitchen "/>
        <s v="Mainland china "/>
        <s v="Ohh Calicut "/>
        <s v="Salt Indian Restaurant"/>
        <s v="Nivedhya "/>
        <s v="Pav baji"/>
        <s v="Navideya "/>
        <s v="Momo ghar "/>
        <s v="Chinese hawk "/>
        <s v="Zufra mandi Zufra mandi"/>
        <s v="Amul ice cream parlour"/>
        <s v="Seven starts restaurant "/>
        <s v="Janapriya restaurant "/>
        <s v="Raghavendra food hub"/>
        <s v="Shreeshan kitchen "/>
        <s v="The burger company "/>
        <s v="Ahla adha kitchen"/>
        <s v="Big byte cafe "/>
        <s v="GrizzlyGrizzlly"/>
        <s v="The shawarma coThe shawarma co"/>
        <s v="Panchabhakshya"/>
        <s v="Vijwal Grand Resturant"/>
        <s v="Vaibhav Resturant"/>
        <s v="Sri Ankapur Bhojanam"/>
        <s v="Ravulapalem Vantillu"/>
        <s v="Sri Vasista Foods"/>
        <s v="Mr.Shawarma and Ms.Shawarma"/>
        <s v="Pulnadu Ruchulu"/>
        <s v="Spicy Table"/>
        <s v="Mista Eats"/>
        <s v="Masala restaurant "/>
        <s v="Sri Tirumala bakery"/>
        <s v="Gokul tiffin center "/>
        <s v="Arabian Mandi res"/>
        <s v="Lassi story"/>
        <s v="Chickpet donne biryani house Chickpet donne biryani house"/>
        <s v="Naidu Gari Kunda biryaniNaidu Gari Kunda biryani"/>
        <s v="Pondy Parottas"/>
        <s v="Abhiruchi Biriyani"/>
        <s v="Darbar Family Restaurant "/>
        <s v="RIVORA THE CAFE"/>
        <s v="Donne Biriyani House "/>
        <s v="Samjam's Pizza "/>
        <s v="Vaarahi Kitchen "/>
        <s v="Mumbai Masala "/>
        <s v="Sri Abhiruchi"/>
        <s v="Minerva blue foxMinerva "/>
        <s v="Thurpu Godhavari restaurant "/>
        <s v="Rayala seema ruchulu"/>
        <s v="Tara kitchen"/>
        <s v="Anandhobhrama"/>
        <s v="Ahaar kitchen "/>
        <s v="Habibo"/>
        <s v="Amogha "/>
        <s v="Madhu restraunt "/>
        <s v="Hari dosa"/>
        <s v="Victoria grand "/>
        <s v="Amarvathi tiffens "/>
        <s v="Athidhis kitchen "/>
        <s v="Cake factory "/>
        <s v="Bahar cafe "/>
        <s v="Limra fast food centre "/>
        <s v="SRI NAGARJUNA TIFFINS "/>
        <s v="Bhojanam thali"/>
        <s v="Errababu pulao"/>
        <s v="Guntur Goongura "/>
        <s v="Telugu Medium"/>
        <s v="Punjabi Affair"/>
        <s v="Suto cafe"/>
        <s v="Smocky Docky"/>
        <s v="Chinese Wok"/>
        <s v="Lassi Storyna"/>
        <s v="Burn"/>
        <s v="Kebabs of Kumbakhh"/>
        <s v="Ammammagari hotel"/>
        <s v="Janapriya restaurant"/>
        <s v="Bagara biryani"/>
        <s v="Smoke Rebels"/>
        <s v="maa bhojanam maa bhojanam "/>
        <s v="minsitry of coffee affairsminsitry of coffee affairs"/>
        <s v="the big cup theorythe big cup theory"/>
        <s v="hyderabad hosts"/>
        <s v="circars burgars "/>
        <s v="varahi foods "/>
        <s v="zamindar restaurant "/>
        <s v="Harsha delux mess"/>
        <s v="Southern spice "/>
        <s v="Arambam"/>
        <s v="Tugo flavours "/>
        <s v="Vasista laxmi"/>
        <s v="Kochin spices "/>
        <s v="Pallekodi"/>
        <s v="City kitchen "/>
        <s v="Curry man"/>
        <s v="Golkanda chef"/>
        <s v="Hulchal desserts and bakers "/>
        <s v="Sorse "/>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W1777" sheet="Form responses 1"/>
  </cacheSource>
  <cacheFields>
    <cacheField name="Timestamp" numFmtId="0">
      <sharedItems containsDate="1" containsString="0" containsBlank="1">
        <m/>
        <d v="2026-02-03T16:50:52Z"/>
        <d v="2026-02-03T19:08:28Z"/>
        <d v="2026-02-03T19:16:13Z"/>
        <d v="2026-02-04T09:05:26Z"/>
        <d v="2026-02-04T09:31:19Z"/>
        <d v="2026-02-04T09:47:02Z"/>
        <d v="2026-02-04T10:00:46Z"/>
        <d v="2026-02-04T23:23:59Z"/>
        <d v="2026-02-04T23:43:22Z"/>
        <d v="2026-02-04T23:56:13Z"/>
        <d v="2026-02-05T09:55:30Z"/>
        <d v="2026-02-05T19:59:39Z"/>
        <d v="2026-02-05T20:04:35Z"/>
        <d v="2026-02-06T04:15:08Z"/>
        <d v="2026-02-06T04:17:47Z"/>
        <d v="2026-02-06T04:25:08Z"/>
        <d v="2026-02-06T08:01:15Z"/>
        <d v="2026-02-06T08:04:17Z"/>
        <d v="2026-02-06T08:09:58Z"/>
        <d v="2026-02-06T09:16:10Z"/>
        <d v="2026-02-06T09:20:59Z"/>
        <d v="2026-02-06T09:27:22Z"/>
        <d v="2026-02-06T09:27:39Z"/>
        <d v="2026-02-06T09:32:08Z"/>
        <d v="2026-02-06T09:32:16Z"/>
        <d v="2026-02-06T09:35:50Z"/>
        <d v="2026-02-06T09:38:00Z"/>
        <d v="2026-02-06T09:38:41Z"/>
        <d v="2026-02-06T09:40:08Z"/>
        <d v="2026-02-06T09:41:34Z"/>
        <d v="2026-02-06T09:43:49Z"/>
        <d v="2026-02-06T09:44:57Z"/>
        <d v="2026-02-06T09:45:15Z"/>
        <d v="2026-02-06T09:53:48Z"/>
        <d v="2026-02-06T10:10:02Z"/>
        <d v="2026-02-06T10:13:34Z"/>
        <d v="2026-02-06T10:19:41Z"/>
        <d v="2026-02-06T10:20:03Z"/>
        <d v="2026-02-06T10:20:58Z"/>
        <d v="2026-02-06T10:25:00Z"/>
        <d v="2026-02-06T13:01:01Z"/>
        <d v="2026-02-06T14:03:58Z"/>
        <d v="2026-02-06T16:00:04Z"/>
        <d v="2026-02-06T17:01:16Z"/>
        <d v="2026-02-06T17:09:46Z"/>
        <d v="2026-02-06T17:13:02Z"/>
        <d v="2026-02-06T18:05:41Z"/>
        <d v="2026-02-07T15:35:17Z"/>
        <d v="2026-02-07T15:35:43Z"/>
        <d v="2026-02-07T15:41:03Z"/>
        <d v="2026-02-07T15:46:13Z"/>
        <d v="2026-02-07T16:00:46Z"/>
        <d v="2026-02-07T16:15:25Z"/>
        <d v="2026-02-07T16:27:09Z"/>
        <d v="2026-02-08T17:34:04Z"/>
        <d v="2026-02-08T17:40:16Z"/>
        <d v="2026-02-08T18:55:04Z"/>
        <d v="2026-02-08T19:00:59Z"/>
        <d v="2026-02-08T19:04:06Z"/>
        <d v="2026-02-08T22:24:25Z"/>
        <d v="2026-02-08T22:29:52Z"/>
        <d v="2026-02-09T00:02:22Z"/>
        <d v="2026-02-09T00:04:16Z"/>
        <d v="2026-02-09T00:05:37Z"/>
        <d v="2026-02-09T00:08:01Z"/>
        <d v="2026-02-09T00:09:32Z"/>
        <d v="2026-02-09T00:22:17Z"/>
        <d v="2026-02-09T00:23:53Z"/>
        <d v="2026-02-09T00:25:12Z"/>
        <d v="2026-02-09T00:28:27Z"/>
        <d v="2026-02-09T09:12:48Z"/>
        <d v="2026-02-09T09:19:00Z"/>
        <d v="2026-02-09T09:26:18Z"/>
        <d v="2026-02-09T09:28:47Z"/>
        <d v="2026-02-09T09:34:29Z"/>
        <d v="2026-02-09T09:39:27Z"/>
        <d v="2026-02-09T10:01:01Z"/>
        <d v="2026-02-09T10:03:49Z"/>
        <d v="2026-02-09T10:05:25Z"/>
        <d v="2026-02-09T10:09:44Z"/>
        <d v="2026-02-09T10:11:33Z"/>
        <d v="2026-02-09T10:14:07Z"/>
        <d v="2026-02-09T12:08:41Z"/>
        <d v="2026-02-09T12:25:55Z"/>
        <d v="2026-02-09T13:09:01Z"/>
        <d v="2026-02-09T14:32:21Z"/>
        <d v="2026-02-09T14:54:07Z"/>
        <d v="2026-02-09T16:08:31Z"/>
        <d v="2026-02-09T17:26:09Z"/>
        <d v="2026-02-09T22:04:17Z"/>
        <d v="2026-02-09T22:12:28Z"/>
        <d v="2026-02-09T22:15:33Z"/>
        <d v="2026-02-10T09:26:41Z"/>
        <d v="2026-02-10T10:11:57Z"/>
        <d v="2026-02-10T10:21:58Z"/>
        <d v="2026-02-10T10:22:15Z"/>
        <d v="2026-02-10T10:23:14Z"/>
        <d v="2026-02-10T10:23:59Z"/>
        <d v="2026-02-10T10:26:01Z"/>
        <d v="2026-02-10T10:26:25Z"/>
        <d v="2026-02-10T10:28:47Z"/>
        <d v="2026-02-10T10:29:39Z"/>
        <d v="2026-02-10T10:31:32Z"/>
        <d v="2026-02-10T12:00:56Z"/>
        <d v="2026-02-10T12:15:47Z"/>
        <d v="2026-02-10T12:17:58Z"/>
        <d v="2026-02-10T12:20:42Z"/>
        <d v="2026-02-10T12:33:07Z"/>
        <d v="2026-02-10T12:35:38Z"/>
        <d v="2026-02-10T12:35:44Z"/>
        <d v="2026-02-10T12:37:35Z"/>
        <d v="2026-02-10T12:40:46Z"/>
        <d v="2026-02-10T12:46:04Z"/>
        <d v="2026-02-10T12:56:49Z"/>
        <d v="2026-02-10T12:59:44Z"/>
        <d v="2026-02-10T13:08:29Z"/>
        <d v="2026-02-10T13:18:22Z"/>
        <d v="2026-02-10T13:39:14Z"/>
        <d v="2026-02-10T14:26:32Z"/>
        <d v="2026-02-10T14:30:25Z"/>
        <d v="2026-02-10T15:10:55Z"/>
        <d v="2026-02-10T15:19:10Z"/>
        <d v="2026-02-10T15:27:32Z"/>
        <d v="2026-02-10T15:40:21Z"/>
        <d v="2026-02-10T15:43:26Z"/>
        <d v="2026-02-10T15:48:07Z"/>
        <d v="2026-02-10T15:59:40Z"/>
        <d v="2026-02-10T16:26:27Z"/>
        <d v="2026-02-10T16:28:55Z"/>
        <d v="2026-02-10T16:31:45Z"/>
        <d v="2026-02-10T16:32:40Z"/>
        <d v="2026-02-10T16:34:08Z"/>
        <d v="2026-02-10T16:58:39Z"/>
        <d v="2026-02-10T17:06:28Z"/>
        <d v="2026-02-10T17:08:21Z"/>
        <d v="2026-02-10T17:11:01Z"/>
        <d v="2026-02-10T17:22:37Z"/>
        <d v="2026-02-10T17:27:34Z"/>
        <d v="2026-02-10T17:29:52Z"/>
        <d v="2026-02-10T17:33:07Z"/>
        <d v="2026-02-10T17:36:19Z"/>
        <d v="2026-02-10T19:34:38Z"/>
        <d v="2026-02-10T19:37:38Z"/>
        <d v="2026-02-10T19:38:43Z"/>
        <d v="2026-02-10T19:47:39Z"/>
        <d v="2026-02-11T09:49:05Z"/>
        <d v="2026-02-11T09:54:06Z"/>
        <d v="2026-02-11T09:57:21Z"/>
        <d v="2026-02-11T09:59:45Z"/>
        <d v="2026-02-11T10:02:43Z"/>
        <d v="2026-02-11T10:09:55Z"/>
        <d v="2026-02-11T12:20:09Z"/>
        <d v="2026-02-11T12:21:33Z"/>
        <d v="2026-02-11T12:37:19Z"/>
        <d v="2026-02-11T12:38:20Z"/>
        <d v="2026-02-11T12:41:39Z"/>
        <d v="2026-02-11T13:12:38Z"/>
        <d v="2026-02-11T13:16:06Z"/>
        <d v="2026-02-11T13:18:10Z"/>
        <d v="2026-02-11T13:20:41Z"/>
        <d v="2026-02-11T13:57:04Z"/>
        <d v="2026-02-11T14:50:45Z"/>
        <d v="2026-02-11T14:54:18Z"/>
        <d v="2026-02-11T14:57:26Z"/>
        <d v="2026-02-11T14:59:46Z"/>
        <d v="2026-02-11T15:13:14Z"/>
        <d v="2026-02-11T15:27:44Z"/>
        <d v="2026-02-11T16:26:46Z"/>
        <d v="2026-02-11T16:29:09Z"/>
        <d v="2026-02-11T16:32:54Z"/>
        <d v="2026-02-11T16:34:52Z"/>
        <d v="2026-02-11T16:37:11Z"/>
        <d v="2026-02-11T16:39:18Z"/>
        <d v="2026-02-11T16:41:37Z"/>
        <d v="2026-02-11T16:43:27Z"/>
        <d v="2026-02-11T16:46:10Z"/>
        <d v="2026-02-11T16:49:27Z"/>
        <d v="2026-02-11T16:51:59Z"/>
        <d v="2026-02-11T16:55:59Z"/>
        <d v="2026-02-11T17:23:36Z"/>
        <d v="2026-02-11T17:24:24Z"/>
        <d v="2026-02-11T17:42:25Z"/>
        <d v="2026-02-11T17:44:36Z"/>
        <d v="2026-02-11T17:47:52Z"/>
        <d v="2026-02-11T17:55:59Z"/>
        <d v="2026-02-11T17:56:04Z"/>
        <d v="2026-02-11T18:57:33Z"/>
        <d v="2026-02-11T20:35:13Z"/>
        <d v="2026-02-11T21:42:23Z"/>
        <d v="2026-02-11T21:43:33Z"/>
        <d v="2026-02-11T21:45:32Z"/>
        <d v="2026-02-11T21:46:35Z"/>
        <d v="2026-02-11T21:48:33Z"/>
        <d v="2026-02-11T21:50:38Z"/>
        <d v="2026-02-11T21:52:09Z"/>
        <d v="2026-02-11T21:54:34Z"/>
        <d v="2026-02-11T23:18:19Z"/>
        <d v="2026-02-11T23:29:10Z"/>
        <d v="2026-02-11T23:31:11Z"/>
        <d v="2026-02-11T23:33:44Z"/>
        <d v="2026-02-11T23:39:03Z"/>
        <d v="2026-02-11T23:52:37Z"/>
        <d v="2026-02-12T04:30:08Z"/>
        <d v="2026-02-12T04:33:27Z"/>
        <d v="2026-02-12T04:37:21Z"/>
        <d v="2026-02-12T04:40:28Z"/>
        <d v="2026-02-12T04:44:11Z"/>
        <d v="2026-02-12T04:48:07Z"/>
        <d v="2026-02-12T04:51:05Z"/>
        <d v="2026-02-12T04:54:54Z"/>
        <d v="2026-02-12T04:57:55Z"/>
        <d v="2026-02-12T05:05:24Z"/>
        <d v="2026-02-12T05:08:24Z"/>
        <d v="2026-02-12T05:12:07Z"/>
        <d v="2026-02-12T05:15:12Z"/>
        <d v="2026-02-12T05:17:58Z"/>
        <d v="2026-02-12T05:20:52Z"/>
        <d v="2026-02-12T05:24:49Z"/>
        <d v="2026-02-12T05:28:41Z"/>
        <d v="2026-02-12T05:32:33Z"/>
        <d v="2026-02-12T05:34:10Z"/>
        <d v="2026-02-12T05:37:34Z"/>
        <d v="2026-02-12T05:40:18Z"/>
        <d v="2026-02-12T05:44:39Z"/>
        <d v="2026-02-12T05:47:27Z"/>
        <d v="2026-02-12T09:25:51Z"/>
        <d v="2026-02-12T09:33:50Z"/>
        <d v="2026-02-12T09:50:48Z"/>
        <d v="2026-02-12T09:50:50Z"/>
        <d v="2026-02-12T09:53:41Z"/>
        <d v="2026-02-12T09:56:35Z"/>
        <d v="2026-02-12T10:15:51Z"/>
        <d v="2026-02-12T11:00:22Z"/>
        <d v="2026-02-12T11:04:43Z"/>
        <d v="2026-02-12T11:09:34Z"/>
        <d v="2026-02-12T11:09:52Z"/>
        <d v="2026-02-12T11:19:33Z"/>
        <d v="2026-02-12T11:22:59Z"/>
        <d v="2026-02-12T11:32:07Z"/>
        <d v="2026-02-12T11:49:06Z"/>
        <d v="2026-02-12T11:51:35Z"/>
        <d v="2026-02-12T11:54:29Z"/>
        <d v="2026-02-12T11:55:11Z"/>
        <d v="2026-02-12T12:45:05Z"/>
        <d v="2026-02-12T12:55:40Z"/>
        <d v="2026-02-12T13:04:50Z"/>
        <d v="2026-02-12T13:11:08Z"/>
        <d v="2026-02-12T13:13:00Z"/>
        <d v="2026-02-12T13:22:27Z"/>
        <d v="2026-02-12T13:31:39Z"/>
        <d v="2026-02-12T13:51:01Z"/>
        <d v="2026-02-12T13:52:18Z"/>
        <d v="2026-02-12T13:53:39Z"/>
        <d v="2026-02-12T13:55:31Z"/>
        <d v="2026-02-12T13:56:50Z"/>
        <d v="2026-02-12T13:56:57Z"/>
        <d v="2026-02-12T13:58:45Z"/>
        <d v="2026-02-12T14:04:07Z"/>
        <d v="2026-02-12T14:06:55Z"/>
        <d v="2026-02-12T14:07:24Z"/>
        <d v="2026-02-12T14:10:36Z"/>
        <d v="2026-02-12T14:13:02Z"/>
        <d v="2026-02-12T14:13:44Z"/>
        <d v="2026-02-12T14:18:14Z"/>
        <d v="2026-02-12T14:18:22Z"/>
        <d v="2026-02-12T14:20:35Z"/>
        <d v="2026-02-12T14:20:53Z"/>
        <d v="2026-02-12T14:20:59Z"/>
        <d v="2026-02-12T14:22:11Z"/>
        <d v="2026-02-12T14:35:32Z"/>
        <d v="2026-02-12T14:41:24Z"/>
        <d v="2026-02-12T14:44:32Z"/>
        <d v="2026-02-12T15:00:55Z"/>
        <d v="2026-02-12T15:10:53Z"/>
        <d v="2026-02-12T15:10:57Z"/>
        <d v="2026-02-12T15:19:42Z"/>
        <d v="2026-02-12T15:52:29Z"/>
        <d v="2026-02-12T15:58:40Z"/>
        <d v="2026-02-12T15:59:29Z"/>
        <d v="2026-02-12T16:06:17Z"/>
        <d v="2026-02-12T16:24:27Z"/>
        <d v="2026-02-12T16:33:58Z"/>
        <d v="2026-02-12T16:36:19Z"/>
        <d v="2026-02-12T16:44:59Z"/>
        <d v="2026-02-12T17:05:20Z"/>
        <d v="2026-02-12T17:07:34Z"/>
        <d v="2026-02-12T17:09:23Z"/>
        <d v="2026-02-12T17:10:38Z"/>
        <d v="2026-02-12T17:10:39Z"/>
        <d v="2026-02-12T17:14:20Z"/>
        <d v="2026-02-12T17:17:07Z"/>
        <d v="2026-02-12T17:17:51Z"/>
        <d v="2026-02-12T17:21:49Z"/>
        <d v="2026-02-12T17:26:42Z"/>
        <d v="2026-02-12T17:35:11Z"/>
        <d v="2026-02-12T17:37:56Z"/>
        <d v="2026-02-12T17:40:33Z"/>
        <d v="2026-02-12T17:44:57Z"/>
        <d v="2026-02-12T17:49:42Z"/>
        <d v="2026-02-12T17:55:34Z"/>
        <d v="2026-02-12T18:08:44Z"/>
        <d v="2026-02-12T18:10:24Z"/>
        <d v="2026-02-12T18:11:12Z"/>
        <d v="2026-02-12T18:20:07Z"/>
        <d v="2026-02-12T18:38:32Z"/>
        <d v="2026-02-12T18:48:29Z"/>
        <d v="2026-02-12T18:51:04Z"/>
        <d v="2026-02-12T18:54:44Z"/>
        <d v="2026-02-13T11:32:33Z"/>
        <d v="2026-02-13T11:41:03Z"/>
        <d v="2026-02-13T12:08:01Z"/>
        <d v="2026-02-13T12:11:42Z"/>
        <d v="2026-02-13T12:22:04Z"/>
        <d v="2026-02-13T12:30:32Z"/>
        <d v="2026-02-13T12:31:35Z"/>
        <d v="2026-02-13T12:32:17Z"/>
        <d v="2026-02-13T12:32:44Z"/>
        <d v="2026-02-13T12:33:15Z"/>
        <d v="2026-02-13T12:34:02Z"/>
        <d v="2026-02-13T12:35:26Z"/>
        <d v="2026-02-13T12:38:14Z"/>
        <d v="2026-02-13T12:57:30Z"/>
        <d v="2026-02-13T13:02:03Z"/>
        <d v="2026-02-13T13:27:36Z"/>
        <d v="2026-02-13T13:30:39Z"/>
        <d v="2026-02-13T13:32:09Z"/>
        <d v="2026-02-13T13:33:51Z"/>
        <d v="2026-02-13T13:34:19Z"/>
        <d v="2026-02-13T13:36:43Z"/>
        <d v="2026-02-13T13:37:18Z"/>
        <d v="2026-02-13T13:39:20Z"/>
        <d v="2026-02-13T13:41:57Z"/>
        <d v="2026-02-13T13:43:45Z"/>
        <d v="2026-02-13T14:09:34Z"/>
        <d v="2026-02-13T14:10:44Z"/>
        <d v="2026-02-13T14:17:03Z"/>
        <d v="2026-02-13T14:22:33Z"/>
        <d v="2026-02-13T14:24:27Z"/>
        <d v="2026-02-13T14:27:06Z"/>
        <d v="2026-02-13T14:34:14Z"/>
        <d v="2026-02-13T14:49:02Z"/>
        <d v="2026-02-13T14:58:26Z"/>
        <d v="2026-02-13T15:01:17Z"/>
        <d v="2026-02-13T15:03:32Z"/>
        <d v="2026-02-13T15:19:22Z"/>
        <d v="2026-02-13T15:45:29Z"/>
        <d v="2026-02-13T16:03:26Z"/>
        <d v="2026-02-13T16:04:46Z"/>
        <d v="2026-02-13T16:16:58Z"/>
        <d v="2026-02-13T16:24:17Z"/>
        <d v="2026-02-13T16:26:24Z"/>
        <d v="2026-02-13T16:29:45Z"/>
        <d v="2026-02-13T16:32:36Z"/>
        <d v="2026-02-13T16:42:02Z"/>
        <d v="2026-02-13T16:44:45Z"/>
        <d v="2026-02-13T16:50:10Z"/>
        <d v="2026-02-13T16:52:58Z"/>
        <d v="2026-02-13T16:56:26Z"/>
        <d v="2026-02-13T16:57:32Z"/>
        <d v="2026-02-13T16:58:49Z"/>
        <d v="2026-02-13T17:09:25Z"/>
        <d v="2026-02-13T17:12:30Z"/>
        <d v="2026-02-13T17:13:57Z"/>
        <d v="2026-02-13T17:15:27Z"/>
        <d v="2026-02-13T17:17:30Z"/>
        <d v="2026-02-13T17:22:03Z"/>
        <d v="2026-02-13T17:23:23Z"/>
        <d v="2026-02-13T17:25:38Z"/>
        <d v="2026-02-13T17:26:46Z"/>
        <d v="2026-02-13T17:27:43Z"/>
        <d v="2026-02-13T17:29:11Z"/>
        <d v="2026-02-13T17:47:08Z"/>
        <d v="2026-02-13T18:04:04Z"/>
        <d v="2026-02-13T18:12:47Z"/>
        <d v="2026-02-13T18:19:01Z"/>
        <d v="2026-02-13T18:20:17Z"/>
        <d v="2026-02-13T18:22:54Z"/>
        <d v="2026-02-13T18:28:02Z"/>
        <d v="2026-02-13T19:01:43Z"/>
        <d v="2026-02-13T22:54:39Z"/>
        <d v="2026-02-13T22:56:46Z"/>
        <d v="2026-02-13T22:57:39Z"/>
        <d v="2026-02-13T22:58:58Z"/>
        <d v="2026-02-13T22:59:50Z"/>
        <d v="2026-02-13T23:00:46Z"/>
        <d v="2026-02-13T23:02:01Z"/>
        <d v="2026-02-13T23:03:41Z"/>
        <d v="2026-02-13T23:05:34Z"/>
        <d v="2026-02-13T23:07:32Z"/>
        <d v="2026-02-13T23:09:13Z"/>
        <d v="2026-02-13T23:10:32Z"/>
        <d v="2026-02-13T23:12:01Z"/>
        <d v="2026-02-13T23:27:26Z"/>
        <d v="2026-02-14T17:02:36Z"/>
        <d v="2026-02-14T17:04:13Z"/>
        <d v="2026-02-14T17:06:55Z"/>
        <d v="2026-02-14T20:06:17Z"/>
        <d v="2026-02-16T12:35:33Z"/>
        <d v="2026-02-16T13:22:35Z"/>
        <d v="2026-02-16T13:26:32Z"/>
        <d v="2026-02-16T13:43:49Z"/>
        <d v="2026-02-16T13:49:33Z"/>
        <d v="2026-02-16T13:52:10Z"/>
        <d v="2026-02-16T13:54:19Z"/>
        <d v="2026-02-16T13:54:56Z"/>
        <d v="2026-02-16T13:56:27Z"/>
        <d v="2026-02-16T13:58:36Z"/>
        <d v="2026-02-16T15:13:24Z"/>
        <d v="2026-02-16T15:26:23Z"/>
        <d v="2026-02-16T16:07:10Z"/>
        <d v="2026-02-16T16:19:15Z"/>
        <d v="2026-02-16T16:21:50Z"/>
        <d v="2026-02-16T16:29:50Z"/>
        <d v="2026-02-16T16:31:23Z"/>
        <d v="2026-02-16T16:33:19Z"/>
        <d v="2026-02-16T16:34:28Z"/>
        <d v="2026-02-16T16:35:59Z"/>
        <d v="2026-02-16T16:37:25Z"/>
        <d v="2026-02-16T16:48:10Z"/>
        <d v="2026-02-16T17:15:37Z"/>
        <d v="2026-02-16T17:24:33Z"/>
        <d v="2026-02-16T17:29:17Z"/>
        <d v="2026-02-16T17:30:07Z"/>
        <d v="2026-02-16T17:30:23Z"/>
        <d v="2026-02-16T17:33:04Z"/>
        <d v="2026-02-16T17:33:39Z"/>
        <d v="2026-02-16T17:35:22Z"/>
        <d v="2026-02-16T17:36:01Z"/>
        <d v="2026-02-16T17:37:15Z"/>
        <d v="2026-02-16T17:38:41Z"/>
        <d v="2026-02-16T17:43:57Z"/>
        <d v="2026-02-16T17:45:38Z"/>
        <d v="2026-02-16T17:55:18Z"/>
        <d v="2026-02-16T17:58:13Z"/>
        <d v="2026-02-16T17:58:21Z"/>
        <d v="2026-02-16T18:01:41Z"/>
        <d v="2026-02-16T18:02:19Z"/>
        <d v="2026-02-16T19:00:53Z"/>
        <d v="2026-02-16T19:20:01Z"/>
        <d v="2026-02-16T19:37:08Z"/>
        <d v="2026-02-16T19:41:04Z"/>
        <d v="2026-02-16T19:43:06Z"/>
        <d v="2026-02-16T19:46:01Z"/>
        <d v="2026-02-16T19:48:01Z"/>
        <d v="2026-02-16T19:51:06Z"/>
        <d v="2026-02-16T19:53:12Z"/>
        <d v="2026-02-16T20:00:08Z"/>
        <d v="2026-02-16T20:05:10Z"/>
        <d v="2026-02-16T20:06:52Z"/>
        <d v="2026-02-16T20:14:17Z"/>
        <d v="2026-02-16T21:41:05Z"/>
        <d v="2026-02-16T21:48:39Z"/>
        <d v="2026-02-16T21:51:35Z"/>
        <d v="2026-02-16T22:07:35Z"/>
        <d v="2026-02-16T22:18:50Z"/>
        <d v="2026-02-16T22:25:09Z"/>
        <d v="2026-02-16T22:31:15Z"/>
        <d v="2026-02-16T22:37:12Z"/>
        <d v="2026-02-16T22:44:27Z"/>
        <d v="2026-02-17T09:00:33Z"/>
        <d v="2026-02-17T09:14:17Z"/>
        <d v="2026-02-17T09:17:09Z"/>
        <d v="2026-02-17T09:20:31Z"/>
        <d v="2026-02-17T09:44:01Z"/>
        <d v="2026-02-17T09:45:30Z"/>
        <d v="2026-02-17T09:47:25Z"/>
        <d v="2026-02-17T09:50:22Z"/>
        <d v="2026-02-17T09:54:10Z"/>
        <d v="2026-02-17T09:55:49Z"/>
        <d v="2026-02-17T09:58:54Z"/>
        <d v="2026-02-17T10:01:45Z"/>
        <d v="2026-02-17T10:03:23Z"/>
        <d v="2026-02-17T10:05:21Z"/>
        <d v="2026-02-17T10:12:08Z"/>
        <d v="2026-02-17T10:14:34Z"/>
        <d v="2026-02-17T10:16:36Z"/>
        <d v="2026-02-17T10:18:32Z"/>
        <d v="2026-02-17T10:22:20Z"/>
        <d v="2026-02-17T10:55:19Z"/>
        <d v="2026-02-17T12:13:56Z"/>
        <d v="2026-02-17T12:23:40Z"/>
        <d v="2026-02-17T12:24:57Z"/>
        <d v="2026-02-17T12:30:45Z"/>
        <d v="2026-02-17T12:34:27Z"/>
        <d v="2026-02-17T12:37:49Z"/>
        <d v="2026-02-17T12:41:45Z"/>
        <d v="2026-02-17T12:45:12Z"/>
        <d v="2026-02-17T12:49:21Z"/>
        <d v="2026-02-17T12:53:50Z"/>
        <d v="2026-02-17T13:00:00Z"/>
        <d v="2026-02-17T13:04:06Z"/>
        <d v="2026-02-17T13:07:35Z"/>
        <d v="2026-02-17T13:10:31Z"/>
        <d v="2026-02-17T13:15:28Z"/>
        <d v="2026-02-17T13:21:20Z"/>
        <d v="2026-02-17T13:27:37Z"/>
        <d v="2026-02-17T13:35:39Z"/>
        <d v="2026-02-17T13:46:33Z"/>
        <d v="2026-02-17T14:06:34Z"/>
        <d v="2026-02-17T14:52:00Z"/>
        <d v="2026-02-17T15:15:54Z"/>
        <d v="2026-02-17T15:15:58Z"/>
        <d v="2026-02-17T15:21:48Z"/>
        <d v="2026-02-17T15:22:44Z"/>
        <d v="2026-02-17T15:24:20Z"/>
        <d v="2026-02-17T15:25:59Z"/>
        <d v="2026-02-17T15:26:41Z"/>
        <d v="2026-02-17T15:27:27Z"/>
        <d v="2026-02-17T15:28:54Z"/>
        <d v="2026-02-17T17:27:28Z"/>
        <d v="2026-02-17T17:28:55Z"/>
        <d v="2026-02-17T17:30:14Z"/>
        <d v="2026-02-17T17:31:09Z"/>
        <d v="2026-02-17T17:32:26Z"/>
        <d v="2026-02-17T17:34:02Z"/>
        <d v="2026-02-17T18:01:08Z"/>
        <d v="2026-02-17T18:01:39Z"/>
        <d v="2026-02-17T18:05:03Z"/>
        <d v="2026-02-17T18:08:11Z"/>
        <d v="2026-02-17T18:08:54Z"/>
        <d v="2026-02-17T18:11:49Z"/>
        <d v="2026-02-17T18:14:33Z"/>
        <d v="2026-02-17T18:17:11Z"/>
        <d v="2026-02-17T18:18:35Z"/>
        <d v="2026-02-18T09:41:41Z"/>
        <d v="2026-02-18T09:42:24Z"/>
        <d v="2026-02-18T09:45:51Z"/>
        <d v="2026-02-18T09:49:09Z"/>
        <d v="2026-02-18T09:50:41Z"/>
        <d v="2026-02-18T09:53:43Z"/>
        <d v="2026-02-18T09:54:11Z"/>
        <d v="2026-02-18T09:58:14Z"/>
        <d v="2026-02-18T09:59:47Z"/>
        <d v="2026-02-18T10:00:23Z"/>
        <d v="2026-02-18T10:07:44Z"/>
        <d v="2026-02-18T10:09:51Z"/>
        <d v="2026-02-18T10:11:53Z"/>
        <d v="2026-02-18T10:14:36Z"/>
        <d v="2026-02-18T10:16:33Z"/>
        <d v="2026-02-18T10:18:10Z"/>
        <d v="2026-02-18T10:22:05Z"/>
        <d v="2026-02-18T10:24:41Z"/>
        <d v="2026-02-18T10:26:23Z"/>
        <d v="2026-02-18T10:28:48Z"/>
        <d v="2026-02-18T10:30:31Z"/>
        <d v="2026-02-18T10:32:13Z"/>
        <d v="2026-02-18T10:33:42Z"/>
        <d v="2026-02-18T10:35:24Z"/>
        <d v="2026-02-18T10:36:47Z"/>
        <d v="2026-02-18T10:57:38Z"/>
        <d v="2026-02-18T11:03:13Z"/>
        <d v="2026-02-18T11:08:18Z"/>
        <d v="2026-02-18T11:37:24Z"/>
        <d v="2026-02-18T12:01:30Z"/>
        <d v="2026-02-18T13:19:31Z"/>
        <d v="2026-02-18T15:22:15Z"/>
        <d v="2026-02-18T15:34:10Z"/>
        <d v="2026-02-18T15:38:51Z"/>
        <d v="2026-02-18T15:58:48Z"/>
        <d v="2026-02-18T16:15:03Z"/>
        <d v="2026-02-18T16:47:02Z"/>
        <d v="2026-02-18T17:22:46Z"/>
        <d v="2026-02-18T17:29:11Z"/>
        <d v="2026-02-18T18:21:08Z"/>
        <d v="2026-02-18T18:30:12Z"/>
        <d v="2026-02-18T18:41:50Z"/>
        <d v="2026-02-18T18:44:30Z"/>
        <d v="2026-02-18T18:50:04Z"/>
        <d v="2026-02-18T19:17:24Z"/>
        <d v="2026-02-18T19:20:36Z"/>
        <d v="2026-02-18T19:25:59Z"/>
        <d v="2026-02-18T19:38:40Z"/>
        <d v="2026-02-18T19:44:13Z"/>
        <d v="2026-02-18T19:49:07Z"/>
        <d v="2026-02-18T19:52:05Z"/>
        <d v="2026-02-18T20:00:00Z"/>
        <d v="2026-02-18T21:45:06Z"/>
        <d v="2026-02-18T21:55:52Z"/>
        <d v="2026-02-18T22:04:02Z"/>
        <d v="2026-02-18T22:15:26Z"/>
        <d v="2026-02-18T22:38:37Z"/>
        <d v="2026-02-18T22:49:08Z"/>
        <d v="2026-02-18T22:55:51Z"/>
        <d v="2026-02-18T23:04:08Z"/>
        <d v="2026-02-18T23:11:32Z"/>
        <d v="2026-02-19T10:10:04Z"/>
        <d v="2026-02-19T10:12:02Z"/>
        <d v="2026-02-19T18:00:33Z"/>
        <d v="2026-02-19T18:08:25Z"/>
        <d v="2026-02-19T18:13:07Z"/>
        <d v="2026-02-19T18:18:59Z"/>
        <d v="2026-02-19T18:28:09Z"/>
        <d v="2026-02-19T18:33:34Z"/>
        <d v="2026-02-19T18:40:14Z"/>
        <d v="2026-02-19T19:40:07Z"/>
        <d v="2026-02-19T19:43:22Z"/>
        <d v="2026-02-19T19:45:44Z"/>
        <d v="2026-02-19T19:48:33Z"/>
        <d v="2026-02-19T19:51:28Z"/>
        <d v="2026-02-19T19:53:52Z"/>
        <d v="2026-02-19T19:55:08Z"/>
        <d v="2026-02-19T19:58:19Z"/>
        <d v="2026-02-19T20:01:06Z"/>
        <d v="2026-02-19T20:03:30Z"/>
        <d v="2026-02-19T20:06:10Z"/>
        <d v="2026-02-19T21:24:42Z"/>
        <d v="2026-02-19T21:32:53Z"/>
        <d v="2026-02-19T21:37:03Z"/>
        <d v="2026-02-19T21:40:32Z"/>
        <d v="2026-02-19T21:44:19Z"/>
        <d v="2026-02-19T21:50:06Z"/>
        <d v="2026-02-19T21:52:40Z"/>
        <d v="2026-02-19T21:57:42Z"/>
        <d v="2026-02-19T22:01:09Z"/>
        <d v="2026-02-19T23:10:27Z"/>
        <d v="2026-02-19T23:12:13Z"/>
        <d v="2026-02-19T23:14:57Z"/>
        <d v="2026-02-19T23:16:59Z"/>
        <d v="2026-02-19T23:28:09Z"/>
        <d v="2026-02-19T23:30:57Z"/>
        <d v="2026-02-19T23:36:54Z"/>
        <d v="2026-02-19T23:43:02Z"/>
        <d v="2026-02-19T23:48:29Z"/>
        <d v="2026-02-19T23:51:03Z"/>
        <d v="2026-02-19T23:53:36Z"/>
        <d v="2026-02-19T23:56:53Z"/>
        <d v="2026-02-20T00:10:39Z"/>
        <d v="2026-02-20T07:30:58Z"/>
        <d v="2026-02-20T07:34:08Z"/>
        <d v="2026-02-20T07:36:18Z"/>
        <d v="2026-02-20T07:38:32Z"/>
        <d v="2026-02-20T07:40:33Z"/>
        <d v="2026-02-20T07:42:21Z"/>
        <d v="2026-02-20T07:44:09Z"/>
        <d v="2026-02-20T07:46:04Z"/>
        <d v="2026-02-20T07:48:22Z"/>
        <d v="2026-02-20T07:50:01Z"/>
        <d v="2026-02-20T07:54:00Z"/>
        <d v="2026-02-20T07:58:00Z"/>
        <d v="2026-02-20T08:00:00Z"/>
        <d v="2026-02-20T08:02:42Z"/>
        <d v="2026-02-20T08:11:19Z"/>
        <d v="2026-02-20T08:14:30Z"/>
        <d v="2026-02-20T08:17:35Z"/>
        <d v="2026-02-20T08:20:24Z"/>
        <d v="2026-02-20T08:21:36Z"/>
        <d v="2026-02-20T08:26:25Z"/>
        <d v="2026-02-20T09:20:13Z"/>
        <d v="2026-02-20T09:29:05Z"/>
        <d v="2026-02-20T09:33:54Z"/>
        <d v="2026-02-20T09:44:19Z"/>
        <d v="2026-02-20T09:46:50Z"/>
        <d v="2026-02-20T09:56:47Z"/>
        <d v="2026-02-20T10:00:46Z"/>
        <d v="2026-02-20T10:01:59Z"/>
        <d v="2026-02-20T10:13:50Z"/>
        <d v="2026-02-20T10:16:13Z"/>
        <d v="2026-02-20T10:18:46Z"/>
        <d v="2026-02-20T12:52:16Z"/>
        <d v="2026-02-20T12:53:43Z"/>
        <d v="2026-02-20T13:01:30Z"/>
        <d v="2026-02-20T13:03:48Z"/>
        <d v="2026-02-20T13:07:49Z"/>
        <d v="2026-02-20T13:15:18Z"/>
        <d v="2026-02-20T13:16:21Z"/>
        <d v="2026-02-20T13:48:30Z"/>
        <d v="2026-02-20T15:22:29Z"/>
        <d v="2026-02-20T15:24:04Z"/>
        <d v="2026-02-20T15:40:35Z"/>
        <d v="2026-02-20T15:49:49Z"/>
        <d v="2026-02-20T15:53:30Z"/>
        <d v="2026-02-20T17:29:28Z"/>
        <d v="2026-02-20T17:30:52Z"/>
        <d v="2026-02-20T17:32:08Z"/>
        <d v="2026-02-20T17:32:28Z"/>
        <d v="2026-02-20T17:39:39Z"/>
        <d v="2026-02-20T17:42:53Z"/>
        <d v="2026-02-20T17:46:09Z"/>
        <d v="2026-02-20T17:48:14Z"/>
        <d v="2026-02-20T17:49:57Z"/>
        <d v="2026-02-20T17:52:57Z"/>
        <d v="2026-02-20T17:57:02Z"/>
        <d v="2026-02-20T18:26:36Z"/>
        <d v="2026-02-20T18:28:20Z"/>
        <d v="2026-02-20T18:31:54Z"/>
        <d v="2026-02-20T18:36:08Z"/>
        <d v="2026-02-20T18:55:49Z"/>
        <d v="2026-02-20T18:56:24Z"/>
        <d v="2026-02-20T19:02:35Z"/>
        <d v="2026-02-20T19:06:24Z"/>
        <d v="2026-02-20T19:12:15Z"/>
        <d v="2026-02-20T19:14:56Z"/>
        <d v="2026-02-20T19:17:52Z"/>
        <d v="2026-02-20T19:21:21Z"/>
        <d v="2026-02-20T19:23:07Z"/>
        <d v="2026-02-20T19:24:49Z"/>
        <d v="2026-02-20T19:25:48Z"/>
        <d v="2026-02-20T19:26:09Z"/>
        <d v="2026-02-20T21:25:43Z"/>
        <d v="2026-02-20T21:28:55Z"/>
        <d v="2026-02-20T21:31:16Z"/>
        <d v="2026-02-20T21:33:46Z"/>
        <d v="2026-02-20T21:36:11Z"/>
        <d v="2026-02-20T21:41:38Z"/>
        <d v="2026-02-20T21:49:48Z"/>
        <d v="2026-02-20T21:56:31Z"/>
        <d v="2026-02-21T09:49:38Z"/>
        <d v="2026-02-21T09:53:05Z"/>
        <d v="2026-02-21T09:58:35Z"/>
        <d v="2026-02-21T10:01:17Z"/>
        <d v="2026-02-21T10:02:50Z"/>
        <d v="2026-02-21T10:03:52Z"/>
        <d v="2026-02-21T10:05:15Z"/>
        <d v="2026-02-21T10:07:41Z"/>
        <d v="2026-02-21T10:10:54Z"/>
        <d v="2026-02-21T10:14:52Z"/>
        <d v="2026-02-21T10:20:26Z"/>
        <d v="2026-02-21T10:21:26Z"/>
        <d v="2026-02-21T10:22:37Z"/>
        <d v="2026-02-21T10:24:49Z"/>
        <d v="2026-02-21T10:25:12Z"/>
        <d v="2026-02-21T10:26:27Z"/>
        <d v="2026-02-21T10:27:54Z"/>
        <d v="2026-02-21T10:28:17Z"/>
        <d v="2026-02-21T10:29:47Z"/>
        <d v="2026-02-21T10:29:56Z"/>
        <d v="2026-02-21T10:31:11Z"/>
        <d v="2026-02-21T10:32:58Z"/>
        <d v="2026-02-21T10:35:02Z"/>
        <d v="2026-02-21T10:35:36Z"/>
        <d v="2026-02-21T10:37:36Z"/>
        <d v="2026-02-21T10:37:49Z"/>
        <d v="2026-02-21T10:40:14Z"/>
        <d v="2026-02-21T10:40:24Z"/>
        <d v="2026-02-21T10:41:35Z"/>
        <d v="2026-02-21T10:41:51Z"/>
        <d v="2026-02-21T10:42:58Z"/>
        <d v="2026-02-21T10:43:16Z"/>
        <d v="2026-02-21T10:44:43Z"/>
        <d v="2026-02-21T10:44:44Z"/>
        <d v="2026-02-21T10:47:11Z"/>
        <d v="2026-02-21T10:47:16Z"/>
        <d v="2026-02-21T10:48:19Z"/>
        <d v="2026-02-21T10:49:14Z"/>
        <d v="2026-02-21T12:12:57Z"/>
        <d v="2026-02-21T12:51:01Z"/>
        <d v="2026-02-21T12:52:38Z"/>
        <d v="2026-02-21T12:53:48Z"/>
        <d v="2026-02-21T12:54:55Z"/>
        <d v="2026-02-21T12:55:57Z"/>
        <d v="2026-02-21T12:56:59Z"/>
        <d v="2026-02-21T12:58:08Z"/>
        <d v="2026-02-21T13:41:50Z"/>
        <d v="2026-02-21T14:49:52Z"/>
        <d v="2026-02-21T14:53:18Z"/>
        <d v="2026-02-21T14:54:17Z"/>
        <d v="2026-02-21T14:57:04Z"/>
        <d v="2026-02-21T14:59:17Z"/>
        <d v="2026-02-21T15:01:33Z"/>
        <d v="2026-02-21T15:52:58Z"/>
        <d v="2026-02-21T15:54:37Z"/>
        <d v="2026-02-21T16:08:13Z"/>
        <d v="2026-02-21T16:10:39Z"/>
        <d v="2026-02-21T16:11:43Z"/>
        <d v="2026-02-21T16:13:34Z"/>
        <d v="2026-02-21T16:15:01Z"/>
        <d v="2026-02-21T16:34:09Z"/>
        <d v="2026-02-21T16:38:22Z"/>
        <d v="2026-02-21T16:39:39Z"/>
        <d v="2026-02-21T16:45:58Z"/>
        <d v="2026-02-21T16:49:54Z"/>
        <d v="2026-02-21T16:53:05Z"/>
        <d v="2026-02-21T16:58:25Z"/>
        <d v="2026-02-21T17:02:41Z"/>
        <d v="2026-02-21T17:03:59Z"/>
        <d v="2026-02-21T17:08:25Z"/>
        <d v="2026-02-21T17:14:26Z"/>
        <d v="2026-02-21T17:48:46Z"/>
        <d v="2026-02-21T18:22:07Z"/>
        <d v="2026-02-21T18:23:43Z"/>
        <d v="2026-02-21T18:24:46Z"/>
        <d v="2026-02-21T18:26:13Z"/>
        <d v="2026-02-21T18:27:42Z"/>
        <d v="2026-02-21T19:03:49Z"/>
        <d v="2026-02-22T15:57:09Z"/>
        <d v="2026-02-22T15:58:54Z"/>
        <d v="2026-02-22T16:00:21Z"/>
        <d v="2026-02-22T16:02:31Z"/>
        <d v="2026-02-22T16:04:16Z"/>
        <d v="2026-02-22T16:05:47Z"/>
        <d v="2026-02-22T16:07:14Z"/>
        <d v="2026-02-22T16:09:08Z"/>
        <d v="2026-02-22T16:10:53Z"/>
        <d v="2026-02-22T16:12:44Z"/>
        <d v="2026-02-22T16:14:10Z"/>
        <d v="2026-02-22T16:16:28Z"/>
        <d v="2026-02-22T16:18:45Z"/>
        <d v="2026-02-22T16:21:03Z"/>
        <d v="2026-02-22T16:23:26Z"/>
        <d v="2026-02-22T16:24:45Z"/>
        <d v="2026-02-22T16:26:10Z"/>
        <d v="2026-02-22T16:27:58Z"/>
        <d v="2026-02-22T17:03:28Z"/>
        <d v="2026-02-22T17:04:52Z"/>
        <d v="2026-02-22T17:06:25Z"/>
        <d v="2026-02-22T17:10:25Z"/>
        <d v="2026-02-22T17:12:57Z"/>
        <d v="2026-02-22T17:16:25Z"/>
        <d v="2026-02-22T19:15:39Z"/>
        <d v="2026-02-22T19:17:49Z"/>
        <d v="2026-02-22T19:19:33Z"/>
        <d v="2026-02-22T19:20:57Z"/>
        <d v="2026-02-22T19:22:24Z"/>
        <d v="2026-02-22T19:24:32Z"/>
        <d v="2026-02-22T19:27:04Z"/>
        <d v="2026-02-22T19:29:05Z"/>
        <d v="2026-02-22T19:31:04Z"/>
        <d v="2026-02-22T19:32:43Z"/>
        <d v="2026-02-22T19:37:00Z"/>
        <d v="2026-02-23T11:22:14Z"/>
        <d v="2026-02-23T11:32:36Z"/>
        <d v="2026-02-23T11:36:55Z"/>
        <d v="2026-02-23T11:44:58Z"/>
        <d v="2026-02-23T11:51:44Z"/>
        <d v="2026-02-23T12:43:23Z"/>
        <d v="2026-02-23T12:49:51Z"/>
        <d v="2026-02-23T13:01:02Z"/>
        <d v="2026-02-23T13:53:57Z"/>
        <d v="2026-02-23T14:21:31Z"/>
        <d v="2026-02-23T14:26:51Z"/>
        <d v="2026-02-23T14:33:45Z"/>
        <d v="2026-02-23T14:36:22Z"/>
        <d v="2026-02-23T14:42:59Z"/>
        <d v="2026-02-23T14:48:46Z"/>
        <d v="2026-02-23T14:53:57Z"/>
        <d v="2026-02-23T15:07:45Z"/>
        <d v="2026-02-23T16:17:32Z"/>
        <d v="2026-02-23T16:18:49Z"/>
        <d v="2026-02-23T16:20:09Z"/>
        <d v="2026-02-23T16:21:17Z"/>
        <d v="2026-02-23T16:23:07Z"/>
        <d v="2026-02-23T16:25:33Z"/>
        <d v="2026-02-23T16:28:48Z"/>
        <d v="2026-02-23T16:59:50Z"/>
        <d v="2026-02-23T17:01:35Z"/>
        <d v="2026-02-23T17:05:23Z"/>
        <d v="2026-02-23T17:08:36Z"/>
        <d v="2026-02-23T17:10:26Z"/>
        <d v="2026-02-23T17:12:08Z"/>
        <d v="2026-02-23T17:14:09Z"/>
        <d v="2026-02-23T17:16:45Z"/>
        <d v="2026-02-23T17:47:03Z"/>
        <d v="2026-02-23T17:53:08Z"/>
        <d v="2026-02-23T18:57:06Z"/>
        <d v="2026-02-23T19:00:57Z"/>
        <d v="2026-02-23T19:01:59Z"/>
        <d v="2026-02-23T19:03:23Z"/>
        <d v="2026-02-23T19:04:39Z"/>
        <d v="2026-02-23T19:05:58Z"/>
        <d v="2026-02-23T19:06:52Z"/>
        <d v="2026-02-23T19:19:55Z"/>
        <d v="2026-02-23T19:22:16Z"/>
        <d v="2026-02-23T19:24:10Z"/>
        <d v="2026-02-23T19:31:54Z"/>
        <d v="2026-02-23T19:34:06Z"/>
        <d v="2026-02-23T19:35:33Z"/>
        <d v="2026-02-23T19:36:44Z"/>
        <d v="2026-02-23T19:38:33Z"/>
        <d v="2026-02-23T20:02:13Z"/>
        <d v="2026-02-23T20:06:57Z"/>
        <d v="2026-02-23T20:11:45Z"/>
        <d v="2026-02-23T21:42:04Z"/>
        <d v="2026-02-23T21:43:25Z"/>
        <d v="2026-02-23T21:44:44Z"/>
        <d v="2026-02-23T21:46:14Z"/>
        <d v="2026-02-23T21:48:14Z"/>
        <d v="2026-02-23T21:49:25Z"/>
        <d v="2026-02-23T21:51:13Z"/>
        <d v="2026-02-23T21:52:48Z"/>
        <d v="2026-02-23T21:54:10Z"/>
        <d v="2026-02-23T21:55:40Z"/>
        <d v="2026-02-23T21:57:06Z"/>
        <d v="2026-02-23T21:58:21Z"/>
        <d v="2026-02-23T21:59:55Z"/>
        <d v="2026-02-23T22:01:17Z"/>
        <d v="2026-02-23T22:02:46Z"/>
        <d v="2026-02-23T22:04:18Z"/>
        <d v="2026-02-23T22:05:45Z"/>
        <d v="2026-02-23T23:44:52Z"/>
        <d v="2026-02-23T23:47:47Z"/>
        <d v="2026-02-23T23:50:54Z"/>
        <d v="2026-02-23T23:53:05Z"/>
        <d v="2026-02-23T23:55:21Z"/>
        <d v="2026-02-23T23:57:40Z"/>
        <d v="2026-02-24T00:00:13Z"/>
        <d v="2026-02-24T00:09:20Z"/>
        <d v="2026-02-24T00:14:41Z"/>
        <d v="2026-02-24T00:17:08Z"/>
        <d v="2026-02-24T00:19:04Z"/>
        <d v="2026-02-24T00:21:35Z"/>
        <d v="2026-02-24T00:30:28Z"/>
        <d v="2026-02-24T00:49:09Z"/>
        <d v="2026-02-24T00:55:31Z"/>
        <d v="2026-02-24T01:00:09Z"/>
        <d v="2026-02-24T01:06:12Z"/>
        <d v="2026-02-24T01:10:39Z"/>
        <d v="2026-02-24T01:16:58Z"/>
        <d v="2026-02-24T09:05:11Z"/>
        <d v="2026-02-24T09:07:12Z"/>
        <d v="2026-02-24T11:31:16Z"/>
        <d v="2026-02-24T11:33:28Z"/>
        <d v="2026-02-24T11:35:35Z"/>
        <d v="2026-02-24T11:37:48Z"/>
        <d v="2026-02-24T11:39:25Z"/>
        <d v="2026-02-24T11:41:55Z"/>
        <d v="2026-02-24T11:44:17Z"/>
        <d v="2026-02-24T12:03:50Z"/>
        <d v="2026-02-24T12:16:12Z"/>
        <d v="2026-02-24T12:34:20Z"/>
        <d v="2026-02-24T12:39:07Z"/>
        <d v="2026-02-24T13:11:44Z"/>
        <d v="2026-02-24T13:15:13Z"/>
        <d v="2026-02-24T13:16:43Z"/>
        <d v="2026-02-24T13:35:03Z"/>
        <d v="2026-02-24T15:26:59Z"/>
        <d v="2026-02-24T15:33:21Z"/>
        <d v="2026-02-24T15:41:59Z"/>
        <d v="2026-02-24T15:49:32Z"/>
        <d v="2026-02-24T17:07:30Z"/>
        <d v="2026-02-24T17:07:57Z"/>
        <d v="2026-02-24T17:09:05Z"/>
        <d v="2026-02-24T17:11:24Z"/>
        <d v="2026-02-24T17:12:57Z"/>
        <d v="2026-02-24T17:14:25Z"/>
        <d v="2026-02-24T17:15:54Z"/>
        <d v="2026-02-24T17:17:18Z"/>
        <d v="2026-02-24T17:18:49Z"/>
        <d v="2026-02-24T17:19:45Z"/>
        <d v="2026-02-24T17:21:53Z"/>
        <d v="2026-02-24T17:24:49Z"/>
        <d v="2026-02-24T17:26:22Z"/>
        <d v="2026-02-24T17:27:47Z"/>
        <d v="2026-02-24T17:29:37Z"/>
        <d v="2026-02-24T17:32:01Z"/>
        <d v="2026-02-24T17:33:30Z"/>
        <d v="2026-02-24T17:34:46Z"/>
        <d v="2026-02-24T17:35:59Z"/>
        <d v="2026-02-24T17:36:09Z"/>
        <d v="2026-02-24T17:37:23Z"/>
        <d v="2026-02-24T17:38:34Z"/>
        <d v="2026-02-24T17:40:08Z"/>
        <d v="2026-02-24T17:40:24Z"/>
        <d v="2026-02-24T17:41:25Z"/>
        <d v="2026-02-24T17:42:03Z"/>
        <d v="2026-02-24T17:42:48Z"/>
        <d v="2026-02-24T17:44:45Z"/>
        <d v="2026-02-24T17:46:04Z"/>
        <d v="2026-02-24T17:47:02Z"/>
        <d v="2026-02-24T17:48:14Z"/>
        <d v="2026-02-24T17:51:39Z"/>
        <d v="2026-02-24T17:52:08Z"/>
        <d v="2026-02-24T17:52:41Z"/>
        <d v="2026-02-24T17:53:46Z"/>
        <d v="2026-02-24T17:53:51Z"/>
        <d v="2026-02-24T17:55:06Z"/>
        <d v="2026-02-24T17:56:37Z"/>
        <d v="2026-02-24T17:59:48Z"/>
        <d v="2026-02-24T18:48:30Z"/>
        <d v="2026-02-24T18:51:18Z"/>
        <d v="2026-02-24T18:56:30Z"/>
        <d v="2026-02-24T19:04:45Z"/>
        <d v="2026-02-24T19:24:54Z"/>
        <d v="2026-02-24T19:26:37Z"/>
        <d v="2026-02-24T19:31:31Z"/>
        <d v="2026-02-24T19:36:57Z"/>
        <d v="2026-02-24T19:39:24Z"/>
        <d v="2026-02-24T19:49:18Z"/>
        <d v="2026-02-24T20:02:01Z"/>
        <d v="2026-02-24T21:24:43Z"/>
        <d v="2026-02-24T21:26:04Z"/>
        <d v="2026-02-24T21:27:25Z"/>
        <d v="2026-02-24T21:28:46Z"/>
        <d v="2026-02-24T21:29:56Z"/>
        <d v="2026-02-24T21:31:09Z"/>
        <d v="2026-02-24T21:41:29Z"/>
        <d v="2026-02-24T21:50:34Z"/>
        <d v="2026-02-24T21:52:38Z"/>
        <d v="2026-02-24T21:55:19Z"/>
        <d v="2026-02-24T21:55:57Z"/>
        <d v="2026-02-24T21:58:18Z"/>
        <d v="2026-02-24T21:59:55Z"/>
        <d v="2026-02-24T22:01:35Z"/>
        <d v="2026-02-24T22:08:17Z"/>
        <d v="2026-02-24T22:40:53Z"/>
        <d v="2026-02-24T23:23:35Z"/>
        <d v="2026-02-24T23:28:31Z"/>
        <d v="2026-02-24T23:33:53Z"/>
        <d v="2026-02-24T23:48:45Z"/>
        <d v="2026-02-24T23:54:54Z"/>
        <d v="2026-02-25T00:02:47Z"/>
        <d v="2026-02-25T00:06:10Z"/>
        <d v="2026-02-25T00:10:28Z"/>
        <d v="2026-02-25T07:48:56Z"/>
        <d v="2026-02-25T07:51:02Z"/>
        <d v="2026-02-25T07:52:30Z"/>
        <d v="2026-02-25T07:55:08Z"/>
        <d v="2026-02-25T10:08:37Z"/>
        <d v="2026-02-25T10:11:42Z"/>
        <d v="2026-02-25T10:20:37Z"/>
        <d v="2026-02-25T12:13:28Z"/>
        <d v="2026-02-25T12:41:23Z"/>
        <d v="2026-02-25T12:57:48Z"/>
        <d v="2026-02-25T13:34:10Z"/>
        <d v="2026-02-25T13:53:33Z"/>
        <d v="2026-02-25T14:02:27Z"/>
        <d v="2026-02-25T14:17:23Z"/>
        <d v="2026-02-25T14:39:18Z"/>
        <d v="2026-02-25T17:06:08Z"/>
        <d v="2026-02-25T17:09:44Z"/>
        <d v="2026-02-25T17:14:22Z"/>
        <d v="2026-02-25T17:15:09Z"/>
        <d v="2026-02-25T17:16:58Z"/>
        <d v="2026-02-25T17:20:09Z"/>
        <d v="2026-02-25T17:21:16Z"/>
        <d v="2026-02-25T17:22:13Z"/>
        <d v="2026-02-25T17:25:23Z"/>
        <d v="2026-02-25T17:29:08Z"/>
        <d v="2026-02-25T17:31:11Z"/>
        <d v="2026-02-25T17:47:55Z"/>
        <d v="2026-02-25T17:51:21Z"/>
        <d v="2026-02-25T17:55:44Z"/>
        <d v="2026-02-25T17:59:03Z"/>
        <d v="2026-02-25T17:59:53Z"/>
        <d v="2026-02-25T18:11:41Z"/>
        <d v="2026-02-25T19:00:24Z"/>
        <d v="2026-02-25T19:17:16Z"/>
        <d v="2026-02-25T19:20:47Z"/>
        <d v="2026-02-25T19:31:26Z"/>
        <d v="2026-02-25T19:33:43Z"/>
        <d v="2026-02-25T19:42:55Z"/>
        <d v="2026-02-25T19:49:52Z"/>
        <d v="2026-02-25T19:58:43Z"/>
        <d v="2026-02-25T20:10:45Z"/>
        <d v="2026-02-25T21:06:49Z"/>
        <d v="2026-02-25T21:08:36Z"/>
        <d v="2026-02-25T21:09:56Z"/>
        <d v="2026-02-25T21:11:21Z"/>
        <d v="2026-02-25T21:13:05Z"/>
        <d v="2026-02-25T21:14:20Z"/>
        <d v="2026-02-25T21:15:59Z"/>
        <d v="2026-02-25T21:17:57Z"/>
        <d v="2026-02-25T21:20:37Z"/>
        <d v="2026-02-25T21:22:17Z"/>
        <d v="2026-02-25T21:24:06Z"/>
        <d v="2026-02-25T21:25:48Z"/>
        <d v="2026-02-25T21:27:08Z"/>
        <d v="2026-02-25T21:29:12Z"/>
        <d v="2026-02-25T21:30:43Z"/>
        <d v="2026-02-25T21:52:01Z"/>
        <d v="2026-02-25T21:55:00Z"/>
        <d v="2026-02-25T21:56:20Z"/>
        <d v="2026-02-25T21:59:38Z"/>
        <d v="2026-02-25T22:02:16Z"/>
        <d v="2026-02-25T22:03:33Z"/>
        <d v="2026-02-25T22:07:12Z"/>
        <d v="2026-02-25T22:09:22Z"/>
        <d v="2026-02-25T22:11:58Z"/>
        <d v="2026-02-25T22:13:44Z"/>
        <d v="2026-02-25T22:18:28Z"/>
        <d v="2026-02-25T22:21:29Z"/>
        <d v="2026-02-25T22:22:36Z"/>
        <d v="2026-02-25T22:25:16Z"/>
        <d v="2026-02-25T22:27:36Z"/>
        <d v="2026-02-25T22:27:45Z"/>
        <d v="2026-02-25T22:30:15Z"/>
        <d v="2026-02-25T22:32:40Z"/>
        <d v="2026-02-25T22:35:20Z"/>
        <d v="2026-02-25T22:36:09Z"/>
        <d v="2026-02-25T22:36:55Z"/>
        <d v="2026-02-25T22:38:24Z"/>
        <d v="2026-02-25T22:39:15Z"/>
        <d v="2026-02-25T22:39:44Z"/>
        <d v="2026-02-25T22:41:03Z"/>
        <d v="2026-02-25T22:41:10Z"/>
        <d v="2026-02-25T22:42:42Z"/>
        <d v="2026-02-25T22:43:56Z"/>
        <d v="2026-02-25T22:45:52Z"/>
        <d v="2026-02-25T22:47:48Z"/>
        <d v="2026-02-25T23:03:28Z"/>
        <d v="2026-02-25T23:09:17Z"/>
        <d v="2026-02-25T23:29:50Z"/>
        <d v="2026-02-25T23:37:14Z"/>
        <d v="2026-02-25T23:41:16Z"/>
        <d v="2026-02-25T23:51:36Z"/>
        <d v="2026-02-25T23:57:00Z"/>
        <d v="2026-02-25T23:59:42Z"/>
        <d v="2026-02-26T00:04:05Z"/>
        <d v="2026-02-26T00:07:50Z"/>
        <d v="2026-02-26T00:14:24Z"/>
        <d v="2026-02-26T00:25:36Z"/>
        <d v="2026-02-26T00:33:12Z"/>
        <d v="2026-02-26T00:37:41Z"/>
        <d v="2026-02-26T00:45:23Z"/>
        <d v="2026-02-26T00:57:33Z"/>
        <d v="2026-02-26T01:04:53Z"/>
        <d v="2026-02-26T01:20:51Z"/>
        <d v="2026-02-26T08:22:29Z"/>
        <d v="2026-02-26T10:36:59Z"/>
        <d v="2026-02-26T10:39:04Z"/>
        <d v="2026-02-26T11:58:53Z"/>
        <d v="2026-02-26T12:01:12Z"/>
        <d v="2026-02-26T13:40:55Z"/>
        <d v="2026-02-26T14:21:39Z"/>
        <d v="2026-02-26T14:55:53Z"/>
        <d v="2026-02-26T16:47:09Z"/>
        <d v="2026-02-26T18:12:04Z"/>
        <d v="2026-02-26T18:21:04Z"/>
        <d v="2026-02-26T18:35:12Z"/>
        <d v="2026-02-26T19:02:20Z"/>
        <d v="2026-02-26T19:05:17Z"/>
        <d v="2026-02-26T19:18:00Z"/>
        <d v="2026-02-26T19:20:41Z"/>
        <d v="2026-02-26T19:23:14Z"/>
        <d v="2026-02-26T19:26:53Z"/>
        <d v="2026-02-26T19:39:01Z"/>
        <d v="2026-02-26T23:13:15Z"/>
        <d v="2026-02-26T23:17:09Z"/>
        <d v="2026-02-26T23:18:42Z"/>
        <d v="2026-02-26T23:20:19Z"/>
        <d v="2026-02-26T23:22:28Z"/>
        <d v="2026-02-26T23:23:51Z"/>
        <d v="2026-02-27T09:59:57Z"/>
        <d v="2026-02-27T10:01:43Z"/>
        <d v="2026-02-27T10:03:52Z"/>
        <d v="2026-02-27T10:09:15Z"/>
        <d v="2026-02-27T10:12:37Z"/>
        <d v="2026-02-27T11:00:33Z"/>
        <d v="2026-02-27T11:03:09Z"/>
        <d v="2026-02-27T11:04:37Z"/>
        <d v="2026-02-27T11:06:09Z"/>
        <d v="2026-02-27T11:08:03Z"/>
        <d v="2026-02-27T11:09:45Z"/>
        <d v="2026-02-27T11:11:15Z"/>
        <d v="2026-02-27T11:17:39Z"/>
        <d v="2026-02-27T11:22:02Z"/>
        <d v="2026-02-27T15:58:58Z"/>
        <d v="2026-02-27T17:27:59Z"/>
        <d v="2026-02-27T17:30:21Z"/>
        <d v="2026-02-27T17:34:16Z"/>
        <d v="2026-02-27T17:41:17Z"/>
        <d v="2026-02-27T17:45:17Z"/>
        <d v="2026-02-27T18:43:00Z"/>
        <d v="2026-02-27T18:48:02Z"/>
        <d v="2026-02-27T18:51:07Z"/>
        <d v="2026-02-28T13:29:11Z"/>
        <d v="2026-02-28T13:33:09Z"/>
        <d v="2026-02-28T13:41:18Z"/>
        <d v="2026-02-28T18:38:58Z"/>
        <d v="2026-02-28T18:42:27Z"/>
        <d v="2026-02-28T18:45:45Z"/>
        <d v="2026-02-28T18:48:14Z"/>
        <d v="2026-02-28T18:50:35Z"/>
        <d v="2026-02-28T18:52:23Z"/>
        <d v="2026-02-28T18:55:07Z"/>
        <d v="2026-02-28T19:00:06Z"/>
        <d v="2026-02-28T19:01:51Z"/>
        <d v="2026-02-28T19:03:59Z"/>
        <d v="2026-02-28T19:05:35Z"/>
        <d v="2026-03-01T13:33:00Z"/>
        <d v="2026-03-01T13:38:45Z"/>
        <d v="2026-03-01T13:44:18Z"/>
        <d v="2026-03-01T13:45:57Z"/>
        <d v="2026-03-01T13:47:35Z"/>
        <d v="2026-03-01T20:46:51Z"/>
        <d v="2026-03-01T20:54:20Z"/>
        <d v="2026-03-01T21:05:54Z"/>
        <d v="2026-03-01T21:19:16Z"/>
        <d v="2026-03-01T21:26:04Z"/>
        <d v="2026-03-01T22:36:59Z"/>
        <d v="2026-03-01T22:43:24Z"/>
        <d v="2026-03-02T09:19:16Z"/>
        <d v="2026-03-02T09:23:51Z"/>
        <d v="2026-03-02T09:24:07Z"/>
        <d v="2026-03-02T09:30:37Z"/>
        <d v="2026-03-02T09:34:53Z"/>
        <d v="2026-03-02T12:11:16Z"/>
        <d v="2026-03-02T12:25:49Z"/>
        <d v="2026-03-02T12:30:19Z"/>
        <d v="2026-03-02T12:40:13Z"/>
        <d v="2026-03-02T12:42:33Z"/>
        <d v="2026-03-02T12:47:25Z"/>
        <d v="2026-03-02T13:06:02Z"/>
        <d v="2026-03-02T13:31:03Z"/>
        <d v="2026-03-02T13:43:53Z"/>
        <d v="2026-03-02T13:58:49Z"/>
        <d v="2026-03-02T14:01:04Z"/>
        <d v="2026-03-02T14:11:31Z"/>
        <d v="2026-03-02T14:13:11Z"/>
        <d v="2026-03-02T14:16:46Z"/>
        <d v="2026-03-02T14:23:29Z"/>
        <d v="2026-03-02T14:24:03Z"/>
        <d v="2026-03-02T14:49:03Z"/>
        <d v="2026-03-02T14:50:55Z"/>
        <d v="2026-03-02T14:52:19Z"/>
        <d v="2026-03-02T14:53:28Z"/>
        <d v="2026-03-02T14:54:29Z"/>
        <d v="2026-03-02T14:56:06Z"/>
        <d v="2026-03-02T14:57:30Z"/>
        <d v="2026-03-02T15:10:03Z"/>
        <d v="2026-03-02T15:21:16Z"/>
        <d v="2026-03-02T15:23:07Z"/>
        <d v="2026-03-02T15:39:19Z"/>
        <d v="2026-03-02T15:54:24Z"/>
        <d v="2026-03-02T15:55:14Z"/>
        <d v="2026-03-02T15:56:50Z"/>
        <d v="2026-03-02T16:08:05Z"/>
        <d v="2026-03-02T16:09:31Z"/>
        <d v="2026-03-02T16:37:15Z"/>
        <d v="2026-03-02T17:00:08Z"/>
        <d v="2026-03-02T17:04:31Z"/>
        <d v="2026-03-02T17:05:25Z"/>
        <d v="2026-03-02T17:11:36Z"/>
        <d v="2026-03-02T17:20:07Z"/>
        <d v="2026-03-02T17:21:13Z"/>
        <d v="2026-03-02T17:22:16Z"/>
        <d v="2026-03-02T17:39:12Z"/>
        <d v="2026-03-02T17:40:59Z"/>
        <d v="2026-03-02T17:45:07Z"/>
        <d v="2026-03-02T17:46:23Z"/>
        <d v="2026-03-02T17:57:59Z"/>
        <d v="2026-03-02T18:00:10Z"/>
        <d v="2026-03-02T18:03:22Z"/>
        <d v="2026-03-02T18:05:47Z"/>
        <d v="2026-03-02T18:13:26Z"/>
        <d v="2026-03-02T18:26:22Z"/>
        <d v="2026-03-02T18:46:55Z"/>
        <d v="2026-03-02T18:50:39Z"/>
        <d v="2026-03-02T21:15:05Z"/>
        <d v="2026-03-02T21:17:25Z"/>
        <d v="2026-03-02T21:19:37Z"/>
        <d v="2026-03-02T21:23:29Z"/>
        <d v="2026-03-02T22:00:40Z"/>
        <d v="2026-03-02T22:02:42Z"/>
        <d v="2026-03-02T22:04:29Z"/>
        <d v="2026-03-02T22:07:59Z"/>
        <d v="2026-03-02T22:09:56Z"/>
        <d v="2026-03-02T22:11:05Z"/>
        <d v="2026-03-02T22:12:04Z"/>
        <d v="2026-03-02T22:13:14Z"/>
        <d v="2026-03-02T22:14:32Z"/>
        <d v="2026-03-02T22:30:47Z"/>
        <d v="2026-03-02T22:38:59Z"/>
        <d v="2026-03-03T11:33:32Z"/>
        <d v="2026-03-03T11:41:59Z"/>
        <d v="2026-03-03T11:43:07Z"/>
        <d v="2026-03-03T11:45:02Z"/>
        <d v="2026-03-03T11:46:31Z"/>
        <d v="2026-03-03T11:51:40Z"/>
        <d v="2026-03-03T11:53:06Z"/>
        <d v="2026-03-03T11:57:16Z"/>
        <d v="2026-03-03T12:17:03Z"/>
        <d v="2026-03-03T13:16:36Z"/>
        <d v="2026-03-03T13:17:44Z"/>
        <d v="2026-03-03T13:36:40Z"/>
        <d v="2026-03-03T13:43:36Z"/>
        <d v="2026-03-03T14:00:28Z"/>
        <d v="2026-03-03T14:19:26Z"/>
        <d v="2026-03-03T14:29:25Z"/>
        <d v="2026-03-03T15:23:22Z"/>
        <d v="2026-03-03T15:24:37Z"/>
        <d v="2026-03-03T15:25:40Z"/>
        <d v="2026-03-03T15:40:21Z"/>
        <d v="2026-03-03T16:02:54Z"/>
        <d v="2026-03-03T16:31:43Z"/>
        <d v="2026-03-03T16:33:33Z"/>
        <d v="2026-03-03T16:35:49Z"/>
        <d v="2026-03-03T16:37:13Z"/>
        <d v="2026-03-03T16:38:48Z"/>
        <d v="2026-03-03T16:40:23Z"/>
        <d v="2026-03-03T16:44:29Z"/>
        <d v="2026-03-03T16:46:26Z"/>
        <d v="2026-03-03T16:47:32Z"/>
        <d v="2026-03-03T18:24:47Z"/>
        <d v="2026-03-03T18:27:31Z"/>
        <d v="2026-03-03T18:30:09Z"/>
        <d v="2026-03-03T18:32:37Z"/>
        <d v="2026-03-03T18:35:23Z"/>
        <d v="2026-03-03T20:32:48Z"/>
        <d v="2026-03-03T20:35:28Z"/>
        <d v="2026-03-04T10:42:56Z"/>
        <d v="2026-03-04T10:45:43Z"/>
        <d v="2026-03-04T10:48:43Z"/>
        <d v="2026-03-04T10:52:32Z"/>
        <d v="2026-03-04T10:56:20Z"/>
        <d v="2026-03-04T10:59:15Z"/>
        <d v="2026-03-04T11:01:32Z"/>
        <d v="2026-03-04T11:03:48Z"/>
        <d v="2026-03-04T11:50:02Z"/>
        <d v="2026-03-04T23:24:16Z"/>
        <d v="2026-03-04T23:25:28Z"/>
        <d v="2026-03-04T23:26:12Z"/>
        <d v="2026-03-04T23:27:14Z"/>
        <d v="2026-03-04T23:28:51Z"/>
        <d v="2026-03-04T23:30:16Z"/>
        <d v="2026-03-04T23:31:50Z"/>
        <d v="2026-03-04T23:33:04Z"/>
        <d v="2026-03-04T23:34:43Z"/>
        <d v="2026-03-04T23:36:17Z"/>
        <d v="2026-03-04T23:37:50Z"/>
        <d v="2026-03-04T23:38:42Z"/>
        <d v="2026-03-04T23:39:21Z"/>
        <d v="2026-03-04T23:40:14Z"/>
        <d v="2026-03-04T23:40:47Z"/>
        <d v="2026-03-04T23:42:05Z"/>
        <d v="2026-03-04T23:45:24Z"/>
        <d v="2026-03-04T23:46:21Z"/>
        <d v="2026-03-04T23:47:23Z"/>
        <d v="2026-03-04T23:48:37Z"/>
        <d v="2026-03-04T23:50:10Z"/>
        <d v="2026-03-04T23:51:19Z"/>
        <d v="2026-03-05T14:18:52Z"/>
        <d v="2026-03-05T14:25:59Z"/>
        <d v="2026-03-05T14:28:55Z"/>
        <d v="2026-03-05T14:35:45Z"/>
        <d v="2026-03-05T14:45:02Z"/>
        <d v="2026-03-05T14:55:59Z"/>
        <d v="2026-03-05T14:59:37Z"/>
        <d v="2026-03-05T15:01:23Z"/>
        <d v="2026-03-05T15:17:27Z"/>
        <d v="2026-03-05T15:19:10Z"/>
        <d v="2026-03-05T15:21:08Z"/>
        <d v="2026-03-05T15:22:45Z"/>
        <d v="2026-03-05T15:28:45Z"/>
        <d v="2026-03-05T15:29:54Z"/>
        <d v="2026-03-05T15:37:58Z"/>
        <d v="2026-03-05T15:43:15Z"/>
        <d v="2026-03-05T15:49:16Z"/>
        <d v="2026-03-05T15:51:42Z"/>
        <d v="2026-03-05T16:00:13Z"/>
        <d v="2026-03-05T16:01:24Z"/>
        <d v="2026-03-05T16:01:39Z"/>
        <d v="2026-03-05T16:03:16Z"/>
        <d v="2026-03-05T16:07:14Z"/>
        <d v="2026-03-05T16:08:09Z"/>
        <d v="2026-03-05T16:09:57Z"/>
        <d v="2026-03-05T16:12:43Z"/>
        <d v="2026-03-05T16:20:03Z"/>
        <d v="2026-03-05T16:21:37Z"/>
        <d v="2026-03-05T16:25:51Z"/>
        <d v="2026-03-05T16:26:50Z"/>
        <d v="2026-03-05T21:32:14Z"/>
        <d v="2026-03-05T21:33:13Z"/>
        <d v="2026-03-05T21:34:51Z"/>
        <d v="2026-03-05T21:35:41Z"/>
        <d v="2026-03-05T21:36:51Z"/>
        <d v="2026-03-05T21:38:45Z"/>
        <d v="2026-03-05T21:40:07Z"/>
        <d v="2026-03-05T21:48:04Z"/>
        <d v="2026-03-05T21:49:56Z"/>
        <d v="2026-03-05T21:52:49Z"/>
        <d v="2026-03-05T23:31:37Z"/>
        <d v="2026-03-05T23:34:24Z"/>
        <d v="2026-03-05T23:36:18Z"/>
        <d v="2026-03-05T23:38:26Z"/>
        <d v="2026-03-05T23:40:18Z"/>
        <d v="2026-03-06T16:45:50Z"/>
        <d v="2026-03-05T23:43:42Z"/>
        <d v="2026-03-05T23:41:58Z"/>
        <d v="2026-03-05T23:46:20Z"/>
        <d v="2026-03-06T00:09:28Z"/>
        <d v="2026-03-06T10:34:33Z"/>
        <d v="2026-03-06T10:44:18Z"/>
        <d v="2026-03-06T10:48:13Z"/>
        <d v="2026-03-06T12:45:08Z"/>
        <d v="2026-03-06T13:06:34Z"/>
        <d v="2026-03-06T13:09:32Z"/>
        <d v="2026-03-06T13:11:19Z"/>
        <d v="2026-03-06T13:37:03Z"/>
        <d v="2026-03-06T15:46:14Z"/>
        <d v="2026-03-06T15:48:38Z"/>
        <d v="2026-03-06T16:16:50Z"/>
        <d v="2026-03-05T23:58:03Z"/>
        <d v="2026-03-06T16:48:11Z"/>
        <d v="2026-03-06T17:01:17Z"/>
        <d v="2026-03-06T17:07:59Z"/>
        <d v="2026-03-06T17:18:25Z"/>
        <d v="2026-03-06T17:26:08Z"/>
        <d v="2026-03-06T19:00:36Z"/>
        <d v="2026-03-06T19:01:55Z"/>
        <d v="2026-03-06T19:01:57Z"/>
        <d v="2026-03-06T19:02:40Z"/>
        <d v="2026-03-06T19:03:18Z"/>
        <d v="2026-03-06T19:04:09Z"/>
        <d v="2026-03-06T19:05:01Z"/>
        <d v="2026-03-06T19:06:19Z"/>
        <d v="2026-03-06T19:07:58Z"/>
        <d v="2026-03-06T19:08:19Z"/>
        <d v="2026-03-06T19:09:11Z"/>
        <d v="2026-03-06T19:10:07Z"/>
        <d v="2026-03-06T19:11:14Z"/>
        <d v="2026-03-06T19:12:47Z"/>
        <d v="2026-03-06T19:14:35Z"/>
        <d v="2026-03-06T19:14:39Z"/>
        <d v="2026-03-06T19:15:29Z"/>
        <d v="2026-03-06T19:16:06Z"/>
        <d v="2026-03-06T19:18:54Z"/>
        <d v="2026-03-06T19:20:24Z"/>
        <d v="2026-03-06T19:21:55Z"/>
        <d v="2026-03-06T19:22:44Z"/>
        <d v="2026-03-06T19:23:26Z"/>
        <d v="2026-03-06T19:24:15Z"/>
        <d v="2026-03-06T19:24:49Z"/>
        <d v="2026-03-06T19:25:26Z"/>
        <d v="2026-03-06T19:25:47Z"/>
        <d v="2026-03-06T19:26:24Z"/>
        <d v="2026-03-06T19:27:07Z"/>
        <d v="2026-03-06T19:27:49Z"/>
        <d v="2026-03-06T20:33:27Z"/>
        <d v="2026-03-06T20:37:47Z"/>
        <d v="2026-03-06T20:52:59Z"/>
        <d v="2026-03-06T21:04:35Z"/>
        <d v="2026-03-07T08:55:39Z"/>
        <d v="2026-03-07T08:57:40Z"/>
        <d v="2026-03-07T08:58:27Z"/>
        <d v="2026-03-07T09:58:15Z"/>
        <d v="2026-03-07T09:00:27Z"/>
        <d v="2026-03-07T09:01:28Z"/>
        <d v="2026-03-07T09:02:47Z"/>
        <d v="2026-03-07T10:03:40Z"/>
        <d v="2026-03-07T10:08:07Z"/>
        <d v="2026-03-07T10:13:18Z"/>
        <d v="2026-03-07T12:15:32Z"/>
        <d v="2026-03-07T08:59:29Z"/>
        <d v="2026-03-07T11:11:33Z"/>
        <d v="2026-03-07T09:04:03Z"/>
        <d v="2026-03-07T13:42:53Z"/>
        <d v="2026-03-07T14:24:56Z"/>
        <d v="2026-03-08T10:48:00Z"/>
        <d v="2026-03-08T10:52:01Z"/>
        <d v="2026-03-08T10:57:34Z"/>
        <d v="2026-03-08T11:00:44Z"/>
        <d v="2026-03-08T11:03:13Z"/>
        <d v="2026-03-08T11:06:26Z"/>
        <d v="2026-03-08T11:09:10Z"/>
        <d v="2026-03-08T20:24:52Z"/>
        <d v="2026-03-09T15:35:03Z"/>
        <d v="2026-03-09T16:25:26Z"/>
        <d v="2026-03-09T16:26:59Z"/>
        <d v="2026-03-09T16:28:29Z"/>
        <d v="2026-03-09T16:29:32Z"/>
        <d v="2026-03-09T16:31:01Z"/>
        <d v="2026-03-09T16:32:21Z"/>
        <d v="2026-03-09T16:34:10Z"/>
        <d v="2026-03-09T16:36:35Z"/>
        <d v="2026-03-09T16:38:12Z"/>
        <d v="2026-03-09T16:45:37Z"/>
        <d v="2026-03-09T18:00:27Z"/>
        <d v="2026-03-09T18:01:42Z"/>
        <d v="2026-03-09T18:05:45Z"/>
        <d v="2026-03-09T20:58:55Z"/>
        <d v="2026-03-09T21:00:23Z"/>
        <d v="2026-03-09T21:01:56Z"/>
        <d v="2026-03-09T21:03:39Z"/>
        <d v="2026-03-09T21:05:35Z"/>
        <d v="2026-03-09T21:10:25Z"/>
        <d v="2026-03-09T21:11:44Z"/>
        <d v="2026-03-09T21:15:40Z"/>
        <d v="2026-03-09T21:22:15Z"/>
        <d v="2026-03-09T21:23:24Z"/>
        <d v="2026-03-09T21:24:51Z"/>
        <d v="2026-03-09T21:26:42Z"/>
        <d v="2026-03-09T21:51:04Z"/>
        <d v="2026-03-09T21:56:54Z"/>
        <d v="2026-03-09T22:03:54Z"/>
        <d v="2026-03-09T22:10:08Z"/>
        <d v="2026-03-09T22:52:24Z"/>
        <d v="2026-03-09T22:54:56Z"/>
        <d v="2026-03-09T22:56:35Z"/>
        <d v="2026-03-09T22:58:05Z"/>
        <d v="2026-03-09T22:59:58Z"/>
        <d v="2026-03-09T23:02:17Z"/>
        <d v="2026-03-09T23:05:20Z"/>
        <d v="2026-03-10T11:47:30Z"/>
        <d v="2026-03-10T11:49:45Z"/>
        <d v="2026-03-10T12:11:07Z"/>
        <d v="2026-03-10T12:25:34Z"/>
        <d v="2026-03-10T13:45:58Z"/>
        <d v="2026-03-10T14:06:46Z"/>
        <d v="2026-03-10T14:20:08Z"/>
        <d v="2026-03-10T14:59:34Z"/>
        <d v="2026-03-10T15:03:14Z"/>
        <d v="2026-03-10T15:06:12Z"/>
        <d v="2026-03-10T15:09:27Z"/>
        <d v="2026-03-10T15:12:09Z"/>
        <d v="2026-03-10T18:32:13Z"/>
        <d v="2026-03-10T18:36:43Z"/>
        <d v="2026-03-10T18:41:24Z"/>
        <d v="2026-03-10T18:42:53Z"/>
        <d v="2026-03-10T18:44:44Z"/>
        <d v="2026-03-10T18:48:28Z"/>
        <d v="2026-03-10T21:33:21Z"/>
        <d v="2026-03-10T21:35:34Z"/>
        <d v="2026-03-10T21:37:33Z"/>
        <d v="2026-03-10T21:38:57Z"/>
        <d v="2026-03-10T21:40:15Z"/>
        <d v="2026-03-10T22:28:39Z"/>
        <d v="2026-03-10T22:30:00Z"/>
        <d v="2026-03-10T22:31:45Z"/>
        <d v="2026-03-10T22:35:01Z"/>
        <d v="2026-03-10T22:36:52Z"/>
        <d v="2026-03-10T22:38:06Z"/>
        <d v="2026-03-10T22:39:39Z"/>
        <d v="2026-03-10T22:41:11Z"/>
        <d v="2026-03-10T22:42:52Z"/>
        <d v="2026-03-10T22:44:10Z"/>
        <d v="2026-03-10T22:58:34Z"/>
        <d v="2026-03-10T23:03:37Z"/>
        <d v="2026-03-11T11:21:31Z"/>
        <d v="2026-03-11T11:22:22Z"/>
        <d v="2026-03-11T11:23:24Z"/>
        <d v="2026-03-11T11:24:22Z"/>
        <d v="2026-03-11T11:25:10Z"/>
        <d v="2026-03-11T11:25:49Z"/>
        <d v="2026-03-11T11:26:59Z"/>
        <d v="2026-03-11T11:28:20Z"/>
        <d v="2026-03-11T11:29:29Z"/>
        <d v="2026-03-11T11:30:23Z"/>
        <d v="2026-03-11T11:31:26Z"/>
        <d v="2026-03-11T11:32:45Z"/>
        <d v="2026-03-11T11:33:59Z"/>
        <d v="2026-03-11T11:35:06Z"/>
        <d v="2026-03-11T11:36:08Z"/>
        <d v="2026-03-11T11:37:21Z"/>
        <d v="2026-03-11T11:38:31Z"/>
        <d v="2026-03-11T11:40:00Z"/>
        <d v="2026-03-11T11:41:35Z"/>
        <d v="2026-03-11T11:43:35Z"/>
        <d v="2026-03-11T11:44:27Z"/>
        <d v="2026-03-11T11:45:55Z"/>
        <d v="2026-03-11T11:50:41Z"/>
        <d v="2026-03-11T11:52:08Z"/>
        <d v="2026-03-11T11:53:18Z"/>
        <d v="2026-03-11T11:54:52Z"/>
        <d v="2026-03-11T11:55:35Z"/>
        <d v="2026-03-11T11:57:22Z"/>
        <d v="2026-03-11T11:58:23Z"/>
        <d v="2026-03-11T11:59:10Z"/>
        <d v="2026-03-11T11:59:53Z"/>
        <d v="2026-03-11T12:00:54Z"/>
        <d v="2026-03-11T12:01:36Z"/>
        <d v="2026-03-11T12:08:36Z"/>
        <d v="2026-03-11T12:10:26Z"/>
        <d v="2026-03-11T12:11:09Z"/>
        <d v="2026-03-11T12:12:39Z"/>
        <d v="2026-03-11T12:13:59Z"/>
        <d v="2026-03-11T12:14:52Z"/>
        <d v="2026-03-11T12:15:53Z"/>
        <d v="2026-03-11T12:17:09Z"/>
        <d v="2026-03-11T12:18:16Z"/>
        <d v="2026-03-11T12:20:07Z"/>
        <d v="2026-03-11T12:20:53Z"/>
        <d v="2026-03-11T12:21:56Z"/>
        <d v="2026-03-11T14:09:01Z"/>
        <d v="2026-03-11T14:09:56Z"/>
        <d v="2026-03-11T14:11:06Z"/>
        <d v="2026-03-11T14:33:47Z"/>
        <d v="2026-03-11T14:38:01Z"/>
        <d v="2026-03-11T15:26:15Z"/>
        <d v="2026-03-11T15:29:18Z"/>
        <d v="2026-03-11T15:30:47Z"/>
        <d v="2026-03-11T16:54:23Z"/>
        <d v="2026-03-11T16:58:53Z"/>
        <d v="2026-03-11T16:59:58Z"/>
        <d v="2026-03-11T17:00:02Z"/>
        <d v="2026-03-11T17:01:33Z"/>
        <d v="2026-03-11T17:02:53Z"/>
        <d v="2026-03-11T17:04:44Z"/>
        <d v="2026-03-11T17:05:58Z"/>
        <d v="2026-03-11T17:07:48Z"/>
        <d v="2026-03-11T17:11:20Z"/>
        <d v="2026-03-11T17:13:18Z"/>
        <d v="2026-03-11T17:15:18Z"/>
        <d v="2026-03-11T17:16:49Z"/>
        <d v="2026-03-11T17:18:39Z"/>
        <d v="2026-03-11T20:00:03Z"/>
        <d v="2026-03-11T20:02:23Z"/>
        <d v="2026-03-11T20:03:29Z"/>
        <d v="2026-03-11T20:04:54Z"/>
        <d v="2026-03-11T20:06:53Z"/>
        <d v="2026-03-11T20:08:59Z"/>
        <d v="2026-03-11T20:10:21Z"/>
        <d v="2026-03-11T20:12:27Z"/>
        <d v="2026-03-11T20:14:08Z"/>
        <d v="2026-03-11T22:39:42Z"/>
        <d v="2026-03-11T22:41:46Z"/>
        <d v="2026-03-11T22:43:12Z"/>
        <d v="2026-03-11T22:44:28Z"/>
        <d v="2026-03-11T22:46:57Z"/>
        <d v="2026-03-11T22:48:34Z"/>
        <d v="2026-03-11T22:51:38Z"/>
        <d v="2026-03-11T22:56:12Z"/>
        <d v="2026-03-12T00:19:23Z"/>
        <d v="2026-03-12T00:21:55Z"/>
        <d v="2026-03-12T00:25:56Z"/>
        <d v="2026-03-12T00:31:08Z"/>
        <d v="2026-03-12T00:35:14Z"/>
        <d v="2026-03-12T00:38:35Z"/>
        <d v="2026-03-12T00:42:56Z"/>
        <d v="2026-03-12T00:47:25Z"/>
        <d v="2026-03-12T00:49:27Z"/>
        <d v="2026-03-12T09:27:08Z"/>
        <d v="2026-03-12T09:28:05Z"/>
        <d v="2026-03-12T09:29:23Z"/>
        <d v="2026-03-12T09:30:32Z"/>
        <d v="2026-03-12T09:32:23Z"/>
        <d v="2026-03-12T10:13:32Z"/>
        <d v="2026-03-17T10:59:04Z"/>
        <d v="2026-03-17T11:00:07Z"/>
        <d v="2026-03-17T11:00:43Z"/>
        <d v="2026-03-17T11:01:46Z"/>
        <d v="2026-03-17T11:03:21Z"/>
        <d v="2026-03-17T11:05:25Z"/>
        <d v="2026-03-17T11:08:12Z"/>
        <d v="2026-03-17T11:10:51Z"/>
        <d v="2026-03-17T12:47:54Z"/>
        <d v="2026-03-17T12:52:31Z"/>
        <d v="2026-03-17T12:55:39Z"/>
        <d v="2026-03-17T12:58:23Z"/>
        <d v="2026-03-17T13:37:31Z"/>
        <d v="2026-03-17T13:40:22Z"/>
        <d v="2026-03-17T13:50:47Z"/>
        <d v="2026-03-17T13:57:01Z"/>
        <d v="2026-03-17T14:24:27Z"/>
        <d v="2026-03-17T20:42:20Z"/>
        <d v="2026-03-17T20:43:51Z"/>
        <d v="2026-03-17T21:32:12Z"/>
        <d v="2026-03-17T21:34:48Z"/>
        <d v="2026-03-17T21:59:35Z"/>
        <d v="2026-03-17T22:03:16Z"/>
        <d v="2026-03-17T22:05:19Z"/>
        <d v="2026-03-17T22:06:48Z"/>
        <d v="2026-03-17T22:11:39Z"/>
        <d v="2026-03-17T22:13:14Z"/>
        <d v="2026-03-17T22:14:54Z"/>
        <d v="2026-03-17T22:16:23Z"/>
        <d v="2026-03-17T22:18:33Z"/>
        <d v="2026-03-17T22:20:25Z"/>
        <d v="2026-03-17T22:21:53Z"/>
        <d v="2026-03-17T22:22:52Z"/>
        <d v="2026-03-17T22:50:12Z"/>
        <d v="2026-03-17T22:52:28Z"/>
        <d v="2026-03-17T22:54:30Z"/>
        <d v="2026-03-17T22:57:58Z"/>
        <d v="2026-03-17T23:00:13Z"/>
        <d v="2026-03-17T23:01:55Z"/>
        <d v="2026-03-17T23:04:03Z"/>
        <d v="2026-03-18T10:00:55Z"/>
        <d v="2026-03-18T13:01:38Z"/>
        <d v="2026-03-18T13:04:00Z"/>
        <d v="2026-03-18T13:06:06Z"/>
        <d v="2026-03-18T13:25:30Z"/>
        <d v="2026-03-18T13:27:52Z"/>
        <d v="2026-03-18T13:30:57Z"/>
        <d v="2026-03-18T13:33:32Z"/>
        <d v="2026-03-18T14:29:37Z"/>
        <d v="2026-03-18T15:36:42Z"/>
        <d v="2026-03-18T16:00:25Z"/>
        <d v="2026-03-18T16:02:31Z"/>
        <d v="2026-03-18T16:04:32Z"/>
        <d v="2026-03-18T16:06:28Z"/>
        <d v="2026-03-18T16:23:00Z"/>
        <d v="2026-03-18T16:25:42Z"/>
        <d v="2026-03-18T16:27:39Z"/>
        <d v="2026-03-18T16:29:42Z"/>
      </sharedItems>
    </cacheField>
    <cacheField name="Date">
      <sharedItems containsDate="1" containsString="0" containsBlank="1" containsMixedTypes="1">
        <m/>
        <d v="2022-01-16T00:00:00Z"/>
        <d v="2026-02-03T00:00:00Z"/>
        <d v="2026-02-02T00:00:00Z"/>
        <d v="2026-02-04T00:00:00Z"/>
        <d v="2026-02-05T00:00:00Z"/>
        <d v="2026-06-02T00:00:00Z"/>
        <d v="2026-02-06T00:00:00Z"/>
        <d v="2026-02-09T00:00:00Z"/>
        <d v="2026-02-10T00:00:00Z"/>
        <d v="2026-02-11T00:00:00Z"/>
        <d v="2026-01-31T00:00:00Z"/>
        <d v="2026-02-07T00:00:00Z"/>
        <d v="2026-02-12T00:00:00Z"/>
        <d v="2026-02-13T00:00:00Z"/>
        <d v="2026-02-19T00:00:00Z"/>
        <d v="2026-02-16T00:00:00Z"/>
        <d v="2026-02-14T00:00:00Z"/>
        <n v="-684419.0"/>
        <d v="2026-02-25T00:00:00Z"/>
        <d v="2026-02-17T00:00:00Z"/>
        <d v="2026-02-18T00:00:00Z"/>
        <d v="2026-02-20T00:00:00Z"/>
        <n v="-319170.0"/>
        <d v="2026-02-21T00:00:00Z"/>
        <d v="2026-02-23T00:00:00Z"/>
        <d v="2026-02-24T00:00:00Z"/>
        <d v="2026-04-24T00:00:00Z"/>
        <d v="2026-02-26T00:00:00Z"/>
        <d v="2026-02-27T00:00:00Z"/>
        <d v="2026-03-27T00:00:00Z"/>
        <d v="2026-02-28T00:00:00Z"/>
        <d v="2026-03-02T00:00:00Z"/>
        <d v="2026-03-03T00:00:00Z"/>
        <d v="2026-03-05T00:00:00Z"/>
        <d v="2026-03-06T00:00:00Z"/>
        <d v="2026-03-08T00:00:00Z"/>
        <d v="2026-03-09T00:00:00Z"/>
        <d v="2026-03-10T00:00:00Z"/>
        <d v="2026-03-11T00:00:00Z"/>
        <d v="2026-03-16T00:00:00Z"/>
        <d v="2026-03-17T00:00:00Z"/>
        <d v="2026-03-18T00:00:00Z"/>
      </sharedItems>
    </cacheField>
    <cacheField name="Time" numFmtId="0">
      <sharedItems containsDate="1" containsString="0" containsBlank="1">
        <m/>
        <d v="1899-12-30T10:11:00Z"/>
        <d v="1899-12-30T16:00:00Z"/>
        <d v="1899-12-30T15:30:00Z"/>
        <d v="1899-12-30T18:00:00Z"/>
        <d v="1899-12-30T05:45:00Z"/>
        <d v="1899-12-30T03:00:00Z"/>
        <d v="1899-12-30T21:52:00Z"/>
        <d v="1899-12-30T22:24:00Z"/>
        <d v="1899-12-30T22:44:00Z"/>
        <d v="1899-12-30T15:00:00Z"/>
        <d v="1899-12-30T19:29:00Z"/>
        <d v="1899-12-30T17:35:00Z"/>
        <d v="1899-12-30T19:00:00Z"/>
        <d v="1899-12-30T13:00:00Z"/>
        <d v="1899-12-30T12:00:00Z"/>
        <d v="1899-12-30T12:13:00Z"/>
        <d v="1899-12-30T16:32:00Z"/>
        <d v="1899-12-30T20:00:00Z"/>
        <d v="1899-12-30T13:46:00Z"/>
        <d v="1899-12-30T13:30:00Z"/>
        <d v="1899-12-30T14:30:00Z"/>
        <d v="1899-12-30T11:30:00Z"/>
        <d v="1899-12-30T12:30:00Z"/>
        <d v="1899-12-30T10:55:00Z"/>
        <d v="1899-12-30T14:00:00Z"/>
        <d v="1899-12-30T15:35:00Z"/>
        <d v="1899-12-30T16:07:00Z"/>
        <d v="1899-12-30T17:00:00Z"/>
        <d v="1899-12-30T01:00:00Z"/>
        <d v="1899-12-30T10:00:00Z"/>
        <d v="1899-12-30T02:30:00Z"/>
        <d v="1899-12-30T14:45:00Z"/>
        <d v="1899-12-30T16:10:00Z"/>
        <d v="1899-12-30T12:10:00Z"/>
        <d v="1899-12-30T16:06:00Z"/>
        <d v="1899-12-30T11:00:00Z"/>
        <d v="1899-12-30T13:05:00Z"/>
        <d v="1899-12-30T14:09:00Z"/>
        <d v="1899-12-30T15:33:00Z"/>
        <d v="1899-12-30T01:30:00Z"/>
        <d v="1899-12-30T05:50:00Z"/>
        <d v="1899-12-30T17:30:00Z"/>
        <d v="1899-12-30T11:45:00Z"/>
        <d v="1899-12-30T12:14:00Z"/>
        <d v="1899-12-30T12:34:00Z"/>
        <d v="1899-12-30T12:25:00Z"/>
        <d v="1899-12-30T02:00:00Z"/>
        <d v="1899-12-30T12:40:00Z"/>
        <d v="1899-12-30T12:55:00Z"/>
        <d v="1899-12-30T12:58:00Z"/>
        <d v="1899-12-30T12:45:00Z"/>
        <d v="1899-12-30T13:35:00Z"/>
        <d v="1899-12-30T14:20:00Z"/>
        <d v="1899-12-30T14:10:00Z"/>
        <d v="1899-12-30T15:14:00Z"/>
        <d v="1899-12-30T15:20:00Z"/>
        <d v="1899-12-30T04:00:00Z"/>
        <d v="1899-12-30T04:30:00Z"/>
        <d v="1899-12-30T16:25:00Z"/>
        <d v="1899-12-30T17:08:00Z"/>
        <d v="1899-12-30T17:15:00Z"/>
        <d v="1899-12-30T17:25:00Z"/>
        <d v="1899-12-30T17:28:00Z"/>
        <d v="1899-12-30T00:43:00Z"/>
        <d v="1899-12-30T13:10:00Z"/>
        <d v="1899-12-30T13:17:00Z"/>
        <d v="1899-12-30T14:16:00Z"/>
        <d v="1899-12-30T14:02:00Z"/>
        <d v="1899-12-30T12:18:00Z"/>
        <d v="1899-12-30T12:19:00Z"/>
        <d v="1899-12-30T00:30:00Z"/>
        <d v="1899-12-30T11:53:00Z"/>
        <d v="1899-12-30T00:37:00Z"/>
        <d v="1899-12-30T13:11:00Z"/>
        <d v="1899-12-30T12:50:00Z"/>
        <d v="1899-12-30T13:04:00Z"/>
        <d v="1899-12-30T13:45:00Z"/>
        <d v="1899-12-30T14:58:00Z"/>
        <d v="1899-12-30T15:49:00Z"/>
        <d v="1899-12-30T14:50:00Z"/>
        <d v="1899-12-30T13:36:00Z"/>
        <d v="1899-12-30T17:50:00Z"/>
        <d v="1899-12-30T20:12:00Z"/>
        <d v="1899-12-30T01:04:00Z"/>
        <d v="1899-12-30T01:12:00Z"/>
        <d v="1899-12-30T01:40:00Z"/>
        <d v="1899-12-30T01:47:00Z"/>
        <d v="1899-12-30T05:54:00Z"/>
        <d v="1899-12-30T05:30:00Z"/>
        <d v="1899-12-30T22:00:00Z"/>
        <d v="1899-12-30T14:38:00Z"/>
        <d v="1899-12-30T14:46:00Z"/>
        <d v="1899-12-30T22:30:00Z"/>
        <d v="1899-12-30T11:57:00Z"/>
        <d v="1899-12-30T12:23:00Z"/>
        <d v="1899-12-30T13:09:00Z"/>
        <d v="1899-12-30T13:31:00Z"/>
        <d v="1899-12-30T12:42:00Z"/>
        <d v="1899-12-30T12:53:00Z"/>
        <d v="1899-12-30T13:03:00Z"/>
        <d v="1899-12-30T12:59:00Z"/>
        <d v="1899-12-30T13:20:00Z"/>
        <d v="1899-12-30T01:27:00Z"/>
        <d v="1899-12-30T01:50:00Z"/>
        <d v="1899-12-30T13:15:00Z"/>
        <d v="1899-12-30T13:49:00Z"/>
        <d v="1899-12-30T13:25:00Z"/>
        <d v="1899-12-30T13:50:00Z"/>
        <d v="1899-12-30T12:15:00Z"/>
        <d v="1899-12-30T12:16:00Z"/>
        <d v="1899-12-30T14:15:00Z"/>
        <d v="1899-12-30T14:04:00Z"/>
        <d v="1899-12-30T14:52:00Z"/>
        <d v="1899-12-30T14:17:00Z"/>
        <d v="1899-12-30T14:36:00Z"/>
        <d v="1899-12-30T15:10:00Z"/>
        <d v="1899-12-30T15:45:00Z"/>
        <d v="1899-12-30T15:34:00Z"/>
        <d v="1899-12-30T04:40:00Z"/>
        <d v="1899-12-30T16:45:00Z"/>
        <d v="1899-12-30T04:55:00Z"/>
        <d v="1899-12-30T17:07:00Z"/>
        <d v="1899-12-30T17:10:00Z"/>
        <d v="1899-12-30T05:04:00Z"/>
        <d v="1899-12-30T16:43:00Z"/>
        <d v="1899-12-30T05:27:00Z"/>
        <d v="1899-12-30T05:29:00Z"/>
        <d v="1899-12-30T05:43:00Z"/>
        <d v="1899-12-30T06:07:00Z"/>
        <d v="1899-12-30T06:00:00Z"/>
        <d v="1899-12-30T18:30:00Z"/>
        <d v="1899-12-30T17:59:00Z"/>
        <d v="1899-12-30T11:27:00Z"/>
        <d v="1899-12-30T11:39:00Z"/>
        <d v="1899-12-30T12:03:00Z"/>
        <d v="1899-12-30T12:20:00Z"/>
        <d v="1899-12-30T12:31:00Z"/>
        <d v="1899-12-30T13:40:00Z"/>
        <d v="1899-12-30T00:06:00Z"/>
        <d v="1899-12-30T00:12:00Z"/>
        <d v="1899-12-30T00:19:00Z"/>
        <d v="1899-12-30T00:35:00Z"/>
        <d v="1899-12-30T03:30:00Z"/>
        <d v="1899-12-30T04:50:00Z"/>
        <d v="1899-12-30T03:45:00Z"/>
        <d v="1899-12-30T16:11:00Z"/>
        <d v="1899-12-30T16:22:00Z"/>
        <d v="1899-12-30T16:30:00Z"/>
        <d v="1899-12-30T16:33:00Z"/>
        <d v="1899-12-30T16:36:00Z"/>
        <d v="1899-12-30T16:42:00Z"/>
        <d v="1899-12-30T16:47:00Z"/>
        <d v="1899-12-30T14:55:00Z"/>
        <d v="1899-12-30T16:55:00Z"/>
        <d v="1899-12-30T17:05:00Z"/>
        <d v="1899-12-30T03:01:00Z"/>
        <d v="1899-12-30T03:51:00Z"/>
        <d v="1899-12-30T05:10:00Z"/>
        <d v="1899-12-30T11:40:00Z"/>
        <d v="1899-12-30T12:26:00Z"/>
        <d v="1899-12-30T01:39:00Z"/>
        <d v="1899-12-30T02:25:00Z"/>
        <d v="1899-12-30T02:46:00Z"/>
        <d v="1899-12-30T02:49:00Z"/>
        <d v="1899-12-30T03:35:00Z"/>
        <d v="1899-12-30T03:53:00Z"/>
        <d v="1899-12-30T05:16:00Z"/>
        <d v="1899-12-30T05:36:00Z"/>
        <d v="1899-12-30T05:52:00Z"/>
        <d v="1899-12-30T06:30:00Z"/>
        <d v="1899-12-30T15:55:00Z"/>
        <d v="1899-12-30T04:44:00Z"/>
        <d v="1899-12-30T03:03:00Z"/>
        <d v="1899-12-30T01:06:00Z"/>
        <d v="1899-12-30T01:21:00Z"/>
        <d v="1899-12-30T13:21:00Z"/>
        <d v="1899-12-30T03:58:00Z"/>
        <d v="1899-12-30T11:34:00Z"/>
        <d v="1899-12-30T00:10:00Z"/>
        <d v="1899-12-30T00:04:00Z"/>
        <d v="1899-12-30T00:21:00Z"/>
        <d v="1899-12-30T00:45:00Z"/>
        <d v="1899-12-30T01:44:00Z"/>
        <d v="1899-12-30T03:44:00Z"/>
        <d v="1899-12-30T16:54:00Z"/>
        <d v="1899-12-30T05:21:00Z"/>
        <d v="1899-12-30T16:58:00Z"/>
        <d v="1899-12-30T16:44:00Z"/>
        <d v="1899-12-30T17:40:00Z"/>
        <d v="1899-12-30T15:37:00Z"/>
        <d v="1899-12-30T19:30:00Z"/>
        <d v="1899-12-30T19:40:00Z"/>
        <d v="1899-12-30T19:15:00Z"/>
        <d v="1899-12-30T19:35:00Z"/>
        <d v="1899-12-30T03:20:00Z"/>
        <d v="1899-12-30T04:53:00Z"/>
        <d v="1899-12-30T20:26:00Z"/>
        <d v="1899-12-30T01:45:00Z"/>
        <d v="1899-12-30T05:13:00Z"/>
        <d v="1899-12-30T06:18:00Z"/>
        <d v="1899-12-30T07:15:00Z"/>
        <d v="1899-12-30T15:39:00Z"/>
        <d v="1899-12-30T10:15:00Z"/>
        <d v="1899-12-30T12:21:00Z"/>
        <d v="1899-12-30T12:28:00Z"/>
        <d v="1899-12-30T12:35:00Z"/>
        <d v="1899-12-30T01:14:00Z"/>
        <d v="1899-12-30T01:23:00Z"/>
        <d v="1899-12-30T13:13:00Z"/>
        <d v="1899-12-30T01:24:00Z"/>
        <d v="1899-12-30T14:06:00Z"/>
        <d v="1899-12-30T16:40:00Z"/>
        <d v="1899-12-30T16:52:00Z"/>
        <d v="1899-12-30T05:00:00Z"/>
        <d v="1899-12-30T13:48:00Z"/>
        <d v="1899-12-30T13:52:00Z"/>
        <d v="1899-12-30T11:31:00Z"/>
        <d v="1899-12-30T11:35:00Z"/>
        <d v="1899-12-30T15:25:00Z"/>
        <d v="1899-12-30T18:19:00Z"/>
        <d v="1899-12-30T18:28:00Z"/>
        <d v="1899-12-30T18:43:00Z"/>
        <d v="1899-12-30T18:49:00Z"/>
        <d v="1899-12-30T08:50:00Z"/>
        <d v="1899-12-30T08:56:00Z"/>
        <d v="1899-12-30T10:30:00Z"/>
        <d v="1899-12-30T11:55:00Z"/>
        <d v="1899-12-30T17:20:00Z"/>
        <d v="1899-12-30T16:29:00Z"/>
        <d v="1899-12-30T14:49:00Z"/>
        <d v="1899-12-30T18:45:00Z"/>
        <d v="1899-12-30T01:15:00Z"/>
        <d v="1899-12-30T01:20:00Z"/>
        <d v="1899-12-30T02:15:00Z"/>
        <d v="1899-12-30T03:50:00Z"/>
        <d v="1899-12-30T09:00:00Z"/>
        <d v="1899-12-30T11:43:00Z"/>
        <d v="1899-12-30T14:03:00Z"/>
        <d v="1899-12-30T14:48:00Z"/>
        <d v="1899-12-30T04:52:00Z"/>
        <d v="1899-12-30T13:28:00Z"/>
        <d v="1899-12-30T06:02:00Z"/>
        <d v="1899-12-30T00:48:00Z"/>
        <d v="1899-12-30T01:03:00Z"/>
        <d v="1899-12-30T01:55:00Z"/>
        <d v="1899-12-30T03:43:00Z"/>
        <d v="1899-12-30T04:46:00Z"/>
        <d v="1899-12-30T05:20:00Z"/>
        <d v="1899-12-30T06:26:00Z"/>
        <d v="1899-12-30T07:26:00Z"/>
        <d v="1899-12-30T12:38:00Z"/>
        <d v="1899-12-30T12:07:00Z"/>
        <d v="1899-12-30T01:52:00Z"/>
        <d v="1899-12-30T02:01:00Z"/>
        <d v="1899-12-30T02:59:00Z"/>
        <d v="1899-12-30T03:15:00Z"/>
        <d v="1899-12-30T04:58:00Z"/>
        <d v="1899-12-30T06:13:00Z"/>
        <d v="1899-12-30T01:33:00Z"/>
        <d v="1899-12-30T02:11:00Z"/>
        <d v="1899-12-30T02:18:00Z"/>
        <d v="1899-12-30T03:14:00Z"/>
        <d v="1899-12-30T03:33:00Z"/>
        <d v="1899-12-30T04:27:00Z"/>
        <d v="1899-12-30T09:30:00Z"/>
        <d v="1899-12-30T01:42:00Z"/>
        <d v="1899-12-30T02:19:00Z"/>
        <d v="1899-12-30T02:40:00Z"/>
        <d v="1899-12-30T03:17:00Z"/>
        <d v="1899-12-30T12:41:00Z"/>
        <d v="1899-12-30T01:10:00Z"/>
        <d v="1899-12-30T01:53:00Z"/>
        <d v="1899-12-30T02:13:00Z"/>
        <d v="1899-12-30T02:51:00Z"/>
        <d v="1899-12-30T15:29:00Z"/>
        <d v="1899-12-30T05:25:00Z"/>
        <d v="1899-12-30T05:33:00Z"/>
        <d v="1899-12-30T05:56:00Z"/>
        <d v="1899-12-30T14:07:00Z"/>
        <d v="1899-12-30T14:53:00Z"/>
        <d v="1899-12-30T15:02:00Z"/>
        <d v="1899-12-30T15:41:00Z"/>
        <d v="1899-12-30T15:51:00Z"/>
        <d v="1899-12-30T16:41:00Z"/>
        <d v="1899-12-30T16:49:00Z"/>
        <d v="1899-12-30T11:20:00Z"/>
        <d v="1899-12-30T12:39:00Z"/>
        <d v="1899-12-30T12:47:00Z"/>
        <d v="1899-12-30T02:20:00Z"/>
        <d v="1899-12-30T02:31:00Z"/>
        <d v="1899-12-30T11:47:00Z"/>
        <d v="1899-12-30T13:14:00Z"/>
        <d v="1899-12-30T13:26:00Z"/>
        <d v="1899-12-30T13:55:00Z"/>
        <d v="1899-12-30T15:40:00Z"/>
        <d v="1899-12-30T15:47:00Z"/>
        <d v="1899-12-30T16:31:00Z"/>
        <d v="1899-12-30T16:37:00Z"/>
        <d v="1899-12-30T00:52:00Z"/>
        <d v="1899-12-30T14:28:00Z"/>
        <d v="1899-12-30T04:13:00Z"/>
        <d v="1899-12-30T06:23:00Z"/>
        <d v="1899-12-30T07:11:00Z"/>
        <d v="1899-12-30T07:32:00Z"/>
        <d v="1899-12-30T17:45:00Z"/>
        <d v="1899-12-30T11:50:00Z"/>
        <d v="1899-12-30T16:15:00Z"/>
        <d v="1899-12-30T20:30:00Z"/>
        <d v="1899-12-30T20:45:00Z"/>
        <d v="1899-12-30T21:50:00Z"/>
        <d v="1899-12-30T12:02:00Z"/>
        <d v="1899-12-30T01:41:00Z"/>
        <d v="1899-12-30T14:01:00Z"/>
        <d v="1899-12-30T03:07:00Z"/>
        <d v="1899-12-30T13:01:00Z"/>
        <d v="1899-12-30T13:34:00Z"/>
        <d v="1899-12-30T12:05:00Z"/>
        <d v="1899-12-30T15:48:00Z"/>
        <d v="1899-12-30T14:21:00Z"/>
        <d v="1899-12-30T15:32:00Z"/>
        <d v="1899-12-30T15:57:00Z"/>
        <d v="1899-12-30T16:26:00Z"/>
        <d v="1899-12-30T11:18:00Z"/>
        <d v="1899-12-30T17:27:00Z"/>
        <d v="1899-12-30T17:46:00Z"/>
        <d v="1899-12-30T10:45:00Z"/>
        <d v="1899-12-30T00:13:00Z"/>
        <d v="1899-12-30T00:20:00Z"/>
        <d v="1899-12-30T00:25:00Z"/>
        <d v="1899-12-30T14:25:00Z"/>
        <d v="1899-12-30T16:20:00Z"/>
        <d v="1899-12-30T15:28:00Z"/>
        <d v="1899-12-30T07:22:00Z"/>
        <d v="1899-12-30T01:59:00Z"/>
        <d v="1899-12-30T09:50:00Z"/>
        <d v="1899-12-30T03:10:00Z"/>
        <d v="1899-12-30T04:21:00Z"/>
        <d v="1899-12-30T15:12:00Z"/>
        <d v="1899-12-30T04:15:00Z"/>
        <d v="1899-12-30T15:03:00Z"/>
        <d v="1899-12-30T12:12:00Z"/>
        <d v="1899-12-30T14:37:00Z"/>
        <d v="1899-12-30T16:50:00Z"/>
        <d v="1899-12-30T17:18:00Z"/>
        <d v="1899-12-30T17:21:00Z"/>
        <d v="1899-12-30T18:10:00Z"/>
        <d v="1899-12-30T18:22:00Z"/>
        <d v="1899-12-30T14:35:00Z"/>
        <d v="1899-12-30T10:57:00Z"/>
        <d v="1899-12-30T02:06:00Z"/>
        <d v="1899-12-30T02:33:00Z"/>
        <d v="1899-12-30T06:51:00Z"/>
        <d v="1899-12-30T06:46:00Z"/>
        <d v="1899-12-30T10:19:00Z"/>
        <d v="1899-12-30T07:00:00Z"/>
        <d v="1899-12-30T07:46:00Z"/>
        <d v="1899-12-30T07:57:00Z"/>
        <d v="1899-12-30T06:49:00Z"/>
        <d v="1899-12-30T05:49:00Z"/>
        <d v="1899-12-30T02:03:00Z"/>
        <d v="1899-12-30T12:37:00Z"/>
        <d v="1899-12-30T06:21:00Z"/>
        <d v="1899-12-30T16:35:00Z"/>
        <d v="1899-12-30T12:04:00Z"/>
        <d v="1899-12-30T03:32:00Z"/>
        <d v="1899-12-30T03:23:00Z"/>
        <d v="1899-12-30T11:58:00Z"/>
        <d v="1899-12-30T11:49:00Z"/>
        <d v="1899-12-30T13:54:00Z"/>
        <d v="1899-12-30T12:24:00Z"/>
        <d v="1899-12-30T13:02:00Z"/>
        <d v="1899-12-30T13:29:00Z"/>
        <d v="1899-12-30T13:57:00Z"/>
        <d v="1899-12-30T14:12:00Z"/>
        <d v="1899-12-30T13:08:00Z"/>
        <d v="1899-12-30T14:22:00Z"/>
        <d v="1899-12-30T14:23:00Z"/>
        <d v="1899-12-30T13:53:00Z"/>
        <d v="1899-12-30T13:58:00Z"/>
        <d v="1899-12-30T14:05:00Z"/>
        <d v="1899-12-30T14:33:00Z"/>
        <d v="1899-12-30T14:40:00Z"/>
        <d v="1899-12-30T15:19:00Z"/>
        <d v="1899-12-30T15:21:00Z"/>
        <d v="1899-12-30T15:38:00Z"/>
        <d v="1899-12-30T15:53:00Z"/>
        <d v="1899-12-30T15:54:00Z"/>
        <d v="1899-12-30T16:59:00Z"/>
        <d v="1899-12-30T17:04:00Z"/>
        <d v="1899-12-30T17:19:00Z"/>
        <d v="1899-12-30T04:36:00Z"/>
        <d v="1899-12-30T02:14:00Z"/>
        <d v="1899-12-30T01:43:00Z"/>
        <d v="1899-12-30T03:26:00Z"/>
        <d v="1899-12-30T04:38:00Z"/>
        <d v="1899-12-30T05:05:00Z"/>
        <d v="1899-12-30T05:42:00Z"/>
        <d v="1899-12-30T06:35:00Z"/>
        <d v="1899-12-30T02:10:00Z"/>
        <d v="1899-12-30T11:32:00Z"/>
        <d v="1899-12-30T11:42:00Z"/>
        <d v="1899-12-30T11:51:00Z"/>
        <d v="1899-12-30T11:56:00Z"/>
        <d v="1899-12-30T13:16:00Z"/>
        <d v="1899-12-30T13:41:00Z"/>
        <d v="1899-12-30T13:59:00Z"/>
        <d v="1899-12-30T14:18:00Z"/>
        <d v="1899-12-30T14:27:00Z"/>
        <d v="1899-12-30T15:22:00Z"/>
        <d v="1899-12-30T15:23:00Z"/>
        <d v="1899-12-30T15:24:00Z"/>
        <d v="1899-12-30T16:01:00Z"/>
        <d v="1899-12-30T11:16:00Z"/>
        <d v="1899-12-30T16:46:00Z"/>
        <d v="1899-12-30T17:44:00Z"/>
        <d v="1899-12-30T02:04:00Z"/>
        <d v="1899-12-30T02:05:00Z"/>
        <d v="1899-12-30T02:36:00Z"/>
        <d v="1899-12-30T02:41:00Z"/>
        <d v="1899-12-30T02:50:00Z"/>
        <d v="1899-12-30T02:55:00Z"/>
        <d v="1899-12-30T14:34:00Z"/>
        <d v="1899-12-30T14:44:00Z"/>
        <d v="1899-12-30T02:45:00Z"/>
        <d v="1899-12-30T02:58:00Z"/>
        <d v="1899-12-30T03:13:00Z"/>
        <d v="1899-12-30T15:13:00Z"/>
        <d v="1899-12-30T03:28:00Z"/>
        <d v="1899-12-30T03:48:00Z"/>
        <d v="1899-12-30T15:50:00Z"/>
        <d v="1899-12-30T04:08:00Z"/>
        <d v="1899-12-30T16:21:00Z"/>
        <d v="1899-12-30T20:47:00Z"/>
        <d v="1899-12-30T12:44:00Z"/>
        <d v="1899-12-30T13:06:00Z"/>
        <d v="1899-12-30T15:42:00Z"/>
        <d v="1899-12-30T00:05:00Z"/>
        <d v="1899-12-30T00:15:00Z"/>
        <d v="1899-12-30T00:40:00Z"/>
        <d v="1899-12-30T04:48:00Z"/>
        <d v="1899-12-30T03:40:00Z"/>
        <d v="1899-12-30T03:36:00Z"/>
        <d v="1899-12-30T02:54:00Z"/>
        <d v="1899-12-30T21:00:00Z"/>
        <d v="1899-12-30T19:20:00Z"/>
        <d v="1899-12-30T23:22:00Z"/>
        <d v="1899-12-30T15:15:00Z"/>
        <d v="1899-12-30T15:59:00Z"/>
        <d v="1899-12-30T13:12:00Z"/>
        <d v="1899-12-30T18:26:00Z"/>
        <d v="1899-12-30T17:29:00Z"/>
        <d v="1899-12-30T18:09:00Z"/>
        <d v="1899-12-30T18:03:00Z"/>
        <d v="1899-12-30T15:27:00Z"/>
        <d v="1899-12-30T12:48:00Z"/>
        <d v="1899-12-30T11:48:00Z"/>
        <d v="1899-12-30T11:52:00Z"/>
        <d v="1899-12-30T13:43:00Z"/>
        <d v="1899-12-30T14:19:00Z"/>
        <d v="1899-12-30T21:39:00Z"/>
        <d v="1899-12-30T04:33:00Z"/>
        <d v="1899-12-30T03:04:00Z"/>
        <d v="1899-12-30T02:44:00Z"/>
        <d v="1899-12-30T12:32:00Z"/>
        <d v="1899-12-30T12:06:00Z"/>
        <d v="1899-12-30T02:26:00Z"/>
        <d v="1899-12-30T02:29:00Z"/>
        <d v="1899-12-30T03:22:00Z"/>
        <d v="1899-12-30T03:59:00Z"/>
        <d v="1899-12-30T04:02:00Z"/>
        <d v="1899-12-30T04:06:00Z"/>
        <d v="1899-12-30T04:22:00Z"/>
        <d v="1899-12-30T12:46:00Z"/>
        <d v="1899-12-30T12:56:00Z"/>
        <d v="1899-12-30T04:45:00Z"/>
        <d v="1899-12-30T11:54:00Z"/>
        <d v="1899-12-30T12:08:00Z"/>
        <d v="1899-12-30T04:54:00Z"/>
        <d v="1899-12-30T03:56:00Z"/>
        <d v="1899-12-30T02:34:00Z"/>
        <d v="1899-12-30T02:37:00Z"/>
        <d v="1899-12-30T03:27:00Z"/>
        <d v="1899-12-30T04:10:00Z"/>
        <d v="1899-12-30T14:41:00Z"/>
        <d v="1899-12-30T17:12:00Z"/>
        <d v="1899-12-30T17:31:00Z"/>
        <d v="1899-12-30T18:06:00Z"/>
        <d v="1899-12-30T18:23:00Z"/>
        <d v="1899-12-30T18:42:00Z"/>
        <d v="1899-12-30T18:58:00Z"/>
        <d v="1899-12-30T04:42:00Z"/>
        <d v="1899-12-30T12:43:00Z"/>
        <d v="1899-12-30T13:37:00Z"/>
        <d v="1899-12-30T12:09:00Z"/>
        <d v="1899-12-30T03:18:00Z"/>
        <d v="1899-12-30T03:47:00Z"/>
        <d v="1899-12-30T04:28:00Z"/>
        <d v="1899-12-30T12:22:00Z"/>
        <d v="1899-12-30T04:26:00Z"/>
        <d v="1899-12-30T04:20:00Z"/>
        <d v="1899-12-30T05:40:00Z"/>
        <d v="1899-12-30T16:02:00Z"/>
        <d v="1899-12-30T16:05:00Z"/>
        <d v="1899-12-30T16:23:00Z"/>
        <d v="1899-12-30T16:28:00Z"/>
      </sharedItems>
    </cacheField>
    <cacheField name="Type Of Meeting" numFmtId="0">
      <sharedItems containsBlank="1">
        <m/>
        <s v="Growth Meeting"/>
        <s v="Intro Meeting"/>
        <s v="Follow up"/>
        <s v="Expansion"/>
      </sharedItems>
    </cacheField>
    <cacheField name="Name of Restaurant ?&#10;" numFmtId="0">
      <sharedItems containsBlank="1">
        <m/>
        <s v="Bhuvan’s Kitchen "/>
        <s v="Bhojanams &amp; Birynis"/>
        <s v="Sunrise Business Hotel"/>
        <s v="ZYROS BIRYANI HOUSE "/>
        <s v="Slice of Spice"/>
        <s v="ROLO BAKERS"/>
        <s v=" rayalseema spice  restaurant  "/>
        <s v="alankrutha multicuisine restaurant "/>
        <s v="GUNTUR MESS"/>
        <s v="Bihar Dhaba"/>
        <s v="hunan chinese cusine "/>
        <s v="Rameshwaram cafe"/>
        <s v="Hamara Adda"/>
        <s v="kiss me mandi"/>
        <s v="Girl Friend Mandi"/>
        <s v="Shree Balaji Tiffin Center"/>
        <s v="President Dhaba"/>
        <s v=" lucky multicusine restaurant "/>
        <s v="Adhirath"/>
        <s v="BIRYANI N BIRYANI"/>
        <s v="Mehfil"/>
        <s v="AL RAWAF HOME MADE DISHES"/>
        <s v="Govinda's Resturant"/>
        <s v="KNOX"/>
        <s v="NEW FARMAISH RESTAURANT"/>
        <s v="Zythum"/>
        <s v="Ohri's Cake Nation"/>
        <s v="KNOX "/>
        <s v="Naseeb Cafe"/>
        <s v="Sri Balaji Family Dhaba"/>
        <s v="10th street coffee"/>
        <s v="Mujataba Grills"/>
        <s v="Samastha Tiffins "/>
        <s v="Mokshi kitchens"/>
        <s v="Exotic Shawarma"/>
        <s v="Sri Sai Swetha foods"/>
        <s v="JUS VOUS"/>
        <s v="BEGUM KI BIRYANI"/>
        <s v="FOOD 4 U"/>
        <s v="TAHARI HOUSE"/>
        <s v="RAHAT RESTURANT"/>
        <s v="Bhavani mess"/>
        <s v="Kausar cafe,Al nabi cafe"/>
        <s v="Madhapuram food court "/>
        <s v="anand bhavan mess "/>
        <s v="The smash city"/>
        <s v="Gold sparrow millets "/>
        <s v="BREW COMMUNE CAFE&amp;BISTRO"/>
        <s v="HOTEL INNER CIRCLE"/>
        <s v="RENAO"/>
        <s v="merajs restraunt "/>
        <s v="Flavors Of Briyani Cafe"/>
        <s v="lassi corner "/>
        <s v="Pandu Fast Food Center"/>
        <s v="sri udupi grand pure veg"/>
        <s v="SSR FOOD ZONE"/>
        <s v="Mammu’s Kitchen"/>
        <s v="Kshatriya Grand"/>
        <s v="Bakeway bakers "/>
        <s v="Golconda Biryani House"/>
        <s v="Veeramma Gari Vantillu"/>
        <s v="Bhojanam Tayyari"/>
        <s v="CAFE REELS"/>
        <s v="Veera di chaap"/>
        <s v="Donut O clock"/>
        <s v="kush mandi"/>
        <s v="Tempt chocolates"/>
        <s v="La Boulangerie"/>
        <s v="BABAI HOTEL"/>
        <s v="Say cheese patisserie"/>
        <s v="Labond"/>
        <s v="Chubby Chow"/>
        <s v="Burma Burma"/>
        <s v="Gabru Di Chaap"/>
        <s v="kumbhakk"/>
        <s v="1000 biryanis"/>
        <s v="my froyo land"/>
        <s v="California Burrito "/>
        <s v="Rayalaseema Ruchulu "/>
        <s v="Rayalaseema spice "/>
        <s v="Kake di hatti"/>
        <s v="Cafe Cilantro "/>
        <s v="Vaikuntapuram"/>
        <s v="Mama Thinu"/>
        <s v="Onesta Pizzeria "/>
        <s v="Parampara "/>
        <s v="Tipsy Topsy Bakers"/>
        <s v="D and D Caters "/>
        <s v="Manasa Kitchen"/>
        <s v="Vasista Sri Lakshmi "/>
        <s v="Dosthugallu Mandi"/>
        <s v="Namesthe"/>
        <s v="Spicy Express "/>
        <s v="Chintamani Pulaos"/>
        <s v="Brew and bloom coffee heaven shop"/>
        <s v="Santosh Dhaba"/>
        <s v="Sree vakula kitchen"/>
        <s v="Kohinoor Restaurant "/>
        <s v="Anu Archana kitchen "/>
        <s v="SUBHAM GRAND MULTI CUISINE FAMILY RESTAURANT"/>
        <s v="hotel armani"/>
        <s v="pakisa"/>
        <s v="fb bakers"/>
        <s v="MAHARAJA "/>
        <s v="THATTI IDLY "/>
        <s v="LUCKY RESTAURANT [somajiguda]"/>
        <s v="Anu Archan Kitchen"/>
        <s v="Ma potta Ma istam"/>
        <s v="Dragon Tales"/>
        <s v="Aaha"/>
        <s v="Viyala vari pindi vantalu"/>
        <s v="Karam Dosa"/>
        <s v="Qubz The shewarma Revolution "/>
        <s v="Ttastryy"/>
        <s v="SHOHRAT"/>
        <s v="Chantabbai Biryani "/>
        <s v="Navarasa "/>
        <s v="Reddy Brothers "/>
        <s v="Vasireddy swagruha foods "/>
        <s v="Mandi king "/>
        <s v="Good Flipping Burgers "/>
        <s v="Girl friend mandi "/>
        <s v="Babai Hotel "/>
        <s v="Vela Bites"/>
        <s v="Brew Commune and Bistro "/>
        <s v="Polar bear "/>
        <s v="Thick shake factory "/>
        <s v="Palle vindu"/>
        <s v="Suryakantham Military hotel"/>
        <s v="Kanchi cafe"/>
        <s v="Abu Zayed Bait Al Mandi"/>
        <s v="The Indian wok"/>
        <s v=" Aha Dakshin"/>
        <s v="Burger King"/>
        <s v="WOW China"/>
        <s v="The Thickshake Factory "/>
        <s v="Frankie"/>
        <s v="Khaan Saab"/>
        <s v="Chai point "/>
        <s v="Onesta "/>
        <s v="7th Heaven &amp; white hart"/>
      </sharedItems>
    </cacheField>
    <cacheField name="Seating Capacity">
      <sharedItems containsBlank="1" containsMixedTypes="1" containsNumber="1" containsInteger="1">
        <m/>
        <n v="85.0"/>
        <n v="30.0"/>
        <n v="100.0"/>
        <n v="8.0"/>
        <n v="150.0"/>
        <n v="20.0"/>
        <n v="40.0"/>
        <n v="80.0"/>
        <n v="50.0"/>
        <n v="60.0"/>
        <n v="200.0"/>
        <n v="25.0"/>
        <n v="70.0"/>
        <n v="1.0"/>
        <n v="300.0"/>
        <n v="320.0"/>
        <n v="400.0"/>
        <n v="15.0"/>
        <n v="90.0"/>
        <n v="10.0"/>
        <n v="120.0"/>
        <n v="130.0"/>
        <n v="250.0"/>
        <n v="75.0"/>
        <n v="5.0"/>
        <n v="3.0"/>
        <n v="140.0"/>
        <n v="34.0"/>
        <n v="500.0"/>
        <n v="35.0"/>
        <n v="33.0"/>
        <n v="98.0"/>
        <n v="700.0"/>
        <n v="230.0"/>
        <n v="12.0"/>
        <n v="48.0"/>
        <n v="273.0"/>
        <n v="112.0"/>
        <s v="01"/>
        <n v="132.0"/>
        <n v="26.0"/>
        <n v="46.0"/>
        <n v="42.0"/>
        <n v="45.0"/>
        <n v="59.0"/>
      </sharedItems>
    </cacheField>
    <cacheField name="AOV" numFmtId="0">
      <sharedItems containsString="0" containsBlank="1" containsNumber="1" containsInteger="1">
        <m/>
        <n v="250.0"/>
        <n v="500.0"/>
        <n v="300.0"/>
        <n v="5000.0"/>
        <n v="200.0"/>
        <n v="1.0"/>
        <n v="90.0"/>
        <n v="150.0"/>
        <n v="400.0"/>
        <n v="1000.0"/>
        <n v="600.0"/>
        <n v="450.0"/>
        <n v="120.0"/>
        <n v="160.0"/>
        <n v="100.0"/>
        <n v="2000.0"/>
        <n v="1500.0"/>
        <n v="230.0"/>
        <n v="280.0"/>
        <n v="130.0"/>
        <n v="350.0"/>
        <n v="209.0"/>
        <n v="50.0"/>
        <n v="900.0"/>
        <n v="33.0"/>
        <n v="270.0"/>
        <n v="800.0"/>
        <n v="650.0"/>
        <n v="1200.0"/>
        <n v="550.0"/>
        <n v="3000.0"/>
        <n v="180.0"/>
        <n v="3009.0"/>
        <n v="700.0"/>
        <n v="260.0"/>
        <n v="220.0"/>
        <n v="210.0"/>
        <n v="25000.0"/>
        <n v="290.0"/>
      </sharedItems>
    </cacheField>
    <cacheField name="POS">
      <sharedItems containsBlank="1" containsMixedTypes="1" containsNumber="1" containsInteger="1">
        <m/>
        <s v="OrderMatic"/>
        <s v="NA"/>
        <s v="Own"/>
        <s v="YES"/>
        <s v="own software"/>
        <s v="PET POOJA"/>
        <s v="PETPOOJA"/>
        <s v="NO POS"/>
        <s v="intro meeting not done"/>
        <n v="1.0"/>
        <s v="Mobile Software"/>
        <s v="Nikhil"/>
        <s v="Mobile Application"/>
        <s v="Peta Puja"/>
        <s v="-"/>
        <s v="Brain power"/>
        <s v="explorates"/>
        <s v="Rista"/>
        <s v="N/a"/>
        <s v="They are not using any online platforms currently "/>
        <s v="Order matic"/>
        <s v="Not present"/>
        <s v="PetPuja"/>
        <s v="Pet Pooja "/>
        <s v="Mobile "/>
        <s v="None"/>
        <s v="Ba"/>
        <s v="No"/>
        <s v="Chef’s Desk"/>
        <s v="Pet poja"/>
        <n v="33.0"/>
        <s v="Urban Piper"/>
        <s v="Mobile Application "/>
        <s v="urban pipers"/>
        <s v="POSBANK"/>
        <s v="Paytm POS"/>
        <s v="Scantech"/>
        <s v="Breeza (Exporex)"/>
        <s v="In House"/>
        <s v="MICROS"/>
        <s v="Hungerbox"/>
        <s v="Pet Puja"/>
        <s v="Safedesk"/>
        <s v="Recaho"/>
        <s v="nq"/>
        <s v="ECHO"/>
        <s v="None "/>
        <s v="Dotpay"/>
        <s v="DASHBOARD"/>
        <s v="Pms"/>
      </sharedItems>
    </cacheField>
    <cacheField name="Daily Revenue? " numFmtId="0">
      <sharedItems containsString="0" containsBlank="1" containsNumber="1" containsInteger="1">
        <m/>
        <n v="50000.0"/>
        <n v="24.0"/>
        <n v="60000.0"/>
        <n v="120000.0"/>
        <n v="25000.0"/>
        <n v="21000.0"/>
        <n v="24000.0"/>
        <n v="10000.0"/>
        <n v="15000.0"/>
        <n v="12000.0"/>
        <n v="1.0"/>
        <n v="30000.0"/>
        <n v="16000.0"/>
        <n v="90000.0"/>
        <n v="20000.0"/>
        <n v="200000.0"/>
        <n v="100000.0"/>
        <n v="8000.0"/>
        <n v="9000.0"/>
        <n v="40000.0"/>
        <n v="5000.0"/>
        <n v="7000.0"/>
        <n v="18000.0"/>
        <n v="1000.0"/>
        <n v="150000.0"/>
        <n v="6000.0"/>
        <n v="23.0"/>
        <n v="600000.0"/>
        <n v="50.0"/>
        <n v="105000.0"/>
        <n v="70000.0"/>
        <n v="80000.0"/>
        <n v="14000.0"/>
        <n v="45000.0"/>
        <n v="33.0"/>
        <n v="500000.0"/>
        <n v="7200.0"/>
        <n v="2500.0"/>
        <n v="2000.0"/>
        <n v="75000.0"/>
        <n v="37500.0"/>
        <n v="19250.0"/>
        <n v="35000.0"/>
        <n v="15.0"/>
        <n v="12500.0"/>
        <n v="23000.0"/>
        <n v="49000.0"/>
      </sharedItems>
    </cacheField>
    <cacheField name="Kind of Restaurant" numFmtId="0">
      <sharedItems containsBlank="1">
        <m/>
        <s v="Tier-2 (AOV &lt;400)"/>
        <s v="Tier-1(AOV&gt;400)"/>
        <s v="Tier-3 ( AOV&lt;200 )"/>
        <s v="Cloud Kitchen"/>
        <s v="Both restaurants are newly opened so no info regarding AOV and POS"/>
        <s v="Food Court"/>
        <s v="Na"/>
        <s v="Res having 3.7k+ reviews"/>
      </sharedItems>
    </cacheField>
    <cacheField name="Restaurant Live on " numFmtId="0">
      <sharedItems containsBlank="1">
        <m/>
        <s v="None"/>
        <s v="Zomato"/>
        <s v="Swiggy, Zomato"/>
        <s v="Swiggy"/>
        <s v="Swiggy, Zomato, Magic Pin"/>
        <s v="Swiggy, Zomato, None"/>
        <s v="Swiggy &amp; Zomato"/>
        <s v="None, New Restaurant"/>
        <s v="Swiggy, Magic Pin"/>
        <s v="Swiggy, Zomato, Magic Pin, Easy diner"/>
        <s v="New Restaurent as of now planning to onboard in different platforms"/>
        <s v="only in caps"/>
        <s v="New Restaurant "/>
        <s v="Magic Pin"/>
      </sharedItems>
    </cacheField>
    <cacheField name="Claimed Margins (Competition) " numFmtId="0">
      <sharedItems containsString="0" containsBlank="1" containsNumber="1">
        <m/>
        <n v="28.0"/>
        <n v="22.0"/>
        <n v="15.0"/>
        <n v="20.0"/>
        <n v="18.0"/>
        <n v="21.0"/>
        <n v="17.0"/>
        <n v="1.0"/>
        <n v="30.0"/>
        <n v="19.0"/>
        <n v="25.0"/>
        <n v="19.7"/>
        <n v="40.0"/>
        <n v="10.0"/>
        <n v="9.0"/>
        <n v="23.0"/>
        <n v="33.0"/>
        <n v="34.0"/>
        <n v="24.0"/>
      </sharedItems>
    </cacheField>
    <cacheField name="Expected Margins (Caps)" numFmtId="0">
      <sharedItems containsString="0" containsBlank="1" containsNumber="1">
        <m/>
        <n v="20.0"/>
        <n v="18.0"/>
        <n v="22.0"/>
        <n v="15.0"/>
        <n v="19.0"/>
        <n v="21.0"/>
        <n v="10.0"/>
        <n v="17.0"/>
        <n v="18.5"/>
        <n v="12.0"/>
        <n v="16.0"/>
        <n v="201.0"/>
        <n v="33.0"/>
        <n v="23.0"/>
      </sharedItems>
    </cacheField>
    <cacheField name="No.of Branches?" numFmtId="0">
      <sharedItems containsString="0" containsBlank="1" containsNumber="1" containsInteger="1">
        <m/>
        <n v="1.0"/>
        <n v="15.0"/>
        <n v="3.0"/>
        <n v="2.0"/>
        <n v="10.0"/>
        <n v="11.0"/>
        <n v="7.0"/>
        <n v="8.0"/>
        <n v="9.0"/>
        <n v="4.0"/>
        <n v="25.0"/>
        <n v="16.0"/>
        <n v="30.0"/>
        <n v="5.0"/>
        <n v="20.0"/>
        <n v="48.0"/>
        <n v="33.0"/>
        <n v="18.0"/>
        <n v="52.0"/>
        <n v="14.0"/>
        <n v="19.0"/>
        <n v="6.0"/>
        <n v="17.0"/>
        <n v="12.0"/>
        <n v="34.0"/>
        <n v="27.0"/>
        <n v="38.0"/>
        <n v="23.0"/>
        <n v="112.0"/>
      </sharedItems>
    </cacheField>
    <cacheField name="Type of Ownership" numFmtId="0">
      <sharedItems containsBlank="1">
        <m/>
        <s v="Prop"/>
        <s v="Partnership"/>
        <s v="Intro meet not done because owner will be available after 19:00pm"/>
        <s v="Didnt meet the client,got the niumber of the owner"/>
        <s v="Trust"/>
        <s v="PVT"/>
        <s v="NA"/>
        <s v="N/a"/>
        <s v="PVT, Prop"/>
        <s v="Prop, Partnership"/>
        <s v="Food Court"/>
        <s v="Partnership, "/>
        <s v="PVT, Prop, Partnership"/>
        <s v="N"/>
      </sharedItems>
    </cacheField>
    <cacheField name="GST" numFmtId="0">
      <sharedItems containsBlank="1">
        <m/>
        <s v="Yes"/>
        <s v="No"/>
      </sharedItems>
    </cacheField>
    <cacheField name="FSSAI" numFmtId="0">
      <sharedItems containsBlank="1">
        <m/>
        <s v="Active"/>
        <s v="Not Applied"/>
        <s v="Expired"/>
      </sharedItems>
    </cacheField>
    <cacheField name="Labour License" numFmtId="0">
      <sharedItems containsBlank="1">
        <m/>
        <s v="Not Applied"/>
        <s v="Yes"/>
        <s v="No"/>
      </sharedItems>
    </cacheField>
    <cacheField name="Google Map Business link">
      <sharedItems containsBlank="1" containsMixedTypes="1" containsNumber="1" containsInteger="1">
        <m/>
        <s v="https://maps.app.goo.gl/QukQHejyepep1eaLA?g_st=ic"/>
        <s v="yes"/>
        <s v="https://maps.app.goo.gl/U96V4tJ8v4oih7cF9"/>
        <s v="https://www.google.com/maps/place/17%C2%B027'04.3%22N+78%C2%B023'30.1%22E/@17.4512028,78.389128,17z/data=!3m1!4b1!4m4!3m3!8m2!3d17.4512028!4d78.3917029?hl=en&amp;entry=ttu&amp;g_ep=EgoyMDI2MDIwMS4wIKXMDSoKLDEwMDc5MjA2OUgBUAM%3D"/>
        <s v="2-52/1/3, Hitech City Rd, Phase 2, Kavuri Hills, Madhapur, Hyderabad, Telangana 500081"/>
        <s v="google.com/maps?q=17.440473,78.3934188&amp;z=17&amp;hl=en"/>
        <s v="https://www.google.com/maps/place/Rayalaseema+Spice+Restaurant/@17.4463018,78.3898889,17z/data=!3m1!4b1!4m6!3m5!1s0x3bcb91140c324827:0xb8961b47ea2ebc6a!8m2!3d17.4463018!4d78.3924638!16s%2Fg%2F11ks1mwcz0?entry=ttu&amp;g_ep=EgoyMDI2MDIwMS4wIKXMDSoKLDEwMDc5MjA2O"/>
        <s v="https://www.google.com/maps/place/Alankrutha+Restaurant/@17.44665,78.3922746,3a,75y,90t/data=!3m8!1e2!3m6!1sAF1QipN-ydSRKlr93jgWDRaakYdE5oV8xhAkUs2hDWna!2e10!3e12!6shttps:%2F%2Flh3.googleusercontent.com%2Fp%2FAF1QipN-ydSRKlr93jgWDRaakYdE5oV8xhAkUs2hDWna%3"/>
        <s v="https://www.google.com/maps/place/Hunan+Chinese+Cuisine/@17.4478451,78.3885023,17z/data=!3m1!4b1!4m6!3m5!1s0x3bcb91b50352f21f:0xee872dfeab40a154!8m2!3d17.4478451!4d78.3885023!16s%2Fg%2F11vxjzpgh9?hl=en&amp;entry=ttu&amp;g_ep=EgoyMDI2MDIwMS4wIKXMDSoKLDEwMDc5MjA2OU"/>
        <s v="72, Capital Pk Rd, beside Jain Sadguru Capital Park, Cyber Hills Colony, VIP Hills, Silicon Valley, Madhapur, Serilingampalle (M), Hyderabad, Telangana 500081"/>
        <s v="G-02, Ground Floor, Silicon Towers, Image Gardens Road, Madhapur, Hyderabad"/>
        <s v="NA"/>
        <s v="https://maps.app.goo.gl/7YMoNqTWQYbg4jmu7"/>
        <s v="https://www.google.com/maps/place/lucky+multi+cuisine+restaurant+madhapur/data=!4m2!3m1!1s0x3bcb915eea8173fb:0x9c806787d3a94d48?sa=X&amp;ved=1t:242&amp;ictx=111"/>
        <s v="https://maps.app.goo.gl/bVjfB92p6JmtmXyu9"/>
        <s v="https://maps.app.goo.gl/3NoTX3DyLcp6bSMX7"/>
        <s v="https://maps.app.goo.gl/2zVYUFdRf5UbswRq8"/>
        <s v="https://maps.app.goo.gl/Aiiv6UZV7TLfDBn47"/>
        <s v="-"/>
        <s v="https://maps.app.goo.gl/gbPqgYV9ZsUP1gDc8"/>
        <s v="https://maps.app.goo.gl/CYfpD7HuaPaEeArM6"/>
        <s v="https://share.google/2dLN0NYKphOuVkK3U"/>
        <s v="https://maps.app.goo.gl/avzks9t6kSFWe88o8"/>
        <s v="https://share.google/tMU7i0NamuInUBqVj"/>
        <s v="https://maps.app.goo.gl/6hdkrbad7BwbvaWQ6"/>
        <s v="https://maps.app.goo.gl/9s4KoQNjMUjsr5Kj8"/>
        <s v="https://www.google.com/maps/place/ANAND+BHAVAN+MESS/@17.4471051,78.3854684,17z/data=!3m1!4b1!4m6!3m5!1s0x3bcb910040604355:0x1b5af753bc8c8b9e!8m2!3d17.4471051!4d78.3880433!16s%2Fg%2F11mt5nf89c?hl=en&amp;entry=ttu&amp;g_ep=EgoyMDI2MDIwMS4wIKXMDSoKLDEwMDc5MjA2OUgBUA"/>
        <s v="https://share.google/SZFJJlssb5hkmphPA"/>
        <s v="https://maps.app.goo.gl/Azm6uVjLA8CHdEVq5?g_st=ic"/>
        <s v="https://maps.app.goo.gl/ZRjTitSxKuHU45Vv7?g_st=ic"/>
        <s v="https://maps.app.goo.gl/W2xHqpTu7pXfvcBD6"/>
        <s v="https://maps.app.goo.gl/PmQrZ6A18zjb25S37?g_st=ic"/>
        <s v="https://www.google.com/maps/dir//Bhojanam+Thali,+1200,+Rd+Number+59,+Jubilee+Hills,+Hyderabad,+Telangana+500033/@17.4358528,78.4072704,11z/data=!4m8!4m7!1m0!1m5!1m1!1s0x3bcb91ff414df91d:0xb3f0fa00e20c4e2d!2m2!1d78.4095133!2d17.4290901?entry=ttu&amp;g_ep=EgoyM"/>
        <s v="Shop 1, House 1-8-153/2, Ground Floor, Circle 29, PG Road, Secunderabad"/>
        <s v="1-8-153⁄1, Ground Floor, Amaan Arcade, Circle 29, PG Road, Secunderabad"/>
        <s v="http"/>
        <s v=" C94M+W3M, Shivapuri Colony, Muppas Panchavati Colony, Manikonda, Hyderabad, Telangana 500089"/>
        <s v="Western Plaza Rd, OU Colony, Shaikpet, Hyderabad, Telangana 500104"/>
        <s v="Shivalayam Temple, Opposit, Manikonda Main Rd, OU Colony, Shaikpet, Hyderabad, Telangana 500104 15 m · 17"/>
        <s v="https://maps.app.goo.gl/1qDaKDQ4ZYJq3Euk7?g_st=ic"/>
        <s v="17,18/G-2, Sri Sai Arcade, Shop No 7, 1-455/16, Mytrivanam Road, Ameerpet, Hyderabad, Telangana 500016"/>
        <s v="https://www.google.com/maps/place/SUBHAM+GRAND+MULTICUISINE+FAMILY+RESTAURANT/@17.4261765,78.4544318,17z/data=!3m1!4b1!4m6!3m5!1s0x3bcb975c71ce4f23:0xaf7b1a826964a38f!8m2!3d17.4261714!4d78.4570067!16s%2Fg%2F11w4twbg4t?entry=ttu&amp;g_ep=EgoyMDI2MDIwNC4wIKXMDS"/>
        <s v="https://www.google.com/maps/place/Lucky+Multicuisine+Restaurant/@17.422848,78.4586384,17z/data=!3m1!4b1!4m6!3m5!1s0x3bcb90b4f1a76c29:0x2dd97a740a6f0a53!8m2!3d17.4228429!4d78.4612133!16s%2Fg%2F11fr3lwfw5?hl=en&amp;entry=ttu&amp;g_ep=EgoyMDI2MDIwMS4wIKXMDSoKLDEwMDc"/>
        <s v="Snaapp 224, Food Court, Gandipet Main Rd, beside Ncc Urban One, Kokapet, Hyderabad, Telangana 500075"/>
        <s v="Address: 2nd floor, Hardhik crown building, above HDFC bank, HUDA Techno Enclave, HITEC City, Hyderabad, Telangana 500081"/>
        <s v="Plot 19, Huda Enclave, Sector 2, Hitech City, Hyderabad"/>
        <s v="House 1-98/C/8, Vittal Rao Nagar, Opposite Melange Towers, Hitech City, Hyderabad"/>
        <s v="google.com/maps?sca_esv=dcb567104b2294d0&amp;sxsrf=ANbL-n5lqbl4Fui7H-cLK-YtgJP6EbfQNg:1770874365686&amp;biw=1366&amp;bih=581&amp;um=1&amp;ie=UTF-8&amp;fb=1&amp;gl=in&amp;sa=X&amp;geocode=KYnj5j4Nk8s7MboSR4ZVvDAD&amp;daddr=C9VM%2BFH2,+Patrika+Nagar,+HITEC+City,+Hyderabad,+Telangana+500081"/>
        <s v="7, Balkampet Rd, Hanuman Temple Complex, Swathi Avenue, Ameerpet, Hyderabad, Telangana 500016"/>
        <s v="https://maps.app.goo.gl/MLPAk8oqSLDkFd4U9"/>
        <s v="Road Number 86, Nizam Colony, Toli Chowki, Hyderabad, Telangana"/>
        <s v="https://maps.app.goo.gl/h5mfCSmAMJu8DGXGA?g_st=ic"/>
        <s v="Lakshmi Narasimhaswamy Nagar, Anupama Homes, Manikonda, Hyderabad, Telangana 500089 "/>
        <s v="Lakshmi Narasimhaswamy Nagar, Puppal Guda, Puppalguda, Manikonda, Hyderabad, Telangana 500089"/>
        <s v="https://maps.app.goo.gl/sYXCnfhqxd3hu7ip9"/>
        <s v="https://maps.app.goo.gl/at2JYB7H8y98ogrP6"/>
        <s v="https://maps.app.goo.gl/Ee99adJhmANZ7wbi8"/>
        <s v="https://www.google.com/maps/place/Hitech+Bawarchi+Food+Court/@17.4411555,78.3891442,17z/data=!3m2!4b1!5s0x3bcb915c69673b95:0x2e57b919b7100bcf!4m6!3m5!1s0x3bcb915c697f825f:0x1a999cc2808c5734!8m2!3d17.4411504!4d78.3917191!16s%2Fg%2F11byxft_qc?entry=ttu&amp;g_ep"/>
        <s v="https://maps.app.goo.gl/rLANGzUP8SGcpU1U9"/>
        <s v="https://maps.app.goo.gl/6iuCt9p5WZeixZtb6?g_st=ic"/>
        <s v="htpp"/>
        <s v="https://maps.app.goo.gl/Nk7sXotTrfTDzGZ97?g_st=ic"/>
        <s v="Alkapur Township, Mahalneknapur, Puppalguda, Hyderabad, Telangana"/>
        <s v=" Store No. - 6, Crave &amp; Dine Sy No.11, Road No. 20, Alkapur Township Neknampur road, (Back side of, Manikonda, Hyderabad, Telangana 500089·32 m"/>
        <s v="79, Care Crystal, Vinayak Nagar Colony, Gachibowli, Hyderabad"/>
        <s v="5G Patiala Plate North Indian"/>
        <s v="https://share.google/NGYbU0jsM5QQzbN2H"/>
        <s v="https://share.google/Rak1DxkX5m16fu3uV"/>
        <s v="https://share.google/CHy1tdi4IZ9qchmkI"/>
        <s v="http://www.alanati.in/"/>
        <s v="https://share.google/M0vWSrt6a1iawTVxb"/>
        <s v="Shop No 03, near Golden Temple Road, beside of Gowtham model school, Sri Ram Nagar Colony, Puppalguda, Manikonda, Hyderabad, Telangana 500089"/>
        <s v="Golden Temple Rd, Secretariat Colony, KPR Colony, Puppalguda, Manikonda, Hyderabad, Telangana 500089"/>
        <s v="https://maps.app.goo.gl/J3Wsvxeh1yxFtzcG9?g_st=ic"/>
        <s v="https://maps.app.goo.gl/owvSW6ouv6EYP9Py5?g_st=ic"/>
        <s v="Manikonda "/>
        <s v="https://maps.google.com/maps/place//data=!4m2!3m1!1s0x3bcb974d964ebe25:0xece3580d587566f?entry=s&amp;sa=X&amp;ved=2ahUKEwjugt--qtaSAxV3TGwGHaIQFDYQ4kB6BAgXEAA&amp;hl=en"/>
        <s v="https://maps.app.goo.gl/hpXVVA38FNwEDCzNA"/>
        <s v="https://maps.app.goo.gl/fRG9MCSzy7tPywEL7"/>
        <n v="33.0"/>
        <s v="Meenakshi Bamboos, opposite AIG Hospital &amp; Antera, Bamboos, Phase 2, Gachibowli, Hyderabad, Telangana 500032"/>
        <s v="https://www.google.com/maps/place/Mysore+bakery/@17.3618028,78.3870037,17z/data=!3m1!4b1!4m6!3m5!1s0x3bcb9768cdcae48b:0xb25ceaf90e26b101!8m2!3d17.3617977!4d78.3895786!16s%2Fg%2F11qqgqx9sb?entry=ttu&amp;g_ep=EgoyMDI2MDIxMS4wIKXMDSoASAFQAw%3D%3D"/>
        <s v="https://share.google/Dw0aunpNz3KYzSitm"/>
        <s v="google.com/maps?gs_lcrp=EgZjaHJvbWUyBggAEEUYOTIICAEQABgWGB4yCAgCEAAYFhgeMggIAxAAGBYYHjIICAQQABgWGB4yCAgFEAAYFhgeMggIBhAAGBYYHjIICAcQABgWGB4yCAgIEAAYFhgeMggICRAAGBYYHtIBCDc0MDBqMGo3qAIAsAIA&amp;um=1&amp;ie=UTF-8&amp;fb=1&amp;gl=in&amp;sa=X&amp;geocode=KRHLCwtbkcs7MQxXM_ZqyHLw&amp;dad"/>
        <s v="Udipi's Upahar, Kondapur, Haanuman Nagar, Silpa Park, Hafeezpet, Hyderabad, Telangana 500084"/>
        <s v="https://www.google.com/maps?gs_lcrp=EgZjaHJvbWUqDQgBEC4YrwEYxwEYgAQyCggAEEUYFhgeGDkyDQgBEC4YrwEYxwEYgAQyBwgCEAAYgAQyBwgDEAAYgAQyBwgEEAAYgAQyCAgFEAAYFhgeMggIBhAAGBYYHjIICAcQABgWGB4yCAgIEAAYFhge0gEJMTc0OTdqMGo3qAIIsAIB8QVsLCl7Jib_JQ&amp;um=1&amp;ie=UTF-8&amp;fb=1&amp;gl=in"/>
        <s v="https://www.google.com/maps?sca_esv=d6eb6bac57f34326&amp;sxsrf=ANbL-n4B5OSWpuRwcNbMRnTof1uYTLjeBg:1771311097540&amp;biw=1470&amp;bih=723&amp;uact=5&amp;gs_lp=Egxnd3Mtd2l6LXNlcnAiFWNodXRuZXlzIGlub3JiaXQgbWFsbDILEC4YgAQYxwEYrwEyBRAAGIAEMgYQABgHGB4yBBAAGB4yBBAAGB4yAhAmMgIQJjILE"/>
        <s v="https://www.google.com/maps?gs_lcrp=EgZjaHJvbWUyBggAEEUYOTIJCAEQIRgKGKABMgkIAhAhGAoYoAEyBwgDECEYjwIyBwgEECEYjwIyBwgFECEYjwLSAQgzNDk1ajBqNKgCALACAQ&amp;um=1&amp;ie=UTF-8&amp;fb=1&amp;gl=in&amp;sa=X&amp;geocode=KZWrt9Rxkcs7MVfIMjfyFA-9&amp;daddr=4th+Floor,+Inorbit+Mall,+Mindspace+Madh"/>
        <s v="https://www.google.com/maps?sca_esv=d6eb6bac57f34326&amp;sxsrf=ANbL-n4yy65I9ZopH6s6emlSjdlh6FYi8g:1771311529307&amp;biw=1470&amp;bih=723&amp;uact=5&amp;gs_lp=Egxnd3Mtd2l6LXNlcnAiEGZvbyBpbm9yYml0IG1hbGwyCxAuGIAEGMcBGK8BMgUQABiABDIGEAAYBxgeMgYQABgHGB4yBhAAGAcYHjIEEAAYHjILEAAYg"/>
        <s v="https://www.google.com/maps?gs_lcrp=EgZjaHJvbWUyBggAEEUYOTIPCAEQLhgNGK8BGMcBGIAEMgkIAhAAGA0YgAQyCQgDEAAYDRiABDIJCAQQABgNGIAEMggIBRAAGBYYHjIICAYQABgWGB4yCAgHEAAYFhgeMggICBAAGBYYHtIBCDgwMDdqMGo0qAIAsAIA&amp;um=1&amp;ie=UTF-8&amp;fb=1&amp;gl=in&amp;sa=X&amp;geocode=KR1HXg5tkcs7MdTq"/>
        <s v="https://www.google.com/maps?sca_esv=d6eb6bac57f34326&amp;sxsrf=ANbL-n5KH_hAYgxz9splnQUSXuh-YowONw:1771311989973&amp;biw=1470&amp;bih=723&amp;uact=5&amp;gs_lp=Egxnd3Mtd2l6LXNlcnAiF21hZCBhYm91dCBjaGluYSBpbm9yYml0MgsQLhiABBjHARivATICECYyCBAAGIAEGKIEMggQABiABBiiBDIFEAAY7wUyGhAuG"/>
        <s v="https://www.google.com/maps?sca_esv=d6eb6bac57f34326&amp;biw=1470&amp;bih=723&amp;sxsrf=ANbL-n4uhRq8CYMe_VjmiXbTIjoYRrhr_Q:1771312186517&amp;uact=5&amp;gs_lp=Egxnd3Mtd2l6LXNlcnAiEWtldmVudGVycyBpbm9yYml0Mg4QLhiABBjHARiOBRivATILEC4YgAQYxwEYrwEyBRAAGIAEMgQQABgeMgQQABgeMgQQABgeM"/>
        <s v="https://www.google.com/maps?gs_lcrp=EgZjaHJvbWUqBwgBECEYoAEyBggAEEUYOTIHCAEQIRigATIHCAIQIRigATIHCAMQIRigATIHCAQQIRigATIHCAUQIRiPAjIHCAYQIRiPAtIBCTE0Mzk2ajBqNKgCALACAA&amp;um=1&amp;ie=UTF-8&amp;fb=1&amp;gl=in&amp;sa=X&amp;geocode=KY0d_WHukcs7Mdgo-dk7ysUX&amp;daddr=L4,+Inorbit+Mall,+I"/>
        <s v="https://www.google.com/maps?gs_lcrp=EgZjaHJvbWUyBggAEEUYOTISCAEQLhgNGK8BGMcBGIAEGI4FMgkIAhAAGA0YgAQyCQgDEAAYDRiABDIJCAQQABgNGIAEMgkIBRAAGA0YgAQyCAgGEAAYFhgeMggIBxAAGBYYHjIICAgQABgWGB7SAQgzODUwajBqNKgCALACAA&amp;um=1&amp;ie=UTF-8&amp;fb=1&amp;gl=in&amp;sa=X&amp;geocode=KRmtG-nNk8"/>
        <s v="https://www.google.com/maps?sca_esv=d6eb6bac57f34326&amp;sxsrf=ANbL-n7BVT6m7RNWJrGmzVXHAzXMfEDB9w:1771313119547&amp;biw=1470&amp;bih=723&amp;gs_lp=Egxnd3Mtd2l6LXNlcnAiEWdhYnJ1IGRpIGNoYWFwIEluKgIIADILEC4YgAQYxwEYrwEyCxAuGIAEGMcBGK8BMgUQABiABDIFEAAYgAQyBRAAGIAEMgsQLhiABBjH"/>
        <s v="https://www.google.com/maps?sca_esv=d6eb6bac57f34326&amp;biw=1470&amp;bih=723&amp;sxsrf=ANbL-n6OSFptNvghbGoqHUIlXaLvaUZMkA:1771313504989&amp;uact=5&amp;gs_lp=Egxnd3Mtd2l6LXNlcnAiEnBsdXQwIGlub3JiaXQgbWFsbDIFEAAY7wUyCBAAGIAEGKIEMggQABiABBiiBDIIEAAYgAQYogRI_QdQ0AVY0AVwAXgBkAEAm"/>
        <s v="https://www.google.com/maps?biw=1470&amp;bih=723&amp;sca_esv=d6eb6bac57f34326&amp;sxsrf=ANbL-n7z1uRNTkPoYZu0ed8tQc0S2iL6kg:1771313508929&amp;um=1&amp;ie=UTF-8&amp;fb=1&amp;gl=in&amp;sa=X&amp;geocode=KRf-pxRSkcs7MROeYlBUg-3s&amp;daddr=64,+Inorbit+Mall+Rd,+APIIC+Software+Layout,+Madhapur,+Hyderab"/>
        <s v="https://www.google.com/maps?sca_esv=d6eb6bac57f34326&amp;sxsrf=ANbL-n6zMXS_xjfTwnoF_9GIZIWGUolzMg:1771313953825&amp;biw=1470&amp;bih=723&amp;uact=5&amp;gs_lp=Egxnd3Mtd2l6LXNlcnAiD2FtIGFoYSBpbiBvcmJpdDICECYyBRAAGO8FMgUQABjvBTIFEAAY7wUyCBAAGIAEGKIEMgUQABjvBUj7B1CvA1jEBnABeACQA"/>
        <s v="https://www.google.com/maps?um=1&amp;ie=UTF-8&amp;fb=1&amp;gl=in&amp;sa=X&amp;geocode=KUF8vUYlkcs7MS0rNCnlKQ5i&amp;daddr=103,+104,+5th+Floor,+Inorbit+Mall,+Software+Units+Layout,+Madhapur,+Hyderabad,+Telangana+500081"/>
        <s v="https://www.google.com/maps?sca_esv=d6eb6bac57f34326&amp;biw=1470&amp;bih=723&amp;sxsrf=ANbL-n68xkf7rupxCnfQJmGSVa9MS1buSQ:1771314459815&amp;gs_lp=Egxnd3Mtd2l6LXNlcnAiFmFic29sdXRlIGJhcmJlY3VlIGlub3IqAggAMgsQLhiABBjHARivATILEAAYgAQYkQIYigUyBRAAGIAEMgYQABgWGB4yBhAAGBYYHjIG"/>
        <s v="https://www.google.com/maps/dir//The+Game+Palacio,+Level+5,+Inorbit+Mall+Rd,+near+PVR+Cinema,+Software+Units+Layout,+HITEC+City,+Hyderabad,+Telangana+500081/@17.4391296,78.4859136,15z/data=!4m8!4m7!1m0!1m5!1m1!1s0x3bcb91b9b901e80d:0x5aebc4a84f5dfbba!2m2!1"/>
        <s v="http//"/>
        <s v="F952+H45 Burfi Ghar Sweet Shop, 1-57/11c, 3rd St, opp. Civil Hospital, Kondapur, Sri Ramnagar - Block C, Gachibowli, Hyderabad, Telangana 500084"/>
        <s v="https://maps.app.goo.gl/2Kktb6CGw3TCfPBx7"/>
        <s v="https://maps.app.goo.gl/UP22p3iYoUeYTUdz7"/>
        <s v="Address: Villa 05, Wonder Cherish Villas, Masjid Banda, Telangana 500084"/>
        <s v="Address: 13, beside Apollo pharmacy, Kondapur Main Road, Botanical Garden Rd, Kondapur, Sri Ram Nagar, Kondapur, Telangana 500084"/>
        <s v="https://share.google/ONj2n2GaI20X3tFea"/>
        <s v="https://share.google/srUHBGWH63dYunKNW"/>
        <s v="Om Sai Ram Tiffins https://www.google.com/search?kgmid=%2Fg%2F11f6g5js3m&amp;hl=en-IN&amp;q=Om%20Sai%20Ram%20Tiffins&amp;shndl=30&amp;source=sh%2Fx%2Floc%2Fosrp%2Fm1%2F2&amp;kgs=aced7a64b6679088"/>
        <s v="https://share.google/WbSC2YeW2euvyWXec"/>
        <s v="https://share.google/YfSA4bjUxoJiV6vSl"/>
        <s v="17.433044074663634, 78.38136655335184"/>
        <s v="17.43391403132923, 78.38254875300429"/>
        <s v="17.434247898762155, 78.38196122416875"/>
        <s v="17.433158540214496, 78.38246986649779"/>
        <s v="17.434874274137258, 78.38273486649781"/>
        <s v="Hitech City Rd, Kondapur, Laxmi Cyber City, Whitefields, Gachibowli, Hyderabad, Telangana 500084"/>
        <s v="https://maps.app.goo.gl/xK7xrwBxYyjxiacc8"/>
        <s v="https://maps.app.goo.gl/oXwuf4LKsNdYomaPA"/>
        <s v="https://maps.app.goo.gl/nA3YjUfHoAfydvHw9"/>
        <s v="https://maps.app.goo.gl/tx9Nc1Maef9y1ixo7"/>
        <s v="https://maps.app.goo.gl/Fy7aeqRmTAGgLgWn6"/>
        <s v="https://maps.app.goo.gl/wrTbDZnD5N3mw4cu5"/>
        <s v="https://maps.app.goo.gl/NN3VLf1stEGKdp4HA"/>
        <s v="Chicken Shawarma Hut https://share.google/2XaGD76rDi428j0H6"/>
        <s v="17.43324929596664, 78.38234912601712"/>
        <s v="https://share.google/AxIFmrqurMJGg5zip"/>
        <s v="https://maps.app.goo.gl/RQ4eFXL7YjP8chk99"/>
        <s v="https://share.google/XMBxRGaXbDmXdehfP"/>
        <s v="https://maps.app.goo.gl/CfCrheay9uRm8XX9A"/>
        <s v="KAMAKSHI TIFFINS AND SNACKS https://share.google/Jgrnxq442N5g3OQmw"/>
        <s v="https://maps.app.goo.gl/WhDMmw7eW8W5E6xW8"/>
        <s v="Address: plot no:25, Jayabheri Enclave, Gachibowli, Hyderabad, Telangana 500032"/>
        <s v="Address: Kanhaiyalal Complex, Old Mumbai Hwy, Indira Nagar, Gachibowli, Hyderabad, Telangana 500032"/>
        <s v="https://www.google.com/maps/place/Hi-Tech+Bawarchi+Multi+Cuisine+Restaurant/@17.4463925,78.3553254,17z/data=!3m1!4b1!4m6!3m5!1s0x3bcb93957fc72207:0x7041b4aed2113221!8m2!3d17.4463874!4d78.3579003!16s%2Fg%2F119wpxspp?hl=en&amp;entry=ttu&amp;g_ep=EgoyMDI2MDIxMS4wIKX"/>
        <s v="17.398296633261864, 78.48459875214712"/>
        <s v="17.405983759038325, 78.46758593069016"/>
        <s v="Twilight Manikonda, Twilight, Road number 1, Neknampur Rd, Alkapur Twp, Puppalguda, Hyderabad, Telangana 500089"/>
        <s v="https://www.google.com/maps/place/Malabar+Kitchen/@17.4509053,78.3083533,17z/data=!3m1!4b1!4m6!3m5!1s0x3bcb93c30d57cb29:0xf2046a6c2f2ee5b6!8m2!3d17.4509002!4d78.3109282!16s%2Fg%2F11h7r438dt?entry=ttu&amp;g_ep=EgoyMDI2MDIxMS4wIKXMDSoASAFQAw%3D%3D"/>
        <s v="https://www.google.com/maps/place/Yum+Yum+Tree+Arabian+Food+Court+gachibowli/@17.4305869,78.3219044,17z/data=!3m1!4b1!4m6!3m5!1s0x3bcb936f8238cc77:0x170954685a40fb08!8m2!3d17.4305818!4d78.3244793!16s%2Fg%2F11f4t6jqmj?entry=ttu&amp;g_ep=EgoyMDI2MDIxMS4wIKXMDSo"/>
        <s v="17.373163795634103, 78.41510373680133"/>
        <s v="https://maps.app.goo.gl/H9SX4U2MU2PjPQZe7"/>
        <s v="https://share.google/uwobkDmwrtS7lnqmR"/>
        <s v="17.44764549885319, 78.40989510874411"/>
        <s v="https://maps.app.goo.gl/EVJtCvpror5Cgh7o8"/>
        <s v="https://share.google/UD00MDZGwWVyGDAmY"/>
        <s v="https://share.google/M1PB6kWW79XB9UDIO"/>
        <s v="https://share.google/3zAzeNUNZf8ETdCvG"/>
        <s v="https://share.google/0FAZRMPoXgCw0Fyoq"/>
        <s v="KASOORI - North Indian Rooftop Restaurant https://share.google/IjWb4AWnKSOqkj97T"/>
        <s v="Bakely https://share.google/EPgu0uthGQLelQOzx"/>
        <s v="https://maps.app.goo.gl/ZX1PKgCmqgjduocj7"/>
        <s v="https://maps.app.goo.gl/k9WJWwkpwA3V2dof7"/>
        <s v="https://maps.app.goo.gl/TTtJ7J4W3bw8JTsu9"/>
        <s v="https://maps.app.goo.gl/VdnukP9PkqLLhWqQ7"/>
        <s v="https://maps.app.goo.gl/tWWabBCKUvnGKtRT9"/>
        <s v="https://maps.app.goo.gl/1RTgYEiDbyhJ6orG7"/>
        <s v="https://maps.app.goo.gl/ScmmEJwWb3SHJCqB9"/>
        <s v="https://maps.app.goo.gl/TNeKE9L8oEFahn8R9"/>
        <s v="https://maps.app.goo.gl/59keb47TwkDraerf6"/>
        <s v="Hungry spot https://share.google/CfZOTOP18H9N78OS2"/>
        <s v="https://share.google/rBQh0y9tZ3jb15iLq"/>
        <s v="https://share.google/oLGEXqY5nrFZoHwwT"/>
        <s v="A, Nagar, 8-415/81, Sapthagiri Colony, Indra Reddy Allwyn Colony, Hafeezpet, Hyderabad, Telangana 500049"/>
        <s v="New Hafeezpet, Marthanda Nagar, Hafeezpet, Hyderabad, Telangana 500049"/>
        <s v="https://share.google/FQROJgExIdqy3vrwr"/>
        <s v="https://share.google/s5YB6CZB2NHCEXpOl"/>
        <s v="17.40725330200793, 78.41484312470567"/>
        <s v="17°24'25.3&quot;N 78°24'53.2&quot;E"/>
        <s v="https://maps.app.goo.gl/fCaFg8X4E9UMrVj99"/>
        <s v="Sri Vigneshwara Aaha Bhojanam https://share.google/PwTHMHsXO3YCp34vE"/>
        <s v="CAFE 74 https://share.google/TYORwrLcPj16kLlCm"/>
        <s v="Mom's Recipe https://share.google/ht27zIOhtypIH4czh"/>
        <s v="https://share.google/g8VtPK9T7Lq2eV6HV"/>
        <s v="https://share.google/b7w9SqsO3x5h9MKiW"/>
        <s v="https://maps.app.goo.gl/g6cNTrpwb4QL6jAz6"/>
        <s v="https://maps.app.goo.gl/7zaYTnnraGZVayoE9"/>
        <s v="https://maps.app.goo.gl/7gGytv11hEArWsgo6"/>
        <s v="https://maps.app.goo.gl/FNpYJXFYk9jPzHydA"/>
        <s v="https://maps.app.goo.gl/cs25WNq7NeyT9LMq5"/>
        <s v="17.49321162833928, 78.36865605166973"/>
        <s v="17.50002105372467, 78.40006400639113"/>
        <s v="17.424383453767042, 78.29131696728237"/>
        <s v="17.388304936704817, 78.35450980476377"/>
        <s v="bna"/>
        <s v="https://www.google.com/maps/place/NAWABI+CAFETERIA+%26+Family+Restaurant/@17.3412502,78.3705311,17z/data=!3m1!4b1!4m6!3m5!1s0x3bcb95e55fd5b9b7:0xb768a25ba13cdba4!8m2!3d17.3412451!4d78.373106!16s%2Fg%2F11x73bx5fy?hl=en&amp;entry=ttu&amp;g_ep=EgoyMDI2MDIxMS4wIKXMDS"/>
        <s v="F997+H5W Bombay Juice, Kondapur, Raghavendra Colony, Gachibowli, Hyderabad, Telangana 500084"/>
        <s v="https://maps.app.goo.gl/7ZAKm49VnnqBZjCD7"/>
        <s v="Banhajarahills"/>
        <s v="https://maps.app.goo.gl/iQh3tM84Cxr7pSrz8"/>
        <s v="17.407277027117292, 78.39229526701243"/>
        <s v="nq"/>
        <s v="anna"/>
        <s v="https://www.google.com/maps/place//@17.3626202,78.3920017,17z/data=!3m1!4b1!4m6!1m5!3m4!2zMTfCsDIxJzQ1LjQiTiA3OMKwMjMnNDAuNSJF!8m2!3d17.3626111!4d78.3945833?hl=en&amp;entry=ttu&amp;g_ep=EgoyMDI2MDIyMi4wIKXMDSoASAFQAw%3D%3D"/>
        <s v="https://share.google/fcLsKH5VyWtrElBSB"/>
        <s v="https://share.google/BgBGogzHjTZVfrDxp"/>
        <s v="https://share.google/5fOzwt6aeXKXGYN1i"/>
        <s v="https://share.google/PciqUWGRouRjOyi4V"/>
        <s v="https://maps.app.goo.gl/n6GkDThzygHgQvL6A?g_st=ic"/>
        <s v="17.398351311392286, 78.36519086791014"/>
        <s v="https://maps.app.goo.gl/z9SkJgocGbESBgAP8?g_st=ic"/>
        <s v="sk sports arena and drive-in, Shirdi Sai Nagar, Manikonda, Hyderabad, Telangana 500089"/>
        <s v="https://share.google/CMz1OA41NbziAOgF2"/>
        <s v="https://share.google/ZzD5DnBNCZEb4Q0if"/>
        <s v="17.540369703987597, 78.36868222281474"/>
        <s v="17.540677923108323, 78.36782046420701"/>
        <s v="17.402568898716094, 78.37420155441876"/>
        <s v="https://maps.google.com/?q=Baburao%20Gari%20Biryani,%20Sri%20Sai%20Chaitanya%20Nilayam,%20Street%20Number%204,%20opposite%20Montessori%20High%20School,%20Vijaya%20Nagar%20Colony,%20Kukatpally,%20Hyderabad,%20Telangana%20500072&amp;ftid=0x3bcb919f96d79569:0xc5"/>
        <s v="https://maps.app.goo.gl/c9RYPFLsTBfefUWG9?g_st=ic"/>
        <s v=" Na"/>
        <s v="500063, 5-9-20/A, Secretariat Rd, Saifabad, Khairtabad, Hyderabad, Telangana 500004"/>
        <s v="https://www.google.com/maps/place/Madhapur+Bawarchi,+Ayyappa+Society+Main+Road/@17.4416457,78.3891354,17z/data=!3m1!4b1!4m6!3m5!1s0x3bcb915c640be665:0xd6108edbbd595caf!8m2!3d17.4416406!4d78.3917103!16s%2Fg%2F11bw4sh2j2?hl=en&amp;entry=ttu&amp;g_ep=EgoyMDI2MDMwMS4"/>
        <s v="ns"/>
        <s v="https://www.google.com/maps?q=17.4674346,78.3981803&amp;z=17&amp;hl=en"/>
        <s v="google.com/maps?q=17.4674346,78.3981803&amp;z=17&amp;hl=en"/>
        <s v="https://maps.app.goo.gl/2QPzRsRkpAAWKYP87"/>
        <s v="https://maps.app.goo.gl/jFdAGQyCvp6NZha37"/>
        <s v="https://maps.app.goo.gl/sQMhB2TAK2ihFpq1A"/>
        <s v="https://maps.app.goo.gl/d4aYjc9VNEkBhgtu8"/>
        <s v="https://maps.app.goo.gl/rKEwYoJBxmCtTMGs5"/>
        <s v="Miyapur "/>
        <s v="https://www.google.com/maps?q=17.4866222,78.3978727&amp;z=17&amp;hl=en"/>
        <s v="https://www.google.com/maps?q=17.4701567,78.4187885&amp;z=17&amp;hl=en"/>
        <s v="https://www.google.com/maps?q=17.4878529,78.3941825&amp;z=17&amp;hl=en"/>
        <s v="https://www.google.com/maps/place/Ala+Konaseemaloo/@17.485835,78.388804,17z/data=!3m1!4b1!4m6!3m5!1s0x3bcb919f123fde81:0xfd35517a7df075dd!8m2!3d17.4858299!4d78.3913789!16s%2Fg%2F11ynz_g52n?hl=en&amp;entry=ttu&amp;g_ep=EgoyMDI2MDMwNS4wIKXMDSoASAFQAw%3D%3D"/>
        <s v="https://share.google/yJYJ5H1MhZ5AXLkmt"/>
        <s v="https://share.google/cGwLiZvR7bvsWRMtF"/>
        <s v="https://maps.app.goo.gl/J6fXcWdbKbn52DFf8"/>
        <s v="https://maps.app.goo.gl/6vbWDLY4L89VdBTu9"/>
        <s v="https://maps.app.goo.gl/bmcqmqveFcxUG5189"/>
        <s v="https://maps.app.goo.gl/czMQ9rMX5SUwHGBSA"/>
        <s v="https://share.google/KRNDtfbxOEpjMeTRs"/>
        <s v="https://www.google.com/travel/hotels/s/rfbsr2SurcwVJaqw9"/>
        <s v="https://maps.app.goo.gl/pd3GpLjbyb7teD4G7"/>
        <s v="Minerva"/>
        <s v="https://maps.app.goo.gl/DT8E6ga4ZgTBtJY86"/>
        <s v="https://maps.app.goo.gl/bvLLQi92EuhBxDRCA?g_st=ic"/>
        <s v="https://maps.app.goo.gl/Ao37FYj6SkoNo3bA9?g_st=ic"/>
        <s v="Ameerpet "/>
      </sharedItems>
    </cacheField>
    <cacheField name="Restaurant ID">
      <sharedItems containsBlank="1" containsMixedTypes="1" containsNumber="1" containsInteger="1">
        <m/>
        <n v="5823694.0"/>
        <n v="1.2345578E7"/>
        <s v="Krishna teeram"/>
        <s v="Ahaladha kitchen"/>
        <s v="Delicia"/>
        <s v="Palapitta Ruchulu"/>
        <s v="lucky restaurant "/>
        <s v="godavari restaurant "/>
        <s v="frozen bottles "/>
        <s v="minyu"/>
        <s v=" hyderabad host"/>
        <s v="king mandi "/>
        <s v="Bahar Biryani"/>
        <s v="Singha Dhaba"/>
        <s v="Minerva Blue fox hotel "/>
        <s v="Rayalasema Ruchulu"/>
        <s v="Ahara Tiffins"/>
        <s v="godavari  restaurant "/>
        <s v="UCKY RESTAURANT"/>
        <s v="NA"/>
        <s v="Mandi@36"/>
        <s v="LUCKY RESTAURANT"/>
        <s v="SARVI RESTAURANT "/>
        <s v="Maraheb mandi"/>
        <s v="Hiyya the chrono jail mandi"/>
        <s v="Toscano"/>
        <s v="itlu bobbatlu"/>
        <s v="Hard rock cafe"/>
        <s v="krishnapatanam "/>
        <s v="Simply parottas "/>
        <s v="ARMAN HOTEL"/>
        <s v="Suryakantham military hotel "/>
        <s v="royal arabian mandi "/>
        <s v="7 spices "/>
        <s v="Raw bakers"/>
        <s v="South n spice "/>
        <s v="Biryaniwala nd co"/>
        <s v="mr faddy "/>
        <s v=" gyros doner by nice juice centre "/>
        <s v="kabul darbar"/>
        <s v="parcel counter"/>
        <s v="ZEESHAN "/>
        <s v="The good sparrow"/>
        <s v="Bhoojanam Tayyaru"/>
        <s v="Tadipatri"/>
        <s v="N"/>
        <s v="Biryaniwala &amp; CO"/>
        <s v="Eat spot "/>
        <s v="Kings biryani "/>
        <s v="AI RAHAMAN BAKERY"/>
        <s v="AL BAIK"/>
        <s v="Al Rikaab"/>
        <s v="Sns bakehouse bakery and cafe "/>
        <s v="Kochinspices"/>
        <s v="Poruginti chepala pulusu "/>
        <s v="CAFE UNITED"/>
        <s v="Hotel Farzaan"/>
        <s v="Tipsy Topsy "/>
        <s v="Suryakantham Military Hotel"/>
        <s v="Ritvikas kitchen "/>
        <s v="Naidu gari kunda biryani"/>
        <s v="Kakatiyya tiffins"/>
        <s v="CAFE 555 AND AQEEQ RESTAURANT"/>
        <s v="Meghana non veg parcels"/>
        <s v="Emerald food house "/>
        <s v="Lassi and shakes"/>
        <s v="City555"/>
        <s v="Imperial "/>
        <s v="Bhimavaram thali "/>
        <s v="badrachalam cafe"/>
        <s v="bab al mandi"/>
        <s v="oven fresh bakery"/>
        <s v="nza"/>
        <s v="Vinni cabin cafe "/>
        <s v=" Aha Dakshin"/>
        <s v="Burger King"/>
        <s v="WOW China"/>
        <s v="The Thickshake Factory "/>
        <s v="The Spicy Express "/>
        <s v="Frankie"/>
        <s v="Khaan Saab"/>
        <s v="Chai point "/>
        <s v="Onesta "/>
        <s v="7th Heaven &amp; white hart"/>
        <s v=" fire and ice  ice cream "/>
        <s v="Bakers harvest"/>
        <s v="NAWAB CAFETERIA"/>
        <s v="Deerga Ayushman bhava "/>
        <s v="Hari dosa "/>
        <s v="Missamma restaurant "/>
        <s v="Rainbow mandi "/>
        <s v="Raagam foods "/>
        <s v="Kings biryani adda "/>
        <s v="Qubz"/>
        <s v="Special 9"/>
        <s v="Pala pitta ruchulu"/>
        <s v="Patnam ruchulu"/>
        <s v="Pandaga"/>
        <s v="Sorse"/>
        <s v="Haldirams"/>
        <s v="Almond House"/>
        <s v="Mezbaan"/>
        <s v="Peshawar"/>
        <s v="Organic Creamery"/>
        <s v="Shanghai Flavours of China"/>
        <s v="Karachi Bakery"/>
        <s v="Narthanashala"/>
        <s v="Spicy hut"/>
        <s v="Fb bakers"/>
        <s v="Sri subham food court "/>
        <s v="Lassi shop"/>
        <s v="Times food courtt"/>
        <s v="Kulcha kulcha"/>
        <s v="Southern fusion"/>
        <s v="IFC INDIAN FAV CHEF"/>
        <s v="Le Meridian"/>
        <s v="Sweets Dude"/>
        <s v="Accor"/>
        <s v="Kunafa Bake"/>
        <s v="Chai Point"/>
        <s v="Haldiram"/>
        <s v="Sankala bakery"/>
        <s v="Spicy food court"/>
        <s v="Rayalaseema spice"/>
        <s v="Spicy Express "/>
        <s v="JAI BHAVANI AK FOOD COURT"/>
        <s v="Arya tiffins"/>
        <s v="Sai Ram tiffins "/>
        <s v="Vasudo dhaba "/>
        <s v="Delhi ke famous nagpals "/>
        <s v="Persis"/>
        <s v="Athidis kitchen "/>
        <s v="Punjabi chaska"/>
        <s v="PREETI TIFFINS "/>
        <s v="Aha ruchulu "/>
        <s v="Hotel surichi"/>
        <s v="Godavari ruchulu"/>
        <s v="Mohammed yaser"/>
        <s v="sri poorna "/>
        <s v="o ginger"/>
        <s v="Kush mandi"/>
        <s v="swach"/>
        <s v="Zaiqa 11 "/>
        <s v="vellanki"/>
        <s v="thrive some cafe and cpo"/>
        <s v="Zafaron shawarma and chinese fast food"/>
        <s v="Sri akshaya tiffins "/>
        <s v="Midland bakers"/>
        <s v="chaitanya food court"/>
        <s v="cafe coffee day"/>
        <s v="chocolate room"/>
        <s v="THE SIPPING ADDA"/>
        <s v="sAI RISHITHA FAST FOOD CENTRE"/>
        <s v="Mathru sree athidhidevobhava"/>
        <s v="Induru spice kitchen"/>
        <s v="Irawath kitchen"/>
        <s v="Sri venkateswara food court"/>
        <s v="Perch 24 cafe"/>
        <s v="The bakely"/>
        <s v="Club 10 Chicken"/>
        <s v="Sarovar Portico Hotel"/>
        <s v="Hotel Greenpark &amp; Marigold"/>
        <s v="Zam zam restaurant "/>
        <s v="Sri Sai tiffins and curry point "/>
        <s v="Al furquan hotel "/>
        <s v="The Thickshake Factory"/>
        <s v="taaza tiffens"/>
        <s v="babai hotel"/>
        <s v="Prost"/>
        <s v="Paradise Biryani"/>
        <s v="City chefs kitchen "/>
        <s v=" felfelah "/>
        <s v="Park Hyatt"/>
        <s v="Cock and Bull Hyderabad"/>
        <s v="Ulavacharu"/>
        <s v="Bhulakshmi Mess"/>
        <s v="Granny's Kitchen"/>
        <s v="Akshaya patra"/>
        <s v="Famous arabian shawarma"/>
        <s v="Afroz"/>
        <s v="Classic crown"/>
        <s v="Bhavani food court"/>
        <s v="shake it up"/>
        <s v="srk food court "/>
        <s v="A1 HOTEL"/>
        <s v="Yum yum tree "/>
        <s v="Absolute Barbeque "/>
        <s v="Rokali"/>
        <s v="Universal Restaurant "/>
        <s v="Royal Bawarchi "/>
        <s v="Classic crown restaurent"/>
        <s v="Sri Tejas kitchen"/>
        <s v="Crispy crunch dinner"/>
        <s v="Appi natural fresh juice"/>
        <s v="amans food court"/>
        <s v="Aha Dakshin"/>
        <s v="SRG Restro inn"/>
        <s v="Shri balaji chennai spices"/>
        <s v="Nikhils feast"/>
        <s v="Manikantas eat spot"/>
        <s v="Dosa mart"/>
        <s v="N hot chinese"/>
        <s v="Hot shawarma nd wings"/>
        <s v="Crispy hot wings"/>
        <s v="Hot wings"/>
        <s v="Mallesh mama fast food"/>
        <s v="Ma oori vanta"/>
        <s v="Monkeys cafe "/>
        <s v="Best biryanis and curries"/>
        <s v="Koodu the taste of Telangana"/>
        <s v="Tealogy"/>
        <s v="Sri Shakambhari Restaurant "/>
        <s v="Sri Shakambhari Restaurant (Chinese)"/>
        <s v="Mekallas shawarma and kababs "/>
        <s v="Nagallas shawarma and kababs"/>
        <s v="Rk multi cuisine "/>
        <s v="hillstar "/>
        <s v="Udipis ahaara arogya"/>
        <s v="Dostea"/>
        <s v="Rajamundry vaari real rose milk "/>
        <s v="Open heart restaurant "/>
        <s v="Gen Z flavoria"/>
        <s v="Araya Bhavan"/>
        <s v="Mini cafe"/>
        <s v="Zucifera "/>
        <s v="mfc"/>
        <s v="kamat hotel "/>
        <s v="IDV muntha masala"/>
        <s v="Sreeja home foods"/>
        <s v=" prime deccan restaurant "/>
        <s v="Arabian mandi"/>
        <s v="Slice and Sauce"/>
        <s v="Rk Chinese "/>
        <s v="Alekhya "/>
        <s v="sai martha food court "/>
        <s v="Aroma Cafe"/>
        <s v="Kolkata Food Plaza"/>
        <s v="Zufra mandi"/>
        <s v="Grizzlly"/>
        <s v="The shawarma co"/>
        <s v="Chickpet donne biryani house"/>
        <s v="Minerva "/>
        <s v="maa bhojanam "/>
        <s v="minsitry of coffee affairs"/>
        <s v="the big cup theory"/>
      </sharedItems>
    </cacheField>
    <cacheField name="Name (POC-1)">
      <sharedItems containsBlank="1" containsMixedTypes="1" containsNumber="1" containsInteger="1">
        <m/>
        <s v="sandeep"/>
        <s v="Rama Rao"/>
        <s v="Mohammed Amir"/>
        <s v="Shesha sai"/>
        <s v="Venkat Lingam"/>
        <s v="NATVA SANTOSH KUMAR"/>
        <s v="GM RAGHAVENDRA"/>
        <s v="narapu reddy "/>
        <s v="AKASH"/>
        <s v="SHIVA"/>
        <s v="prajwah kumar"/>
        <s v="RAVI"/>
        <s v="Suresh"/>
        <s v="Naveen"/>
        <s v="no details"/>
        <s v="owner"/>
        <s v="Vishwa"/>
        <s v="didnt mention"/>
        <s v="khasim "/>
        <s v="syed Aman"/>
        <s v="shiek Nazeer"/>
        <s v="B.Raja Yeshwanth Kumar"/>
        <s v="Nikhil"/>
        <s v="Mansoor"/>
        <s v="satya"/>
        <s v="bhanu"/>
        <s v="Mukesh"/>
        <s v="ajay "/>
        <s v="HARI"/>
        <s v="Uttam Kumar"/>
        <s v="Masood"/>
        <s v="kavi raj"/>
        <s v="ASFIYA SULTANA"/>
        <s v="Harish Dhas"/>
        <s v="Das "/>
        <s v="SYED AMEER HUSSAIN"/>
        <s v="Bodh"/>
        <s v="Bhargav"/>
        <s v="Surendar Singh"/>
        <s v="Ravi Kanth"/>
        <s v="Jashwanth"/>
        <s v="BHURDHABAN"/>
        <s v="Khuddus Hussian"/>
        <s v="Rihaan"/>
        <s v="Prathap"/>
        <s v="AFROZE"/>
        <s v="Hamzad ali"/>
        <s v="99590 20310"/>
        <s v="Venu"/>
        <s v="Harsha "/>
        <s v="Harsha"/>
        <s v="Vinesh Reddy"/>
        <s v="Praveen"/>
        <s v="SHABANA BEGUM"/>
        <s v="SYED AMEER HUSSIAN"/>
        <s v="MOHD ARSHAD"/>
        <s v="MOHAMMED FEROZ"/>
        <s v="Anil"/>
        <s v="Mirza Hussain"/>
        <s v="SUDHAKAR"/>
        <s v="JYOTHI"/>
        <s v="SHANKAR"/>
        <s v="ANKIT"/>
        <s v="SANTOSH"/>
        <s v="KHASIM"/>
        <s v="Pranay"/>
        <s v="Ramchanra rao"/>
        <s v="CHALLA TRIVENI"/>
        <s v="NAVEEN REDDY"/>
        <s v="IBRAHIM KHAN"/>
        <s v="ASHRAF ALI"/>
        <s v="SHEIK NAZEER"/>
        <s v="MOHD UMAR KHAN "/>
        <s v="Sai Teja"/>
        <s v="ashok thapa"/>
        <s v="Sai Kumar Goud"/>
        <s v="manjunath "/>
        <s v="Dinesh "/>
        <s v="Kanshith"/>
        <s v="Prabavathi"/>
        <s v="Karthik"/>
        <s v="K Nagabhushan rao"/>
        <s v="Prasad"/>
        <s v="Suryam"/>
        <s v="Bhoojanam"/>
        <s v="Mandi@69"/>
        <s v="Prabath"/>
        <s v="Juhi Sanjay Sajnani"/>
        <s v="NA"/>
        <s v="DINESH REDDY"/>
        <s v="MAHESH "/>
        <s v="Manger(Rohith)"/>
        <s v="Anjayya"/>
        <s v="DANIAL"/>
        <s v="Anji"/>
        <s v="Manager(Chandu)"/>
        <s v="Uma"/>
        <s v="Pasha"/>
        <s v="Rajesh GM"/>
        <s v="Zakil"/>
        <s v="Santhosh"/>
        <s v="Saddam(Manager)"/>
        <s v="MAJEED"/>
        <s v="Maraheb"/>
        <s v="Swathi"/>
        <s v="Kajal"/>
        <s v="Bala"/>
        <s v="Fayz"/>
        <s v="vijay"/>
        <s v="SAHIL"/>
        <s v="Ali firoz"/>
        <s v="vinod"/>
        <n v="7.00363664E9"/>
        <s v="Rajini "/>
        <s v="Narsigin Rao"/>
        <s v="Srinu"/>
        <s v="Prabhakar"/>
        <s v="Nun"/>
        <s v="Venkatesh"/>
        <s v="ZUBAIR"/>
        <s v="BARBEQUE NATION"/>
        <s v="SYED VARIS"/>
        <s v="Sai krishna "/>
        <s v="Rupesh "/>
        <s v="Syed Habid"/>
        <s v="Ali"/>
        <s v="Zunaid "/>
        <s v="Arvind Chowdary"/>
        <s v="Pruthvi"/>
        <s v="RAKESH"/>
        <s v="sai krishna"/>
        <s v="AYUB QURESHI"/>
        <s v="Nageshwar rao"/>
        <s v="Ramya "/>
        <s v="Sudheerr "/>
        <s v="Abdul"/>
        <s v="Sandhya Rani"/>
        <s v="Basawath"/>
        <s v="Balu"/>
        <s v="Omkar"/>
        <s v="ibharim "/>
        <s v="ASHFAQ"/>
        <s v="ali "/>
        <s v="satya "/>
        <s v="Deepak kumar"/>
        <s v="Thalmal"/>
        <s v="Praney"/>
        <s v="Abib"/>
        <s v="Sridhar"/>
        <s v="Manager"/>
        <s v="Raza"/>
        <s v="Owners"/>
        <s v="Chandrashekar"/>
        <s v="Sangham Veg Aaffair"/>
        <s v="Deccan biryani house and restaurent"/>
        <s v="Maheswar rao"/>
        <s v="Mahesh"/>
        <s v="HUSSAIN"/>
        <s v="ABRAR"/>
        <s v="abdul malik "/>
        <s v="Sajaz"/>
        <s v="SHAKEEL"/>
        <s v="Anjaiah"/>
        <s v="SUDARSAN NAYAK"/>
        <s v="hotel armani"/>
        <s v="irsaad"/>
        <s v="pakisa"/>
        <s v="ahmed "/>
        <s v="ashok"/>
        <s v="UMAR KHAN "/>
        <s v="REHAAN"/>
        <s v="BABULAN"/>
        <s v="Ramchandra rao"/>
        <s v="Rama chandarrao "/>
        <s v="Srithisk"/>
        <s v="Ramachandra rao"/>
        <s v="Kondaiah"/>
        <s v="Manchu Manoj "/>
        <s v="Shekar"/>
        <s v="Raju"/>
        <s v="Hazrat"/>
        <s v="Prashanth reddy "/>
        <s v="Aravind reddy "/>
        <s v="Sameer"/>
        <s v="Bhargav "/>
        <s v="Krishna"/>
        <s v="Srikanth reddy "/>
        <s v="Upendra "/>
        <s v="Ashwaq"/>
        <s v="Nasir"/>
        <s v="Dinesh reddy "/>
        <s v="Akhil reddy"/>
        <s v="Ibrahim Khan "/>
        <s v="Triveni "/>
        <s v="Ashish kumar "/>
        <s v="Manasa "/>
        <s v="Rajesh kethineni"/>
        <s v="Vidya Sagar kadali"/>
        <s v="Nagendar "/>
        <s v="Shanker"/>
        <s v="Maheshwar rao"/>
        <s v="Dhakshina murthy"/>
        <s v="Adi"/>
        <s v="Manikanta"/>
        <s v="Azeez "/>
        <s v="Param"/>
        <s v="Basha "/>
        <s v="RAHAMAN"/>
        <s v="Aram"/>
        <s v="Uma maheshwar rao"/>
        <s v="AL BAIK"/>
        <s v="Sanjeev Reddy"/>
        <s v="Vijay "/>
        <s v="Sirish"/>
        <s v="Subhash"/>
        <s v="Shiva kumar"/>
        <s v="Jeff"/>
        <s v="Sai kiran"/>
        <s v="ARBAR"/>
        <s v="Raju "/>
        <s v="Ram"/>
        <s v="ILYAS"/>
        <s v="Khan saab"/>
        <s v="Giri"/>
        <s v="Chandu(branch incharge)"/>
        <s v="Dilip"/>
        <s v="Awaiz Ammari"/>
        <s v="Divya"/>
        <s v="faheen"/>
        <s v="Basha"/>
        <s v="Padmavathi"/>
        <s v="Sohail"/>
        <s v="Md.Atif Ali"/>
        <s v="ABDUL MALIK"/>
        <s v="gulam"/>
        <s v="Deepak"/>
        <s v="CHANDRA KANT"/>
        <s v="NA "/>
        <s v="abhimanyu "/>
        <s v="Ram reddy"/>
        <s v="E. Manikanteswara Reddy"/>
        <s v="Jagan Mohan "/>
        <s v="Naveen "/>
        <s v="Aashritha "/>
        <s v="Krishna "/>
        <s v="Sri latha"/>
        <s v="Giri "/>
        <s v="Kali "/>
        <s v="Sudhakar "/>
        <s v="Sai "/>
        <s v="Sarath "/>
        <s v="Chandu "/>
        <s v="Pundari naidu "/>
        <s v="abbas"/>
        <s v="umar "/>
        <s v="Jeevan"/>
        <s v="Piyush"/>
        <s v="Vamshi"/>
        <s v="Haritha"/>
        <s v="Shekhar "/>
        <s v="Satyam"/>
        <s v="Jaffar"/>
        <s v="Jamindar"/>
        <s v="Ramana"/>
        <s v="Sai Kiran "/>
        <s v="Ramakrishna "/>
        <s v="Lead"/>
        <s v="Lead murali"/>
        <s v="samdar"/>
        <s v="GANESH"/>
        <s v="Lead murali "/>
        <s v="ranjan "/>
        <s v="Durga"/>
        <s v="Madhushekar "/>
        <s v="Sudhakar reddy "/>
        <s v="Ravi Kumar "/>
        <s v="Ravi Kumar"/>
        <s v="Sridar"/>
        <s v="Anad"/>
        <s v="Kalyani "/>
        <s v="Kedarnath reddy "/>
        <s v=" mohammed "/>
        <s v="abhimanyu"/>
        <s v="sarbeena "/>
        <s v="suresh "/>
        <s v="Rohan"/>
        <s v="Alif"/>
        <s v="Gm"/>
        <s v="Hyder"/>
        <s v="Syder"/>
        <s v="Sunny"/>
        <s v="Ragvendra"/>
        <s v="Rama "/>
        <s v="Rajashekar"/>
        <s v="Venkata reddy"/>
        <s v="Arun"/>
        <s v="Sravan reddy "/>
        <s v="Deva "/>
        <s v="Satish"/>
        <s v="raghuram"/>
        <s v="mirza "/>
        <s v="fathima"/>
        <s v="deepak "/>
        <s v="irfaan "/>
        <s v="ashok "/>
        <s v="mohammed"/>
        <s v="shiva "/>
        <s v="vidhya sagar"/>
        <s v="shruthi"/>
        <n v="33.0"/>
        <s v="Test"/>
        <s v="Vinesh "/>
        <s v="P rohit "/>
        <s v="Shoukat "/>
        <s v="Sudhanshu "/>
        <s v="Muzzammil "/>
        <s v="Mohan Singh"/>
        <s v="Venkateswar Rao"/>
        <s v="Chandu"/>
        <s v=" Yashwant sai"/>
        <s v="Rakesh "/>
        <s v="syed "/>
        <s v="Suraj "/>
        <s v="Srinivas Reddy "/>
        <s v="Charan "/>
        <s v="Aditya "/>
        <s v="Priyan"/>
        <s v="Ragav"/>
        <s v="Mohammed khaleel"/>
        <s v="Srikant Reddy"/>
        <s v="Amit"/>
        <s v="megha"/>
        <s v="azhar"/>
        <s v="Teja"/>
        <s v="ashish"/>
        <s v="VENKETESH"/>
        <s v="Gurvinder Singh "/>
        <s v="DINESH"/>
        <s v="Sultan "/>
        <s v="Santhosh "/>
        <s v="IRFAN"/>
        <s v="Sri ram"/>
        <s v="T Naveen Kumar"/>
        <s v="Srinivas "/>
        <s v="Hari palve"/>
        <s v="Divya "/>
        <s v="Surendra"/>
        <n v="9.381425752E9"/>
        <s v="Venu "/>
        <s v="Hemanth"/>
        <s v="MAHENDRA "/>
        <s v="THAKUR PRASHANTH SINGH"/>
        <s v="Sai Lakshmi"/>
        <s v="VENKATA PADMAVATHI"/>
        <s v="sheik sammer "/>
        <s v="SHIHARI GOUD"/>
        <s v="ravi teja"/>
        <s v="abhishek "/>
        <s v="Rajan"/>
        <s v="Darik"/>
        <s v="Swamy"/>
        <s v="Rohith"/>
        <s v="Manne hanumanth"/>
        <s v="Nithesh"/>
        <s v="Niranjan"/>
        <s v="Noufa"/>
        <s v="Vishnu"/>
        <s v="Khaleel"/>
        <s v="sai"/>
        <s v="Koushilk"/>
        <s v="Sukant "/>
        <s v="Kishan Negi (Head Office POC)"/>
        <s v="Gaffar Khan"/>
        <s v="Call Centre"/>
        <s v="Gopi (Area Manager)"/>
        <s v="Prajitesh (GM)"/>
        <s v="Mahender (Area Manager)"/>
        <s v="Ssanjeev Seth (GM)"/>
        <s v="Sri Nivas (Area Manager)"/>
        <s v="Mr. Amar (Area Manager)"/>
        <s v="KSN Murthi (Delivery Manager)"/>
        <s v="Umar (Area Manager) (Generally Available at Sarascity Mall)"/>
        <s v="Vamsi (Owner)"/>
        <s v="Ameer (Area Manager)"/>
        <s v="Mr. Laxman"/>
        <s v="Mr. Pasha"/>
        <s v="Mr. Suraj (Territory Manager)"/>
        <s v="Mr. Reeshav (Business Head)"/>
        <s v="Sumit bajaj"/>
        <s v="gopal "/>
        <s v="zia"/>
        <s v="Santosh "/>
        <s v="Sushmitha "/>
        <s v="Zinia "/>
        <s v="Bhanu Prakash"/>
        <s v="Saif"/>
        <s v="Devi sri"/>
        <s v="Venkat"/>
        <s v="Narsimha"/>
        <s v="Sai kumar"/>
        <s v="Manu"/>
        <s v="Rohit"/>
        <s v="Chandrashekhar "/>
        <s v="Raj"/>
        <s v="Syed"/>
        <s v="Sapan Kumar Jena"/>
        <s v="Triven"/>
        <s v="Pradeep"/>
        <s v="Probin"/>
        <s v="Kalyan"/>
        <s v="David"/>
        <s v="Kailash"/>
        <s v="Savitha"/>
        <s v="Sita Ram"/>
        <s v="Mohan"/>
        <s v="Sathyam"/>
        <s v="Ramakrishna reddy "/>
        <s v="Shanan "/>
        <s v="suraj"/>
        <s v="Venkat reddy"/>
        <s v="Balaji"/>
        <s v="Sanjeev Mandal"/>
        <s v="Dheeraj"/>
        <s v="Naveen Kumar Gadhamsetty"/>
        <s v="Gyandeep Singh"/>
        <s v="Dinesh Naidu"/>
        <s v="Vijay kumar"/>
        <s v="Sujeeth"/>
        <s v="Rasheed"/>
        <s v="Varun"/>
        <s v="Santosh (Regional Manager)"/>
        <s v="Nizzamuddin (Marketing Lead)"/>
        <s v="Pradeep (GM)"/>
        <s v="Santosh (South Head)"/>
        <s v="Mohd Ali (Shift Manger)"/>
        <s v="Sai Ram (Shift Manager)"/>
        <s v="Kapil Bishnoi"/>
        <s v="Monica "/>
        <s v="Harshavardhan "/>
        <s v="Syed Shahid"/>
        <s v="Md ghouse"/>
        <s v="Zamin ali "/>
        <s v="Yeshwanth"/>
        <s v="Mohammed "/>
        <s v="Sk janbee"/>
        <s v="Md ameenudden "/>
        <s v="Kalim (GM)"/>
        <s v="Akshay (F&amp;B Manager)"/>
        <s v="Kirti Kumar"/>
        <s v="Purna chandhar rao 9"/>
        <s v="Mahesh D"/>
        <s v="D mahesh "/>
        <s v="P srinivasulu"/>
        <s v="Srinivaasulu"/>
        <s v="Sk jaani"/>
        <s v="Srija"/>
        <s v="Thufail"/>
        <s v="Hema"/>
        <s v="Syed hissam uddin "/>
        <s v="Rayalaseema spice"/>
        <s v="Neerja"/>
        <s v="Nagendra"/>
        <s v="Anjaneyareddy"/>
        <s v="Manohar"/>
        <s v="SVS BAKERS"/>
        <s v="DURGA PRASAD "/>
        <s v="SIRAJ"/>
        <s v="AJAY"/>
        <s v="PRAVEEN KUMAR"/>
        <s v="ASLAM"/>
        <s v="IMRAN"/>
        <s v="YASHWANT"/>
        <s v="Ram "/>
        <s v="Neethu sethia"/>
        <s v="Sai ram"/>
        <s v="Abhishek"/>
        <s v="Inder"/>
        <s v="Shlok"/>
        <s v="Deva"/>
        <s v="Manas sahoo"/>
        <s v="Nikhilesh"/>
        <s v="Kiran"/>
        <s v="Mahendra"/>
        <s v="Pandu"/>
        <s v="cafe cocktail music"/>
        <s v="Auddin"/>
        <s v="Mazar "/>
        <s v="Bose Babu"/>
        <s v="G NARASIMHA MURTHY"/>
        <s v="sajan"/>
        <s v="Chakra"/>
        <s v="Rajnikant "/>
        <n v="9.000239392E9"/>
        <s v="Diksha "/>
        <s v="Pramod"/>
        <s v="Ramkrishna"/>
        <s v="Ramesh"/>
        <s v="Gaurav"/>
        <s v="Liakhath"/>
        <s v="Imran "/>
        <s v="Ramesh "/>
        <s v="Surya"/>
        <s v="Hitesh"/>
        <s v="Hussain "/>
        <s v="Pavan"/>
        <s v="Ajay Kumar"/>
        <s v="Sonali Avinash Jadhav"/>
        <s v="Manoj"/>
        <s v="Annapurna "/>
        <s v="Ramnath"/>
        <s v="Kalayan"/>
        <s v="Srinivas"/>
        <s v="Abhishek Agarwal"/>
        <s v="BHANU SHEKAR"/>
        <s v="Gopinath"/>
        <s v="Ahan"/>
        <s v="Ahmed"/>
        <s v="NIhar"/>
        <s v="padmavathi kasa"/>
        <s v="rehamad"/>
        <s v="red oven "/>
        <s v="sri hari "/>
        <s v="srinaik "/>
        <s v="karthik reddy"/>
        <s v="Ajar"/>
        <s v="akshay"/>
        <s v="Abishek"/>
        <s v="vikas"/>
        <s v="krishna roa "/>
        <s v="roopchand "/>
        <s v="mangement"/>
        <s v="Nithesh hussain"/>
        <s v="management"/>
        <s v="pravallika "/>
        <s v="bagwan "/>
        <s v="Hitish"/>
        <s v="anurag"/>
        <s v="Vishnu "/>
        <s v="Sainadh"/>
        <s v="Jagadeesh "/>
        <s v="Naresh"/>
        <s v="Raghu"/>
        <s v="Avinash"/>
        <s v="joel nayak "/>
        <s v="prithvi"/>
        <s v="Arjun"/>
        <s v="Khan"/>
        <s v="Faizal"/>
        <s v="Rambabu j"/>
        <s v="Kamlesh"/>
        <s v="Eshwar"/>
        <s v="charan"/>
        <s v="Thirumala reddy balashow reddy"/>
        <s v="Sathyaprasad"/>
        <s v="Kamesh"/>
        <s v="Krishna mohan"/>
        <s v="GOPI"/>
        <s v="Avinay sharma"/>
        <s v="HIMAVANTH"/>
        <s v="Thirupathi"/>
        <s v="Saurabh yadav"/>
        <s v="Koushik "/>
        <s v="Likith"/>
        <s v="Virababu"/>
        <s v="Na0"/>
        <s v="Kishore"/>
        <s v="Arman"/>
        <s v="Sumanth"/>
        <s v="SUMANTH "/>
        <s v="Dharma"/>
        <s v="Harika"/>
        <s v="Ankaiya"/>
        <s v="Anil kumar"/>
        <s v="Ibrahim"/>
        <s v="Faisal"/>
        <s v="Dhanvir"/>
        <s v="Afroz"/>
        <s v="Abhinav Reddy"/>
        <s v="Nasimathar"/>
        <s v="Priyanka"/>
        <s v="Theja"/>
        <s v="Narendra"/>
        <s v="Abhinav"/>
        <s v="Abhijay Verma"/>
        <s v="Mohd qureshi"/>
        <s v="Sujini"/>
        <s v="Pranav"/>
        <s v="Amjad"/>
        <s v="SHARAT"/>
        <s v="Faizan"/>
        <s v="santhosh reddy"/>
        <s v="kumar"/>
        <s v="Raju Kumar"/>
        <s v="Rajesh Kulkarni"/>
        <s v="Nagendhar rao"/>
        <s v=" Syed zenil "/>
        <s v="Saffi arman"/>
        <s v="Harika "/>
        <s v="Kundhan"/>
        <s v="ankaiah85@gmail.com"/>
        <s v="Syed Harshad"/>
        <s v="thenawaabsrestaurant@gmail.com"/>
        <s v="Amith"/>
        <s v="Shaiju"/>
        <s v="Tarun"/>
        <s v="AKRAM"/>
        <s v="arif khan"/>
        <s v="SAYED AYYA"/>
        <s v="ARSHAD"/>
        <s v="ADIL"/>
        <s v="SIDDIQUE"/>
        <s v="NASEER"/>
        <s v="ALTHAF"/>
        <s v="rehmat"/>
        <s v="YESHWANT"/>
        <s v="Rajesh kumar"/>
        <s v="Nanda kishore"/>
        <s v="Chandra Shekhar "/>
        <s v="Monica Surana"/>
        <s v="Arjun reddy "/>
        <s v="Habeeb"/>
        <s v="mohit"/>
        <s v="ilyaas"/>
        <s v="AZEEZ"/>
        <s v="Naveen Owner "/>
        <s v="Avinash Pant"/>
        <s v="Yogesh"/>
        <s v="Krishna Appa"/>
        <s v="Prashanth"/>
        <s v="Jahnavi"/>
        <s v="Sri charan"/>
        <s v="Nitin dev"/>
        <s v="Padmavati "/>
        <s v="Varma"/>
        <s v="Surya "/>
        <s v="Jahir"/>
        <s v="Goutham"/>
        <s v="Pidathala Bharathi"/>
        <s v="Anthuri dass"/>
        <s v="sheik ali"/>
        <s v="prem kumar"/>
        <s v="Sheik alil"/>
        <s v="Narmadha"/>
        <s v="Amarendra "/>
        <s v="Shamshed"/>
        <s v="Rafee"/>
        <s v="RK GRAND"/>
        <s v="jagadeesh"/>
        <s v="Sandhya"/>
        <s v="Moin"/>
        <s v="Madaram Shailaja"/>
        <s v="shravan "/>
        <s v="shiva shankar"/>
        <s v="srikanth"/>
        <s v="Tulasi"/>
        <s v="HAMID"/>
        <s v="VAMSI"/>
        <s v="GHANI"/>
        <s v="Manish Dubey"/>
        <s v="Satyanarayana Reddy"/>
        <s v="haji"/>
        <s v="Ravindar"/>
        <s v="Sajjid"/>
        <s v="Peddinti Sharan Kumar"/>
        <s v="Karan"/>
        <s v="Ram babu"/>
        <s v="Danish"/>
        <s v="Edwin Debnath"/>
        <s v="Raunak"/>
        <s v="Josthna "/>
        <s v="Sumit "/>
        <s v="Sadanand Yadav"/>
        <s v="Chutney head office "/>
        <s v="Shaker"/>
        <s v="Nasimatha"/>
        <s v="Sandeep "/>
        <s v="Satya Prasad"/>
        <s v="Sataya Prasad"/>
        <s v="NEHAD SIDDIQI"/>
        <s v="ZAIQA 11"/>
        <s v="sahithi"/>
        <s v="Laxmipathi"/>
        <s v="Bhadhri"/>
        <s v="Eknath"/>
        <s v="bhagwan "/>
        <s v="karthik reddy "/>
        <s v="mani "/>
        <s v="raghuvardhan "/>
        <s v="krishna rao banty "/>
        <s v="krishna roa"/>
        <s v="Ranjith Reddy"/>
        <s v="D Kiran"/>
        <s v="SRINIVASA RAO"/>
        <s v="NAGA SAI GANESH"/>
        <s v="GANI"/>
        <s v="SUDHEER"/>
        <s v="JYOSTHNA &amp; CHAKRI"/>
        <s v="Md. sajeeb"/>
        <s v="CHANDAN"/>
        <s v=" vengal  rao "/>
        <s v="raghav "/>
        <s v="usha rani"/>
        <s v="ramu "/>
        <s v="saleem"/>
        <s v="Iliyas"/>
        <s v="Rakesh Goud"/>
        <s v="Not shared"/>
        <s v="Sangram"/>
        <s v="Kalyani"/>
        <s v="Banti"/>
        <s v="Joshua"/>
        <s v="Krishna Chaitanya"/>
        <s v="Chiranjeevi"/>
        <s v="Veer"/>
        <s v="ADNAN"/>
        <s v="Vivek"/>
        <s v="Annie"/>
        <s v="Dinesh Kumar"/>
        <s v="Agarwal"/>
        <s v="Madhuri chand"/>
        <s v="Rambala sanjay"/>
        <s v="Surekha"/>
        <s v="Rajugari shruthi"/>
        <s v="Mohammed omer"/>
        <s v="Navtej "/>
        <s v="Venkat "/>
        <s v="Lavanya "/>
        <s v="Lakshmi kanth "/>
        <s v="Vasistas Biryanis and curry "/>
        <s v="Ravishankar "/>
        <s v="Methri mallesh"/>
        <s v="Shyam"/>
        <s v="Vishal "/>
        <s v="Sankranthi cafe"/>
        <s v="Bharath "/>
        <s v="Nagaraju"/>
        <s v="Mahalaxmi kitchen "/>
        <s v="Nagaraju goud "/>
        <s v="nq"/>
        <s v="Manikanta Reddy"/>
        <s v="anil kumar "/>
        <s v="Ravi kiran"/>
        <s v="chary"/>
        <s v="Rajaramana"/>
        <s v="vasi reddy"/>
        <s v="Sridhar "/>
        <s v="Mohammad kudhr"/>
        <s v="Parvaiz"/>
        <s v="Kassim"/>
        <s v="Mitha"/>
        <s v="Rupi"/>
        <s v="Narismha Rao"/>
        <s v="Sudheer "/>
        <s v="Mohammed zahid"/>
        <s v="SreeRam"/>
        <s v="Vijaya laxmi"/>
        <s v="Shaik Sabbair"/>
        <s v="Mekallas teja sai"/>
        <s v="Sheshidar reddy"/>
        <s v="Mani"/>
        <s v="Laxman"/>
        <s v="Naga Raju Reddy"/>
        <s v="Venkatram Reddy"/>
        <s v="Syed azweli"/>
        <s v="Chandrashekhar reddy"/>
        <s v="Naveen Reddy "/>
        <s v="Siddharth "/>
        <s v="Narayan"/>
        <s v="Bengali Food plaza"/>
        <s v="Suhan"/>
        <s v="hameed"/>
        <s v="VENGAL RAO"/>
        <s v="KAIF"/>
        <s v="Fareed"/>
        <s v="Shehzaad"/>
        <s v="Alvi"/>
        <s v="bishwash"/>
        <s v="Hamdan Bin Masood"/>
        <s v="Tulasi Nandan"/>
        <s v="Kiran kumar reddy "/>
        <s v="Shiva Reddy"/>
        <s v="Owner "/>
        <s v="Rajesh"/>
        <s v="Usha"/>
        <s v="Manager "/>
        <s v="Somnath"/>
        <s v="Ballaji"/>
        <s v="Vikram"/>
        <s v="Vikram."/>
        <s v="Annappa Shetty"/>
        <s v="Sathish"/>
        <s v="Sunil kumar"/>
        <s v="Shabbar"/>
        <s v="Saddar"/>
        <s v="Anitha"/>
        <s v="Red pepper "/>
        <s v="Vinod "/>
        <s v="marjaan "/>
        <s v="vinay"/>
        <s v="altaf "/>
        <s v="Mieekal shajji"/>
        <s v="MEHBOOB"/>
        <s v="SHIV KUMAR"/>
        <s v="harish"/>
        <s v="mr jimmy "/>
        <n v="7.995259345E9"/>
        <s v="ankith agarawal "/>
        <s v="laxaman "/>
        <s v="sourav "/>
        <s v="bhagwan"/>
        <s v="nagnath "/>
        <s v="anwar"/>
        <s v="Venkateswara rao"/>
        <s v="Poorna chander"/>
        <s v="Ravindra reddy"/>
        <s v="Sreeja "/>
        <s v="Zaiqa "/>
        <s v="Madhava reddy "/>
        <s v="Anurag "/>
        <s v="Lokesh "/>
        <s v="Geetha"/>
        <s v="Om Sai "/>
        <s v="Madhu "/>
        <s v="Swarup"/>
        <s v="Devaraj "/>
        <s v="Ashfq"/>
        <s v="Chat baazar"/>
        <s v="Bhaskar reddy "/>
        <s v="Rishi"/>
        <s v="Mohamad"/>
        <s v="Mubeen"/>
        <s v="Sai nadh"/>
        <s v="Rehaman"/>
        <s v="mosin"/>
        <s v="islam"/>
        <s v="SHAHBUDIN"/>
        <s v="AMEER"/>
        <s v="Sajiya"/>
        <s v="MAZHAR"/>
        <s v="WASIM AKRAM"/>
        <s v="Sunil Gowtham"/>
        <s v="Rajashekhar "/>
        <s v="Nilhil"/>
        <s v="Astouch "/>
        <s v="Vassu"/>
        <s v="Naa"/>
        <s v="Srinivasulu"/>
        <s v="Srinivasa"/>
        <s v="Deepu"/>
        <s v="Satya parsad"/>
        <s v="Vicky "/>
        <s v="Afreed "/>
        <s v="Bhawagan"/>
        <s v="Shivananda"/>
        <s v="Danish "/>
        <s v="Alekhya"/>
        <s v="D"/>
        <s v="Ankis"/>
        <s v=" Sikimdar"/>
        <s v="Ravindra reddy "/>
        <s v="Nasimitha"/>
        <s v="Durga prasad"/>
        <s v="Devayya"/>
        <s v="Veerendra"/>
        <s v="mosin "/>
        <s v="BABU"/>
        <s v=" naga laxmi "/>
        <s v=" prabhavathi"/>
        <s v="Seshu"/>
        <s v="Bhaskar "/>
        <s v="Ismail"/>
        <s v="Akhil"/>
        <s v="Darshan"/>
        <s v="Veerendhra"/>
        <s v="Jaya devi"/>
        <s v="Sarath"/>
        <s v="Pamulayya"/>
        <s v="Farzan"/>
        <s v="Shivam"/>
        <s v="Waajith "/>
        <s v="Thann"/>
        <s v="Laxmi Prasad"/>
        <s v="Rathod  Ragu"/>
        <s v="Murali Reddy"/>
        <s v="Dyanshwar"/>
        <s v="Dyanswar"/>
        <s v="Arbaaz Khan"/>
        <s v="Abbas Ali"/>
        <s v="Sameer "/>
        <s v="Prithvish Samanth"/>
        <s v="Syed Yousuf"/>
        <s v="Satish "/>
        <s v="Nayudi "/>
        <s v="Venkatesh "/>
        <s v="Kishor"/>
        <s v="Astoush"/>
        <s v="Akhil "/>
        <s v="Amjed ali"/>
        <s v="Palesh"/>
        <s v="Rayudu"/>
        <s v="N"/>
        <s v="Bharath"/>
        <s v="Rahul"/>
        <s v="Rajendra prasad"/>
        <s v="Nithin"/>
        <n v="7.989383201E9"/>
        <s v="Shravan kumar"/>
        <s v="Ankis "/>
        <s v="Dev raj "/>
        <s v="Satya Prasad "/>
        <s v="A"/>
        <s v="Nikhil "/>
        <s v="Nayudu "/>
        <s v="Kishore "/>
        <s v="Karthik "/>
        <s v="Vinay kunchal "/>
        <s v="Naiudu"/>
        <s v="Akihila "/>
        <s v="Hema "/>
        <s v="Sai ram "/>
        <s v="Mainland china "/>
        <s v="Oh Calicut "/>
        <s v="Jwala"/>
        <s v="Sachin "/>
        <s v="Kalathinigal"/>
        <s v="Zahed "/>
        <s v="Priya"/>
        <s v="Ajith"/>
        <s v="Shekar "/>
        <s v="Navved"/>
        <s v="Samridhi"/>
        <s v="Naga shawarma reddy "/>
        <s v="Chandra Shekar"/>
        <s v="sunil"/>
        <s v="Sitharama Raju"/>
        <s v="Bhavana"/>
        <s v="Vivekanand Reddy"/>
        <s v="Bhanu Prasad"/>
        <s v="Chirumamilla Rajesh "/>
        <s v="VIPPALA GOVERSHAN"/>
        <s v="Rajeshekar "/>
        <s v="Ram Mohan Reddy"/>
        <s v="Anil Rana "/>
        <s v="T Raghunatha Rao"/>
        <s v="Ragini"/>
        <s v="Singh"/>
        <s v="Shiva roa"/>
        <s v="Mohammed muli "/>
        <s v="Vinay "/>
        <s v="Narmadha "/>
        <s v="Shek alli"/>
        <s v="Rama rao "/>
        <s v="Sameel"/>
        <s v="Ayyappa"/>
        <s v="Chinmai"/>
        <s v="Rajasekhar"/>
        <s v="Goutham Raj"/>
        <s v="ajay sharma"/>
        <s v="Riyaz"/>
        <s v="abilash"/>
        <s v="chaitaniya"/>
        <s v="vara prasad "/>
        <s v="hyderabad hosts"/>
        <s v="ajay mallareddy"/>
        <s v="NAIDU"/>
        <s v=" praveen "/>
        <s v="Naresh "/>
        <s v="Chakri"/>
        <s v="Jafer"/>
        <s v="Shivaji"/>
        <s v="Tipu"/>
        <s v="Azzal ammaari"/>
        <s v="Koushik"/>
      </sharedItems>
    </cacheField>
    <cacheField name="Contact Number (POC-1)">
      <sharedItems containsBlank="1" containsMixedTypes="1" containsNumber="1" containsInteger="1">
        <m/>
        <n v="9.16679555E8"/>
        <n v="9.030611616E9"/>
        <n v="9.9498146E9"/>
        <n v="9.052592437E9"/>
        <n v="8.989873636E9"/>
        <n v="6.302181276E9"/>
        <n v="8.88655996E8"/>
        <n v="9.963968917E9"/>
        <n v="6.301782448E9"/>
        <n v="8.341514984E9"/>
        <n v="9.391167117E9"/>
        <n v="9.441674841E9"/>
        <n v="7.396735758E9"/>
        <n v="9.985609966E9"/>
        <n v="8.555086883E9"/>
        <s v="no details"/>
        <n v="8.712220229E9"/>
        <n v="8.522886035E9"/>
        <n v="7.032682089E9"/>
        <n v="9.849108337E9"/>
        <n v="9.866174396E9"/>
        <n v="8.886904546E9"/>
        <n v="9.705812524E9"/>
        <n v="7.799956667E9"/>
        <n v="9.676213874E9"/>
        <n v="9.553119997E9"/>
        <n v="8.309230685E9"/>
        <s v="na"/>
        <n v="7.799223445E9"/>
        <n v="9.849991664E9"/>
        <n v="9.010022093E9"/>
        <n v="9.059787788E9"/>
        <n v="9.502632532E9"/>
        <n v="9.9648187E9"/>
        <n v="7.842264138E9"/>
        <n v="9.742645678E9"/>
        <n v="8.978216439E9"/>
        <n v="8.019447999E9"/>
        <n v="9.8488146E9"/>
        <n v="6.309794222E9"/>
        <n v="9.100007676E9"/>
        <n v="8.249132908E9"/>
        <n v="9.182466676E9"/>
        <s v="04023536061"/>
        <n v="9.063906004E9"/>
        <n v="9.032417871E9"/>
        <n v="9.030266975E9"/>
        <s v="99590 20310"/>
        <n v="9.493106693E9"/>
        <n v="9.704204592E9"/>
        <n v="9.604204592E9"/>
        <n v="8.500703171E9"/>
        <n v="9.032460766E9"/>
        <n v="8.121007155E9"/>
        <n v="8.247496273E9"/>
        <n v="7.097949648E9"/>
        <s v="72868 01930"/>
        <s v="96403 07014"/>
        <n v="7.893713995E9"/>
        <n v="9.856666589E9"/>
        <n v="7.702070233E9"/>
        <n v="6.281845369E9"/>
        <n v="9.346811687E9"/>
        <n v="7.093742666E9"/>
        <n v="9.966644448E9"/>
        <n v="9.963967706E9"/>
        <n v="8.977709421E9"/>
        <n v="8.333833299E9"/>
        <n v="9.676945646E9"/>
        <n v="9.010924E9"/>
        <n v="9.701916013E9"/>
        <n v="9.885199151E9"/>
        <n v="9.642897117E9"/>
        <n v="7.995109409E9"/>
        <n v="9.030518803E9"/>
        <n v="8.125178544E9"/>
        <n v="6.281821329E9"/>
        <n v="9.34705965E9"/>
        <n v="9.381245681E9"/>
        <n v="9.642431013E9"/>
        <s v="+91 85010 24577"/>
        <n v="9.761859999E9"/>
        <n v="9.849995653E9"/>
        <n v="7.028412666E9"/>
        <n v="9.381522074E9"/>
        <n v="9.148628899E9"/>
        <s v="+91 78428 04422"/>
        <s v="+91 6281 845 369"/>
        <n v="9.133847766E9"/>
        <n v="9.908662728E9"/>
        <s v="+91 98491 08337"/>
        <n v="8.121020121E9"/>
        <n v="9.908199083E9"/>
        <n v="6.30252957E9"/>
        <n v="9.0597125102E10"/>
        <s v="no"/>
        <n v="6.303246535E9"/>
        <n v="9.398881323E9"/>
        <n v="8.985607723E9"/>
        <n v="9.032245891E9"/>
        <n v="6.300797895E9"/>
        <n v="9.493932004E9"/>
        <n v="9.032515133E9"/>
        <n v="7.739656963E9"/>
        <n v="9.581749555E9"/>
        <n v="9.014249702E9"/>
        <n v="7.396422628E9"/>
        <n v="7.977765789E9"/>
        <n v="9.986998503E9"/>
        <n v="9.966991234E9"/>
        <n v="8.688843788E9"/>
        <n v="9.100368473E9"/>
        <n v="9.39205514E8"/>
        <n v="9.769343996E9"/>
        <n v="7.337001104E9"/>
        <n v="9.172541254E9"/>
        <s v="Surjith"/>
        <n v="9.95902031E9"/>
        <n v="7.075777491E9"/>
        <n v="9.959160354E9"/>
        <n v="9.140523292E9"/>
        <n v="9.704025498E9"/>
        <n v="9.392857604E9"/>
        <n v="9.052878671E9"/>
        <n v="9.346166695E9"/>
        <n v="8.886767272E9"/>
        <n v="9.888586813E10"/>
        <n v="7.991231238E9"/>
        <n v="7.618754404E9"/>
        <n v="8.074932383E9"/>
        <n v="8.885294412E9"/>
        <n v="9.515977021E9"/>
        <n v="9.13710387E9"/>
        <n v="7.995184676E9"/>
        <n v="9.88586813E9"/>
        <n v="9.866847607E9"/>
        <n v="9.849343059E9"/>
        <s v="78937 77231"/>
        <n v="8.185802329E9"/>
        <n v="9.550402185E9"/>
        <n v="9.966660134E9"/>
        <n v="9.052253253E9"/>
        <n v="9.059036521E9"/>
        <n v="7.032735002E9"/>
        <n v="9.133424262E9"/>
        <n v="7.799777981E9"/>
        <n v="9.966591281E9"/>
        <n v="9.10044213E9"/>
        <n v="9.493041116E9"/>
        <n v="8.32839342E9"/>
        <n v="9.145845425E9"/>
        <n v="9.000338443E9"/>
        <n v="9.866667E9"/>
        <n v="9.000211792E9"/>
        <n v="7.897979742E9"/>
        <n v="8.374447297E9"/>
        <n v="9.246573562E9"/>
        <n v="9.154408946E9"/>
        <n v="6.300840049E9"/>
        <n v="8.309463956E9"/>
        <n v="9.100886637E9"/>
        <n v="9.550001177E9"/>
        <n v="9.346036222E9"/>
        <n v="8.125583337E9"/>
        <s v="72070 83888"/>
        <n v="8.008623545E9"/>
        <n v="9.393852636E9"/>
        <n v="9.346197565E9"/>
        <n v="7.569933996E9"/>
        <n v="8.939369888E9"/>
        <n v="8.885057806E9"/>
        <n v="7.013847849E9"/>
        <n v="9.000143978E9"/>
        <n v="9.989071021E9"/>
        <n v="9.603021048E9"/>
        <n v="9.100172163E9"/>
        <n v="8.688995094E9"/>
        <n v="9.704673535E9"/>
        <n v="7.981730116E9"/>
        <n v="8.125526123E9"/>
        <n v="9.849499208E9"/>
        <n v="8.801027834E9"/>
        <n v="9.959244406E9"/>
        <s v="+91 98858 68130"/>
        <n v="9.866402028E9"/>
        <n v="8.096999908E9"/>
        <n v="9.949429494E9"/>
        <n v="8.985909898E9"/>
        <n v="9.05981013E9"/>
        <s v="+91 93985 56461"/>
        <s v="733-7332022"/>
        <n v="7.306445599E9"/>
        <n v="7.09504025E8"/>
        <s v="80080 20304"/>
        <n v="7.396769261E9"/>
        <n v="8.438457084E9"/>
        <s v="+919063747177"/>
        <n v="7.702428848E9"/>
        <s v="87901 30941"/>
        <s v="99850 95605"/>
        <n v="7.993930918E9"/>
        <n v="9.849765228E9"/>
        <n v="9.010776408E9"/>
        <n v="7.981607619E9"/>
        <n v="8.884066682E9"/>
        <n v="9.849963003E9"/>
        <n v="8.125125635E9"/>
        <n v="6.28174849E9"/>
        <s v="95422 33485"/>
        <n v="9.000252549E9"/>
        <s v="96422 34333"/>
        <s v="863-9381583"/>
        <n v="9.3700938E9"/>
        <s v="+91 94943 99656"/>
        <n v="9.392458574E9"/>
        <n v="9.544186712E9"/>
        <n v="7.842474608E9"/>
        <n v="9.398948353E9"/>
        <n v="7.842474013E9"/>
        <n v="8.309112838E9"/>
        <n v="8.688077052E9"/>
        <n v="9.346342272E9"/>
        <s v="99660 33399"/>
        <n v="7.093051795E9"/>
        <n v="9.866896332E9"/>
        <n v="9.000931717E9"/>
        <n v="7.995243674E9"/>
        <n v="7.416826069E9"/>
        <n v="8.121749748E9"/>
        <n v="8.466082222E9"/>
        <n v="7.729900669E9"/>
        <n v="9.98550631E9"/>
        <n v="9.34603623E8"/>
        <s v="040 23510000"/>
        <n v="8.125655929E9"/>
        <n v="9.703471098E9"/>
        <n v="9.966740877E9"/>
        <n v="9.391575027E9"/>
        <n v="9.100016663E9"/>
        <n v="7.981956278E9"/>
        <s v="09885215007"/>
        <s v="95733 94555"/>
        <n v="9.966627E9"/>
        <n v="9.959223649E9"/>
        <s v="85209 37226"/>
        <s v="6302-751766"/>
        <n v="8.80129776E9"/>
        <n v="9.06906404E9"/>
        <s v="70130 27770"/>
        <n v="7.659856207E9"/>
        <s v="90596 66300"/>
        <n v="9.536442345E9"/>
        <n v="9.948505639E9"/>
        <s v="+91 79897 34545"/>
        <n v="8.12565211E9"/>
        <n v="9.908602056E9"/>
        <n v="8.121764465E9"/>
        <n v="8.31769626E9"/>
        <n v="8.074793426E9"/>
        <n v="7.569890018E9"/>
        <n v="8.179514738E9"/>
        <n v="8.374167037E9"/>
        <n v="9.652444418E9"/>
        <n v="9.885215007E9"/>
        <s v="93461 12262"/>
        <n v="8.319942382E9"/>
        <s v="75699 96701"/>
        <n v="9.885552731E9"/>
        <n v="9.49477772E9"/>
        <n v="6.300802819E9"/>
        <n v="9.381425752E9"/>
        <s v="Lead "/>
        <s v="Lead"/>
        <n v="8.519979693E9"/>
        <n v="8.712342023E9"/>
        <s v="7680-006511"/>
        <n v="9.502547468E9"/>
        <n v="9.177960195E9"/>
        <n v="8.333936696E9"/>
        <n v="7.970928335E9"/>
        <n v="7.98992243E9"/>
        <n v="8.978621009E9"/>
        <n v="9.246290001E9"/>
        <n v="8.341366998E9"/>
        <n v="7.396369586E9"/>
        <n v="9.030474848E9"/>
        <n v="7.416812233E9"/>
        <n v="9.966321486E9"/>
        <n v="9.346951279E9"/>
        <n v="8.309678652E9"/>
        <n v="9.989649223E9"/>
        <s v="6281 334 972"/>
        <s v=" 99086 02056"/>
        <n v="9.248067813E9"/>
        <n v="8.886741212E9"/>
        <n v="9.700389127E9"/>
        <n v="9.912324749E9"/>
        <n v="9.949992294E9"/>
        <n v="9.70011819E9"/>
        <n v="7.386992552E9"/>
        <n v="9.493862863E9"/>
        <n v="9.100396662E9"/>
        <n v="9.00002378E8"/>
        <n v="7.306506572E9"/>
        <n v="9.177171107E9"/>
        <s v="+91 94939 89362"/>
        <n v="9.652222583E9"/>
        <s v="97034 33533"/>
        <s v="98492 42228"/>
        <n v="7.066346634E9"/>
        <n v="7.893779377E9"/>
        <n v="9.66644062E9"/>
        <s v="na "/>
        <n v="9.505255701E9"/>
        <n v="8.919193385E9"/>
        <n v="9.980102334E9"/>
        <n v="7.780667655E9"/>
        <n v="9.640166669E9"/>
        <n v="9.94907222E9"/>
        <n v="9.985404412E9"/>
        <n v="9.91269903E8"/>
        <n v="33.0"/>
        <s v="Test"/>
        <s v="+91 83746 28209"/>
        <n v="9.000266581E9"/>
        <s v="94533 15094"/>
        <s v="98498 82217"/>
        <s v="7848-873441 "/>
        <s v="824-7534864"/>
        <s v="92468 78121"/>
        <n v="9.912013333E9"/>
        <n v="9.100002909E9"/>
        <n v="8.790606524E9"/>
        <s v="91827 69806"/>
        <s v="761-8754404"/>
        <n v="9.381014399E9"/>
        <s v="90003 43427"/>
        <s v="97804 55455"/>
        <s v="93907 32422"/>
        <s v="863-9857988"/>
        <s v="80087 45888"/>
        <n v="7.70294282E9"/>
        <n v="8.897351867E9"/>
        <s v="70705 67056"/>
        <n v="9.985489397E9"/>
        <n v="9.704551666E9"/>
        <n v="8.897622869E9"/>
        <n v="9.121399119E9"/>
        <s v=" 84649 15054"/>
        <n v="7.036844444E9"/>
        <n v="7.801005204E9"/>
        <n v="8.328471182E9"/>
        <n v="9.666746674E9"/>
        <s v="832 856 8920"/>
        <n v="9.642357335E9"/>
        <n v="9.885238434E9"/>
        <n v="9.790769073E9"/>
        <s v="+91 891 919 3385"/>
        <n v="8.008566191E9"/>
        <n v="9.985287122E9"/>
        <s v="+91 96180 84946"/>
        <s v="+917702428848"/>
        <s v="90595 55171"/>
        <s v="+919127893278"/>
        <s v="81425 20056"/>
        <s v="91779 37307"/>
        <s v="90320 00555"/>
        <n v="8.801656811E9"/>
        <n v="6.2175906581E10"/>
        <n v="8.008115681E9"/>
        <s v="89789 36410"/>
        <n v="9.505154858E9"/>
        <s v="97034 45554"/>
        <s v="99855 59905"/>
        <n v="8.096987009E9"/>
        <s v="Saharsh udipi"/>
        <n v="9.182628576E9"/>
        <n v="7.331139799E9"/>
        <n v="9.00046444E9"/>
        <n v="9.676367127E9"/>
        <n v="9.154993447E9"/>
        <n v="9.84900012E9"/>
        <n v="9.640290237E9"/>
        <n v="9.552323334E9"/>
        <n v="7.680947465E9"/>
        <n v="7.075376903E9"/>
        <n v="9.700815352E9"/>
        <n v="9.818808004E9"/>
        <n v="7.893734731E9"/>
        <n v="1.860266001E10"/>
        <n v="6.381622735E9"/>
        <n v="7.030998709E9"/>
        <n v="9.663743265E9"/>
        <n v="7.905152075E9"/>
        <n v="9.959615992E9"/>
        <n v="7.002773847E9"/>
        <n v="9.398596919E9"/>
        <n v="8.374972864E9"/>
        <n v="9.494405373E9"/>
        <n v="8.639535389E9"/>
        <n v="7.093369917E9"/>
        <n v="7.731019977E9"/>
        <n v="9.907958581E9"/>
        <n v="9.867122223E9"/>
        <n v="8.668045147E9"/>
        <n v="9.967535945E9"/>
        <n v="9.100009426E9"/>
        <s v="90143 87137"/>
        <n v="8.07474285E9"/>
        <n v="8.319637722E9"/>
        <n v="8.919506757E9"/>
        <n v="9.147716232E9"/>
        <n v="8.297190571E9"/>
        <n v="9.615550066E9"/>
        <n v="7.032888705E9"/>
        <n v="6.303602919E9"/>
        <n v="9.030066247E9"/>
        <n v="9.38138984E9"/>
        <n v="9.59359399E8"/>
        <n v="8.247047507E9"/>
        <n v="9.700119173E9"/>
        <n v="8.12521E9"/>
        <n v="9.494567064E9"/>
        <n v="7.00424097E9"/>
        <n v="9.642114111E9"/>
        <n v="8.309163739E9"/>
        <s v="6302-303453"/>
        <n v="8.341901102E9"/>
        <n v="6.281737216E9"/>
        <n v="7.33099147E9"/>
        <n v="9.393895558E9"/>
        <n v="9.441469962E9"/>
        <n v="8.3747595E8"/>
        <n v="9.154819482E9"/>
        <n v="9.000027744E9"/>
        <n v="7.330661433E9"/>
        <n v="9.491064999E9"/>
        <n v="9.08338532E8"/>
        <n v="9.66666921E9"/>
        <n v="9.553399599E9"/>
        <n v="8.858725032E9"/>
        <n v="8.977945506E9"/>
        <n v="9.000360723E9"/>
        <n v="9.233549583E9"/>
        <n v="8.106842929E9"/>
        <s v="POC-70042 40970(Owner)"/>
        <n v="9.493989362E9"/>
        <n v="9.700553599E9"/>
        <s v="949310 6693"/>
        <s v="733 883 6300"/>
        <s v="70328 88705"/>
        <s v="81234 01137"/>
        <n v="7.416022022E9"/>
        <s v="88863 31102"/>
        <n v="7.799208404E9"/>
        <s v="832 837 8624"/>
        <n v="9.400053063E9"/>
        <s v="95382 15301"/>
        <n v="9.500619904E9"/>
        <n v="9.247100786E9"/>
        <n v="9.493304525E9"/>
        <n v="9.840561868E9"/>
        <n v="9.63747578E9"/>
        <n v="8.712248966E9"/>
        <n v="9.053247967E9"/>
        <n v="8.897928087E9"/>
        <s v="970420 4592"/>
        <s v="836700 7137"/>
        <n v="8.801925991E9"/>
        <s v="8102 839 784"/>
        <s v="951 575 8788"/>
        <s v="9912 340 407"/>
        <n v="9.573462351E9"/>
        <s v="9618 09 6343"/>
        <n v="8.97874752E9"/>
        <n v="9.16724049E9"/>
        <s v="9949 838 582"/>
        <n v="9.390077903E9"/>
        <s v="7406 46642"/>
        <n v="7.406466642E9"/>
        <s v="8096 234 311"/>
        <s v="8790 689 367"/>
        <n v="7.660889977E9"/>
        <n v="9.133711711E9"/>
        <n v="8.317528467E9"/>
        <n v="8.0742365E9"/>
        <n v="7.981900413E9"/>
        <n v="9.989547754E9"/>
        <n v="7.032362999E9"/>
        <n v="9.154051768E9"/>
        <n v="6.302764631E9"/>
        <n v="8.639337298E9"/>
        <n v="9.39138984E9"/>
        <n v="9.885869143E9"/>
        <n v="8.143603999E9"/>
        <n v="6.30477213E9"/>
        <n v="7.702484488E9"/>
        <n v="9.3938748E9"/>
        <n v="9.5535255E9"/>
        <n v="9.640241237E9"/>
        <n v="9.247109555E9"/>
        <n v="8.617755298E9"/>
        <n v="8.096631022E9"/>
        <n v="7.207477577E9"/>
        <n v="9.542781785E9"/>
        <n v="6.300043595E9"/>
        <n v="8.099941233E9"/>
        <n v="8.074223013E9"/>
        <n v="7.981933914E9"/>
        <n v="9.603123374E9"/>
        <n v="6300.0"/>
        <n v="8.143117473E9"/>
        <n v="9.247499482E9"/>
        <n v="9.959838242E9"/>
        <n v="6.307547076E9"/>
        <n v="8.074010978E9"/>
        <n v="6.281968245E9"/>
        <n v="9.15422602E9"/>
        <n v="7.841881125E9"/>
        <n v="9.39181173E9"/>
        <n v="9.00000965E9"/>
        <n v="9.059457021E9"/>
        <n v="7.995719834E9"/>
        <n v="9.642274228E9"/>
        <n v="9.84970953E8"/>
        <n v="8.91904832E9"/>
        <n v="9.9518525E9"/>
        <n v="9.010089099E9"/>
        <n v="7.730072371E9"/>
        <n v="8.019347999E9"/>
        <n v="9.030000622E9"/>
        <n v="9.701959365E9"/>
        <n v="9.00023939392E11"/>
        <s v="Rajnikant "/>
        <n v="7.058580596E9"/>
        <n v="9.154323333E9"/>
        <s v="0000"/>
        <n v="9.381789995E9"/>
        <n v="9.79412788E9"/>
        <n v="8.37457252E9"/>
        <n v="9.583618255E9"/>
        <n v="9.515736223E9"/>
        <n v="9.000939335E9"/>
        <n v="9.642302809E9"/>
        <n v="7.396928999E9"/>
        <s v="73963 68972"/>
        <n v="6.30097803E9"/>
        <n v="9.948562177E9"/>
        <n v="8.142488588E9"/>
        <n v="8.096301302E9"/>
        <n v="7.893787203E9"/>
        <n v="9.550955064E9"/>
        <n v="8.897389987E9"/>
        <n v="8.121340883E9"/>
        <n v="7.020226949E9"/>
        <n v="9.49473281E8"/>
        <s v="+91 73373 09794"/>
        <n v="9.705995817E9"/>
        <n v="9.494739281E9"/>
        <n v="0.0"/>
        <n v="8.977779072E9"/>
        <n v="9.866650027E9"/>
        <n v="9.966118848E9"/>
        <n v="8.008783939E9"/>
        <n v="8.179777635E9"/>
        <n v="7.995520794E9"/>
        <n v="8.978265222E9"/>
        <n v="8.007452222E9"/>
        <s v="80080 49249"/>
        <s v="99801 02334"/>
        <n v="6.28181763E9"/>
        <n v="9.963696969E9"/>
        <n v="8.00831909E9"/>
        <s v="95051 54858"/>
        <s v="99490 72220"/>
        <n v="9.000777275E9"/>
        <n v="9.063076187E9"/>
        <n v="8.688612955E9"/>
        <n v="9.370982719E9"/>
        <s v="8008350423/6300700000"/>
        <n v="7.207206239E9"/>
        <n v="6.300044131E9"/>
        <n v="8.179622604E9"/>
        <s v="83099 70801"/>
        <n v="7.893354044E9"/>
        <n v="7.893777231E9"/>
        <n v="9.502201776E9"/>
        <n v="9.1002255E9"/>
        <n v="6.304257429E9"/>
        <n v="9.441166869E9"/>
        <n v="9.8859885001581E13"/>
        <n v="8.790072864E9"/>
        <n v="9.989981294E9"/>
        <n v="9.1600061E9"/>
        <n v="9.912104569E9"/>
        <n v="9.000003851E9"/>
        <n v="9.885649456E9"/>
        <n v="6.304208062E9"/>
        <n v="9.654295135E9"/>
        <n v="9.14067331122E11"/>
        <n v="8.374223982E9"/>
        <n v="9.959968514E9"/>
        <n v="7.681877271E9"/>
        <n v="8.121685645E9"/>
        <n v="9.032833756E9"/>
        <n v="6.39410162E9"/>
        <n v="9.014113139E9"/>
        <n v="6.30370215E9"/>
        <n v="7.386013565E9"/>
        <n v="8.341379379E9"/>
        <n v="9.705659494E9"/>
        <n v="9.573318519E9"/>
        <n v="6.30959061E9"/>
        <s v="+916304551271"/>
        <n v="9.666674299E9"/>
        <n v="7.013883666E9"/>
        <n v="9.96665808E9"/>
        <n v="9.44004922E9"/>
        <n v="9.912733258E9"/>
        <n v="9.640067678E9"/>
        <n v="7.995740832E9"/>
        <n v="8.88612008E9"/>
        <n v="7.993346699E9"/>
        <n v="9.38265312E9"/>
        <n v="8.886363573E9"/>
        <n v="9.1775858E9"/>
        <n v="9.866983997E9"/>
        <s v="+916284003952"/>
        <n v="8.125178871E9"/>
        <n v="9.50275210663035E19"/>
        <n v="8.639727263E9"/>
        <n v="8.074507215E9"/>
        <n v="9.441162225E9"/>
        <n v="9.61854168E9"/>
        <n v="8.179825296E9"/>
        <n v="999.0"/>
        <n v="8.121825518E9"/>
        <n v="9.686943703E9"/>
        <s v="9394 141282"/>
        <n v="9.394141282E9"/>
        <s v="00000"/>
        <n v="9.833858958E9"/>
        <n v="7.993021641E9"/>
        <n v="6.301481281E9"/>
        <n v="7.032209668E9"/>
        <n v="9.177844625E9"/>
        <n v="7.032209667E9"/>
        <n v="9.866305976E9"/>
        <n v="9.391777337E9"/>
        <n v="8.099706321E9"/>
        <n v="8.247717177E9"/>
        <n v="9.100425287E9"/>
        <n v="6.281371177E9"/>
        <n v="9.133944255E9"/>
        <n v="9.550514455E9"/>
        <n v="8.919621196E9"/>
        <n v="9.440340854E9"/>
        <n v="8.886775599E9"/>
        <n v="9.246526606E9"/>
        <n v="9.84863319E9"/>
        <n v="9.849399807E9"/>
        <n v="6.301560085E9"/>
        <n v="7.993472121E9"/>
        <n v="9.989188881E9"/>
        <n v="8.977656268E9"/>
        <n v="8.886333304E9"/>
        <n v="6.289616585E9"/>
        <s v="90001 60480"/>
        <n v="9.34768181E9"/>
        <n v="9.908336133E9"/>
        <s v="+91 8074 742 850"/>
        <n v="7.090567395E9"/>
        <s v="98852 14121"/>
        <n v="8.686943703E9"/>
        <n v="9.700112955E9"/>
        <n v="9.177944625E9"/>
        <n v="8.019924037E9"/>
        <n v="9.0722188E9"/>
        <n v="9.701049241E9"/>
        <n v="9.393316686E9"/>
        <s v="94402 21946"/>
        <n v="9.030079776E9"/>
        <n v="9.160602449E9"/>
        <n v="9.985151185E9"/>
        <s v=" 97041 41884"/>
        <n v="9.703736799E9"/>
        <n v="9.010022442E9"/>
        <n v="8.328283516E9"/>
        <n v="8.309232321E9"/>
        <n v="8.131917627E9"/>
        <n v="9.29324515E9"/>
        <n v="7.89305309E9"/>
        <s v="78930 5309 0"/>
        <n v="6.301730136E9"/>
        <s v="9391 007 154"/>
        <n v="9.177712111E9"/>
        <n v="7.207092756E9"/>
        <n v="9.966440312E9"/>
        <n v="8.885442441E9"/>
        <n v="7.993012727E9"/>
        <n v="7.767042422E9"/>
        <s v="8392898004‬"/>
        <n v="8.886331102E9"/>
        <n v="9.949390399E9"/>
        <n v="9.10017709E9"/>
        <s v="+91 99009 42019"/>
        <s v="+91 82478 37141"/>
        <n v="9.028234693E9"/>
        <n v="7.396680184E9"/>
        <n v="8.897966743E9"/>
        <n v="9.938380231E9"/>
        <n v="8.977797797E9"/>
        <n v="9.010031068E9"/>
        <n v="9.032730504E9"/>
        <n v="9.090070708E9"/>
        <n v="8.016963924E9"/>
        <n v="7.989456218E9"/>
        <n v="9.398294016E9"/>
        <n v="7.981177252E9"/>
        <n v="9.700131887E9"/>
        <n v="8.074527844E9"/>
        <n v="9.550551971E9"/>
        <n v="9.912667177E9"/>
        <n v="9.885343999E9"/>
        <n v="8.688546247E9"/>
        <n v="9.440860933E9"/>
        <n v="7.989953036E9"/>
        <n v="8.125641626E9"/>
        <n v="6.301174005E9"/>
        <n v="8.328632386E9"/>
        <n v="9.030272322E9"/>
        <n v="9.613056789E9"/>
        <n v="9.64249749E9"/>
        <n v="9.398196192E9"/>
        <n v="9.347368545E9"/>
        <n v="8.55509073E9"/>
        <n v="9.96600676E9"/>
        <n v="9.398163983E9"/>
        <n v="8.498938264E9"/>
        <n v="9.494569463E9"/>
        <n v="7.075997535E9"/>
        <n v="9.96625404E9"/>
        <n v="7.036356575E9"/>
        <n v="9.100267638E9"/>
        <n v="9.177050547E9"/>
        <n v="9.642140555E9"/>
        <n v="8.885040804E9"/>
        <n v="6.300227403E9"/>
        <n v="9.030058654E9"/>
        <s v="+91 6281 334 972"/>
        <n v="9.014757764E9"/>
        <n v="9.346411788E9"/>
        <n v="9.502247618E9"/>
        <n v="7.660939863E9"/>
        <n v="7.981113402E9"/>
        <n v="9.000373041E9"/>
        <n v="9.700116661E9"/>
        <n v="8.297740515E9"/>
        <n v="8.347797111E9"/>
        <n v="9.06467356E9"/>
        <n v="8.247031311E9"/>
        <n v="9.66622946E9"/>
        <s v="+91 73517 33579"/>
        <n v="9.246824449E9"/>
        <n v="9.103239869E9"/>
        <s v="Sai Kumar"/>
        <s v="+91 83297 23627"/>
        <n v="9.915448817E9"/>
        <s v="+91 6289 242 080"/>
        <n v="9.949391723E9"/>
        <n v="9.615650066E9"/>
        <n v="8.3333936696E10"/>
        <s v="7816-007219"/>
        <n v="9.94899904E9"/>
        <n v="9.381475016E9"/>
        <n v="8.977725647E9"/>
        <n v="9.963027222E9"/>
        <n v="7.013437054E9"/>
        <n v="7.013324055E9"/>
        <n v="9.010130464E9"/>
        <n v="9.133979236E9"/>
        <n v="9.014527193E9"/>
        <n v="7.893253733E9"/>
        <n v="9.908775555E9"/>
        <n v="9.703988539E9"/>
        <n v="9.287878779E9"/>
        <n v="8.790049756E9"/>
        <n v="8.121271982E9"/>
        <n v="9.398293706E9"/>
        <n v="9.347072802E9"/>
        <n v="8.328135391E9"/>
        <n v="9.986881566E9"/>
        <n v="8.328177189E9"/>
        <n v="7.842712111E9"/>
        <n v="9.392482884E9"/>
        <n v="8.074023731E9"/>
        <n v="8.019889606E9"/>
        <n v="9.393935407E9"/>
        <n v="9.110781474E9"/>
        <n v="7.799678883E9"/>
        <n v="9.9558546E8"/>
        <n v="9.490422404E9"/>
        <n v="9.059524358E9"/>
        <n v="7.816087272E9"/>
        <n v="9.100735996E9"/>
        <n v="8.978565854E9"/>
        <n v="8.978565845E9"/>
        <n v="8.886466857E9"/>
        <n v="9.553442334E9"/>
        <n v="9.70107248E8"/>
        <s v="not shared"/>
        <n v="9.121377727E9"/>
        <n v="8.247679019E9"/>
        <n v="6.281419251E9"/>
        <n v="8.80006609E10"/>
        <s v="83297 23627"/>
        <s v="6289 616 585"/>
        <n v="6.303556689E9"/>
        <n v="9.739852103E9"/>
        <n v="9.398380469E9"/>
        <n v="9.64250262E9"/>
        <n v="9.67615422E9"/>
        <n v="8.106872005E9"/>
        <n v="9.17781711E8"/>
        <n v="9.100028909E9"/>
        <n v="7.337595099E9"/>
        <n v="8.790330858E9"/>
        <n v="9.849869084E9"/>
        <n v="9.505032225E9"/>
        <n v="6.30343949E9"/>
        <n v="6.305683109E9"/>
        <n v="7.411228981E9"/>
        <n v="9.381305084E9"/>
        <s v="96578 78910"/>
        <s v="99590 84726"/>
        <s v="+91 91602 65654"/>
        <n v="8.886044412E9"/>
        <n v="9.989090291E9"/>
        <n v="9.494406167E9"/>
        <n v="9.908312934E9"/>
        <s v="9542891111n"/>
        <n v="9.901990454E9"/>
        <s v="98486 83819"/>
        <n v="9.963082999E9"/>
        <n v="9.392726661E9"/>
        <n v="7.989325546E9"/>
        <n v="6.30195308E8"/>
        <n v="8.600620057E9"/>
        <n v="7.095822597E9"/>
        <n v="9.652750853E9"/>
        <n v="9.094642222E9"/>
        <s v="90946 422 22"/>
        <n v="8.019112034E9"/>
        <n v="9.032785954E9"/>
        <n v="9.959966551E9"/>
        <n v="9.95585646E9"/>
        <n v="9.391713197E9"/>
        <n v="9.24621305E9"/>
        <n v="6.303141544E9"/>
        <n v="9.948407679E9"/>
        <n v="7.680950847E9"/>
        <n v="7.674800999E9"/>
        <s v="+91 99805 05056"/>
        <n v="8.885727679E9"/>
        <n v="9.951343434E9"/>
        <s v="+91 99495 38044"/>
        <n v="9.154181471E9"/>
        <n v="8.688880266E9"/>
        <n v="7.993924605E9"/>
        <n v="9.908393938E9"/>
        <n v="9.703174809E9"/>
        <n v="9.9637979E9"/>
        <s v="81253 97376"/>
        <s v="81254 01252"/>
        <n v="9.949098489E9"/>
        <n v="8.019112033E9"/>
        <s v="+91 96662 67966"/>
        <s v="87909 15541"/>
        <n v="9.618033021E9"/>
        <n v="7.569105214E9"/>
        <n v="9.666313134E9"/>
        <n v="9.010000086E9"/>
        <n v="9.959610369E9"/>
        <n v="7.396234446E9"/>
        <n v="9.885747504E9"/>
        <s v="93221 89858"/>
        <n v="9.154999897E9"/>
        <s v="88758 40852"/>
        <n v="9.347536751E9"/>
        <n v="9.182984761E9"/>
        <n v="8.801417049E9"/>
        <n v="9.989859992E9"/>
        <n v="8.297858217E9"/>
        <n v="6.301944159E9"/>
        <n v="8.686503599E9"/>
        <n v="9.01405136E9"/>
        <n v="8.8018589E9"/>
        <s v="88014 17049"/>
        <n v="9.701997097E9"/>
        <n v="9.652727251E9"/>
        <n v="9.550045222E9"/>
        <s v="78937 79377"/>
        <n v="9.652233332E9"/>
        <n v="7.032537092E9"/>
        <n v="9.849847665E9"/>
        <n v="8.328047934E9"/>
        <n v="7.981958799E9"/>
        <n v="7.780194279E9"/>
        <s v="+91 99516 98337"/>
        <n v="9.177056777E9"/>
        <n v="9.352613128E9"/>
        <s v="+91 96760 99330"/>
        <n v="9.989762336E9"/>
        <n v="9.849794341E9"/>
        <n v="8.374165833E9"/>
        <n v="8.008712749E9"/>
        <n v="7.680960113E9"/>
        <n v="9.95901137E9"/>
        <n v="7.981180887E9"/>
        <n v="8.125401252E9"/>
        <n v="7.569171589E9"/>
        <n v="9.603039045E9"/>
        <n v="9.177781711E9"/>
        <n v="9.966887205E9"/>
        <n v="9.703972766E9"/>
        <n v="9.885748057E9"/>
        <n v="9.985294783E9"/>
        <n v="9.3910197604E10"/>
        <n v="7.989506022E9"/>
        <n v="8.885303345E9"/>
        <n v="8.801729791E9"/>
        <n v="9.347762647E9"/>
        <n v="9.652374967E9"/>
        <s v="prasad"/>
        <n v="9.100086888E9"/>
        <n v="9.392458705E9"/>
        <n v="7.397400542E9"/>
        <n v="8.1795347E9"/>
        <n v="9.030944113E9"/>
        <n v="6.300703058E9"/>
        <n v="8.4660342E9"/>
        <n v="9.849183812E9"/>
        <n v="9.030785244E9"/>
        <n v="9.849555522E9"/>
        <s v="93431 02102"/>
        <s v="99495 95361"/>
        <n v="7.396581234E9"/>
        <n v="9.948859827E9"/>
        <n v="9.13169973E9"/>
        <n v="6.301975575E9"/>
        <n v="8.125638358E9"/>
        <n v="9.831175306E9"/>
        <n v="8.686464689E9"/>
        <n v="6.281337544E9"/>
        <n v="9.700603719E9"/>
        <n v="9.177813356E9"/>
        <s v="+91 81437 77074"/>
        <s v="99635 72323"/>
        <n v="9.13399102E9"/>
        <n v="7.097575173E9"/>
        <n v="9.95885047E9"/>
        <n v="9.963612578E9"/>
        <n v="9.573281025E9"/>
        <n v="9.398645876E9"/>
        <n v="9.15489371E9"/>
        <n v="8.019975006E9"/>
        <n v="7.780181321E9"/>
        <n v="8.008645443E9"/>
        <n v="9.989445803E9"/>
        <s v="70082 64218"/>
        <n v="8.125638368E9"/>
        <n v="9.985690739E9"/>
        <s v="87122 20229"/>
        <n v="8.978532143E9"/>
        <n v="6.36198949E9"/>
        <s v=" 70082 64218"/>
        <s v="+91 70930 10756"/>
        <s v="+91 90599 77899"/>
        <n v="9.392580216E9"/>
        <n v="7.760502088E9"/>
        <n v="8.143777074E9"/>
        <s v="+91 75692 84401"/>
        <s v="7680-825252"/>
        <s v="89786 26202"/>
        <s v="‪+91 97393 68004‬"/>
        <n v="8.303445729E9"/>
        <n v="9.396420235E9"/>
        <s v="Devaraj"/>
        <n v="8.9784063E8"/>
        <s v=" 83094 44830"/>
        <n v="9.177015185E9"/>
        <s v=" 98666 87976"/>
        <n v="7.799810105E9"/>
        <n v="7.601018276E9"/>
        <n v="8.106599233E9"/>
        <n v="8.919308595E9"/>
        <s v="+91 94944 33673"/>
        <s v="Ba"/>
        <n v="9.989016111E9"/>
        <n v="9.014794304E9"/>
        <n v="9.392583121E9"/>
        <n v="9.705805877E9"/>
        <n v="9.390851792E9"/>
        <n v="9.100692616E9"/>
        <n v="9.666368516E9"/>
        <n v="9.505976437E9"/>
        <n v="9.700651582E9"/>
        <n v="7.671075758E9"/>
        <n v="9.948711846E9"/>
        <n v="9.121417638E9"/>
        <n v="9.000200207E9"/>
        <n v="9.353196139E9"/>
        <n v="6.305311698E9"/>
        <n v="8.897575075E9"/>
        <n v="9.230997403E9"/>
        <n v="9.90370419E9"/>
        <n v="8.686506624E9"/>
        <n v="8.688820076E9"/>
        <n v="7.675017029E9"/>
        <n v="9.398262097E9"/>
        <s v="95029 22661"/>
        <s v="90008 90590"/>
        <n v="9.03501996E8"/>
        <n v="9.133277966E9"/>
        <s v="94930 41116"/>
        <n v="7.794963658E9"/>
        <n v="7.032536269E9"/>
        <n v="8.143334411E9"/>
        <n v="8.46686234E9"/>
        <n v="7.20771366E9"/>
        <n v="8.374917077E9"/>
        <n v="6.281752314E9"/>
        <n v="8.121677227E9"/>
        <n v="6.38397829E9"/>
        <n v="7.39660009E9"/>
        <s v="M.K.V Swamy"/>
        <n v="9.000314794E9"/>
        <n v="8.97840633E9"/>
        <s v="Ma"/>
        <s v="Nq"/>
        <n v="9.502922661E9"/>
        <n v="9.00089059E9"/>
        <n v="9.581009911E9"/>
        <n v="9.390573556E9"/>
        <s v="9137155871/4 "/>
        <n v="8.867857222E9"/>
        <s v="+91 81139 61718"/>
        <n v="9.06357174E9"/>
        <n v="9.866609233E9"/>
        <n v="7.799456778E9"/>
        <n v="7.801043438E9"/>
        <n v="8.333802404E9"/>
        <n v="9.550997309E9"/>
        <n v="8.530280062E9"/>
        <n v="8.125063777E9"/>
        <n v="9.908889944E9"/>
        <n v="9.059693328E9"/>
        <n v="9.985876885E9"/>
        <n v="9.632710669E9"/>
        <n v="9.911990304E9"/>
        <n v="9.666659779E9"/>
        <n v="9.030090088E9"/>
        <n v="9.948476572E9"/>
        <n v="8.501088773E9"/>
        <n v="7.386840498E9"/>
        <s v="+91 94262 32828"/>
        <n v="9.33319125E8"/>
        <n v="9.989686953E9"/>
        <n v="9.959357179E9"/>
        <n v="9.059435788E9"/>
        <n v="9.429803735E9"/>
        <n v="9.988557288E9"/>
        <n v="9.959666113E9"/>
        <n v="9.959545449E9"/>
        <n v="8.790664378E9"/>
        <n v="9.866536396E9"/>
        <n v="8.978607478E9"/>
        <n v="9.866307741E9"/>
        <s v="N"/>
        <n v="9.866986194E9"/>
        <n v="9.885484224E9"/>
        <n v="9.000620666E9"/>
        <n v="9.030023124E9"/>
        <n v="9.985515133E9"/>
        <n v="9.346198983E9"/>
        <n v="8.686972783E9"/>
        <n v="7.799550044E9"/>
        <n v="9.959973064E9"/>
        <n v="8.977033476E9"/>
        <n v="8.885000505E9"/>
        <n v="7.975376382E9"/>
        <n v="7.989218677E9"/>
        <n v="6.281926349E9"/>
        <n v="7.680825252E9"/>
        <n v="7.347413137E9"/>
        <n v="9.390353857E9"/>
        <n v="9.160002E9"/>
        <n v="9.885166652E9"/>
        <n v="9.052685685E9"/>
        <n v="9.642888994E9"/>
        <n v="6.302303453E9"/>
        <s v="+91 99852 27540"/>
        <n v="9.959740131E9"/>
        <n v="9.908396763E9"/>
        <n v="9.550014444E9"/>
        <n v="9.490334499E9"/>
        <n v="8.885552082E9"/>
        <s v="70753 76903"/>
      </sharedItems>
    </cacheField>
    <cacheField name="Email- ID (POC-1)">
      <sharedItems containsBlank="1" containsMixedTypes="1" containsNumber="1" containsInteger="1">
        <m/>
        <s v="parul986@gmail"/>
        <s v="Bhuvan’skitchen25@gmail.com"/>
        <s v="na"/>
        <s v="sheshasai@gmail.com"/>
        <s v="bowlrise.srnagar@gmail.com"/>
        <s v="nsantosh086@gmail.com"/>
        <s v="bowlrise.srnagar@gmail.com "/>
        <s v="rayalseemaspice@gmail.com"/>
        <s v="cakash121@gmail.com"/>
        <s v="shiva@gmail.com"/>
        <s v="thehumanspice@gmail.com"/>
        <s v="krishnateeram2025@gmail.com"/>
        <s v="didnt recevied"/>
        <s v="no details"/>
        <s v="didnt received"/>
        <s v="didnt provided"/>
        <s v="didnt got mail"/>
        <s v="ya6822534@gmail.com"/>
        <s v="-"/>
        <s v="knowclubandkitchen@gmail.com"/>
        <s v="khuddushussian7@gmail.com"/>
        <s v="bidhaniyasony@gmail.com"/>
        <s v="ak.8977.ak@gmail.com"/>
        <s v="anandbhavanmess@gmail.com"/>
        <s v="smashcity.bk2025@gmail.com"/>
        <s v="brewcommunecafe@gmail.com"/>
        <s v="CAFEREELS@GMAIL.COM"/>
        <s v="amer786khan@gmail.com"/>
        <s v="flavourbiryanicafe9@gmail.com"/>
        <s v="vishnuthapaaaa@gamil.com"/>
        <s v="rebalsaikumargoud@gmail.com"/>
        <s v="bmanjunathkotteri@gmail.com"/>
        <s v="dinesh.pedamallu@gmail.com"/>
        <s v="Mattaparthykanakshith@gmail.com"/>
        <s v="tkartheek.516@gmail.com"/>
        <s v="bhushankottavalasa@gmail.com"/>
        <s v="veerammagarivantillu@gmail.com"/>
        <s v="Yes"/>
        <s v="n/a"/>
        <s v="frostbakeryindia@gmail.com"/>
        <s v="Not given "/>
        <s v="Info@rayalaseemaruchulu.com"/>
        <s v="Not given"/>
        <s v="NA "/>
        <s v="sudheer2409@gmail.com"/>
        <s v="Addomkar@gmail.com"/>
        <s v="dhanyasideepakvarma@gmail.com"/>
        <s v="hsgsubhamgrand@gmail.com"/>
        <s v="Info@goodsparrow.in"/>
        <s v="info@goodsparroe.in"/>
        <s v="Naveen "/>
        <s v="Vjfoodprenures@gmail.com"/>
        <s v="Jaimaanukonda7@gmail.com"/>
        <s v="bakehousesns@gmail.com"/>
        <s v="mohdilyas13@gmail.com"/>
        <s v="faheen88977@gmail.com"/>
        <s v="Tipsytopsy1@gmail.com "/>
        <s v="punjabijunctionyf@gmail.com"/>
        <s v="Sohailmd990@gmail.com"/>
        <s v="emkreddy.19@gmail.com"/>
        <s v="Koduriskitchen@gmail.com"/>
        <s v="srichandrakakarla@gmail.com"/>
        <s v="Lead"/>
        <s v="velagapudi6@gmail.com"/>
        <s v="amoghacafe@gmail.com"/>
        <s v="c.sivakarthik@gmail.com"/>
        <s v="Info@omsreesaifoods.com"/>
        <s v="Ahsth"/>
        <s v="Ht"/>
        <s v="Arukhaflavours@gmail.com"/>
        <s v="sribhimavaramthali@gmail.com"/>
        <s v="kaaramthespicekitchen@gmail.com"/>
        <n v="33.0"/>
        <s v="Test"/>
        <s v="avinesh363@gmail.com"/>
        <s v="Rathodvenkat62@gmail.com"/>
        <s v="mohammedirfan5731@gmail.com"/>
        <s v="om.hrchyd@jsmcorp.in"/>
        <s v="lakshmisai349@gmail.com"/>
        <s v="padmakasa76@gmail.com"/>
        <s v="kothashok25@gmail.com"/>
        <s v="oakbistro0@gmail.com"/>
        <s v="sukant@udupi.com"/>
        <s v="vamsiprince94944@gmail.com"/>
        <s v="reeshav@pjhindia.com"/>
        <s v="sumit.bajaj@haldirams.com"/>
        <s v="Online@karachibakery"/>
        <s v="Bulliabbai@gmail.com"/>
        <s v="Balu.evana396@gmail.com"/>
        <s v="Gundavenuprakash74@gmail.com"/>
        <s v="sanjeev.mandal@marriott.com"/>
        <s v="Requested"/>
        <s v="dheeraj.prabhu@rbrandsasia.com"/>
        <s v="naveen@sweetsdude.in"/>
        <s v="gyandeep.singh@accor.com"/>
        <s v="dinesh.naidu@almondhouse.com"/>
        <s v="Vijjivo52@gmail.com"/>
        <s v="Sujit.atric@gmail.com"/>
        <s v="rfcoproductions@gmail.com"/>
        <s v="seventhheavenrestaurant1998@gmail.com"/>
        <s v="gm@whiskysambahyd.in"/>
        <s v="Msurana.ktm@gmail.com"/>
        <s v="Vardhan 2563@gmail.com"/>
        <s v="Syed Shah 509@gmail.com"/>
        <s v="South MD 28@gmail.com"/>
        <s v="Alisahil66636@gmail.com"/>
        <s v="Santhakam ruchulu@gmail.com"/>
        <s v="Ghadiyal Mohit 7@gmail.com"/>
        <s v="Sk.janbee@gmail.com"/>
        <s v="Aminuddin srinagar@gmail.com"/>
        <s v="Maheshdontham@gmail.com"/>
        <s v="Skjani19892@gmail.com"/>
        <s v="Priyamoff05@gmail.com"/>
        <s v="Murthysam07@gmail.com"/>
        <s v="Rajnikant@presidentdhaba.com"/>
        <s v="Rajnikant@presidentdhaba"/>
        <s v="Diksha@myfroyoland"/>
        <s v="Dinesh@natukitchen"/>
        <s v="Durga@gmail.com"/>
        <s v=" A"/>
        <s v=" Na"/>
        <s v="info@bilwa36.com"/>
        <s v="kothaashok25@gmail.com"/>
        <s v="aromabirayanispulaos@gmail.com"/>
        <s v="roopchand7545@gmail.Com"/>
        <s v="vellankifood89@gmail.com"/>
        <s v="Snakingcafe@gmail.com"/>
        <s v="afbm@rdhyderabad.com"/>
        <s v="kedar@maanhospitality.com"/>
        <s v="Gunjichandrashekar@gmail.com"/>
        <s v="care@manamchocolate.com"/>
        <s v="support@roasterycoffee.co.in"/>
        <s v="ankaiah85@gmail.com"/>
        <s v="www.alfamadreat.com"/>
        <s v="gmhpo@sarovarhotels.com"/>
        <s v="fbmgr.hyd@hotelgreenpark.com"/>
        <s v="Rajkumar@prost.in"/>
        <s v="thenawaabsrestaurant@gmail.com"/>
        <s v="Crispycorner0889@gmail.com"/>
        <s v="nrrajesh22@gmail.com"/>
        <s v="Jagadeeshnagothu88@gmail.com"/>
        <s v="cafe74tangos@gmail.com"/>
        <s v="avinash.pant@hyatt.com"/>
        <s v="Cocknbullhyd@gmail.com"/>
        <s v="Amarendranaidu@hotmail.com"/>
        <s v="madaramshailajak@gmail.com"/>
        <s v="snackbite.gachibowli@gmail.com"/>
        <s v="tulasinandan654@gmail.com"/>
        <s v="Gpsajju@gmail.com"/>
        <s v="sharan.peddinti@paradisefoodcourt.in"/>
        <s v="karan.mehra@absolute-barbecue.com"/>
        <s v="&quot;dheeraj.prabhu@rbrandsasia.com"/>
        <s v="edwin.debnath@itchotels.com"/>
        <s v="raunak.dungarwal@rbrandsasia.com"/>
        <s v="Chakri.kritunga@gmail.com"/>
        <s v="sadanand.yadav@curefoods.in"/>
        <s v="nehadsiddqi7@gmail.com"/>
        <s v="sohebmdy9@gmail.com"/>
        <s v="taazatiffinsbandlagudajagir@gmail.com"/>
        <s v="n"/>
        <s v="anukitchen2026@gmail.com"/>
        <s v="Not shared"/>
        <s v="Josh@cozyraga.com"/>
        <s v="agm.hrchitechcity@jsmts.in"/>
        <s v="chaitanya@icebergicecreams.com"/>
        <s v="zinia@shovona.com"/>
        <s v="mouryarestaurant2024@gmail.com"/>
        <s v="Vivek.koudlay@baskinrobbinsindia.com"/>
        <s v="Contact@thechamkila.com "/>
        <s v="chandanbharati9831@gmai.com"/>
        <s v="Not shared "/>
        <s v="Kakaralad@gmail.com"/>
        <s v="Sudheermunna056@gmail.com"/>
        <s v="naveengoodchat120@gmail.com"/>
        <s v="Info@nicehospitality.in"/>
        <s v="hamdanalguthmi1234@gmail.com"/>
        <s v="Nna"/>
        <s v="b4ushiva@gmail.com"/>
        <s v="nsa"/>
        <s v="wasimakram06052001@gmail.com"/>
        <s v="bhanuprakash.adabala@gmail.com"/>
        <s v="ampanagalakshmi5555@gmai.com"/>
        <s v="celebs.reloaded@gmail.com"/>
        <s v="srivegamabadeluxmess@gmail.com"/>
        <s v="qubzjntu@gmail.com "/>
        <s v="lickeestelangana@gmail.com"/>
        <s v="atlurifoods@gmail.com"/>
        <s v="acc.hitec@monndayhotels.com"/>
        <s v="Acc.gachibowli@mondayhotels.com"/>
        <s v="Rainbowfoods91@gmail.com"/>
        <s v="maskachaskaon@gamil.com"/>
        <s v="Ma"/>
        <s v="Nq"/>
        <s v="Na ki"/>
        <s v="ramsinghbanoth000@gmail.com"/>
        <s v="nalubola.arjun@gmail.com"/>
      </sharedItems>
    </cacheField>
    <cacheField name="Name (POC-2)" numFmtId="0">
      <sharedItems containsBlank="1">
        <m/>
        <s v="amit"/>
        <s v="NA"/>
        <s v="Jaspreet Singh"/>
        <s v="Yes"/>
        <s v="Rithik"/>
        <s v="Azeez"/>
        <s v="Avinash"/>
        <s v="8309-541582"/>
        <s v="Md.owais"/>
        <s v="Purushottam "/>
        <s v="lead"/>
        <s v="Dheeraj"/>
        <s v="Faizan"/>
        <s v="Rajan (Asst. Rest. Manager)"/>
        <s v="Surya (Cashier)"/>
        <s v="Amitava (Entry Manager)"/>
        <s v="Raju Samba"/>
        <s v="Pradeep (Shift Manager)"/>
        <s v="Syed Fouzan"/>
        <s v="Charanjit (Shift Manager)"/>
        <s v="Ravi Teja (Area Manager)"/>
        <s v="Brijesh Kumar"/>
        <s v="reference given by Miss Sandhya"/>
        <s v="Mr. Sahoo"/>
        <s v="Kabir (Shift Manager)"/>
        <s v="Mr. Jeet"/>
        <s v="Mukul (Shift Manager)"/>
        <s v="Ranjit (Shift Manager)"/>
        <s v="Mr Bala (Area Manager)"/>
        <s v="Tapas"/>
        <s v="Lavina( owner)"/>
        <s v="Rama"/>
        <s v="gopi "/>
        <s v="Muzzammil"/>
        <s v="Raj B"/>
        <s v="Raunak"/>
        <s v="Chakri "/>
        <s v="Ali Firoz"/>
        <s v="NEHAD SIDDIQI"/>
        <s v="Jagadeesh"/>
        <s v="Sai"/>
        <s v="Vinay"/>
        <s v="Sridevi"/>
      </sharedItems>
    </cacheField>
    <cacheField name="Contact Number (POC-2)">
      <sharedItems containsBlank="1" containsMixedTypes="1" containsNumber="1" containsInteger="1">
        <m/>
        <n v="7.896541232E9"/>
        <n v="9.848444396E9"/>
        <n v="9.95902031E9"/>
        <n v="4.785863578E9"/>
        <n v="685.0"/>
        <n v="67.0"/>
        <n v="8.847805035E9"/>
        <n v="9.985095605E9"/>
        <n v="7.977757237E9"/>
        <n v="1.0"/>
        <n v="9.866667E9"/>
        <n v="12.0"/>
        <n v="7.660912558E9"/>
        <n v="9.290643848E9"/>
        <s v="81234 01137"/>
        <n v="9.281054033E9"/>
        <n v="9.097949702E9"/>
        <n v="9.832874225E9"/>
        <n v="9.79481482E9"/>
        <n v="9.515868969E9"/>
        <n v="7.416690785E9"/>
        <n v="6.290172851E9"/>
        <n v="7.731019988E9"/>
        <n v="9.121165812E9"/>
        <n v="8.099420329E9"/>
        <n v="9.010023567E9"/>
        <n v="9.57334519E9"/>
        <n v="9.50277777E9"/>
        <n v="9.390442627E9"/>
        <n v="8.978211625E9"/>
        <n v="8.247534864E9"/>
        <n v="7.376299999E9"/>
        <n v="8.123401137E9"/>
        <n v="7.799678883E9"/>
        <n v="9.769343996E9"/>
        <n v="9.381475016E9"/>
        <s v="+919790747704"/>
        <n v="9.502041334E9"/>
        <n v="9.908013301E9"/>
      </sharedItems>
    </cacheField>
    <cacheField name="Email- ID (POC-2)" numFmtId="0">
      <sharedItems containsBlank="1">
        <m/>
        <s v="parul@gmail"/>
        <s v="NA"/>
        <s v="Yes"/>
        <s v="Vinod"/>
        <s v="Manager@prost.in  Exclusive@prost.in"/>
        <s v="raunak.dungarwal@rbrandsasia.com&quot;"/>
        <s v="dheeraj.prabhu@rbrandsasia.com"/>
        <s v="Chakri.kritunga@gmail.com"/>
        <s v="agm.hrchitechcity@jsmts.in"/>
        <s v="dheeraj.prabhu@rbrandsasia.com "/>
      </sharedItems>
    </cacheField>
    <cacheField name="Do you want to Submit Documents" numFmtId="0">
      <sharedItems containsBlank="1">
        <m/>
        <s v="Yes"/>
        <s v="No"/>
      </sharedItems>
    </cacheField>
    <cacheField name="FSSAI Number">
      <sharedItems containsBlank="1" containsMixedTypes="1" containsNumber="1" containsInteger="1">
        <m/>
        <n v="3589795.0"/>
        <s v="20251226108111377"/>
        <n v="1.3619013001993E13"/>
        <n v="2.36250300015E13"/>
        <n v="1.3625010001295E13"/>
        <n v="2.3625032003555E13"/>
        <n v="2.3624032003815E13"/>
        <n v="1.3623013001342E13"/>
        <n v="2.3625028001267E13"/>
        <n v="2.3625032004054E13"/>
        <n v="2.3625034003143E13"/>
        <n v="1.3622013001491E13"/>
        <n v="2.3625030002129E13"/>
        <n v="2.3625030004336E13"/>
        <n v="1.3622015000429E13"/>
        <n v="2.3622028000187E13"/>
        <s v="30260206123260477"/>
        <n v="1.3620011000085E13"/>
        <n v="2.3623028001095E13"/>
        <n v="2.3623028000252E13"/>
        <n v="2.3625030005083E13"/>
        <n v="2.3625030004696E13"/>
        <n v="1.3624011000338E13"/>
        <n v="2.362503200008E13"/>
        <n v="2.3625032007575E13"/>
        <n v="2.3625032006375E13"/>
        <n v="1.3626013000059E13"/>
        <n v="2.3626030000702E13"/>
        <n v="2.3621030003744E13"/>
        <n v="2.362503200784E13"/>
        <n v="2.3625032006338E13"/>
        <n v="2.3624032003894E13"/>
        <n v="1.3623013000736E13"/>
        <n v="2.3625032006654E13"/>
        <n v="1.3624011000865E13"/>
        <n v="2.3625032003822E13"/>
        <n v="1.362501300113E13"/>
        <n v="1.3625013000865E13"/>
        <n v="1.3623011000278E13"/>
        <n v="2.3625032007582E13"/>
        <n v="2.3626032000604E13"/>
        <n v="2.3624032003427E13"/>
        <n v="1.3624011001092E13"/>
        <n v="1.3618013000561E13"/>
        <n v="2.3625030004177E13"/>
        <n v="2.3625030001846E13"/>
        <n v="2.3625028004025E13"/>
        <n v="1.3625038000099E13"/>
        <n v="2.3625032003903E13"/>
        <s v="30260204123234536"/>
        <n v="2.3625030000684E13"/>
        <n v="2.3625030006925E13"/>
        <n v="2.3625030006936E13"/>
        <n v="2.362503000395E12"/>
        <s v="30260107122865276"/>
        <n v="1.362401300127E13"/>
        <n v="2.3624032004478E13"/>
        <n v="2.362402800172E13"/>
        <n v="2.3621028002247E13"/>
        <n v="2.3626034000477E13"/>
        <n v="2.3622028000835E13"/>
        <n v="2.362102800316E13"/>
        <n v="2.3626028000182E13"/>
        <n v="2.3626028000436E13"/>
        <n v="2.3624028001996E13"/>
        <n v="2.3625028004314E13"/>
        <n v="1.362501000016E13"/>
        <n v="2.3625032003808E13"/>
        <n v="2.362503200192E13"/>
        <n v="2.3621032002292E13"/>
        <n v="2.3625030005784E13"/>
        <n v="1.362401100025E13"/>
        <n v="236.0"/>
        <n v="2.3626030000081E13"/>
        <n v="2.3623030000703E13"/>
        <n v="2.3626030000759E13"/>
        <n v="1.3623011001549E13"/>
        <n v="2.3625030000123E13"/>
        <n v="2.3625030005242E13"/>
        <n v="2.3621030000064E13"/>
        <n v="2.362503200736E13"/>
        <s v="2362403270003467"/>
        <n v="1.3625013000918E13"/>
        <n v="2.3625032008581E13"/>
        <s v="23625 03200 5700"/>
        <n v="2.3625032007245E13"/>
        <n v="2.3625032008726E13"/>
        <n v="2.3625032008245E13"/>
        <n v="2.3625032007243E13"/>
        <n v="2.3625030003863E13"/>
        <s v="NA"/>
        <n v="2.3622032002896E13"/>
        <n v="2.3624032003115E13"/>
        <n v="2.3624032004909E13"/>
        <n v="2.3626030000551E13"/>
        <n v="2.3624032003078E13"/>
        <n v="2.3625032006946E13"/>
        <n v="2.3626032000549E13"/>
        <n v="2.3625032008397E13"/>
        <n v="2.3625032006945E13"/>
        <n v="2.3625030005167E13"/>
        <n v="2.3626033000369E13"/>
        <n v="2.3625032007321E13"/>
        <n v="2.3625032003365E13"/>
        <n v="2.3620030001763E13"/>
        <n v="2.3625032002303E13"/>
        <n v="2.3625032007439E13"/>
        <n v="2.3626032001133E13"/>
        <s v="30260214123371710"/>
        <n v="2.3624028002421E13"/>
        <n v="2.3625032007611E13"/>
        <n v="2.3625028000372E13"/>
        <n v="1.3625010000289E13"/>
        <n v="2.3626028000655E13"/>
        <n v="2.3626034000501E13"/>
        <s v="30250415119817237"/>
        <n v="2.3625030000153E13"/>
        <n v="2.362403200428E13"/>
        <n v="2.362503200372E13"/>
        <n v="2.3626028000632E13"/>
        <n v="2.362503200695E13"/>
        <n v="2.3625032008742E13"/>
        <n v="1.362301300051E13"/>
        <n v="2.3624030000025E13"/>
        <n v="1.362401000017E13"/>
        <n v="1.3622013001321E13"/>
        <n v="2.3626032001637E13"/>
        <n v="2.3626032001539E13"/>
        <n v="2.3625032001874E13"/>
        <n v="2.3626032001236E13"/>
        <n v="2.3623032002732E13"/>
        <n v="2.3626032001312E13"/>
        <s v="30251122122276873"/>
        <n v="2.3625032008215E13"/>
        <n v="2.3625032008557E13"/>
        <n v="2.3625030002496E13"/>
        <n v="2.3625032007391E13"/>
        <n v="1.3622013001786E13"/>
        <n v="2.3625032003923E13"/>
        <n v="2.3625032008333E13"/>
        <n v="2.3625032007679E13"/>
      </sharedItems>
    </cacheField>
    <cacheField name="fssai2" numFmtId="0">
      <sharedItems containsBlank="1">
        <m/>
        <s v="https://drive.google.com/open?id=1K2GAYdf9j8OoeRQJN7a2rrWNqrJv-Yr8"/>
        <s v="https://drive.google.com/open?id=1zQ8cp3_66Bhden1m6eXDLNsshBt8JXb3"/>
        <s v="https://drive.google.com/open?id=1jDd9udZkiYFM95E6qDnBXxB9dZAPA3Q6"/>
        <s v="https://drive.google.com/open?id=1p7jWoaNGA48ZsmXz8piawFvDD6h8MZPo"/>
        <s v="https://drive.google.com/open?id=19PGovlvYadreb67eUHeNKzrktgJO-8bX"/>
        <s v="https://drive.google.com/open?id=1O-A-ESorVgS21JbM9bD4LsPgYXHMCp0d"/>
        <s v="https://drive.google.com/open?id=16IQXYD4HTTgs7GCdBU6iPTmSXHfWlbQY"/>
        <s v="https://drive.google.com/open?id=12A0pBqsWeMNRgfr4-RewydCYL1MhGFzW"/>
        <s v="https://drive.google.com/open?id=1yUrIaR5y55zD2nSA-kJ0RTpJklMZhyOE"/>
        <s v="https://drive.google.com/open?id=1eq2DvTRrEKjx7F39onOqBAWekTlxGmlf"/>
        <s v="https://drive.google.com/open?id=1FDLfrP2vE0w4X7UHEaSFNcpu27KdfG4j"/>
        <s v="https://drive.google.com/open?id=1M7jn0BGrwdxzFH55n7AA8m6MyWVZRx1z"/>
        <s v="https://drive.google.com/open?id=1uEv1SbghR4V6SRNuV_W5cWmXTxOGaOTk"/>
        <s v="https://drive.google.com/open?id=1jlS2uzGgdXIiBFtKTniOqZcQQP1Def9B"/>
        <s v="https://drive.google.com/open?id=1XHti40Q6rcjbNTd4338mnP-gp5zYiTTo"/>
        <s v="https://drive.google.com/open?id=1GwUWxdepNWvDVaZTDr0zsGPPIuKR_QoL"/>
        <s v="https://drive.google.com/open?id=1hhJ4HCs3cnLc731dz0ty_EzVSMGi6q8m"/>
        <s v="https://drive.google.com/open?id=1aZgR-8WQbSPhz8kdHLDR2naTnc3fOi42"/>
        <s v="https://drive.google.com/open?id=1sAnOS-klkKNxUHLQQA1nebfrNs7UHF3f"/>
        <s v="https://drive.google.com/open?id=1S1WlPojpvf1raedXv-niWA3UjYFTUlk5"/>
        <s v="https://drive.google.com/open?id=1yf9M7K7UhdTNA3TQu2NOSU6PrAh13spn"/>
        <s v="https://drive.google.com/open?id=1AlxCOdJ1Za0jZBdQ3zWZHURu3hmd6ii2"/>
        <s v="https://drive.google.com/open?id=1-8lOUY6jgkJa66YVEByy-q1eWlWTl5rK"/>
        <s v="https://drive.google.com/open?id=1DlC2bj1dFOqdVO20DL-nBeSxxMLICMpI"/>
        <s v="https://drive.google.com/open?id=1-Dl1aiT5Ad0HRsUNS4BdokXeybknF0vr"/>
        <s v="https://drive.google.com/open?id=1TyQ5VyQoYOXBgO6bKGNQK8FFz5yUt2Nw"/>
        <s v="https://drive.google.com/open?id=1f4MJPvzkVHBffgC4W0BlFcwQrLXPEzPq"/>
        <s v="https://drive.google.com/open?id=1rHTW-WZBcmBuGCZkK9YDvq-bRkFEbAAL"/>
        <s v="https://drive.google.com/open?id=1fGbSlo6SQePsw9IXCKG5RYAxMZoOHZ-d"/>
        <s v="https://drive.google.com/open?id=1oKV_3cQoMNE-A5xCKoHVszsAgIot6crY"/>
        <s v="https://drive.google.com/open?id=176ECpGpxZDmqD8I_vWbXX5K-YBZRlh3A"/>
        <s v="https://drive.google.com/open?id=1FPCiNB0YBRTLIUvuT9773zFtJI3rUXLv"/>
        <s v="https://drive.google.com/open?id=1_pVvhL8ftMgUTL7yMtxYmWWO7q2tGY8Y"/>
        <s v="https://drive.google.com/open?id=1h3_DBVEvIMkLFlPtsfWS18CSpghzWTn2"/>
        <s v="https://drive.google.com/open?id=1Z-lRC1l3IL3T3kyON-FcG7O_JcxZeZJF"/>
        <s v="https://drive.google.com/open?id=14aiEgHPTLKqKHTq6XSwqDEBE2xAfhvkI"/>
        <s v="https://drive.google.com/open?id=1RXkZ-moPk64eEHlh8LGIRgU1nGyi4Hm-"/>
        <s v="https://drive.google.com/open?id=1nFJkCl5MASyahmgFBFpfuuaFmGwr4WfO"/>
        <s v="https://drive.google.com/open?id=1LLEJekJcTxrNm2QagzhMxqyDXOWjpyCP"/>
        <s v="https://drive.google.com/open?id=1UlTTQTrZr1eADuCSZrV_BPpaH4jLCq_v"/>
        <s v="https://drive.google.com/open?id=1mlYB2ikwWJ-JF1B6rw17HV_R-3hmedEX"/>
        <s v="https://drive.google.com/open?id=1dzCPMgBk7v1BOPqjGbCpJvxzaj3B5s04"/>
        <s v="https://drive.google.com/open?id=1tUv-8B6zLHP5QCXxzN1yLw_QwqmSiAES"/>
        <s v="https://drive.google.com/open?id=1PdI1UU9f5OPowNVgD7fReE2oDtxxx4Mn"/>
        <s v="https://drive.google.com/open?id=1QmWrK_rT287ulHBndycSFpNyv3pFYCxb"/>
        <s v="https://drive.google.com/open?id=1OhYuUPJZtUt9ADEJV6NmHD-6_CD-YagI"/>
        <s v="https://drive.google.com/open?id=1W5DvnQWJlR0kGJulI7-q7OPepzyaL_ZD"/>
        <s v="https://drive.google.com/open?id=17M8j3mFhZFG3wU77l4cQMHYhXq8pD0tH"/>
        <s v="https://drive.google.com/open?id=1bOdmrQWowW-khG2i25-X3I8JS1GVT-FV"/>
        <s v="https://drive.google.com/open?id=1lRsfS8PW2rGv9OdqTH2xf99j_u_nNw-E"/>
        <s v="https://drive.google.com/open?id=15LQNQwFCSmtoa-ANPNjSw85OKSSf_V4h"/>
        <s v="https://drive.google.com/open?id=1bYYNkuI4klJFNRxozmqIxILvA32fXEGy"/>
        <s v="https://drive.google.com/open?id=1Y2r1fJ76bZRYNZ76UjnNFLyBLdtVuebW"/>
        <s v="https://drive.google.com/open?id=1lckDHfTyIZ5yB82IYRdKjbdKZl3Jc_jX"/>
        <s v="https://drive.google.com/open?id=1yxAcSsnzIiU3Ql7cs-2Q1mpsTEeB95JQ"/>
        <s v="https://drive.google.com/open?id=1Y4KiVuvKsiEij0pmuN9chObs0R6zRWix"/>
        <s v="https://drive.google.com/open?id=1MLUUMknW2eGLiMy4-2efmMrFgAz1nhYH"/>
        <s v="https://drive.google.com/open?id=1E0YyvYuvkww1Vl4LmBKqT1b-yVnr6XXq"/>
        <s v="https://drive.google.com/open?id=1WyRpq7Y9UlNtgHY06tO1Rf-kj6bCjxqg"/>
        <s v="https://drive.google.com/open?id=1d95a7vRIcXsPASPsC4bzqOyFhSVR4OSZ"/>
        <s v="https://drive.google.com/open?id=1EXRoLkUeVUy1NFPvVCPy0gMxGzevA2zB"/>
        <s v="https://drive.google.com/open?id=1HrStDjCgHTofQeCbOBlxQbgfOzFz-65r"/>
        <s v="https://drive.google.com/open?id=1f5YEmi8R5RjXfuitMzBruEY8OzIZ72t8"/>
        <s v="https://drive.google.com/open?id=1WXzJB5jAq-ErFkqRSFDqCwMunYuUzXes"/>
        <s v="https://drive.google.com/open?id=1RqIgGbKdS7V0393jSefvmGbOHW9VQV1S"/>
        <s v="https://drive.google.com/open?id=1aG-dLFSw3LpAi8pn-Qwq1DOev6gi8frp"/>
        <s v="https://drive.google.com/open?id=1fxLJs5jB-xpQQqYcyKiJa9ow9u28RGf_"/>
        <s v="https://drive.google.com/open?id=1Bs5j9AK0RG5Hl2wupt4lloyhDgXIhyxN"/>
        <s v="https://drive.google.com/open?id=15OcZoL691OxDeIQUq7hxTLlVkESpAFxU"/>
        <s v="https://drive.google.com/open?id=1xK1wKlI15IktTyXKw_xMHwAZmL8l0hv2"/>
        <s v="https://drive.google.com/open?id=1PmaUkgNxXz5G-6LFNQQU3Aw1hn4ZzMGv"/>
        <s v="https://drive.google.com/open?id=19bhmAYOCFdCddBwZl3Wau73LQMozPDuZ"/>
        <s v="https://drive.google.com/open?id=1dAEDqfgo5WXJ-OTH7YaLBgpqRr8Vw7T9"/>
        <s v="https://drive.google.com/open?id=1z2n-KhU_rLTCL1gYXHa3gKHQePwZpwM1"/>
        <s v="https://drive.google.com/open?id=15w-41KfK4yuAaZbxJPFH_B99m-hbwa4F"/>
        <s v="https://drive.google.com/open?id=1CPG3HtOWnpLMHqHuEIjVRE95CmobxkfV"/>
        <s v="https://drive.google.com/open?id=1GMZ4NH82b3mgZS90MqbElPLVhwFtsXrH"/>
        <s v="https://drive.google.com/open?id=1gcv9RnzFa4BVuSpZKCyspNeRZ9pq7tQm"/>
        <s v="https://drive.google.com/open?id=1YamiPESl9lY_-e9DER0dGwAA3iNj4XIl"/>
        <s v="https://drive.google.com/open?id=17t9rSNa1ACIcY4EyDJMioAGOKy4ezj_V"/>
        <s v="https://drive.google.com/open?id=1t5Stq0SMOsAKB4MzMx0D5ctoM9FxcKaY"/>
        <s v="https://drive.google.com/open?id=17Or-bhIxOB_fO2sEGmNwr5IQ6ixU3vvE"/>
        <s v="https://drive.google.com/open?id=1QnMLths7iNcb1nTv46dC1aw-7bW5GTgf"/>
        <s v="https://drive.google.com/open?id=1QpPC9T80dwxRb-wHw66rsvN9lSGhW9w4"/>
        <s v="https://drive.google.com/open?id=1yq3TS2sV89Wt5V8ytwcIHq2eDEvfkyCA"/>
        <s v="https://drive.google.com/open?id=1YCWgJXNqdWEF_bLRHD7fB-jAF0Gum0RP"/>
        <s v="https://drive.google.com/open?id=1v8GuVB6FT1xhXRdZk20oBYf8sShOinDH"/>
        <s v="https://drive.google.com/open?id=1E3GFAcJKhqQYmGTMwQlEvoFQWzviRTW1"/>
        <s v="https://drive.google.com/open?id=1cYN7h_LAZ4WEiQB9JGKxfb5s7iNY2O6y"/>
        <s v="https://drive.google.com/open?id=1qCO3zcHYab6Ni473npDxy_YcSbImrwhZ"/>
        <s v="https://drive.google.com/open?id=1tiJVZz0afAaAtdukvIjB2p6eA73oWqM7"/>
        <s v="https://drive.google.com/open?id=16k493vsOc5EyewYiso7AgZvxNRtpsHwS"/>
        <s v="https://drive.google.com/open?id=1cWIBkV2BJ7J0xgnp5ZfIMiQCx6aDLs0n"/>
        <s v="https://drive.google.com/open?id=1JkXdJV6m74LD-RAl0FyQDJteR06jW_9X"/>
        <s v="https://drive.google.com/open?id=1LAz6YfU48rjgUm90rjucNoyHLFOblYJ1"/>
        <s v="https://drive.google.com/open?id=1ia1w9zN8y7Hhp3yXc1c1rMX3MWIwrlTo"/>
        <s v="https://drive.google.com/open?id=1FaoWhwagdXOqBkQSbc5J4CR47LYsrDkN"/>
        <s v="https://drive.google.com/open?id=1xjX5JwWB2h-OdF7dTFNTZzEZgfatGvaC"/>
        <s v="https://drive.google.com/open?id=1_oMdjFshA5OacqXz-P5K3wFYDMTELQH3"/>
        <s v="https://drive.google.com/open?id=1Vk7oOI9LH_xIejew7Y-jbw9vU268TCPa"/>
        <s v="https://drive.google.com/open?id=1waSIzAH-MIZnU9Z2Cf4OEIbVIJfuSsAd"/>
        <s v="https://drive.google.com/open?id=125T7pFP7_Nj1RyExE6yiGLlMNItiF0U5"/>
        <s v="https://drive.google.com/open?id=1-PmbyHH_FFcytI0mUI-24IqfZBGvv0lV"/>
        <s v="https://drive.google.com/open?id=1AIJY0WXmXEWz_SjgX4mvaV5iufPJIEDK"/>
        <s v="https://drive.google.com/open?id=1Yme6KvX9A5Q2bO4gaJvBIARQqEpdANjj"/>
        <s v="https://drive.google.com/open?id=13Dds29Tr2HY-QAhKBxqO6CFmA56taYhg"/>
        <s v="https://drive.google.com/open?id=1aWK762ejH9coEq15X3GXpnOEkFD9iAAt"/>
        <s v="https://drive.google.com/open?id=1eKGwCZlTvrm9EuAd82fGvz2TcSFkMfOG"/>
        <s v="https://drive.google.com/open?id=1N7xMX3EOZrJDHQhrTC35u_p5wcRgengC"/>
        <s v="https://drive.google.com/open?id=1gVIhGFh3TtKR_VDLHfpcXDblyt3RssT2"/>
        <s v="https://drive.google.com/open?id=1_EsQCbBvreBn1i4-iQY3OWPNNvw0YO6W"/>
        <s v="https://drive.google.com/open?id=1_NtYZThmlKKbqsgOwqprAq1rGaCg8jqf"/>
        <s v="https://drive.google.com/open?id=1UB9lnAVZLJ_ESZbSY-C9PQnn3VZ_ryy3"/>
        <s v="https://drive.google.com/open?id=1p0EP3qh90HYIFgre-tk0LkewVFMbKRdA"/>
        <s v="https://drive.google.com/open?id=1dCLs2DtvSUrxj10Ah6RkKP8Fl1ZdDrwy"/>
        <s v="https://drive.google.com/open?id=1HJGX_svu90CwIK68w9IGPfdhDRpFWrqH"/>
        <s v="https://drive.google.com/open?id=18F5QkGfb2iE-oL-r98unRi2bzST-d0TS"/>
        <s v="https://drive.google.com/open?id=1a_4H2_9CknTE0d_ON89ybjkve64jWQor"/>
        <s v="https://drive.google.com/open?id=1QtpPmtQ2GmKhyIwRqjT1D_J7nAdTaTI1"/>
        <s v="https://drive.google.com/open?id=1SeRPTsRYQVU6SkqR9ic9_CMF0KvW45tR"/>
        <s v="https://drive.google.com/open?id=13zsfyiLjJMynVxqMk6rFJhdR41TMTvky"/>
        <s v="https://drive.google.com/open?id=1Ub1wrnAcgo91klgFqZiNehSro4IEjnGR"/>
        <s v="https://drive.google.com/open?id=1x2qQkfoWv8LumP2sZtDcM6fLv8gn22UJ"/>
        <s v="https://drive.google.com/open?id=1OSXdDkPlFCtN36zLV3BYIEOJisFzmKMS"/>
        <s v="https://drive.google.com/open?id=1QASk-_HGmQ0IuQXHwiHAig9s7moEqiC5"/>
        <s v="https://drive.google.com/open?id=1wJgd-9hPULgaYdKEsVJjrsjTjoyxshJe"/>
        <s v="https://drive.google.com/open?id=1tUcBmTY88ciHV2VZKdmGUSTObadrxrrK"/>
        <s v="https://drive.google.com/open?id=1QHOJrjQ-bogE42gz1ED2GU99sKB7bE8g"/>
        <s v="https://drive.google.com/open?id=1NXxcnA8eUQVkK1CZ_dZ-SV5r4d5y6oLM"/>
        <s v="https://drive.google.com/open?id=1GBBHeRrEgqXpMR0Bwyb9qWksXR5CNScb"/>
        <s v="https://drive.google.com/open?id=1mRa1P7QF-C-SAjike4M1q1WsV0e9qMIL"/>
        <s v="https://drive.google.com/open?id=1ElkQEBbpL4Rwh7v6l8_UqxLIy4-ZMmfV"/>
        <s v="https://drive.google.com/open?id=1h-Z7g_Fm-6WYh8wpeUhJAc5VEE3UImSM"/>
        <s v="https://drive.google.com/open?id=1R4_qb9yI6Wh_R93vETPXZuqmqeANtLWU"/>
        <s v="https://drive.google.com/open?id=1gHZnSRyXz_xmPAncGCGsyYVX_rT0ryr9"/>
        <s v="https://drive.google.com/open?id=1ihTahj5bPs21wOmS6eC1bXYzaehhK9Vx"/>
        <s v="https://drive.google.com/open?id=14geVllZEb2onca2lRpYTtisfLBVkPKhY"/>
        <s v="https://drive.google.com/open?id=1tu_p-2MpyU5LB7dq_zMXxJtYeN5FxH3O"/>
        <s v="https://drive.google.com/open?id=1aQ1wz50Qyk_RNO1AdaFPv1QJD7vjd7Il"/>
        <s v="https://drive.google.com/open?id=1iG2lfwDwBguIlAANoVaxNZbUGd76rKC5"/>
        <s v="https://drive.google.com/open?id=1JWWT-G2EZ-3fHoUaesA-SfFDfycfCdPn"/>
        <s v="https://drive.google.com/open?id=10Sw597YYAdkr8G_N_sFceIW-TeEyDjAd"/>
        <s v="https://drive.google.com/open?id=1hK4PK5uozGeGViyI2RbGA3O8VvgBGLnW"/>
        <s v="https://drive.google.com/open?id=1pxDZ_URRx7z_7ONcgYD7-GvJK_n-JnK0"/>
        <s v="https://drive.google.com/open?id=1lTF_nvZWYuQbZbJKeRT_-d_qo7rc7kA8"/>
        <s v="https://drive.google.com/open?id=1XBs1nLoOS-TwwL237NCvMafODBjx0ZyY"/>
        <s v="https://drive.google.com/open?id=1_kAR5vOlP8FWjW8FxdwzuM8DrQsTi4Zf"/>
        <s v="https://drive.google.com/open?id=1n3dh2kStL9zm1tIQRvqdl2uZ74C2xU_S"/>
        <s v="https://drive.google.com/open?id=1CZ7hvqfQ_YxQdZk1XVXbz3qvJ1DwPeyo"/>
        <s v="https://drive.google.com/open?id=1hWV_6XclsW7AfwjluWtL1IFfoZ3rQeoO"/>
        <s v="https://drive.google.com/open?id=1zu_8VbE-VdwzSqYKkTkfN28ODF7fyi51"/>
        <s v="https://drive.google.com/open?id=1hmxV2-hxRftF1EuWygEhGwmJ5Ktr0JIs"/>
        <s v="https://drive.google.com/open?id=1qAVVlD0Zypb86SU0-jP52c8rRSF0Rqtj"/>
        <s v="https://drive.google.com/open?id=1M8jJowHRpxMOA6HGyOwiGWxMalwroQYD"/>
        <s v="https://drive.google.com/open?id=1M4X4pO2iyOaPnP2SBhWKK2oRXyUaG4Zl"/>
        <s v="https://drive.google.com/open?id=12lqhtUv2jODd2NIr_YvneONEjhgC8l02"/>
        <s v="https://drive.google.com/open?id=1z3W_seUGXJ_wrU4NmxDmt4XyYoObNkzM"/>
        <s v="https://drive.google.com/open?id=1SDauxMIqPZBRvRR40vORv6tGzZIdM7gd"/>
        <s v="https://drive.google.com/open?id=1VSJgKbSbcf7YUF8HOFBE830QkekiDM_a"/>
        <s v="https://drive.google.com/open?id=1hAKaoPN5zuFfRksA85zt_f73omsMWM-9"/>
        <s v="https://drive.google.com/open?id=1Ps2lgMmTAyYPUW26kXCLtPOw8zpK8NbS"/>
        <s v="https://drive.google.com/open?id=1VzUTVP4fyXHqc7bW2dZ8WQbIjlwj9gwZ"/>
        <s v="https://drive.google.com/open?id=1Lz7RcKmFO0xmdvZTZm8QKlh2bSbx7PlO"/>
        <s v="https://drive.google.com/open?id=1QMbe_AxSD0wRtJwzfDrQDIFFrUHXdiO-"/>
        <s v="https://drive.google.com/open?id=1jOqu9dPd-xdRBQFFzQBTxOTJziYFlC8F"/>
        <s v="https://drive.google.com/open?id=1GS7vFCoGP47kOe8nnXzGHA7sSGMsLNhY"/>
        <s v="https://drive.google.com/open?id=1FUE3mBc6CjsVTBVguJckJPgPuaWp7zIM"/>
        <s v="https://drive.google.com/open?id=1AHabjK3M3BFq1bDTHAIC-v_0vsqxhQ-c"/>
        <s v="https://drive.google.com/open?id=1KhdHSlTgvasr_R8wfr7FWcOOB5KSaRK5"/>
        <s v="https://drive.google.com/open?id=12yruOYw-H1K_UGFjjWLOR0NC_r5279xy"/>
        <s v="https://drive.google.com/open?id=11tXJPvuGuhQ162puehhd8sngRtxizSzN"/>
        <s v="https://drive.google.com/open?id=1Jopvc15Mue80-daovBKdQiKBP2CF-pkt"/>
        <s v="https://drive.google.com/open?id=1R0DZiA7acsmFVV4cHf2iIFoBfpW5Ud5U"/>
        <s v="https://drive.google.com/open?id=1RN-1HWhoWVesrIbEK2dlHK5APScryeyQ"/>
        <s v="https://drive.google.com/open?id=16uzmsqr0FfEizxP4fvxZUTijkrK2F0EZ"/>
        <s v="https://drive.google.com/open?id=17XbcLCrOB1kWVGbZDc6o0qqlArXghP6A"/>
        <s v="https://drive.google.com/open?id=1UayLS9Rf8Smkz8RCq2kyqfft2PvDANsS"/>
        <s v="https://drive.google.com/open?id=1bOy5QnrlzHUtrDvFV95MHHOPj43vYI3s"/>
        <s v="https://drive.google.com/open?id=1yfedvBWS3qZedfuzJMqe7INjzyOVp5fc"/>
        <s v="https://drive.google.com/open?id=1DYiae-A8Ee2nqAiyJ7JwJs7M4E52k7dx"/>
        <s v="https://drive.google.com/open?id=1lJPCs9L2yDHxWxWfb0lDz6YmHzEBXxFh"/>
        <s v="https://drive.google.com/open?id=14xqyVNlmVU8rOI72yuvAxjfY3tLugHhk"/>
        <s v="https://drive.google.com/open?id=1XdvAzYEUjtR2ZM0U9nggleDGanQtie0N"/>
        <s v="https://drive.google.com/open?id=1RTxOUqpq8Lf1_dt9-u02aVECzO0T4csi"/>
        <s v="https://drive.google.com/open?id=18eeWHW3FsGjY5ka5ytfY1tymV1j7RVgv"/>
        <s v="https://drive.google.com/open?id=1wtohNm56wbPAnW4EahcUgyHdRUrN0Mnx"/>
        <s v="https://drive.google.com/open?id=1-x-uCoBNSRzcDA0LqN8lx4xBoTIxulOt"/>
        <s v="https://drive.google.com/open?id=1HFGEqhL6d3aEQGQWUfnzXaRVxapWCaxb"/>
        <s v="https://drive.google.com/open?id=1S0LHNcN-1X0rNIWRo_lb9mjmqSkluuio"/>
        <s v="https://drive.google.com/open?id=1O4VQC3MwOA0rQyX801w6EIH4z7p7jAWE"/>
        <s v="https://drive.google.com/open?id=1A4BpSF8VFxdehVX10cNFUfoatYc-Xjyq"/>
        <s v="https://drive.google.com/open?id=15-au54v6DNMl3CVWDXZBOgmqTCRg-uxi"/>
        <s v="https://drive.google.com/open?id=1egoxut77w9HxNsxwMIBVrP2RuRdNGxpr"/>
        <s v="https://drive.google.com/open?id=1cGslP_coDVQ4-F5hP6LWsMMhdtE-1B58"/>
        <s v="https://drive.google.com/open?id=1esF7xqbWvymnSCoo1cACkhBLCr1EVGj9"/>
        <s v="https://drive.google.com/open?id=12Bz7VC0RqoFHFbfFQJCg_I12soJGbFe3"/>
        <s v="https://drive.google.com/open?id=1eFkc8IN0m7DLDeUyn0jLmgQvnogANdB8"/>
        <s v="https://drive.google.com/open?id=1xYvcew1vm2NmOkv7ChZ4SPsH3-5cppSs"/>
        <s v="https://drive.google.com/open?id=1qCdhr2AD-05qs4tWmpivdqS03cvclkMd"/>
        <s v="https://drive.google.com/open?id=1FAkdximut1Elkc0pr9ZGPCZMPfLFuBCW"/>
        <s v="https://drive.google.com/open?id=1RzrYBrZNEpUGbQ2-2SGbQHJBcdJpOmQw"/>
        <s v="https://drive.google.com/open?id=1gD1aW0xVDmhiTlr4swJXHfPkzvSs-TwM"/>
        <s v="https://drive.google.com/open?id=1lsfzeIMxyyIRWqW9F28U-RY2gWxLhSRq"/>
        <s v="https://drive.google.com/open?id=1yg7403f19zytj0hpS3zmM7ZVSR_0wbqz"/>
        <s v="https://drive.google.com/open?id=1Anb_aB_nVfowaJW-J4E-qUUAq8UoRryz"/>
      </sharedItems>
    </cacheField>
    <cacheField name="GST Number">
      <sharedItems containsBlank="1" containsMixedTypes="1" containsNumber="1" containsInteger="1">
        <m/>
        <n v="6.954865895E9"/>
        <s v="36AAHFi2620K1ZF"/>
        <s v="36ACHFA3021A1Z7"/>
        <s v="36BQBPK2933A1ZD"/>
        <s v="36AAKFE8997J1ZI"/>
        <s v="36ABJFR8448R1Z2"/>
        <s v="36BDMPC6430Q1Z4"/>
        <s v="na"/>
        <s v="36AAJFL6331Q1ZQ"/>
        <s v="36AAAT10017P3ZM"/>
        <s v="36DBDPM7611E1ZT"/>
        <s v="36BEYPC6487C1Z2"/>
        <s v="36AOWPN9130L1Z4"/>
        <s v="36AGTPG0230F2Z0"/>
        <s v="36AIQPL1573R1ZD"/>
        <s v="36CCKPP9029G1Z6"/>
        <s v="36AALCG5072C1ZO"/>
        <s v="36AAIFL0277C1ZJ"/>
        <s v="36JNTPK6496P1ZG"/>
        <s v=":36AAVFV4710H1ZS"/>
        <s v="36AGOPV9411C1Z4"/>
        <s v="36ACKFA4226G1ZJ"/>
        <s v="36AIQPM3544D1Z6"/>
        <s v="36ABYPE8677J1Z0"/>
        <s v="36ANCPK0655Q2ZM"/>
        <s v="36ADVPT3228M3ZN"/>
        <s v="36AAZFT3952B1ZS"/>
        <s v="36ACIFA6493M1ZR"/>
        <s v="36AEJPU0926Q2ZQ"/>
        <s v=" 36BXTPC4618M2ZX"/>
        <s v="36BXTPC4618M2ZX"/>
        <s v="36AUKPN4244RIZV"/>
        <s v="36GXMPS5146E1Z0"/>
        <s v="36BCIPB7850G1ZM"/>
        <s v="36BSJPT5975K1ZR"/>
        <s v="36AFNFS5140P1ZA"/>
        <s v="n/a"/>
        <s v="36CPJPB4974G1ZQ"/>
        <s v="36AAEFZ0658F1Z2"/>
        <s v="36EWEPB2598J1Z8"/>
        <s v=" 36BSJPT5975K1ZR"/>
        <s v="36AFPFS7650J1Z9"/>
        <n v="2.3625030002496E13"/>
      </sharedItems>
    </cacheField>
    <cacheField name="gst2" numFmtId="0">
      <sharedItems containsBlank="1">
        <m/>
        <s v="https://drive.google.com/open?id=1Xrc3uPOk64pgUM1gMvRHq-hhYc6pYKJT"/>
        <s v="https://drive.google.com/open?id=1wmAzfgRO6AUexNEcncft5vbltGIV8av4"/>
        <s v="https://drive.google.com/open?id=1hZ4_XJa0ar_5viyQyWSwjO63ut7o3QIh"/>
        <s v="https://drive.google.com/open?id=1xkvSfuIbWsf_ar7Z_3_MFx49cCnJTGSd"/>
        <s v="https://drive.google.com/open?id=15R5f8q3so1Ik7UrWJk_3rCjAQY8sBEFO"/>
        <s v="https://drive.google.com/open?id=1QyRpGDX2lP1lX3GoLj4kqxGuQ7cNxZ5q"/>
        <s v="https://drive.google.com/open?id=1w2-0S2iGSW_hsqhFAKZANxRRUo2t8rGA"/>
        <s v="https://drive.google.com/open?id=19lSB9R9cl_cCitMQsEsLggwyE9tp94F1"/>
        <s v="https://drive.google.com/open?id=1wfQiIC4z7mrMJ5O4AxkRDuixJ2qPRhk2"/>
        <s v="https://drive.google.com/open?id=16MNvuqRPFC7_QYv133p_s5qg9F-FCQ4f"/>
        <s v="https://drive.google.com/open?id=1DvL3nMVvblvTgCQjw2nEz6TTgrlJB-SM"/>
        <s v="https://drive.google.com/open?id=1lzn9VjNKeaCPDBh4aYrl3n_K7W9Qn8cy"/>
        <s v="https://drive.google.com/open?id=1-gR1d5RyzErC3JexistxNdbSDXRnqA4B"/>
        <s v="https://drive.google.com/open?id=1oMq8fqPB0ZMZ2V7hVfWrTU4nKYssh1mD"/>
        <s v="https://drive.google.com/open?id=1EzGKkfBdCwxpUid7iVSOGiOiFaC375_N"/>
        <s v="https://drive.google.com/open?id=1eEfT6eZGwPzwadX92zbnoIOERbRBDC6Z"/>
        <s v="https://drive.google.com/open?id=1mGWWMK_seDKY43K2NZSUjD03Ky_AuJtM"/>
        <s v="https://drive.google.com/open?id=1f3HDxJ2e7YVMA6zQIKF8G75AQEmqiRfH"/>
        <s v="https://drive.google.com/open?id=1C6Yj7irP-AOhQl7Tm9zhPVp-6PeHCotG"/>
        <s v="https://drive.google.com/open?id=1M9oQEmkMPWMxfuaY50HMSDTxpW7WCXs4"/>
        <s v="https://drive.google.com/open?id=1TKBICOHdgFm-5O9irakhUBYhhEYE5Ogf"/>
        <s v="https://drive.google.com/open?id=1iR45OA_9VnjsNVeuN-H1TZ1lyxkj8tq2"/>
        <s v="https://drive.google.com/open?id=19BCFWchfw9SLUCNJLnr37brcZdh2n_qP"/>
        <s v="https://drive.google.com/open?id=1Esnne3EF0nDCVFY0yNF0s-O0oIeM9LkT"/>
        <s v="https://drive.google.com/open?id=1r64PXvZavziIzd-tSp9m3zPWq4KCPVd6"/>
        <s v="https://drive.google.com/open?id=1Xt_N59iQiL-ckJBW-gBNtWBQPr972Kl-"/>
        <s v="https://drive.google.com/open?id=1U6JzgmUtu9GghBUA6vtVT1X_i_LLPJ_2"/>
        <s v="https://drive.google.com/open?id=12_glf7ohtBGogh91v9HxkwCJo0GOxHT3"/>
        <s v="https://drive.google.com/open?id=1GBAFJfylOBRP0t3YAWBWrCnfFE4H5WKK"/>
        <s v="https://drive.google.com/open?id=1YtsOjbmfLCJHe1vfL7Jb_0ohsVBQEOKV"/>
        <s v="https://drive.google.com/open?id=187v22aA0xNfGlmPAZh9n_16ShklAhoDj"/>
        <s v="https://drive.google.com/open?id=1pOv4Zdu0lqow7rXLOJueAjWaFCeReO13"/>
        <s v="https://drive.google.com/open?id=1sPfPvJNakWzDXB9tu924f-bgmxo3i20V"/>
        <s v="https://drive.google.com/open?id=1-JYD6imr2ZmFWQmEhWQFef7oJzfstG1e"/>
        <s v="https://drive.google.com/open?id=1OISAb_BWPyOqQZ2ocAVOKLc4mJCl2BQX"/>
        <s v="https://drive.google.com/open?id=1ePH_AqwjntYQcERf-9_CVVuyddXZM6pB"/>
        <s v="https://drive.google.com/open?id=1hQ7KpHFxouVDxAvVs9HZvkcDXsPWCBpv"/>
        <s v="https://drive.google.com/open?id=1IvJvCF2das2flGPdpNf-1whUPKX1DXtn"/>
        <s v="https://drive.google.com/open?id=12s0NUo5-gf53l25K59UeNpZLcd05buwc"/>
        <s v="https://drive.google.com/open?id=1sEUhnwhF8OQWBiBk4s0BFZRNBraJRL93"/>
        <s v="https://drive.google.com/open?id=1lUgwbv7z1DSCELSOHZ9mnldmAKIHFhfY"/>
        <s v="https://drive.google.com/open?id=1lAsYlkKX_UgLpmM-uNQNLOxyklL92xpq"/>
        <s v="https://drive.google.com/open?id=1lv1e_ske_WKKM5C36QoLGb_SZUNdrUCg"/>
        <s v="https://drive.google.com/open?id=1djX8Rx2dDuDUrrw-7Um_FHw6nmVnzCpf"/>
        <s v="https://drive.google.com/open?id=1ItyyURfuDP-ReFry76iM0kxEN9h9YVm2"/>
        <s v="https://drive.google.com/open?id=1Rv5hKsh7TKOL9BJY1EVze33ZDlPrEJBt"/>
        <s v="https://drive.google.com/open?id=1QFSCt_8o_lASOmdaCLlzVCq2ILzAFnEK"/>
        <s v="https://drive.google.com/open?id=1aPncDT6QcZySFxSwMG_xY36eBWbmKTdY"/>
        <s v="https://drive.google.com/open?id=10GcO4Bw1TSKSDgaNlx82hlJhVBT0lqHr"/>
        <s v="https://drive.google.com/open?id=1xCOLOWZCAs1YaC0vGe2kk4WyMtrdAdBe"/>
        <s v="https://drive.google.com/open?id=1guKv_Cj3x_o6TvbAEkSwqGm2WB5TRMy-"/>
        <s v="https://drive.google.com/open?id=1wPfHWHVJwjPeJUo6E1qQMFZ8HsHGbNZc"/>
      </sharedItems>
    </cacheField>
    <cacheField name="PAN Number" numFmtId="0">
      <sharedItems containsBlank="1">
        <m/>
        <s v="685654hgu"/>
        <s v="AWNPV9668G"/>
        <s v="AAKFE8997J"/>
        <s v="ABJFR8448R"/>
        <s v="BDMPC6430Q"/>
        <s v="AOXPC9349D"/>
        <s v="AIOPB0243L"/>
        <s v="AAJFL6331Q"/>
        <s v="QGEPS7989L"/>
        <s v="AAATI0017P"/>
        <s v="BJVPS7089G"/>
        <s v="AZCPH8455M"/>
        <s v="MMLPS4120E"/>
        <s v="KKDPS6734N"/>
        <s v="BNUPA9377G"/>
        <s v="DEZPM8147A"/>
        <s v="AOCPJ4808H"/>
        <s v="DBDPM7611E"/>
        <s v="BEYPC6487C"/>
        <s v="BSYPT7188K"/>
        <s v="ANSPY4470D"/>
        <s v="ANNPT1216H"/>
        <s v="AKEPY8763E"/>
        <s v="AOWPN9130L"/>
        <s v="AIQPL1573R"/>
        <s v="CCKPP9029G"/>
        <s v="AALCG5072C"/>
        <s v="AAIFL0277C"/>
        <s v="Jntpk6496p"/>
        <s v="CYXPK8989B"/>
        <s v="AAVF4710H"/>
        <s v="AGOPV9411C"/>
        <s v="AZHPS7919Q"/>
        <s v="AIQPM3544D"/>
        <s v="CFKPK4644H"/>
        <s v="NMOPS2250B"/>
        <s v="ANCPK0655Q"/>
        <s v="AHQPJ8887R"/>
        <s v="Na"/>
        <s v="BSZPA3555N"/>
        <s v="QZQPS6238M"/>
        <s v="CMWPA0852L"/>
        <s v="GQUPK8220G"/>
        <s v="CSYPM7177G"/>
        <s v="BNVPK3956Q"/>
        <s v="ADVPT3228M"/>
        <s v="CEBPSO666G"/>
        <s v="HVVPK9099E"/>
        <s v="AAZFT3952B"/>
        <s v="AKWPF9205C"/>
        <s v="DEBPG9946D"/>
        <s v="ACIFA6493M"/>
        <s v="BFNPJ9763G"/>
        <s v="CKJPA1503M"/>
        <s v="Bkfps9030L"/>
        <s v="GVKPK6229N"/>
        <s v="Kuyps3414l "/>
        <s v="Dnhpm3852h"/>
        <s v="Aripa7368L"/>
        <s v="AEJPU0926Q"/>
        <s v="Ccepb8117k"/>
        <s v="Jznps2226b"/>
        <s v="Byapa0613g"/>
        <s v="OBkps6819c"/>
        <s v="AZEPY3804D"/>
        <s v="CBBPD9955R"/>
        <s v="BTBPS8674M"/>
        <s v="FZVPB3717G"/>
        <s v="AKYPG8489P"/>
        <s v="CITPN9921Q"/>
        <s v="GPSPM3722L"/>
        <s v="AKUPU6341C"/>
        <s v="GFPPM2649H"/>
        <s v="ABNCS4602F"/>
        <s v="MJQPS7220H"/>
        <s v="LBJPk3162j"/>
        <s v="BXTPC4618M"/>
        <s v="CJNPB6905R"/>
        <s v="ΑΡΥΡΙ7474M"/>
        <s v="QFKPS1604R"/>
        <s v="AUKPN4244R"/>
        <s v="DAXPJ4199B"/>
        <s v="ANOPG6386L"/>
        <s v="AILPP9740R"/>
        <s v="BCDPY7290N"/>
        <s v="AUCPA2496E"/>
        <s v="Ctspb7672j"/>
        <s v="AKIPV4192J"/>
        <s v="GXMPS5146E"/>
        <s v="BCIPB7850G"/>
        <s v="BSJPT5975K"/>
        <s v="AFNFS5140P"/>
        <s v="BQTPS7471M"/>
        <s v="EMZPK7205J"/>
        <s v="GSFPS1705H"/>
        <s v=" GSFPS1705H"/>
        <s v="AQKPT2481Q"/>
        <s v="BWUPG7061G"/>
        <s v="CFOPB5110D"/>
        <s v="EWEPB2598J"/>
        <s v="BOBPK0634J"/>
        <s v="AUMPH4519B"/>
        <s v="CXGPP3953G"/>
        <s v="EOPPA3743R"/>
        <s v="AYAPV0195P"/>
        <s v="AHIP D8612Q"/>
        <s v="AAYFD1380L"/>
        <s v="CCEPA6147G"/>
        <s v="ENWPM4770E"/>
        <s v="HCEPP9910Q"/>
        <s v="AAWFC0994K"/>
        <s v="ASBPM7099N"/>
        <s v="AFPFS7650J"/>
        <s v="GIZPP9472A"/>
        <s v="IWKPD3706G"/>
        <s v="IWWPS6018G"/>
        <s v="EZJPB3768N"/>
      </sharedItems>
    </cacheField>
    <cacheField name="PAN Card" numFmtId="0">
      <sharedItems containsBlank="1">
        <m/>
        <s v="https://drive.google.com/open?id=1P8o5u-wkGayDLIcyTArlaMzpPcBL8IP1"/>
        <s v="https://drive.google.com/open?id=11LbxcMTLS62PuKE6EHwzu8WdUemKU5ba"/>
        <s v="https://drive.google.com/open?id=1r4LwvkbszhmmgLl56dsxPyTtENCSry3W"/>
        <s v="https://drive.google.com/open?id=1wLa_Pt-AJbdtSV0NDD93Cgm0a-yocPNO"/>
        <s v="https://drive.google.com/open?id=1pP1p8yHifkOvlMj3fFQXJ-_zZU02HhTR"/>
        <s v="https://drive.google.com/open?id=1lHnQS6jFD0j-ODzzm6ncc6Fds_MkMTOj"/>
        <s v="https://drive.google.com/open?id=1-S0Ms1yARTteTRwzAtfYIosgIvtAoKrD"/>
        <s v="https://drive.google.com/open?id=1NsZ5WcHnZIPbzaY8z4g91aZM_fe2ibN8"/>
        <s v="https://drive.google.com/open?id=14vl9WR1NycmF9z9tVJiiS1sjEI4BpUgn"/>
        <s v="https://drive.google.com/open?id=1i3JNiPqA3bg9GskvIiKQOkcygNvWSwFo"/>
        <s v="https://drive.google.com/open?id=1Uop_OL_J095nxx7Re4m3p62_DS8J7Cai"/>
        <s v="https://drive.google.com/open?id=14IVRIxSnIQQt6lva1v7ExVvqU4V4bM6l"/>
        <s v="https://drive.google.com/open?id=1TGEb0yhwAAch3o-uj61e77IJ76PBiiNm"/>
        <s v="https://drive.google.com/open?id=1SefsNnW2N-5RAzKURGcWE46DoH3EFMvZ"/>
        <s v="https://drive.google.com/open?id=16VMSkJtnx2sth2a93gMBw8bIauhQ4QgY"/>
        <s v="https://drive.google.com/open?id=1_dVx2u88AJbRK_cdhlcm5w9BOa-NL-qE"/>
        <s v="https://drive.google.com/open?id=1mShRP-cqmHVFZLU640-JIitYc1Hbdu-w"/>
        <s v="https://drive.google.com/open?id=1AJ6Bfl3fKA7EyjUaT33Q-BEaqLJYLFpE"/>
        <s v="https://drive.google.com/open?id=1bIvEcXpfVNl_DQCS6PvKRh51VxqYyyLn"/>
        <s v="https://drive.google.com/open?id=10C5WjBtCBIlv55ac_HFiCjrMwueH5--t"/>
        <s v="https://drive.google.com/open?id=1sI3WqNOFvKe4niWEHF_25fgwDL5FWJv4"/>
        <s v="https://drive.google.com/open?id=18bZYxppjAI2i6dJ5kmCHOmhA6qsOjZuW"/>
        <s v="https://drive.google.com/open?id=1dMfhXyQ5x-FzUs_VFgnZWPWGoRTr7BXk"/>
        <s v="https://drive.google.com/open?id=1_F3xmRV2zlRSNziROJSeDL0iKC_VNGZt"/>
        <s v="https://drive.google.com/open?id=1nTgwZ-m4rPslhVYuqeVe_nRrYljsedOK"/>
        <s v="https://drive.google.com/open?id=1ve20UFwuWtQjg3TMnjmn_jLJwONfRNiH"/>
        <s v="https://drive.google.com/open?id=1iJA6UzP29nUggmceli9hvRZ-6uEpTCFf"/>
        <s v="https://drive.google.com/open?id=1QBcjT0hK85JwnNDGRyW3KOcdn-M1YT8-"/>
        <s v="https://drive.google.com/open?id=1d4BXXvEiNmx6Dq1mA_V9h4cZaoAkrMjq"/>
        <s v="https://drive.google.com/open?id=14aEMqG4cRhEAWWWEUNigYvfesqexjYkw"/>
        <s v="https://drive.google.com/open?id=1CkVgioQfrxvRRy0dt9R1ow16d6h9z3l2"/>
        <s v="https://drive.google.com/open?id=1DKhgeaOM1lxMrzSlLawBSx8tlUKAqWaQ"/>
        <s v="https://drive.google.com/open?id=1CvNTbmPl5H3Pl4kxzAGEv9k6yWwZYSnE"/>
        <s v="https://drive.google.com/open?id=1XOEGZNv7dqwn1eaZHpqzdPOQ_bcOsHXU"/>
        <s v="https://drive.google.com/open?id=1-SCscuHBy-YUrhyfqQGP43svE7_kLMWr"/>
        <s v="https://drive.google.com/open?id=16XFbrGSMZvIL1QzjcXJBj1KIHbIhWKDf"/>
        <s v="https://drive.google.com/open?id=1qE5ez9Tj8VeTC7DGpU3OzbvCVZGo-IC-"/>
        <s v="https://drive.google.com/open?id=1v0Q4P_xuBK-3EP4oJ5-F7SUtrC346hHR"/>
        <s v="https://drive.google.com/open?id=1_xt5uT6DbdEE-AEue2BQMzy6YXo2zcIg"/>
        <s v="https://drive.google.com/open?id=1sDrRhLZEmvz0XjP4BBf4HBBHVNAglB3S"/>
        <s v="https://drive.google.com/open?id=14kcMFkw4Z8IDUJoLnnR9MRizu0k0-Bqy"/>
        <s v="https://drive.google.com/open?id=1LGqkwoVNZb_k67wzigd4fkwMHJLGDjMy"/>
        <s v="https://drive.google.com/open?id=1lgW0kIjnPAZ5KLVH-CnWfgRd9KntwZz5"/>
        <s v="https://drive.google.com/open?id=1YLzd-h6M_cVMp9BAWEwQEL6usbuyBhDk"/>
        <s v="https://drive.google.com/open?id=1Lui1FIfU_zhdyYNbhdIUlGp6GG6Sfkc2"/>
        <s v="https://drive.google.com/open?id=1cKpMV49fCKB-o1IzWrDE-ogDddLX-IEP"/>
        <s v="https://drive.google.com/open?id=1a4jrdCpp0mdyelv-EXaW5gTBFvJFBFj8"/>
        <s v="https://drive.google.com/open?id=1Ob5ZsFBnNcbO1RXlHH9F9alkofaUv9JU"/>
        <s v="https://drive.google.com/open?id=1SHS07UZY0g1n5LwrKZvE3xpK2gX8BWk0"/>
        <s v="https://drive.google.com/open?id=12ghaPXC0kCxeonRGdc1yrqfLQMmtnlTa"/>
        <s v="https://drive.google.com/open?id=1ecRpt3QjIY5PotmiNiHR1HBPyDPtQuvl"/>
        <s v="https://drive.google.com/open?id=1zBdMZcQqrV-mArYvL02JEA_MH9zQNp7y"/>
        <s v="https://drive.google.com/open?id=1cyQLytiQvsiU0vA4tc9EQj5yhuJDrOPW"/>
        <s v="https://drive.google.com/open?id=17tcFw2cINnz_Ih3bP9CBcgAGFyyMS4Ul"/>
        <s v="https://drive.google.com/open?id=1nLvd4DvtCUcB1ziwiCLawkm7WjK0wHT0"/>
        <s v="https://drive.google.com/open?id=1QXAlKpIBQInBixggqbC_jI6MPRubZ-Dv"/>
        <s v="https://drive.google.com/open?id=1o18SdyJdHxK1ivAa17eVfBuiGzaeuCpU"/>
        <s v="https://drive.google.com/open?id=12K4b8vhs3pAxMC0tiMtzobsXR3Sz9XyS"/>
        <s v="https://drive.google.com/open?id=16r6DJTjOKtSG2yn0_TX4bS1xeLipnrUa"/>
        <s v="https://drive.google.com/open?id=1qC8zQOc9yxc7yoFkX8JM-IzFatcOjmzh"/>
        <s v="https://drive.google.com/open?id=1tRWmDpkyPg_hKBpEZFmJ5ONSHZi68ZRk"/>
        <s v="https://drive.google.com/open?id=1oollF86MvkeP8F7pfPJA4uSPIrURUU4y"/>
        <s v="https://drive.google.com/open?id=1LUkvi82AtTdaF_7imhG0sKxXvD8gJwEg"/>
        <s v="https://drive.google.com/open?id=1-4NWD5Y-cmWKKxC99_hPPygKjk_uxo6S"/>
        <s v="https://drive.google.com/open?id=1F5Akbwd88epJsI8yovUNIxNwIgwavCJH"/>
        <s v="https://drive.google.com/open?id=1uQmldAeGEJwNboL-RxQC_Qg7L0iJnEGh"/>
        <s v="https://drive.google.com/open?id=1lpeezznRAOebSXSygIRK15676Fs9DdAI"/>
        <s v="https://drive.google.com/open?id=1AgZE2LCQPK0lup15zm83h4rQPN-YjOos"/>
        <s v="https://drive.google.com/open?id=17SuBAYQXu3DrAwrWtWchmjuu19fRWOaM"/>
        <s v="https://drive.google.com/open?id=1f5N7Aw76L4XL8WeYMZPIIMivduLu_S11"/>
        <s v="https://drive.google.com/open?id=1v_GRSU39RFaKGSR0BsUyD8Mw28ER73I5"/>
        <s v="https://drive.google.com/open?id=1rkz2vG3ra98Pa6PjLFJ35frMOZxpm2MN"/>
        <s v="https://drive.google.com/open?id=1H-Fn8nHUs2HU8MkYd5LHpk0Oi7It1s2a"/>
        <s v="https://drive.google.com/open?id=1tl-OLTTvJ-HV-kEgm3sykXDHnFp46ijg"/>
        <s v="https://drive.google.com/open?id=19Q_XKziHGd0OH8LyXLXakehql9R1pi5B"/>
        <s v="https://drive.google.com/open?id=1yjWsvWZYtU0tQZ7BF1MDZA80e_e01Ruk"/>
        <s v="https://drive.google.com/open?id=17EI432R4YqUB68oBIsJ39RFep66Up9kt"/>
        <s v="https://drive.google.com/open?id=1Gz0r1WmfBDdQi3wDUk_cmZY6OsGfV8vF"/>
        <s v="https://drive.google.com/open?id=1FMMHBLDuF6nxxlVmbGqOCpNbn5kVh4y_"/>
        <s v="https://drive.google.com/open?id=1JdgccoLtSZE2h7hkXgz_valyJD6DBH9w"/>
        <s v="https://drive.google.com/open?id=1IBDIV6ROtZVYMZFcVDruA8ZCPQ2NC7cK"/>
        <s v="https://drive.google.com/open?id=1qzmK3TLyJFsE8wG4oqpQujaSq0R3R3Xt"/>
        <s v="https://drive.google.com/open?id=1lEvwVgmvQfRvkTPM7gykXehs-Dwt-ffx"/>
        <s v="https://drive.google.com/open?id=1QNYcLPMeC0UgmXXSnFXDTAgyB8qfLFME"/>
        <s v="https://drive.google.com/open?id=1fyc7UMJwnYQe1gnfEn6ERAWKYc96dUR9"/>
        <s v="https://drive.google.com/open?id=1kQOQ0kicVr2cCG9DSM-uee5ZGrwBkTKr"/>
        <s v="https://drive.google.com/open?id=1-6yZUYECRiR_Cjh4Tg5KruPhVbpZQQOW"/>
        <s v="https://drive.google.com/open?id=1m8Ivaol53x-yS9rTfsZUPVdUAKeXK-g6"/>
        <s v="https://drive.google.com/open?id=1b5A9jNsukoJijOmYkdLeDG4HYchGTAcE"/>
        <s v="https://drive.google.com/open?id=1f0Y8W6ZF6kcIvmPXr5nQV3I7uDMJbg8W"/>
        <s v="https://drive.google.com/open?id=1TB274l4YnS8pi_PsZ8ZaMCBEWk9Ut3_6"/>
        <s v="https://drive.google.com/open?id=1CVL6Qcvx8sy1Jhl6QyaPogFVKvB8jtAn"/>
        <s v="https://drive.google.com/open?id=1LYdObCkVkWMoJMNmbQ9OG9HBCq-7ACGq"/>
        <s v="https://drive.google.com/open?id=1ET7KPHyMQAF1mtAz-dPlK-N_MOhW-Dxr"/>
        <s v="https://drive.google.com/open?id=17WF4j-GOWBva0yLn5Qgm9Gioh16pcGAe"/>
        <s v="https://drive.google.com/open?id=1Drkt38q1i_BmH6UAtl3R3QBxeff4pyWK"/>
        <s v="https://drive.google.com/open?id=1v2azjikW30IslxTYOt5Ug-p8vp0xLrgW"/>
        <s v="https://drive.google.com/open?id=1wjDPbjKlLQoYE8u69vV_LFQ71g-3bjbM"/>
        <s v="https://drive.google.com/open?id=1ux7aC5lwsqUjooJ1TI0c3bkstcoRDbjy"/>
        <s v="https://drive.google.com/open?id=1IcLcoA65m0XFP3qZjF2SsWwBsqCQdqsm"/>
        <s v="https://drive.google.com/open?id=1WR5kN81INs4UxikzdQZvdQ0EUOcCKs0y"/>
        <s v="https://drive.google.com/open?id=11hizKFhvCBegDx8AxAxXCCMSNoCjcqqC"/>
        <s v="https://drive.google.com/open?id=1sdfFL7T8Wpj1CdAuuGImQkFHNds0Egke"/>
        <s v="https://drive.google.com/open?id=1vuoP8YRkmZ0wDCyP7OFh4PBIm_E2X6Ah"/>
        <s v="https://drive.google.com/open?id=1-ZRqjAzUwxYL4bYH2PJSsL1fX3ZRmVnK"/>
        <s v="https://drive.google.com/open?id=1FlTDmXDLyyVsRmXAEcUptJ6Ok7pSB0cC"/>
        <s v="https://drive.google.com/open?id=1AUuJgduHEABT2rNKEj_CQcm5Fg0DX8Cq"/>
        <s v="https://drive.google.com/open?id=1uMIvQMobHYkC0SuzTuCD4Dsvs5m7_Ozn"/>
        <s v="https://drive.google.com/open?id=1iG4CHMLheLxf0_59SC_sGZL5SDBGW72m"/>
        <s v="https://drive.google.com/open?id=1XCXzU_ZQ40iwh5YGuHP0HNdNsyUFCQm7"/>
        <s v="https://drive.google.com/open?id=1dApwEatKCIsTwHGolk1RsoGqT6MzO3wM"/>
        <s v="https://drive.google.com/open?id=1SuBvPzKcXh6kQlJhrQrQyAxzFyRJ4hro"/>
        <s v="https://drive.google.com/open?id=1SYyUokC9rVQUv_iIDxbvpCNCC7fpFwnW"/>
        <s v="https://drive.google.com/open?id=1itbC0D8IUH7ufLLHxwo-TO5HxU-YHhZg"/>
        <s v="https://drive.google.com/open?id=1I0HKMiYh0ZFvmjMswrS4w9tb7SoIKFqh"/>
        <s v="https://drive.google.com/open?id=1PxTPcogVjyTNHWUfBaYQZontjnu_Tssq"/>
        <s v="https://drive.google.com/open?id=1Yjn4b4NkwlP6xHqNveSrp8fxDlsbulQy"/>
        <s v="https://drive.google.com/open?id=1ze35BcFoparFRp-Iin0kt2cL25jJXWGJ"/>
        <s v="https://drive.google.com/open?id=14CfvEmx8e12ROf36Ry7jpxpSAaE1w5zN"/>
        <s v="https://drive.google.com/open?id=14K-gRnlXsPsHMbvznIikc897sO6LguG6"/>
        <s v="https://drive.google.com/open?id=1R4uS2hMqH7nJg20KD0nE8_sFc2UiLkUS"/>
        <s v="https://drive.google.com/open?id=1fSSKj0PB01QtLuwEJXjhrLK4sddajuOb"/>
        <s v="https://drive.google.com/open?id=13CKXnmGR_lAD9FeuaDm9mOxvQEQJ2NHt"/>
        <s v="https://drive.google.com/open?id=10BRrmdHzFzwfXs0B0LB2LyJAGJOKin27"/>
        <s v="https://drive.google.com/open?id=1OS5NEWfVzhsDEA6Xi8O8Jczqs9m1Cicj"/>
        <s v="https://drive.google.com/open?id=1GqUi1FzF3b0W2s1Z_DekgAzIFXPUmBjp"/>
        <s v="https://drive.google.com/open?id=1jHVbxfOTCsrhO_KUut8sCCtGffUn9d1b"/>
        <s v="https://drive.google.com/open?id=1vajF3gEJTGO5Dt5niqhoc9GikbnxWy4D"/>
        <s v="https://drive.google.com/open?id=1U2tUpzUHoeKmJvehvebIqSDxPpXHiobG"/>
        <s v="https://drive.google.com/open?id=1U6ZHiBGETF-dNWX9DEOHlmH6a1nxNRFe"/>
        <s v="https://drive.google.com/open?id=1hsAszpcLGPwVgp4j0ifKNJbKns-L1fnP"/>
        <s v="https://drive.google.com/open?id=1IWO6IY8Q8s8oURYFuTHi2NcmKWBF2ATB"/>
        <s v="https://drive.google.com/open?id=1T8it4e6ov4ToPxrZZf8Tdjy_3n-oqElW"/>
        <s v="https://drive.google.com/open?id=1z8Wh0PjJJ_u1xqjbvfhBCjlWMDuPShqi"/>
        <s v="https://drive.google.com/open?id=1UFk5riFJgEKnyinqRWWuPAV6D1HdZ6i7"/>
        <s v="https://drive.google.com/open?id=1j6XicPycJBtanEzkSuzJf3keheQwxA5y"/>
        <s v="https://drive.google.com/open?id=1CScl-Xyo0gHskym0OCz_bqQXeCGMdcDG"/>
        <s v="https://drive.google.com/open?id=1fMJMyw68keYkSsVsJVRMynZJXSa31nYx"/>
        <s v="https://drive.google.com/open?id=1dOPrXStUc-ocn2XPS8-dAptbth1PYAZc"/>
        <s v="https://drive.google.com/open?id=1eN-f9JaAIy1mkcImEyc2XvE4d24l1mQ6"/>
        <s v="https://drive.google.com/open?id=1pEXnx0VShWNcz48h5JFBuaSgOTXtW93H"/>
        <s v="https://drive.google.com/open?id=1uW3CHzdx9jKZennRYYXyVcFI3xuydgyM"/>
        <s v="https://drive.google.com/open?id=1rpNj1AvvAbyrpbXRkkv4ZcgkTaH5ORRF"/>
        <s v="https://drive.google.com/open?id=1ffF7waPJYXEgdUHn93eUCAc21BgoQxZF"/>
        <s v="https://drive.google.com/open?id=19ITtfreLKXTrAhQDpxtJ9-vkkxZ5QVxi"/>
        <s v="https://drive.google.com/open?id=15-B-PpZnsDSPRXzineckckaKX1SIJIl8"/>
        <s v="https://drive.google.com/open?id=1CmRn6ReXYRzBAN2XIiw_xv3qvQB6rPVa"/>
        <s v="https://drive.google.com/open?id=18ETTcNXYtv4nBPx7hM2XWbUAZIBM-aD7"/>
        <s v="https://drive.google.com/open?id=1tg1YYNBpZ6tSWW_9HDDJxHqOoIveejiz"/>
        <s v="https://drive.google.com/open?id=16IIefTFuB7F8TgpAZfb6Lyq6TItp54et"/>
        <s v="https://drive.google.com/open?id=1z1aWdopo4V2Z4W8UGY-6ROa5byni8O5C"/>
        <s v="https://drive.google.com/open?id=13zCW8D8SNib1er9ke9uEwycgWhCXbGm4"/>
        <s v="https://drive.google.com/open?id=19PvDBCbHxm2udfkoK3NYiHw0EGxFds77"/>
        <s v="https://drive.google.com/open?id=1rCRtXjoo9gUHuZx4kxV58RO5_mVZIDCH"/>
        <s v="https://drive.google.com/open?id=1v5AuEV3TlpgKmKiMYKdaZd8vH8Rpq39B"/>
        <s v="https://drive.google.com/open?id=1TyOXQznNSb154-k3YMN5H7-uN5PXwRc7"/>
        <s v="https://drive.google.com/open?id=1mmKFGEhmqRl2nTUZnF6hW__99AaOChve"/>
        <s v="https://drive.google.com/open?id=1XlJpIT7i3d2qQnAyrupxDpTDl3y5jpWa"/>
        <s v="https://drive.google.com/open?id=1lH-3wxZgtDEGe_MAdkn70uGnpLS720dY"/>
        <s v="https://drive.google.com/open?id=1V5EcWiOz3A_zOcttE8ql8gE0VF9nNZUB"/>
        <s v="https://drive.google.com/open?id=1GfzrAjULqd-OrRfwGDaizPimI8Vjfm1G"/>
        <s v="https://drive.google.com/open?id=15-wiveaMUe3YvtKu9SiRsYeiLVcJGt30"/>
        <s v="https://drive.google.com/open?id=191h83SjcYl5-9P1Lln65RMokFPR1aydy"/>
        <s v="https://drive.google.com/open?id=14VdRTF2eoOXuSrKH_Hj9PKjEktg36nVC"/>
        <s v="https://drive.google.com/open?id=1sHOy6TBEmeaoJhNdoWWy8WDdU1x5yKFb"/>
        <s v="https://drive.google.com/open?id=17VxtR690hMGCJX0r_ZTSLQMzJ9qENMUI"/>
        <s v="https://drive.google.com/open?id=1IauJF0dTzuOe-6wogxcGQ3m-femkwc0X"/>
        <s v="https://drive.google.com/open?id=1YY9ilWhg4vlHnWpdsEtSk2Tx9Y5tGm2Q"/>
        <s v="https://drive.google.com/open?id=1aD9d-GiwbnjkiGGC7uLJunfkZARlM-MC"/>
        <s v="https://drive.google.com/open?id=1E8QyZejNKaV1oSsAAudQhmHuvconi95k"/>
        <s v="https://drive.google.com/open?id=1jmijOcaQwtJM_TDfmVnE-r2OWXY4dtMf"/>
        <s v="https://drive.google.com/open?id=10d-5iKVDspm40nqJRs2FabC6V9Qh_aru"/>
        <s v="https://drive.google.com/open?id=1-M9ScotpY-10RRLKrWQOBm6g6IHLhqX7"/>
        <s v="https://drive.google.com/open?id=13SVa6AmlbW_yGxk_FYtSKZ_UBRoIg6gi"/>
        <s v="https://drive.google.com/open?id=10lRQExd8BubtK2z0E2PaHxNrlYLZbWn1"/>
        <s v="https://drive.google.com/open?id=1q2AZINXrp1zhAuitiqlGgnKgP6V3MVPT"/>
        <s v="https://drive.google.com/open?id=1V2GBWW8QGsCm7zGwtUq_5eLjcpg7hkX_"/>
        <s v="https://drive.google.com/open?id=1hHbFX0jlNka_NOsQPGucTULDBgQhAKya"/>
        <s v="https://drive.google.com/open?id=1QIIt_vECym2k-TduxMzZh2B6MGqNDOr7"/>
        <s v="https://drive.google.com/open?id=1xw5oBVodeM2mgTN9b19KPSV3ffb5BR4B"/>
        <s v="https://drive.google.com/open?id=1aMZIon-6AXSLtpw1SXpbccLEGSYzcJGj"/>
        <s v="https://drive.google.com/open?id=1xau2FX-ursfDW_KDXXYHBjqHZT-ZnpAJ"/>
        <s v="https://drive.google.com/open?id=1_ZXq8X9lb_q5TZwd2x8HpOBIaPn2eNxV"/>
      </sharedItems>
    </cacheField>
    <cacheField name="Labour License Number">
      <sharedItems containsBlank="1" containsMixedTypes="1" containsNumber="1" containsInteger="1">
        <m/>
        <n v="5.484581245E9"/>
        <s v="36AKEPY8763E1ZL"/>
        <s v="AMEND202553969"/>
        <s v=" SEA/MED/ACL/PC/1201162/2025"/>
        <s v="A2/0897818/2024"/>
        <s v="0934892"/>
        <s v="SEA/RAN/ALO/BN/1123877/2025"/>
        <s v="SEA/RAN/ACL/RR/1257597/2026"/>
        <s v="NA"/>
        <s v="SEA/HYD/ALO/17/1266954/2026"/>
        <s v="SEA/RAN/ALO/BN/1072604/2025"/>
        <s v="SEA/RAN/ALO/SH/0967590/2024"/>
        <s v=" SEA/HYD/ALO/20/1226588/2025"/>
        <s v="SEA/HYD/ALO05/1275738/2026"/>
        <s v="SEA/RAN/ALO/SH/1274861/2026"/>
        <s v="SEA/MED/ALO/KP/1229268/2025"/>
      </sharedItems>
    </cacheField>
    <cacheField name="labour license2" numFmtId="0">
      <sharedItems containsBlank="1">
        <m/>
        <s v="https://drive.google.com/open?id=1zOmxq565qkkMqqCAFCaCRWzjb7i60OTF"/>
        <s v="https://drive.google.com/open?id=1yiMZ_9SQgNkHaFczbCDoGLcoQaoiMWqz"/>
        <s v="https://drive.google.com/open?id=1EZX1yqE9A9WyTNlB7ShJMB6qtXLxeZoC"/>
        <s v="https://drive.google.com/open?id=1gZv8AfQJERFpRc1DcTxPJAfAAKNSFNEb"/>
        <s v="https://drive.google.com/open?id=1qCkHg4Q5BTWb_r67QEH7wbvl6kslEcxf"/>
        <s v="https://drive.google.com/open?id=12s2f57VzvxLLaOdnwoVFKLOsBR6DugpZ"/>
        <s v="https://drive.google.com/open?id=1xB7gqJCUL6xbRxNZqDKvTuXJj0yO8EYc"/>
        <s v="https://drive.google.com/open?id=1I0nDgARq3-b4FG1xDYyGvkDT3cyzY6YV"/>
        <s v="https://drive.google.com/open?id=1xf1yB3ZQVA3SzkTp9AW2VoLh9LPy_xvg"/>
        <s v="https://drive.google.com/open?id=1BIYKKTui-geMacpBdE2bNO7Mgdto7mOH"/>
        <s v="https://drive.google.com/open?id=1jX4__Ei1uQlFS5DZI3VjqtlXUCBm3Zoe"/>
        <s v="https://drive.google.com/open?id=1umbnoHwDcTbur0RGBkkD4OYAZW2Kxi1p"/>
        <s v="https://drive.google.com/open?id=1dntAdXiOb2gZNFvyFl4Z2kXxhX95ZGol"/>
        <s v="https://drive.google.com/open?id=1lZk9Mia_V5B7OxDVWY4dSqga4JVxiyvG"/>
        <s v="https://drive.google.com/open?id=1MXfwLVhDS0l7uBO0_3gV6iO7EBzcZxt_"/>
        <s v="https://drive.google.com/open?id=1xy3O5sd_LmuHE2KT7tvpgfl0Piqh1ifQ"/>
        <s v="https://drive.google.com/open?id=1eUZ6TIrLZBsIZ9X-kyj91lhijdK7dBsb"/>
        <s v="https://drive.google.com/open?id=1ioHKAsjGj6d06Lxo_Ko8pIFpd_IR1IW_"/>
        <s v="https://drive.google.com/open?id=1OhJXkb5bE9UqrDDqXlZ3uMcCDmneB4fi"/>
        <s v="https://drive.google.com/open?id=1MSbhVBCkb-p82sfEstgmmwqLjiFtNLhR"/>
        <s v="https://drive.google.com/open?id=18MD5868uK_FlB_1KZ3JBylWxNXSWcx4F"/>
        <s v="https://drive.google.com/open?id=1DWTK_zbTkuXNLLrrNVHt1K1vnTgfJ3in"/>
        <s v="https://drive.google.com/open?id=1wGIuS5LdKX6sbKKQX06OXx33Zup9NNDv"/>
        <s v="https://drive.google.com/open?id=1rKfzMBMoLhOpl-Ukt2gu6bAp2ob_bbaG"/>
      </sharedItems>
    </cacheField>
    <cacheField name="Menu (Image)" numFmtId="0">
      <sharedItems containsBlank="1">
        <m/>
        <s v="https://drive.google.com/open?id=1qsXvdJuct7_aToPR8ThIMJcmid9TRtyr"/>
        <s v="https://drive.google.com/open?id=1zs5LVtkzfw6Ig4tlx1lPWSn0Lm-7bwoP"/>
        <s v="https://drive.google.com/open?id=1kddVXBDtmyxBYZuEGyQzheu06kPD2YCr"/>
        <s v="https://drive.google.com/open?id=1DMx_aqiNEP9UWnIpWFPjhq9IVflDo6wh"/>
        <s v="https://drive.google.com/open?id=1d5gMIAgwLYoo1XE8r6S6l9xrXBuHC_fD"/>
        <s v="https://drive.google.com/open?id=12gU5eBF4h4UumpvRgJOtQk-imBWvHY8u"/>
        <s v="https://drive.google.com/open?id=12EAJVco-KdWw1uSYlFtmmTicVZ84gYM2"/>
        <s v="https://drive.google.com/open?id=1cyi3Awg4bkM-qh0jCZ9AYvANscdYVEcQ"/>
        <s v="https://drive.google.com/open?id=1aJ7jyiQI1BxadWuyiDV75Cr6pKDhzzPn"/>
        <s v="https://drive.google.com/open?id=1Km226MX9KwuUpcWS9pqTAKGqr92Mg0Y3"/>
        <s v="https://drive.google.com/open?id=1co_tLOZJen6Y4IPvYNvxKakldF9XaDv6"/>
        <s v="https://drive.google.com/open?id=1pK59o1Aziv19WH0wSGHnNWo73zXeKHr_"/>
        <s v="https://drive.google.com/open?id=1o3AopNhsVJvFWoH8x_tLVNIZCcVx7cOn"/>
        <s v="https://drive.google.com/open?id=1nEMKQeAuolmOzlaxJpjW6qF6_rmIf6AP"/>
        <s v="https://drive.google.com/open?id=1Bon9T4mlU4z4S-rJrHY4p_4GBEaqvBis"/>
        <s v="https://drive.google.com/open?id=17qIijHeA5A66t0mbM5MuK1vxY67ZvH_w"/>
        <s v="https://drive.google.com/open?id=1MGUb-FLSLWz3mtFRYvr2kA8UU9R1ZDoe"/>
        <s v="https://drive.google.com/open?id=1aI50gadedsudO6h3wLqQp1xHLebrCR10"/>
        <s v="https://drive.google.com/open?id=1eUsNeyEj8OgtygeMyLiVEJod82SwU5zN"/>
        <s v="https://drive.google.com/open?id=1MjLb_rkwDQEMMUXJ9ZqaycaOJMDkQkI3"/>
        <s v="https://drive.google.com/open?id=1B73x5KBZ4-gx2NXySC5LtwoDyiVEdIIZ"/>
        <s v="https://drive.google.com/open?id=1KmRKETyj7ICA0orAN7PvIzfeuX0oAGYU"/>
        <s v="https://drive.google.com/open?id=1UpMDWJiaP_SC4lYDp1CWFFl1VbTk8S1F"/>
        <s v="https://drive.google.com/open?id=1ajxV8wB8W5zjxpIQaQmKQFP5I-B_TyBa"/>
      </sharedItems>
    </cacheField>
    <cacheField name="Bank Account Proof" numFmtId="0">
      <sharedItems containsBlank="1">
        <m/>
        <s v="https://drive.google.com/open?id=13qbsLsi98K74BchvdcD_7-swJp4EtkeO"/>
        <s v="https://drive.google.com/open?id=1LV1wXeDgKShlIJHBUn--Sn9J2gR1xgxD"/>
        <s v="https://drive.google.com/open?id=12sEwp13vy0B0IOgjOaR48di8G3M0dgC6"/>
        <s v="https://drive.google.com/open?id=1HMbFf9NKxwpNmJpRUAoeT4JSbWFH_gsM"/>
        <s v="https://drive.google.com/open?id=1B_C4vy9xoX9tPLwjSW2tR-EM6ekXOlYl"/>
        <s v="https://drive.google.com/open?id=1xJurv609CUKpePCGd0rcMOwYy6MJKEto"/>
        <s v="https://drive.google.com/open?id=1EM4vsraBCi3CmJzJUZ8gpuR8XRGBOcDh"/>
        <s v="https://drive.google.com/open?id=1-_wWaTH5f5gEAIqiuRyYQXb_tpy1C51V"/>
        <s v="https://drive.google.com/open?id=1HoToRS41uHrqu_gErmgajRS9Q13SKrzV"/>
        <s v="https://drive.google.com/open?id=1FHEOkgoHN1uVC9-OPnLYD4xoB1lkx6FT"/>
        <s v="https://drive.google.com/open?id=1-wjf481GOo4dlMS7Mn0_aN82x0QlqFIb"/>
        <s v="https://drive.google.com/open?id=174krwSmWS-7Ns96sjRGj3zQCcClDenc9"/>
        <s v="https://drive.google.com/open?id=1gCFHksXqJDMO9XNunUEWVv0oVwAAtw9X"/>
        <s v="https://drive.google.com/open?id=1z18XBbhWksdkjRHgsWjBufUzI3CtoA82"/>
        <s v="https://drive.google.com/open?id=17gc3uKZwnSFjbItrX6qAUmzjxO6L0k0z"/>
        <s v="https://drive.google.com/open?id=1dKb9onDSn0QUhvFk10SsnWf6GzlGdEV2"/>
        <s v="https://drive.google.com/open?id=1hdLV6N4fySfFzccVvxE7fAxQDFXVc5kZ"/>
        <s v="https://drive.google.com/open?id=1MSZTJnrSvojZAVGFGN9ERkT44CKcaSkX"/>
        <s v="https://drive.google.com/open?id=1z9xSy2R7BX9_IGQo40Fw_7fa7sypwjLg"/>
        <s v="https://drive.google.com/open?id=1RJg0vZYb8rpZ2eJBCHN88JVswb33w6cp"/>
        <s v="https://drive.google.com/open?id=1CsPd5PJwoKYcmy0ljOmn5Tm4rcNoXc_o"/>
        <s v="https://drive.google.com/open?id=1P_CpJZaQU2rNcw0-VvaemxIwfiMVd5Jx"/>
        <s v="https://drive.google.com/open?id=1hHYKH2vaxK2MdQvW2T-DLbQa7QTnUOnE"/>
        <s v="https://drive.google.com/open?id=12sMx09M1ImUhIZqd82WIvNaInTBWDcDb"/>
        <s v="https://drive.google.com/open?id=1fZKkhOY4LGNL-4ZQ8W2N88rEaTjYMZ6T"/>
        <s v="https://drive.google.com/open?id=1QQz-dSrn8BLxQJ2yneKFg763S5lFmEn9"/>
        <s v="https://drive.google.com/open?id=1dYdxSEdKDP25VExUX-FmWdaIiSXHMgdB"/>
        <s v="https://drive.google.com/open?id=181YFkStbeQu9DiIOSorReiJkbKFB5kZE"/>
        <s v="https://drive.google.com/open?id=1GzwV68LZjE7yRgLhc0J8Np1acynTdVFG"/>
        <s v="https://drive.google.com/open?id=1YV_3V66B3IfEOWAvik5kQtmn72HGp0jh"/>
        <s v="https://drive.google.com/open?id=1zu_M2fRUfLRdFPZfETU9gn84XXlL3P0m"/>
        <s v="https://drive.google.com/open?id=1dxElB3vRZ1tS6RVyXUrVqeRnYh81rGTu"/>
        <s v="https://drive.google.com/open?id=1TG-6YHm1tSjM2QKx8bxcb5OsnRWbvTBx"/>
        <s v="https://drive.google.com/open?id=15hJdUQGf_fyRP9LiydLCMSi1StFZTTjv"/>
        <s v="https://drive.google.com/open?id=1c5OX2uUNeQWX_ZBgExdNadzag4rWD5lN"/>
        <s v="https://drive.google.com/open?id=1DztSeMbfTMIHcNUCvl3ObaM0uq3Eem1t"/>
        <s v="https://drive.google.com/open?id=1s3qkv8BsnDod67ajNIztoNk4pVhhTL74"/>
        <s v="https://drive.google.com/open?id=1iSONILkt5lH4Z6I8zgC4f5FG-WyYCWjD"/>
        <s v="https://drive.google.com/open?id=1XqfSCML6SoFCVD8TCEqvqtCDTAEjdvUa"/>
        <s v="https://drive.google.com/open?id=1gaojrQDsRKOnMGTffrg7CRd7nH8P-4wY"/>
        <s v="https://drive.google.com/open?id=1XZ9ZsEViH7b8kP1ukMLroSjXiL-dq7y_"/>
        <s v="https://drive.google.com/open?id=1iM2kJS9HkQ3zvV9PvTqoRtXsVkbBQHGe"/>
        <s v="https://drive.google.com/open?id=1rd37Nb7X_DnLu5vq5RT9zuDu_yvrcW0G"/>
        <s v="https://drive.google.com/open?id=18yRO-B3Lj3Gfw91ri3Ga2IQUP3tgwc8p"/>
        <s v="https://drive.google.com/open?id=1GeVV81U6D5F9tTaSAVz-8ZxKWT8UmvBG"/>
        <s v="https://drive.google.com/open?id=1ktOhb0u7Zp5tL4_e1kwCHdk8MnTVqz9S"/>
        <s v="https://drive.google.com/open?id=1LYTwoCS--h120P_e4AkLSKjaqZ3Lupsi"/>
        <s v="https://drive.google.com/open?id=14urNv3pIYh9cA2bgR2TgNpjceg_5fQ3z"/>
        <s v="https://drive.google.com/open?id=1oeWZTEIc09G0jV1DRernRUzSTaBycY9e"/>
        <s v="https://drive.google.com/open?id=105qvkmlCWecN--NR_X2-JQYI1kJKwbAT"/>
        <s v="https://drive.google.com/open?id=1QjCULw6L2OGsSDChaQymVKSkeE7zaATb"/>
        <s v="https://drive.google.com/open?id=1qBXCbE_vTaiYmE4_PYtfAjCd5k4f_Ji8"/>
        <s v="https://drive.google.com/open?id=1QzadrdF1fruc3XZQktLe8rw6eHtQSBeF"/>
        <s v="https://drive.google.com/open?id=1ZqqbAXMee-gtK1xay_XrZdq-HxLWYqJo"/>
        <s v="https://drive.google.com/open?id=1KWhmvCRV6edvP7Im57nVrGEySdll2Kkx"/>
        <s v="https://drive.google.com/open?id=12x4Z2BqC7w_Q3Z9r3zQaOyy6lzRKedSp"/>
        <s v="https://drive.google.com/open?id=1GJR5LCAoKfbnGEYOuSrN9dl8OUDyhW5K"/>
        <s v="https://drive.google.com/open?id=1iFWqFpvXzhdgWHC7QJbB04xfKRRCZ6XI"/>
        <s v="https://drive.google.com/open?id=1YveRWqKuQSveB578ZRwwNhhBR7WmMX_t"/>
        <s v="https://drive.google.com/open?id=1TQ8Yzk_vYM49ejCMETCOPr4RFK0U5R2D"/>
        <s v="https://drive.google.com/open?id=1SXiJmvMSwMpmmTquzUuPQb56rv-arqLv"/>
        <s v="https://drive.google.com/open?id=129B7kMmSpA4mZCafFz_8IRegXJt-_4J9"/>
        <s v="https://drive.google.com/open?id=1ptS7jZ5pkn_KDPll2GvtPRg-N_0wFMVV"/>
        <s v="https://drive.google.com/open?id=1elXh5YeFZuytioObyDQQWMaskfXNiB23"/>
        <s v="https://drive.google.com/open?id=1Klvkr959tFdbo3st2OPnbRGO46ox4r5Q"/>
        <s v="https://drive.google.com/open?id=1bhGvPXDDdK_nQNmOHXe3W2kovW_aFJkU"/>
        <s v="https://drive.google.com/open?id=12aSpcfELc-0b_8s3NDaYnlXXNVWRcf2-"/>
        <s v="https://drive.google.com/open?id=1U3r1RGgeuGSs_ZfLpT7Dh9NcAt-p4Ewq"/>
        <s v="https://drive.google.com/open?id=1q98t4jbHMvch3nt1oNFRIwegqFPcDflg"/>
        <s v="https://drive.google.com/open?id=1Ebks0NSpqDOezGoNOk04gbSu2LQ4XhqS"/>
        <s v="https://drive.google.com/open?id=1jK9HCsDFwdxaYpF7b51O45QtHOyVJ1fk"/>
        <s v="https://drive.google.com/open?id=1Nzk8S-vAwlDqD7IXCXUmiKQob8Suo_Yp"/>
        <s v="https://drive.google.com/open?id=1CU5Ianr--_pYRZPFaO5ZAVn6TIDlAMzn"/>
        <s v="https://drive.google.com/open?id=1tO6bfG8Qg2vKQsS9KNDpZbQxJRso7eq8"/>
        <s v="https://drive.google.com/open?id=1CEVTsKfKOrj52DRMvms99Fucutp_yBqk"/>
        <s v="https://drive.google.com/open?id=1dKBq2qwbhjbC2syhjXGyppBP_hrHOnM9"/>
        <s v="https://drive.google.com/open?id=1GS8AvgbHEHbfkaYuNrmtL18TZjtR_ciK"/>
        <s v="https://drive.google.com/open?id=1Dcc6NER0ijy5HWG0_rtpa-kPCfSh-Vd3"/>
        <s v="https://drive.google.com/open?id=1yGqGHcHJXRvF6FdM2VMgw5vnO7A2Bags"/>
        <s v="https://drive.google.com/open?id=1pUzMsfy3VO37wyxAE1aPjYqL5ywJpPn8"/>
        <s v="https://drive.google.com/open?id=1iRVwGXp32Yr4MweuxF_xoZD9wGVSleh4"/>
        <s v="https://drive.google.com/open?id=1SX4gLD15i2EkU2hMav3uQ9roy5VsMp9F"/>
        <s v="https://drive.google.com/open?id=1cp_AokYM9t8MfLfcwsP52r7DbEW8Lj13"/>
        <s v="https://drive.google.com/open?id=1p-j-KXQJXRAi_TieTurTGR4-HK3aDPi1"/>
        <s v="https://drive.google.com/open?id=1-r1SlwvNrqBytm-3AVDDSlFoyYH5YMYM"/>
        <s v="https://drive.google.com/open?id=1iOJ2ihjS0fS9MrplWXmYR4-Emg4KR4wg"/>
        <s v="https://drive.google.com/open?id=1Qm7yyZZa14R1CgpzDtgkSkm5arRaPIKo"/>
        <s v="https://drive.google.com/open?id=10iabTxcVj4Za6PKaG5em2u27iXvW8hF-"/>
        <s v="https://drive.google.com/open?id=1zAOz-0mXATnMb5QUiDN-_Z69gNBZ9DTQ"/>
        <s v="https://drive.google.com/open?id=1oPiUCj_jgdCCD_TnRjwIrvuMQsRIK_hU"/>
        <s v="https://drive.google.com/open?id=1ANfBuq4jiapQrVe8vsikq3MYna6QV_Z2"/>
        <s v="https://drive.google.com/open?id=1nXENJHod-X6e6HBUNRdlC2dCDwU89dWz"/>
        <s v="https://drive.google.com/open?id=1Tfvit8SMbQHmdwADQm39zULpFu97RjfZ"/>
        <s v="https://drive.google.com/open?id=1JUnT13imr2_E-8z2WaqtoxzqSErhpxBz"/>
        <s v="https://drive.google.com/open?id=15XeVjTUbGM8EDFEtpE16VrUSKAdEkd5X"/>
        <s v="https://drive.google.com/open?id=1zVDsBrZSUt7yPKGsdXe1Fht57bSxdo6B"/>
        <s v="https://drive.google.com/open?id=1TVsu2_zOmHnVog5RRJy1iHy5UtLlhaEF"/>
        <s v="https://drive.google.com/open?id=1kX78Vn0BaJhUGBwL9QDXwpw-_X8ZxC81"/>
        <s v="https://drive.google.com/open?id=18xnuJeykyowujSYPixTqYmZ4z8kMIkvz"/>
        <s v="https://drive.google.com/open?id=1UQeKyCwjI3tO6DxqxQsxQSwZmY7WJoAt"/>
        <s v="https://drive.google.com/open?id=1yyN6uBhrB61j64j_vr-QFy5eCUy3Ew7t"/>
        <s v="https://drive.google.com/open?id=1FmWsxQNc4Ch3okxuOrB_JODQScO9TS8N"/>
        <s v="https://drive.google.com/open?id=1HUqoI0sD8zQh-6IBp3-egEyP223MbVok"/>
        <s v="https://drive.google.com/open?id=17nCgx6decgDKgMXfSU6ADVUKpjIPGzH_"/>
        <s v="https://drive.google.com/open?id=1gHOQgtEYbTqffPSb-inYKnKE-ks5zNdB"/>
        <s v="https://drive.google.com/open?id=1blDtsMzIE5Djz_uh7ly460gffC5eu7wF"/>
        <s v="https://drive.google.com/open?id=1Jyt-2QRh4VWHH4Pn0ZouN2KKo2X3-DZ4"/>
        <s v="https://drive.google.com/open?id=1SsWdZ2FxF2uEVv4zVgbc_IC2neGwB0qQ"/>
        <s v="https://drive.google.com/open?id=1JEn4YlMgDwnArRceuGakQkBu4ar29GJQ"/>
        <s v="https://drive.google.com/open?id=1JPqAG3J3RITBg-clM7q7o-pnsuTG8Iso"/>
        <s v="https://drive.google.com/open?id=1AZVEYhxd70CX5j7lOak7glnICKMjQzsG"/>
        <s v="https://drive.google.com/open?id=1JtB8IbmzjN_okacxtDmWkqRMWo93j6wc"/>
        <s v="https://drive.google.com/open?id=1ovhh9wNQissHHpqs6hYowObINXesAUc9"/>
        <s v="https://drive.google.com/open?id=1e6xSf44AUu7berD98-obIeSO2duVx3r8"/>
      </sharedItems>
    </cacheField>
    <cacheField name="Account Number">
      <sharedItems containsBlank="1" containsMixedTypes="1" containsNumber="1" containsInteger="1">
        <m/>
        <n v="5.4946489461649E13"/>
        <n v="5.0200102000231E13"/>
        <n v="1.0192341683E10"/>
        <n v="8.03705000004E11"/>
        <n v="6.450935473E9"/>
        <n v="1.12005003328E11"/>
        <n v="2.0100061259823E13"/>
        <n v="6.598200001283E12"/>
        <n v="1.548257253E9"/>
        <n v="5.0200064899781E13"/>
        <n v="3.79474434E10"/>
        <s v="02711500006880"/>
        <n v="1.57097949648E11"/>
        <s v="018361900006050"/>
        <n v="1.850667931E9"/>
        <s v="00000044866997013"/>
        <n v="6.414081002E9"/>
        <n v="3.269632568E9"/>
        <n v="3.212110291E9"/>
        <n v="4.4573150739E10"/>
        <s v="NA"/>
        <n v="9.24020006428812E14"/>
        <n v="1.11605002567E11"/>
        <n v="5.0200037070989E13"/>
        <n v="5.0200018292136E13"/>
        <n v="2.0264673793E10"/>
        <n v="5.0200069149286E13"/>
        <n v="8.9494399655E10"/>
        <n v="5.020116850493E12"/>
        <n v="9.17020033027897E14"/>
        <n v="3.0542010072789E13"/>
        <n v="1.4730200007249E13"/>
        <n v="5.871063531E9"/>
        <n v="3.8920550013E11"/>
        <s v="020101513526"/>
        <n v="8.150356795E9"/>
        <n v="1.47661900001351E14"/>
        <n v="5.020010653571E13"/>
        <n v="2.109100059E9"/>
        <n v="1.57002000000978E14"/>
        <n v="5.0100460528124E13"/>
        <s v="815 035 6795"/>
        <s v="420 3277 3051"/>
        <s v="50100 40693 7092"/>
        <s v="92 1 9210 23008 513078"/>
        <s v="147 23 7809 34"/>
        <s v="0446 104000 204 927"/>
        <s v="9814 50 1154"/>
        <s v="5010066 339 8448"/>
        <s v="5201016 319 482"/>
        <s v="25951 575 8788"/>
        <s v="1111 015 18283"/>
        <n v="3.99760777E9"/>
        <s v="502000 347 22 082"/>
        <s v="8945 296 083"/>
        <s v="2109 10039"/>
        <s v="2002 503 5345"/>
        <s v="20025 035345"/>
        <s v="2005 235 5986"/>
        <s v="50200 1016 49 450"/>
        <n v="9.9980112182519E13"/>
        <n v="1.0225700253E10"/>
        <n v="1.01220051002355E14"/>
        <s v="040710100033245"/>
        <s v="899 899 812 58"/>
        <n v="1.86303070215E12"/>
        <s v="8146 469 729"/>
        <s v="6056 1936 317"/>
        <s v="6056 193 6317"/>
        <n v="5.0100788335152E13"/>
        <n v="5.936315853E9"/>
        <n v="1.19650700001669E14"/>
        <n v="1.45361900001302E14"/>
        <n v="1.10031112647E11"/>
        <n v="5.0200031660125E13"/>
        <n v="1.28212010003325E14"/>
        <n v="5.0200112639819E13"/>
        <n v="6.2229638385E10"/>
        <s v="025301617423"/>
        <n v="3.499010005873E12"/>
        <s v="057201000019505"/>
        <n v="2.3780200001972E13"/>
        <n v="1.97405500141E11"/>
        <n v="1.97405001433E11"/>
        <n v="9.25010020128231E14"/>
        <n v="9.20020055993691E14"/>
        <n v="3.549801169E9"/>
        <n v="5.020007950961E13"/>
        <n v="2.0100077076521E13"/>
        <n v="5.0200112176575E13"/>
        <s v="502000 844 9082"/>
        <n v="5.0200088449082E13"/>
        <s v="502008 844 9082"/>
        <s v="91301 003 1284567"/>
        <s v="9130 1003 128 4567"/>
        <n v="9.21010003523141E14"/>
        <n v="1.0036566072E10"/>
        <n v="3.8834634507E10"/>
        <n v="1.83410100007985E14"/>
        <n v="3.3401005475E11"/>
        <n v="9.20010059932943E14"/>
        <n v="1.011014000017E12"/>
        <s v="0514073000000598"/>
        <n v="9.2502003302611E14"/>
        <n v="7.7770109390035E13"/>
        <n v="2.0287776633E10"/>
        <n v="4.4167291537E10"/>
        <n v="1.45361900002201E14"/>
      </sharedItems>
    </cacheField>
    <cacheField name="IFSC ">
      <sharedItems containsBlank="1" containsMixedTypes="1" containsNumber="1" containsInteger="1">
        <m/>
        <s v="949464bguhb"/>
        <s v="HDFC0010090"/>
        <s v="IDFB00B0231"/>
        <s v="ICIC0008037"/>
        <s v="KKBK0000561"/>
        <s v="ICIC0001120"/>
        <s v="BDBL0002722"/>
        <s v="BARB0DBMDHP"/>
        <s v="HDFC0004277"/>
        <s v="SBIN0005322"/>
        <s v="DCBL0000027"/>
        <s v="INDB0001052"/>
        <s v="YESB0000183"/>
        <s v="KKBK0008392"/>
        <s v="SBIN0014676"/>
        <s v="IDIB000K284"/>
        <s v="CBIN0283883"/>
        <s v="KKBK0000560"/>
        <s v="SBIN0032241"/>
        <s v="UTIB0003305"/>
        <s v="ICIC0001116"/>
        <s v="HDFC0000512"/>
        <s v="BDBL00018292136"/>
        <s v="SBI0014170"/>
        <s v="HDFC000394"/>
        <s v="IDB0080205"/>
        <s v="HDFC000642"/>
        <s v="UTIB0001628"/>
        <s v="CNRB0013054"/>
        <s v="FDRL0001473"/>
        <s v="CBIN0285206"/>
        <s v="ICIC0003892"/>
        <s v="Icic0000069"/>
        <s v="IDIB000H601"/>
        <s v="YESB0001315"/>
        <s v="HDFC0006456"/>
        <s v="SBIN0021357"/>
        <s v="IOBA0001570"/>
        <s v="HDFC0001031"/>
        <s v="Idib 0000h 601"/>
        <s v="SBI n0020530"/>
        <s v="HDFC 0004216"/>
        <s v="Utib 0004719"/>
        <s v="SBI 10020593"/>
        <s v="Ubin0812820"/>
        <s v="Idbkl 000446"/>
        <s v="KK BK 0007488"/>
        <s v="HDFC 000 1626"/>
        <s v="Ubing 0905 909"/>
        <s v="IMDb 0000004"/>
        <s v="ICICI 000 111"/>
        <s v="SBIN0040479"/>
        <s v="HDFC 0002391"/>
        <s v="Kkbk 0007489"/>
        <s v="SBI and 0012 941"/>
        <s v="SBI and 000 1441"/>
        <s v="SBI n 000 1441"/>
        <s v="SBI 100 11081"/>
        <s v="SBI n00 11081"/>
        <s v="HDFC 000 1821"/>
        <s v="IDFB0080205"/>
        <s v="ICIC00ADRSH"/>
        <s v="UBIN0804070"/>
        <s v="Idfcb008022"/>
        <s v="Indb0000004"/>
        <s v="Kkbk 0007452"/>
        <s v="MAHB001361"/>
        <s v="M a h b 001361"/>
        <s v="HDFC0006765"/>
        <s v="HDFCOO06765"/>
        <s v="CBIN0283826"/>
        <s v="YESB0001196"/>
        <s v="YESB0001453"/>
        <s v="CNRB0013313"/>
        <s v="HDFC0004348"/>
        <s v="Hdfc0000545"/>
        <s v="SBIN0021830"/>
        <s v="Icic0000253"/>
        <s v="Barbbosruhyd"/>
        <s v="IOBA0000572"/>
        <s v="FDRL0002378"/>
        <s v="ICIC0001974"/>
        <s v="UTIB0005921"/>
        <s v="UTIB0003386"/>
        <s v="Kkbk0007451"/>
        <s v="UTIB0003386  "/>
        <s v="HDFC0001626  "/>
        <s v=" HDFC0001626  "/>
        <n v="2.0100077076521E13"/>
        <s v="BDBL0001608  CHAI KABURLU"/>
        <s v="HDFC0009095"/>
        <s v="HDFC0004216"/>
        <s v="Utib 000404"/>
        <s v="Utib 00409"/>
        <s v="UTIB0000881"/>
        <s v="ICIC00001974"/>
        <s v="IDFB0080201"/>
        <s v="SBIN0002109"/>
        <s v="UBIN0818348"/>
        <s v="KKBK0007475"/>
        <s v="KKBK7475"/>
        <s v="UTIB0000193"/>
        <s v="HDFC0CEENAD"/>
        <s v="SIBL0000514"/>
        <s v="UTIB0003385"/>
        <s v="FDRL0007777"/>
        <s v="SBIN0004904"/>
        <s v="SBIN0011745"/>
      </sharedItems>
    </cacheField>
    <cacheField name="Name on Bank Account" numFmtId="0">
      <sharedItems containsBlank="1">
        <m/>
        <s v="icici"/>
        <s v="HDFC Bank "/>
        <s v="IDFC"/>
        <s v="ICICI BANK"/>
        <s v="EASTIN HOTELS AND RESORTS "/>
        <s v="BANDHAN BANK"/>
        <s v="BANK OF BARODA"/>
        <s v="HUNAN CHINESE CUSINE"/>
        <s v="LUCKY MULTI CUISINE RESTAURANT"/>
        <s v="State Bank Of India"/>
        <s v="DCB Bank Limited"/>
        <s v="Indusland Bank"/>
        <s v="ANAND BHAVAN MESS"/>
        <s v="KOTAK MAHINDRA BANK"/>
        <s v="SBI"/>
        <s v="Indian Bank"/>
        <s v="Central Bank Of India"/>
        <s v="AXIS BANK"/>
        <s v="GOOD SPARROW FOODS PRIVATE LIMITED"/>
        <s v="Sambasiva rao kethineni"/>
        <s v="VJ food prenuers"/>
        <s v="IDFC first bank "/>
        <s v="Al saba cafe"/>
        <s v="G HITECH BAWARCHI FOOD COURT"/>
        <s v="Canara Bank"/>
        <s v="Padmavathi Food court"/>
        <s v="Rambabu ji"/>
        <s v="Bulli abbai kodi palau"/>
        <s v="Arukha flavours"/>
        <s v="Arukha flavours "/>
        <s v="Akurha flavours"/>
        <s v="HDFC BANK"/>
        <s v="C DINESH KUMAR"/>
        <s v="INDIAN OVERSEAS "/>
        <s v="HDFC"/>
        <s v="Bullet abbai Kodi palav "/>
        <s v="Padavala ramalakshmi"/>
        <s v="Venu Prakash Gunda"/>
        <s v="Sri Sai Rama tiffins"/>
        <s v="Kanchu muthyam"/>
        <s v="Monica surana"/>
        <s v="Golla kumar"/>
        <s v="Syed shahed"/>
        <s v="Mohammed ghouse"/>
        <s v="Zamin ali"/>
        <s v="Santhakam ruchulu"/>
        <s v="Mohammed zahera begum"/>
        <s v="SHAIK JANBEE"/>
        <s v="Alamideem shawarma"/>
        <s v="Laxmi shailaja sutrave"/>
        <s v="Ichirakur rAmin house"/>
        <s v="Dontham mahesh"/>
        <s v="SBI n 000 1441"/>
        <s v="P srinivasulu "/>
        <s v="P srinivasulu"/>
        <s v="Sekh jani bakas"/>
        <s v="GUNDRA AJAY KUMAR"/>
        <s v="NAIDU FOOD COURT"/>
        <s v="Adarsh bank"/>
        <s v="Union Bank"/>
        <s v="Snaking Cafe private limited"/>
        <s v="Indus bank"/>
        <s v="Rambabu k"/>
        <s v="J manikanth"/>
        <s v="The bakely"/>
        <s v="D Indra "/>
        <s v="D Indira"/>
        <s v="Mohammed Ibrahim "/>
        <s v="N Rajesh kumar"/>
        <s v="Sri Vigneshwara aaha Bojhanam "/>
        <s v="Sri Vigneshwara aaha Bhojanam "/>
        <s v="GANAPATHI NANDAKISHORE"/>
        <s v="Parchuri foods"/>
        <s v="Srikanth charan"/>
        <s v="Mamatha budhani"/>
        <s v="Padmavathi vessam"/>
        <s v="INDIAN OVERSEAS BANK"/>
        <s v="Federal Bank"/>
        <s v="THE BOAT HOUSE"/>
        <s v="SRI LAKSHMI ENTERPRISES"/>
        <s v="SAMMIDI RANJITH REDDY"/>
        <s v="CAFFEINE HUB"/>
        <s v="DEEPAK"/>
        <s v="CAKES CORNER BAKERS  CONFECTIONERS"/>
        <s v="BDBL0001608  "/>
        <s v="5ves diner"/>
        <s v="Second wife c/o guntur"/>
        <s v="HAMDAN BIN MASOOD"/>
        <s v="HEMA ADDANKI"/>
        <s v="MADHAPUR BAWARCHI"/>
        <s v="WASIM AKRAM"/>
        <s v="WASIM  AKRAM"/>
        <s v="Srineevasulu Reddy "/>
        <s v="Srinivas "/>
        <s v="Kotak Mahindra "/>
        <s v="Vinayaka dileep kumar"/>
        <s v="DWARAKAMAYEE TIFFINS CENTRE"/>
        <s v="MAMMU'S KITCHEN"/>
        <s v="ala konaseemaloo  "/>
        <s v="Rajkiran Darshan"/>
        <s v="MOHD WAJID ALI KHAN"/>
        <s v="SRI VENGAMAMBA DULUXE MESS"/>
        <s v="M.Durga"/>
      </sharedItems>
    </cacheField>
    <cacheField name="Owner Name" numFmtId="0">
      <sharedItems containsBlank="1">
        <m/>
        <s v="jihughyfu"/>
        <s v="Rama Rao"/>
        <s v="SHESHA SAI"/>
        <s v="VENKAT LINGAM"/>
        <s v="NATVA SANTOSH KUMAR"/>
        <s v="VAMSI"/>
        <s v="GM RAGHAVENDRA"/>
        <s v="POKURI PRATHYUSHA"/>
        <s v="ALANKRUTHA RESTAURANT"/>
        <s v="RAVI"/>
        <s v="B RAJA YESHWANTH KUMAR"/>
        <s v="MANSOOR"/>
        <s v="Uttam Kumar"/>
        <s v="Harish Dhas"/>
        <s v="SYED"/>
        <s v="Quddus Hussain"/>
        <s v="B SONI"/>
        <s v="MOHAMMED FEROZ"/>
        <s v="MADAPURAM ANIL KUMAR"/>
        <s v="SHANKAR"/>
        <s v="PRANAY"/>
        <s v="CHALLA TRIVENI"/>
        <s v="M SaiTeja"/>
        <s v="Sai Kumar Goud"/>
        <s v="Kartheek"/>
        <s v="Suryam"/>
        <s v="SUDARSAN NAYAK"/>
        <s v="Ramachandr rao"/>
        <s v="Rama chandhar rao"/>
        <s v="Ramachandra rao"/>
        <s v="KHASIM"/>
        <s v="Ashish kumar"/>
        <s v="Rajesh kethiklneni"/>
        <s v="Sagar"/>
        <s v="Subhash"/>
        <s v="Shiva kumar"/>
        <s v="MOHAMMED ILYAS"/>
        <s v="Faheen"/>
        <s v="Padmavathi"/>
        <s v="SANTHOSH"/>
        <s v="SRI LATHA"/>
        <s v="venkat reddy"/>
        <s v="Arun"/>
        <s v="C DINESH KUMAR"/>
        <s v="TOKALA MAHENDRA REDDY"/>
        <s v="KOTHA ASHOK"/>
        <s v="Ameenudden "/>
        <s v="Mahesh "/>
        <s v="GUNDRA AJAY KUMAR"/>
        <s v="SAI"/>
        <s v="G NARASIMHA MURTHY"/>
        <s v="Madala Rama KrishnaReddy"/>
        <s v="NASEER KHAN"/>
        <s v="RAJU"/>
        <s v="MADARAM SHAILAJA"/>
        <s v="Bhimalla Shiva Shankar"/>
        <s v="HEMA ADDANKI"/>
        <s v="N GOUTHAM KUMAR"/>
        <s v="SAMMIDI RANJITH REDDY"/>
        <s v="DEEPAK"/>
        <s v="CHAI KABURLU"/>
        <s v="BURRA RAKESH GOUD"/>
        <s v="HAMDAN"/>
        <s v="HAMDAN BIN MASOOD"/>
        <s v="SHIV KUMAR"/>
        <s v="WASIM AKRAM"/>
        <s v="WASIM  AKRAM"/>
        <s v="AMPA NAGALAKSHMI"/>
        <s v="Mv Prabhavathi"/>
        <s v="ARJUN"/>
        <s v="Jaya sree"/>
        <s v="M.satya durga"/>
      </sharedItems>
    </cacheField>
    <cacheField name="Owner Contact Number">
      <sharedItems containsBlank="1" containsMixedTypes="1" containsNumber="1" containsInteger="1">
        <m/>
        <n v="6.4946165597E10"/>
        <n v="9.030611616E9"/>
        <n v="9.052592437E9"/>
        <n v="8.989873636E9"/>
        <n v="6.302181276E9"/>
        <n v="9.01470785E9"/>
        <n v="9.963968917E9"/>
        <n v="6.301782448E9"/>
        <n v="8.341514984E9"/>
        <n v="7.396735758E9"/>
        <n v="9.705812524E9"/>
        <n v="9.676213874E9"/>
        <n v="9.010022093E9"/>
        <n v="9.9648187E9"/>
        <n v="9.742645678E9"/>
        <n v="9.182466676E9"/>
        <n v="7.097949648E9"/>
        <n v="7.893713995E9"/>
        <n v="7.093742666E9"/>
        <n v="9.963967706E9"/>
        <n v="8.333833299E9"/>
        <n v="9.642897117E9"/>
        <n v="9.030518803E9"/>
        <n v="9.642431013E9"/>
        <n v="9.849995653E9"/>
        <s v="80086 23545"/>
        <n v="8.977709421E9"/>
        <n v="9.849108337E9"/>
        <n v="9.494399656E9"/>
        <n v="9.346342272E9"/>
        <s v="74168 26069‬"/>
        <n v="8.466082222E9"/>
        <n v="9.959223649E9"/>
        <n v="9.177937307E9"/>
        <n v="9.980102334E9"/>
        <n v="9.247109555E9"/>
        <n v="7.981933914E9"/>
        <s v=" 77300 72371"/>
        <n v="9.494739281E9"/>
        <s v="+91 97041 41884"/>
        <n v="7.793930889E9"/>
        <n v="9.100267638E9"/>
        <n v="8.885040804E9"/>
        <n v="9.030058654E9"/>
        <n v="8.328177189E9"/>
        <n v="7.816087272E9"/>
        <n v="9.553442334E9"/>
        <n v="8.801417049E9"/>
        <s v=" 88853 03345"/>
        <s v="70082 64218"/>
        <n v="9.177015185E9"/>
        <s v="93812 45681"/>
        <s v="98666 87976"/>
        <n v="8.142006008E9"/>
        <n v="7.989383201E9"/>
      </sharedItems>
    </cacheField>
    <cacheField name="Owner Email address" numFmtId="0">
      <sharedItems containsBlank="1">
        <m/>
        <s v="jhgyfyf2@GMAIL,COM"/>
        <s v="bhuvanskitchen25@gmail.com"/>
        <s v="BOWLRISE.SRNAGAR@GMAIL.COM"/>
        <s v="nsantosh086@gmail.com"/>
        <s v="info@eastinhotel.com"/>
        <s v="cakash121@gmail.com"/>
        <s v="thehumanspice@gmail.com"/>
        <s v="ya6822534@gmail.com"/>
        <s v="khuddushussian7@gmail.com"/>
        <s v="bidhaniyasony@gmail.com"/>
        <s v="anandbhavanmess@gmail.com"/>
        <s v="SMASHCITY.BK2025@GMAIL.COM"/>
        <s v="brewcommunecafe@gmail.com"/>
        <s v="rebalsaikumargoud@gmail.com"/>
        <s v="veerammagarivantillu@gmail.com"/>
        <s v="hsgsubhamgrand@gmail.com"/>
        <s v="NA"/>
        <s v="bakehousesns@gmail.com"/>
        <s v="mohdilyas13@gmail.com"/>
        <s v="faheen88977@gmail.com"/>
        <s v="PUNJABIJUNCTIONYF@GMAIL.COM"/>
        <s v="srichandrakakarla@gmail.com"/>
        <s v="kothaaashok25@gmail.com"/>
        <s v="Murthysam07@gmail.com"/>
        <s v="Crispycorner0889@gmail.com"/>
        <s v="madaramshailajak@gmail.com"/>
        <s v="snackbite.gachibowli@gmail.com"/>
        <s v="tulasinandan654@gmail.com"/>
        <s v="deepak2002114@gmail.com"/>
        <s v="anukitchen2026@gmail.com"/>
        <s v="hamdanalguthmi1234@gmail.com"/>
        <s v="b4ushiva@gmail.com"/>
        <s v="wasimakram06052001@gmail.com"/>
        <s v="ampanagalakshmi5555@gmail.com"/>
      </sharedItems>
    </cacheField>
    <cacheField name="Legal Entity Name" numFmtId="0">
      <sharedItems containsBlank="1">
        <m/>
        <s v="HVTFUGYFYGJH"/>
        <s v="Bhuvan’s Kitchen"/>
        <s v="INVENCES FOODS"/>
        <s v="AARAV SUNRISE HOSPITALITES"/>
        <s v="NATVA SANTOSH KUMAR"/>
        <s v="ROLO ONE BAKERS"/>
        <s v="POKURI PRATHYUSHA"/>
        <s v="ALANKRUTHA MULTICUSINE RESTAURANT"/>
        <s v="Ravi "/>
        <s v="SHREE BALAJI TIFFIN CENTER"/>
        <s v="LUCKY MULTI CUISINE RESTAURANT"/>
        <s v="BIRYANI N BIRYANI"/>
        <s v="Naseeb Cafe"/>
        <s v="Sri Balaji Family Dhaba"/>
        <s v="Madapuram food court "/>
        <s v="ANAND BHAVAN MESS"/>
        <s v="SMASH CITY"/>
        <s v="BREW COMMUNE CAFE &amp; BISTRO"/>
        <s v="The good sparrow food pvt ltd"/>
        <s v="Good sparrow foods private limited"/>
        <s v="MOHAMMED ILYAS"/>
        <s v="YUMMY FOODS"/>
        <s v="COSTAL KITCHEN"/>
        <s v="C DINESH KUMAR"/>
        <s v="tealogy cafe"/>
        <s v="AAhara  Food court"/>
        <s v="DIYI SATYANARAYAN "/>
        <s v="G NARASIMHA MURTHY"/>
        <s v="NASEER KHAN"/>
        <s v="Madaram Shailaja"/>
        <s v="Bhimalla Shiva Shankar"/>
        <s v="HEMA ADDANKI"/>
        <s v="N GOUTHAM KUMAR"/>
        <s v="DEEPAK"/>
        <s v="BURRA RAKESH GOUD"/>
        <s v="zaiqa bawarchi restaurant"/>
        <s v="HAMDAN BIN MASOOD"/>
        <s v="SHIV KUMAR"/>
        <s v="WASIM AKRAM"/>
        <s v="WASIM  AKRAM"/>
        <s v="AMPA NAGALAKSHMI"/>
        <s v="Mv Prabhavathi"/>
        <s v="ala konaseemaloo  "/>
        <s v="SRI VENGAMAMBA DELUXE MESS"/>
      </sharedItems>
    </cacheField>
    <cacheField name="Onboarding Done" numFmtId="0">
      <sharedItems containsBlank="1">
        <m/>
        <s v="Yes"/>
        <s v="Will follow up tomorrow "/>
        <s v="No"/>
      </sharedItems>
    </cacheField>
    <cacheField name="Remarks(Comments)" numFmtId="0">
      <sharedItems containsBlank="1">
        <m/>
        <s v="Res has been onboarded "/>
        <s v="PARTNER ON BOARDED"/>
        <s v="They got impress with our application take away point "/>
        <s v="ONBOARDED "/>
        <s v="Onboarded"/>
        <s v="on boarded waiting for documents"/>
        <s v="onboarded waiting for documets"/>
        <s v="Onboarding done but Adhar and pan details didnt recevied at."/>
        <s v="Onboarding done "/>
        <s v="Onboarding is Done"/>
        <s v="Onboarding Completed"/>
        <s v="Onboarding Done"/>
        <s v="The restaurant owner Mr Satyanarayana lives in khammam, will get confirmation from him tomorrow. Mr Anil who takes care of bhavani mess in Hyderabad is very impressed with the pitch and is okay for onboarding. Just need Mr Satyanarayana's permission."/>
        <s v="ON BOARDED"/>
        <s v="na"/>
        <s v="Closed by Ankitha, documents will be submitted by her."/>
        <s v="need to get bank details,adhar card and pan card"/>
        <s v="n/a"/>
        <s v="we onboarded the restraunts "/>
        <s v="ASKED TO CALL BEFORE COMING"/>
        <s v="Restraunt under renovation"/>
        <s v="Owner not available"/>
        <s v="NO"/>
        <s v="Need to submit docs"/>
        <s v="Onboarded at 20% flat commission"/>
        <s v="N"/>
        <s v="Onboarding done,documents submitted "/>
        <s v="NOT INTERESTED"/>
        <s v="OWNER WILL BE AVAILABLE ON MONDAY"/>
        <s v="Need to contact kolkata team for descion making "/>
        <s v="NOT INTERESTED IN ONLINE PLATFORM"/>
        <s v="Needs to submit docs"/>
        <s v="Yes"/>
        <s v="Bhimavaram thali onboarded at 22% ++"/>
        <s v="Test"/>
        <s v="Test&#10;"/>
        <s v="He is on leave asked comeback on 25th for onboarding"/>
        <s v="Asked to share the proposal"/>
        <s v="Asked to call on Thursday to check for an update (19/02/2026)"/>
        <s v="He was on leave asked to call tomorrow (17/02/2026)"/>
        <s v="Tried calling but he disconnected the call. Will calling him tomorrow (17/02/2026)"/>
        <s v="Manager did not answer the call, however will try again tomorrow (17/02/2026)"/>
        <s v="Tried calling him but no response, will follow up tomorrow (17/02/2026)"/>
        <s v="Asked to share the proposal after that he will connect back with us"/>
        <s v="They are developing there own app"/>
        <s v="Asked to share the proposal over the email"/>
        <s v="Onboarding will be done tomorrow "/>
        <s v="I should call him tomorrow at 1:00 regarding an update from his side"/>
        <s v="He asked for two days time regarding the decision. Will follow him up"/>
        <s v="The receptionist asked me to call tomorrow at 11am for checking the availability of the owner"/>
        <s v="He has asked for time regarding the decision but he is interested . I will follow up the day after tomorrow "/>
        <s v="They have agreed to onboard next Monday "/>
        <s v="I should call Mr Surendra owner tomorrow "/>
        <s v="I should call him tomorrow for appointment "/>
        <s v="This restaurant's owner has been postponing onboarding from the last 3 days"/>
        <s v="Mr venu has asked me to meet after 4 pm tomorrow "/>
        <s v="He has asked me to call and come tomorrow after 4pm"/>
        <s v="DONE ONBORDING"/>
        <s v="ONBOARDING "/>
        <s v="onbaorded"/>
        <s v="Discussion done with manager,he need to discuss with head a"/>
        <s v="Manager was not available"/>
        <s v="Manager was not available,following to connect him"/>
        <s v="Manager was not available,following up"/>
        <s v="following up to fix intro meeting"/>
        <s v="following up 17/02/2026"/>
        <s v="Descion maker will be available at athapur branch,they have 14 outlets"/>
        <s v="They are not doing any online orders"/>
        <s v="They are developing the food app"/>
        <s v="Call back next week on monday"/>
        <s v="Need to send proposal"/>
        <s v="Discussion done with manager and he need to discuss with owner"/>
        <s v="Partner should be onboarded by the next meeting"/>
        <s v="Call Mr. Kishan"/>
        <s v="Call Mr. Gaffar and meet him at 5 pm at Jubliee Hills office"/>
        <s v="Call again"/>
        <s v="Call Mr. Gopi"/>
        <s v="Call Mr. Prajitesh"/>
        <s v="Call Mr. Mahendra"/>
        <s v="Call Mr. Sanjeev post 11 am"/>
        <s v="Call Sri Nivas"/>
        <s v="No food deliveries on Inorbit location due to high demand and small kitchen need to approach for different locations"/>
        <s v="KFC coming up with their own delivery app have own delivery partners and third party tie ups for peaks. Need to connect with delivery manager "/>
        <s v="Call Mr. Umar"/>
        <s v="Call Mr. Vamsi share proposal on mail. He white labels soda for Swiggy's brand Noice now selling soda at there own counters 3 more counters planned"/>
        <s v="Call Mr. Ameer"/>
        <s v="Call Mr. Laxman"/>
        <s v="Meet after calling Mr. Pasha"/>
        <s v="Doing 12-13 L daily revenue over all branches with Swiggy and Zomato. Maximum sale is of Combo Box : AOV 1200. Ala carte 500"/>
        <s v="Not available on Swiggy and Zomato looking for onboarding on online delivery platform, 19 outlets Pan India . Mr. Reeshav is the Business Head handle lead with care"/>
        <s v="Asked to share an email&#10;AOV - 500&#10;Seating capacity 60&#10;Location- begumpet"/>
        <s v="Dinesh &#10;Sits in Kukatpally branch&#10;&#10;Asked to share the proposal on email. He will be sharing his email ID shortly"/>
        <s v="Owner not available today as he is busy in court case. POC will give me a call tomorrow once the owner comes"/>
        <s v="Seating capacity - 50&#10;AOV - 300&#10;&#10;Asked to share the proposal on WhatsApp after that he will connect us with the concerned person"/>
        <s v="have 7 outlets in HYD and 2 in Vinaywada Asked call after 5pm as he in a night shift"/>
        <s v="1 day time "/>
        <s v="Out of station "/>
        <s v="Seating capacity - 48 head sits out of head office in Kolkata Tried calling him but no response will follow up more"/>
        <s v="Owner will be available at 7 pm"/>
        <s v="Follow up"/>
        <s v="Receptionist asked to visit banjara hills branch as the main POC will be available there"/>
        <s v="They need time to think"/>
        <s v="They are not interested"/>
        <s v="We need to call him"/>
        <s v="Onboarding tomorrow "/>
        <s v="He need 2 months time"/>
        <s v="Owner is not available "/>
        <s v="Owner is nit available "/>
        <s v="Have to meet with the owner"/>
        <s v="Will be onboarded by 18th of Feb"/>
        <s v="follow back"/>
        <s v="Will be onboarded by 18th February"/>
        <s v="onboarding tomorrow"/>
        <s v="They dont do any online platform"/>
        <s v="Discussion done with manager,appointment fixed Md tomorrow"/>
        <s v="Pan Card and Bank Details are pending"/>
        <s v="Follo up"/>
        <s v="fixed appointment an sat"/>
        <s v="Follow up for feedback"/>
        <s v="following up"/>
        <s v="Tomorrow meeting scheduled with manager"/>
        <s v="meeting scheduled tomorrow"/>
        <s v="following up for next meeting"/>
        <s v="following up to get the area manager ka number"/>
        <s v="need to check details on google"/>
        <s v="didnt shared any details"/>
        <s v="Meeting fixed with Md"/>
        <s v="meeting scheduled with Md"/>
        <s v="following up to get meeting with manager"/>
        <s v="discussion done with owner he nee to discuss with other partner"/>
        <s v="discussion done with owner need to think"/>
        <s v="Did a follow up call, waiting for the email where proposal can be shared"/>
        <s v="Proposal shared over the email"/>
        <s v="Shared the email ID and asked to share the proposal"/>
        <s v="Proposal shared on whatsapp and asked to come on Monday to meet Faizan area manager. He will let me know time on Monday."/>
        <s v="Proposal shared on whatsapp as requested."/>
        <s v="Asked to call tomorrow (19/02/2026)"/>
        <s v="Proposal Shared on whatsapp"/>
        <s v="Proposal shared over the email."/>
        <s v="Proposal shared over the email ID"/>
        <s v="Proposal shared on whatsapp (He will call me back tomorrow 19/02/2026 for the further discussion)"/>
        <s v="Very low orders on swiggy and zomato. Entire food court runs on an internal app called hunger box. (sattva.hungerbox.com) "/>
        <s v="A part of marketing team for Sattva foodcourt asked to come again on Tuesday or Wednesday next week. Hungerbox is internal app and website used to preorder and book food from food court. the app can tell about the KPT and the billing and payment is done t"/>
        <s v="Mr. Predeep will be back by Saturday. He will be available in between Lunch and Dinner "/>
        <s v="Follow Up with Mr. Santosh Reqd"/>
        <s v="Walkin required at Begumpet branch as General Manager not available due to his wedding "/>
        <s v="Same"/>
        <s v="Not in favour of Delivery, customer experience will get hampered. Said will create a smaller menu for delivery option in future. "/>
        <s v="Call Kalim"/>
        <s v="Call and visit again"/>
        <s v="After 2 weeks follow up"/>
        <s v="Need to speak with other partner for final discussion"/>
        <s v="She was not available,I need to follow up for meeting "/>
        <s v="Discussion done with one of the partner,they need to discuss and come back,i will follow up for feedback"/>
        <s v="Discussion done with one partner,need to disuss with other partner, I will follow up"/>
        <s v="During Lunch she was busy,I will follow up"/>
        <s v="Owner was not available,I spoke with him on a call tomorrow appointment fixed"/>
        <s v="Manager and owner was not available took number from front team"/>
        <s v="Discussion done,They are intrested but owner was busy to schedule"/>
        <s v="Discussion done with manager need to discuss with owner"/>
        <s v="Need to collect menu and documents "/>
        <s v="Bank details are pending  he need 1 week time"/>
        <s v="Bank details and Menu"/>
        <s v="Documents are pending "/>
        <s v="Menu is pending "/>
        <s v="Menu pending need time to send "/>
        <s v="ON BOARDING"/>
        <s v="ON BOARDED&#10;"/>
        <s v="The manager syed isn't answering calls. Wil followup up directly "/>
        <s v="He wants to check the app after launch to come to a decision. Will follow up again "/>
        <s v="Mr Ram said he will follow up after two days. Will follow up today"/>
        <s v="Their orders per day 5 , so I don't think they can be onboarded"/>
        <s v="He said he will onboard today at 12:30 pm. I will get him onboarded"/>
        <s v="He is available everyday day at 13:00 at the outlet. Will follow up and get him onboarded"/>
        <s v="I have followed up on 19th Feb but he wasn't answering calls"/>
        <s v="Meeting time isn't confirmed yet, will follow up "/>
        <s v="The outlet has just started and he doesn't have any documents yet, wil follow up "/>
        <s v="All the decisions related to aamantran are taken at rtcxroads branch"/>
        <s v="I will follow up for the availability of a different POC in the evening "/>
        <s v="The manager sunny is convinced but the owner is not coming to the outlet from 3 days"/>
        <s v="The owner is available after 8pm"/>
        <s v="The owner is available to meet everyday from 4pm-5pm"/>
        <s v="He has asked to call him at 12 to fix an appointment in the evening "/>
        <s v="I have to follow up Mahendra for his update"/>
        <s v="The. Owner is available after 8 pm"/>
        <s v="He asked to come onboard on monday"/>
        <s v="follow up waiting furthur"/>
        <s v="ONBORDED"/>
        <s v="follow up with m.d"/>
        <s v="follow up required for documents collection"/>
        <s v="need to follow ups"/>
        <s v="Meeting scheduled on friday"/>
        <s v="need to follow up"/>
        <s v="They are not on online and they are not interested "/>
        <s v="Not intrested in any online platform as of now after one month they are going to start Restaurent follow up after one month"/>
        <s v="Need to go back to get back the manager "/>
        <s v="NEED TO GO BACK AFTER 6 to meet the owner"/>
        <s v="Need to meet with poc , details not shared"/>
        <s v="Need a follow up meetings"/>
        <s v="This club is not interested in online orders as it is dining oriented"/>
        <s v="Will call Mr raju and follow up"/>
        <s v="Owner is available 10am-11am everyday "/>
        <s v="The owner Mr Imran is in Saudi and he'll return on 27th "/>
        <s v="He is looking for 12%"/>
        <s v="Discussion done with the owner need to follow up for onboarding as he is busy today "/>
        <s v="I need to follow up meeting schedule "/>
        <s v="Discussion done with manager,need to update to manager and I will follow up them"/>
        <s v="Discussion done with manager need to discuss with owner I will follow up "/>
        <s v="Discussion done with 2partners need to discuss with another partner "/>
        <s v="The owner will be available in jubliee hills branch they have 6outlets "/>
        <s v="We need to meet different POC on Monday"/>
        <s v="Meeting On Monday"/>
        <s v="Bank Details are pending"/>
        <s v="Pan Card,Menu, Bank Acount Proof Is Pending"/>
        <s v="Nenu pending "/>
        <s v="Menu pending "/>
        <s v="Owner will be available at 7pm"/>
        <s v="Owner will be available at night"/>
        <s v="contract signed"/>
        <s v="not intersted"/>
        <s v="onboarded complete"/>
        <s v="he will call us when required"/>
        <s v="onbpoarded"/>
        <s v="collect documents"/>
        <s v="documents"/>
        <s v="we need to follow up"/>
        <s v="Discussion done with manager,need to follow up"/>
        <s v="we need to follow "/>
        <s v="Discussion done with one partner and need to discuss with other partner"/>
        <s v="need to follow up to schedule into meeting"/>
        <s v="Shared proposal need to follow up in next week"/>
        <s v="all onboarding done"/>
        <s v="They have 6 outlets,main branch is in jubliee hills kbr park"/>
        <s v="Owner was not avilable,need to follow up"/>
        <s v="followup"/>
        <s v="Onboarding on monday"/>
        <s v="Explained everything to the area manager, need to speak with his team and revertback"/>
        <s v="The owner doesn't want to onboard because wants spot settlement. He is not there on other delivery platforms as. Well "/>
        <s v="Will talk to the owner at 2pm"/>
        <s v="Can meet the owner after 2pm"/>
        <s v="The owner is available after 1 pn"/>
        <s v="Owner available on Monday after 4"/>
        <s v="Owner might be available after 7 pm"/>
        <s v="All the decisions of olive mithai are taken at Hyder guda branch"/>
        <s v="Owner is available after 6pm. Will follow up "/>
        <s v="Owner available after 6pm"/>
        <s v="Owner is available after 8pm"/>
        <s v="The owner is available to meet on monday after 2pm"/>
        <s v="Poc said to come on Monday in the morning time"/>
        <s v="The owner needs to discuss with his son. Told me to follow up after 2 days"/>
        <s v="Need to prepare proposals while next meet"/>
        <s v="we need to send them the proposal"/>
        <s v="we  need to follow up"/>
        <s v="he is not intersted any online platforms"/>
        <s v="we are meeting him now"/>
        <s v="he is busy need to talk on monday"/>
        <s v="Manager is only available after 5PM"/>
        <s v="Manager told that he will discuss with owner &amp; get back to us.&#10;"/>
        <s v="Follow up required - P0 lead"/>
        <s v="Manager informed to meet after ramzan - after 3PM"/>
        <s v="They asked to share proposal through mail id "/>
        <s v="All the detailed structure discussion has to be done with HO people after they  responded to the proposal which we shared through mail"/>
        <s v="Asking to send proposal"/>
        <s v="Hello is the main marketing manager looks towards online platforms"/>
        <s v="monday"/>
        <s v="We need to prepare proposals point for them"/>
        <s v="ONBOARDED SOME DOCUMENTS LEFT TO RECEIVE"/>
        <s v="Onboarded.I didnt received all documents "/>
        <s v="for the discussion owner was not avilable need to follow up"/>
        <s v="They had payment issues before with other online platform so now they are not interested in any online platform"/>
        <s v="NOt interested in any online platyform"/>
        <s v="Owner was not avilable, need to follow up for meeting schedule"/>
        <s v="no one was for discussion didnt shared the contact details"/>
        <s v="Discussion done with manager,need to follow up for schedule meeting with owner"/>
        <s v="need to follow up to schedule meeting"/>
        <s v="Scheduled meeting on monday after 14:30"/>
        <s v="Owner was not available need to follow up"/>
        <s v="Present they are not interested, need to follow up after launch"/>
        <s v="Meeting scheduled on tuesday after 14:00"/>
        <s v="NEED TO FOLLOW UP FOR DISCUSSION"/>
        <s v="I didnt recevied all the documents yet"/>
        <s v="Discussion done with one parnter need to follow to schedule meeting with other partmer"/>
        <s v="Need to follow up for documents collection"/>
        <s v="He said he will talk to the owner and onboard "/>
        <s v="The owner will return on 25th"/>
        <s v="The manage is convinced, he agreed to onboard on Tues "/>
        <s v="We should call to the decision makers who live in nellore and talk to them. I have listed their number in the form"/>
        <s v="Mr Kousiks sister is the owner and she will be available on Monday "/>
        <s v="The owner is not interested in delivery apps"/>
        <s v="Menu and Bank details are pending"/>
        <s v="I send him the proposal ,need time to think"/>
        <s v="He want to discuss with his brother"/>
        <s v="Owner is  not available,They are not ready to give number"/>
        <s v="We need to send details in Whatsapp"/>
        <s v="Pan Card,Menu and Bank Details Are Pending"/>
        <s v="Need to follow up with the owner"/>
        <s v="Follow up with owner"/>
        <s v="Meeting with owner"/>
        <s v="Need to follow up with the owner for onboarding"/>
        <s v="Need to follow up on Next monday"/>
        <s v="Owner needs to discuss and come back"/>
        <s v="Manager will be avaialble at night"/>
        <s v="The owner will be available at 1pm everyday"/>
        <s v="The owner will be available in the evenings, will try to accomodate his appointment "/>
        <s v="The owner will be available after 7pm but they're not giving his number "/>
        <s v="Owner told to come afternoon Tomorrow"/>
        <s v="he need to discuss with owner"/>
        <s v="owner will be available in call at 5 pm"/>
        <s v="Owner was not available"/>
        <s v="He need time to discuss with his owner"/>
        <s v="Menu,Pan,Bank Details are pending"/>
        <s v="We can talk with the owner after 6 pm"/>
        <s v="After app launch he will decide"/>
        <s v="Ownee will be available tomorrow afternoon"/>
        <s v="He want to discuss with his brother who handles swiggy and zomato&#10;-If he is interested he will onboard tomorrow "/>
        <s v="Proposal email sent"/>
        <s v="He agreed to onboard, he asked me to come tomorrow at 1:00"/>
        <s v="She is the signing authority and she'll ask her husband and will follow up"/>
        <s v="Pranav didn't answer the call"/>
        <s v="I have submitted all the company related details and have forwarded parthivs number for further refery"/>
        <s v="The owner is not interested in delivery apps due to settlement times"/>
        <s v="The owner is only available after 9pm "/>
        <s v="The owner is available only in midnight "/>
        <s v="Offered 17++ for 3 years, He will get back to us by next week"/>
        <s v="not intersted "/>
        <s v="meeting after 10 am any day"/>
        <s v="meet on tuesday"/>
        <s v="onboarding completeed"/>
        <s v="New proposal with 15++ for 3 years contract sent, he will get back"/>
        <s v="Asked to meet tomorrow 24/02/2026 at 3PM"/>
        <s v="Tried calling him but he did not answer the call. POC ashish suggested to visit the corporate office between MON - FRI (11:00 - 18:00)"/>
        <s v="The headoffice is at jubliihills need to visit for discussion"/>
        <s v="The owner was not Avilable in the city,he will be back after 10days need to follow up after 10days"/>
        <s v="Owner was not available in India,he went for visiting Dubai"/>
        <s v="Owner was not available at the moment"/>
        <s v="need to follopw up for scheduling meeting"/>
        <s v="Revisited again for the feedback still they are busy with other things,they need time to get back"/>
        <s v="Appointment fixed for tomorrow for the feedback "/>
        <s v="Need to discuss with other partner"/>
        <s v="Revisited again for the feedback but owner is not available"/>
        <s v="Asked to share the proposal,shared the proposal next meeting fixed next Monday for the follow up"/>
        <s v="They are on swiggy and zomato before,they had payment issues so at present they are not interested"/>
        <s v="The owner was not available,call back at 20:00"/>
        <s v="Need to sent proposal"/>
        <s v="Store manager will be from 9:00-18:00"/>
        <s v="They have 3 outlets in hyd got business development numberhe is the descion maker"/>
        <s v="Manager was not available for discussion,I will follow up to schedule meeting "/>
        <s v="OWNER WILL BE AVAILABLE AFTER 4PM "/>
        <s v="OWNER WILL BE AVAILABLE TOMMROW"/>
        <s v="WILL BE AVAILABLE TOMMROW"/>
        <s v="ASKED TO COME TOMMROW"/>
        <s v="ASKED TO COME BY 3PM"/>
        <s v="ASKED TO COME AFTERNOON 2:45"/>
        <s v="ASKED TO COME AT TOMMROW AT 4 PM"/>
        <s v="WILL BE AVAILABLE AT 3:30 PM"/>
        <s v="Will open online after March 20 2026"/>
        <s v="Have to meet Arjun reddy for Onboarding "/>
        <s v="detailed discussion "/>
        <s v="detailed discussion"/>
        <s v="Mx told that he will get back to us "/>
        <s v="proposal sent on mail"/>
        <s v="Proposal Mail sent"/>
        <s v="Proposal sent"/>
        <s v="Meeting the GM"/>
        <s v="&#10;He is very much interested to Onboard but he want to talk with his son"/>
        <s v="In weekend he will discuss with his brother"/>
        <s v="He need 1 week time"/>
        <s v="He want to discuss with owner"/>
        <s v="Evening time they will be free"/>
        <s v="Meeting with the MD"/>
        <s v="Need Time"/>
        <s v="Owner will be available after 8 pm"/>
        <s v="This resturant is going to close"/>
        <s v="Manager will be available at night"/>
        <s v="Need to follow up tomorrow around 13:00PM, discussion done with manager"/>
        <s v="Owner was not available I will follow up to schedule meeting"/>
        <s v="Present the owner is not available,I will follow up to schedule meeting"/>
        <s v="Discussed with one partner need to discuss with other partner &#10;Appointment fixed today at 16:00Pm"/>
        <s v="tomorrow onboarding"/>
        <s v="Follow back after 2 days, they are interested"/>
        <s v="the owner is not available,I will follow up to schedule meeting"/>
        <s v="Will follow up with the owner to schedule meeting"/>
        <s v="Owner was not avilable"/>
        <s v="Meeting scheduled with owner, onboarding on 25th"/>
        <s v="Discussed one partner need to discuss with other partner"/>
        <s v="Need to follow up tomorrow around 13:00 pm"/>
        <s v="call back at 21:00 to schedule meeting"/>
        <s v="Newly opened need to follow up next week"/>
        <s v="&#10;He said i will pass the information to MD and let you now after 1 day"/>
        <s v="Need to visit after the launch,didntb shared the poc details"/>
        <s v="&#10;He said i will discuss with his brother and onboard tomorrow"/>
        <s v="Discussion done with manager,friday appointment fixed with MD FOR FURTHER DIScussion"/>
        <s v="N0"/>
        <s v="AFTER 3 DAYS"/>
        <s v="need discussion with his brother"/>
        <s v="Not Intrested"/>
        <s v="NOT AVAILABLE"/>
        <s v="No response from owner"/>
        <s v="Asked to meet tomorrow "/>
        <s v="She will intimate to us"/>
        <s v="Owner asked to call tomorrow "/>
        <s v="Asked to call tomorrow "/>
        <s v="Meeting will fix tomorrow "/>
        <s v="tommorow after 5.30"/>
        <s v="onboarding 2 outlets "/>
        <s v="Menu pending"/>
        <s v="tommorow onboarding "/>
        <s v="Followup for contract signing as owner isn't available in city till thursday."/>
        <s v="MEETING  AT 4 PM"/>
        <s v="ASKED TO CALL AFTER 11:45"/>
        <s v="ASKED TO MEET AFTER 5 PM&#10;"/>
        <s v="ASKED TO COME AFTER 2:45"/>
        <s v="ASKED TO COME AFTER 12:45"/>
        <s v="OWNER IS OUT OF STATION ASKED TO COMW ON FRIDAY"/>
        <s v="ASKED TO COME  TOMMROW"/>
        <s v="Detailed discussion is required"/>
        <s v="meeting with owner is required, as completed has explained on call."/>
        <s v="meeting with owner is required, as completed has explained directly."/>
        <s v="NEED TO TALK TO HIS OWNER"/>
        <s v="Manager will sent in docs to owner, follow up with owner"/>
        <s v=" Need to follow up with the owner"/>
        <s v="They have a protocol of onboarding new vendors only after the launch. However they have asked to share the proposal on email"/>
        <s v="Proposal mailed shared, he mentioned he will discuss with the higher management and schedule a google meet call by next week"/>
        <s v="Need to follow up with the owner "/>
        <s v="Asked to call on monday as he is still on leave"/>
        <s v="Mr. Raunak will connect either by today evening or tomorrow afternoon to discuss about the proposal"/>
        <s v="Follow up with the owner"/>
        <s v="Proposal email sent. awaiting for the meeting schedule"/>
        <s v="He will be scheduling the meeting on Friday. He will confirm the time tomorrow"/>
        <s v="Need to do consistent follow ups"/>
        <s v="Manager will submit proposal to owner and we need to follow up"/>
        <s v="Need to follow up with Chutney's head office"/>
        <s v="Asked to call tomorrow at 12pm and then asked to meet on Monday in madhapur branch"/>
        <s v="Asked to come after the App is launched"/>
        <s v="Proposal sent again to GM"/>
        <s v="Need some time "/>
        <s v="HAVE TO MEET ANOTHER PERSON"/>
        <s v="have to visit again"/>
        <s v="I will follow up tomorrow"/>
        <s v="discussion done with manager,i will follow to schedule meeting with owner"/>
        <s v="Manger was not available for discussion"/>
        <s v="Manager was not available for discussion"/>
        <s v="tried to reach him but unanaswearable i will follow up"/>
        <s v="DISCUSSION DONE WITH MANAGER,I WILL FOLLOW UP FOR FEEDBACK"/>
        <s v="DISCUSSION DONE WITH MANAGER GOT APPOINTMENT AFTER 10 DAYS"/>
        <s v="we need to talk about that on taaza tiffens "/>
        <s v="follow up on friday"/>
        <s v="after 1st march "/>
        <s v="onboarede"/>
        <s v="MENU &amp; BANK STATEMENT DOCS "/>
        <s v="DETAILED STRUCTURE NEEDS TO BE DISCUSSED"/>
        <s v="PROPER STRUCTURE NEEDS TO EXPLAIN"/>
        <s v="POSITIVE LEAD"/>
        <s v="FOLLOWUP REQUIRED"/>
        <s v="FOLLOW UP REQUIRED"/>
        <s v="mx said that they will get back to us after seeing the proposal"/>
        <s v="proposal has to be sent to mx, after detailed review he said he will get back to team"/>
        <s v="ASKED TO COME ON FRIDAY FOR ONBOADING "/>
        <s v="ASKED TO COME AT 12PM"/>
        <s v="OWNER ASKED TO COME AFTER 4 PM"/>
        <s v="Owner is not available asked to come back tommrow"/>
        <s v=" NA"/>
        <s v="ASKED TO MEET TOMMROW"/>
        <s v="need to collect menu &amp; bank details"/>
        <s v="Should do cold walkin again"/>
        <s v="Asked to come at 2"/>
        <s v="Asked to call on monday by 12:30PM"/>
        <s v="Tomorrow getting onboarded "/>
        <s v="Owner will be available tmr "/>
        <s v="Tmr meeting scheduled"/>
        <s v="Not responding to the calls"/>
        <s v="Asked to connect back on Monday for the meeting schedule"/>
        <s v="Mr. Faizan shared another number to connect with. tried calling on the another number but there has been no response."/>
        <s v="He has shared the proposal with the management, he will update on monday about the discussion"/>
        <s v="Owners are busy in Ramzan sale, however asked to connect back on Monday to get an update."/>
        <s v="Discussion points to be shared, waiting for Akhil to share the details "/>
        <s v="she has forwaded the mail to her higher management. They will update by 28th Feb so asked to connect back on monday"/>
        <s v="asked to call tomorrow morning after 11AM"/>
        <s v="He was on leave since 3 days and he has seen the proposal today (26th feb) he will update by tomorrow or monday"/>
        <s v="sked to call tomorrow morning after 10am for the meeting schedule"/>
        <s v="Have to speak with marketing manager - siddharth - 8121028033"/>
        <s v="They asked to share proposal over mail id."/>
        <s v="Owner will be available after 8PM"/>
        <s v="Had a word with HO manager , he asked to drop a proposal mail"/>
        <s v="not interested as of now"/>
        <s v="Manager will be available after 1 pm"/>
        <s v="meet again for referal contacts"/>
        <s v="Have a meeting on monday"/>
        <s v="Have to follow up "/>
        <s v="Followup "/>
        <s v="Discussion done with manager need to follow up to schedule meeting with owner"/>
        <s v="Discussion done with one partner need to discuss with other partner"/>
        <s v="need to follow up,"/>
        <s v="the owner was not available i will follow up to schedule meeting"/>
        <s v="the owner was not available didnt shared any details"/>
        <s v="the owner was not available"/>
        <s v="the owner was not available,need to follow up"/>
        <s v="the manager was not available for discussion"/>
        <s v="Documents Pending"/>
        <s v="Documents are pending"/>
        <s v="will ready to onboard"/>
        <s v="Owner was not available "/>
        <s v="Need to follow up after ramzan"/>
        <s v="They are not interested in any online platform "/>
        <s v="Owner was.not available "/>
        <s v="Should come back tmr "/>
        <s v="The owner was not available discussion done on the call meeting fixed today evening "/>
        <s v="Dotpay pos"/>
        <s v="Friday meet "/>
        <s v="Should come back for onboarding "/>
        <s v="The restaurant name going to change"/>
        <s v="Owner not available "/>
        <s v="Owner was not available i.will follow to schedule meeting "/>
        <s v="She need time to think"/>
        <s v="He is not interested "/>
        <s v="Tomorrow onboarding "/>
        <s v="Onboarded but need to collect menu "/>
        <s v="Onboarded need to collect menu "/>
        <s v="He told me to call at 9 pm today"/>
        <s v="Owner was. Not available "/>
        <s v="Not interested in online platform "/>
        <s v="Call nack on wed"/>
        <s v="Should call"/>
        <s v="Call after 2 days "/>
        <s v="Discussion done with one partner need to discuss with other partner "/>
        <s v="Not interested "/>
        <s v="Should come tmr"/>
        <s v="Discussion done with one partner need to discuss with other partners and they are not on any online platform "/>
        <s v="Discussion done with manager need to discuss with owner and get back us "/>
        <s v="The owner was not available,they didn't shared poc details they said they will follow up "/>
        <s v="Will onboard after app launch "/>
        <s v="No remarks "/>
        <s v="Need some time to think"/>
        <s v="Asked to send proposal"/>
        <s v="Asked to come on  wednesday"/>
        <s v="Asked to come on 4 th"/>
        <s v="Asked to meet at 7 pm"/>
        <s v="HE NEEDS TIME TO THINK "/>
        <s v="HE WILL DISCUSS WITH HIS BROTHER AND  LET US KNOW BY TOMMROW"/>
        <s v="March 10 - follow up required"/>
        <s v="They are having 3 branches.Spoke to manager &amp; explained business model.&#10;Follow up required."/>
        <s v="Have to meet tmrw - march 3rd "/>
        <s v="Spoke to owner , after detailed discussion of business model, he asked to meet him after launch with data&#10;"/>
        <s v="call back @ 7PM"/>
        <s v="call back after 7:30 PM"/>
        <s v="Decision maker will be available only on tuesday 1PM"/>
        <s v="onboarded - docs pending"/>
        <s v="They are not interested in online platforms"/>
        <s v="The owner was not in the outlet explained on the call he said he will get back "/>
        <s v="The owner was not available I will follow up to schedule meeting "/>
        <s v="Should call the owner "/>
        <s v="The owner was not available trying to reach on call bt not available "/>
        <s v="Onboarded need to collect documents "/>
        <s v="Manager is on the leave I will follow up to schedule meeting "/>
        <s v="Manager was not available I will follow up to schedule t"/>
        <s v="Discussion done with one partner need to follow up to schedule meeting with different partner "/>
        <s v="Didn't shared poc details,owner was not available "/>
        <s v="Follow up on Thursday "/>
        <s v="Not available "/>
        <s v="They need time"/>
        <s v="Food license pending "/>
        <s v="Thursday onboarding "/>
        <s v="will be available at 1 pm"/>
        <s v="Head office is in sherlingampally &#10;We can go and talk directly"/>
        <s v="going to meet head office"/>
        <s v="OWNER IS NOT AVAILABLE AFTER 8 ON THURSDAY"/>
        <s v="HAVE TO REACHOUT TO HEAD OFFICE "/>
        <s v="Owner will onboard on thursday"/>
        <s v="Owner not available today asked to come on friday"/>
        <s v="Owner will discuss with brother and get back on thursday"/>
        <s v="nz"/>
        <s v="ns"/>
        <s v="onboareded"/>
        <s v="done onboarded"/>
        <s v="done with onboarded"/>
        <s v="Onboarded food licence certificate pending "/>
        <s v="Needto follow up "/>
        <s v="Need to eup"/>
        <s v="They are not any platform and not interested in any online form "/>
        <s v="Need to follow up "/>
        <s v="They ar not interested on online "/>
        <s v="Called to owner gave appointment at 4:30today "/>
        <s v="Sent all the required info on WhatsApp "/>
        <s v="Come after 8 in the evening "/>
        <s v="No "/>
        <s v="Didn't shared poc details need to follow up"/>
        <s v="Follow up "/>
        <s v="Need to follow up,the owner was.not a available "/>
        <s v="Need to follow up after one week"/>
        <s v="Onboarding after app launch "/>
        <s v="Need time to discuss "/>
        <s v="Manager not available "/>
        <s v="Tomorrow need to follow back "/>
        <s v="Asked to meet tomorrow"/>
        <s v="Asked to meet sunday"/>
        <s v="Will get back to us"/>
        <s v="Onboarding 6th march"/>
        <s v="Asked to visit tomorrow for on boarding"/>
        <s v="Asked to visit tomorrow "/>
        <s v="Will speak regarding platform"/>
        <s v="owner asked to come tommrow at 7 pm"/>
        <s v="will onboard at 7 pm"/>
        <s v="OWNER WILL DISCUSS WITH BROTHER AND CALL BACK TOOMROW"/>
        <s v="OWNER WILL ONBOARD AFTER APP LAUNCH"/>
        <s v="ALREADY ONBOARDED BY AKHILA"/>
        <s v="Follow up on monday at 4 pm"/>
        <s v="Owner  will be available   on monday as he is out of station"/>
        <s v="Monday Onboarding"/>
        <s v="The owner was not available,need to follow up tomorrow "/>
        <s v="Monday meeting scheduled with manager "/>
        <s v="Today at 3:30meeting scheduled "/>
        <s v="Onboarding today "/>
        <s v="I will follow up to schedule meeting "/>
        <s v="Didn't shared poc details need to revisit again "/>
        <s v="Not Intrested "/>
        <s v="Will onboard by EOD "/>
        <s v="Onaborded "/>
        <s v="Ba"/>
        <s v="Negative "/>
        <s v="Done with onaboarding"/>
        <s v="ASKED TO COME ON MONDAY"/>
        <s v="Will call us after talking to partner"/>
        <s v="OWNER ASKED TO MEET ON MONDAY"/>
        <s v="ONWER ASKED TO COME ON MONDAY"/>
        <s v="Asked to meet on monday"/>
        <s v="Will onboard"/>
        <s v="Final meeting to onboard "/>
        <s v="Meeting with different poc for Onboarding "/>
        <s v="Need discussion for commission "/>
        <s v="Have to meet manager owner not available they have few branches "/>
        <s v="Meeting with kiran that is new Restaurant "/>
        <s v="Docs collection has to be done"/>
        <s v="After 1 hour of meeting they don't want to onboard"/>
        <s v="Will see after launch"/>
        <s v="They don't want online delivery platform"/>
        <s v="Took out number and get back to us"/>
        <s v="Explained he is interested once discuss with partner and get back to us"/>
        <s v="Need to call for follow up"/>
        <s v="Will onboard after launch "/>
        <s v="He need time"/>
        <s v="Monday follow up"/>
        <s v="He need time to decide"/>
        <s v="He is interested but need time to decide"/>
        <s v="he is busy with opening new outlet"/>
        <s v="he is not interested"/>
        <s v="Follow up after 2 days"/>
        <s v="All docs collected along with menu"/>
        <s v="All docs collected"/>
        <s v="Mx will be available either in mornings or after 6PM"/>
        <s v="Spoke to HO Franchise owner,follow up required on friday."/>
        <s v="Need to speak with Marketing manager"/>
        <s v="Need to have a follow up call with Marketing manager - prithvish samanth"/>
        <s v="Parthiv has onboarded two outlets as well."/>
        <s v="Need to follow up with owner - he is out of station as of now."/>
        <s v="Everything explained to owner - he asked to get back on wednesday"/>
        <s v="Meeting done in the headoffice,the head Satish asked to share the proposal , forwarded to Charan about the details to share proposal, thursday call back to schedule meeting "/>
        <s v="The head team will be available in begumpet office in pullareddy building scheduled meeting on thursday "/>
        <s v="Spoke with general manager,he will discuss with the headoffice team,follow back for the feedback "/>
        <s v="Discussion done with the manager,need to discuss with MD,asked us to share on proposal nd asked Charan to share on WhatsApp,follow back to schedule meeting "/>
        <s v="Spoke with the owner on the call,he said they are going to handover to the 3rd party so that they neeed time "/>
        <s v="Follow up required after 2days "/>
        <s v="Need to follow up after 2 days "/>
        <s v="Need to provide them proposal data"/>
        <s v="Need to send proposal and arrange meeting "/>
        <s v="Hello will call us"/>
        <s v="Get back to us"/>
        <s v="Discussion done with 16% but the partners are asking inclusive of all 16%"/>
        <s v="Onborded "/>
        <s v="Revisited again for the feedback but the partner was not available "/>
        <s v="For the discussion no one was available "/>
        <s v="Revisited again for the feedback but the owner said he needs time "/>
        <s v="Mx having two outlets - KPHB Branch &amp; Nizampet"/>
        <s v="mx not available, follow up required."/>
        <s v="Mx is least interested - need to approach after launch."/>
        <s v="have a word with owner mr.shiva, follow up required "/>
        <s v="need to meet them on friday"/>
        <s v="Owner will be available after 7pm"/>
        <s v="owner will be available tmrw after 6PM"/>
        <s v="thursday 10 AM"/>
        <s v="follow up required , need to talk with mx after 15 days"/>
        <s v="meet tmrw"/>
        <s v="He is not interested at all "/>
        <s v="Reach to head office "/>
        <s v="Onaborded"/>
        <s v="They will onboard after app launch "/>
        <s v="Head office "/>
        <s v="Need to talk in head office "/>
        <s v="Talked with manager "/>
        <s v="We have spent 5 hours for 4 partners meeting finally they said after app launch "/>
        <s v="They will reach after app launch "/>
        <s v="Directly mail "/>
        <s v="Thursday arranged meet "/>
        <s v="Sent email "/>
        <s v=" Talked with Manger "/>
        <s v="We are not interested come with numbers "/>
        <s v="Come with numbers "/>
        <s v="He need to sign the documents "/>
        <s v="Not lifting calls "/>
        <s v="We need to send the email "/>
        <s v="She will onboard "/>
        <s v="Call after 6 pm she will be available I have talked with manager "/>
        <s v="He is busy in this tym after 6 "/>
        <s v="She is busy she said I will call "/>
        <s v="We need send proposal as owner will be on Mumbai "/>
        <s v="We need to send proposal "/>
        <s v="They are busy dealing Gas issues, asked to come back later once the issue is solved, they said they will call later"/>
        <s v="They are facing the issues of gas and oil  they are stopping even Swiggy and Zomato for few days &#10;They are getting 300 orders per day but they can’t give that much if gas is running out "/>
        <s v="They are not interested they can do it after app launch "/>
        <s v="Meet after 7 &#10;I will be going to him today "/>
        <s v="Didn't shared the POC details said to reach headoffice"/>
        <s v="Revisited again but owner was. Not available "/>
        <s v="They are under renovation of kitchen they need one month of time "/>
        <s v="The owner was out of station "/>
        <s v="Not interested at present "/>
        <s v="He needs time "/>
        <s v="They faced commision issues with other now they not active on any platform and not interested "/>
        <s v="No one was available for discussion called to reach the manager but didn't answer "/>
        <s v="Asked for a 15%including all "/>
        <s v="He needs 17%including all"/>
        <s v="Owner was not available ,he will be available only in midnights"/>
        <s v="Had the discuss with the resturant owner .he is interested but onboarding will be after app lauch"/>
        <s v="After app launch"/>
        <s v="Call back at 7:30 pm,I called her but she is not answering"/>
        <s v="They need time to discuss and decide"/>
        <s v="Onboarding on Monday at 11 am"/>
        <s v="Scheduled meet with owner tomorrow "/>
        <s v="Scheduled meet with owner tomorrow 1PM"/>
        <s v="Meet with owner "/>
        <s v="Owner will be available after 6PM everyday "/>
        <s v="After launch they asked to approach "/>
        <s v="Friday call back has to be made &amp; follow up required - positive lead"/>
        <s v="Merchant asked time to get onboarded into caps "/>
        <s v="On Monday prior call has to be made to merchant &amp; approach !"/>
        <s v="Have 4 outlets, aske to come after app launch&#10;"/>
        <s v="Follow back meetings were happened 4 times, Asked to come after app launch on the final meeting "/>
        <s v="Owner is not in the country asked to come back march ending"/>
        <s v="Owner will be available only after 8PM, already informed this to Manisha to assign someone for the meeting after 8"/>
        <s v="They have 4 outlets, has a basic intro meeting with the POC, asked to come back after app launch "/>
        <s v="It's a cloud kitchen, has good AOV and tier 2 outlet, owner asked to come after launch or with any founder member.&#10;"/>
        <s v="Has 2 outlets, tier 1 resturant, disscussion done with the operations manager, said will speak to the owner and get back , follow back calls has been made but no response "/>
        <s v="Tier 2 Resturant, wamt to onbard after the launch &#10;"/>
        <s v="Will get sign"/>
        <s v="Need to wait till gass issue solved"/>
        <s v="Will get back to us after lpg issue"/>
        <s v="Will get back to us after lpg issue of ater one week we need to followup"/>
        <s v="Asked us to reach out after one week "/>
        <s v="All docs collected - dine in menu collected."/>
        <s v="Today onboarding "/>
        <s v="17/03/26 onabording today "/>
        <s v="Not interested directly from owner "/>
        <s v="Direct no from owner "/>
        <s v="Hari dosa I need to talk  with owner "/>
        <s v="At the moment owner was busy meeting fixed on Monday "/>
        <s v="The owner was out of station need to follow up on Monday "/>
        <s v="The owner was not available will visit in the evng again"/>
        <s v="Owner was not available I will follow to schedule meeting "/>
        <s v="Due to lpg issue,he needs time to sort the issue then follow back "/>
        <s v="Present owner was not available scheduled meeting in the evening "/>
        <s v="Meeting scheduled tomorrow at 12:00"/>
        <s v="Needs time the proposal shared, revisited for the follow back "/>
        <s v="Need to share proposal then he get back "/>
        <s v="Has to meet owner "/>
        <s v="Has to talk with marketing head Ms.kajal"/>
        <s v="Visited jubilee hills branch, spoke to res manager,they are having 3 outlets &amp; GM will be available tomorrow after 1:30PM,haven't provided the contact info"/>
        <s v="Ms.Chinmai is the decision maker &amp; she will be available on saturday"/>
        <s v="shambav - 9949305533 owner will be available after 5PM"/>
        <s v="Follow up required | had a chat over call with owner - asked to meet on monday"/>
        <s v="they said &quot;will get back to you&quot;"/>
        <s v="wednesday onboarding the restaurant"/>
        <s v="Have spoken with CEO of lassi story | TR negotiations are happening"/>
        <s v="Bank details pending - Onboarded"/>
        <s v="Need to explain all about caps with manager &amp; he will be available after 1pm"/>
        <s v="onboarding will be done - wednesday 18th march"/>
        <s v="Owner name raghu &amp; he will be available on wednesday morning 10:30 "/>
        <s v="Friday onboarding"/>
        <s v="after one week , owner will be available."/>
        <s v="Friday meet - 20th march"/>
        <s v="OWNER WILL BE AVAILABLE ON FRIDAY"/>
        <s v="Owner is not available as he is out of station asked to come back on friday "/>
        <s v="Ask  to visit again later as your currently facing LPG issue"/>
        <s v="Owner will be available tommrow after 3 pm"/>
        <s v="Owner is not followed up with the owner he asked to come tommrow"/>
        <s v="Owner  is in banglore asked to call on monday so that he will be available in madhapur branch &#10;They own 2 more restaurants"/>
        <s v="After lpg issue "/>
        <s v="After sortout of lpg issue will onboard "/>
        <s v="Revisited again manager was not available nd didn't shared the POC"/>
        <s v="Discussion done with manager he said to share proposal I will share proposal today "/>
        <s v="Manager was not available and he is leave for 5days,after 5days I will follow up "/>
        <s v="Discussion done with owner on call,he will send the documents in the evng will onboard "/>
        <s v="Discussion done asking for 10++ ,follow up on Saturday "/>
        <s v="Discussion done with owner need to share proposal expecting for 15%"/>
        <s v="Doing 9%on Swiggy expecting less then them,need to share proposal "/>
        <s v="Discussion done with one partner,spoke on call with another partner,I will share the proposal today "/>
        <s v="The POC was not available for discussion "/>
        <s v="Monday follow back "/>
        <s v="No one was available for the feedback,revisited,he said call back on Monday "/>
        <s v="Call back tomorrow to schedule meeting "/>
        <s v="Monday call back to schedule meeting"/>
        <s v="Monday call back "/>
      </sharedItems>
    </cacheField>
    <cacheField name="Follow Up Meeting Required?" numFmtId="0">
      <sharedItems containsBlank="1">
        <m/>
        <s v="Yes"/>
        <s v="No"/>
      </sharedItems>
    </cacheField>
    <cacheField name="Meeting agenda for follow up" numFmtId="0">
      <sharedItems containsBlank="1">
        <m/>
        <s v="Document Collection"/>
        <s v="Contract Signing"/>
        <s v="Need to receive some of the documents"/>
        <s v="Onboarding done."/>
        <s v="Met the front office team,"/>
        <s v="To explain about our platform"/>
        <s v="Manager need to discuss with owner and he will get up to us,but I will follow up."/>
        <s v="Owner was busy during lunch and he said to follow up on monday"/>
        <s v="Meeting with different POC"/>
        <s v="NA"/>
        <s v="Negotiation"/>
        <s v="Introduction"/>
        <s v="Onboarded "/>
        <s v="Meeting with owner"/>
        <s v="They are not interested right now due to losses by Swiggy and zomato"/>
        <s v="After App launch "/>
        <s v="After App lauch"/>
        <s v="MENU COLLECTION"/>
        <s v="Onboarding "/>
        <s v="I am following up  as he said he'll convey the msg to his owners"/>
        <s v="He asked for two days time regarding the decision "/>
        <s v="The receptionist asked me to call tomorrow at 11am for checking the availability of the owner"/>
        <s v="He has asked for time regarding the decision but he is interested "/>
        <s v="They have agreed for onboarding on next Monday "/>
        <s v="Onboarding"/>
        <s v="Onboarding discussion "/>
        <s v="Proposal Discussion"/>
        <s v="I have followed up on 18th Feb and he wants to check the app after launch to come to a decision "/>
        <s v="contract signed"/>
        <s v="Call nellore which the decision making place"/>
        <s v="follow up"/>
        <s v="Menu collection "/>
        <s v="Food licence certificate "/>
        <s v="Onboarded"/>
        <s v="Everything explained to owner - he asked to get back on wednesday"/>
        <s v="Mx is least interested."/>
      </sharedItems>
    </cacheField>
    <cacheField name="Points to be prepared" numFmtId="0">
      <sharedItems containsBlank="1">
        <m/>
        <s v="KBUHIH"/>
        <s v="NA"/>
        <s v="interface about the AAP"/>
        <s v="Comiision"/>
        <s v="documents collection"/>
        <s v="commissions &amp; documents signs"/>
        <s v="Commissions, documents collections, Competrtiors"/>
        <s v="commissions, demo"/>
        <s v="Meetings are with HOD's at minerva group of hotels"/>
        <s v="Need discuss how are Planning the things What our Vision from merchant Pointnof View"/>
        <s v="Commisions "/>
        <s v="Commisions"/>
        <s v="We need to share the proposal "/>
        <s v="asked for Propsal and Comission I have Pitched is 20++,need to call him tmrw eveng fro Scduling the meeting"/>
        <s v="Intro meeting need dicuss regarding Commision for all branches"/>
        <s v="20++ Comission we Sait it"/>
        <s v="Intro meeting"/>
        <s v="Same Poc Who is for CreamStone"/>
        <s v="need to call him after 2 pm today"/>
        <s v="Intro meetng we Visted the Outelt Yesterday"/>
        <s v="We need to approach Marketing team"/>
        <s v="Toscano  POC-Bala(Manager) 9986998503  Owners will be in Bangalore  They are exclusive on swiggy and zomato,Before they have tried other food delivery platforms but they got more negative feedback so once launch is done,depending on the marketing the mana"/>
        <s v="we need to colect the documents"/>
        <s v="He will talk with Marketing Team and let us know "/>
        <s v="Manager will be available after 7 pm"/>
        <s v="POC-Ali Firoz 9769343996 Discussed with manager,he is interested but he need the proposal to sent on email with clear points about our platform and commissions and the offers.so that he can discuss with his higher officials for approval. AOV-2000-5000+ La"/>
        <s v="We need contact with Marketing team"/>
        <s v="In Tolichowki tha manager will be there"/>
        <s v="It has 35outlets and manager will be available after 19:00pm in outlet "/>
        <s v="Owner will be available after 21:00Pm in the restaurant(Kondapur)"/>
        <s v="She want to discuss with Owner"/>
        <s v="HE IS OUT OF STATIOIN"/>
        <s v="ASKED TO VISIT ATTAPUR HEAD OFFICE "/>
        <s v="OWNER IS NOT AVAILABLE "/>
        <s v="OWNER WILL BE AVAILABLE AT 11 PM EVENING"/>
        <s v="Manager will be available in the evng after 19:00PM"/>
        <s v="Ready for Onboarding but need time"/>
        <s v="OWNER WILL BE AVAILABLE AT 11 PM IN EVENIING"/>
        <s v="If he interested he will contact us"/>
        <s v="owner want to discuss with his brother,I will follow up"/>
        <s v="He need check with partner,follow up tomorrow after 18:00"/>
        <s v="Manager is on the leave,follow up after 2 days"/>
        <s v="Owner will be available in the evening,I will follow up for meeting"/>
        <s v="Discussed with the manager,got the details of the owner,available to take calls in the evening,I will follow up"/>
        <s v="Discussion done with manager,Owners will  be available after 20:00Pm"/>
        <s v="owners is busy and he is not coming to restaurent,call back after 4 days for schedling meeting"/>
        <s v="Follow up,manager will discuss with owner"/>
        <s v="Follow up,owner is out of station will be back after one week"/>
        <s v="need to follow up"/>
        <s v="discussion done with the manager,got the details of the owner,follow up"/>
        <s v="Owner will be available after 3 days"/>
        <s v="OWNER NOT AVAILABLE"/>
        <s v="OWNER WILL TALK TO THE PARTNER AND LET US KNOW"/>
        <s v="Owner asked to visit on friday as he is not available today and tommrow"/>
        <s v="OWNER IS NOT AVAILABLE HE COME AFTER 9 PM"/>
        <s v="need to discuss regarding Commision Part, as the other Platforms Were giving 9++ Comission"/>
        <s v="21++ I Want to Pitch"/>
        <s v="HIS SON IS THE SIGNING AUTHORITY"/>
        <s v="Manager is not available got the contact details from the supervisor "/>
        <s v="Commission I need to discuss "/>
        <s v="Manager is not available,when I visited the cafe got the contact details,I will follow up"/>
        <s v="Manager will be available after 5 in the restaurant "/>
        <s v="Need to discuss about the restaurant how the other Platforms Were doing "/>
        <s v="19++"/>
        <s v="Manager is not available,will be available after 18:00pm"/>
        <s v="They are 4 partners,discussion done with one partner  need to discuss with other partners,200-400 average orders per day in online platforms"/>
        <s v="Manager is not available"/>
        <s v="WE EXPLAINED EVERY THING WE NEED TO COLLECT DOCUMENTS ON MONDAY"/>
        <s v="Manager will be available after 19:00"/>
        <s v="Owner will be available after 18th of these month"/>
        <s v="No"/>
        <s v="ASKED TO COME ON MONDAY"/>
        <s v="Not in any online platform we have explain every thing but not interested as of now will contact if interested"/>
        <s v="HE WILL BE AVAILABLE TOMMROW AT 12 IN THE MORNING"/>
        <s v="Need to Close him for 15 ++"/>
        <s v="TOMMROW  AFTER 3 PM"/>
        <s v="MANAGER WILL BE AVAILABLE AFTER 5"/>
        <s v="Spoke with manager on the call,gave appointment on Monday"/>
        <s v="Monday will be available "/>
        <s v="Need to contact kolkata branch for descion "/>
        <s v="Monday meeting scheduled "/>
        <s v="Area head is responsible for descion making,she said she will pass the info I will follow up her "/>
        <s v="Manager need to discuss with owner "/>
        <s v="AFTER 3 PM OWNER WILL BE AVAILABLE "/>
        <s v="Owner  will be available after7"/>
        <s v="He will give the documents after app lauch"/>
        <s v="WILL ONBOARD ON MONDAY"/>
        <s v="WILL ON BOARD ON MONDAY "/>
        <s v="Owner will be available on monday at 11 am"/>
        <s v="Will onborad at 6 pm"/>
        <s v="15++ all restaurants"/>
        <s v="Already I came and discussed With Manager"/>
        <s v="OWNER WILL BE AVAILABLE  AFTER 8"/>
        <s v="ASKED TO COME 5 PM"/>
        <s v="Intrested to Onboard"/>
        <s v="Call Mr. Kishan "/>
        <s v="Call and meet Mr. Gaffar"/>
        <s v="Connect to call centre and fix meeting with area manager"/>
        <s v="CAll Mr. Gopi"/>
        <s v="Call Mr. Prajitesh"/>
        <s v="Call Mr. Mahendra"/>
        <s v="Call Mr. Sanjeev"/>
        <s v="Call Mr. Sri Nivas"/>
        <s v="Call Mr Amar"/>
        <s v="Call Mr. KSN Murhi"/>
        <s v="Call Mr. Umar"/>
        <s v="Call Mr. Vamsi and share proposal on mail"/>
        <s v="Call Mr. Ameer"/>
        <s v="Call Mr. Laxman"/>
        <s v="Meet Mr, Pasha post 4 pm on Wednesday"/>
        <s v="Call Mr. Suraj"/>
        <s v="Message Mr. Reeshav get appointment, share proposal on Email"/>
        <s v="1 day time"/>
        <s v="Proposal Disucssion"/>
        <s v="Proposal"/>
        <s v="Proposal Discussion"/>
        <s v="Interested in delivery, not getting orders from Swiggy"/>
        <s v="Research about the hungerbox app (call before meeting)"/>
        <s v="Need to follow up at Begumpet branch"/>
        <s v="Need to meet Mr. Bala contact details not shared by Sai Ram"/>
        <s v="Send Proposal"/>
        <s v="Call Mr. Kalim"/>
        <s v="Call Mr.Akshay"/>
        <s v="ASKED TO COME ON FRIDAY"/>
        <s v="ASKED TO COLLECT DOCUMENTS ON MONDAY"/>
        <s v="OWNER WILL BE AVAILABLE  ON FRIDAY"/>
        <s v="OWNER WILL BE AVAILABLE AFTER 10 PM EVENING"/>
        <s v="OWNER WILL AV AILABLE AFTER 5 PM"/>
        <s v="HAVE TO TAKE GST AND EMAIL ID"/>
        <s v="Proper structure has to be explained to manager in the follow up meet"/>
        <s v="Detailed discussion needed about the structure of caps with owner "/>
        <s v="Detailed discussion with manager required as we spoke to cashier at res."/>
        <s v="details has to be discussed with owner"/>
        <s v="detailed structure discussion"/>
        <s v="All the detailed structure discussion has to be done with HO people after they are responding to the proposal which we shared through mail"/>
        <s v="OWNER WILL  BE AVAILABLE TOMMROW"/>
        <s v="OWNER WILL BE AVAILABLE TOMMROW"/>
        <s v="AVAILABLE TOMMROW"/>
        <s v="WILL BE AVAILABLE TOMMROW"/>
        <s v="ASKED TO COME TOMMROW"/>
        <s v="WILL BE AVAILABLE AFTER 12PM"/>
        <s v="ASKED TO COME TOMMROW "/>
        <s v="NOT AVAILABLE ASKED TO COME TOMROW"/>
        <s v="WILL BE AVAILABLE 4PM"/>
        <s v="ASKED TO MEET AFTER 3:30"/>
        <s v="NOT  INTERESTED"/>
        <s v="ASKED TO CALL TOMMROW "/>
        <s v="ASKED TO COME DIRECTLY AFTER 2 PM"/>
        <s v="HE WILL BE AVAILABLE TOMMROW"/>
        <s v="Negotiatiob"/>
        <s v="Proposal negotiation"/>
        <s v="ASKED TO COME  AT 12 PM"/>
        <s v="OWNER WILL ASKED TO COME AFTER 4 PM"/>
        <s v="Owner is not available asked to come back tommrow"/>
        <s v="ASKED TO MEET TOMMROW"/>
        <s v="They will get back to us regarding the onboarding "/>
        <s v="Intro"/>
        <s v="Documents "/>
        <s v="Negotiation "/>
        <s v="Explanation "/>
        <s v="Onboarding "/>
        <s v="Asked to send the proposal in email"/>
        <s v="Will be available on 4 th"/>
        <s v="Owner will be available on 4 th"/>
        <s v="Owner will be available at 7pm"/>
        <s v="HE NEEDS TIME TO THINK FOR 2 DAYS"/>
        <s v="HE WILL DISCUSS WITH HIS BROTHER AND LET US KNOW"/>
        <s v="Head office is in sherlingampally  We can go and talk directly"/>
        <s v="Owner not available today asked to come on friday"/>
        <s v="Owner will discuss with brother and get back on thursday"/>
        <s v="owner asked to come tommrow"/>
        <s v="will onboard at 7 pm"/>
        <s v="OWNER WILL DISCUSS WITH BROTHER AND CALL BACK TOOMROW"/>
        <s v="OWNER WILL ONBARD AFTER APP LAUNCH"/>
        <s v="ALREADY ONBOARDED BY AKHILA"/>
        <s v="OWNER WILL BE AVAILABLE ON MONDAY"/>
        <s v="Owner  will be available   on monday as he is out of station"/>
        <s v="MENU"/>
        <s v="FORMENU"/>
        <s v="OWNER ASKED TO MEET ON MONDAY"/>
        <s v="ONWER ASKED TO COME ON MONDAY"/>
        <s v="ASKED TO COEM COLLECT DOCUMENTS ON MONDAY"/>
        <s v="Owner will be available tomorrow only afternoons 12-1PM !!! Res manager hasn’t shared any details "/>
        <s v="Meet with owner "/>
        <s v="Have spoken with CEO of lassi story | TR negotiations are happening"/>
      </sharedItems>
    </cacheField>
    <cacheField name="Meeting Date" numFmtId="0">
      <sharedItems containsDate="1" containsString="0" containsBlank="1">
        <m/>
        <d v="1996-02-03T00:00:00Z"/>
        <d v="2026-02-04T00:00:00Z"/>
        <d v="2026-02-03T00:00:00Z"/>
        <d v="2026-02-06T00:00:00Z"/>
        <d v="2026-02-09T00:00:00Z"/>
        <d v="2026-02-10T00:00:00Z"/>
        <d v="2026-02-16T00:00:00Z"/>
        <d v="2026-02-11T00:00:00Z"/>
        <d v="2026-03-01T00:00:00Z"/>
        <d v="2026-02-08T00:00:00Z"/>
        <d v="2026-02-12T00:00:00Z"/>
        <d v="2026-02-13T00:00:00Z"/>
        <d v="2026-02-20T00:00:00Z"/>
        <d v="2026-02-14T00:00:00Z"/>
        <d v="2026-02-17T00:00:00Z"/>
        <d v="2026-02-21T00:00:00Z"/>
        <d v="2026-02-15T00:00:00Z"/>
        <d v="2026-02-18T00:00:00Z"/>
        <d v="2026-02-25T00:00:00Z"/>
        <d v="2026-02-19T00:00:00Z"/>
        <d v="2026-02-23T00:00:00Z"/>
        <d v="2026-02-24T00:00:00Z"/>
        <d v="2026-02-22T00:00:00Z"/>
        <d v="2026-02-28T00:00:00Z"/>
        <d v="2026-03-28T00:00:00Z"/>
        <d v="2026-02-26T00:00:00Z"/>
        <d v="2026-03-02T00:00:00Z"/>
        <d v="2026-02-27T00:00:00Z"/>
        <d v="2026-03-20T00:00:00Z"/>
        <d v="2026-02-02T00:00:00Z"/>
        <d v="2026-03-03T00:00:00Z"/>
        <d v="2026-03-04T00:00:00Z"/>
        <d v="2026-03-05T00:00:00Z"/>
        <d v="2026-03-06T00:00:00Z"/>
        <d v="2026-03-08T00:00:00Z"/>
        <d v="2026-03-07T00:00:00Z"/>
        <d v="2026-03-09T00:00:00Z"/>
        <d v="2026-03-10T00:00:00Z"/>
        <d v="2026-03-12T00:00:00Z"/>
        <d v="2026-03-13T00:00:00Z"/>
        <d v="2026-03-11T00:00:00Z"/>
        <d v="2026-03-25T00:00:00Z"/>
        <d v="2026-03-16T00:00:00Z"/>
        <d v="2026-03-23T00:00:00Z"/>
        <d v="2026-03-18T00:00:00Z"/>
        <d v="2026-03-21T00:00:00Z"/>
        <d v="2026-03-24T00:00:00Z"/>
      </sharedItems>
    </cacheField>
    <cacheField name="Meeting Time" numFmtId="0">
      <sharedItems containsDate="1" containsString="0" containsBlank="1">
        <m/>
        <d v="1899-12-30T10:11:00Z"/>
        <d v="1899-12-30T11:00:00Z"/>
        <d v="1899-12-30T20:20:00Z"/>
        <d v="1899-12-30T05:45:00Z"/>
        <d v="1899-12-30T15:00:00Z"/>
        <d v="1899-12-30T14:00:00Z"/>
        <d v="1899-12-30T13:00:00Z"/>
        <d v="1899-12-30T16:00:00Z"/>
        <d v="1899-12-30T12:00:00Z"/>
        <d v="1899-12-30T19:00:00Z"/>
        <d v="1899-12-30T13:30:00Z"/>
        <d v="1899-12-30T11:30:00Z"/>
        <d v="1899-12-30T12:30:00Z"/>
        <d v="1899-12-30T09:30:00Z"/>
        <d v="1899-12-30T17:00:00Z"/>
        <d v="1899-12-30T18:00:00Z"/>
        <d v="1899-12-30T03:00:00Z"/>
        <d v="1899-12-30T15:30:00Z"/>
        <d v="1899-12-30T10:00:00Z"/>
        <d v="1899-12-30T10:30:00Z"/>
        <d v="1899-12-30T14:30:00Z"/>
        <d v="1899-12-30T06:30:00Z"/>
        <d v="1899-12-30T03:30:00Z"/>
        <d v="1899-12-30T04:30:00Z"/>
        <d v="1899-12-30T20:30:00Z"/>
        <d v="1899-12-30T17:30:00Z"/>
        <d v="1899-12-30T02:00:00Z"/>
        <d v="1899-12-30T13:45:00Z"/>
        <d v="1899-12-30T20:00:00Z"/>
        <d v="1899-12-30T02:30:00Z"/>
        <d v="1899-12-30T06:00:00Z"/>
        <d v="1899-12-30T13:55:00Z"/>
        <d v="1899-12-30T01:30:00Z"/>
        <d v="1899-12-30T05:00:00Z"/>
        <d v="1899-12-30T07:30:00Z"/>
        <d v="1899-12-30T16:30:00Z"/>
        <d v="1899-12-30T12:20:00Z"/>
        <d v="1899-12-30T04:50:00Z"/>
        <d v="1899-12-30T17:29:00Z"/>
        <d v="1899-12-30T17:15:00Z"/>
        <d v="1899-12-30T11:22:00Z"/>
        <d v="1899-12-30T11:45:00Z"/>
        <d v="1899-12-30T14:45:00Z"/>
        <d v="1899-12-30T16:50:00Z"/>
        <d v="1899-12-30T22:00:00Z"/>
        <d v="1899-12-30T09:50:00Z"/>
        <d v="1899-12-30T05:50:00Z"/>
        <d v="1899-12-30T04:00:00Z"/>
        <d v="1899-12-30T01:00:00Z"/>
        <d v="1899-12-30T12:45:00Z"/>
        <d v="1899-12-30T02:45:00Z"/>
        <d v="1899-12-30T04:55:00Z"/>
        <d v="1899-12-30T07:00:00Z"/>
        <d v="1899-12-30T12:23:00Z"/>
        <d v="1899-12-30T14:40:00Z"/>
        <d v="1899-12-30T14:47:00Z"/>
        <d v="1899-12-30T16:45:00Z"/>
      </sharedItems>
    </cacheField>
    <cacheField name="Email address" numFmtId="0">
      <sharedItems containsBlank="1">
        <m/>
        <s v="TEST"/>
        <s v="manasa.chigurupati@capsdelivery.com"/>
        <s v="sumadhur.mummadi@capsdelivery.com"/>
        <s v="chanakya.inugala@capsdelivery.com"/>
        <s v="parthive.maganti@capsdelivery.com"/>
        <s v="moin.khan@capsdelivery.com"/>
        <s v="nitya.akshara@capsdelivery.com"/>
        <s v="greeshma.vanneldas@capsdelivery.com"/>
        <s v="ankitha.baske@capsdelivery.com"/>
        <s v="akhila.narra@capsdelivery.com"/>
        <s v="madhumitha.sonnakula@capsdelivery.com"/>
        <s v="amit.kaler@capsdelivery.com"/>
        <s v="Manisha Kumari"/>
        <s v="manisha.kumari@capsdelivery.com"/>
        <s v="anisha.poddar@capsdelivery.com"/>
        <s v="srivani.reddy@capsdelivery.com"/>
      </sharedItems>
    </cacheField>
    <cacheField name="Cold Walk/ Scheduled" numFmtId="0">
      <sharedItems containsBlank="1">
        <m/>
        <s v="Cold Walk-in"/>
        <s v="Scheduled"/>
      </sharedItems>
    </cacheField>
    <cacheField name="POC Available" numFmtId="0">
      <sharedItems containsBlank="1">
        <m/>
        <s v="Yes"/>
        <s v="No"/>
      </sharedItems>
    </cacheField>
    <cacheField name="Manager Name" numFmtId="0">
      <sharedItems containsBlank="1">
        <m/>
        <s v="SURYAKANTHAM MILTARY HOTEL"/>
      </sharedItems>
    </cacheField>
    <cacheField name="Manager Contact Details" numFmtId="0">
      <sharedItems containsString="0" containsBlank="1">
        <m/>
      </sharedItems>
    </cacheField>
    <cacheField name="Manager Email ID" numFmtId="0">
      <sharedItems containsString="0" containsBlank="1">
        <m/>
      </sharedItems>
    </cacheField>
    <cacheField name="Manager Contact Number" numFmtId="0">
      <sharedItems containsString="0" containsBlank="1" containsNumber="1" containsInteger="1">
        <m/>
        <n v="8.979923649E9"/>
      </sharedItems>
    </cacheField>
    <cacheField name="manager email id2" numFmtId="0">
      <sharedItems containsBlank="1">
        <m/>
        <s v="suryakanthammiltaryhotel@gmail.com"/>
      </sharedItems>
    </cacheField>
    <cacheField name="Caps Magin %" numFmtId="0">
      <sharedItems containsString="0" containsBlank="1" containsNumber="1">
        <m/>
        <n v="22.0"/>
        <n v="19.0"/>
        <n v="17.0"/>
        <n v="15.0"/>
        <n v="0.22"/>
        <n v="12.0"/>
        <n v="20.0"/>
        <n v="0.19"/>
        <n v="18.0"/>
        <n v="0.15"/>
        <n v="23.0"/>
        <n v="26.0"/>
        <n v="0.23"/>
        <n v="21.0"/>
      </sharedItems>
    </cacheField>
    <cacheField name="Additional 2% Distance Margin " numFmtId="0">
      <sharedItems containsBlank="1">
        <m/>
        <s v="No"/>
        <s v="Yes"/>
      </sharedItems>
    </cacheField>
    <cacheField name="Restaurant Open Time" numFmtId="0">
      <sharedItems containsDate="1" containsString="0" containsBlank="1">
        <m/>
        <d v="1899-12-30T11:00:00Z"/>
        <d v="1899-12-30T10:00:00Z"/>
        <d v="1899-12-30T11:30:00Z"/>
        <d v="1899-12-30T05:00:00Z"/>
        <d v="1899-12-30T08:00:00Z"/>
        <d v="1899-12-30T12:00:00Z"/>
        <d v="1899-12-30T09:00:00Z"/>
        <d v="1899-12-30T07:00:00Z"/>
        <d v="1899-12-30T13:00:00Z"/>
        <d v="1899-12-30T02:00:00Z"/>
        <d v="1899-12-30T00:00:00Z"/>
        <d v="1899-12-30T12:30:00Z"/>
        <d v="1899-12-30T07:30:00Z"/>
        <d v="1899-12-30T07:50:00Z"/>
        <d v="1899-12-30T03:00:00Z"/>
        <d v="1899-12-30T14:00:00Z"/>
      </sharedItems>
    </cacheField>
    <cacheField name="Restaurant Close Time" numFmtId="0">
      <sharedItems containsDate="1" containsString="0" containsBlank="1">
        <m/>
        <d v="1899-12-30T00:00:00Z"/>
        <d v="1899-12-30T22:00:00Z"/>
        <d v="1899-12-30T17:00:00Z"/>
        <d v="1899-12-30T23:00:00Z"/>
        <d v="1899-12-30T00:30:00Z"/>
        <d v="1899-12-30T23:59:00Z"/>
        <d v="1899-12-30T01:00:00Z"/>
        <d v="1899-12-30T11:30:00Z"/>
        <d v="1899-12-30T11:00:00Z"/>
        <d v="1899-12-30T21:20:00Z"/>
        <d v="1899-12-30T20:30:00Z"/>
        <d v="1899-12-30T10:40:00Z"/>
        <d v="1899-12-30T23:30:00Z"/>
        <d v="1899-12-30T12:00:00Z"/>
        <d v="1899-12-30T22:30:00Z"/>
        <d v="1899-12-30T23:50:00Z"/>
        <d v="1899-12-30T23:25:00Z"/>
        <d v="1899-12-30T03:00:00Z"/>
      </sharedItems>
    </cacheField>
    <cacheField name="Daily Online Orders">
      <sharedItems containsBlank="1" containsMixedTypes="1" containsNumber="1" containsInteger="1">
        <m/>
        <n v="60.0"/>
        <n v="40.0"/>
        <s v="50-60"/>
        <n v="20.0"/>
        <n v="30.0"/>
        <n v="0.0"/>
        <n v="50.0"/>
        <n v="70.0"/>
        <n v="10.0"/>
        <n v="80.0"/>
        <s v="20-30"/>
        <n v="25.0"/>
        <s v="NA"/>
        <s v="30-50"/>
        <n v="90.0"/>
        <n v="150.0"/>
        <n v="300.0"/>
        <n v="200.0"/>
        <n v="20000.0"/>
        <s v="New to online "/>
        <n v="100.0"/>
        <n v="35.0"/>
        <n v="15.0"/>
        <n v="1.0"/>
        <n v="22.0"/>
        <s v="200++"/>
        <n v="3.0"/>
        <s v="30-40"/>
        <s v="40+"/>
        <s v="50+"/>
        <n v="85.0"/>
        <n v="2.0"/>
        <n v="5.0"/>
        <n v="45.0"/>
        <n v="55.0"/>
        <n v="120.0"/>
        <n v="50000.0"/>
        <s v="60-70"/>
        <n v="75.0"/>
        <s v="100+"/>
        <s v="20+"/>
      </sharedItems>
    </cacheField>
    <cacheField name="Restaurant Address" numFmtId="0">
      <sharedItems containsBlank="1">
        <m/>
        <s v="SHOP PREMISES BEARING PLOT NO 86,KHANMET,AYYAPPA SOCIETY,RANGA REDDY DIST"/>
        <s v="S.No: 8-3-944/11/2, Ameerpet Main Road,Beside Ramraj Cotton, Ameerpet, Hyderabad, Telangana 500073"/>
        <s v="somajiguda"/>
        <s v="Lane, opposite to Reliance smart bazaar, Sri Ganesh Nagar, Punjagutta Officers Colony, Ameerpet, Hyderabad, Telangana 500082"/>
        <s v="Kukatpally "/>
        <s v="FLAT NO-5 (FIRST FLOOR), BLOCK NO-6, MUNICIPAL NO-15-31-21-6/5,KPHB COLONY, , Moosapet Circle No 23, Hyderabad, Telangana - 500072"/>
        <s v="17,18/G-2, Sri Sai Arcade, Shop No 7, 1-455/16, Mytrivanam Road, Ameerpet, Hyderabad, Telangana 500016"/>
        <s v="First floor, 6-3-902/3, Raj Bhavan Rd, beside Pratul Honda, Durga Nagar Colony, Somajiguda, Hyderabad, Telangana 500082"/>
        <s v="Jsr mall vidia colony madeenaguda near alywn x road miyapur 500050"/>
        <s v="1-55/196&amp; 199A botanical garden road serlingampally circle 20 "/>
        <s v="Syno 274(p) aparna hill park commercial building chandanagar"/>
        <s v="LUCKY RESTAURANT [somajiguda]"/>
        <s v="Shutter no 3 plot no2A sy no 12 Kondapur serlingampally circle no 20 Hyderabad 500084"/>
        <s v="Plot to a Whitefield Kondapur circle number 20 Hyderabad"/>
        <s v="Hno 27-3/26 siva sai nagar 11 bairaguda hyd"/>
        <s v="0, PLOT NO 9, 0 0, ShivBagh, Balkampet, Hyderabad, Telangana 500016"/>
        <s v="1, Satyam Theatre Rd, opp. ad it ya trade center center, Kumar Basti, Srinivasa Nagar, Ameerpet, Hyderabad, Telangana 500038"/>
        <s v="Ameerpet "/>
        <s v="Sai Nath Enclave, Block F2,Gokul Plots, Venkataramana Colony, K P H B Phase 9, Hafeezpet, Hyderabad, Telangana 500085"/>
        <s v="Moosapet "/>
        <s v="H.no-33-A,APHB colony,Indira nagar,Gachibowli,500032"/>
        <s v="uilding No./Flat No.: H No. 8-3-222/C/1/12 Road/Street: Madhura Nagar Nearby Landmark: PILLAR NO. C1467 City/Town/Village: Hyderabad District: Hyderabad State: Telangana PIN Code: 500045"/>
        <s v="1-98/90/24, Ayyappa Society Main Rd, opp. IOC Petrol Pump, Megha Hills, Sri Sai Nagar, Madhapur, Hyderabad, Telangana 500081"/>
        <s v="Gate number:-4, Paramount,Colony near Amen masjid, tolichoki,Hyderabad Mehdipatnam Circle no:-12, 5000028"/>
        <s v="TWO SHUTTERS NO.1 &amp; 2, IN H.NO.8-3-  318/6/3/13/1/8, ALI NAGAR,  YELLAREDDYGUDA HYDERABAD 500073,  Yousufguda Circle No 19, Hyderabad,  Telangana - 500073"/>
        <s v="grounf floor,Hno.7-14/32/iiB,A/1 Alkapuri township,pupalaguda rajendranagar manikonda"/>
        <s v="Addagutta cooperative society, Addagutta Society, Jal Vayu Vihar, Kukatpally, Hyderabad, Telangana 500085"/>
        <s v="H.NO-8/1,IN sector-11 of Hudo techno enclave,madhapur,serlingampally,Rangareddy,500081"/>
        <s v="Mother’s Kitchen"/>
        <s v="Vindhu Maharaj"/>
        <s v="Sri Aadhya Delicious "/>
        <s v="8-3-222/8/76/G2 , Yousufguda Circle  No 19, Hyderabad, , Telangana,  500038"/>
        <s v="Shop No 8-3-22/16A &amp; 16 B/6, Kavya  Deluxe Complex, Madhuranagar, Opp  Allahabad Bank, Yosufguda, Hyderabad -  500073 , Yousufguda Circle No 19,  Hyderabad, Telangana - 500073"/>
        <s v="8-3-633/82/1 ali nagar tawwakal nagar Yella reddy,guda hyd telegana 500073"/>
        <s v="Sr nagar"/>
        <s v="Plot no: 64, Opp. HP Petrol pump, Peeramcheruv, GANDHAMGUDA, Bandlaguda Jagir, Gandipet M, Gandipet, Rangareddy,, Telangana, 500086"/>
        <s v="beside Paradise, Vinayak Nagar, Indira Nagar, Gachibowli, Hyderabad, Telangana 500032"/>
        <s v="Hafzeepet"/>
        <s v="HNO 3-3/55 TULJA BHAVANI NILAYAM VINAYAKA NAGAR COLONY BANDLAGUDA JAGIR RAJENDRA NAGER RANGA REDDY , Gandipet, Rangareddi, Telangana-500086"/>
        <s v="100, Himgiry Nagar Colony Rd, Himagiri Nagar, Shanthinagar Colony, Raghuram Nagar Colony, Hydershakote, Bandlaguda Jagir, Telangana 500091"/>
        <s v="Η NO: 1-124, KISMATHPUR, Rajendra Nagar circle No 11, Hyderabad, Telangana-500086"/>
        <s v="NO.75,76 AND 77,DWARAKA NAGAR MAIN  ROAD,OPP;RAUS SCHOOL,BANDLAGUDA  JAGIR,GANDIPET  MANDAL,R.R.DIST-500086. , Gandipet,  Rangareddy, Telangana-500086"/>
        <s v=" H.No 5-68, Shanthi Nagar, Hydershakote ,  Bandlaguda  (Jagir) , Rajendranagar,  Rangareddi, Telangana-500091"/>
        <s v="shop No-101,plot No-36,St.Mincheals  colony,Bandlaguda , Gandipet,  Rangareddy, Telangana-500086"/>
        <s v="PLOT NO- 1, DARGA KHALIJ KHAN, LV  PRASAD EYE INSTITUTE, H NO- 4, 200003,  KISMATPUR ROAD, BESIDE LVPEI ,  Gandipet, Rangareddy, Telangana-500086"/>
        <s v="SY NO . 20/AA WESTERN COLONY  GANDHAMGUDA  BANDLAGUDA  TELANGANA-500086 , Gandipet,  Rangareddy, Telangana-500086"/>
        <s v="SHOP NO:10, Abhuyudaya Nagar-Anandh  nagar colony-Himayathsagar village) ,  Gandipet, Rangareddy, Telangana-500075"/>
        <s v="Office Shop No 1 2 3 4 ,H No  5-6-69870,Bandlaguda Jagir, Rangareddy,  Telangana-500091"/>
        <s v="Hazeepet"/>
        <s v="Kukatapally"/>
        <s v="Kukatpally"/>
        <s v="Shop number 8-3-22 16A and 16b Madhura Nagar"/>
        <s v="Ccpq + hhs circle number 17 Madhura Nagar 500073"/>
        <s v="House number 2-92 / 3 shop number 4 Telangana 500084"/>
        <s v="Yousufguda circle number 19 Hyderabad Telangana 500038"/>
        <s v="Ads 3-228 / 1280 / 46, circle number 19 Hyderabad 500045"/>
        <s v="Plot number 2A SY number 12 opposite Divya Hyderabad 500084"/>
        <s v="Plot number to a dash 218-sy number 12 Kondapur 500084"/>
        <s v="Message yousufguda circle number 1950045"/>
        <s v="Shriram Nagar yusufguda Hyderabad fighter 0"/>
        <s v="Banjara hills 500034"/>
        <s v="Do number 6 s3-1192 / 1 / g / 8 White House G4 Hyderabad 5000 16"/>
        <s v="– 3 – 235 yousufguda – 500045"/>
        <s v="Yousuguda"/>
        <s v="Srinagar colony"/>
        <s v="Kothaguda Hyderabad city kabab road 500084"/>
        <s v="Kondapur circle number 20 kothaguda"/>
        <s v="Amina Pur Chandanagar selling company 5000"/>
        <s v="Kondapur kathgodha Hyderabad"/>
        <s v="Plot number to 12 Prashant Nagar Kondapur 500084"/>
        <s v="Plot number 2 12 Prashanth Nagar Kondapur 500084"/>
        <s v="Coimbatore – 41 / Prashanth Nagar"/>
        <s v="Hafeezpet "/>
        <s v="Miyapur "/>
        <s v="AAhara  Food court"/>
        <s v="NA"/>
        <s v="NAIDUS FOOD COURT"/>
        <s v="Address: LP Towers, Plot no 56, Hitech City Rd, HUDA Techno Enclave, Madhapur, Hyderabad, Telangana 500081"/>
        <s v="9CF8+63C, Langar House Rd, Bapu Nagar, Langar Houz, Hyderabad, Telangana 500008"/>
        <s v="Miyapur"/>
        <s v="Kothaguda"/>
        <s v="Kothaguda "/>
        <s v="Hitech City Hyderabad"/>
        <s v="Hitech City "/>
        <s v="Yousufguda "/>
        <s v="Hitech City Hyderabad "/>
        <s v="Kondapur Gachibowli "/>
        <s v="Madhapur Hyderabad "/>
        <s v="Madhapur"/>
        <s v="KondapurHyderabad"/>
        <s v="Hafeezpet"/>
        <s v="gate no.3, Paramount Hills, Toli Chowki, Hyderabad, Telangana 500008"/>
        <s v="H. No. 37-154/50, Somaiah Nagar, Jagathgirigutta, Medchal- Malkajgiri dist, Telangana-500037"/>
        <s v="Financial district Hyderabad fighter 500046"/>
        <s v="Financial district Hyderabad"/>
        <s v="Paruchuri Foods https://share.google/CZn9N1jw4d6sIgvVx"/>
        <s v="Kondapur Hyderabad "/>
        <s v="Moosapet hyderabad"/>
        <s v="6-6-41/2, Devi Nagar Colony, Behind Petrol  Pump, Kavadiguda , Secunderabad Circle  No.29, Hyderabad, Telangana-500003"/>
        <s v="Plot No. 202, Behind Q City Buildings,  TNGO's Colony, Financial District,  Gachibowli, Serlingampally Circle No 20,  Hyderabad, Telangana - 500032"/>
        <s v=",PLOT  NO.4/5/6,SHOP  NO.2,KISMATPUR,SHIVASAI COLONY ,  Kismatpur , Rajendranagar, Rangareddy,  Telangana-500030"/>
        <s v="SY NO. 13 AND 16, BANDLAGUDA JAGIR,  GANDIPET, RANGAREDDY, Gandipet,  Rangareddi, Telangana-500091"/>
        <s v="PLOT.NO.2, Ganesh Nagar, KISMATHPUR,  Gandipet, Rangareddy, Telangana -  500086"/>
        <s v="PL NO 13, BANDLAGUDA JAGIR,RAJENDRA NAGAR CIRCLE NO 11, HYDERABAD,TELANGANA,500086"/>
        <s v="yousufguda hyd"/>
        <s v="YOUSUFGUDA"/>
        <s v="yoiusufguda"/>
        <s v="yoususfguda"/>
        <s v="H"/>
        <s v="KPHB"/>
        <s v="Gachibowli "/>
        <s v="PLOT NO 1, AMRUTHA  ENCLAVE,GANDIPET,BANDLAGUDA JAGIR,  Bandlaguda  (Jagir), Rajendranagar,  Rangareddy, Telangana - 500086"/>
        <s v="Komdapur"/>
        <s v="Kondapur"/>
        <s v="Kondaur"/>
        <s v="Shop No 1, And 2, Snehapuri Colony, Borabanda, Hyderabad, Telangana 500045"/>
        <s v="Lakdikapul Pillar No: A-1193, adjacent to Khadi Shop, Hyderabad, Telangana 500004"/>
        <s v="H No. 6-2-967/B/A/6, Fateh Manzil ,  Khairatabad Circle No.17, Hyderabad,  Telangana-500004"/>
        <s v="THE BOAT HOUSE RESTAURANT,  Hno: 8-46/P,  1st Floor,  Swaren Arcade, Sai Ram Nagar  Colony,  Bandlaguda Jagir , , Rangareddy,  Telangana-500086"/>
        <s v="Erragada"/>
        <s v="C9XR+F87, Ayyappa Society Main Rd, opp. Sbi bank, Megha Hills, Sri Sai Nagar, Madhapur, Hyderabad, Telangana 500081"/>
        <s v="PLOT.NO.105/LIG PHASE-XV, KPHB COLONY , Kukatpally Circle No 24, Hyderabad, Telangana-500085"/>
        <s v="Nearby Address: Karthik interior solutions, Plot no:1452, Gopal Nagar, Gokul Enclave, Venkata Ramana Colony, Hafeezpet, Hyderabad, Telangana 500085"/>
        <s v="Kphb "/>
        <s v="Nearby Address: No 1-2-49, Pallavi Home Tutions, 2nd Floor, Building, Nizampet Road, beside Jayeesha Software Pvt LTD, Kukatpally Housing Board Colony, Hyder Nagar, Kukatpally, Hyderabad, Telangana 500085"/>
        <s v="Aditya Arcade, Anjaneya Nagar, AGI Colony, Moosapet, Hyderabad, Telangana 500018"/>
        <s v="Hig -65, Temple bustand, near by water tank, Kukatpally Housing Board Colony, 3rd phase, Kukatpally, Hyderabad, Telangana 500072"/>
        <s v="MIG-42/1-6, Kukatpally Housing Board Colony, K P H B Phase 3, Kukatpally, Hyderabad, Telangana 500072"/>
        <s v="Hitech city"/>
        <s v="Raidurg"/>
        <s v="PLOT NO.1271,OPP;BHARAT PETROL BUNK,ROAD NO.63,CHECKPOST,JUBILEE HILLS,HYDERABAD-500033. , Jubilee Hills Circle No 18, Hyderabad, Telangana-500033"/>
        <s v="Addagutta Society - HMT Hills Rd, Addagutta Society, Jal Vayu Vihar, Kukatpally, Hyderabad, Telangana 500085"/>
        <s v="Hitechcity "/>
        <s v="Rainbow foods, near m2m jeans corner, Tulasi Nagar, HMT Hills, Kukatpally, Hyderabad, Telangana 500085"/>
        <s v="HNO 1-2-33/ VP/76, HYDERNAGAR, Balaji Hills Road, Ram Naresh Colony, , Chandanagar circle No 21, Hyderabad, Telangana-500085"/>
        <s v="12-19-46/2 , Kukatpally Circle No 24, Hyderabad, Telangana-500018"/>
      </sharedItems>
    </cacheField>
    <cacheField name="Cluster">
      <sharedItems containsBlank="1" containsMixedTypes="1" containsNumber="1" containsInteger="1">
        <m/>
        <n v="1.0"/>
        <n v="3.0"/>
        <s v="Jublii Hills"/>
        <s v="Jubliee hills"/>
        <s v="jubilee hills"/>
        <s v="somajiguda"/>
        <s v="Hi tech city, lakdikapol, ameerpet, Jubilee hills"/>
        <s v="Banzara hills "/>
        <s v="manikonda"/>
        <s v="Kukatpally "/>
        <s v="Ameerpet "/>
        <s v="Manikonda "/>
        <s v="mehadipatanam "/>
        <s v="mehandipatanam"/>
        <s v="BEGUMPET"/>
        <s v="Raidurg"/>
        <s v="Madhapur "/>
        <s v="Somajiguda "/>
        <s v="MADHAPUR"/>
        <s v="Hakimpet"/>
        <s v="Kukatpally"/>
        <s v="Na"/>
        <s v="Launger houz"/>
        <s v="Banjara hills"/>
        <s v="langara house"/>
        <s v="langerhouse"/>
        <s v="langerahouse"/>
        <s v="Test"/>
        <s v="Langar Hous"/>
        <s v="Khajaguda "/>
        <s v="LANGER HOUSE"/>
        <s v="Goulidoddi"/>
        <s v="Gaulidoodi"/>
        <s v="Gaulidoodi "/>
        <s v="LANGERA HOUSE"/>
        <s v="LANAGARA HOSUE"/>
        <s v="langarahouse"/>
        <s v="Jubleii Hills"/>
        <s v="Hi-tech city"/>
        <s v="Haldirams"/>
        <s v="Almond House"/>
        <s v="Mezbaan"/>
        <s v="Peshawar"/>
        <s v="Organic creamery"/>
        <s v="Shanghai flavours of china"/>
        <s v="Karachi Bakery"/>
        <s v="Le Meridien Hyderabad"/>
        <s v="Sweets Dude"/>
        <s v="ACCOR"/>
        <s v="Kunafa Bake"/>
        <s v="HI Tech City"/>
        <s v="gachibowli"/>
        <s v="HIMAYAT NAGAR"/>
        <s v="khairatabad"/>
        <s v="nanakramguda"/>
        <s v="LANGAR HOUSE"/>
        <s v="Komdapur"/>
        <s v="Moosapet "/>
        <s v="lanagara house"/>
        <s v="lanagarahouse"/>
        <s v="khairthabad"/>
        <s v="begumpet "/>
        <s v="narsing"/>
        <s v="sirligampally"/>
        <s v="Hitech chity "/>
        <s v="Yousufguda "/>
        <s v="Hitech City "/>
        <s v="Kondapur"/>
        <s v="Madhapur Hyderabad "/>
        <s v="Sarovar Portico Hotel"/>
        <s v="Hotel Greenpark"/>
        <s v="towlichowki"/>
        <s v="kistmatpur"/>
        <s v="Prost"/>
        <s v="Paradise Biryani"/>
        <s v="Financial district "/>
        <s v="Miyapur "/>
        <s v="Park Hyatt"/>
        <s v="Cock &amp; Bull Hyderabad"/>
        <s v="Hitech city"/>
        <s v="Moosapet"/>
        <s v="Gowlidoddi"/>
        <s v="NARSINGI"/>
        <s v="gachibowli "/>
        <s v="Banjara hills "/>
        <s v="Paradise Food Court"/>
        <s v=" Aha Dakshin"/>
        <s v="Frankie"/>
        <s v="langaara house"/>
        <s v="Langar Houz"/>
        <s v="mehandipatanam "/>
        <s v="lanagaara house"/>
        <s v="Langra house"/>
        <s v="lanagara houes"/>
        <s v="yousfuguda"/>
        <s v="Yousufguda"/>
        <s v="LANGAR HOIUSE"/>
        <s v="YOUSUF GUDA"/>
        <s v="KPHB"/>
        <s v="manikona"/>
        <s v="Komdapur "/>
        <s v="Bachupally"/>
        <s v="Goulidoddi "/>
        <s v="Sr nagar "/>
        <s v="khairathabad"/>
        <s v="khaiurthabad"/>
        <s v="sherligampally "/>
        <s v="Kohb"/>
        <s v="KUKAPATLLY"/>
        <s v="Hi tech"/>
        <s v="Raidurg "/>
      </sharedItems>
    </cacheField>
    <cacheField name="Name of Restaurant Walk" numFmtId="0">
      <sharedItems containsString="0" containsBlank="1">
        <m/>
      </sharedItems>
    </cacheField>
    <cacheField name="Name of Restaurant" numFmtId="0">
      <sharedItems containsBlank="1">
        <m/>
        <s v="Eat spot"/>
        <s v="Hari Dosa "/>
        <s v="Kings biryani adda "/>
        <s v="Tipsy Topsy "/>
        <s v="The turban taste"/>
        <s v="Cake exotica bakers"/>
        <s v="Palleturi dosa"/>
        <s v="AI RAHAMN BAKERY"/>
        <s v="AFC"/>
        <s v="Honey foods Tapeshwaram Kaja"/>
        <s v="AL BAIK "/>
        <s v="Coffee place "/>
        <s v="Al - Rikaaab"/>
        <s v="Kalingapatnam "/>
        <s v="Mayuri Foods"/>
        <s v="Missamma restaurant "/>
        <s v="Gatox cafe "/>
        <s v="Garuda Cafe"/>
        <s v="Sns bake house bakery nd cafe "/>
        <s v="Al Saba cafe"/>
        <s v="Kochin spices"/>
        <s v="Smoky docky"/>
        <s v="Poruginti chepala pulusu "/>
        <s v="CAFE UNITED "/>
        <s v="1pm to 1am"/>
        <s v="Zamindars cafe"/>
        <s v="hitech bawarchi food court "/>
        <s v="100N Gourmet shawarma the homly bowls"/>
        <s v="MMD Restaurant "/>
        <s v="Vasireddy swagruha foods "/>
        <s v="Sri vindha tiffins"/>
        <s v="Hulchal desserts and bakers"/>
        <s v="Rainbow mandi restaurant "/>
        <s v="Hotel Farzaan"/>
        <s v="Royal Darbar"/>
        <s v="Exotica bakers"/>
        <s v="Padmavathi food court"/>
        <s v="punjabi Dhaba"/>
        <s v="Cozmo Cafe "/>
        <s v="Alkapuri Bawarchi Biryani "/>
        <s v="GYRO DONER "/>
        <s v="morine bakery"/>
        <s v="Balaji Family Dabha"/>
        <s v="fire and ice bakers "/>
        <s v="Amrutham"/>
        <s v="surabhi hotel udupi veg "/>
        <s v="Shiva Nagi Reddy sweets"/>
        <s v="Trinetra Cafe &amp; Restaurant"/>
        <s v="Koduris kitchen "/>
        <s v="Bamma tiffins "/>
        <s v="Urban Franky "/>
        <s v="Raja Rani Ruchulu"/>
        <s v="Suryakantham Military Hotel"/>
        <s v="Palle Vindu Dosa "/>
        <s v="A1 shawarma bites "/>
        <s v="Yummy Feast"/>
        <s v="Hut-K Biryani "/>
        <s v="Great Britain waffle "/>
        <s v="Ritvikas kitchen"/>
        <s v="Sweet Stories"/>
        <s v="Naidu gari kunda biryani "/>
        <s v="Old A1 Restraunt "/>
        <s v="Kakatiyya Tuffins"/>
        <s v="Bahar cafe"/>
        <s v="CAFE 555 AND AQEEQ RESTAURANT"/>
        <s v="imperial  multicuisine restaurant"/>
        <s v="AN TE RA KITCHEN AND BAR"/>
        <s v="Amogha"/>
        <s v="Shanghai chef "/>
        <s v="Wow momo"/>
        <s v="Gali punjab di "/>
        <s v="Polar bear the ice cream sundae zone "/>
        <s v="Meghana non veg parcels"/>
        <s v="Satyam foods "/>
        <s v="Emerald food house "/>
        <s v="Patiala plate "/>
        <s v="Lassi and shakes"/>
        <s v="Hanuman juice point"/>
        <s v="Trigunas kitchen"/>
        <s v="Chaayos"/>
        <s v="Raagam foods"/>
        <s v="The spicy venue"/>
        <s v="Sri Kanya comfort"/>
        <s v="mayur sweets and dry fruits "/>
        <s v=" ganesh virat food court"/>
        <s v="Itihaas Restaurant and Banquets"/>
        <s v="chai nagri "/>
        <s v="Alanati"/>
        <s v="Gumagumalu "/>
        <s v="Chopsticks"/>
        <s v="Parchuri foods"/>
        <s v="Nakshtra Tiffins "/>
        <s v="Bakers Town "/>
        <s v="Nellore Padmvati Ruchlu "/>
        <s v="Cake Walkers "/>
        <s v="Mother’s Kitchen"/>
        <s v="Vindhu Maharaj"/>
        <s v="Amogha Cafe and restaurant "/>
        <s v="Sri Aadhaya Delicious "/>
        <s v="Wow! Vadapav"/>
        <s v="Creative Home Baker’s "/>
        <s v="Wrappy"/>
        <s v="Raj Darbar"/>
        <s v="Fuel smoke House "/>
        <s v="Sri Krishna"/>
        <s v="Om sree Sai foods"/>
        <s v="Manduva Ruchulu "/>
        <s v=" dadas tiffin and fast food "/>
        <s v=" Hotel shurbhi udpi"/>
        <s v="elite delight cafe "/>
        <s v=" krishna grand  "/>
        <s v="Kadali kitchen"/>
        <s v="City 555"/>
        <s v="Imperative "/>
        <s v="Dwarak Res"/>
        <s v="Hyderabad wala"/>
        <s v="Mana O Salv"/>
        <s v="Sree Balaji Tiffins"/>
        <s v="Santosh Dhaba"/>
        <s v="Palnodu Caterers"/>
        <s v="The Bombay Chaat"/>
        <s v="Sangeeth Kitchen "/>
        <s v="Bruvaka Tiffins"/>
        <s v="Sri Raghavendra Cafe"/>
        <s v="Errababu Pulavos"/>
        <s v="Chittibabu Biryani "/>
        <s v="Sahi nawabs biryani"/>
        <s v="Gadu Rajugari Ruchulu"/>
        <s v="Military Rajanna Hotel"/>
        <s v="Bulli abbai kodi palav"/>
        <s v="Arukha Flavours "/>
        <s v="Amma chethi Ruchulu"/>
        <s v="Tara kitchen "/>
        <s v="Hello Kafe "/>
        <s v="Brew Gato"/>
        <s v=" Bhimavaram thali "/>
        <s v="badrachalam cafe "/>
        <s v="laibas cafe"/>
        <s v="rrr mandi"/>
        <s v="bab al mandi"/>
        <s v="arabian affairs "/>
        <s v="sreenindhi fast food "/>
        <s v="oven fresh bakery "/>
        <s v="nawabi "/>
        <s v="tealogy "/>
        <s v="bawarchi express"/>
        <s v="madhura restraunt bar "/>
        <s v="flavours of andhra "/>
        <s v="gismat jail"/>
        <s v="kaaram the authentic telangana spice kitchen "/>
        <s v="Test"/>
        <s v="Vinni cabin cafe "/>
        <s v="Indira Darshini tiffins "/>
        <s v=" Aha Dakshin"/>
        <s v="Burger King"/>
        <s v="WOW China"/>
        <s v="The Thickshake Factory "/>
        <s v="The Spicy Express "/>
        <s v="Frankie"/>
        <s v="Venkees kitchen "/>
        <s v="FireWater"/>
        <s v="Fuel Box"/>
        <s v="Khaan Saab"/>
        <s v="Chai point "/>
        <s v="Onesta "/>
        <s v="Sweet Basket"/>
        <s v="Agra Sweets "/>
        <s v="Machili Patnam "/>
        <s v="Big Byte "/>
        <s v="Amy’s cafe "/>
        <s v="Tosh e Daan "/>
        <s v="Tteok bokki "/>
        <s v="Bakers Harvest "/>
        <s v="Sri Raghavendra Bhavan"/>
        <s v="Kings Kohinoor Hotels"/>
        <s v="7th Heaven &amp; white hart"/>
        <s v="Swad of Grandma "/>
        <s v="Burfi ghar"/>
        <s v="preeti tiffins"/>
        <s v="Andhra canteen"/>
        <s v=" fire and ice cream "/>
        <s v="Bakers Harvest"/>
        <s v="minerva  sweet "/>
        <s v="Kodi kura chitti gaare"/>
        <s v="Hope in a cup"/>
        <s v="Deccan Dhaba"/>
        <s v="priyansh fast food "/>
        <s v="Sardarji kitchen "/>
        <s v="mysore bakery "/>
        <s v="Kingston Restaurant "/>
        <s v="Akshaya bhojanam "/>
        <s v="NAWAB CAFETERIA"/>
        <s v="Bejjawada junction"/>
        <s v="Hard Rock Cafe"/>
        <s v="Deerga Ayushman bhava "/>
        <s v="Simply parottas "/>
        <s v="Hari dosa"/>
        <s v="Raagam foods "/>
        <s v="Qubz"/>
        <s v="ZEESHAN "/>
        <s v="SS BAWARCHI"/>
        <s v="Al Aadaab Arabian Mandi Restaurant "/>
        <s v="SRI RAMANA MAHARSHI FOOD COURT "/>
        <s v="TEAALOGY"/>
        <s v="oak bistro"/>
        <s v="SHA SHA SHAWARMA "/>
        <s v="AROMA BIRYANIS PULAOS   "/>
        <s v="flavours of andhra"/>
        <s v="Daily Rituals"/>
        <s v="Tiffins and more"/>
        <s v="Dwaraka Restuarant "/>
        <s v="special 9"/>
        <s v="Saharsh udipi"/>
        <s v="My bowl"/>
        <s v="Palapitta ruchulu"/>
        <s v="Patnam ruchulu"/>
        <s v="Kodi kura chitti gare"/>
        <s v="Shawarma burger"/>
        <s v="Cafe Ikigai"/>
        <s v="Barbeque nation"/>
        <s v="DID LI Arabian kitchen"/>
        <s v="Bejawada junction"/>
        <s v="Tadipathri biryani"/>
        <s v="Pandaga"/>
        <s v="Sorse"/>
        <s v="Udupi restaurant"/>
        <s v="Cafe Delhi Heights"/>
        <s v="Chutnety's"/>
        <s v="Starbucks"/>
        <s v="Wisphot"/>
        <s v="Foo"/>
        <s v="Popoyes"/>
        <s v="Mad about China +  Indian Tadka"/>
        <s v="Keventers"/>
        <s v="California Burrito"/>
        <s v="KFC Inorbit Mall"/>
        <s v="Gabru Di Chaap"/>
        <s v="Pluto (Soda)"/>
        <s v="The Yellow Straw"/>
        <s v="AM AHA"/>
        <s v="Amnesia Sky Bar"/>
        <s v="Absolute Barbeque"/>
        <s v="Game Palacio"/>
        <s v="Haldirams"/>
        <s v="Almond House"/>
        <s v="Mezbaan"/>
        <s v="Peshawar"/>
        <s v="Organic creamery"/>
        <s v="Murugans Cofee"/>
        <s v="House of Taste"/>
        <s v="Shanghai flavours of china"/>
        <s v="VR Tiffins"/>
        <s v="Slice and Sauce "/>
        <s v="Karachi Bakery"/>
        <s v="Laksmi Duga Andhra Ruchulu"/>
        <s v="Theme Cafe"/>
        <s v="Baskin Robbins"/>
        <s v="Pizza Mania"/>
        <s v="Andhra House"/>
        <s v="Maska Chaska"/>
        <s v="Bimvaram Bulodu"/>
        <s v="Ahara Avaham"/>
        <s v="Burfighar"/>
        <s v="Punjabi paratha House "/>
        <s v="Cherrys Restaurant "/>
        <s v="IFC- Indian favourite Chef"/>
        <s v="My Biriyani "/>
        <s v="Babai Hotel "/>
        <s v="Narthanashala"/>
        <s v="Southern Fusion"/>
        <s v="Spicy hut"/>
        <s v="SS Live Kitchen"/>
        <s v="The bake factory"/>
        <s v="Mayabazar"/>
        <s v="Maheswari balaji family dhabha "/>
        <s v="Kings Restaurant and bar "/>
        <s v="RR Food Court"/>
        <s v="KS Bakers"/>
        <s v="Fb bakers"/>
        <s v="Tulja Bhavani Hotel"/>
        <s v="Sri subham food court "/>
        <s v="Bichareddy"/>
        <s v="Lassi shop"/>
        <s v="Peni icecandy"/>
        <s v="Just bake"/>
        <s v="Sandwichsquare "/>
        <s v="Mojo Pizza"/>
        <s v="Authenetic kunda biryanis"/>
        <s v="Times food courtt"/>
        <s v="Vrindhavan kitchen"/>
        <s v="Kulcha kulcha"/>
        <s v="The red box"/>
        <s v="Claysutra pottery"/>
        <s v="Livora cafe nd kitchen"/>
        <s v="IFC INDIAN FAV CHEF"/>
        <s v="Bulli abbai kodi palau"/>
        <s v="Brands of Bhimavaram (bob)"/>
        <s v="Ahara Kitchens"/>
        <s v="Le Meridien Hyderabad"/>
        <s v="Sweets Dude"/>
        <s v="ACCOR"/>
        <s v="Sri Sai Rama tiffins"/>
        <s v="Sri varahi sampradaya vindhu "/>
        <s v="Kunafa Bake"/>
        <s v="Chai Point"/>
        <s v="Haldiram"/>
        <s v="Hakka Station"/>
        <s v="Sattva Food Court"/>
        <s v="Raasta"/>
        <s v="Flurry"/>
        <s v="Cream Centre"/>
        <s v="Toscano"/>
        <s v="Whisky Samba"/>
        <s v="Moms recipe "/>
        <s v="Samastha Tiffins"/>
        <s v="Yousiffain kalyani biryani "/>
        <s v="Iq shawarma"/>
        <s v="Zamana shawarma"/>
        <s v="Santhakam ruchulu"/>
        <s v="Blend and roast cafe"/>
        <s v="Mahreens kitchen "/>
        <s v="Chicken shawarma hut"/>
        <s v="Manam Chocolate"/>
        <s v="Sabko"/>
        <s v="Chinese express "/>
        <s v="Ichirakai Rameen house"/>
        <s v="Rao gari military hotel"/>
        <s v="Kamakshi tiffins"/>
        <s v="Kamakshi snakes meals and curries"/>
        <s v="Royal odisha daba"/>
        <s v="Shasha shandaar shawarma"/>
        <s v="Palle vindhu"/>
        <s v="Malabaris"/>
        <s v="Zara hi fi restaurent"/>
        <s v="Sankala bakery"/>
        <s v="Babai ruchi mess nd biryani"/>
        <s v="Spicy food court"/>
        <s v="Tass Spice hut"/>
        <s v="Midhunam"/>
        <s v="Rayalaseema spice"/>
        <s v="BTO PIZZA WINGS SALAD"/>
        <s v="Spicy Express "/>
        <s v="Rooster Chicken "/>
        <s v="Dragon Kitchen "/>
        <s v="Slice and Bytes "/>
        <s v="Ayaansh Food Court"/>
        <s v="Red Bucket Biryani "/>
        <s v="Ahara Aahvanam"/>
        <s v="Annam Parabrahma"/>
        <s v="HITECH BAWARCHI FOOD ZONE"/>
        <s v="SURABHI HOTEL"/>
        <s v="USTAADS HYDERABADI ZAIQA"/>
        <s v="GRANDSONS BADEMIYAN KEBAB AND RESTAURANT"/>
        <s v="AAHARA FOOD COURT"/>
        <s v="GULF BAKERS"/>
        <s v="JAI BHAVANI AK FOOD COURT"/>
        <s v="SANGAM DHABA"/>
        <s v="ASTRIO RESTAURANT"/>
        <s v="SK MUNNA RESTAURANT"/>
        <s v="DWARAKA MULTICUISINE RESTAURANT"/>
        <s v="HYDERABAD SHAHI RESTAURANT"/>
        <s v="NAIDUS FOOD COURT"/>
        <s v="Dine o china"/>
        <s v="Arya tiffins"/>
        <s v="Subway"/>
        <s v="Waffles N More"/>
        <s v="Sai Ram tiffins "/>
        <s v="Nosh bistro "/>
        <s v="Vasudo dhaba "/>
        <s v="La chai de"/>
        <s v="Delhi ke famous nagpals"/>
        <s v="Aamantran"/>
        <s v="Udupi tiffins veg"/>
        <s v="Street darbar "/>
        <s v="BBQ Bites "/>
        <s v="Shiridi sai tiffins meals and snacks"/>
        <s v="Grand bawarchi hotel "/>
        <s v="Pakka telangana "/>
        <s v="Persis"/>
        <s v="Bhattad ki idly"/>
        <s v="Woodfire pizza "/>
        <s v="Athidis kitchen "/>
        <s v="Malabar kitchen"/>
        <s v="Punjabi chaska"/>
        <s v="Yum Yum Tree"/>
        <s v="Cherry Restaurent"/>
        <s v="ASIAN PAN HOUSE AND RESTAURANT"/>
        <s v="The chocolate room"/>
        <s v="Kafika"/>
        <s v="President Dhaba"/>
        <s v="Krishnapatnam"/>
        <s v="Myfroyoland "/>
        <s v="Bhai ki chai "/>
        <s v=" Chai chaska"/>
        <s v="Nath Kitchen"/>
        <s v="Palamgiri kitchen "/>
        <s v="Van lavino"/>
        <s v="Telegu Jublii hills"/>
        <s v="Thyme and Whisk"/>
        <s v="Naughty Kudi"/>
        <s v="Insomnia night club"/>
        <s v="Aha ruchulu"/>
        <s v="Al saba"/>
        <s v="Arabian Mandi "/>
        <s v="Hotel swaruchi"/>
        <s v="Bhimavaram ruchulu"/>
        <s v="Godavari ruchulu"/>
        <s v="Sirisha fast food "/>
        <s v="Sankar villas tiffins"/>
        <s v="Venkateswara foods"/>
        <s v="Zaiqa 11"/>
        <s v="Kadak house "/>
        <s v="Eruvaaka "/>
        <s v="RR Orisha Dhaba"/>
        <s v="Raju Gari Bhimavaram Biryani"/>
        <s v="Sai Mumbai Famous"/>
        <s v="Sravanthi tiffins"/>
        <s v="Orugallu Ruchulu "/>
        <s v="Sattibabu Biryani "/>
        <s v="Laxmi Foods and Meals"/>
        <s v="Sravati Biryani "/>
        <s v="Sravanthi Fast Food"/>
        <s v="Sravanthi mess"/>
        <s v="DOSA HUT"/>
        <s v="Upasanna's Kitchen"/>
        <s v="BFC Crispy N Spicy"/>
        <s v="Thunderbolts"/>
        <s v="Pakka Local Food"/>
        <s v="Bayyas food hub"/>
        <s v="SK FOODS"/>
        <s v="Contico"/>
        <s v="Yum Crumble Waffle"/>
        <s v="Tiffin xpress"/>
        <s v="Southern Kithchen"/>
        <s v="Victoria Tiffins and Fast food"/>
        <s v="kings arabian "/>
        <s v="oak bistro "/>
        <s v="fire and ice bakers"/>
        <s v="redoven"/>
        <s v="sha sha shandar shawarma"/>
        <s v="aroma biryani and pulaos"/>
        <s v="raghavendra tiffens"/>
        <s v="rs birayani "/>
        <s v="samosa party "/>
        <s v="aazeboo"/>
        <s v="Brost nation"/>
        <s v="scoops "/>
        <s v="sri poorna hotel "/>
        <s v="Crave and corners"/>
        <s v="avani restraunt "/>
        <s v="Moms kitchen"/>
        <s v="shawarama house"/>
        <s v="o ginger "/>
        <s v="Kush mandi"/>
        <s v="sangam dhaba "/>
        <s v="Kadak house"/>
        <s v="swach "/>
        <s v="Balle alle punjabi"/>
        <s v="Zaiqa 11 "/>
        <s v="abhiruchi sagurha foods"/>
        <s v="Venkateshwara restaurent"/>
        <s v="vellanki "/>
        <s v="Sirisha fast food"/>
        <s v="thrivesome cafe"/>
        <s v="Godhavari ruchulu"/>
        <s v="thualsi villas"/>
        <s v="Zafaron shawarma and chinese fast food"/>
        <s v="raghavendra"/>
        <s v="taaza"/>
        <s v="FB Cakes"/>
        <s v="Sri akshaya "/>
        <s v="Midland bakers"/>
        <s v="Blue star restaurant "/>
        <s v="Rayudu's kitchen "/>
        <s v="Agra sweets"/>
        <s v="Sainadh tiffins"/>
        <s v="Olive mithai "/>
        <s v="Srinivasa mixture hub"/>
        <s v="Parnasala kitchen"/>
        <s v="Rayudu hotels"/>
        <s v="Subbayamma foods "/>
        <s v="Maa oori vanta "/>
        <s v="Vasistas  sri lakshmi"/>
        <s v="Pind to play "/>
        <s v="radisson (chillis)"/>
        <s v="parampara"/>
        <s v="third wave coffee"/>
        <s v="chaitanya food court "/>
        <s v="hummus house"/>
        <s v="Borasted chicken shawarma "/>
        <s v="Habitat"/>
        <s v="Park frankies "/>
        <s v="Pakka Local"/>
        <s v="Seasons Express"/>
        <s v="Dine Hill"/>
        <s v="Exotica"/>
        <s v="Sravanam 4am biryani"/>
        <s v="Sahi nawabis kitchen"/>
        <s v="Mickeys tiffin"/>
        <s v="Harsha deluxe mess"/>
        <s v="Kasoori"/>
        <s v="Churrolto "/>
        <s v="cafe coffee day "/>
        <s v="kapoors cafe"/>
        <s v="Babbai hotel"/>
        <s v="THE SIPPING ADDA"/>
        <s v="sAI RISHITHA FAST FOOD CENTRE"/>
        <s v="ABC Foods (Abiruchi biryani cafe)"/>
        <s v="Balaji villas "/>
        <s v="Ike cafe the tasty bakery"/>
        <s v="Tealogy cafe"/>
        <s v="Hotel annamayya"/>
        <s v="Chickpet donne biryani house"/>
        <s v="Dhaba food court"/>
        <s v="sRI GOWRAS KITCHEN"/>
        <s v="Tiffin kottu"/>
        <s v="Giri food court"/>
        <s v="Mathru sree athidhidevobhava"/>
        <s v="Induru spice kitchen"/>
        <s v="Thakshashila curries "/>
        <s v="Irawath kitchen"/>
        <s v="Ruchullo rarraju"/>
        <s v="Sri venkateswara food court"/>
        <s v="Perch 24 cafe"/>
        <s v="Sree teja food court "/>
        <s v="Padmavathi food court "/>
        <s v="The organic creamery "/>
        <s v="Cranelle "/>
        <s v="Aditya kitchen "/>
        <s v="Upasana's Kitchen"/>
        <s v="BFC Crispy And Spicy"/>
        <s v="Pakka Local Food Court"/>
        <s v="Highway Resturant"/>
        <s v="Ulavacharu"/>
        <s v="Kakatiya Home Foods"/>
        <s v="Sri Ragavendra Vihar"/>
        <s v="The Spicy Unions"/>
        <s v="Bheema Restaurant "/>
        <s v="Farasha restaurant "/>
        <s v="Arabian mandi"/>
        <s v="Bakely cafe"/>
        <s v="The Bakely bakers"/>
        <s v="Aura telegu kitchen"/>
        <s v="Chinese Chinese kitchen "/>
        <s v="Biriyani &amp; bagara"/>
        <s v="Sri Mama&quot;s kitchen"/>
        <s v="Alfa MadrEat"/>
        <s v="Dostan Meals &amp; snacks"/>
        <s v="fushion xps"/>
        <s v="Dostan Fast food "/>
        <s v="Dostan Tiffins"/>
        <s v="Dostan Shawarma "/>
        <s v="Dostan Biryani's"/>
        <s v="The Hungry Spot"/>
        <s v="Imperial restaurant "/>
        <s v="Firdous hotel"/>
        <s v="R K grand restaurant "/>
        <s v="Jai Tulja bhavani curries"/>
        <s v="Rokali"/>
        <s v="Bejing Bistro"/>
        <s v="Liimra Arabian Mandi House"/>
        <s v="Namaste Hyderabad"/>
        <s v="Royal Bawarchi"/>
        <s v="Sri Nakshatra Chinese Hub"/>
        <s v="Club 10 Chicken"/>
        <s v="Hotel Chal Mohana Ranga Biryani's"/>
        <s v="Sravani Biryani's"/>
        <s v="RK delux mess"/>
        <s v="TOC Bakers and Confectioners"/>
        <s v="Sarovar Portico Hotel"/>
        <s v="Hotel Greenpark"/>
        <s v="Zam zam restaurant "/>
        <s v="Sri Sai tiffins and curry point"/>
        <s v="Honeyman"/>
        <s v="Vaibhavam"/>
        <s v="Al furquan hotel"/>
        <s v="Arabian zaiqa restaurant "/>
        <s v="Hotel MS pride"/>
        <s v="Mahabaala food court"/>
        <s v="The Thick Shake Factory"/>
        <s v="BISMILLAH HOTEL"/>
        <s v="hotel anandh bhavan"/>
        <s v="bal al mandi "/>
        <s v="rowdy momo express"/>
        <s v="Prost"/>
        <s v="Paradise Biryani"/>
        <s v="Chutneys"/>
        <s v="hotel bheemas grand "/>
        <s v=" New farasha cafe "/>
        <s v="Savera hills hotel"/>
        <s v="Oura telugu kitchen"/>
        <s v="City chefs kitchen "/>
        <s v="Bagara and biryani "/>
        <s v="Ruchi plaza"/>
        <s v="Sri mamas kitchen"/>
        <s v="Annapurna hotel "/>
        <s v="Alfa madr eat "/>
        <s v="Shah restaurant"/>
        <s v="The nawaabs restaurant "/>
        <s v="Leons burger and burger  "/>
        <s v="Albaik"/>
        <s v="Raasa cafe"/>
        <s v=" A1 hotel "/>
        <s v=" al bawadi mandi"/>
        <s v="SRK food court"/>
        <s v="fresh and hot "/>
        <s v="shurfa  mandi "/>
        <s v=" felfelah "/>
        <s v="hotel city diamond "/>
        <s v="khans arabian shawarma "/>
        <s v=" makhayad al arabi "/>
        <s v="poorna food court "/>
        <s v=" kebabwala"/>
        <s v="mana ruchulu "/>
        <s v="crispy corner "/>
        <s v="Sri Vigneshwara nellore ruchulu"/>
        <s v="Sri Vigneshwara aaha Bojhanam"/>
        <s v="Aaha Bhojanam"/>
        <s v="Cafe 74"/>
        <s v="Bommarillu "/>
        <s v="Rama tiffins "/>
        <s v="Shaalimar Sweets"/>
        <s v="Dreamland Bakers &amp; Confectionaries"/>
        <s v="Sri Raghavendra Hotel"/>
        <s v="Al-Baik"/>
        <s v="Sabiib Restaurant Haven"/>
        <s v="Bhai Chai"/>
        <s v="Park Hyatt"/>
        <s v="Cock &amp; Bull Hyderabad"/>
        <s v="K Brundavan Food Court"/>
        <s v="Maa Amrutham"/>
        <s v="Charcoal shawarma"/>
        <s v="Avacado on wheels"/>
        <s v="Oh my momo"/>
        <s v="Anagha Kitchen"/>
        <s v="Bhulakshmi Mess"/>
        <s v="Andhana Brahma "/>
        <s v="Granny Kitchen"/>
        <s v="Food Corner"/>
        <s v="Sree Vakula Kitchen"/>
        <s v="Rithvikaas Kitchen"/>
        <s v="City Wrap and Broast"/>
        <s v="Ulavapadu Biryani and Pulav"/>
        <s v="Meridian Restaurant"/>
        <s v="donne biryani house"/>
        <s v="Bahar biryani nd cafe"/>
        <s v="Akshaya patra"/>
        <s v="Famous arabian shawarma"/>
        <s v="Wrap nd More"/>
        <s v="Wrap nation"/>
        <s v="All mataam madina mandi"/>
        <s v="Classic crown"/>
        <s v="Athidhis kitchen"/>
        <s v="Manikantas eat spot "/>
        <s v="Limra fast food centre"/>
        <s v="Errababu palaav"/>
        <s v="Yuman crazy fast food center"/>
        <s v="Bhavani food court"/>
        <s v="Beyniaz shawarma and grill"/>
        <s v="Limra fast food center "/>
        <s v="Manikantas eat spot"/>
        <s v="Bahar biryanis nd cafe"/>
        <s v="Madhurams restaurent"/>
        <s v="Chickpet donne biryanis house"/>
        <s v="Cake factory"/>
        <s v="Shadab"/>
        <s v="AR Raghavendhara tiffins and meals"/>
        <s v="Saudi arabian restaurent"/>
        <s v="Universal Restaurant "/>
        <s v="aaha tiffins"/>
        <s v="Anandha brahma"/>
        <s v="Spice Soiree"/>
        <s v="Tawakaal biryani hotel"/>
        <s v="New Nisar cafe and restaurant"/>
        <s v="Desi Zayqa "/>
        <s v="Konaseema Pedi Ruchulu"/>
        <s v="Andhra Bhavan"/>
        <s v="Hyderabad Bakehouse"/>
        <s v="Qubz the shewarma house"/>
        <s v="king Darbar "/>
        <s v="7STARS RESTAURENT"/>
        <s v="Varnam "/>
        <s v="Mahabalaa Food Court"/>
        <s v="Aha bojanam"/>
        <s v="Telengana food court"/>
        <s v="Homly tiffins"/>
        <s v="Tawwakal shawarma"/>
        <s v="Chai kaburlu"/>
        <s v="Raju gari biryani "/>
        <s v="snack bite"/>
        <s v="kritunga restraunt"/>
        <s v="shake it up"/>
        <s v="hayansh kitchen "/>
        <s v="SnackBite"/>
        <s v="araah cafe"/>
        <s v="raghavendra tiffens "/>
        <s v="nawabi cafeteria "/>
        <s v="The Boat House Express"/>
        <s v="srk food court "/>
        <s v="andra ruchulu "/>
        <s v="biryani adda "/>
        <s v="A1 hotel "/>
        <s v="al bawadi "/>
        <s v="Yum yum tree "/>
        <s v="Nine Waves Restaurant"/>
        <s v="Saba - E - Kitchen"/>
        <s v="Parota House"/>
        <s v="Taaza Tiffins"/>
        <s v="SV food court"/>
        <s v="Klinkaara Restaurant"/>
        <s v="Bombay juice"/>
        <s v="Arabian Mandi Banjara"/>
        <s v="Golden Pavillion "/>
        <s v="Paradise Food Court"/>
        <s v="Absolute Barbeque "/>
        <s v="Sreeja Home food"/>
        <s v="Wool cup"/>
        <s v="Sabha"/>
        <s v="ITC Kakatiya"/>
        <s v="Kritunga"/>
        <s v="Roast "/>
        <s v="Krispy Kreme"/>
        <s v="Chutney's"/>
        <s v="Slice and Sauce"/>
        <s v="Royal Bawarchi "/>
        <s v="Slice and Bytes Biryani"/>
        <s v="Slice and Bytes Food Court"/>
        <s v="Aadhya Food Court"/>
        <s v="Amulya Abhiruchi Biryani "/>
        <s v="Amulya Abhiruchi Fast Food"/>
        <s v="A1 bawarchi "/>
        <s v="Brownies Bakery "/>
        <s v="AHA AMRUTULYA"/>
        <s v="KLASSIC BAKERS AND SHEWARMA AND CAFE"/>
        <s v="SVS SPECIAL VILLAGES AND SPICES"/>
        <s v="Amrutham "/>
        <s v="Ma oori biryani"/>
        <s v="Saregama kitchen"/>
        <s v="New heeramothi"/>
        <s v="Sri rama kitchens"/>
        <s v="Crispy crunch"/>
        <s v="Moon friends "/>
        <s v="MK Shawarma"/>
        <s v="Sri nidhi dsr hotel"/>
        <s v="Chicken in wings"/>
        <s v="Nellore chepala pulusu"/>
        <s v="Classic crown restaurent"/>
        <s v="Sri Tejas kitchen"/>
        <s v="Crispy crunch dinner"/>
        <s v="Appi natural fresh juice"/>
        <s v="taaza tiffens "/>
        <s v="sri raghavendra bhavan "/>
        <s v="swathi tiffens "/>
        <s v="the food court "/>
        <s v="bandhan mithai vatika "/>
        <s v="raghuram dosa"/>
        <s v="epic bawarchi "/>
        <s v="epic bawarachi tiffen centre "/>
        <s v="epic bawarchi chat bhandar "/>
        <s v="the chinese zhang family "/>
        <s v="nellore vantakalu"/>
        <s v="beyond kimchi - the taste of korea "/>
        <s v="the english kitchen "/>
        <s v="Mini Udipi's"/>
        <s v="vizag beach street food "/>
        <s v="mana vizag ruchulu "/>
        <s v="healthy food promised"/>
        <s v="MILITARY REDDY TIFFENS "/>
        <s v="Dum Biryani Adda"/>
        <s v="sip of health"/>
        <s v="ANDHRA RUCHULU"/>
        <s v="the brazilian juice bar"/>
        <s v="MILLET MARVELS"/>
        <s v="the nice juice junction "/>
        <s v="GREEN BUCKET BIRYANI"/>
        <s v="SVS BAKERS &amp; FOOD COURT"/>
        <s v="DSD CAFE"/>
        <s v="KRITUNGA RESTAURANT"/>
        <s v="Golden Pavilion"/>
        <s v="shreya food court "/>
        <s v="gayatri bhavan  "/>
        <s v=" harika mess"/>
        <s v="amans food court"/>
        <s v="caffiene Snacks"/>
        <s v="Caffine Meals "/>
        <s v="telugu cuisine  "/>
        <s v="CAFFEINE BIRYANAIS"/>
        <s v="biryani ustad "/>
        <s v="CAFFEIN HUB FAST FOOD"/>
        <s v="CAFFEINE JUICE &amp; MILKSHAKES"/>
        <s v="cake corner Bakery"/>
        <s v="Corner fast food"/>
        <s v="corner juice &amp; milkshake"/>
        <s v="CORNER FOODS"/>
        <s v="CHAI KABURLU "/>
        <s v="5ves restaurant "/>
        <s v="Anu Kitchen"/>
        <s v="T Vannam "/>
        <s v="Shwarma kingdom"/>
        <s v="Southern Mirchi"/>
        <s v="Joharfa "/>
        <s v="Meenakshi Cafe"/>
        <s v="Ram’s Dosa House "/>
        <s v="Audio cup coffee house"/>
        <s v="Aha Dakshin"/>
        <s v="Hotel Greenpark &amp; Marigold"/>
        <s v="Biryaniwalla &amp; co"/>
        <s v="All Season Express"/>
        <s v="Mourya Restaurant"/>
        <s v="Street view express"/>
        <s v="Sozo Cakery &amp; Cafe"/>
        <s v="Kelvin Scale Absolute Ice Cream"/>
        <s v="Zucifera"/>
        <s v="Pulaos and Bagara"/>
        <s v="Mexician Fried Chicken"/>
        <s v="Deccan Bawarchi"/>
        <s v="SRG Restro inn"/>
        <s v="Shri balaji chennai spices"/>
        <s v="Nikhils feast"/>
        <s v="Dosa mart"/>
        <s v="N hot chinese"/>
        <s v="Hot shawarma nd wings"/>
        <s v="Crispy hot wings"/>
        <s v="Hot wings"/>
        <s v="Mandi Bistro"/>
        <s v="Chamkila "/>
        <s v="Chaitanyas modern kitchen "/>
        <s v="The tasty chapter "/>
        <s v="Biryani Mandirr "/>
        <s v="Srijas home foods and currys"/>
        <s v="Annapurna hotels and tiffins "/>
        <s v="Mallesh mama fast food"/>
        <s v="Ma oori vanta"/>
        <s v="Monkeys cafe "/>
        <s v="Best biryanis and curries"/>
        <s v="Koodu the taste of Telangana"/>
        <s v="Sankranthi cafe"/>
        <s v="Bachelor brothers"/>
        <s v="Arathi  Chinese fast food "/>
        <s v="Pandemkodi"/>
        <s v="Mahalaxmi kitchen "/>
        <s v="Abhi restaurant "/>
        <s v="Lotus biryani nd fast good"/>
        <s v="Spicy kitchen"/>
        <s v="Sri Aadhya Food Court"/>
        <s v="Rayalaseema Biryani"/>
        <s v="Rayalaseema Chinese"/>
        <s v="Rayalaseema Meals And Curries"/>
        <s v="Second wifes tiffins"/>
        <s v="Second wifes Biryanis "/>
        <s v="Second wife rolls and snacks"/>
        <s v="Second wife fast food"/>
        <s v="Second wife meals C/o guntur"/>
        <s v="Wok 33"/>
        <s v="Mummy ki rassoi"/>
        <s v="Golden Barrel Restaurent and pub"/>
        <s v="Big guys wings and Burgers"/>
        <s v="SREYA  FAST FOFD AND MOMO"/>
        <s v="srijas food and currys"/>
        <s v="zaiqa bawarchi restaurant"/>
        <s v="Ruchi Resturants"/>
        <s v="Star lite"/>
        <s v="Arman hotel"/>
        <s v="Ar hotell"/>
        <s v="Hyderabadi foodie"/>
        <s v="Konaseema Gummagumalu"/>
        <s v="Nagallas shawarma and kababs"/>
        <s v="Baburao gari biriyani "/>
        <s v="Jaya laxmi food centre "/>
        <s v="Prince house family restaurant"/>
        <s v="Athithi Biriyani Ruchulu"/>
        <s v="Seven stars restaurant "/>
        <s v="  Sri Shakambhari Restaurant (tiffins)"/>
        <s v="Masala Resturant "/>
        <s v="Balaji santosh dhaba"/>
        <s v="Sri Shakambhari Restaurant (meals and curries)"/>
        <s v="Sri Shakambhari Restaurant "/>
        <s v="Bawarchi mandi and Biryani"/>
        <s v="Mandi Specials and Biryani "/>
        <s v="Balaji Dhaba"/>
        <s v="Mini Cafe"/>
        <s v="Rishitha Curries and Biryani"/>
        <s v="Amristari dabha"/>
        <s v="Mekallas shawarma and kababs"/>
        <s v="Nagallas shawarma "/>
        <s v="Sangeetha Kitchen"/>
        <s v="Bhavani matha curry point "/>
        <s v="My friend mandi "/>
        <s v="Gulf Mandi "/>
        <s v="Chittibabu Biriyani "/>
        <s v="Lotus Biryani and Fast Food Center "/>
        <s v="Sai Darshini Tiffins"/>
        <s v="Ahmed restaurant "/>
        <s v="Hotel CVR narsingi"/>
        <s v="Kuthari hotel"/>
        <s v="Pakka Telangana"/>
        <s v="Rk grand multicuisne "/>
        <s v="Tawakkal kalyani biryani"/>
        <s v="The hungers spot "/>
        <s v="Burgers and pizzas "/>
        <s v="S D fast food centre "/>
        <s v="Ellipaya karam express "/>
        <s v="Butter bunnies "/>
        <s v="Delicia multicusine restaurant "/>
        <s v="Rayalaseema Karam Dosa"/>
        <s v="Anmol continental"/>
        <s v="Hare krishna family dhaba "/>
        <s v="Krishna tiffins and mess"/>
        <s v="Hillstar"/>
        <s v="Arambam "/>
        <s v="Cafe Hyd"/>
        <s v=" cheese and mix kitchen"/>
        <s v="HARIKA MESS"/>
        <s v="sri sai food court "/>
        <s v="hillstar "/>
        <s v="Dumont Creamery"/>
        <s v="Swadist Super Sweets &amp; Restaurant"/>
        <s v="Friends N Cafe"/>
        <s v="Mohammedia Shawarma"/>
        <s v="By the BAY"/>
        <s v="7 Sauces"/>
        <s v="Scoops"/>
        <s v="Chicha's"/>
        <s v="Kathmandu Momos"/>
        <s v="The Boat house"/>
        <s v="Swaad curries and tiffins "/>
        <s v="Idv kitchen "/>
        <s v="Muntha masala "/>
        <s v="Lucky Restaurant "/>
        <s v="Bhadrachalam cafe "/>
        <s v="Ideal Kitchen"/>
        <s v="Hotel the Nawabi zaiqa "/>
        <s v="Shringeri kitchen "/>
        <s v="Manchidhana tiffins and fast food "/>
        <s v="Udipis ahaara arogya"/>
        <s v="Dostea"/>
        <s v="Udipis upahar "/>
        <s v="Sri Sai Raghavendra tiffins and meals "/>
        <s v="Sri bakers "/>
        <s v="Balaji family dhaba"/>
        <s v="Rajahmundry vaari real rose milk "/>
        <s v="Open heart restaurant "/>
        <s v="Gen Z flavoria "/>
        <s v="Iyengar bakery"/>
        <s v="RAM hotel"/>
        <s v="Arya Bhavan"/>
        <s v="Poruginti Chapala Pulsu"/>
        <s v="Prathiyaka The kitchen"/>
        <s v="Dum marro dum"/>
        <s v="Rushibha Kitchen"/>
        <s v="Pulaos kitchen.com"/>
        <s v="Mini cafe biryani and meals"/>
        <s v="Mini cafe Chinese "/>
        <s v="Kokkaroko"/>
        <s v="Abhiruchi food court "/>
        <s v="Victoria Restaurant "/>
        <s v="Al saba Restaurant "/>
        <s v="Zucifera "/>
        <s v="Aroma Cafe"/>
        <s v="marjaan hotel "/>
        <s v=" makers of milkshake"/>
        <s v=" makhayad al arabi restaurant"/>
        <s v=" felfelah"/>
        <s v="azebo "/>
        <s v="ice station"/>
        <s v="go fresh "/>
        <s v="shawarma zone "/>
        <s v="madhapur bawarchi "/>
        <s v="mirza "/>
        <s v="ustaad"/>
        <s v="lebanase grill"/>
        <s v="mc cafe"/>
        <s v="paradise "/>
        <s v="pizza hut "/>
        <s v="kfc "/>
        <s v="mfc "/>
        <s v="momo street"/>
        <s v="pista house"/>
        <s v="cafe coffee day"/>
        <s v="toops"/>
        <s v="the whole in the wall"/>
        <s v="rs biryani"/>
        <s v="scandy "/>
        <s v="darbar street"/>
        <s v="kamat hotel "/>
        <s v="the eatary hub "/>
        <s v="bhwaneee multicsine"/>
        <s v="Idv kitchen munthamasala"/>
        <s v="Balaji mitai bhander"/>
        <s v="Laxmi godavari ruchulu "/>
        <s v="Brown bear baking "/>
        <s v="Sreeja home foods"/>
        <s v="Hotel the Nawabi zaiqa"/>
        <s v="Kalpana tiffins and meals "/>
        <s v="Souskis foodies club "/>
        <s v="Kohinoor restaurant "/>
        <s v="Satti Babu Biryani "/>
        <s v="Geetha hotel"/>
        <s v="Om sai kitchens "/>
        <s v="On Sai kitchens "/>
        <s v="Hakka Chinese food"/>
        <s v="Kks bakers"/>
        <s v="Butta biryani"/>
        <s v="Kolkata food plaza"/>
        <s v="Shawarma by roxtarz"/>
        <s v="Sri vijaya laxmi  food court "/>
        <s v="Karthikeya chitti nethi idly "/>
        <s v="Chaat baazar"/>
        <s v="Chat bazar "/>
        <s v="Amogha Cafe"/>
        <s v="Tibb’s Frankie"/>
        <s v="Godhavari bajji mirchi "/>
        <s v="Bakers Corner"/>
        <s v="Captain cook "/>
        <s v="Adbatuha "/>
        <s v="Ravi Babu food court"/>
        <s v="Hitech food court"/>
        <s v="Omg bites"/>
        <s v="Masti 4am biryani"/>
        <s v="Charminar biryani"/>
        <s v="Konaseema Ruchulu"/>
        <s v="Sri pratyeka kitchen"/>
        <s v="Diamond food court"/>
        <s v=" prime deccan restaurant "/>
        <s v="royal family dhaba"/>
        <s v="sai martha food court"/>
        <s v=" almas restaurant "/>
        <s v="AG Food Court"/>
        <s v="santosh dhaba "/>
        <s v="Al faizan arabian mandi "/>
        <s v="  krishna udipi  park "/>
        <s v="Royal family dhaba  snackes"/>
        <s v="Ruchi Chupistha"/>
        <s v="Dakshina desapu ruchulu "/>
        <s v="President dhabha"/>
        <s v="Minyu"/>
        <s v="Hamara adda"/>
        <s v="11 • food court "/>
        <s v="The friger co "/>
        <s v="Btech tiffins "/>
        <s v="Paasa local"/>
        <s v="Om Sri Hanuman Foods"/>
        <s v="Balaji Muntha Masala"/>
        <s v="Balaji Kitchens"/>
        <s v="Aroma Biryanis &amp; palauos"/>
        <s v="Aroma Meals and chineese"/>
        <s v="Dfc "/>
        <s v="Govadarai baji mirchi "/>
        <s v="The one and only tasty "/>
        <s v="Chat baazar"/>
        <s v="Kings bakers "/>
        <s v="Karthikeya ghee and dosa"/>
        <s v="Allamduillah hotel "/>
        <s v="Sangamesh fast food "/>
        <s v="Maa Bhojanam "/>
        <s v="Taaza tiffens"/>
        <s v="Madrasi military hotel "/>
        <s v="Eatery hub "/>
        <s v="Hotel valentine "/>
        <s v="Lebanese girl "/>
        <s v="Bhawaanee multi cusine"/>
        <s v="Rk Chinese "/>
        <s v="Vinyaka tiffins "/>
        <s v="Shawarma by rock star"/>
        <s v="Butta biryani "/>
        <s v="Kks bakers "/>
        <s v="Hakka Chinese foods"/>
        <s v="Geetha hotel "/>
        <s v="Ala konaseemalo "/>
        <s v="Kalpana tiffens and melas "/>
        <s v="Brown bear bakery "/>
        <s v="Babuvgaru ruchulu"/>
        <s v="Babu Bagunnava biryani"/>
        <s v="Bandababu palau"/>
        <s v="Mana oori mess"/>
        <s v="Anandobhrahma"/>
        <s v="Biryani and biryanis"/>
        <s v="Shiva food court"/>
        <s v="Vaarahi foods"/>
        <s v="sai martha food court "/>
        <s v="babu garu ruchulu and curry point "/>
        <s v="Dolphin drivn"/>
        <s v="Dwaraka Mai Tiffins"/>
        <s v=" mammu's kitchen "/>
        <s v=" ala konaseemaloo  "/>
        <s v="Sri Harsha deluxe mess"/>
        <s v="Godavari food court "/>
        <s v="Lakshmi Prasanna Andhra mess"/>
        <s v="Pondy parrottas "/>
        <s v="Shadruchulu "/>
        <s v="Kokko Roko "/>
        <s v="Cafe Melli And Bakery "/>
        <s v="The Hazelnut Co"/>
        <s v="Celebs"/>
        <s v="Lakshmi villas"/>
        <s v="Telugu authentic ruchulu"/>
        <s v="Hotel sarvanam"/>
        <s v="Mithra vindha mess"/>
        <s v="Bandodu palauu"/>
        <s v="Thinu ra mawa"/>
        <s v="Golden toast bakery"/>
        <s v="Broast cafe"/>
        <s v="Mathani Juice hub"/>
        <s v="Poriginti Chapala Pulsu"/>
        <s v="Pulao Kitchen com"/>
        <s v="Mandilicious"/>
        <s v="RK brundavan Food Court"/>
        <s v="Sr Food Court"/>
        <s v="Sri Tiffins And Meals"/>
        <s v="Cream Town"/>
        <s v="Ayan Foods"/>
        <s v="Prasthista Food Court"/>
        <s v="Ganesh Foods"/>
        <s v="Abhiruchi"/>
        <s v="Moksh Food Corner"/>
        <s v="Sri Vengamamba Deluxe Mess"/>
        <s v="Sri vengamamba Tiffins"/>
        <s v="Sri vengamamba Chinese Foods"/>
        <s v="Apsara Badam Milk"/>
        <s v="Lickees"/>
        <s v="Chowman"/>
        <s v="Chowman - Madhapur"/>
        <s v="Hotel Yousufain Kalyani"/>
        <s v="Zamindar's Cafe"/>
        <s v="Chutneys "/>
        <s v="Goorang kitchen "/>
        <s v="Bhojanam thayaru"/>
        <s v="The hole in the wall"/>
        <s v="The soul curry and kadalipathra"/>
        <s v="Nataka"/>
        <s v="Monday Restaurant "/>
        <s v="Kunafa Cravings "/>
        <s v="Monday Hotel "/>
        <s v="Elysium Restaurant "/>
        <s v="Minerva"/>
        <s v="Iron hill"/>
        <s v="Palao and pulavus"/>
        <s v="Thugo"/>
        <s v="Desert corner"/>
        <s v="Machilipatnam"/>
        <s v="Raw bakers "/>
        <s v="Balaji santhosh dhabha"/>
        <s v="Shringeri kitchen"/>
        <s v="IDV kitchen"/>
        <s v="Delizia Cafe"/>
        <s v="Konaseema Vantillu"/>
        <s v="Srinidhi Food Zone"/>
        <s v="Godavari Chepala Pulusu"/>
        <s v="Eerababu Pulav"/>
        <s v="Wine dine Restaurant"/>
        <s v="SRI SAI FAMOUS UDIPI &amp; TIFFINS"/>
        <s v="Vada pav station"/>
        <s v="Rainbow Foods"/>
        <s v="Maska Chaska - The fastfoods company"/>
        <s v="Balaji mithai bhandar "/>
        <s v="Seas curries "/>
        <s v="Brown bear bakers "/>
        <s v="Kalpana tiffens and meals "/>
        <s v="Hotel Nawabi "/>
        <s v="Geetha hotels "/>
        <s v="Hakka Chinese foods "/>
        <s v="Kk bakers "/>
        <s v="Shawarma by to roxtarz"/>
        <s v="Chaat bazzar"/>
        <s v="Godavari bajji Mirchi "/>
        <s v="President dhaba "/>
        <s v="Minyu "/>
        <s v="Betech tiffens "/>
        <s v="Mr cook"/>
        <s v="Kssr bakers "/>
        <s v="The whole in the wall "/>
        <s v="Krishnapatanam"/>
        <s v="Goorangs kitchen "/>
        <s v="Boojanam thayaru "/>
        <s v="The soul curry kadali path pathra"/>
        <s v="Maharaja "/>
        <s v=" Dhaba food Court "/>
        <s v="Polar bear "/>
        <s v="Machillipatanam "/>
        <s v="Swayarasa"/>
        <s v="Mekong "/>
        <s v="Go rang "/>
        <s v="Boojanam thayaru"/>
        <s v="Fusion 9 "/>
        <s v="Red Box "/>
        <s v="Pot biryani "/>
        <s v="Mughals "/>
        <s v="Glow sip"/>
        <s v="Palamuru grill "/>
        <s v="Toops "/>
        <s v="Ahobilam millets "/>
        <s v="Sai ram curries and meals"/>
        <s v="KL spice kitchen "/>
        <s v="Mainland china "/>
        <s v="Ohh Calicut "/>
        <s v="Salt Indian Restaurant"/>
        <s v="Nivedhya "/>
        <s v="Pav baji"/>
        <s v="Navideya "/>
        <s v="Momo ghar "/>
        <s v="Chinese hawk "/>
        <s v="Zufra mandi "/>
        <s v="Amul ice cream parlour"/>
        <s v="Seven starts restaurant "/>
        <s v="Janapriya restaurant "/>
        <s v="Raghavendra food hub"/>
        <s v="Shreeshan kitchen "/>
        <s v="The burger company "/>
        <s v="Ahla adha kitchen"/>
        <s v="Big byte cafe "/>
        <s v="Grizzly"/>
        <s v="The shawarma co"/>
        <s v="Panchabhakshya"/>
        <s v="Vijwal Grand Resturant"/>
        <s v="Vaibhav Resturant"/>
        <s v="Sri Ankapur Bhojanam"/>
        <s v="Ravulapalem Vantillu"/>
        <s v="Sri Vasista Foods"/>
        <s v="Mr.Shawarma and Ms.Shawarma"/>
        <s v="Pulnadu Ruchulu"/>
        <s v="Spicy Table"/>
        <s v="Mista Eats"/>
        <s v="Masala restaurant "/>
        <s v="Sri Tirumala bakery"/>
        <s v="Gokul tiffin center "/>
        <s v="Arabian Mandi res"/>
        <s v="Lassi story"/>
        <s v="Chickpet donne biryani house "/>
        <s v="Naidu Gari Kunda biryani"/>
        <s v="Pondy Parottas"/>
        <s v="Abhiruchi Biriyani"/>
        <s v="Darbar Family Restaurant "/>
        <s v="RIVORA THE CAFE"/>
        <s v="Donne Biriyani House "/>
        <s v="Samjam's Pizza "/>
        <s v="Vaarahi Kitchen "/>
        <s v="Mumbai Masala "/>
        <s v="Sri Abhiruchi"/>
        <s v="Minerva blue fox"/>
        <s v="Thurpu Godhavari restaurant "/>
        <s v="Rayala seema ruchulu"/>
        <s v="Tara kitchen"/>
        <s v="Anandhobhrama"/>
        <s v="Ahaar kitchen "/>
        <s v="Habibo"/>
        <s v="Amogha "/>
        <s v="Madhu restraunt "/>
        <s v="Victoria grand "/>
        <s v="Amarvathi tiffens "/>
        <s v="Athidhis kitchen "/>
        <s v="Cake factory "/>
        <s v="Bahar cafe "/>
        <s v="Limra fast food centre "/>
        <s v="SRI NAGARJUNA TIFFINS "/>
        <s v="Bhojanam thali"/>
        <s v="Errababu pulao"/>
        <s v="Guntur Goongura "/>
        <s v="Burma Burma"/>
        <s v="Telugu Medium"/>
        <s v="Punjabi Affair"/>
        <s v="Suto cafe"/>
        <s v="Smocky Docky"/>
        <s v="Chinese Wok"/>
        <s v="Burn"/>
        <s v="Kebabs of Kumbakhh"/>
        <s v="Ammammagari hotel"/>
        <s v="Janapriya restaurant"/>
        <s v="Bagara biryani"/>
        <s v="Smoke Rebels"/>
        <s v="minsitry of coffee affairs"/>
        <s v="the big cup theory"/>
        <s v="hyderabad hosts"/>
        <s v="circars burgars "/>
        <s v="varahi foods "/>
        <s v="zamindar restaurant "/>
        <s v="Harsha delux mess"/>
        <s v="Southern spice "/>
        <s v="Arambam"/>
        <s v="Tugo flavours "/>
        <s v="Vasista laxmi"/>
        <s v="Kochin spices "/>
        <s v="Pallekodi"/>
        <s v="City kitchen "/>
        <s v="Curry man"/>
        <s v="Golkanda chef"/>
        <s v="Hulchal desserts and bakers "/>
        <s v="Sorse "/>
      </sharedItems>
    </cacheField>
    <cacheField name="Name of Ra" numFmtId="0">
      <sharedItems containsString="0" containsBlank="1">
        <m/>
      </sharedItems>
    </cacheField>
    <cacheField name="Restaurant Name Concat" numFmtId="0">
      <sharedItems containsBlank="1">
        <m/>
        <s v="5823694"/>
        <s v="Bhuvan’s Kitchen "/>
        <s v="12345578"/>
        <s v="Bhojanams &amp; Birynis"/>
        <s v="Sunrise Business Hotel"/>
        <s v="ZYROS BIRYANI HOUSE "/>
        <s v="Slice of Spice"/>
        <s v="ROLO BAKERS"/>
        <s v=" rayalseema spice  restaurant  "/>
        <s v="alankrutha multicuisine restaurant "/>
        <s v="GUNTUR MESS"/>
        <s v="Bihar Dhaba"/>
        <s v="hunan chinese cusine "/>
        <s v="Krishna teeram"/>
        <s v="Ahaladha kitchen"/>
        <s v="Rameshwaram cafe"/>
        <s v="Hamara Adda"/>
        <s v="Delicia"/>
        <s v="Palapitta Ruchulu"/>
        <s v="lucky restaurant "/>
        <s v="kiss me mandi"/>
        <s v="Girl Friend Mandi"/>
        <s v="Shree Balaji Tiffin Center"/>
        <s v="President Dhaba"/>
        <s v=" lucky multicusine restaurant "/>
        <s v="godavari restaurant "/>
        <s v="frozen bottles "/>
        <s v="Adhirath"/>
        <s v="minyu"/>
        <s v=" hyderabad host"/>
        <s v="BIRYANI N BIRYANI"/>
        <s v="Mehfil"/>
        <s v="king mandi "/>
        <s v="AL RAWAF HOME MADE DISHES"/>
        <s v="Govinda's Resturant"/>
        <s v="KNOX"/>
        <s v="NEW FARMAISH RESTAURANT"/>
        <s v="Bahar Biryani"/>
        <s v="Zythum"/>
        <s v="Singha Dhaba"/>
        <s v="Ohri's Cake Nation"/>
        <s v="KNOX "/>
        <s v="Naseeb Cafe"/>
        <s v="Sri Balaji Family Dhaba"/>
        <s v="10th street coffee"/>
        <s v="Mujataba Grills"/>
        <s v="Minerva Blue fox hotel "/>
        <s v="Rayalasema Ruchulu"/>
        <s v="Ahara Tiffins"/>
        <s v="Samastha Tiffins "/>
        <s v="Mokshi kitchens"/>
        <s v="Exotic Shawarma"/>
        <s v="Sri Sai Swetha foods"/>
        <s v="JUS VOUS"/>
        <s v="BEGUM KI BIRYANI"/>
        <s v="FOOD 4 U"/>
        <s v="TAHARI HOUSE"/>
        <s v="RAHAT RESTURANT"/>
        <s v="Bhavani mess"/>
        <s v="Kausar cafe,Al nabi cafe"/>
        <s v="Madhapuram food court "/>
        <s v=""/>
        <s v="godavari  restaurant "/>
        <s v="anand bhavan mess "/>
        <s v="UCKY RESTAURANT"/>
        <s v="The smash city"/>
        <s v="Gold sparrow millets "/>
        <s v="BREW COMMUNE CAFE&amp;BISTRO"/>
        <s v="NA"/>
        <s v="HOTEL INNER CIRCLE"/>
        <s v="RENAO"/>
        <s v="merajs restraunt "/>
        <s v="Flavors Of Briyani Cafe"/>
        <s v="lassi corner "/>
        <s v="Pandu Fast Food Center"/>
        <s v="sri udupi grand pure veg"/>
        <s v="SSR FOOD ZONE"/>
        <s v="Mammu’s Kitchen"/>
        <s v="Kshatriya Grand"/>
        <s v="Bakeway bakers "/>
        <s v="Golconda Biryani House"/>
        <s v="Veeramma Gari Vantillu"/>
        <s v="Bhojanam Tayyari"/>
        <s v="Mandi@36"/>
        <s v="CAFE REELS"/>
        <s v="Veera di chaap"/>
        <s v="Donut O clock"/>
        <s v="kush mandi"/>
        <s v="LUCKY RESTAURANT"/>
        <s v="Tempt chocolates"/>
        <s v="La Boulangerie"/>
        <s v="BABAI HOTEL"/>
        <s v="Say cheese patisserie"/>
        <s v="SARVI RESTAURANT "/>
        <s v="Labond"/>
        <s v="Chubby Chow"/>
        <s v="Maraheb mandi"/>
        <s v="Hiyya the chrono jail mandi"/>
        <s v="Burma Burma"/>
        <s v="Toscano"/>
        <s v="itlu bobbatlu"/>
        <s v="Gabru Di Chaap"/>
        <s v="kumbhakk"/>
        <s v="1000 biryanis"/>
        <s v="Hard rock cafe"/>
        <s v="krishnapatanam "/>
        <s v="my froyo land"/>
        <s v="California Burrito "/>
        <s v="Rayalaseema Ruchulu "/>
        <s v="Rayalaseema spice "/>
        <s v="Kake di hatti"/>
        <s v="Cafe Cilantro "/>
        <s v="Vaikuntapuram"/>
        <s v="Mama Thinu"/>
        <s v="Simply parottas "/>
        <s v="Onesta Pizzeria "/>
        <s v="Parampara "/>
        <s v="Tipsy Topsy Bakers"/>
        <s v="ARMAN HOTEL"/>
        <s v="Suryakantham military hotel "/>
        <s v="D and D Caters "/>
        <s v="Manasa Kitchen"/>
        <s v="Vasista Sri Lakshmi "/>
        <s v="Dosthugallu Mandi"/>
        <s v="Namesthe"/>
        <s v="Spicy Express "/>
        <s v="Chintamani Pulaos"/>
        <s v="royal arabian mandi "/>
        <s v="7 spices "/>
        <s v="Brew and bloom coffee heaven shop"/>
        <s v="Santosh Dhaba"/>
        <s v="Raw bakers"/>
        <s v="South n spice "/>
        <s v="Biryaniwala nd co"/>
        <s v="Sree vakula kitchen"/>
        <s v="mr faddy "/>
        <s v=" gyros doner by nice juice centre "/>
        <s v="Kohinoor Restaurant "/>
        <s v="kabul darbar"/>
        <s v="Anu Archana kitchen "/>
        <s v="SUBHAM GRAND MULTI CUISINE FAMILY RESTAURANT"/>
        <s v="hotel armani"/>
        <s v="pakisa"/>
        <s v="parcel counter"/>
        <s v="fb bakers"/>
        <s v="MAHARAJA "/>
        <s v="ZEESHAN "/>
        <s v="THATTI IDLY "/>
        <s v="The good sparrow"/>
        <s v="Bhoojanam Tayyaru"/>
        <s v="Tadipatri"/>
        <s v="N"/>
        <s v="LUCKY RESTAURANT [somajiguda]"/>
        <s v="Anu Archan Kitchen"/>
        <s v="Ma potta Ma istam"/>
        <s v="Dragon Tales"/>
        <s v="Aaha"/>
        <s v="Viyala vari pindi vantalu"/>
        <s v="Karam Dosa"/>
        <s v="Qubz The shewarma Revolution "/>
        <s v="Ttastryy"/>
        <s v="SHOHRAT"/>
        <s v="Chantabbai Biryani "/>
        <s v="Navarasa "/>
        <s v="Reddy Brothers "/>
        <s v="Vasireddy swagruha foods "/>
        <s v="Mandi king "/>
        <s v="Good Flipping Burgers "/>
        <s v="Girl friend mandi "/>
        <s v="Babai Hotel "/>
        <s v="Vela Bites"/>
        <s v="Brew Commune and Bistro "/>
        <s v="Polar bear "/>
        <s v="Thick shake factory "/>
        <s v="Palle vindu"/>
        <s v="Suryakantham Military hotel"/>
        <s v="Biryaniwala &amp; CO"/>
        <s v="Kanchi cafe"/>
        <s v="Abu Zayed Bait Al Mandi"/>
        <s v="The Indian wok"/>
        <s v="Eat spotEat spot "/>
        <s v="Hari Dosa "/>
        <s v="Kings biryani adda Kings biryani "/>
        <s v="Tipsy Topsy "/>
        <s v="The turban taste"/>
        <s v="Cake exotica bakers"/>
        <s v="Palleturi dosa"/>
        <s v="AI RAHAMN BAKERYAI RAHAMAN BAKERY"/>
        <s v="AFC"/>
        <s v="Honey foods Tapeshwaram Kaja"/>
        <s v="AL BAIK AL BAIK"/>
        <s v="Coffee place "/>
        <s v="Al - RikaaabAl Rikaab"/>
        <s v="Kalingapatnam "/>
        <s v="Mayuri Foods"/>
        <s v="Missamma restaurant "/>
        <s v="Gatox cafe "/>
        <s v="Garuda Cafe"/>
        <s v="Sns bake house bakery nd cafe Sns bakehouse bakery and cafe "/>
        <s v="Al Saba cafe"/>
        <s v="Kochin spicesKochinspices"/>
        <s v="Smoky docky"/>
        <s v="Poruginti chepala pulusu Poruginti chepala pulusu "/>
        <s v="CAFE UNITED CAFE UNITED"/>
        <s v="1pm to 1am"/>
        <s v="Zamindars cafe"/>
        <s v="hitech bawarchi food court "/>
        <s v="100N Gourmet shawarma the homly bowls"/>
        <s v="MMD Restaurant "/>
        <s v="Sri vindha tiffins"/>
        <s v="Hulchal desserts and bakers"/>
        <s v="Rainbow mandi restaurant "/>
        <s v="Hotel FarzaanHotel Farzaan"/>
        <s v="Royal Darbar"/>
        <s v="Tipsy Topsy Tipsy Topsy "/>
        <s v="Exotica bakers"/>
        <s v="Padmavathi food court"/>
        <s v="punjabi Dhaba"/>
        <s v="Cozmo Cafe "/>
        <s v="Alkapuri Bawarchi Biryani "/>
        <s v="GYRO DONER "/>
        <s v="morine bakery"/>
        <s v="Balaji Family Dabha"/>
        <s v="fire and ice bakers "/>
        <s v="Amrutham"/>
        <s v="surabhi hotel udupi veg "/>
        <s v="Shiva Nagi Reddy sweets"/>
        <s v="Trinetra Cafe &amp; Restaurant"/>
        <s v="Koduris kitchen "/>
        <s v="Bamma tiffins "/>
        <s v="Urban Franky "/>
        <s v="Raja Rani Ruchulu"/>
        <s v="Suryakantham Military HotelSuryakantham Military Hotel"/>
        <s v="Palle Vindu Dosa "/>
        <s v="A1 shawarma bites "/>
        <s v="Yummy Feast"/>
        <s v="Hut-K Biryani "/>
        <s v="Great Britain waffle "/>
        <s v="Ritvikas kitchenRitvikas kitchen "/>
        <s v="Sweet Stories"/>
        <s v="Naidu gari kunda biryani Naidu gari kunda biryani"/>
        <s v="Old A1 Restraunt "/>
        <s v="Kakatiyya TuffinsKakatiyya tiffins"/>
        <s v="Bahar cafe"/>
        <s v="CAFE 555 AND AQEEQ RESTAURANTCAFE 555 AND AQEEQ RESTAURANT"/>
        <s v="imperial  multicuisine restaurant"/>
        <s v="AN TE RA KITCHEN AND BAR"/>
        <s v="Amogha"/>
        <s v="Shanghai chef "/>
        <s v="Wow momo"/>
        <s v="Gali punjab di "/>
        <s v="Polar bear the ice cream sundae zone "/>
        <s v="Meghana non veg parcelsMeghana non veg parcels"/>
        <s v="Satyam foods "/>
        <s v="Emerald food house Emerald food house "/>
        <s v="Patiala plate "/>
        <s v="Lassi and shakesLassi and shakes"/>
        <s v="Hanuman juice point"/>
        <s v="Trigunas kitchen"/>
        <s v="Chaayos"/>
        <s v="Raagam foods"/>
        <s v="The spicy venue"/>
        <s v="Sri Kanya comfort"/>
        <s v="mayur sweets and dry fruits "/>
        <s v=" ganesh virat food court"/>
        <s v="Itihaas Restaurant and Banquets"/>
        <s v="chai nagri "/>
        <s v="Alanati"/>
        <s v="Gumagumalu "/>
        <s v="Chopsticks"/>
        <s v="Parchuri foods"/>
        <s v="Nakshtra Tiffins "/>
        <s v="Bakers Town "/>
        <s v="Nellore Padmvati Ruchlu "/>
        <s v="Cake Walkers "/>
        <s v="Mother’s Kitchen"/>
        <s v="Vindhu Maharaj"/>
        <s v="Amogha Cafe and restaurant "/>
        <s v="Sri Aadhaya Delicious "/>
        <s v="Wow! Vadapav"/>
        <s v="Creative Home Baker’s "/>
        <s v="Wrappy"/>
        <s v="Raj Darbar"/>
        <s v="Fuel smoke House "/>
        <s v="Sri Krishna"/>
        <s v="Om sree Sai foods"/>
        <s v="Manduva Ruchulu "/>
        <s v=" dadas tiffin and fast food "/>
        <s v=" Hotel shurbhi udpi"/>
        <s v="elite delight cafe "/>
        <s v=" krishna grand  "/>
        <s v="Kadali kitchen"/>
        <s v="City 555City555"/>
        <s v="Imperative Imperial "/>
        <s v="Dwarak Res"/>
        <s v="Hyderabad wala"/>
        <s v="Mana O Salv"/>
        <s v="Sree Balaji Tiffins"/>
        <s v="Palnodu Caterers"/>
        <s v="The Bombay Chaat"/>
        <s v="Sangeeth Kitchen "/>
        <s v="Bruvaka Tiffins"/>
        <s v="Sri Raghavendra Cafe"/>
        <s v="Errababu Pulavos"/>
        <s v="Chittibabu Biryani "/>
        <s v="Sahi nawabs biryani"/>
        <s v="Gadu Rajugari Ruchulu"/>
        <s v="Military Rajanna Hotel"/>
        <s v="Bulli abbai kodi palav"/>
        <s v="Arukha Flavours "/>
        <s v="Amma chethi RuchuluNa"/>
        <s v="Tara kitchen "/>
        <s v="Hello Kafe "/>
        <s v="Brew Gato"/>
        <s v="Amma chethi Ruchulu"/>
        <s v=" Bhimavaram thali Bhimavaram thali "/>
        <s v="badrachalam cafe badrachalam cafe"/>
        <s v="laibas cafe"/>
        <s v="rrr mandi"/>
        <s v="bab al mandibab al mandi"/>
        <s v="arabian affairs "/>
        <s v="sreenindhi fast food "/>
        <s v="oven fresh bakery oven fresh bakery"/>
        <s v="nawabi "/>
        <s v="tealogy "/>
        <s v="bawarchi express"/>
        <s v="madhura restraunt bar na"/>
        <s v="flavours of andhra na"/>
        <s v="gismat jailnza"/>
        <s v="kaaram the authentic telangana spice kitchen "/>
        <s v="Test"/>
        <s v="Vinni cabin cafe Vinni cabin cafe "/>
        <s v="Indira Darshini tiffins "/>
        <s v=" Aha Dakshin Aha Dakshin Aha Dakshin"/>
        <s v="Burger KingBurger KingBurger King"/>
        <s v="WOW ChinaWOW ChinaWOW China"/>
        <s v="The Thickshake Factory The Thickshake Factory The Thickshake Factory "/>
        <s v="The Spicy Express The Spicy Express "/>
        <s v="FrankieFrankieFrankie"/>
        <s v="Venkees kitchen "/>
        <s v="FireWater"/>
        <s v="Fuel Box"/>
        <s v="Khaan SaabKhaan SaabKhaan Saab"/>
        <s v="Chai point Chai point Chai point "/>
        <s v="Onesta Onesta Onesta "/>
        <s v="Sweet Basket"/>
        <s v="Agra Sweets "/>
        <s v="Machili Patnam "/>
        <s v="Big Byte "/>
        <s v="Amy’s cafe "/>
        <s v="Tosh e Daan "/>
        <s v="Tteok bokki "/>
        <s v="Bakers Harvest "/>
        <s v="Sri Raghavendra Bhavan"/>
        <s v="Kings Kohinoor Hotels"/>
        <s v="7th Heaven &amp; white hart7th Heaven &amp; white hart7th Heaven &amp; white hart"/>
        <s v="Swad of Grandma "/>
        <s v="Burfi ghar"/>
        <s v="preeti tiffins"/>
        <s v="Andhra canteen"/>
        <s v=" fire and ice cream  fire and ice  ice cream "/>
        <s v="Bakers HarvestBakers harvest"/>
        <s v="minerva  sweet "/>
        <s v="Kodi kura chitti gaare"/>
        <s v="Hope in a cup"/>
        <s v="Deccan Dhaba"/>
        <s v="priyansh fast food "/>
        <s v="Sardarji kitchen "/>
        <s v="mysore bakery "/>
        <s v="Kingston Restaurant "/>
        <s v="Akshaya bhojanam "/>
        <s v="NAWAB CAFETERIANAWAB CAFETERIA"/>
        <s v="Bejjawada junction"/>
        <s v="Hard Rock CafeHard Rock Cafe"/>
        <s v="Deerga Ayushman bhava Deerga Ayushman bhava "/>
        <s v="Simply parottas Simply parottas "/>
        <s v="Hari dosaHari dosa "/>
        <s v="Missamma restaurant Missamma restaurant "/>
        <s v="Rainbow mandi restaurant Rainbow mandi "/>
        <s v="Raagam foods Raagam foods "/>
        <s v="Kings biryani adda Kings biryani adda "/>
        <s v="QubzQubz"/>
        <s v="SS BAWARCHI"/>
        <s v="Al Aadaab Arabian Mandi Restaurant "/>
        <s v="SRI RAMANA MAHARSHI FOOD COURT "/>
        <s v="TEAALOGY"/>
        <s v="oak bistro"/>
        <s v="SHA SHA SHAWARMA "/>
        <s v="AROMA BIRYANIS PULAOS   "/>
        <s v="flavours of andhra"/>
        <s v="Daily Rituals"/>
        <s v="Tiffins and more"/>
        <s v="Dwaraka Restuarant "/>
        <s v="special 9Special 9"/>
        <s v="Saharsh udipi"/>
        <s v="My bowl"/>
        <s v="Palapitta ruchuluPala pitta ruchulu"/>
        <s v="Patnam ruchuluPatnam ruchulu"/>
        <s v="Kodi kura chitti gare"/>
        <s v="Shawarma burger"/>
        <s v="Cafe Ikigai"/>
        <s v="Barbeque nation"/>
        <s v="DID LI Arabian kitchen"/>
        <s v="Bejawada junction"/>
        <s v="Tadipathri biryani"/>
        <s v="PandagaPandaga"/>
        <s v="SorseSorse"/>
        <s v="Udupi restaurant"/>
        <s v="Cafe Delhi Heights"/>
        <s v="Chutnety's"/>
        <s v="Starbucks"/>
        <s v="Wisphot"/>
        <s v="Foo"/>
        <s v="Popoyes"/>
        <s v="Mad about China +  Indian Tadka"/>
        <s v="Keventers"/>
        <s v="California Burrito"/>
        <s v="KFC Inorbit Mall"/>
        <s v="Pluto (Soda)"/>
        <s v="The Yellow Straw"/>
        <s v="AM AHA"/>
        <s v="Amnesia Sky Bar"/>
        <s v="Absolute Barbeque"/>
        <s v="Game Palacio"/>
        <s v="HaldiramsHaldirams"/>
        <s v="Almond HouseAlmond House"/>
        <s v="MezbaanMezbaan"/>
        <s v="PeshawarPeshawar"/>
        <s v="Organic creameryOrganic Creamery"/>
        <s v="Murugans Cofee"/>
        <s v="House of Taste"/>
        <s v="Shanghai flavours of chinaShanghai Flavours of China"/>
        <s v="VR Tiffins"/>
        <s v="Slice and Sauce "/>
        <s v="Karachi BakeryKarachi Bakery"/>
        <s v="Laksmi Duga Andhra Ruchulu"/>
        <s v="Theme Cafe"/>
        <s v="Baskin Robbins"/>
        <s v="Pizza Mania"/>
        <s v="Andhra House"/>
        <s v="Maska Chaska"/>
        <s v="Bimvaram Bulodu"/>
        <s v="Ahara Avaham"/>
        <s v="Burfighar"/>
        <s v="Punjabi paratha House "/>
        <s v="Cherrys Restaurant "/>
        <s v="IFC- Indian favourite Chef"/>
        <s v="My Biriyani "/>
        <s v="NarthanashalaNarthanashala"/>
        <s v="Southern Fusion"/>
        <s v="Spicy hutSpicy hut"/>
        <s v="SS Live Kitchen"/>
        <s v="The bake factory"/>
        <s v="Mayabazar"/>
        <s v="Maheswari balaji family dhabha "/>
        <s v="Kings Restaurant and bar "/>
        <s v="RR Food Court"/>
        <s v="KS Bakers"/>
        <s v="Fb bakersFb bakers"/>
        <s v="Tulja Bhavani Hotel"/>
        <s v="Sri subham food court Sri subham food court "/>
        <s v="Bichareddy"/>
        <s v="Lassi shopLassi shop"/>
        <s v="Peni icecandy"/>
        <s v="Just bake"/>
        <s v="Sandwichsquare "/>
        <s v="Mojo Pizza"/>
        <s v="Authenetic kunda biryanis"/>
        <s v="Times food courttTimes food courtt"/>
        <s v="Vrindhavan kitchen"/>
        <s v="Kulcha kulchaKulcha kulcha"/>
        <s v="The red box"/>
        <s v="Claysutra pottery"/>
        <s v="Livora cafe nd kitchen"/>
        <s v="Southern fusionSouthern fusion"/>
        <s v="IFC INDIAN FAV CHEFIFC INDIAN FAV CHEF"/>
        <s v="Bulli abbai kodi palau"/>
        <s v="Brands of Bhimavaram (bob)Na"/>
        <s v="Ahara KitchensNa"/>
        <s v="Le Meridien HyderabadLe Meridian"/>
        <s v="Burger KingBurger King"/>
        <s v="Sweets DudeSweets Dude"/>
        <s v="ACCORAccor"/>
        <s v="Sri Sai Rama tiffins"/>
        <s v="Sri varahi sampradaya vindhu "/>
        <s v="WOW ChinaWOW China"/>
        <s v="Kunafa BakeKunafa Bake"/>
        <s v="FrankieFrankie"/>
        <s v="Chai PointChai Point"/>
        <s v="7th Heaven &amp; white hart7th Heaven &amp; white hart"/>
        <s v="HaldiramHaldiram"/>
        <s v="Hakka Station"/>
        <s v="Sattva Food Court"/>
        <s v="Raasta"/>
        <s v="Flurry"/>
        <s v="Cream Centre"/>
        <s v="Whisky Samba"/>
        <s v="Moms recipe "/>
        <s v="Samastha Tiffins"/>
        <s v="Yousiffain kalyani biryani "/>
        <s v="Iq shawarma"/>
        <s v="Zamana shawarma"/>
        <s v="Santhakam ruchulu"/>
        <s v="Blend and roast cafe"/>
        <s v="Mahreens kitchen "/>
        <s v="Chicken shawarma hut"/>
        <s v="Manam Chocolate"/>
        <s v="Sabko"/>
        <s v="Chinese express "/>
        <s v="Ichirakai Rameen house"/>
        <s v="Rao gari military hotel"/>
        <s v="Kamakshi tiffins"/>
        <s v="Kamakshi snakes meals and curries"/>
        <s v="Royal odisha daba"/>
        <s v="Shasha shandaar shawarma"/>
        <s v="Palle vindhu"/>
        <s v="Malabaris"/>
        <s v="Zara hi fi restaurent"/>
        <s v="Sankala bakerySankala bakery"/>
        <s v="Babai ruchi mess nd biryani"/>
        <s v="Spicy food courtSpicy food court"/>
        <s v="Tass Spice hut"/>
        <s v="Midhunam"/>
        <s v="Rayalaseema spiceRayalaseema spice"/>
        <s v="BTO PIZZA WINGS SALAD"/>
        <s v="Spicy Express Spicy Express "/>
        <s v="Rooster Chicken "/>
        <s v="Dragon Kitchen "/>
        <s v="Slice and Bytes "/>
        <s v="Ayaansh Food Court"/>
        <s v="Red Bucket Biryani "/>
        <s v="Ahara Aahvanam"/>
        <s v="Annam Parabrahma"/>
        <s v="HITECH BAWARCHI FOOD ZONE"/>
        <s v="SURABHI HOTEL"/>
        <s v="USTAADS HYDERABADI ZAIQA"/>
        <s v="GRANDSONS BADEMIYAN KEBAB AND RESTAURANT"/>
        <s v="AAHARA FOOD COURT"/>
        <s v="GULF BAKERS"/>
        <s v="JAI BHAVANI AK FOOD COURTJAI BHAVANI AK FOOD COURT"/>
        <s v="SANGAM DHABA"/>
        <s v="ASTRIO RESTAURANT"/>
        <s v="SK MUNNA RESTAURANT"/>
        <s v="DWARAKA MULTICUISINE RESTAURANT"/>
        <s v="HYDERABAD SHAHI RESTAURANT"/>
        <s v="NAIDUS FOOD COURT"/>
        <s v="Dine o china"/>
        <s v="Arya tiffinsArya tiffins"/>
        <s v="Subway"/>
        <s v="Waffles N More"/>
        <s v="Sai Ram tiffins Sai Ram tiffins "/>
        <s v="Nosh bistro "/>
        <s v="Vasudo dhaba Vasudo dhaba "/>
        <s v="La chai de"/>
        <s v="Delhi ke famous nagpalsDelhi ke famous nagpals "/>
        <s v="Aamantran"/>
        <s v="Udupi tiffins veg"/>
        <s v="Street darbar "/>
        <s v="BBQ Bites "/>
        <s v="Shiridi sai tiffins meals and snacks"/>
        <s v="Grand bawarchi hotel "/>
        <s v="Pakka telangana "/>
        <s v="PersisPersis"/>
        <s v="Bhattad ki idly"/>
        <s v="Woodfire pizza "/>
        <s v="Athidis kitchen Athidis kitchen "/>
        <s v="Malabar kitchen"/>
        <s v="Punjabi chaskaPunjabi chaska"/>
        <s v="Yum Yum Tree"/>
        <s v="Cherry Restaurent"/>
        <s v="ASIAN PAN HOUSE AND RESTAURANT"/>
        <s v="PREETI TIFFINSPREETI TIFFINS "/>
        <s v="The chocolate room"/>
        <s v="Kafika"/>
        <s v="Krishnapatnam"/>
        <s v="Myfroyoland "/>
        <s v="Bhai ki chai "/>
        <s v=" Chai chaska"/>
        <s v="Nath Kitchen"/>
        <s v="Palamgiri kitchen "/>
        <s v="Van lavino"/>
        <s v="Almond House"/>
        <s v="Telegu Jublii hills"/>
        <s v="Thyme and Whisk"/>
        <s v="Naughty Kudi"/>
        <s v="Insomnia night club"/>
        <s v="Aha ruchuluAha ruchulu "/>
        <s v="Al saba"/>
        <s v="Arabian Mandi "/>
        <s v="Hotel swaruchiHotel surichi"/>
        <s v="Bhimavaram ruchulu"/>
        <s v="Godavari ruchuluGodavari ruchulu"/>
        <s v="Sirisha fast food "/>
        <s v="Sankar villas tiffins"/>
        <s v="Venkateswara foods"/>
        <s v="Zaiqa 11"/>
        <s v="Kadak house "/>
        <s v="Eruvaaka "/>
        <s v="RR Orisha Dhaba"/>
        <s v="Raju Gari Bhimavaram Biryani"/>
        <s v="Sai Mumbai Famous"/>
        <s v="Sravanthi tiffins"/>
        <s v="Orugallu Ruchulu "/>
        <s v="Sattibabu Biryani "/>
        <s v="Laxmi Foods and Meals"/>
        <s v="Sravati Biryani "/>
        <s v="Sravanthi Fast Food"/>
        <s v="Sravanthi mess"/>
        <s v="DOSA HUT"/>
        <s v="Upasanna's Kitchen"/>
        <s v="BFC Crispy N Spicy"/>
        <s v="Thunderbolts"/>
        <s v="Pakka Local Food"/>
        <s v="Bayyas food hub"/>
        <s v="SK FOODS"/>
        <s v="Contico"/>
        <s v="Yum Crumble Waffle"/>
        <s v="Tiffin xpressMohammed yaser"/>
        <s v="Southern Kithchen"/>
        <s v="Victoria Tiffins and Fast food"/>
        <s v="kings arabian "/>
        <s v="oak bistro "/>
        <s v="fire and ice bakers"/>
        <s v="redoven"/>
        <s v="sha sha shandar shawarma"/>
        <s v="aroma biryani and pulaos"/>
        <s v="raghavendra tiffens"/>
        <s v="rs birayani "/>
        <s v="samosa party "/>
        <s v="aazeboo"/>
        <s v="Brost nation"/>
        <s v="scoops "/>
        <s v="sri poorna hotel sri poorna "/>
        <s v="Crave and corners"/>
        <s v="avani restraunt "/>
        <s v="Moms kitchen"/>
        <s v="shawarama house"/>
        <s v="o ginger o ginger"/>
        <s v="Kush mandiKush mandi"/>
        <s v="sangam dhaba "/>
        <s v="Kadak house"/>
        <s v="swach swach"/>
        <s v="Balle alle punjabi"/>
        <s v="Zaiqa 11 Zaiqa 11 "/>
        <s v="abhiruchi sagurha foods"/>
        <s v="Venkateshwara restaurent"/>
        <s v="vellanki vellanki"/>
        <s v="Sirisha fast food"/>
        <s v="thrivesome cafethrive some cafe and cpo"/>
        <s v="Godhavari ruchulu"/>
        <s v="thualsi villas"/>
        <s v="Zafaron shawarma and chinese fast foodZafaron shawarma and chinese fast food"/>
        <s v="raghavendra"/>
        <s v="taaza"/>
        <s v="FB Cakes"/>
        <s v="Sri akshaya Sri akshaya tiffins "/>
        <s v="Midland bakersMidland bakers"/>
        <s v="Blue star restaurant "/>
        <s v="Rayudu's kitchen "/>
        <s v="Agra sweets"/>
        <s v="Sainadh tiffins"/>
        <s v="Olive mithai "/>
        <s v="Srinivasa mixture hub"/>
        <s v="Parnasala kitchen"/>
        <s v="Rayudu hotels"/>
        <s v="Subbayamma foods "/>
        <s v="Maa oori vanta "/>
        <s v="Vasistas  sri lakshmiNa"/>
        <s v="Pind to play "/>
        <s v="radisson (chillis)"/>
        <s v="parampara"/>
        <s v="third wave coffee"/>
        <s v="chaitanya food court chaitanya food court"/>
        <s v="hummus house"/>
        <s v="Borasted chicken shawarma "/>
        <s v="Habitat"/>
        <s v="Park frankies "/>
        <s v="Pakka Local"/>
        <s v="Seasons Express"/>
        <s v="Dine Hill"/>
        <s v="Exotica"/>
        <s v="Sravanam 4am biryani"/>
        <s v="Sahi nawabis kitchen"/>
        <s v="Mickeys tiffinNa"/>
        <s v="Harsha deluxe mess"/>
        <s v="Kasoori"/>
        <s v="Churrolto Na"/>
        <s v="cafe coffee day cafe coffee day"/>
        <s v="the chocolate roomchocolate room"/>
        <s v="kapoors cafe"/>
        <s v="Babbai hotel"/>
        <s v="THE SIPPING ADDATHE SIPPING ADDA"/>
        <s v="sAI RISHITHA FAST FOOD CENTREsAI RISHITHA FAST FOOD CENTRE"/>
        <s v="ABC Foods (Abiruchi biryani cafe)"/>
        <s v="Balaji villas "/>
        <s v="Ike cafe the tasty bakery"/>
        <s v="Tealogy cafe"/>
        <s v="Hotel annamayya"/>
        <s v="Chickpet donne biryani house"/>
        <s v="Dhaba food court"/>
        <s v="sRI GOWRAS KITCHEN"/>
        <s v="Tiffin kottu"/>
        <s v="Giri food court"/>
        <s v="Mathru sree athidhidevobhavaMathru sree athidhidevobhava"/>
        <s v="Induru spice kitchenInduru spice kitchen"/>
        <s v="Thakshashila curries "/>
        <s v="Irawath kitchenIrawath kitchen"/>
        <s v="Ruchullo rarraju"/>
        <s v="Sri venkateswara food courtSri venkateswara food court"/>
        <s v="Perch 24 cafePerch 24 cafe"/>
        <s v="Sree teja food court "/>
        <s v="Padmavathi food court "/>
        <s v="The organic creamery "/>
        <s v="Cranelle "/>
        <s v="Aditya kitchen "/>
        <s v="Upasana's Kitchen"/>
        <s v="BFC Crispy And Spicy"/>
        <s v="Pakka Local Food Court"/>
        <s v="Highway Resturant"/>
        <s v="Ulavacharu"/>
        <s v="Kakatiya Home Foods"/>
        <s v="Sri Ragavendra Vihar"/>
        <s v="The Spicy Unions"/>
        <s v="Bheema Restaurant "/>
        <s v="Farasha restaurant "/>
        <s v="Arabian mandi"/>
        <s v="Bakely cafe"/>
        <s v="The Bakely bakersThe bakely"/>
        <s v="Aura telegu kitchen"/>
        <s v="Chinese Chinese kitchen "/>
        <s v="Biriyani &amp; bagara"/>
        <s v="Sri Mama&quot;s kitchen"/>
        <s v="Alfa MadrEat"/>
        <s v="Dostan Meals &amp; snacks"/>
        <s v="fushion xps"/>
        <s v="Dostan Fast food "/>
        <s v="Dostan Tiffins"/>
        <s v="Dostan Shawarma "/>
        <s v="Dostan Biryani's"/>
        <s v="The Hungry Spot"/>
        <s v="Imperial restaurant "/>
        <s v="Firdous hotel"/>
        <s v="R K grand restaurant "/>
        <s v="Jai Tulja bhavani curries"/>
        <s v="Rokali"/>
        <s v="Bejing Bistro"/>
        <s v="Liimra Arabian Mandi House"/>
        <s v="Namaste Hyderabad"/>
        <s v="Royal Bawarchi"/>
        <s v="Sri Nakshatra Chinese Hub"/>
        <s v="Club 10 ChickenClub 10 Chicken"/>
        <s v="Hotel Chal Mohana Ranga Biryani's"/>
        <s v="Sravani Biryani's"/>
        <s v="RK delux mess"/>
        <s v="TOC Bakers and Confectioners"/>
        <s v="Sarovar Portico HotelSarovar Portico Hotel"/>
        <s v="Hotel GreenparkHotel Greenpark &amp; Marigold"/>
        <s v="Zam zam restaurant Zam zam restaurant "/>
        <s v="Sri Sai tiffins and curry pointSri Sai tiffins and curry point "/>
        <s v="Honeyman"/>
        <s v="Vaibhavam"/>
        <s v="Al furquan hotelAl furquan hotel "/>
        <s v="Arabian zaiqa restaurant "/>
        <s v="Hotel MS pride"/>
        <s v="Mahabaala food court"/>
        <s v="The Thick Shake FactoryThe Thickshake Factory"/>
        <s v="BISMILLAH HOTEL"/>
        <s v="hotel anandh bhavan"/>
        <s v="bal al mandi "/>
        <s v="taazataaza tiffens"/>
        <s v="babai hotel babai hotel"/>
        <s v="rowdy momo express"/>
        <s v="ProstProst"/>
        <s v="Paradise BiryaniParadise Biryani"/>
        <s v="Chutneys"/>
        <s v="hotel bheemas grand "/>
        <s v=" New farasha cafe "/>
        <s v="Savera hills hotel"/>
        <s v="Oura telugu kitchen"/>
        <s v="City chefs kitchen City chefs kitchen "/>
        <s v="Bagara and biryani "/>
        <s v="Ruchi plaza"/>
        <s v="Sri mamas kitchen"/>
        <s v="Annapurna hotel "/>
        <s v="Alfa madr eat "/>
        <s v="Shah restaurant"/>
        <s v="The nawaabs restaurant "/>
        <s v="Leons burger and burger  "/>
        <s v="Albaik"/>
        <s v="Raasa cafe"/>
        <s v=" A1 hotel "/>
        <s v=" al bawadi mandi"/>
        <s v="SRK food court"/>
        <s v="fresh and hot "/>
        <s v="shurfa  mandi "/>
        <s v=" felfelah  felfelah "/>
        <s v="hotel city diamond "/>
        <s v="khans arabian shawarma "/>
        <s v=" makhayad al arabi "/>
        <s v="poorna food court "/>
        <s v=" kebabwala"/>
        <s v="mana ruchulu "/>
        <s v="crispy corner "/>
        <s v="Sri Vigneshwara nellore ruchulu"/>
        <s v="Sri Vigneshwara aaha Bojhanam"/>
        <s v="Aaha Bhojanam"/>
        <s v="Cafe 74"/>
        <s v="Bommarillu "/>
        <s v="Rama tiffins "/>
        <s v="Shaalimar Sweets"/>
        <s v="Dreamland Bakers &amp; Confectionaries"/>
        <s v="Sri Raghavendra Hotel"/>
        <s v="Al-Baik"/>
        <s v="Sabiib Restaurant Haven"/>
        <s v="Bhai Chai"/>
        <s v="Park HyattPark Hyatt"/>
        <s v="Cock &amp; Bull HyderabadCock and Bull Hyderabad"/>
        <s v="UlavacharuUlavacharu"/>
        <s v="K Brundavan Food Court"/>
        <s v="Maa Amrutham"/>
        <s v="Charcoal shawarma"/>
        <s v="Avacado on wheels"/>
        <s v="Oh my momo"/>
        <s v="Anagha Kitchen"/>
        <s v="Bhulakshmi MessBhulakshmi Mess"/>
        <s v="Andhana Brahma "/>
        <s v="Granny KitchenGranny's Kitchen"/>
        <s v="Food Corner"/>
        <s v="Rithvikaas Kitchen"/>
        <s v="City Wrap and Broast"/>
        <s v="Ulavapadu Biryani and Pulav"/>
        <s v="Meridian Restaurant"/>
        <s v="donne biryani house"/>
        <s v="Bahar biryani nd cafe"/>
        <s v="Akshaya patraAkshaya patra"/>
        <s v="Famous arabian shawarmaFamous arabian shawarma"/>
        <s v="Wrap nd MoreAfroz"/>
        <s v="Wrap nation"/>
        <s v="All mataam madina mandi"/>
        <s v="Classic crownClassic crown"/>
        <s v="Athidhis kitchen"/>
        <s v="Manikantas eat spot "/>
        <s v="Limra fast food centre"/>
        <s v="Errababu palaav"/>
        <s v="Yuman crazy fast food center"/>
        <s v="Bhavani food courtBhavani food court"/>
        <s v="Beyniaz shawarma and grill"/>
        <s v="Limra fast food center "/>
        <s v="Manikantas eat spot"/>
        <s v="Bahar biryanis nd cafe"/>
        <s v="Madhurams restaurent"/>
        <s v="Chickpet donne biryanis house"/>
        <s v="Cake factory"/>
        <s v="Shadab"/>
        <s v="AR Raghavendhara tiffins and meals"/>
        <s v="Saudi arabian restaurent"/>
        <s v="Universal Restaurant "/>
        <s v="aaha tiffins"/>
        <s v="Anandha brahma"/>
        <s v="Spice Soiree"/>
        <s v="Tawakaal biryani hotel"/>
        <s v="New Nisar cafe and restaurant"/>
        <s v="Desi Zayqa "/>
        <s v="Konaseema Pedi Ruchulu"/>
        <s v="Andhra Bhavan"/>
        <s v="Hyderabad Bakehouse"/>
        <s v="Qubz the shewarma house"/>
        <s v="king Darbar "/>
        <s v="7STARS RESTAURENT"/>
        <s v="Varnam "/>
        <s v="Mahabalaa Food Court"/>
        <s v="Aha bojanam"/>
        <s v="Telengana food court"/>
        <s v="Homly tiffins"/>
        <s v="Tawwakal shawarma"/>
        <s v="Chai kaburlu"/>
        <s v="Raju gari biryani "/>
        <s v="snack bite"/>
        <s v="kritunga restraunt"/>
        <s v="shake it upshake it up"/>
        <s v="hayansh kitchen "/>
        <s v="SnackBite"/>
        <s v="araah cafe"/>
        <s v="raghavendra tiffens "/>
        <s v="nawabi cafeteria "/>
        <s v="The Boat House Express"/>
        <s v="CAFE 555 AND AQEEQ RESTAURANT"/>
        <s v="srk food court srk food court "/>
        <s v="andra ruchulu "/>
        <s v="biryani adda "/>
        <s v="A1 hotel A1 HOTEL"/>
        <s v="al bawadi "/>
        <s v="Yum yum tree Yum yum tree "/>
        <s v="Nine Waves Restaurant"/>
        <s v="Saba - E - Kitchen"/>
        <s v="Parota House"/>
        <s v="Taaza Tiffins"/>
        <s v="SV food court"/>
        <s v="Klinkaara Restaurant"/>
        <s v="Bombay juice"/>
        <s v="Arabian Mandi Banjara"/>
        <s v="Golden Pavillion "/>
        <s v="Paradise Food Court"/>
        <s v="Absolute Barbeque Absolute Barbeque "/>
        <s v="Sreeja Home food"/>
        <s v=" Aha Dakshin"/>
        <s v="Wool cup"/>
        <s v="Sabha"/>
        <s v="ITC Kakatiya"/>
        <s v="Kritunga"/>
        <s v="Roast "/>
        <s v="Krispy Kreme"/>
        <s v="Chutney's"/>
        <s v="Slice and Sauce"/>
        <s v="RokaliRokali"/>
        <s v="Universal Restaurant Universal Restaurant "/>
        <s v="Royal Bawarchi Royal Bawarchi "/>
        <s v="Slice and Bytes Biryani"/>
        <s v="Slice and Bytes Food Court"/>
        <s v="Aadhya Food Court"/>
        <s v="Frankie"/>
        <s v="Amulya Abhiruchi Biryani "/>
        <s v="Amulya Abhiruchi Fast Food"/>
        <s v="A1 bawarchi NA"/>
        <s v="Brownies Bakery "/>
        <s v="AHA AMRUTULYA"/>
        <s v="KLASSIC BAKERS AND SHEWARMA AND CAFE"/>
        <s v="SVS SPECIAL VILLAGES AND SPICES"/>
        <s v="Amrutham "/>
        <s v="Ma oori biryani"/>
        <s v="Saregama kitchen"/>
        <s v="New heeramothi"/>
        <s v="Sri rama kitchens"/>
        <s v="Crispy crunch"/>
        <s v="Moon friends "/>
        <s v="MK Shawarma"/>
        <s v="Sri nidhi dsr hotel"/>
        <s v="Chicken in wings"/>
        <s v="Nellore chepala pulusu"/>
        <s v="Classic crown restaurentClassic crown restaurent"/>
        <s v="Sri Tejas kitchenSri Tejas kitchen"/>
        <s v="Crispy crunch dinnerCrispy crunch dinner"/>
        <s v="Appi natural fresh juiceAppi natural fresh juice"/>
        <s v="taaza tiffens "/>
        <s v="sri raghavendra bhavan "/>
        <s v="swathi tiffens "/>
        <s v="the food court "/>
        <s v="bandhan mithai vatika "/>
        <s v="raghuram dosa"/>
        <s v="epic bawarchi "/>
        <s v="epic bawarachi tiffen centre "/>
        <s v="epic bawarchi chat bhandar "/>
        <s v="the chinese zhang family "/>
        <s v="nellore vantakalu"/>
        <s v="beyond kimchi - the taste of korea "/>
        <s v="the english kitchen "/>
        <s v="Mini Udipi's"/>
        <s v="vizag beach street food "/>
        <s v="mana vizag ruchulu "/>
        <s v="healthy food promised"/>
        <s v="MILITARY REDDY TIFFENS "/>
        <s v="Dum Biryani Adda"/>
        <s v="sip of health"/>
        <s v="ANDHRA RUCHULU"/>
        <s v="the brazilian juice bar"/>
        <s v="MILLET MARVELS"/>
        <s v="the nice juice junction "/>
        <s v="GREEN BUCKET BIRYANI"/>
        <s v="SVS BAKERS &amp; FOOD COURT"/>
        <s v="DSD CAFE"/>
        <s v="KRITUNGA RESTAURANT"/>
        <s v="Golden Pavilion"/>
        <s v="shreya food court "/>
        <s v="gayatri bhavan  "/>
        <s v=" harika mess"/>
        <s v="amans food courtamans food court"/>
        <s v="caffiene Snacks"/>
        <s v="Caffine Meals "/>
        <s v="telugu cuisine  "/>
        <s v="CAFFEINE BIRYANAIS"/>
        <s v="biryani ustad "/>
        <s v="CAFFEIN HUB FAST FOOD"/>
        <s v="CAFFEINE JUICE &amp; MILKSHAKES"/>
        <s v="cake corner Bakery"/>
        <s v="Corner fast food"/>
        <s v="corner juice &amp; milkshake"/>
        <s v="CORNER FOODS"/>
        <s v="CHAI KABURLU "/>
        <s v="5ves restaurant "/>
        <s v="Anu Kitchen"/>
        <s v="T Vannam "/>
        <s v="Shwarma kingdom"/>
        <s v="Southern Mirchi"/>
        <s v="Joharfa "/>
        <s v="Meenakshi Cafe"/>
        <s v="Ram’s Dosa House "/>
        <s v="Audio cup coffee house"/>
        <s v="Aha DakshinAha Dakshin"/>
        <s v="Hotel Greenpark &amp; MarigoldHotel Greenpark &amp; Marigold"/>
        <s v="Biryaniwalla &amp; co"/>
        <s v="All Season Express"/>
        <s v="Mourya Restaurant"/>
        <s v="Street view express"/>
        <s v="Sozo Cakery &amp; Cafe"/>
        <s v="Kelvin Scale Absolute Ice Cream"/>
        <s v="Zucifera"/>
        <s v="Pulaos and Bagara"/>
        <s v="Mexician Fried Chicken"/>
        <s v="Deccan Bawarchi"/>
        <s v="SRG Restro innSRG Restro inn"/>
        <s v="Shri balaji chennai spicesShri balaji chennai spices"/>
        <s v="Nikhils feastNikhils feast"/>
        <s v="Manikantas eat spotManikantas eat spot"/>
        <s v="Dosa martDosa mart"/>
        <s v="N hot chineseN hot chinese"/>
        <s v="Hot shawarma nd wingsHot shawarma nd wings"/>
        <s v="Crispy hot wingsCrispy hot wings"/>
        <s v="Hot wingsHot wings"/>
        <s v="Mandi Bistro"/>
        <s v="Chamkila NA"/>
        <s v="Chaitanyas modern kitchen "/>
        <s v="The tasty chapter "/>
        <s v="Biryani Mandirr "/>
        <s v="Srijas home foods and currys"/>
        <s v="Annapurna hotels and tiffins "/>
        <s v="Mallesh mama fast foodMallesh mama fast food"/>
        <s v="Ma oori vantaMa oori vanta"/>
        <s v="Monkeys cafe Monkeys cafe "/>
        <s v="Best biryanis and curriesBest biryanis and curries"/>
        <s v="Koodu the taste of TelanganaKoodu the taste of Telangana"/>
        <s v="Sankranthi cafe"/>
        <s v="Bachelor brothers"/>
        <s v="Arathi  Chinese fast food "/>
        <s v="Pandemkodi"/>
        <s v="Mahalaxmi kitchen "/>
        <s v="Abhi restaurant "/>
        <s v="Lotus biryani nd fast good"/>
        <s v="Spicy kitchen"/>
        <s v="Sri Aadhya Food Court"/>
        <s v="Rayalaseema Biryani"/>
        <s v="Rayalaseema Chinese"/>
        <s v="Rayalaseema Meals And Curries"/>
        <s v="Second wifes tiffins"/>
        <s v="Second wifes Biryanis "/>
        <s v="Second wife rolls and snacks"/>
        <s v="Second wife fast food"/>
        <s v="Second wife meals C/o guntur"/>
        <s v="Wok 33"/>
        <s v="Mummy ki rassoi"/>
        <s v="Golden Barrel Restaurent and pub"/>
        <s v="Big guys wings and Burgers"/>
        <s v="SREYA  FAST FOFD AND MOMO"/>
        <s v="srijas food and currys"/>
        <s v="zaiqa bawarchi restaurant"/>
        <s v="Ruchi Resturants"/>
        <s v="Star lite"/>
        <s v="Ar hotell"/>
        <s v="Hyderabadi foodie"/>
        <s v="Konaseema Gummagumalu"/>
        <s v="Tealogy Tealogy"/>
        <s v="Nagallas shawarma and kababs"/>
        <s v="Baburao gari biriyani "/>
        <s v="Jaya laxmi food centre "/>
        <s v="Prince house family restaurant"/>
        <s v="Athithi Biriyani Ruchulu"/>
        <s v="Seven stars restaurant "/>
        <s v="  Sri Shakambhari Restaurant (tiffins)Sri Shakambhari Restaurant "/>
        <s v="Masala Resturant "/>
        <s v="Balaji santosh dhaba"/>
        <s v="Sri Shakambhari Restaurant (meals and curries)Sri Shakambhari Restaurant "/>
        <s v="Sri Shakambhari Restaurant Sri Shakambhari Restaurant (Chinese)"/>
        <s v="Bawarchi mandi and Biryani"/>
        <s v="Mandi Specials and Biryani "/>
        <s v="Balaji Dhaba"/>
        <s v="Mini Cafe"/>
        <s v="Rishitha Curries and Biryani"/>
        <s v="Amristari dabha"/>
        <s v="Mekallas shawarma and kababsMekallas shawarma and kababs "/>
        <s v="Nagallas shawarma Nagallas shawarma and kababs"/>
        <s v="Sangeetha Kitchen"/>
        <s v="Bhavani matha curry point "/>
        <s v="My friend mandi "/>
        <s v="Gulf Mandi "/>
        <s v="Chittibabu Biriyani "/>
        <s v="Lotus Biryani and Fast Food Center "/>
        <s v="Sai Darshini Tiffins"/>
        <s v="Ahmed restaurant "/>
        <s v="Hotel CVR narsingi"/>
        <s v="Kuthari hotel"/>
        <s v="Pakka Telangana"/>
        <s v="Rk grand multicuisne Rk multi cuisine "/>
        <s v="Tawakkal kalyani biryani"/>
        <s v="The hungers spot "/>
        <s v="Burgers and pizzas "/>
        <s v="S D fast food centre "/>
        <s v="Ellipaya karam express "/>
        <s v="Butter bunnies NA"/>
        <s v="Delicia multicusine restaurant "/>
        <s v="Rayalaseema Karam Dosa"/>
        <s v="Anmol continental"/>
        <s v="Hare krishna family dhaba "/>
        <s v="Krishna tiffins and mess"/>
        <s v="Hillstar"/>
        <s v="Arambam "/>
        <s v="Cafe Hyd"/>
        <s v=" cheese and mix kitchen"/>
        <s v="HARIKA MESS"/>
        <s v="sri sai food court "/>
        <s v="hillstar hillstar "/>
        <s v="Dumont Creamery"/>
        <s v="Swadist Super Sweets &amp; Restaurant"/>
        <s v="Friends N Cafe"/>
        <s v="Mohammedia Shawarma"/>
        <s v="By the BAY"/>
        <s v="7 Sauces"/>
        <s v="Scoops"/>
        <s v="Chicha's"/>
        <s v="Kathmandu Momos"/>
        <s v="The Boat house"/>
        <s v="Swaad curries and tiffins "/>
        <s v="Idv kitchen "/>
        <s v="Muntha masala "/>
        <s v="Bhadrachalam cafe "/>
        <s v="Ideal Kitchen"/>
        <s v="Hotel the Nawabi zaiqa "/>
        <s v="Shringeri kitchen "/>
        <s v="Manchidhana tiffins and fast food "/>
        <s v="Udipis ahaara arogyaUdipis ahaara arogya"/>
        <s v="DosteaDostea"/>
        <s v="Udipis upahar "/>
        <s v="Sri Sai Raghavendra tiffins and meals "/>
        <s v="Sri bakers "/>
        <s v="Balaji family dhaba"/>
        <s v="Rajahmundry vaari real rose milk Rajamundry vaari real rose milk "/>
        <s v="Open heart restaurant Open heart restaurant "/>
        <s v="Gen Z flavoria Gen Z flavoria"/>
        <s v="Iyengar bakery"/>
        <s v="RAM hotel"/>
        <s v="Arya BhavanAraya Bhavan"/>
        <s v="Poruginti Chapala Pulsu"/>
        <s v="Prathiyaka The kitchen"/>
        <s v="Dum marro dum"/>
        <s v="Rushibha Kitchen"/>
        <s v="Pulaos kitchen.com"/>
        <s v="Mini cafe biryani and mealsMini cafe"/>
        <s v="Mini cafe Chinese Mini cafe"/>
        <s v="Kokkaroko"/>
        <s v="Abhiruchi food court "/>
        <s v="Victoria Restaurant "/>
        <s v="Al saba Restaurant "/>
        <s v="Zucifera Zucifera "/>
        <s v="Aroma Cafe"/>
        <s v="marjaan hotel "/>
        <s v=" makers of milkshake"/>
        <s v=" makhayad al arabi restaurant"/>
        <s v=" felfelah"/>
        <s v="azebo "/>
        <s v="ice station"/>
        <s v="go fresh "/>
        <s v="shawarma zone "/>
        <s v="madhapur bawarchi "/>
        <s v="mirza "/>
        <s v="ustaad"/>
        <s v="lebanase grill"/>
        <s v="mc cafe"/>
        <s v="paradise "/>
        <s v="pizza hut "/>
        <s v="kfc "/>
        <s v="mfc mfc"/>
        <s v="momo street"/>
        <s v="pista house"/>
        <s v="cafe coffee day"/>
        <s v="toops"/>
        <s v="the whole in the wall"/>
        <s v="rs biryani"/>
        <s v="shake it up"/>
        <s v="scandy "/>
        <s v="darbar street"/>
        <s v="kamat hotel kamat hotel "/>
        <s v="the eatary hub "/>
        <s v="bhwaneee multicsine"/>
        <s v="Idv kitchen munthamasalaIDV muntha masala"/>
        <s v="Balaji mitai bhander"/>
        <s v="Laxmi godavari ruchulu "/>
        <s v="Brown bear baking "/>
        <s v="Sreeja home foodsSreeja home foods"/>
        <s v="Hotel the Nawabi zaiqa"/>
        <s v="Kalpana tiffins and meals "/>
        <s v="Souskis foodies club "/>
        <s v="Satti Babu Biryani "/>
        <s v="Geetha hotel"/>
        <s v="Om sai kitchens "/>
        <s v="On Sai kitchens "/>
        <s v="Hakka Chinese food"/>
        <s v="Kks bakers"/>
        <s v="Butta biryani"/>
        <s v="Kolkata food plaza"/>
        <s v="Shawarma by roxtarz"/>
        <s v="Sri vijaya laxmi  food court "/>
        <s v="Karthikeya chitti nethi idly "/>
        <s v="Chaat baazar"/>
        <s v="Chat bazar "/>
        <s v="Amogha Cafe"/>
        <s v="Tibb’s Frankie"/>
        <s v="Godhavari bajji mirchi "/>
        <s v="Bakers Corner"/>
        <s v="Captain cook "/>
        <s v="Adbatuha "/>
        <s v="Ravi Babu food court"/>
        <s v="Hitech food court"/>
        <s v="Omg bites"/>
        <s v="Masti 4am biryani"/>
        <s v="Charminar biryani"/>
        <s v="Konaseema Ruchulu"/>
        <s v="Qubz"/>
        <s v="Sri pratyeka kitchen"/>
        <s v="Diamond food court"/>
        <s v=" prime deccan restaurant  prime deccan restaurant "/>
        <s v="royal family dhaba"/>
        <s v="sai martha food court"/>
        <s v="Arabian mandiArabian mandi"/>
        <s v=" almas restaurant "/>
        <s v="AG Food Court"/>
        <s v="santosh dhaba "/>
        <s v="Al faizan arabian mandi "/>
        <s v="  krishna udipi  park "/>
        <s v="Royal family dhaba  snackes"/>
        <s v="Slice and SauceSlice and Sauce"/>
        <s v="Ruchi Chupistha"/>
        <s v="Dakshina desapu ruchulu "/>
        <s v="President dhabha"/>
        <s v="11 • food court "/>
        <s v="The friger co "/>
        <s v="Btech tiffins "/>
        <s v="Paasa local"/>
        <s v="Om Sri Hanuman Foods"/>
        <s v="Balaji Muntha Masala"/>
        <s v="Balaji Kitchens"/>
        <s v="Aroma Biryanis &amp; palauos"/>
        <s v="Aroma Meals and chineese"/>
        <s v="Dfc "/>
        <s v="Govadarai baji mirchi "/>
        <s v="The one and only tasty "/>
        <s v="Chat baazar"/>
        <s v="Kings bakers "/>
        <s v="Karthikeya ghee and dosa"/>
        <s v="Allamduillah hotel "/>
        <s v="Sangamesh fast food "/>
        <s v="Maa Bhojanam "/>
        <s v="Taaza tiffens"/>
        <s v="Madrasi military hotel "/>
        <s v="Kamat hotel "/>
        <s v="Eatery hub "/>
        <s v="Hotel valentine "/>
        <s v="Lebanese girl "/>
        <s v="Bhawaanee multi cusine"/>
        <s v="Rk Chinese Rk Chinese "/>
        <s v="Vinyaka tiffins Alekhya "/>
        <s v="Shawarma by rock star"/>
        <s v="Butta biryani "/>
        <s v="Kks bakers "/>
        <s v="Hakka Chinese foods"/>
        <s v="Geetha hotel "/>
        <s v="Ala konaseemalo "/>
        <s v="Kalpana tiffens and melas "/>
        <s v="Brown bear bakery "/>
        <s v="Babuvgaru ruchulu"/>
        <s v="Babu Bagunnava biryani"/>
        <s v="Bandababu palau"/>
        <s v="Mana oori mess"/>
        <s v="Anandobhrahma"/>
        <s v="Biryani and biryanis"/>
        <s v="Shiva food court"/>
        <s v="Vaarahi foods"/>
        <s v="sai martha food court sai martha food court "/>
        <s v=" prime deccan restaurant "/>
        <s v="babu garu ruchulu and curry point "/>
        <s v="Dolphin drivn"/>
        <s v="Dwaraka Mai Tiffins"/>
        <s v=" mammu's kitchen "/>
        <s v=" ala konaseemaloo  "/>
        <s v="Sri Harsha deluxe mess"/>
        <s v="Godavari food court "/>
        <s v="Lakshmi Prasanna Andhra mess"/>
        <s v="Pondy parrottas "/>
        <s v="Shadruchulu "/>
        <s v="Kokko Roko Na"/>
        <s v="Cafe Melli And Bakery "/>
        <s v="The Hazelnut Co"/>
        <s v="Celebs"/>
        <s v="Lakshmi villas"/>
        <s v="Telugu authentic ruchulu"/>
        <s v="Hotel sarvanam"/>
        <s v="Mithra vindha mess"/>
        <s v="Bandodu palauu"/>
        <s v="Thinu ra mawa"/>
        <s v="Golden toast bakery"/>
        <s v="Broast cafe"/>
        <s v="Mathani Juice hub"/>
        <s v="Poriginti Chapala Pulsu"/>
        <s v="Pulao Kitchen com"/>
        <s v="Mandilicious"/>
        <s v="RK brundavan Food Court"/>
        <s v="Sr Food Court"/>
        <s v="Sri Tiffins And Meals"/>
        <s v="Cream Town"/>
        <s v="Aroma CafeAroma Cafe"/>
        <s v="Ayan Foods"/>
        <s v="Prasthista Food Court"/>
        <s v="Kolkata Food PlazaKolkata Food Plaza"/>
        <s v="Ganesh Foods"/>
        <s v="Abhiruchi"/>
        <s v="Moksh Food Corner"/>
        <s v="Sri Vengamamba Deluxe Mess"/>
        <s v="Sri vengamamba Tiffins"/>
        <s v="Sri vengamamba Chinese Foods"/>
        <s v="Apsara Badam Milk"/>
        <s v="Lickees"/>
        <s v="Chowman"/>
        <s v="Chowman - Madhapur"/>
        <s v="Hotel Yousufain Kalyani"/>
        <s v="Zamindar's Cafe"/>
        <s v="Chutneys "/>
        <s v="Goorang kitchen "/>
        <s v="Bhojanam thayaru"/>
        <s v="The hole in the wall"/>
        <s v="The soul curry and kadalipathra"/>
        <s v="Nataka"/>
        <s v="Monday Restaurant "/>
        <s v="Kunafa Cravings "/>
        <s v="Monday Hotel "/>
        <s v="Elysium Restaurant "/>
        <s v="Minerva"/>
        <s v="Iron hill"/>
        <s v="Palao and pulavus"/>
        <s v="Thugo"/>
        <s v="Desert cornerNa"/>
        <s v="Machilipatnam"/>
        <s v="Raw bakers Raw bakers"/>
        <s v="Balaji santhosh dhabha"/>
        <s v="Shringeri kitchen"/>
        <s v="IDV kitchen"/>
        <s v="Delizia Cafe"/>
        <s v="Konaseema Vantillu"/>
        <s v="Srinidhi Food Zone"/>
        <s v="Godavari Chepala Pulusu"/>
        <s v="Eerababu Pulav"/>
        <s v="Wine dine Restaurant"/>
        <s v="SRI SAI FAMOUS UDIPI &amp; TIFFINS"/>
        <s v="Vada pav station"/>
        <s v="Rainbow Foods"/>
        <s v="Maska Chaska - The fastfoods company"/>
        <s v="Balaji mithai bhandar "/>
        <s v="Seas curries "/>
        <s v="Brown bear bakers "/>
        <s v="Kalpana tiffens and meals "/>
        <s v="Hotel Nawabi "/>
        <s v="Geetha hotels "/>
        <s v="Hakka Chinese foods "/>
        <s v="Kk bakers "/>
        <s v="Shawarma by to roxtarz"/>
        <s v="Chaat bazzar"/>
        <s v="Godavari bajji Mirchi "/>
        <s v="President dhaba "/>
        <s v="Minyu "/>
        <s v="Betech tiffens "/>
        <s v="Mr cook"/>
        <s v="Kssr bakers "/>
        <s v="The whole in the wall "/>
        <s v="Krishnapatanam"/>
        <s v="Goorangs kitchen "/>
        <s v="Boojanam thayaru "/>
        <s v="The soul curry kadali path pathra"/>
        <s v=" Dhaba food Court "/>
        <s v="Machillipatanam "/>
        <s v="Swayarasa"/>
        <s v="Mekong "/>
        <s v="Go rang "/>
        <s v="Boojanam thayaru"/>
        <s v="Fusion 9 "/>
        <s v="Red Box "/>
        <s v="Pot biryani "/>
        <s v="Mughals "/>
        <s v="Glow sip"/>
        <s v="Palamuru grill "/>
        <s v="Toops "/>
        <s v="Ahobilam millets "/>
        <s v="Sai ram curries and meals"/>
        <s v="KL spice kitchen "/>
        <s v="Mainland china "/>
        <s v="Ohh Calicut "/>
        <s v="Salt Indian Restaurant"/>
        <s v="Nivedhya "/>
        <s v="Pav baji"/>
        <s v="Navideya "/>
        <s v="Momo ghar "/>
        <s v="Chinese hawk "/>
        <s v="Zufra mandi Zufra mandi"/>
        <s v="Amul ice cream parlour"/>
        <s v="Seven starts restaurant "/>
        <s v="Janapriya restaurant "/>
        <s v="Raghavendra food hub"/>
        <s v="Shreeshan kitchen "/>
        <s v="The burger company "/>
        <s v="Ahla adha kitchen"/>
        <s v="Big byte cafe "/>
        <s v="GrizzlyGrizzlly"/>
        <s v="The shawarma coThe shawarma co"/>
        <s v="Panchabhakshya"/>
        <s v="Vijwal Grand Resturant"/>
        <s v="Vaibhav Resturant"/>
        <s v="Sri Ankapur Bhojanam"/>
        <s v="Ravulapalem Vantillu"/>
        <s v="Sri Vasista Foods"/>
        <s v="Mr.Shawarma and Ms.Shawarma"/>
        <s v="Pulnadu Ruchulu"/>
        <s v="Spicy Table"/>
        <s v="Mista Eats"/>
        <s v="Masala restaurant "/>
        <s v="Sri Tirumala bakery"/>
        <s v="Gokul tiffin center "/>
        <s v="Arabian Mandi res"/>
        <s v="Lassi story"/>
        <s v="Chickpet donne biryani house Chickpet donne biryani house"/>
        <s v="Naidu Gari Kunda biryaniNaidu Gari Kunda biryani"/>
        <s v="Pondy Parottas"/>
        <s v="Abhiruchi Biriyani"/>
        <s v="Darbar Family Restaurant "/>
        <s v="RIVORA THE CAFE"/>
        <s v="Donne Biriyani House "/>
        <s v="Samjam's Pizza "/>
        <s v="Vaarahi Kitchen "/>
        <s v="Mumbai Masala "/>
        <s v="Sri Abhiruchi"/>
        <s v="Minerva blue foxMinerva "/>
        <s v="Thurpu Godhavari restaurant "/>
        <s v="Rayala seema ruchulu"/>
        <s v="Tara kitchen"/>
        <s v="Anandhobhrama"/>
        <s v="Ahaar kitchen "/>
        <s v="Habibo"/>
        <s v="Amogha "/>
        <s v="Madhu restraunt "/>
        <s v="Hari dosa"/>
        <s v="Victoria grand "/>
        <s v="Amarvathi tiffens "/>
        <s v="Athidhis kitchen "/>
        <s v="Cake factory "/>
        <s v="Bahar cafe "/>
        <s v="Limra fast food centre "/>
        <s v="SRI NAGARJUNA TIFFINS "/>
        <s v="Bhojanam thali"/>
        <s v="Errababu pulao"/>
        <s v="Guntur Goongura "/>
        <s v="Telugu Medium"/>
        <s v="Punjabi Affair"/>
        <s v="Suto cafe"/>
        <s v="Smocky Docky"/>
        <s v="Chinese Wok"/>
        <s v="Lassi Storyna"/>
        <s v="Burn"/>
        <s v="Kebabs of Kumbakhh"/>
        <s v="Ammammagari hotel"/>
        <s v="Janapriya restaurant"/>
        <s v="Bagara biryani"/>
        <s v="Smoke Rebels"/>
        <s v="maa bhojanam maa bhojanam "/>
        <s v="minsitry of coffee affairsminsitry of coffee affairs"/>
        <s v="the big cup theorythe big cup theory"/>
        <s v="hyderabad hosts"/>
        <s v="circars burgars "/>
        <s v="varahi foods "/>
        <s v="zamindar restaurant "/>
        <s v="Harsha delux mess"/>
        <s v="Southern spice "/>
        <s v="Arambam"/>
        <s v="Tugo flavours "/>
        <s v="Vasista laxmi"/>
        <s v="Kochin spices "/>
        <s v="Pallekodi"/>
        <s v="City kitchen "/>
        <s v="Curry man"/>
        <s v="Golkanda chef"/>
        <s v="Hulchal desserts and bakers "/>
        <s v="Sorse "/>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I1000" sheet="Data"/>
  </cacheSource>
  <cacheFields>
    <cacheField name="Date">
      <sharedItems containsDate="1" containsString="0" containsBlank="1" containsMixedTypes="1">
        <d v="2022-01-16T00:00:00Z"/>
        <d v="2026-02-03T00:00:00Z"/>
        <d v="2026-02-02T00:00:00Z"/>
        <d v="2026-02-04T00:00:00Z"/>
        <d v="2026-02-05T00:00:00Z"/>
        <d v="2026-06-02T00:00:00Z"/>
        <d v="2026-02-06T00:00:00Z"/>
        <d v="2026-02-09T00:00:00Z"/>
        <d v="2026-02-10T00:00:00Z"/>
        <d v="2026-02-11T00:00:00Z"/>
        <d v="2026-01-31T00:00:00Z"/>
        <d v="2026-02-07T00:00:00Z"/>
        <d v="2026-02-12T00:00:00Z"/>
        <d v="2026-02-13T00:00:00Z"/>
        <d v="2026-02-19T00:00:00Z"/>
        <d v="2026-02-16T00:00:00Z"/>
        <d v="2026-02-14T00:00:00Z"/>
        <n v="-684419.0"/>
        <d v="2026-02-25T00:00:00Z"/>
        <d v="2026-02-20T00:00:00Z"/>
        <d v="2026-02-17T00:00:00Z"/>
        <d v="2026-02-18T00:00:00Z"/>
        <n v="-319170.0"/>
        <d v="2026-02-21T00:00:00Z"/>
        <d v="2026-02-23T00:00:00Z"/>
        <m/>
      </sharedItems>
    </cacheField>
    <cacheField name="RM" numFmtId="0">
      <sharedItems containsBlank="1">
        <s v="TEST"/>
        <s v="manasa.chigurupati@capsdelivery.com"/>
        <s v="sumadhur.mummadi@capsdelivery.com"/>
        <s v="chanakya.inugala@capsdelivery.com"/>
        <s v="parthive.maganti@capsdelivery.com"/>
        <s v="moin.khan@capsdelivery.com"/>
        <s v="nitya.akshara@capsdelivery.com"/>
        <s v="greeshma.vanneldas@capsdelivery.com"/>
        <s v="ankitha.baske@capsdelivery.com"/>
        <s v="akhila.narra@capsdelivery.com"/>
        <s v="madhumitha.sonnakula@capsdelivery.com"/>
        <s v="amit.kaler@capsdelivery.com"/>
        <s v="Manisha Kumari"/>
        <s v="manisha.kumari@capsdelivery.com"/>
        <s v="anisha.poddar@capsdelivery.com"/>
        <s v="srivani.reddy@capsdelivery.com"/>
        <m/>
      </sharedItems>
    </cacheField>
    <cacheField name="Restaurant" numFmtId="0">
      <sharedItems containsBlank="1">
        <s v="5823694"/>
        <s v="Bhuvan’s Kitchen "/>
        <s v="12345578"/>
        <s v="Bhojanams &amp; Birynis"/>
        <s v="Sunrise Business Hotel"/>
        <s v="ZYROS BIRYANI HOUSE "/>
        <s v="Slice of Spice"/>
        <s v="ROLO BAKERS"/>
        <s v=" rayalseema spice  restaurant  "/>
        <s v="alankrutha multicuisine restaurant "/>
        <s v="GUNTUR MESS"/>
        <s v="Bihar Dhaba"/>
        <s v="hunan chinese cusine "/>
        <s v="Krishna teeram"/>
        <s v="Ahaladha kitchen"/>
        <s v="Rameshwaram cafe"/>
        <s v="Hamara Adda"/>
        <s v="Delicia"/>
        <s v="Palapitta Ruchulu"/>
        <s v="lucky restaurant "/>
        <s v="kiss me mandi"/>
        <s v="Girl Friend Mandi"/>
        <s v="Shree Balaji Tiffin Center"/>
        <s v="President Dhaba"/>
        <s v=" lucky multicusine restaurant "/>
        <s v="godavari restaurant "/>
        <s v="frozen bottles "/>
        <s v="Adhirath"/>
        <s v="minyu"/>
        <s v=" hyderabad host"/>
        <s v="BIRYANI N BIRYANI"/>
        <s v="Mehfil"/>
        <s v="king mandi "/>
        <s v="AL RAWAF HOME MADE DISHES"/>
        <s v="Govinda's Resturant"/>
        <s v="KNOX"/>
        <s v="NEW FARMAISH RESTAURANT"/>
        <s v="Bahar Biryani"/>
        <s v="Zythum"/>
        <s v="Singha Dhaba"/>
        <s v="Ohri's Cake Nation"/>
        <s v="KNOX "/>
        <s v="Naseeb Cafe"/>
        <s v="Sri Balaji Family Dhaba"/>
        <s v="10th street coffee"/>
        <s v="Mujataba Grills"/>
        <s v="Minerva Blue fox hotel "/>
        <s v="Rayalasema Ruchulu"/>
        <s v="Ahara Tiffins"/>
        <s v="Samastha Tiffins "/>
        <s v="Mokshi kitchens"/>
        <s v="Exotic Shawarma"/>
        <s v="Sri Sai Swetha foods"/>
        <s v="JUS VOUS"/>
        <s v="BEGUM KI BIRYANI"/>
        <s v="FOOD 4 U"/>
        <s v="TAHARI HOUSE"/>
        <s v="RAHAT RESTURANT"/>
        <s v="Bhavani mess"/>
        <s v="Kausar cafe,Al nabi cafe"/>
        <s v="Madhapuram food court "/>
        <s v=""/>
        <s v="godavari  restaurant "/>
        <s v="anand bhavan mess "/>
        <s v="UCKY RESTAURANT"/>
        <s v="The smash city"/>
        <s v="Gold sparrow millets "/>
        <s v="BREW COMMUNE CAFE&amp;BISTRO"/>
        <s v="NA"/>
        <s v="HOTEL INNER CIRCLE"/>
        <s v="RENAO"/>
        <s v="merajs restraunt "/>
        <s v="Flavors Of Briyani Cafe"/>
        <s v="lassi corner "/>
        <s v="Pandu Fast Food Center"/>
        <s v="sri udupi grand pure veg"/>
        <s v="SSR FOOD ZONE"/>
        <s v="Mammu’s Kitchen"/>
        <s v="Kshatriya Grand"/>
        <s v="Bakeway bakers "/>
        <s v="Golconda Biryani House"/>
        <s v="Veeramma Gari Vantillu"/>
        <s v="Bhojanam Tayyari"/>
        <s v="Mandi@36"/>
        <s v="CAFE REELS"/>
        <s v="Veera di chaap"/>
        <s v="Donut O clock"/>
        <s v="kush mandi"/>
        <s v="LUCKY RESTAURANT"/>
        <s v="Tempt chocolates"/>
        <s v="La Boulangerie"/>
        <s v="BABAI HOTEL"/>
        <s v="Say cheese patisserie"/>
        <s v="SARVI RESTAURANT "/>
        <s v="Labond"/>
        <s v="Chubby Chow"/>
        <s v="Maraheb mandi"/>
        <s v="Hiyya the chrono jail mandi"/>
        <s v="Burma Burma"/>
        <s v="Toscano"/>
        <s v="itlu bobbatlu"/>
        <s v="Gabru Di Chaap"/>
        <s v="kumbhakk"/>
        <s v="1000 biryanis"/>
        <s v="Hard rock cafe"/>
        <s v="krishnapatanam "/>
        <s v="my froyo land"/>
        <s v="California Burrito "/>
        <s v="Rayalaseema Ruchulu "/>
        <s v="Rayalaseema spice "/>
        <s v="Kake di hatti"/>
        <s v="Cafe Cilantro "/>
        <s v="Vaikuntapuram"/>
        <s v="Mama Thinu"/>
        <s v="Simply parottas "/>
        <s v="Onesta Pizzeria "/>
        <s v="Parampara "/>
        <s v="Tipsy Topsy Bakers"/>
        <s v="ARMAN HOTEL"/>
        <s v="Suryakantham military hotel "/>
        <s v="D and D Caters "/>
        <s v="Manasa Kitchen"/>
        <s v="Vasista Sri Lakshmi "/>
        <s v="Dosthugallu Mandi"/>
        <s v="Namesthe"/>
        <s v="Spicy Express "/>
        <s v="Chintamani Pulaos"/>
        <s v="royal arabian mandi "/>
        <s v="7 spices "/>
        <s v="Brew and bloom coffee heaven shop"/>
        <s v="Santosh Dhaba"/>
        <s v="Raw bakers"/>
        <s v="South n spice "/>
        <s v="Biryaniwala nd co"/>
        <s v="Sree vakula kitchen"/>
        <s v="mr faddy "/>
        <s v=" gyros doner by nice juice centre "/>
        <s v="Kohinoor Restaurant "/>
        <s v="kabul darbar"/>
        <s v="Anu Archana kitchen "/>
        <s v="SUBHAM GRAND MULTI CUISINE FAMILY RESTAURANT"/>
        <s v="hotel armani"/>
        <s v="pakisa"/>
        <s v="parcel counter"/>
        <s v="fb bakers"/>
        <s v="MAHARAJA "/>
        <s v="ZEESHAN "/>
        <s v="THATTI IDLY "/>
        <s v="The good sparrow"/>
        <s v="Bhoojanam Tayyaru"/>
        <s v="Tadipatri"/>
        <s v="N"/>
        <s v="LUCKY RESTAURANT [somajiguda]"/>
        <s v="Anu Archan Kitchen"/>
        <s v="Ma potta Ma istam"/>
        <s v="Dragon Tales"/>
        <s v="Aaha"/>
        <s v="Viyala vari pindi vantalu"/>
        <s v="Karam Dosa"/>
        <s v="Qubz The shewarma Revolution "/>
        <s v="Ttastryy"/>
        <s v="SHOHRAT"/>
        <s v="Chantabbai Biryani "/>
        <s v="Navarasa "/>
        <s v="Reddy Brothers "/>
        <s v="Vasireddy swagruha foods "/>
        <s v="Mandi king "/>
        <s v="Good Flipping Burgers "/>
        <s v="Girl friend mandi "/>
        <s v="Babai Hotel "/>
        <s v="Vela Bites"/>
        <s v="Brew Commune and Bistro "/>
        <s v="Polar bear "/>
        <s v="Thick shake factory "/>
        <s v="Palle vindu"/>
        <s v="Suryakantham Military hotel"/>
        <s v="Biryaniwala &amp; CO"/>
        <s v="Kanchi cafe"/>
        <s v="Abu Zayed Bait Al Mandi"/>
        <s v="The Indian wok"/>
        <s v="Eat spotEat spot "/>
        <s v="Hari Dosa "/>
        <s v="Kings biryani adda Kings biryani "/>
        <s v="Tipsy Topsy "/>
        <s v="The turban taste"/>
        <s v="Cake exotica bakers"/>
        <s v="Palleturi dosa"/>
        <s v="AI RAHAMN BAKERYAI RAHAMAN BAKERY"/>
        <s v="AFC"/>
        <s v="Honey foods Tapeshwaram Kaja"/>
        <s v="AL BAIK AL BAIK"/>
        <s v="Coffee place "/>
        <s v="Al - RikaaabAl Rikaab"/>
        <s v="Kalingapatnam "/>
        <s v="Mayuri Foods"/>
        <s v="Missamma restaurant "/>
        <s v="Gatox cafe "/>
        <s v="Garuda Cafe"/>
        <s v="Sns bake house bakery nd cafe Sns bakehouse bakery and cafe "/>
        <s v="Al Saba cafe"/>
        <s v="Kochin spicesKochinspices"/>
        <s v="Smoky docky"/>
        <s v="Poruginti chepala pulusu Poruginti chepala pulusu "/>
        <s v="CAFE UNITED CAFE UNITED"/>
        <s v="1pm to 1am"/>
        <s v="Zamindars cafe"/>
        <s v="hitech bawarchi food court "/>
        <s v="100N Gourmet shawarma the homly bowls"/>
        <s v="MMD Restaurant "/>
        <s v="Sri vindha tiffins"/>
        <s v="Hulchal desserts and bakers"/>
        <s v="Rainbow mandi restaurant "/>
        <s v="Hotel FarzaanHotel Farzaan"/>
        <s v="Royal Darbar"/>
        <s v="Tipsy Topsy Tipsy Topsy "/>
        <s v="Exotica bakers"/>
        <s v="Padmavathi food court"/>
        <s v="punjabi Dhaba"/>
        <s v="Cozmo Cafe "/>
        <s v="Alkapuri Bawarchi Biryani "/>
        <s v="GYRO DONER "/>
        <s v="morine bakery"/>
        <s v="Balaji Family Dabha"/>
        <s v="fire and ice bakers "/>
        <s v="Amrutham"/>
        <s v="surabhi hotel udupi veg "/>
        <s v="Shiva Nagi Reddy sweets"/>
        <s v="Trinetra Cafe &amp; Restaurant"/>
        <s v="Koduris kitchen "/>
        <s v="Bamma tiffins "/>
        <s v="Urban Franky "/>
        <s v="Raja Rani Ruchulu"/>
        <s v="Suryakantham Military HotelSuryakantham Military Hotel"/>
        <s v="Palle Vindu Dosa "/>
        <s v="A1 shawarma bites "/>
        <s v="Yummy Feast"/>
        <s v="Hut-K Biryani "/>
        <s v="Great Britain waffle "/>
        <s v="Ritvikas kitchenRitvikas kitchen "/>
        <s v="Sweet Stories"/>
        <s v="Naidu gari kunda biryani Naidu gari kunda biryani"/>
        <s v="Old A1 Restraunt "/>
        <s v="Kakatiyya TuffinsKakatiyya tiffins"/>
        <s v="Bahar cafe"/>
        <s v="CAFE 555 AND AQEEQ RESTAURANTCAFE 555 AND AQEEQ RESTAURANT"/>
        <s v="imperial  multicuisine restaurant"/>
        <s v="AN TE RA KITCHEN AND BAR"/>
        <s v="Amogha"/>
        <s v="Shanghai chef "/>
        <s v="Wow momo"/>
        <s v="Gali punjab di "/>
        <s v="Polar bear the ice cream sundae zone "/>
        <s v="Meghana non veg parcelsMeghana non veg parcels"/>
        <s v="Satyam foods "/>
        <s v="Emerald food house Emerald food house "/>
        <s v="Patiala plate "/>
        <s v="Lassi and shakesLassi and shakes"/>
        <s v="Hanuman juice point"/>
        <s v="Trigunas kitchen"/>
        <s v="Chaayos"/>
        <s v="Raagam foods"/>
        <s v="The spicy venue"/>
        <s v="Sri Kanya comfort"/>
        <s v="mayur sweets and dry fruits "/>
        <s v=" ganesh virat food court"/>
        <s v="Itihaas Restaurant and Banquets"/>
        <s v="chai nagri "/>
        <s v="Alanati"/>
        <s v="Gumagumalu "/>
        <s v="Chopsticks"/>
        <s v="Parchuri foods"/>
        <s v="Nakshtra Tiffins "/>
        <s v="Bakers Town "/>
        <s v="Nellore Padmvati Ruchlu "/>
        <s v="Cake Walkers "/>
        <s v="Mother’s Kitchen"/>
        <s v="Vindhu Maharaj"/>
        <s v="Amogha Cafe and restaurant "/>
        <s v="Sri Aadhaya Delicious "/>
        <s v="Wow! Vadapav"/>
        <s v="Creative Home Baker’s "/>
        <s v="Wrappy"/>
        <s v="Raj Darbar"/>
        <s v="Fuel smoke House "/>
        <s v="Sri Krishna"/>
        <s v="Om sree Sai foods"/>
        <s v="Manduva Ruchulu "/>
        <s v=" dadas tiffin and fast food "/>
        <s v=" Hotel shurbhi udpi"/>
        <s v="elite delight cafe "/>
        <s v=" krishna grand  "/>
        <s v="Kadali kitchen"/>
        <s v="City 555City555"/>
        <s v="Imperative Imperial "/>
        <s v="Dwarak Res"/>
        <s v="Hyderabad wala"/>
        <s v="Mana O Salv"/>
        <s v="Sree Balaji Tiffins"/>
        <s v="Palnodu Caterers"/>
        <s v="The Bombay Chaat"/>
        <s v="Sangeeth Kitchen "/>
        <s v="Bruvaka Tiffins"/>
        <s v="Sri Raghavendra Cafe"/>
        <s v="Errababu Pulavos"/>
        <s v="Chittibabu Biryani "/>
        <s v="Sahi nawabs biryani"/>
        <s v="Gadu Rajugari Ruchulu"/>
        <s v="Military Rajanna Hotel"/>
        <s v="Bulli abbai kodi palav"/>
        <s v="Arukha Flavours "/>
        <s v="Amma chethi RuchuluNa"/>
        <s v="Tara kitchen "/>
        <s v="Hello Kafe "/>
        <s v="Brew Gato"/>
        <s v="Amma chethi Ruchulu"/>
        <s v=" Bhimavaram thali Bhimavaram thali "/>
        <s v="badrachalam cafe badrachalam cafe"/>
        <s v="laibas cafe"/>
        <s v="rrr mandi"/>
        <s v="bab al mandibab al mandi"/>
        <s v="arabian affairs "/>
        <s v="sreenindhi fast food "/>
        <s v="oven fresh bakery oven fresh bakery"/>
        <s v="nawabi "/>
        <s v="tealogy "/>
        <s v="bawarchi express"/>
        <s v="madhura restraunt bar na"/>
        <s v="flavours of andhra na"/>
        <s v="gismat jailnza"/>
        <s v="kaaram the authentic telangana spice kitchen "/>
        <s v="Test"/>
        <s v="Vinni cabin cafe Vinni cabin cafe "/>
        <s v="Indira Darshini tiffins "/>
        <s v=" Aha Dakshin Aha Dakshin Aha Dakshin"/>
        <s v="Burger KingBurger KingBurger King"/>
        <s v="WOW ChinaWOW ChinaWOW China"/>
        <s v="The Thickshake Factory The Thickshake Factory The Thickshake Factory "/>
        <s v="The Spicy Express The Spicy Express "/>
        <s v="FrankieFrankieFrankie"/>
        <s v="Venkees kitchen "/>
        <s v="FireWater"/>
        <s v="Fuel Box"/>
        <s v="Khaan SaabKhaan SaabKhaan Saab"/>
        <s v="Chai point Chai point Chai point "/>
        <s v="Onesta Onesta Onesta "/>
        <s v="Sweet Basket"/>
        <s v="Agra Sweets "/>
        <s v="Machili Patnam "/>
        <s v="Big Byte "/>
        <s v="Amy’s cafe "/>
        <s v="Tosh e Daan "/>
        <s v="Tteok bokki "/>
        <s v="Bakers Harvest "/>
        <s v="Sri Raghavendra Bhavan"/>
        <s v="Kings Kohinoor Hotels"/>
        <s v="7th Heaven &amp; white hart7th Heaven &amp; white hart7th Heaven &amp; white hart"/>
        <s v="Swad of Grandma "/>
        <s v="Hope in a cup"/>
        <s v="preeti tiffins"/>
        <s v="Hotel swaruchiHotel surichi"/>
        <s v=" fire and ice cream  fire and ice  ice cream "/>
        <s v="minerva  sweet "/>
        <s v="IFC INDIAN FAV CHEFIFC INDIAN FAV CHEF"/>
        <s v="Just bake"/>
        <s v="Deccan Dhaba"/>
        <s v="priyansh fast food "/>
        <s v="Sardarji kitchen "/>
        <s v="mysore bakery "/>
        <s v="Kingston Restaurant "/>
        <s v="Akshaya bhojanam "/>
        <s v="NAWAB CAFETERIANAWAB CAFETERIA"/>
        <s v="Kadak house"/>
        <s v="Hard Rock CafeHard Rock Cafe"/>
        <s v="Deerga Ayushman bhava Deerga Ayushman bhava "/>
        <s v="Simply parottas Simply parottas "/>
        <s v="Hari dosaHari dosa "/>
        <s v="Missamma restaurant Missamma restaurant "/>
        <s v="Rainbow mandi restaurant Rainbow mandi "/>
        <s v="Raagam foods Raagam foods "/>
        <s v="Kings biryani adda Kings biryani adda "/>
        <s v="QubzQubz"/>
        <s v="SS BAWARCHI"/>
        <s v="Al Aadaab Arabian Mandi Restaurant "/>
        <s v="SRI RAMANA MAHARSHI FOOD COURT "/>
        <s v="TEAALOGY"/>
        <s v="oak bistro"/>
        <s v="SHA SHA SHAWARMA "/>
        <s v="AROMA BIRYANIS PULAOS   "/>
        <s v="flavours of andhra"/>
        <s v="Daily Rituals"/>
        <s v="Tiffins and more"/>
        <s v="Dwaraka Restuarant "/>
        <s v="Kadak house "/>
        <s v="Kafika"/>
        <s v="Palapitta ruchuluPala pitta ruchulu"/>
        <s v="Patnam ruchuluPatnam ruchulu"/>
        <s v="Kings Restaurant and bar "/>
        <s v="Kodi kura chitti gaare"/>
        <s v="Kodi kura chitti gare"/>
        <s v="KS Bakers"/>
        <s v="Kulcha kulchaKulcha kulcha"/>
        <s v="Kush mandiKush mandi"/>
        <s v="Lassi shopLassi shop"/>
        <s v="Udupi restaurant"/>
        <s v="Cafe Delhi Heights"/>
        <s v="Chutnety's"/>
        <s v="Starbucks"/>
        <s v="Wisphot"/>
        <s v="Foo"/>
        <s v="Popoyes"/>
        <s v="Mad about China +  Indian Tadka"/>
        <s v="Keventers"/>
        <s v="California Burrito"/>
        <s v="KFC Inorbit Mall"/>
        <s v="Pluto (Soda)"/>
        <s v="The Yellow Straw"/>
        <s v="AM AHA"/>
        <s v="Amnesia Sky Bar"/>
        <s v="Absolute Barbeque"/>
        <s v="Game Palacio"/>
        <s v="HaldiramsHaldirams"/>
        <s v="Almond HouseAlmond House"/>
        <s v="MezbaanMezbaan"/>
        <s v="PeshawarPeshawar"/>
        <s v="Organic creameryOrganic Creamery"/>
        <s v="Murugans Cofee"/>
        <s v="House of Taste"/>
        <s v="Shanghai flavours of chinaShanghai Flavours of China"/>
        <s v="VR Tiffins"/>
        <s v="Slice and Sauce "/>
        <s v="Karachi BakeryKarachi Bakery"/>
        <s v="Laksmi Duga Andhra Ruchulu"/>
        <s v="Theme Cafe"/>
        <s v="Baskin Robbins"/>
        <s v="Pizza Mania"/>
        <s v="Andhra House"/>
        <s v="Maska Chaska"/>
        <s v="Bimvaram Bulodu"/>
        <s v="Ahara Avaham"/>
        <s v="Burfighar"/>
        <s v="Punjabi paratha House "/>
        <s v="Cherrys Restaurant "/>
        <s v="IFC- Indian favourite Chef"/>
        <s v="My Biriyani "/>
        <s v="Livora cafe nd kitchen"/>
        <s v="Southern Fusion"/>
        <s v="Maheswari balaji family dhabha "/>
        <s v="SS Live Kitchen"/>
        <s v="The bake factory"/>
        <s v="Malabaris"/>
        <s v="Mayabazar"/>
        <s v="Midhunam"/>
        <s v="RR Food Court"/>
        <s v="Mojo Pizza"/>
        <s v="Moms kitchen"/>
        <s v="Tulja Bhavani Hotel"/>
        <s v="My bowl"/>
        <s v="NarthanashalaNarthanashala"/>
        <s v="Palle vindhu"/>
        <s v="PandagaPandaga"/>
        <s v="Peni icecandy"/>
        <s v="Rayalaseema spiceRayalaseema spice"/>
        <s v="Saharsh udipi"/>
        <s v="Sandwichsquare "/>
        <s v="Bulli abbai kodi palau"/>
        <s v="Brands of Bhimavaram (bob)Na"/>
        <s v="Ahara KitchensNa"/>
        <s v="Le Meridien HyderabadLe Meridian"/>
        <s v="Burger KingBurger King"/>
        <s v="Sweets DudeSweets Dude"/>
        <s v="ACCORAccor"/>
        <s v="Sri Sai Rama tiffins"/>
        <s v="Sri varahi sampradaya vindhu "/>
        <s v="WOW ChinaWOW China"/>
        <s v="Kunafa BakeKunafa Bake"/>
        <s v="FrankieFrankie"/>
        <s v="Chai PointChai Point"/>
        <s v="7th Heaven &amp; white hart7th Heaven &amp; white hart"/>
        <s v="HaldiramHaldiram"/>
        <s v="Hakka Station"/>
        <s v="Sattva Food Court"/>
        <s v="Raasta"/>
        <s v="Flurry"/>
        <s v="Cream Centre"/>
        <s v="Whisky Samba"/>
        <s v="Moms recipe "/>
        <s v="Samastha Tiffins"/>
        <s v="Yousiffain kalyani biryani "/>
        <s v="Iq shawarma"/>
        <s v="Zamana shawarma"/>
        <s v="Santhakam ruchulu"/>
        <s v="Blend and roast cafe"/>
        <s v="Mahreens kitchen "/>
        <s v="Chicken shawarma hut"/>
        <s v="Manam Chocolate"/>
        <s v="Sabko"/>
        <s v="Chinese express "/>
        <s v="Ichirakai Rameen house"/>
        <s v="Rao gari military hotel"/>
        <s v="Kamakshi tiffins"/>
        <s v="Kamakshi snakes meals and curries"/>
        <s v="Royal odisha daba"/>
        <s v="Sankala bakerySankala bakery"/>
        <s v="Sankar villas tiffins"/>
        <s v="Shasha shandaar shawarma"/>
        <s v="Shawarma burger"/>
        <s v="Spicy food courtSpicy food court"/>
        <s v="Sirisha fast food"/>
        <s v="Sirisha fast food "/>
        <s v="SorseSorse"/>
        <s v="Spicy Express Spicy Express "/>
        <s v="Rooster Chicken "/>
        <s v="Dragon Kitchen "/>
        <s v="Slice and Bytes "/>
        <s v="Ayaansh Food Court"/>
        <s v="Red Bucket Biryani "/>
        <s v="Ahara Aahvanam"/>
        <s v="Annam Parabrahma"/>
        <s v="HITECH BAWARCHI FOOD ZONE"/>
        <s v="SURABHI HOTEL"/>
        <s v="USTAADS HYDERABADI ZAIQA"/>
        <s v="GRANDSONS BADEMIYAN KEBAB AND RESTAURANT"/>
        <s v="AAHARA FOOD COURT"/>
        <s v="GULF BAKERS"/>
        <s v="JAI BHAVANI AK FOOD COURTJAI BHAVANI AK FOOD COURT"/>
        <s v="SANGAM DHABA"/>
        <s v="ASTRIO RESTAURANT"/>
        <s v="SK MUNNA RESTAURANT"/>
        <s v="DWARAKA MULTICUISINE RESTAURANT"/>
        <s v="HYDERABAD SHAHI RESTAURANT"/>
        <s v="NAIDUS FOOD COURT"/>
        <s v="Dine o china"/>
        <s v="Arya tiffinsArya tiffins"/>
        <s v="Subway"/>
        <s v="Waffles N More"/>
        <s v="Sai Ram tiffins Sai Ram tiffins "/>
        <s v="Nosh bistro "/>
        <s v="Vasudo dhaba Vasudo dhaba "/>
        <s v="La chai de"/>
        <s v="Delhi ke famous nagpalsDelhi ke famous nagpals "/>
        <s v="Aamantran"/>
        <s v="Udupi tiffins veg"/>
        <s v="Street darbar "/>
        <s v="BBQ Bites "/>
        <s v="Shiridi sai tiffins meals and snacks"/>
        <s v="Grand bawarchi hotel "/>
        <s v="Pakka telangana "/>
        <s v="PersisPersis"/>
        <s v="Bhattad ki idly"/>
        <s v="Woodfire pizza "/>
        <s v="Athidis kitchen Athidis kitchen "/>
        <s v="Malabar kitchen"/>
        <s v="Punjabi chaskaPunjabi chaska"/>
        <s v="Yum Yum Tree"/>
        <s v="Cherry Restaurent"/>
        <s v="ASIAN PAN HOUSE AND RESTAURANT"/>
        <s v="PREETI TIFFINSPREETI TIFFINS "/>
        <s v="Southern fusionSouthern fusion"/>
        <s v="special 9Special 9"/>
        <s v="Spicy hutSpicy hut"/>
        <s v="Krishnapatnam"/>
        <s v="Myfroyoland "/>
        <s v="Bhai ki chai "/>
        <s v=" Chai chaska"/>
        <s v="Nath Kitchen"/>
        <s v="Palamgiri kitchen "/>
        <s v="Van lavino"/>
        <s v="Almond House"/>
        <s v="Telegu Jublii hills"/>
        <s v="Thyme and Whisk"/>
        <s v="Naughty Kudi"/>
        <s v="Insomnia night club"/>
        <s v="Aha ruchuluAha ruchulu "/>
        <s v="Al saba"/>
        <s v="Arabian Mandi "/>
        <s v="Sri subham food court Sri subham food court "/>
        <s v="Tadipathri biryani"/>
        <s v="Tass Spice hut"/>
        <s v="The chocolate room"/>
        <s v="Eruvaaka "/>
        <s v="RR Orisha Dhaba"/>
        <s v="Raju Gari Bhimavaram Biryani"/>
        <s v="Sai Mumbai Famous"/>
        <s v="Sravanthi tiffins"/>
        <s v="Orugallu Ruchulu "/>
        <s v="Sattibabu Biryani "/>
        <s v="Laxmi Foods and Meals"/>
        <s v="Sravati Biryani "/>
        <s v="Sravanthi Fast Food"/>
        <s v="Sravanthi mess"/>
        <s v="DOSA HUT"/>
        <s v="Upasanna's Kitchen"/>
        <s v="BFC Crispy N Spicy"/>
        <s v="Thunderbolts"/>
        <s v="Pakka Local Food"/>
        <s v="Bayyas food hub"/>
        <s v="SK FOODS"/>
        <s v="Contico"/>
        <s v="Yum Crumble Waffle"/>
        <s v="Tiffin xpressMohammed yaser"/>
        <s v="Southern Kithchen"/>
        <s v="Victoria Tiffins and Fast food"/>
        <s v="kings arabian "/>
        <s v="oak bistro "/>
        <s v="fire and ice bakers"/>
        <s v="redoven"/>
        <s v="sha sha shandar shawarma"/>
        <s v="aroma biryani and pulaos"/>
        <s v="raghavendra tiffens"/>
        <s v="rs birayani "/>
        <s v="samosa party "/>
        <s v="aazeboo"/>
        <s v="scoops "/>
        <s v="sri poorna hotel sri poorna "/>
        <s v="The red box"/>
        <s v="avani restraunt "/>
        <s v="Times food courttTimes food courtt"/>
        <s v="shawarama house"/>
        <s v="o ginger o ginger"/>
        <s v="sangam dhaba "/>
        <s v="swach swach"/>
        <s v="Venkateshwara restaurent"/>
        <s v="Zaiqa 11 Zaiqa 11 "/>
        <s v="abhiruchi sagurha foods"/>
        <s v="Venkateswara foods"/>
        <s v="vellanki vellanki"/>
        <s v="Vrindhavan kitchen"/>
        <s v="thrivesome cafethrive some cafe and cpo"/>
        <s v="Godhavari ruchulu"/>
        <s v="Zaiqa 11"/>
        <s v="Zafaron shawarma and chinese fast foodZafaron shawarma and chinese fast food"/>
        <s v="raghavendra"/>
        <s v="taaza"/>
        <s v="Zara hi fi restaurent"/>
        <s v="FB Cakes"/>
        <s v="Sri akshaya Sri akshaya tiffins "/>
        <s v="Midland bakersMidland bakers"/>
        <s v="Blue star restaurant "/>
        <s v="Rayudu's kitchen "/>
        <s v="Agra sweets"/>
        <s v="Sainadh tiffins"/>
        <s v="Olive mithai "/>
        <s v="Srinivasa mixture hub"/>
        <s v="Parnasala kitchen"/>
        <s v="Rayudu hotels"/>
        <s v="Subbayamma foods "/>
        <s v="Maa oori vanta "/>
        <s v="Vasistas  sri lakshmiNa"/>
        <s v="Pind to play "/>
        <s v="radisson (chillis)"/>
        <s v="parampara"/>
        <s v="third wave coffee"/>
        <s v="chaitanya food court chaitanya food court"/>
        <s v="hummus house"/>
        <s v="Borasted chicken shawarma "/>
        <s v="Habitat"/>
        <s v="Park frankies "/>
        <s v="Pakka Local"/>
        <s v="Seasons Express"/>
        <s v="Dine Hill"/>
        <s v="Exotica"/>
        <s v="Sravanam 4am biryani"/>
        <s v="Sahi nawabis kitchen"/>
        <s v="Mickeys tiffinNa"/>
        <s v="Harsha deluxe mess"/>
        <s v="Kasoori"/>
        <s v="Churrolto Na"/>
        <s v="cafe coffee day cafe coffee day"/>
        <s v="the chocolate roomchocolate room"/>
        <s v="kapoors cafe"/>
        <s v="Babbai hotel"/>
        <s v="THE SIPPING ADDATHE SIPPING ADDA"/>
        <s v="sAI RISHITHA FAST FOOD CENTREsAI RISHITHA FAST FOOD CENTRE"/>
        <s v="ABC Foods (Abiruchi biryani cafe)"/>
        <s v="Balaji villas "/>
        <s v="Ike cafe the tasty bakery"/>
        <s v="Tealogy cafe"/>
        <s v="Hotel annamayya"/>
        <s v="Chickpet donne biryani house"/>
        <s v="Dhaba food court"/>
        <s v="sRI GOWRAS KITCHEN"/>
        <s v="Tiffin kottu"/>
        <s v="Giri food court"/>
        <s v="Mathru sree athidhidevobhavaMathru sree athidhidevobhava"/>
        <s v="Induru spice kitchenInduru spice kitchen"/>
        <s v="Thakshashila curries "/>
        <s v="Irawath kitchenIrawath kitchen"/>
        <s v="Ruchullo rarraju"/>
        <s v="Sri venkateswara food courtSri venkateswara food court"/>
        <s v="Perch 24 cafePerch 24 cafe"/>
        <s v="Sree teja food court "/>
        <s v="Padmavathi food court "/>
        <s v="The organic creamery "/>
        <s v="Cranelle "/>
        <s v="Aditya kitchen "/>
        <s v="Upasana's Kitchen"/>
        <s v="BFC Crispy And Spicy"/>
        <s v="Pakka Local Food Court"/>
        <s v="Highway Resturant"/>
        <s v="Ulavacharu"/>
        <s v="Kakatiya Home Foods"/>
        <s v="Sri Ragavendra Vihar"/>
        <s v="The Spicy Unions"/>
        <s v="Bheema Restaurant "/>
        <s v="Farasha restaurant "/>
        <s v="Arabian mandi"/>
        <s v="Bakely cafe"/>
        <s v="The Bakely bakersThe bakely"/>
        <s v="Aura telegu kitchen"/>
        <s v="Chinese Chinese kitchen "/>
        <s v="Biriyani &amp; bagara"/>
        <s v="Sri Mama&quot;s kitchen"/>
        <s v="Alfa MadrEat"/>
        <s v="Dostan Meals &amp; snacks"/>
        <s v="fushion xps"/>
        <s v="Dostan Fast food "/>
        <s v="Dostan Tiffins"/>
        <m/>
      </sharedItems>
    </cacheField>
    <cacheField name="REMARKS" numFmtId="0">
      <sharedItems containsBlank="1">
        <m/>
        <s v="Res has been onboarded "/>
        <s v="PARTNER ON BOARDED"/>
        <s v="They got impress with our application take away point "/>
        <s v="ONBOARDED "/>
        <s v="Onboarded"/>
        <s v="on boarded waiting for documents"/>
        <s v="onboarded waiting for documets"/>
        <s v="Onboarding done but Adhar and pan details didnt recevied at."/>
        <s v="Onboarding done "/>
        <s v="Onboarding is Done"/>
        <s v="Onboarding Completed"/>
        <s v="Onboarding Done"/>
        <s v="The restaurant owner Mr Satyanarayana lives in khammam, will get confirmation from him tomorrow. Mr Anil who takes care of bhavani mess in Hyderabad is very impressed with the pitch and is okay for onboarding. Just need Mr Satyanarayana's permission."/>
        <s v="ON BOARDED"/>
        <s v="na"/>
        <s v="Closed by Ankitha, documents will be submitted by her."/>
        <s v="need to get bank details,adhar card and pan card"/>
        <s v="n/a"/>
        <s v="we onboarded the restraunts "/>
        <s v="ASKED TO CALL BEFORE COMING"/>
        <s v="Restraunt under renovation"/>
        <s v="Owner not available"/>
        <s v="NO"/>
        <s v="Need to submit docs"/>
        <s v="Onboarded at 20% flat commission"/>
        <s v="N"/>
        <s v="Onboarding done,documents submitted "/>
        <s v="NOT INTERESTED"/>
        <s v="OWNER WILL BE AVAILABLE ON MONDAY"/>
        <s v="Need to contact kolkata team for descion making "/>
        <s v="NOT INTERESTED IN ONLINE PLATFORM"/>
        <s v="Needs to submit docs"/>
        <s v="Yes"/>
        <s v="Bhimavaram thali onboarded at 22% ++"/>
        <s v="Test"/>
        <s v="Test&#10;"/>
        <s v="He is on leave asked comeback on 25th for onboarding"/>
        <s v="Asked to share the proposal"/>
        <s v="Asked to call on Thursday to check for an update (19/02/2026)"/>
        <s v="He was on leave asked to call tomorrow (17/02/2026)"/>
        <s v="Tried calling but he disconnected the call. Will calling him tomorrow (17/02/2026)"/>
        <s v="Manager did not answer the call, however will try again tomorrow (17/02/2026)"/>
        <s v="Tried calling him but no response, will follow up tomorrow (17/02/2026)"/>
        <s v="Asked to share the proposal after that he will connect back with us"/>
        <s v="following up to fix intro meeting"/>
        <s v="He is looking for 12%"/>
        <s v="discussion done with owner need to think"/>
        <s v="meeting scheduled tomorrow"/>
        <s v="They have 6 outlets,main branch is in jubliee hills kbr park"/>
        <s v="Asked to share the proposal over the email"/>
        <s v="Onboarding will be done tomorrow "/>
        <s v="I should call him tomorrow at 1:00 regarding an update from his side"/>
        <s v="He asked for two days time regarding the decision. Will follow him up"/>
        <s v="The receptionist asked me to call tomorrow at 11am for checking the availability of the owner"/>
        <s v="He has asked for time regarding the decision but he is interested . I will follow up the day after tomorrow "/>
        <s v="They have agreed to onboard next Monday "/>
        <s v="I should call Mr Surendra owner tomorrow "/>
        <s v="I should call him tomorrow for appointment "/>
        <s v="This restaurant's owner has been postponing onboarding from the last 3 days"/>
        <s v="Mr venu has asked me to meet after 4 pm tomorrow "/>
        <s v="He has asked me to call and come tomorrow after 4pm"/>
        <s v="DONE ONBORDING"/>
        <s v="ONBOARDING "/>
        <s v="onbaorded"/>
        <s v="The owner will be available in jubliee hills branch they have 6outlets "/>
        <s v="need to follow up"/>
        <s v="manager was not available"/>
        <s v="Manager was not available,following up"/>
        <s v="Follo up"/>
        <s v="Meeting fixed with Md"/>
        <s v="Meeting scheduled on friday"/>
        <s v="Shared proposal need to follow up in next week"/>
        <s v="Partner should be onboarded by the next meeting"/>
        <s v="Call Mr. Kishan"/>
        <s v="Call Mr. Gaffar and meet him at 5 pm at Jubliee Hills office"/>
        <s v="Call again"/>
        <s v="Call Mr. Gopi"/>
        <s v="Call Mr. Prajitesh"/>
        <s v="Call Mr. Mahendra"/>
        <s v="Call Mr. Sanjeev post 11 am"/>
        <s v="Call Sri Nivas"/>
        <s v="No food deliveries on Inorbit location due to high demand and small kitchen need to approach for different locations"/>
        <s v="KFC coming up with their own delivery app have own delivery partners and third party tie ups for peaks. Need to connect with delivery manager "/>
        <s v="Call Mr. Umar"/>
        <s v="Call Mr. Vamsi share proposal on mail. He white labels soda for Swiggy's brand Noice now selling soda at there own counters 3 more counters planned"/>
        <s v="Call Mr. Ameer"/>
        <s v="Call Mr. Laxman"/>
        <s v="Meet after calling Mr. Pasha"/>
        <s v="Doing 12-13 L daily revenue over all branches with Swiggy and Zomato. Maximum sale is of Combo Box : AOV 1200. Ala carte 500"/>
        <s v="Not available on Swiggy and Zomato looking for onboarding on online delivery platform, 19 outlets Pan India . Mr. Reeshav is the Business Head handle lead with care"/>
        <s v="Asked to share an email&#10;AOV - 500&#10;Seating capacity 60&#10;Location- begumpet"/>
        <s v="Dinesh &#10;Sits in Kukatpally branch&#10;&#10;Asked to share the proposal on email. He will be sharing his email ID shortly"/>
        <s v="Owner not available today as he is busy in court case. POC will give me a call tomorrow once the owner comes"/>
        <s v="Seating capacity - 50&#10;AOV - 300&#10;&#10;Asked to share the proposal on WhatsApp after that he will connect us with the concerned person"/>
        <s v="have 7 outlets in HYD and 2 in Vinaywada Asked call after 5pm as he in a night shift"/>
        <s v="1 day time "/>
        <s v="Out of station "/>
        <s v="Seating capacity - 48 head sits out of head office in Kolkata Tried calling him but no response will follow up more"/>
        <s v="Owner will be available at 7 pm"/>
        <s v="Follow up"/>
        <s v="Receptionist asked to visit banjara hills branch as the main POC will be available there"/>
        <s v="They need time to think"/>
        <s v="They are not interested"/>
        <s v="We need to call him"/>
        <s v="Onboarding tomorrow "/>
        <s v="He need 2 months time"/>
        <s v="Owner is not available "/>
        <s v="Owner is nit available "/>
        <s v="Have to meet with the owner"/>
        <s v="Will be onboarded by 18th of Feb"/>
        <s v="following up to get meeting with manager"/>
        <s v="Will be onboarded by 18th February"/>
        <s v="They dont do any online platform"/>
        <s v="She was not available,I need to follow up for meeting "/>
        <s v="Discussion done with manager,appointment fixed Md tomorrow"/>
        <s v="Manager and owner was not available took number from front team"/>
        <s v="Pan Card and Bank Details are pending"/>
        <s v="following up to get the area manager ka number"/>
        <s v="need to follow up to schedule into meeting"/>
        <s v="Manager was not available,following to connect him"/>
        <s v="follow back"/>
        <s v="Need to speak with other partner for final discussion"/>
        <s v="Need to send proposal"/>
        <s v="Tomorrow meeting scheduled with manager"/>
        <s v="Discussion done,They are intrested but owner was busy to schedule"/>
        <s v="following up for next meeting"/>
        <s v="Did a follow up call, waiting for the email where proposal can be shared"/>
        <s v="Proposal shared over the email"/>
        <s v="Shared the email ID and asked to share the proposal"/>
        <s v="Proposal shared on whatsapp and asked to come on Monday to meet Faizan area manager. He will let me know time on Monday."/>
        <s v="Proposal shared on whatsapp as requested."/>
        <s v="Asked to call tomorrow (19/02/2026)"/>
        <s v="Proposal Shared on whatsapp"/>
        <s v="Proposal shared over the email."/>
        <s v="Proposal shared over the email ID"/>
        <s v="Proposal shared on whatsapp (He will call me back tomorrow 19/02/2026 for the further discussion)"/>
        <s v="Very low orders on swiggy and zomato. Entire food court runs on an internal app called hunger box. (sattva.hungerbox.com) "/>
        <s v="A part of marketing team for Sattva foodcourt asked to come again on Tuesday or Wednesday next week. Hungerbox is internal app and website used to preorder and book food from food court. the app can tell about the KPT and the billing and payment is done t"/>
        <s v="Mr. Predeep will be back by Saturday. He will be available in between Lunch and Dinner "/>
        <s v="Follow Up with Mr. Santosh Reqd"/>
        <s v="Walkin required at Begumpet branch as General Manager not available due to his wedding "/>
        <s v="Same"/>
        <s v="Not in favour of Delivery, customer experience will get hampered. Said will create a smaller menu for delivery option in future. "/>
        <s v="Call Kalim"/>
        <s v="Call and visit again"/>
        <s v="Discussion done with one partner,need to disuss with other partner, I will follow up"/>
        <s v="Discussion done with manager,need to update to manager and I will follow up them"/>
        <s v="After 2 weeks follow up"/>
        <s v="following up 17/02/2026"/>
        <s v="Owner was not avilable,need to follow up"/>
        <s v="I need to follow up meeting schedule "/>
        <s v="Discussion done with manager and he need to discuss with owner"/>
        <s v="Need to collect menu and documents "/>
        <s v="Bank details are pending  he need 1 week time"/>
        <s v="Bank details and Menu"/>
        <s v="Documents are pending "/>
        <s v="Menu is pending "/>
        <s v="Menu pending need time to send "/>
        <s v="ON BOARDING"/>
        <s v="ON BOARDED&#10;"/>
        <s v="The manager syed isn't answering calls. Wil followup up directly "/>
        <s v="He wants to check the app after launch to come to a decision. Will follow up again "/>
        <s v="Mr Ram said he will follow up after two days. Will follow up today"/>
        <s v="Their orders per day 5 , so I don't think they can be onboarded"/>
        <s v="He said he will onboard today at 12:30 pm. I will get him onboarded"/>
        <s v="He is available everyday day at 13:00 at the outlet. Will follow up and get him onboarded"/>
        <s v="I have followed up on 19th Feb but he wasn't answering calls"/>
        <s v="Meeting time isn't confirmed yet, will follow up "/>
        <s v="The outlet has just started and he doesn't have any documents yet, wil follow up "/>
        <s v="All the decisions related to aamantran are taken at rtcxroads branch"/>
        <s v="I will follow up for the availability of a different POC in the evening "/>
        <s v="The manager sunny is convinced but the owner is not coming to the outlet from 3 days"/>
        <s v="The owner is available after 8pm"/>
        <s v="The owner is available to meet everyday from 4pm-5pm"/>
        <s v="He has asked to call him at 12 to fix an appointment in the evening "/>
        <s v="I have to follow up Mahendra for his update"/>
        <s v="The. Owner is available after 8 pm"/>
        <s v="He asked to come onboard on monday"/>
        <s v="follow up waiting furthur"/>
        <s v="ONBORDED"/>
        <s v="follow up with m.d"/>
        <s v="follow up required for documents collection"/>
        <s v="discussion done with owner he nee to discuss with other partner"/>
        <s v="Discussion done with manager,he need to discuss with head a"/>
        <s v="onboarding tomorrow"/>
        <s v="They are not on online and they are not interested "/>
        <s v="Not intrested in any online platform as of now after one month they are going to start Restaurent follow up after one month"/>
        <s v="Need to go back to get back the manager "/>
        <s v="NEED TO GO BACK AFTER 6 to meet the owner"/>
        <s v="Need to meet with poc , details not shared"/>
        <s v="Need a follow up meetings"/>
        <s v="This club is not interested in online orders as it is dining oriented"/>
        <s v="Will call Mr raju and follow up"/>
        <s v="Owner is available 10am-11am everyday "/>
        <s v="The owner Mr Imran is in Saudi and he'll return on 27th "/>
        <s v="Follow up for feedback"/>
        <s v="Call back next week on monday"/>
        <s v="Owner was not available,I spoke with him on a call tomorrow appointment fixed"/>
        <s v="need to follow ups"/>
        <s v="We need to meet different POC on Monday"/>
        <s v="Meeting On Monday"/>
        <s v="Bank Details are pending"/>
        <s v="Pan Card,Menu, Bank Acount Proof Is Pending"/>
        <s v="Nenu pending "/>
        <s v="Menu pending "/>
        <s v="Owner will be available at 7pm"/>
        <s v="Owner will be available at night"/>
        <s v="contract signed"/>
        <s v="not intersted"/>
        <s v="onboarded complete"/>
        <s v="he will call us when required"/>
        <s v="onbpoarded"/>
        <s v="collect documents"/>
        <s v="documents"/>
        <s v="we need to follow up"/>
        <s v="we need to follow "/>
        <s v="meeting scheduled with Md"/>
        <s v="all onboarding done"/>
        <s v="Discussion done with manager need to discuss with owner I will follow up "/>
        <s v="didnt shared any details"/>
        <s v="followup"/>
        <s v="Onboarding on monday"/>
        <s v="Discussion done with 2partners need to discuss with another partner "/>
        <s v="Discussion done with one of the partner,they need to discuss and come back,i will follow up for feedback"/>
        <s v="Explained everything to the area manager, need to speak with his team and revertback"/>
        <s v="The owner doesn't want to onboard because wants spot settlement. He is not there on other delivery platforms as. Well "/>
        <s v="Will talk to the owner at 2pm"/>
        <s v="Can meet the owner after 2pm"/>
        <s v="The owner is available after 1 pn"/>
        <s v="Owner available on Monday after 4"/>
        <s v="Owner might be available after 7 pm"/>
        <s v="All the decisions of olive mithai are taken at Hyder guda branch"/>
        <s v="Owner is available after 6pm. Will follow up "/>
        <s v="Owner available after 6pm"/>
        <s v="Owner is available after 8pm"/>
        <s v="The owner is available to meet on monday after 2pm"/>
        <s v="Poc said to come on Monday in the morning time"/>
        <s v="The owner needs to discuss with his son. Told me to follow up after 2 days"/>
        <s v="Need to prepare proposals while next meet"/>
        <s v="we need to send them the proposal"/>
        <s v="we  need to follow up"/>
        <s v="he is not intersted any online platforms"/>
        <s v="we are meeting him now"/>
        <s v="he is busy need to talk on monday"/>
        <s v="Manager is only available after 5PM"/>
        <s v="Manager told that he will discuss with owner &amp; get back to us.&#10;"/>
        <s v="Follow up required - P0 lead"/>
        <s v="Manager informed to meet after ramzan - after 3PM"/>
        <s v="They asked to share proposal through mail id "/>
        <s v="All the detailed structure discussion has to be done with HO people after they  responded to the proposal which we shared through mail"/>
        <s v="Asking to send proposal"/>
        <s v="Hello is the main marketing manager looks towards online platforms"/>
        <s v="monday"/>
        <s v="We need to prepare proposals point for them"/>
        <s v="ONBOARDED SOME DOCUMENTS LEFT TO RECEIVE"/>
        <s v="Onboarded.I didnt received all documents "/>
        <s v="for the discussion owner was not avilable need to follow up"/>
        <s v="They had payment issues before with other online platform so now they are not interested in any online platform"/>
        <s v="NOt interested in any online platyform"/>
        <s v="Owner was not avilable, need to follow up for meeting schedule"/>
        <s v="no one was for discussion didnt shared the contact details"/>
        <s v="Discussion done with manager,need to follow up for schedule meeting with owner"/>
        <s v="need to follow up to schedule meeting"/>
        <s v="Scheduled meeting on monday after 14:30"/>
        <s v="Owner was not available need to follow up"/>
        <s v="Present they are not interested, need to follow up after launch"/>
        <s v="Meeting scheduled on tuesday after 14:00"/>
        <s v="NEED TO FOLLOW UP FOR DISCUSSION"/>
        <s v="I didnt recevied all the documents yet"/>
        <s v="Discussion done with one parnter need to follow to schedule meeting with other partmer"/>
        <s v="Need to follow up for documents collection"/>
        <s v="He said he will talk to the owner and onboard "/>
        <s v="The owner will return on 25th"/>
        <s v="The manage is convinced, he agreed to onboard on Tues "/>
        <s v="We should call to the decision makers who live in nellore and talk to them. I have listed their number in the form"/>
        <s v="Mr Kousiks sister is the owner and she will be available on Monday "/>
        <s v="The owner is not interested in delivery apps"/>
        <s v="Menu and Bank details are pending"/>
        <s v="I send him the proposal ,need time to think"/>
        <s v="He want to discuss with his brother"/>
        <s v="Owner is  not available,They are not ready to give number"/>
        <s v="We need to send details in Whatsapp"/>
        <s v="Pan Card,Menu and Bank Details Are Pending"/>
        <s v="Need to follow up with the owner"/>
        <s v="Follow up with owner"/>
        <s v="Meeting with owner"/>
        <s v="Need to follow up with the owner for onboarding"/>
        <s v="Need to follow up on Next monday"/>
        <s v="Owner needs to discuss and come back"/>
      </sharedItems>
    </cacheField>
    <cacheField name="FOLLOW UP REQD." numFmtId="0">
      <sharedItems containsBlank="1">
        <s v="Yes"/>
        <s v="No"/>
        <m/>
      </sharedItems>
    </cacheField>
    <cacheField name="Follow up date" numFmtId="14">
      <sharedItems containsDate="1" containsString="0" containsBlank="1">
        <d v="1996-02-03T00:00:00Z"/>
        <m/>
        <d v="2026-02-04T00:00:00Z"/>
        <d v="2026-02-03T00:00:00Z"/>
        <d v="2026-02-06T00:00:00Z"/>
        <d v="2026-02-09T00:00:00Z"/>
        <d v="2026-02-10T00:00:00Z"/>
        <d v="2026-02-16T00:00:00Z"/>
        <d v="2026-02-11T00:00:00Z"/>
        <d v="2026-03-01T00:00:00Z"/>
        <d v="2026-02-08T00:00:00Z"/>
        <d v="2026-02-12T00:00:00Z"/>
        <d v="2026-02-13T00:00:00Z"/>
        <d v="2026-02-20T00:00:00Z"/>
        <d v="2026-02-14T00:00:00Z"/>
        <d v="2026-02-17T00:00:00Z"/>
        <d v="2026-02-21T00:00:00Z"/>
        <d v="2026-02-15T00:00:00Z"/>
        <d v="2026-02-18T00:00:00Z"/>
        <d v="2026-02-25T00:00:00Z"/>
        <d v="2026-02-19T00:00:00Z"/>
        <d v="2026-02-23T00:00:00Z"/>
        <d v="2026-02-24T00:00:00Z"/>
        <d v="2026-02-22T00:00:00Z"/>
        <d v="2026-02-28T00:00:00Z"/>
        <d v="2026-03-28T00:00:00Z"/>
      </sharedItems>
    </cacheField>
    <cacheField name="Follow up Time" numFmtId="19">
      <sharedItems containsDate="1" containsString="0" containsBlank="1">
        <d v="1899-12-30T10:11:00Z"/>
        <m/>
        <d v="1899-12-30T11:00:00Z"/>
        <d v="1899-12-30T20:20:00Z"/>
        <d v="1899-12-30T05:45:00Z"/>
        <d v="1899-12-30T15:00:00Z"/>
        <d v="1899-12-30T14:00:00Z"/>
        <d v="1899-12-30T13:00:00Z"/>
        <d v="1899-12-30T16:00:00Z"/>
        <d v="1899-12-30T12:00:00Z"/>
        <d v="1899-12-30T19:00:00Z"/>
        <d v="1899-12-30T13:30:00Z"/>
        <d v="1899-12-30T11:30:00Z"/>
        <d v="1899-12-30T12:30:00Z"/>
        <d v="1899-12-30T09:30:00Z"/>
        <d v="1899-12-30T17:00:00Z"/>
        <d v="1899-12-30T18:00:00Z"/>
        <d v="1899-12-30T03:00:00Z"/>
        <d v="1899-12-30T15:30:00Z"/>
        <d v="1899-12-30T10:00:00Z"/>
        <d v="1899-12-30T10:30:00Z"/>
        <d v="1899-12-30T14:30:00Z"/>
        <d v="1899-12-30T06:30:00Z"/>
        <d v="1899-12-30T03:30:00Z"/>
        <d v="1899-12-30T04:30:00Z"/>
        <d v="1899-12-30T20:30:00Z"/>
        <d v="1899-12-30T17:30:00Z"/>
        <d v="1899-12-30T02:00:00Z"/>
        <d v="1899-12-30T13:45:00Z"/>
        <d v="1899-12-30T20:00:00Z"/>
        <d v="1899-12-30T02:30:00Z"/>
        <d v="1899-12-30T06:00:00Z"/>
        <d v="1899-12-30T13:55:00Z"/>
        <d v="1899-12-30T01:30:00Z"/>
        <d v="1899-12-30T05:00:00Z"/>
        <d v="1899-12-30T07:30:00Z"/>
        <d v="1899-12-30T16:30:00Z"/>
        <d v="1899-12-30T12:20:00Z"/>
        <d v="1899-12-30T04:50:00Z"/>
        <d v="1899-12-30T17:29:00Z"/>
        <d v="1899-12-30T17:15:00Z"/>
        <d v="1899-12-30T11:22:00Z"/>
        <d v="1899-12-30T11:45:00Z"/>
        <d v="1899-12-30T14:45:00Z"/>
        <d v="1899-12-30T16:50:00Z"/>
        <d v="1899-12-30T22:00:00Z"/>
        <d v="1899-12-30T09:50:00Z"/>
        <d v="1899-12-30T05:50:00Z"/>
        <d v="1899-12-30T04:00:00Z"/>
        <d v="1899-12-30T01:00:00Z"/>
      </sharedItems>
    </cacheField>
    <cacheField name="Points to be prepared" numFmtId="0">
      <sharedItems containsBlank="1">
        <s v="KBUHIH"/>
        <m/>
        <s v="NA"/>
        <s v="interface about the AAP"/>
        <s v="Comiision"/>
        <s v="documents collection"/>
        <s v="commissions &amp; documents signs"/>
        <s v="Commissions, documents collections, Competrtiors"/>
        <s v="commissions, demo"/>
        <s v="Meetings are with HOD's at minerva group of hotels"/>
        <s v="Need discuss how are Planning the things What our Vision from merchant Pointnof View"/>
        <s v="Commisions "/>
        <s v="Commisions"/>
        <s v="We need to share the proposal "/>
        <s v="asked for Propsal and Comission I have Pitched is 20++,need to call him tmrw eveng fro Scduling the meeting"/>
        <s v="Intro meeting need dicuss regarding Commision for all branches"/>
        <s v="20++ Comission we Sait it"/>
        <s v="Intro meeting"/>
        <s v="Same Poc Who is for CreamStone"/>
        <s v="need to call him after 2 pm today"/>
        <s v="Intro meetng we Visted the Outelt Yesterday"/>
        <s v="We need to approach Marketing team"/>
        <s v="Toscano  POC-Bala(Manager) 9986998503  Owners will be in Bangalore  They are exclusive on swiggy and zomato,Before they have tried other food delivery platforms but they got more negative feedback so once launch is done,depending on the marketing the mana"/>
        <s v="we need to colect the documents"/>
        <s v="He will talk with Marketing Team and let us know "/>
        <s v="Manager will be available after 7 pm"/>
        <s v="POC-Ali Firoz 9769343996 Discussed with manager,he is interested but he need the proposal to sent on email with clear points about our platform and commissions and the offers.so that he can discuss with his higher officials for approval. AOV-2000-5000+ La"/>
        <s v="We need contact with Marketing team"/>
        <s v="In Tolichowki tha manager will be there"/>
        <s v="It has 35outlets and manager will be available after 19:00pm in outlet "/>
        <s v="Owner will be available after 21:00Pm in the restaurant(Kondapur)"/>
        <s v="She want to discuss with Owner"/>
        <s v="HE IS OUT OF STATIOIN"/>
        <s v="ASKED TO VISIT ATTAPUR HEAD OFFICE "/>
        <s v="OWNER IS NOT AVAILABLE "/>
        <s v="OWNER WILL BE AVAILABLE AT 11 PM EVENING"/>
        <s v="Manager will be available in the evng after 19:00PM"/>
        <s v="Ready for Onboarding but need time"/>
        <s v="OWNER WILL BE AVAILABLE AT 11 PM IN EVENIING"/>
        <s v="If he interested he will contact us"/>
        <s v="owner want to discuss with his brother,I will follow up"/>
        <s v="He need check with partner,follow up tomorrow after 18:00"/>
        <s v="Manager is on the leave,follow up after 2 days"/>
        <s v="Owner will be available in the evening,I will follow up for meeting"/>
        <s v="Discussed with the manager,got the details of the owner,available to take calls in the evening,I will follow up"/>
        <s v="Discussion done with manager,Owners will  be available after 20:00Pm"/>
        <s v="owners is busy and he is not coming to restaurent,call back after 4 days for schedling meeting"/>
        <s v="Follow up,manager will discuss with owner"/>
        <s v="Follow up,owner is out of station will be back after one week"/>
        <s v="need to follow up"/>
        <s v="discussion done with the manager,got the details of the owner,follow up"/>
        <s v="Owner will be available after 3 days"/>
        <s v="OWNER NOT AVAILABLE"/>
        <s v="OWNER WILL TALK TO THE PARTNER AND LET US KNOW"/>
        <s v="Owner asked to visit on friday as he is not available today and tommrow"/>
        <s v="OWNER IS NOT AVAILABLE HE COME AFTER 9 PM"/>
        <s v="need to discuss regarding Commision Part, as the other Platforms Were giving 9++ Comission"/>
        <s v="21++ I Want to Pitch"/>
        <s v="HIS SON IS THE SIGNING AUTHORITY"/>
        <s v="Manager is not available got the contact details from the supervisor "/>
        <s v="Commission I need to discuss "/>
        <s v="Manager is not available,when I visited the cafe got the contact details,I will follow up"/>
        <s v="Manager will be available after 5 in the restaurant "/>
        <s v="Need to discuss about the restaurant how the other Platforms Were doing "/>
        <s v="19++"/>
        <s v="Manager is not available,will be available after 18:00pm"/>
        <s v="They are 4 partners,discussion done with one partner  need to discuss with other partners,200-400 average orders per day in online platforms"/>
        <s v="Manager is not available"/>
        <s v="WE EXPLAINED EVERY THING WE NEED TO COLLECT DOCUMENTS ON MONDAY"/>
        <s v="Manager will be available after 19:00"/>
        <s v="Owner will be available after 18th of these month"/>
        <s v="No"/>
        <s v="ASKED TO COME ON MONDAY"/>
        <s v="Not in any online platform we have explain every thing but not interested as of now will contact if interested"/>
        <s v="HE WILL BE AVAILABLE TOMMROW AT 12 IN THE MORNING"/>
        <s v="Need to Close him for 15 ++"/>
        <s v="TOMMROW  AFTER 3 PM"/>
        <s v="MANAGER WILL BE AVAILABLE AFTER 5"/>
        <s v="Spoke with manager on the call,gave appointment on Monday"/>
        <s v="Monday will be available "/>
        <s v="Need to contact kolkata branch for descion "/>
        <s v="Monday meeting scheduled "/>
        <s v="Area head is responsible for descion making,she said she will pass the info I will follow up her "/>
        <s v="Manager need to discuss with owner "/>
        <s v="AFTER 3 PM OWNER WILL BE AVAILABLE "/>
        <s v="Owner  will be available after7"/>
        <s v="He will give the documents after app lauch"/>
        <s v="WILL ONBOARD ON MONDAY"/>
        <s v="WILL ON BOARD ON MONDAY "/>
        <s v="Owner will be available on monday at 11 am"/>
        <s v="Will onborad at 6 pm"/>
        <s v="15++ all restaurants"/>
        <s v="Already I came and discussed With Manager"/>
        <s v="OWNER WILL BE AVAILABLE  AFTER 8"/>
        <s v="ASKED TO COME 5 PM"/>
        <s v="Intrested to Onboard"/>
        <s v="Call Mr. Kishan "/>
        <s v="Call and meet Mr. Gaffar"/>
        <s v="Connect to call centre and fix meeting with area manager"/>
        <s v="CAll Mr. Gopi"/>
        <s v="Call Mr. Prajitesh"/>
        <s v="Call Mr. Mahendra"/>
        <s v="Call Mr. Sanjeev"/>
        <s v="Call Mr. Sri Nivas"/>
        <s v="Call Mr Amar"/>
        <s v="Call Mr. KSN Murhi"/>
        <s v="Call Mr. Umar"/>
        <s v="Call Mr. Vamsi and share proposal on mail"/>
        <s v="Call Mr. Ameer"/>
        <s v="Call Mr. Laxman"/>
        <s v="Meet Mr, Pasha post 4 pm on Wednesday"/>
        <s v="Call Mr. Suraj"/>
        <s v="Message Mr. Reeshav get appointment, share proposal on Email"/>
        <s v="1 day time"/>
        <s v="Proposal Disucssion"/>
        <s v="Proposal"/>
        <s v="Proposal Discussion"/>
        <s v="Interested in delivery, not getting orders from Swiggy"/>
        <s v="Research about the hungerbox app (call before meeting)"/>
        <s v="Need to follow up at Begumpet branch"/>
        <s v="Need to meet Mr. Bala contact details not shared by Sai Ram"/>
        <s v="Send Proposal"/>
        <s v="Call Mr. Kalim"/>
        <s v="Call Mr.Akshay"/>
        <s v="ASKED TO COME ON FRIDAY"/>
        <s v="ASKED TO COLLECT DOCUMENTS ON MONDAY"/>
        <s v="OWNER WILL BE AVAILABLE  ON FRIDAY"/>
        <s v="OWNER WILL BE AVAILABLE AFTER 10 PM EVENING"/>
        <s v="OWNER WILL AV AILABLE AFTER 5 PM"/>
        <s v="HAVE TO TAKE GST AND EMAIL ID"/>
        <s v="Proper structure has to be explained to manager in the follow up meet"/>
        <s v="Detailed discussion needed about the structure of caps with owner "/>
        <s v="Detailed discussion with manager required as we spoke to cashier at res."/>
        <s v="details has to be discussed with owner"/>
        <s v="detailed structure discussion"/>
        <s v="All the detailed structure discussion has to be done with HO people after they are responding to the proposal which we shared through mail"/>
      </sharedItems>
    </cacheField>
    <cacheField name="Onboarding Status" numFmtId="0">
      <sharedItems containsBlank="1">
        <s v="Yes"/>
        <m/>
        <s v="Will follow up tomorrow "/>
        <s v="No"/>
      </sharedItems>
    </cacheField>
    <cacheField name="Restaurant Category" numFmtId="0">
      <sharedItems containsBlank="1">
        <m/>
        <s v="Tier-2 (AOV &lt;400)"/>
        <s v="Tier-1(AOV&gt;400)"/>
        <s v="Tier-3 ( AOV&lt;200 )"/>
        <s v="Cloud Kitchen"/>
        <s v="Both restaurants are newly opened so no info regarding AOV and POS"/>
        <s v="Food Court"/>
      </sharedItems>
    </cacheField>
    <cacheField name="AOV" numFmtId="0">
      <sharedItems containsString="0" containsBlank="1" containsNumber="1" containsInteger="1">
        <m/>
        <n v="250.0"/>
        <n v="500.0"/>
        <n v="300.0"/>
        <n v="5000.0"/>
        <n v="200.0"/>
        <n v="1.0"/>
        <n v="90.0"/>
        <n v="150.0"/>
        <n v="400.0"/>
        <n v="1000.0"/>
        <n v="600.0"/>
        <n v="450.0"/>
        <n v="120.0"/>
        <n v="160.0"/>
        <n v="100.0"/>
        <n v="2000.0"/>
        <n v="1500.0"/>
        <n v="230.0"/>
        <n v="280.0"/>
        <n v="130.0"/>
        <n v="350.0"/>
        <n v="209.0"/>
        <n v="50.0"/>
        <n v="900.0"/>
        <n v="33.0"/>
        <n v="270.0"/>
        <n v="800.0"/>
        <n v="650.0"/>
        <n v="1200.0"/>
        <n v="550.0"/>
        <n v="3000.0"/>
        <n v="180.0"/>
        <n v="3009.0"/>
        <n v="700.0"/>
      </sharedItems>
    </cacheField>
    <cacheField name="Seating Capacity">
      <sharedItems containsBlank="1" containsMixedTypes="1" containsNumber="1" containsInteger="1">
        <m/>
        <n v="85.0"/>
        <n v="30.0"/>
        <n v="100.0"/>
        <n v="8.0"/>
        <n v="150.0"/>
        <n v="20.0"/>
        <n v="40.0"/>
        <n v="80.0"/>
        <n v="50.0"/>
        <n v="60.0"/>
        <n v="200.0"/>
        <n v="25.0"/>
        <n v="70.0"/>
        <n v="1.0"/>
        <n v="300.0"/>
        <n v="320.0"/>
        <n v="400.0"/>
        <n v="15.0"/>
        <n v="90.0"/>
        <n v="10.0"/>
        <n v="120.0"/>
        <n v="130.0"/>
        <n v="250.0"/>
        <n v="75.0"/>
        <n v="5.0"/>
        <n v="3.0"/>
        <n v="140.0"/>
        <n v="34.0"/>
        <n v="500.0"/>
        <n v="35.0"/>
        <n v="33.0"/>
        <n v="98.0"/>
        <n v="700.0"/>
        <n v="230.0"/>
        <n v="12.0"/>
        <n v="48.0"/>
        <n v="273.0"/>
        <n v="112.0"/>
        <s v="01"/>
        <n v="132.0"/>
        <n v="46.0"/>
        <n v="42.0"/>
      </sharedItems>
    </cacheField>
    <cacheField name="POC 1">
      <sharedItems containsBlank="1" containsMixedTypes="1" containsNumber="1" containsInteger="1">
        <s v="sandeep"/>
        <s v="Rama Rao"/>
        <s v="Mohammed Amir"/>
        <s v="Shesha sai"/>
        <s v="Venkat Lingam"/>
        <s v="NATVA SANTOSH KUMAR"/>
        <s v="GM RAGHAVENDRA"/>
        <s v="narapu reddy "/>
        <s v="AKASH"/>
        <s v="SHIVA"/>
        <s v="prajwah kumar"/>
        <s v="RAVI"/>
        <s v="Suresh"/>
        <s v="Naveen"/>
        <s v="no details"/>
        <s v="owner"/>
        <s v="Vishwa"/>
        <s v="didnt mention"/>
        <s v="khasim "/>
        <s v="syed Aman"/>
        <s v="shiek Nazeer"/>
        <s v="B.Raja Yeshwanth Kumar"/>
        <s v="Nikhil"/>
        <s v="Mansoor"/>
        <s v="satya"/>
        <s v="bhanu"/>
        <s v="Mukesh"/>
        <s v="ajay "/>
        <s v="HARI"/>
        <s v="Uttam Kumar"/>
        <s v="Masood"/>
        <s v="kavi raj"/>
        <s v="ASFIYA SULTANA"/>
        <s v="Harish Dhas"/>
        <s v="Das "/>
        <s v="SYED AMEER HUSSAIN"/>
        <s v="Bodh"/>
        <s v="Bhargav"/>
        <s v="Surendar Singh"/>
        <s v="Ravi Kanth"/>
        <s v="Jashwanth"/>
        <s v="BHURDHABAN"/>
        <s v="Khuddus Hussian"/>
        <s v="Rihaan"/>
        <s v="Prathap"/>
        <s v="AFROZE"/>
        <s v="Hamzad ali"/>
        <s v="99590 20310"/>
        <s v="Venu"/>
        <s v="Harsha "/>
        <s v="Harsha"/>
        <s v="Vinesh Reddy"/>
        <s v="Praveen"/>
        <s v="SHABANA BEGUM"/>
        <s v="SYED AMEER HUSSIAN"/>
        <s v="MOHD ARSHAD"/>
        <s v="MOHAMMED FEROZ"/>
        <s v="Anil"/>
        <s v="Mirza Hussain"/>
        <s v="SUDHAKAR"/>
        <s v="JYOTHI"/>
        <s v="SHANKAR"/>
        <s v="ANKIT"/>
        <s v="SANTOSH"/>
        <s v="KHASIM"/>
        <s v="Pranay"/>
        <s v="Ramchanra rao"/>
        <s v="CHALLA TRIVENI"/>
        <s v="NAVEEN REDDY"/>
        <s v="IBRAHIM KHAN"/>
        <s v="ASHRAF ALI"/>
        <s v="SHEIK NAZEER"/>
        <s v="MOHD UMAR KHAN "/>
        <s v="Sai Teja"/>
        <s v="ashok thapa"/>
        <s v="Sai Kumar Goud"/>
        <s v="manjunath "/>
        <s v="Dinesh "/>
        <s v="Kanshith"/>
        <s v="Prabavathi"/>
        <s v="Karthik"/>
        <s v="K Nagabhushan rao"/>
        <s v="Prasad"/>
        <s v="Suryam"/>
        <s v="Bhoojanam"/>
        <s v="Mandi@69"/>
        <s v="Prabath"/>
        <s v="Juhi Sanjay Sajnani"/>
        <s v="NA"/>
        <s v="DINESH REDDY"/>
        <s v="MAHESH "/>
        <s v="Manger(Rohith)"/>
        <s v="Anjayya"/>
        <s v="DANIAL"/>
        <s v="Anji"/>
        <s v="Manager(Chandu)"/>
        <s v="Uma"/>
        <s v="Pasha"/>
        <s v="Rajesh GM"/>
        <s v="Zakil"/>
        <s v="Santhosh"/>
        <s v="Saddam(Manager)"/>
        <s v="MAJEED"/>
        <s v="Maraheb"/>
        <s v="Swathi"/>
        <s v="Kajal"/>
        <s v="Bala"/>
        <s v="Fayz"/>
        <s v="vijay"/>
        <s v="SAHIL"/>
        <s v="Ali firoz"/>
        <s v="vinod"/>
        <n v="7.00363664E9"/>
        <s v="Rajini "/>
        <s v="Narsigin Rao"/>
        <s v="Srinu"/>
        <s v="Prabhakar"/>
        <s v="Nun"/>
        <s v="Venkatesh"/>
        <s v="ZUBAIR"/>
        <s v="BARBEQUE NATION"/>
        <s v="SYED VARIS"/>
        <s v="Sai krishna "/>
        <s v="Rupesh "/>
        <s v="Syed Habid"/>
        <s v="Ali"/>
        <s v="Zunaid "/>
        <s v="Arvind Chowdary"/>
        <s v="Pruthvi"/>
        <s v="RAKESH"/>
        <s v="sai krishna"/>
        <s v="AYUB QURESHI"/>
        <s v="Nageshwar rao"/>
        <s v="Ramya "/>
        <s v="Sudheerr "/>
        <s v="Abdul"/>
        <s v="Sandhya Rani"/>
        <s v="Basawath"/>
        <s v="Balu"/>
        <s v="Omkar"/>
        <s v="ibharim "/>
        <s v="ASHFAQ"/>
        <s v="ali "/>
        <s v="satya "/>
        <s v="Deepak kumar"/>
        <s v="Thalmal"/>
        <s v="Praney"/>
        <s v="Abib"/>
        <s v="Sridhar"/>
        <s v="Manager"/>
        <s v="Raza"/>
        <s v="Owners"/>
        <s v="Chandrashekar"/>
        <s v="Sangham Veg Aaffair"/>
        <s v="Deccan biryani house and restaurent"/>
        <s v="Maheswar rao"/>
        <s v="Mahesh"/>
        <s v="HUSSAIN"/>
        <s v="ABRAR"/>
        <s v="abdul malik "/>
        <s v="Sajaz"/>
        <s v="SHAKEEL"/>
        <s v="Anjaiah"/>
        <s v="SUDARSAN NAYAK"/>
        <s v="hotel armani"/>
        <s v="irsaad"/>
        <s v="pakisa"/>
        <s v="ahmed "/>
        <s v="ashok"/>
        <s v="UMAR KHAN "/>
        <s v="REHAAN"/>
        <s v="BABULAN"/>
        <s v="Ramchandra rao"/>
        <s v="Rama chandarrao "/>
        <s v="Srithisk"/>
        <s v="Ramachandra rao"/>
        <s v="Kondaiah"/>
        <s v="Manchu Manoj "/>
        <s v="Shekar"/>
        <s v="Raju"/>
        <s v="Hazrat"/>
        <s v="Prashanth reddy "/>
        <s v="Aravind reddy "/>
        <s v="Sameer"/>
        <s v="Bhargav "/>
        <s v="Krishna"/>
        <s v="Srikanth reddy "/>
        <s v="Upendra "/>
        <s v="Ashwaq"/>
        <s v="Nasir"/>
        <s v="Dinesh reddy "/>
        <s v="Akhil reddy"/>
        <s v="Ibrahim Khan "/>
        <s v="Triveni "/>
        <s v="Ashish kumar "/>
        <s v="Manasa "/>
        <s v="Rajesh kethineni"/>
        <s v="Vidya Sagar kadali"/>
        <s v="Nagendar "/>
        <s v="Shanker"/>
        <s v="Maheshwar rao"/>
        <s v="Dhakshina murthy"/>
        <s v="Adi"/>
        <s v="Manikanta"/>
        <s v="Azeez "/>
        <s v="Param"/>
        <s v="Basha "/>
        <s v="RAHAMAN"/>
        <s v="Aram"/>
        <s v="Uma maheshwar rao"/>
        <s v="AL BAIK"/>
        <s v="Sanjeev Reddy"/>
        <s v="Vijay "/>
        <s v="Sirish"/>
        <s v="Subhash"/>
        <s v="Shiva kumar"/>
        <s v="Jeff"/>
        <s v="Sai kiran"/>
        <s v="ARBAR"/>
        <s v="Raju "/>
        <s v="Ram"/>
        <s v="ILYAS"/>
        <s v="Khan saab"/>
        <s v="Giri"/>
        <s v="Chandu(branch incharge)"/>
        <s v="Dilip"/>
        <s v="Awaiz Ammari"/>
        <s v="Divya"/>
        <s v="faheen"/>
        <s v="Basha"/>
        <s v="Padmavathi"/>
        <s v="Sohail"/>
        <s v="Md.Atif Ali"/>
        <s v="ABDUL MALIK"/>
        <s v="gulam"/>
        <s v="Deepak"/>
        <s v="CHANDRA KANT"/>
        <s v="NA "/>
        <s v="abhimanyu "/>
        <s v="Ram reddy"/>
        <s v="E. Manikanteswara Reddy"/>
        <s v="Jagan Mohan "/>
        <s v="Naveen "/>
        <s v="Aashritha "/>
        <s v="Krishna "/>
        <s v="Sri latha"/>
        <s v="Giri "/>
        <s v="Kali "/>
        <s v="Sudhakar "/>
        <s v="Sai "/>
        <s v="Sarath "/>
        <s v="Chandu "/>
        <s v="Pundari naidu "/>
        <s v="abbas"/>
        <s v="umar "/>
        <s v="Jeevan"/>
        <s v="Piyush"/>
        <s v="Vamshi"/>
        <s v="Haritha"/>
        <s v="Shekhar "/>
        <s v="Satyam"/>
        <s v="Jaffar"/>
        <s v="Jamindar"/>
        <s v="Ramana"/>
        <s v="Sai Kiran "/>
        <s v="Ramakrishna "/>
        <s v="Lead"/>
        <s v="Lead murali"/>
        <s v="samdar"/>
        <s v="GANESH"/>
        <s v="Lead murali "/>
        <s v="ranjan "/>
        <s v="Durga"/>
        <s v="Madhushekar "/>
        <s v="Sudhakar reddy "/>
        <s v="Ravi Kumar "/>
        <s v="Ravi Kumar"/>
        <s v="Sridar"/>
        <s v="Anad"/>
        <s v="Kalyani "/>
        <s v="Kedarnath reddy "/>
        <s v=" mohammed "/>
        <s v="abhimanyu"/>
        <s v="sarbeena "/>
        <s v="suresh "/>
        <s v="Rohan"/>
        <s v="Alif"/>
        <s v="Gm"/>
        <s v="Hyder"/>
        <s v="Syder"/>
        <s v="Sunny"/>
        <s v="Ragvendra"/>
        <s v="Rama "/>
        <s v="Rajashekar"/>
        <s v="Venkata reddy"/>
        <s v="Arun"/>
        <s v="Sravan reddy "/>
        <s v="Deva "/>
        <s v="Satish"/>
        <s v="raghuram"/>
        <s v="mirza "/>
        <s v="fathima"/>
        <s v="deepak "/>
        <s v="irfaan "/>
        <s v="ashok "/>
        <s v="mohammed"/>
        <s v="shiva "/>
        <s v="vidhya sagar"/>
        <s v="shruthi"/>
        <n v="33.0"/>
        <s v="Test"/>
        <s v="Vinesh "/>
        <s v="P rohit "/>
        <s v="Shoukat "/>
        <s v="Sudhanshu "/>
        <s v="Muzzammil "/>
        <s v="Mohan Singh"/>
        <s v="Venkateswar Rao"/>
        <s v="Chandu"/>
        <s v=" Yashwant sai"/>
        <s v="Rakesh "/>
        <s v="syed "/>
        <s v="Suraj "/>
        <s v="Srinivas Reddy "/>
        <s v="Charan "/>
        <s v="Aditya "/>
        <s v="Priyan"/>
        <s v="Ragav"/>
        <s v="Mohammed khaleel"/>
        <s v="Srikant Reddy"/>
        <s v="Amit"/>
        <s v="Niranjan"/>
        <s v="megha"/>
        <s v="Ramesh "/>
        <s v="azhar"/>
        <s v="ashish"/>
        <s v="Mohan"/>
        <s v="VENKETESH"/>
        <s v="Gurvinder Singh "/>
        <s v="DINESH"/>
        <s v="Sultan "/>
        <s v="Santhosh "/>
        <s v="IRFAN"/>
        <s v="T Naveen Kumar"/>
        <s v="Srinivas "/>
        <s v="Hari palve"/>
        <s v="Divya "/>
        <s v="Surendra"/>
        <n v="9.381425752E9"/>
        <s v="Venu "/>
        <s v="Hemanth"/>
        <s v="MAHENDRA "/>
        <s v="THAKUR PRASHANTH SINGH"/>
        <s v="Sai Lakshmi"/>
        <s v="VENKATA PADMAVATHI"/>
        <s v="sheik sammer "/>
        <s v="SHIHARI GOUD"/>
        <s v="ravi teja"/>
        <s v="abhishek "/>
        <s v="Rajan"/>
        <s v="Darik"/>
        <s v="Swamy"/>
        <s v="Chakra"/>
        <s v="Manne hanumanth"/>
        <s v="Nithesh"/>
        <s v="Probin"/>
        <s v="David"/>
        <s v="Rohith"/>
        <s v="sajan"/>
        <s v="Sita Ram"/>
        <s v="Sukant "/>
        <s v="Kishan Negi (Head Office POC)"/>
        <s v="Gaffar Khan"/>
        <s v="Call Centre"/>
        <s v="Gopi (Area Manager)"/>
        <s v="Prajitesh (GM)"/>
        <s v="Mahender (Area Manager)"/>
        <s v="Ssanjeev Seth (GM)"/>
        <s v="Sri Nivas (Area Manager)"/>
        <s v="Mr. Amar (Area Manager)"/>
        <s v="KSN Murthi (Delivery Manager)"/>
        <s v="Umar (Area Manager) (Generally Available at Sarascity Mall)"/>
        <s v="Vamsi (Owner)"/>
        <s v="Ameer (Area Manager)"/>
        <s v="Mr. Laxman"/>
        <s v="Mr. Pasha"/>
        <s v="Mr. Suraj (Territory Manager)"/>
        <s v="Mr. Reeshav (Business Head)"/>
        <s v="Sumit bajaj"/>
        <s v="gopal "/>
        <s v="zia"/>
        <s v="Santosh "/>
        <s v="Sushmitha "/>
        <s v="Zinia "/>
        <s v="Bhanu Prakash"/>
        <s v="Saif"/>
        <s v="Devi sri"/>
        <s v="Venkat"/>
        <s v="Narsimha"/>
        <s v="Sai kumar"/>
        <s v="Manu"/>
        <s v="Rohit"/>
        <s v="Chandrashekhar "/>
        <s v="suraj"/>
        <s v="Pradeep"/>
        <s v="Sapan Kumar Jena"/>
        <s v="Srija"/>
        <s v="Triven"/>
        <s v="Kalyan"/>
        <s v="Sathyam"/>
        <s v="Kailash"/>
        <s v="Raj"/>
        <s v="Vishnu"/>
        <s v="sai"/>
        <s v="Rayalaseema spice"/>
        <s v="Venkat reddy"/>
        <s v="Balaji"/>
        <s v="Sanjeev Mandal"/>
        <s v="Dheeraj"/>
        <s v="Naveen Kumar Gadhamsetty"/>
        <s v="Gyandeep Singh"/>
        <s v="Dinesh Naidu"/>
        <s v="Vijay kumar"/>
        <s v="Sujeeth"/>
        <s v="Rasheed"/>
        <s v="Varun"/>
        <s v="Santosh (Regional Manager)"/>
        <s v="Nizzamuddin (Marketing Lead)"/>
        <s v="Pradeep (GM)"/>
        <s v="Santosh (South Head)"/>
        <s v="Mohd Ali (Shift Manger)"/>
        <s v="Sai Ram (Shift Manager)"/>
        <s v="Kapil Bishnoi"/>
        <s v="Monica "/>
        <s v="Harshavardhan "/>
        <s v="Syed Shahid"/>
        <s v="Md ghouse"/>
        <s v="Zamin ali "/>
        <s v="Yeshwanth"/>
        <s v="Mohammed "/>
        <s v="Sk janbee"/>
        <s v="Md ameenudden "/>
        <s v="Kalim (GM)"/>
        <s v="Akshay (F&amp;B Manager)"/>
        <s v="Kirti Kumar"/>
        <s v="Purna chandhar rao 9"/>
        <s v="Mahesh D"/>
        <s v="D mahesh "/>
        <s v="P srinivasulu"/>
        <s v="Srinivaasulu"/>
        <s v="Sk jaani"/>
        <s v="Hitesh"/>
        <s v="Hitish"/>
        <s v="Noufa"/>
        <s v="Syed hissam uddin "/>
        <s v="Koushilk"/>
        <s v="Neerja"/>
        <s v="Nagendra"/>
        <s v="Anjaneyareddy"/>
        <s v="Manohar"/>
        <s v="SVS BAKERS"/>
        <s v="DURGA PRASAD "/>
        <s v="SIRAJ"/>
        <s v="AJAY"/>
        <s v="PRAVEEN KUMAR"/>
        <s v="ASLAM"/>
        <s v="IMRAN"/>
        <s v="YASHWANT"/>
        <s v="Ram "/>
        <s v="Neethu sethia"/>
        <s v="Sai ram"/>
        <s v="Abhishek"/>
        <s v="Inder"/>
        <s v="Shlok"/>
        <s v="Deva"/>
        <s v="Manas sahoo"/>
        <s v="Nikhilesh"/>
        <s v="Kiran"/>
        <s v="Mahendra"/>
        <s v="Pandu"/>
        <s v="cafe cocktail music"/>
        <s v="Auddin"/>
        <s v="Mazar "/>
        <s v="Bose Babu"/>
        <s v="G NARASIMHA MURTHY"/>
        <s v="Syed"/>
        <s v="Rajnikant "/>
        <n v="9.000239392E9"/>
        <s v="Diksha "/>
        <s v="Pramod"/>
        <s v="Ramkrishna"/>
        <s v="Ramesh"/>
        <s v="Gaurav"/>
        <s v="Liakhath"/>
        <s v="Imran "/>
        <s v="Savitha"/>
        <s v="Pavan"/>
        <s v="Ajay Kumar"/>
        <s v="Sonali Avinash Jadhav"/>
        <s v="Manoj"/>
        <s v="Annapurna "/>
        <s v="Ramnath"/>
        <s v="Kalayan"/>
        <s v="Srinivas"/>
        <s v="Abhishek Agarwal"/>
        <s v="BHANU SHEKAR"/>
        <s v="Gopinath"/>
        <s v="Ahan"/>
        <s v="Ahmed"/>
        <s v="NIhar"/>
        <s v="padmavathi kasa"/>
        <s v="rehamad"/>
        <s v="red oven "/>
        <s v="sri hari "/>
        <s v="srinaik "/>
        <s v="karthik reddy"/>
        <s v="akshay"/>
        <s v="vikas"/>
        <s v="Ramakrishna reddy "/>
        <s v="krishna roa "/>
        <s v="roopchand "/>
        <s v="mangement"/>
        <s v="Nithesh hussain"/>
        <s v="management"/>
        <s v="pravallika "/>
        <s v="surya"/>
        <s v="Hussain "/>
        <s v="bagwan "/>
        <s v="Thufail"/>
        <s v="anurag"/>
        <s v="Vishnu "/>
        <s v="Sainadh"/>
        <s v="Jagadeesh "/>
        <s v="Naresh"/>
        <s v="Raghu"/>
        <s v="Avinash"/>
        <s v="joel nayak "/>
        <s v="prithvi"/>
        <s v="Arjun"/>
        <s v="Khan"/>
        <s v="Faizal"/>
        <s v="Rambabu j"/>
        <s v="Kamlesh"/>
        <s v="Eshwar"/>
        <s v="charan"/>
        <s v="Thirumala reddy balashow reddy"/>
        <s v="Sathyaprasad"/>
        <s v="Kamesh"/>
        <s v="Krishna mohan"/>
        <s v="GOPI"/>
        <s v="Avinay sharma"/>
        <s v="HIMAVANTH"/>
        <s v="Thirupathi"/>
        <s v="Saurabh yadav"/>
        <s v="Koushik "/>
        <s v="Likith"/>
        <s v="Virababu"/>
        <s v="Na0"/>
        <s v="Kishore"/>
        <s v="Arman"/>
        <s v="Sumanth"/>
        <s v="SUMANTH "/>
        <s v="Dharma"/>
        <s v="Harika"/>
        <s v="Ankaiya"/>
        <s v="Anil kumar"/>
        <m/>
      </sharedItems>
    </cacheField>
    <cacheField name="POC 1 NUMBER">
      <sharedItems containsBlank="1" containsMixedTypes="1" containsNumber="1" containsInteger="1">
        <n v="9.16679555E8"/>
        <n v="9.030611616E9"/>
        <n v="9.9498146E9"/>
        <n v="9.052592437E9"/>
        <n v="8.989873636E9"/>
        <n v="6.302181276E9"/>
        <n v="8.88655996E8"/>
        <n v="9.963968917E9"/>
        <n v="6.301782448E9"/>
        <n v="8.341514984E9"/>
        <n v="9.391167117E9"/>
        <n v="9.441674841E9"/>
        <n v="7.396735758E9"/>
        <n v="9.985609966E9"/>
        <n v="8.555086883E9"/>
        <s v="no details"/>
        <n v="8.712220229E9"/>
        <n v="8.522886035E9"/>
        <n v="7.032682089E9"/>
        <n v="9.849108337E9"/>
        <n v="9.866174396E9"/>
        <n v="8.886904546E9"/>
        <n v="9.705812524E9"/>
        <n v="7.799956667E9"/>
        <n v="9.676213874E9"/>
        <n v="9.553119997E9"/>
        <n v="8.309230685E9"/>
        <s v="na"/>
        <n v="7.799223445E9"/>
        <n v="9.849991664E9"/>
        <n v="9.010022093E9"/>
        <n v="9.059787788E9"/>
        <n v="9.502632532E9"/>
        <n v="9.9648187E9"/>
        <n v="7.842264138E9"/>
        <n v="9.742645678E9"/>
        <n v="8.978216439E9"/>
        <n v="8.019447999E9"/>
        <n v="9.8488146E9"/>
        <n v="6.309794222E9"/>
        <n v="9.100007676E9"/>
        <n v="8.249132908E9"/>
        <n v="9.182466676E9"/>
        <s v="04023536061"/>
        <n v="9.063906004E9"/>
        <n v="9.032417871E9"/>
        <n v="9.030266975E9"/>
        <s v="99590 20310"/>
        <n v="9.493106693E9"/>
        <n v="9.704204592E9"/>
        <n v="9.604204592E9"/>
        <n v="8.500703171E9"/>
        <n v="9.032460766E9"/>
        <n v="8.121007155E9"/>
        <n v="8.247496273E9"/>
        <n v="7.097949648E9"/>
        <s v="72868 01930"/>
        <s v="96403 07014"/>
        <n v="7.893713995E9"/>
        <n v="9.856666589E9"/>
        <n v="7.702070233E9"/>
        <n v="6.281845369E9"/>
        <n v="9.346811687E9"/>
        <n v="7.093742666E9"/>
        <n v="9.966644448E9"/>
        <n v="9.963967706E9"/>
        <n v="8.977709421E9"/>
        <n v="8.333833299E9"/>
        <n v="9.676945646E9"/>
        <n v="9.010924E9"/>
        <n v="9.701916013E9"/>
        <n v="9.885199151E9"/>
        <n v="9.642897117E9"/>
        <n v="7.995109409E9"/>
        <n v="9.030518803E9"/>
        <n v="8.125178544E9"/>
        <n v="6.281821329E9"/>
        <n v="9.34705965E9"/>
        <n v="9.381245681E9"/>
        <n v="9.642431013E9"/>
        <s v="+91 85010 24577"/>
        <n v="9.761859999E9"/>
        <n v="9.849995653E9"/>
        <n v="7.028412666E9"/>
        <n v="9.381522074E9"/>
        <n v="9.148628899E9"/>
        <s v="+91 78428 04422"/>
        <s v="+91 6281 845 369"/>
        <n v="9.133847766E9"/>
        <n v="9.908662728E9"/>
        <s v="+91 98491 08337"/>
        <n v="8.121020121E9"/>
        <n v="9.908199083E9"/>
        <n v="6.30252957E9"/>
        <n v="9.0597125102E10"/>
        <s v="no"/>
        <n v="6.303246535E9"/>
        <n v="9.398881323E9"/>
        <n v="8.985607723E9"/>
        <n v="9.032245891E9"/>
        <n v="6.300797895E9"/>
        <n v="9.493932004E9"/>
        <n v="9.032515133E9"/>
        <n v="7.739656963E9"/>
        <n v="9.581749555E9"/>
        <n v="9.014249702E9"/>
        <n v="7.396422628E9"/>
        <n v="7.977765789E9"/>
        <n v="9.986998503E9"/>
        <n v="9.966991234E9"/>
        <n v="8.688843788E9"/>
        <n v="9.100368473E9"/>
        <n v="9.39205514E8"/>
        <n v="9.769343996E9"/>
        <n v="7.337001104E9"/>
        <n v="9.172541254E9"/>
        <s v="Surjith"/>
        <n v="9.95902031E9"/>
        <n v="7.075777491E9"/>
        <n v="9.959160354E9"/>
        <n v="9.140523292E9"/>
        <n v="9.704025498E9"/>
        <n v="9.392857604E9"/>
        <n v="9.052878671E9"/>
        <n v="9.346166695E9"/>
        <n v="8.886767272E9"/>
        <n v="9.888586813E10"/>
        <n v="7.991231238E9"/>
        <n v="7.618754404E9"/>
        <n v="8.074932383E9"/>
        <n v="8.885294412E9"/>
        <n v="9.515977021E9"/>
        <n v="9.13710387E9"/>
        <n v="7.995184676E9"/>
        <n v="9.88586813E9"/>
        <n v="9.866847607E9"/>
        <n v="9.849343059E9"/>
        <s v="78937 77231"/>
        <n v="8.185802329E9"/>
        <n v="9.550402185E9"/>
        <n v="9.966660134E9"/>
        <n v="9.052253253E9"/>
        <n v="9.059036521E9"/>
        <n v="7.032735002E9"/>
        <n v="9.133424262E9"/>
        <n v="7.799777981E9"/>
        <n v="9.966591281E9"/>
        <n v="9.10044213E9"/>
        <n v="9.493041116E9"/>
        <n v="8.32839342E9"/>
        <n v="9.145845425E9"/>
        <n v="9.000338443E9"/>
        <n v="9.866667E9"/>
        <n v="9.000211792E9"/>
        <n v="7.897979742E9"/>
        <n v="8.374447297E9"/>
        <n v="9.246573562E9"/>
        <n v="9.154408946E9"/>
        <n v="6.300840049E9"/>
        <n v="8.309463956E9"/>
        <n v="9.100886637E9"/>
        <n v="9.550001177E9"/>
        <n v="9.346036222E9"/>
        <n v="8.125583337E9"/>
        <s v="72070 83888"/>
        <n v="8.008623545E9"/>
        <n v="9.393852636E9"/>
        <n v="9.346197565E9"/>
        <n v="7.569933996E9"/>
        <n v="8.939369888E9"/>
        <n v="8.885057806E9"/>
        <n v="7.013847849E9"/>
        <n v="9.000143978E9"/>
        <n v="9.989071021E9"/>
        <n v="9.603021048E9"/>
        <n v="9.100172163E9"/>
        <n v="8.688995094E9"/>
        <n v="9.704673535E9"/>
        <n v="7.981730116E9"/>
        <n v="8.125526123E9"/>
        <n v="9.849499208E9"/>
        <n v="8.801027834E9"/>
        <n v="9.959244406E9"/>
        <s v="+91 98858 68130"/>
        <n v="9.866402028E9"/>
        <n v="8.096999908E9"/>
        <n v="9.949429494E9"/>
        <n v="8.985909898E9"/>
        <n v="9.05981013E9"/>
        <s v="+91 93985 56461"/>
        <s v="733-7332022"/>
        <n v="7.306445599E9"/>
        <n v="7.09504025E8"/>
        <s v="80080 20304"/>
        <n v="7.396769261E9"/>
        <n v="8.438457084E9"/>
        <s v="+919063747177"/>
        <n v="7.702428848E9"/>
        <s v="87901 30941"/>
        <s v="99850 95605"/>
        <n v="7.993930918E9"/>
        <n v="9.849765228E9"/>
        <n v="9.010776408E9"/>
        <n v="7.981607619E9"/>
        <n v="8.884066682E9"/>
        <n v="9.849963003E9"/>
        <n v="8.125125635E9"/>
        <n v="6.28174849E9"/>
        <s v="95422 33485"/>
        <n v="9.000252549E9"/>
        <s v="96422 34333"/>
        <s v="863-9381583"/>
        <n v="9.3700938E9"/>
        <s v="+91 94943 99656"/>
        <n v="9.392458574E9"/>
        <n v="9.544186712E9"/>
        <n v="7.842474608E9"/>
        <n v="9.398948353E9"/>
        <n v="7.842474013E9"/>
        <n v="8.309112838E9"/>
        <n v="8.688077052E9"/>
        <n v="9.346342272E9"/>
        <s v="99660 33399"/>
        <n v="7.093051795E9"/>
        <n v="9.866896332E9"/>
        <n v="9.000931717E9"/>
        <n v="7.995243674E9"/>
        <n v="7.416826069E9"/>
        <n v="8.121749748E9"/>
        <n v="8.466082222E9"/>
        <n v="7.729900669E9"/>
        <n v="9.98550631E9"/>
        <n v="9.34603623E8"/>
        <s v="040 23510000"/>
        <n v="8.125655929E9"/>
        <n v="9.703471098E9"/>
        <n v="9.966740877E9"/>
        <n v="9.391575027E9"/>
        <n v="9.100016663E9"/>
        <n v="7.981956278E9"/>
        <s v="09885215007"/>
        <s v="95733 94555"/>
        <n v="9.966627E9"/>
        <n v="9.959223649E9"/>
        <s v="85209 37226"/>
        <s v="6302-751766"/>
        <n v="8.80129776E9"/>
        <n v="9.06906404E9"/>
        <s v="70130 27770"/>
        <n v="7.659856207E9"/>
        <s v="90596 66300"/>
        <n v="9.536442345E9"/>
        <n v="9.948505639E9"/>
        <s v="+91 79897 34545"/>
        <n v="8.12565211E9"/>
        <n v="9.908602056E9"/>
        <n v="8.121764465E9"/>
        <n v="8.31769626E9"/>
        <n v="8.074793426E9"/>
        <n v="7.569890018E9"/>
        <n v="8.179514738E9"/>
        <n v="8.374167037E9"/>
        <n v="9.652444418E9"/>
        <n v="9.885215007E9"/>
        <s v="93461 12262"/>
        <n v="8.319942382E9"/>
        <s v="75699 96701"/>
        <n v="9.885552731E9"/>
        <n v="9.49477772E9"/>
        <n v="6.300802819E9"/>
        <n v="9.381425752E9"/>
        <s v="Lead "/>
        <s v="Lead"/>
        <n v="8.519979693E9"/>
        <n v="8.712342023E9"/>
        <s v="7680-006511"/>
        <n v="9.502547468E9"/>
        <n v="9.177960195E9"/>
        <n v="8.333936696E9"/>
        <n v="7.970928335E9"/>
        <n v="7.98992243E9"/>
        <n v="8.978621009E9"/>
        <n v="9.246290001E9"/>
        <n v="8.341366998E9"/>
        <n v="7.396369586E9"/>
        <n v="9.030474848E9"/>
        <n v="7.416812233E9"/>
        <n v="9.966321486E9"/>
        <n v="9.346951279E9"/>
        <n v="8.309678652E9"/>
        <n v="9.989649223E9"/>
        <s v="6281 334 972"/>
        <s v=" 99086 02056"/>
        <n v="9.248067813E9"/>
        <n v="8.886741212E9"/>
        <n v="9.700389127E9"/>
        <n v="9.912324749E9"/>
        <n v="9.949992294E9"/>
        <n v="9.70011819E9"/>
        <n v="7.386992552E9"/>
        <n v="9.493862863E9"/>
        <n v="9.100396662E9"/>
        <n v="9.00002378E8"/>
        <n v="7.306506572E9"/>
        <n v="9.177171107E9"/>
        <s v="+91 94939 89362"/>
        <n v="9.652222583E9"/>
        <s v="97034 33533"/>
        <s v="98492 42228"/>
        <n v="7.066346634E9"/>
        <n v="7.893779377E9"/>
        <n v="9.66644062E9"/>
        <s v="na "/>
        <n v="9.505255701E9"/>
        <n v="8.919193385E9"/>
        <n v="9.980102334E9"/>
        <n v="7.780667655E9"/>
        <n v="9.640166669E9"/>
        <n v="9.94907222E9"/>
        <n v="9.985404412E9"/>
        <n v="9.91269903E8"/>
        <n v="33.0"/>
        <s v="Test"/>
        <s v="+91 83746 28209"/>
        <n v="9.000266581E9"/>
        <s v="94533 15094"/>
        <s v="98498 82217"/>
        <s v="7848-873441 "/>
        <s v="824-7534864"/>
        <s v="92468 78121"/>
        <n v="9.912013333E9"/>
        <n v="9.100002909E9"/>
        <n v="8.790606524E9"/>
        <s v="91827 69806"/>
        <s v="761-8754404"/>
        <n v="9.381014399E9"/>
        <s v="90003 43427"/>
        <s v="97804 55455"/>
        <s v="93907 32422"/>
        <s v="863-9857988"/>
        <s v="80087 45888"/>
        <n v="7.70294282E9"/>
        <n v="8.897351867E9"/>
        <s v="70705 67056"/>
        <n v="9.985489397E9"/>
        <n v="9.676367127E9"/>
        <n v="8.897622869E9"/>
        <n v="7.396928999E9"/>
        <s v=" 84649 15054"/>
        <n v="7.801005204E9"/>
        <s v="POC-70042 40970(Owner)"/>
        <n v="9.66666921E9"/>
        <s v="832 856 8920"/>
        <n v="9.642357335E9"/>
        <n v="9.885238434E9"/>
        <n v="9.790769073E9"/>
        <s v="+91 891 919 3385"/>
        <n v="9.985287122E9"/>
        <s v="+91 96180 84946"/>
        <s v="+917702428848"/>
        <s v="90595 55171"/>
        <s v="+919127893278"/>
        <s v="81425 20056"/>
        <s v="91779 37307"/>
        <s v="90320 00555"/>
        <n v="8.801656811E9"/>
        <n v="6.2175906581E10"/>
        <n v="8.008115681E9"/>
        <s v="89789 36410"/>
        <n v="9.505154858E9"/>
        <s v="97034 45554"/>
        <s v="99855 59905"/>
        <n v="9.701959365E9"/>
        <n v="7.331139799E9"/>
        <n v="9.00046444E9"/>
        <n v="9.441469962E9"/>
        <n v="8.328471182E9"/>
        <n v="9.154819482E9"/>
        <n v="9.000360723E9"/>
        <n v="9.030000622E9"/>
        <n v="9.491064999E9"/>
        <n v="9.700815352E9"/>
        <n v="9.818808004E9"/>
        <n v="7.893734731E9"/>
        <n v="1.860266001E10"/>
        <n v="6.381622735E9"/>
        <n v="7.030998709E9"/>
        <n v="9.663743265E9"/>
        <n v="7.905152075E9"/>
        <n v="9.959615992E9"/>
        <n v="7.002773847E9"/>
        <n v="9.398596919E9"/>
        <n v="8.374972864E9"/>
        <n v="9.494405373E9"/>
        <n v="8.639535389E9"/>
        <n v="7.093369917E9"/>
        <n v="7.731019977E9"/>
        <n v="9.907958581E9"/>
        <n v="9.867122223E9"/>
        <n v="8.668045147E9"/>
        <n v="9.967535945E9"/>
        <n v="9.100009426E9"/>
        <s v="90143 87137"/>
        <n v="8.07474285E9"/>
        <n v="8.319637722E9"/>
        <n v="8.919506757E9"/>
        <n v="9.147716232E9"/>
        <n v="8.297190571E9"/>
        <n v="9.615550066E9"/>
        <n v="7.032888705E9"/>
        <n v="6.303602919E9"/>
        <n v="9.030066247E9"/>
        <n v="9.38138984E9"/>
        <n v="9.59359399E8"/>
        <n v="8.247047507E9"/>
        <n v="9.700119173E9"/>
        <n v="9.704551666E9"/>
        <n v="8.12521E9"/>
        <n v="9.494567064E9"/>
        <n v="7.00424097E9"/>
        <n v="9.642114111E9"/>
        <n v="8.106842929E9"/>
        <s v="6302-303453"/>
        <n v="9.393895558E9"/>
        <n v="6.281737216E9"/>
        <n v="8.317528467E9"/>
        <n v="7.33099147E9"/>
        <n v="9.154051768E9"/>
        <n v="8.3747595E8"/>
        <n v="8.858725032E9"/>
        <n v="6.300044131E9"/>
        <n v="9.000027744E9"/>
        <n v="9.182628576E9"/>
        <n v="8.309163739E9"/>
        <n v="9.133711711E9"/>
        <n v="7.680947465E9"/>
        <n v="9.08338532E8"/>
        <s v="Saharsh udipi"/>
        <n v="9.553399599E9"/>
        <n v="9.493989362E9"/>
        <n v="9.700553599E9"/>
        <s v="949310 6693"/>
        <s v="733 883 6300"/>
        <s v="70328 88705"/>
        <s v="81234 01137"/>
        <n v="7.416022022E9"/>
        <s v="88863 31102"/>
        <n v="7.799208404E9"/>
        <s v="832 837 8624"/>
        <n v="9.400053063E9"/>
        <s v="95382 15301"/>
        <n v="9.500619904E9"/>
        <n v="9.247100786E9"/>
        <n v="9.493304525E9"/>
        <n v="9.840561868E9"/>
        <n v="9.63747578E9"/>
        <n v="8.712248966E9"/>
        <n v="9.053247967E9"/>
        <n v="8.897928087E9"/>
        <s v="970420 4592"/>
        <s v="836700 7137"/>
        <n v="8.801925991E9"/>
        <s v="8102 839 784"/>
        <s v="951 575 8788"/>
        <s v="9912 340 407"/>
        <n v="9.573462351E9"/>
        <s v="9618 09 6343"/>
        <n v="8.97874752E9"/>
        <n v="9.16724049E9"/>
        <s v="9949 838 582"/>
        <n v="9.390077903E9"/>
        <s v="7406 46642"/>
        <n v="7.406466642E9"/>
        <s v="8096 234 311"/>
        <s v="8790 689 367"/>
        <n v="7.981900413E9"/>
        <n v="8.142488588E9"/>
        <n v="7.660889977E9"/>
        <n v="9.154993447E9"/>
        <n v="8.341901102E9"/>
        <n v="9.948562177E9"/>
        <n v="7.075376903E9"/>
        <n v="8.639337298E9"/>
        <n v="9.39138984E9"/>
        <n v="9.885869143E9"/>
        <n v="8.143603999E9"/>
        <n v="6.30477213E9"/>
        <n v="7.702484488E9"/>
        <n v="9.3938748E9"/>
        <n v="9.5535255E9"/>
        <n v="9.640241237E9"/>
        <n v="9.247109555E9"/>
        <n v="8.617755298E9"/>
        <n v="8.096631022E9"/>
        <n v="7.207477577E9"/>
        <n v="9.542781785E9"/>
        <n v="6.300043595E9"/>
        <n v="8.099941233E9"/>
        <n v="8.074223013E9"/>
        <n v="7.981933914E9"/>
        <n v="9.603123374E9"/>
        <n v="6300.0"/>
        <n v="8.143117473E9"/>
        <n v="9.247499482E9"/>
        <n v="9.959838242E9"/>
        <n v="6.307547076E9"/>
        <n v="8.074010978E9"/>
        <n v="6.281968245E9"/>
        <n v="9.15422602E9"/>
        <n v="7.841881125E9"/>
        <n v="9.39181173E9"/>
        <n v="9.00000965E9"/>
        <n v="9.059457021E9"/>
        <n v="7.995719834E9"/>
        <n v="9.642274228E9"/>
        <n v="9.84970953E8"/>
        <n v="8.91904832E9"/>
        <n v="9.9518525E9"/>
        <n v="9.010089099E9"/>
        <n v="7.730072371E9"/>
        <n v="8.096987009E9"/>
        <n v="9.00023939392E11"/>
        <s v="Rajnikant "/>
        <n v="7.058580596E9"/>
        <n v="9.154323333E9"/>
        <s v="0000"/>
        <n v="9.381789995E9"/>
        <n v="9.79412788E9"/>
        <n v="8.37457252E9"/>
        <n v="9.583618255E9"/>
        <n v="9.515736223E9"/>
        <n v="9.000939335E9"/>
        <n v="9.642302809E9"/>
        <n v="7.330661433E9"/>
        <n v="9.552323334E9"/>
        <n v="7.032362999E9"/>
        <n v="8.019347999E9"/>
        <n v="9.550955064E9"/>
        <n v="8.897389987E9"/>
        <n v="8.121340883E9"/>
        <n v="7.020226949E9"/>
        <n v="9.49473281E8"/>
        <s v="+91 73373 09794"/>
        <n v="9.705995817E9"/>
        <n v="9.494739281E9"/>
        <n v="0.0"/>
        <n v="8.977779072E9"/>
        <n v="9.866650027E9"/>
        <n v="9.966118848E9"/>
        <n v="8.008783939E9"/>
        <n v="8.179777635E9"/>
        <n v="7.995520794E9"/>
        <n v="8.978265222E9"/>
        <n v="8.007452222E9"/>
        <s v="80080 49249"/>
        <s v="99801 02334"/>
        <n v="6.28181763E9"/>
        <n v="9.963696969E9"/>
        <n v="8.00831909E9"/>
        <s v="95051 54858"/>
        <s v="99490 72220"/>
        <n v="9.000777275E9"/>
        <n v="8.688612955E9"/>
        <n v="9.370982719E9"/>
        <n v="7.207206239E9"/>
        <n v="8.977945506E9"/>
        <n v="8.179622604E9"/>
        <s v="83099 70801"/>
        <n v="7.893354044E9"/>
        <n v="8.096301302E9"/>
        <n v="7.893787203E9"/>
        <n v="9.502201776E9"/>
        <n v="9.1002255E9"/>
        <n v="6.304257429E9"/>
        <n v="6.30097803E9"/>
        <n v="9.441166869E9"/>
        <n v="8.0742365E9"/>
        <n v="9.8859885001581E13"/>
        <n v="8.790072864E9"/>
        <n v="9.989981294E9"/>
        <n v="9.1600061E9"/>
        <n v="9.912104569E9"/>
        <n v="9.000003851E9"/>
        <n v="9.885649456E9"/>
        <n v="6.304208062E9"/>
        <n v="9.654295135E9"/>
        <n v="9.14067331122E11"/>
        <n v="8.374223982E9"/>
        <n v="9.959968514E9"/>
        <n v="7.681877271E9"/>
        <n v="8.121685645E9"/>
        <n v="9.032833756E9"/>
        <n v="6.39410162E9"/>
        <n v="9.014113139E9"/>
        <n v="6.30370215E9"/>
        <n v="7.386013565E9"/>
        <n v="8.341379379E9"/>
        <n v="9.705659494E9"/>
        <n v="9.573318519E9"/>
        <n v="6.30959061E9"/>
        <s v="+916304551271"/>
        <n v="9.666674299E9"/>
        <n v="7.013883666E9"/>
        <n v="9.96665808E9"/>
        <n v="9.44004922E9"/>
        <n v="9.912733258E9"/>
        <n v="9.640067678E9"/>
        <n v="7.995740832E9"/>
        <n v="8.88612008E9"/>
        <n v="7.993346699E9"/>
        <n v="9.38265312E9"/>
        <n v="8.886363573E9"/>
        <n v="9.1775858E9"/>
        <n v="9.866983997E9"/>
        <s v="+916284003952"/>
        <n v="8.125178871E9"/>
        <n v="9.50275210663035E19"/>
        <n v="8.639727263E9"/>
        <n v="8.074507215E9"/>
        <n v="9.441162225E9"/>
        <n v="9.61854168E9"/>
        <n v="8.179825296E9"/>
        <n v="999.0"/>
        <n v="8.121825518E9"/>
        <n v="9.686943703E9"/>
        <s v="9394 141282"/>
        <n v="9.394141282E9"/>
        <s v="00000"/>
        <n v="9.833858958E9"/>
        <n v="7.993021641E9"/>
        <n v="6.301481281E9"/>
        <n v="7.032209668E9"/>
        <n v="9.177844625E9"/>
        <n v="7.032209667E9"/>
        <m/>
      </sharedItems>
    </cacheField>
    <cacheField name="POC 1 EMAIL ID">
      <sharedItems containsBlank="1" containsMixedTypes="1" containsNumber="1" containsInteger="1">
        <s v="parul986@gmail"/>
        <s v="Bhuvan’skitchen25@gmail.com"/>
        <s v="na"/>
        <s v="sheshasai@gmail.com"/>
        <s v="bowlrise.srnagar@gmail.com"/>
        <s v="nsantosh086@gmail.com"/>
        <s v="bowlrise.srnagar@gmail.com "/>
        <s v="rayalseemaspice@gmail.com"/>
        <s v="cakash121@gmail.com"/>
        <s v="shiva@gmail.com"/>
        <s v="thehumanspice@gmail.com"/>
        <s v="krishnateeram2025@gmail.com"/>
        <s v="didnt recevied"/>
        <s v="no details"/>
        <s v="didnt received"/>
        <s v="didnt provided"/>
        <s v="didnt got mail"/>
        <s v="ya6822534@gmail.com"/>
        <s v="-"/>
        <s v="knowclubandkitchen@gmail.com"/>
        <s v="khuddushussian7@gmail.com"/>
        <s v="bidhaniyasony@gmail.com"/>
        <s v="ak.8977.ak@gmail.com"/>
        <s v="anandbhavanmess@gmail.com"/>
        <s v="smashcity.bk2025@gmail.com"/>
        <s v="brewcommunecafe@gmail.com"/>
        <s v="CAFEREELS@GMAIL.COM"/>
        <s v="amer786khan@gmail.com"/>
        <s v="flavourbiryanicafe9@gmail.com"/>
        <s v="vishnuthapaaaa@gamil.com"/>
        <s v="rebalsaikumargoud@gmail.com"/>
        <s v="bmanjunathkotteri@gmail.com"/>
        <s v="dinesh.pedamallu@gmail.com"/>
        <s v="Mattaparthykanakshith@gmail.com"/>
        <s v="tkartheek.516@gmail.com"/>
        <s v="bhushankottavalasa@gmail.com"/>
        <s v="veerammagarivantillu@gmail.com"/>
        <s v="Yes"/>
        <s v="n/a"/>
        <s v="frostbakeryindia@gmail.com"/>
        <s v="Not given "/>
        <s v="Info@rayalaseemaruchulu.com"/>
        <s v="Not given"/>
        <s v="NA "/>
        <s v="sudheer2409@gmail.com"/>
        <s v="Addomkar@gmail.com"/>
        <s v="dhanyasideepakvarma@gmail.com"/>
        <s v="hsgsubhamgrand@gmail.com"/>
        <s v="Info@goodsparrow.in"/>
        <s v="info@goodsparroe.in"/>
        <s v="Naveen "/>
        <s v="Vjfoodprenures@gmail.com"/>
        <s v="Jaimaanukonda7@gmail.com"/>
        <s v="bakehousesns@gmail.com"/>
        <s v="mohdilyas13@gmail.com"/>
        <s v="faheen88977@gmail.com"/>
        <s v="Tipsytopsy1@gmail.com "/>
        <s v="punjabijunctionyf@gmail.com"/>
        <s v="Sohailmd990@gmail.com"/>
        <s v="emkreddy.19@gmail.com"/>
        <s v="Koduriskitchen@gmail.com"/>
        <s v="srichandrakakarla@gmail.com"/>
        <s v="Lead"/>
        <s v="velagapudi6@gmail.com"/>
        <s v="amoghacafe@gmail.com"/>
        <s v="c.sivakarthik@gmail.com"/>
        <s v="Info@omsreesaifoods.com"/>
        <s v="Ahsth"/>
        <s v="Ht"/>
        <s v="Arukhaflavours@gmail.com"/>
        <s v="sribhimavaramthali@gmail.com"/>
        <s v="kaaramthespicekitchen@gmail.com"/>
        <n v="33.0"/>
        <s v="Test"/>
        <s v="avinesh363@gmail.com"/>
        <s v="Rathodvenkat62@gmail.com"/>
        <s v="mohammedirfan5731@gmail.com"/>
        <s v="om.hrchyd@jsmcorp.in"/>
        <s v="lakshmisai349@gmail.com"/>
        <s v="padmakasa76@gmail.com"/>
        <s v="kothashok25@gmail.com"/>
        <s v="oakbistro0@gmail.com"/>
        <s v="sukant@udupi.com"/>
        <s v="vamsiprince94944@gmail.com"/>
        <s v="reeshav@pjhindia.com"/>
        <s v="sumit.bajaj@haldirams.com"/>
        <s v="Online@karachibakery"/>
        <s v="Bulliabbai@gmail.com"/>
        <s v="Balu.evana396@gmail.com"/>
        <s v="Gundavenuprakash74@gmail.com"/>
        <s v="sanjeev.mandal@marriott.com"/>
        <s v="Requested"/>
        <s v="dheeraj.prabhu@rbrandsasia.com"/>
        <s v="naveen@sweetsdude.in"/>
        <s v="gyandeep.singh@accor.com"/>
        <s v="dinesh.naidu@almondhouse.com"/>
        <s v="Vijjivo52@gmail.com"/>
        <s v="Sujit.atric@gmail.com"/>
        <s v="rfcoproductions@gmail.com"/>
        <s v="seventhheavenrestaurant1998@gmail.com"/>
        <s v="gm@whiskysambahyd.in"/>
        <s v="Msurana.ktm@gmail.com"/>
        <s v="Vardhan 2563@gmail.com"/>
        <s v="Syed Shah 509@gmail.com"/>
        <s v="South MD 28@gmail.com"/>
        <s v="Alisahil66636@gmail.com"/>
        <s v="Santhakam ruchulu@gmail.com"/>
        <s v="Ghadiyal Mohit 7@gmail.com"/>
        <s v="Sk.janbee@gmail.com"/>
        <s v="Aminuddin srinagar@gmail.com"/>
        <s v="Maheshdontham@gmail.com"/>
        <s v="Skjani19892@gmail.com"/>
        <s v="Priyamoff05@gmail.com"/>
        <s v="Murthysam07@gmail.com"/>
        <s v="Rajnikant@presidentdhaba.com"/>
        <s v="Rajnikant@presidentdhaba"/>
        <s v="Diksha@myfroyoland"/>
        <s v="Dinesh@natukitchen"/>
        <s v="Durga@gmail.com"/>
        <s v="info@bilwa36.com"/>
        <s v="kothaashok25@gmail.com"/>
        <s v="aromabirayanispulaos@gmail.com"/>
        <s v="roopchand7545@gmail.Com"/>
        <s v="vellankifood89@gmail.com"/>
        <s v=" Na"/>
        <s v="Snakingcafe@gmail.com"/>
        <s v="afbm@rdhyderabad.com"/>
        <s v="kedar@maanhospitality.com"/>
        <s v="Gunjichandrashekar@gmail.com"/>
        <s v="care@manamchocolate.com"/>
        <s v="support@roasterycoffee.co.in"/>
        <s v="ankaiah85@gmail.com"/>
        <s v="www.alfamadreat.com"/>
        <m/>
      </sharedItems>
    </cacheField>
    <cacheField name="POC 2" numFmtId="0">
      <sharedItems containsBlank="1">
        <s v="amit"/>
        <m/>
        <s v="NA"/>
        <s v="Jaspreet Singh"/>
        <s v="Yes"/>
        <s v="Rithik"/>
        <s v="Azeez"/>
        <s v="Avinash"/>
        <s v="8309-541582"/>
        <s v="Md.owais"/>
        <s v="Purushottam "/>
        <s v="lead"/>
        <s v="Dheeraj"/>
        <s v="Faizan"/>
        <s v="Rajan (Asst. Rest. Manager)"/>
        <s v="Surya (Cashier)"/>
        <s v="Amitava (Entry Manager)"/>
        <s v="Raju Samba"/>
        <s v="Pradeep (Shift Manager)"/>
        <s v="Syed Fouzan"/>
        <s v="Charanjit (Shift Manager)"/>
        <s v="Ravi Teja (Area Manager)"/>
        <s v="Brijesh Kumar"/>
        <s v="reference given by Miss Sandhya"/>
        <s v="Mr. Sahoo"/>
        <s v="Kabir (Shift Manager)"/>
        <s v="Mr. Jeet"/>
        <s v="Mukul (Shift Manager)"/>
        <s v="Ranjit (Shift Manager)"/>
        <s v="Mr Bala (Area Manager)"/>
        <s v="Tapas"/>
        <s v="Lavina( owner)"/>
        <s v="Rama"/>
        <s v="gopi "/>
      </sharedItems>
    </cacheField>
    <cacheField name="POC 2 NUMBER">
      <sharedItems containsBlank="1" containsMixedTypes="1" containsNumber="1" containsInteger="1">
        <n v="7.896541232E9"/>
        <m/>
        <n v="9.848444396E9"/>
        <n v="9.95902031E9"/>
        <n v="4.785863578E9"/>
        <n v="685.0"/>
        <n v="67.0"/>
        <n v="8.847805035E9"/>
        <n v="9.985095605E9"/>
        <n v="7.977757237E9"/>
        <n v="1.0"/>
        <n v="9.866667E9"/>
        <n v="12.0"/>
        <n v="7.660912558E9"/>
        <n v="9.290643848E9"/>
        <s v="81234 01137"/>
        <n v="9.281054033E9"/>
        <n v="9.097949702E9"/>
        <n v="9.832874225E9"/>
        <n v="9.79481482E9"/>
        <n v="9.515868969E9"/>
        <n v="7.416690785E9"/>
        <n v="6.290172851E9"/>
        <n v="7.731019988E9"/>
        <n v="9.121165812E9"/>
        <n v="8.099420329E9"/>
        <n v="9.010023567E9"/>
        <n v="9.57334519E9"/>
        <n v="9.50277777E9"/>
        <n v="9.390442627E9"/>
        <n v="8.978211625E9"/>
      </sharedItems>
    </cacheField>
    <cacheField name="POC 2 EMAIL  ID" numFmtId="0">
      <sharedItems containsBlank="1">
        <s v="parul@gmail"/>
        <m/>
        <s v="NA"/>
        <s v="Yes"/>
        <s v="Vinod"/>
      </sharedItems>
    </cacheField>
    <cacheField name="FSSAI" numFmtId="0">
      <sharedItems containsBlank="1">
        <s v="https://drive.google.com/open?id=1K2GAYdf9j8OoeRQJN7a2rrWNqrJv-Yr8"/>
        <s v="https://drive.google.com/open?id=1zQ8cp3_66Bhden1m6eXDLNsshBt8JXb3"/>
        <m/>
        <s v="https://drive.google.com/open?id=1jDd9udZkiYFM95E6qDnBXxB9dZAPA3Q6"/>
        <s v="https://drive.google.com/open?id=1p7jWoaNGA48ZsmXz8piawFvDD6h8MZPo"/>
        <s v="https://drive.google.com/open?id=19PGovlvYadreb67eUHeNKzrktgJO-8bX"/>
        <s v="https://drive.google.com/open?id=1O-A-ESorVgS21JbM9bD4LsPgYXHMCp0d"/>
        <s v="https://drive.google.com/open?id=16IQXYD4HTTgs7GCdBU6iPTmSXHfWlbQY"/>
        <s v="https://drive.google.com/open?id=12A0pBqsWeMNRgfr4-RewydCYL1MhGFzW"/>
        <s v="https://drive.google.com/open?id=1yUrIaR5y55zD2nSA-kJ0RTpJklMZhyOE"/>
        <s v="https://drive.google.com/open?id=1eq2DvTRrEKjx7F39onOqBAWekTlxGmlf"/>
        <s v="https://drive.google.com/open?id=1FDLfrP2vE0w4X7UHEaSFNcpu27KdfG4j"/>
        <s v="https://drive.google.com/open?id=1M7jn0BGrwdxzFH55n7AA8m6MyWVZRx1z"/>
        <s v="https://drive.google.com/open?id=1uEv1SbghR4V6SRNuV_W5cWmXTxOGaOTk"/>
        <s v="https://drive.google.com/open?id=1jlS2uzGgdXIiBFtKTniOqZcQQP1Def9B"/>
        <s v="https://drive.google.com/open?id=1XHti40Q6rcjbNTd4338mnP-gp5zYiTTo"/>
        <s v="https://drive.google.com/open?id=1GwUWxdepNWvDVaZTDr0zsGPPIuKR_QoL"/>
        <s v="https://drive.google.com/open?id=1hhJ4HCs3cnLc731dz0ty_EzVSMGi6q8m"/>
        <s v="https://drive.google.com/open?id=1aZgR-8WQbSPhz8kdHLDR2naTnc3fOi42"/>
        <s v="https://drive.google.com/open?id=1sAnOS-klkKNxUHLQQA1nebfrNs7UHF3f"/>
        <s v="https://drive.google.com/open?id=1S1WlPojpvf1raedXv-niWA3UjYFTUlk5"/>
        <s v="https://drive.google.com/open?id=1yf9M7K7UhdTNA3TQu2NOSU6PrAh13spn"/>
        <s v="https://drive.google.com/open?id=1AlxCOdJ1Za0jZBdQ3zWZHURu3hmd6ii2"/>
        <s v="https://drive.google.com/open?id=1-8lOUY6jgkJa66YVEByy-q1eWlWTl5rK"/>
        <s v="https://drive.google.com/open?id=1DlC2bj1dFOqdVO20DL-nBeSxxMLICMpI"/>
        <s v="https://drive.google.com/open?id=1-Dl1aiT5Ad0HRsUNS4BdokXeybknF0vr"/>
        <s v="https://drive.google.com/open?id=1TyQ5VyQoYOXBgO6bKGNQK8FFz5yUt2Nw"/>
        <s v="https://drive.google.com/open?id=1f4MJPvzkVHBffgC4W0BlFcwQrLXPEzPq"/>
        <s v="https://drive.google.com/open?id=1rHTW-WZBcmBuGCZkK9YDvq-bRkFEbAAL"/>
        <s v="https://drive.google.com/open?id=1fGbSlo6SQePsw9IXCKG5RYAxMZoOHZ-d"/>
        <s v="https://drive.google.com/open?id=1oKV_3cQoMNE-A5xCKoHVszsAgIot6crY"/>
        <s v="https://drive.google.com/open?id=176ECpGpxZDmqD8I_vWbXX5K-YBZRlh3A"/>
        <s v="https://drive.google.com/open?id=1FPCiNB0YBRTLIUvuT9773zFtJI3rUXLv"/>
        <s v="https://drive.google.com/open?id=1_pVvhL8ftMgUTL7yMtxYmWWO7q2tGY8Y"/>
        <s v="https://drive.google.com/open?id=1h3_DBVEvIMkLFlPtsfWS18CSpghzWTn2"/>
        <s v="https://drive.google.com/open?id=1Z-lRC1l3IL3T3kyON-FcG7O_JcxZeZJF"/>
        <s v="https://drive.google.com/open?id=14aiEgHPTLKqKHTq6XSwqDEBE2xAfhvkI"/>
        <s v="https://drive.google.com/open?id=1RXkZ-moPk64eEHlh8LGIRgU1nGyi4Hm-"/>
        <s v="https://drive.google.com/open?id=1nFJkCl5MASyahmgFBFpfuuaFmGwr4WfO"/>
        <s v="https://drive.google.com/open?id=1LLEJekJcTxrNm2QagzhMxqyDXOWjpyCP"/>
        <s v="https://drive.google.com/open?id=1UlTTQTrZr1eADuCSZrV_BPpaH4jLCq_v"/>
        <s v="https://drive.google.com/open?id=1mlYB2ikwWJ-JF1B6rw17HV_R-3hmedEX"/>
        <s v="https://drive.google.com/open?id=1dzCPMgBk7v1BOPqjGbCpJvxzaj3B5s04"/>
        <s v="https://drive.google.com/open?id=1tUv-8B6zLHP5QCXxzN1yLw_QwqmSiAES"/>
        <s v="https://drive.google.com/open?id=1PdI1UU9f5OPowNVgD7fReE2oDtxxx4Mn"/>
        <s v="https://drive.google.com/open?id=1QmWrK_rT287ulHBndycSFpNyv3pFYCxb"/>
        <s v="https://drive.google.com/open?id=1OhYuUPJZtUt9ADEJV6NmHD-6_CD-YagI"/>
        <s v="https://drive.google.com/open?id=1W5DvnQWJlR0kGJulI7-q7OPepzyaL_ZD"/>
        <s v="https://drive.google.com/open?id=17M8j3mFhZFG3wU77l4cQMHYhXq8pD0tH"/>
        <s v="https://drive.google.com/open?id=1bOdmrQWowW-khG2i25-X3I8JS1GVT-FV"/>
        <s v="https://drive.google.com/open?id=1lRsfS8PW2rGv9OdqTH2xf99j_u_nNw-E"/>
        <s v="https://drive.google.com/open?id=15LQNQwFCSmtoa-ANPNjSw85OKSSf_V4h"/>
        <s v="https://drive.google.com/open?id=1bYYNkuI4klJFNRxozmqIxILvA32fXEGy"/>
        <s v="https://drive.google.com/open?id=1Y2r1fJ76bZRYNZ76UjnNFLyBLdtVuebW"/>
        <s v="https://drive.google.com/open?id=1lckDHfTyIZ5yB82IYRdKjbdKZl3Jc_jX"/>
        <s v="https://drive.google.com/open?id=1yxAcSsnzIiU3Ql7cs-2Q1mpsTEeB95JQ"/>
        <s v="https://drive.google.com/open?id=1Y4KiVuvKsiEij0pmuN9chObs0R6zRWix"/>
        <s v="https://drive.google.com/open?id=1MLUUMknW2eGLiMy4-2efmMrFgAz1nhYH"/>
        <s v="https://drive.google.com/open?id=1E0YyvYuvkww1Vl4LmBKqT1b-yVnr6XXq"/>
        <s v="https://drive.google.com/open?id=1WyRpq7Y9UlNtgHY06tO1Rf-kj6bCjxqg"/>
        <s v="https://drive.google.com/open?id=1d95a7vRIcXsPASPsC4bzqOyFhSVR4OSZ"/>
        <s v="https://drive.google.com/open?id=1EXRoLkUeVUy1NFPvVCPy0gMxGzevA2zB"/>
        <s v="https://drive.google.com/open?id=1HrStDjCgHTofQeCbOBlxQbgfOzFz-65r"/>
        <s v="https://drive.google.com/open?id=1f5YEmi8R5RjXfuitMzBruEY8OzIZ72t8"/>
        <s v="https://drive.google.com/open?id=1WXzJB5jAq-ErFkqRSFDqCwMunYuUzXes"/>
        <s v="https://drive.google.com/open?id=1RqIgGbKdS7V0393jSefvmGbOHW9VQV1S"/>
        <s v="https://drive.google.com/open?id=1aG-dLFSw3LpAi8pn-Qwq1DOev6gi8frp"/>
        <s v="https://drive.google.com/open?id=1fxLJs5jB-xpQQqYcyKiJa9ow9u28RGf_"/>
        <s v="https://drive.google.com/open?id=1Bs5j9AK0RG5Hl2wupt4lloyhDgXIhyxN"/>
        <s v="https://drive.google.com/open?id=15OcZoL691OxDeIQUq7hxTLlVkESpAFxU"/>
        <s v="https://drive.google.com/open?id=1xK1wKlI15IktTyXKw_xMHwAZmL8l0hv2"/>
        <s v="https://drive.google.com/open?id=1PmaUkgNxXz5G-6LFNQQU3Aw1hn4ZzMGv"/>
        <s v="https://drive.google.com/open?id=19bhmAYOCFdCddBwZl3Wau73LQMozPDuZ"/>
        <s v="https://drive.google.com/open?id=1dAEDqfgo5WXJ-OTH7YaLBgpqRr8Vw7T9"/>
        <s v="https://drive.google.com/open?id=1z2n-KhU_rLTCL1gYXHa3gKHQePwZpwM1"/>
        <s v="https://drive.google.com/open?id=15w-41KfK4yuAaZbxJPFH_B99m-hbwa4F"/>
        <s v="https://drive.google.com/open?id=1CPG3HtOWnpLMHqHuEIjVRE95CmobxkfV"/>
        <s v="https://drive.google.com/open?id=1GMZ4NH82b3mgZS90MqbElPLVhwFtsXrH"/>
        <s v="https://drive.google.com/open?id=1gcv9RnzFa4BVuSpZKCyspNeRZ9pq7tQm"/>
        <s v="https://drive.google.com/open?id=1YamiPESl9lY_-e9DER0dGwAA3iNj4XIl"/>
        <s v="https://drive.google.com/open?id=17t9rSNa1ACIcY4EyDJMioAGOKy4ezj_V"/>
        <s v="https://drive.google.com/open?id=1t5Stq0SMOsAKB4MzMx0D5ctoM9FxcKaY"/>
        <s v="https://drive.google.com/open?id=17Or-bhIxOB_fO2sEGmNwr5IQ6ixU3vvE"/>
        <s v="https://drive.google.com/open?id=1QnMLths7iNcb1nTv46dC1aw-7bW5GTgf"/>
        <s v="https://drive.google.com/open?id=1QpPC9T80dwxRb-wHw66rsvN9lSGhW9w4"/>
        <s v="https://drive.google.com/open?id=1yq3TS2sV89Wt5V8ytwcIHq2eDEvfkyCA"/>
        <s v="https://drive.google.com/open?id=1YCWgJXNqdWEF_bLRHD7fB-jAF0Gum0RP"/>
        <s v="https://drive.google.com/open?id=1v8GuVB6FT1xhXRdZk20oBYf8sShOinDH"/>
        <s v="https://drive.google.com/open?id=1E3GFAcJKhqQYmGTMwQlEvoFQWzviRTW1"/>
        <s v="https://drive.google.com/open?id=1cYN7h_LAZ4WEiQB9JGKxfb5s7iNY2O6y"/>
        <s v="https://drive.google.com/open?id=1qCO3zcHYab6Ni473npDxy_YcSbImrwhZ"/>
        <s v="https://drive.google.com/open?id=1tiJVZz0afAaAtdukvIjB2p6eA73oWqM7"/>
        <s v="https://drive.google.com/open?id=16k493vsOc5EyewYiso7AgZvxNRtpsHwS"/>
        <s v="https://drive.google.com/open?id=1cWIBkV2BJ7J0xgnp5ZfIMiQCx6aDLs0n"/>
        <s v="https://drive.google.com/open?id=1JkXdJV6m74LD-RAl0FyQDJteR06jW_9X"/>
        <s v="https://drive.google.com/open?id=1LAz6YfU48rjgUm90rjucNoyHLFOblYJ1"/>
        <s v="https://drive.google.com/open?id=1ia1w9zN8y7Hhp3yXc1c1rMX3MWIwrlTo"/>
        <s v="https://drive.google.com/open?id=1FaoWhwagdXOqBkQSbc5J4CR47LYsrDkN"/>
        <s v="https://drive.google.com/open?id=1xjX5JwWB2h-OdF7dTFNTZzEZgfatGvaC"/>
        <s v="https://drive.google.com/open?id=1_oMdjFshA5OacqXz-P5K3wFYDMTELQH3"/>
        <s v="https://drive.google.com/open?id=1Vk7oOI9LH_xIejew7Y-jbw9vU268TCPa"/>
        <s v="https://drive.google.com/open?id=1waSIzAH-MIZnU9Z2Cf4OEIbVIJfuSsAd"/>
        <s v="https://drive.google.com/open?id=125T7pFP7_Nj1RyExE6yiGLlMNItiF0U5"/>
        <s v="https://drive.google.com/open?id=1-PmbyHH_FFcytI0mUI-24IqfZBGvv0lV"/>
        <s v="https://drive.google.com/open?id=1AIJY0WXmXEWz_SjgX4mvaV5iufPJIEDK"/>
        <s v="https://drive.google.com/open?id=1Yme6KvX9A5Q2bO4gaJvBIARQqEpdANjj"/>
        <s v="https://drive.google.com/open?id=13Dds29Tr2HY-QAhKBxqO6CFmA56taYhg"/>
        <s v="https://drive.google.com/open?id=1aWK762ejH9coEq15X3GXpnOEkFD9iAAt"/>
        <s v="https://drive.google.com/open?id=1eKGwCZlTvrm9EuAd82fGvz2TcSFkMfOG"/>
        <s v="https://drive.google.com/open?id=1N7xMX3EOZrJDHQhrTC35u_p5wcRgengC"/>
        <s v="https://drive.google.com/open?id=1gVIhGFh3TtKR_VDLHfpcXDblyt3RssT2"/>
        <s v="https://drive.google.com/open?id=1_EsQCbBvreBn1i4-iQY3OWPNNvw0YO6W"/>
        <s v="https://drive.google.com/open?id=1_NtYZThmlKKbqsgOwqprAq1rGaCg8jqf"/>
        <s v="https://drive.google.com/open?id=1UB9lnAVZLJ_ESZbSY-C9PQnn3VZ_ryy3"/>
        <s v="https://drive.google.com/open?id=1p0EP3qh90HYIFgre-tk0LkewVFMbKRdA"/>
        <s v="https://drive.google.com/open?id=1dCLs2DtvSUrxj10Ah6RkKP8Fl1ZdDrwy"/>
        <s v="https://drive.google.com/open?id=1HJGX_svu90CwIK68w9IGPfdhDRpFWrqH"/>
        <s v="https://drive.google.com/open?id=18F5QkGfb2iE-oL-r98unRi2bzST-d0TS"/>
        <s v="https://drive.google.com/open?id=1a_4H2_9CknTE0d_ON89ybjkve64jWQor"/>
        <s v="https://drive.google.com/open?id=1QtpPmtQ2GmKhyIwRqjT1D_J7nAdTaTI1"/>
        <s v="https://drive.google.com/open?id=1SeRPTsRYQVU6SkqR9ic9_CMF0KvW45tR"/>
      </sharedItems>
    </cacheField>
    <cacheField name="GST" numFmtId="0">
      <sharedItems containsBlank="1">
        <s v="https://drive.google.com/open?id=1Xrc3uPOk64pgUM1gMvRHq-hhYc6pYKJT"/>
        <m/>
        <s v="https://drive.google.com/open?id=1wmAzfgRO6AUexNEcncft5vbltGIV8av4"/>
        <s v="https://drive.google.com/open?id=1hZ4_XJa0ar_5viyQyWSwjO63ut7o3QIh"/>
        <s v="https://drive.google.com/open?id=1xkvSfuIbWsf_ar7Z_3_MFx49cCnJTGSd"/>
        <s v="https://drive.google.com/open?id=15R5f8q3so1Ik7UrWJk_3rCjAQY8sBEFO"/>
        <s v="https://drive.google.com/open?id=1QyRpGDX2lP1lX3GoLj4kqxGuQ7cNxZ5q"/>
        <s v="https://drive.google.com/open?id=1w2-0S2iGSW_hsqhFAKZANxRRUo2t8rGA"/>
        <s v="https://drive.google.com/open?id=19lSB9R9cl_cCitMQsEsLggwyE9tp94F1"/>
        <s v="https://drive.google.com/open?id=1wfQiIC4z7mrMJ5O4AxkRDuixJ2qPRhk2"/>
        <s v="https://drive.google.com/open?id=16MNvuqRPFC7_QYv133p_s5qg9F-FCQ4f"/>
        <s v="https://drive.google.com/open?id=1DvL3nMVvblvTgCQjw2nEz6TTgrlJB-SM"/>
        <s v="https://drive.google.com/open?id=1lzn9VjNKeaCPDBh4aYrl3n_K7W9Qn8cy"/>
        <s v="https://drive.google.com/open?id=1-gR1d5RyzErC3JexistxNdbSDXRnqA4B"/>
        <s v="https://drive.google.com/open?id=1oMq8fqPB0ZMZ2V7hVfWrTU4nKYssh1mD"/>
        <s v="https://drive.google.com/open?id=1EzGKkfBdCwxpUid7iVSOGiOiFaC375_N"/>
        <s v="https://drive.google.com/open?id=1eEfT6eZGwPzwadX92zbnoIOERbRBDC6Z"/>
        <s v="https://drive.google.com/open?id=1mGWWMK_seDKY43K2NZSUjD03Ky_AuJtM"/>
        <s v="https://drive.google.com/open?id=1f3HDxJ2e7YVMA6zQIKF8G75AQEmqiRfH"/>
        <s v="https://drive.google.com/open?id=1C6Yj7irP-AOhQl7Tm9zhPVp-6PeHCotG"/>
        <s v="https://drive.google.com/open?id=1M9oQEmkMPWMxfuaY50HMSDTxpW7WCXs4"/>
        <s v="https://drive.google.com/open?id=1TKBICOHdgFm-5O9irakhUBYhhEYE5Ogf"/>
        <s v="https://drive.google.com/open?id=1iR45OA_9VnjsNVeuN-H1TZ1lyxkj8tq2"/>
        <s v="https://drive.google.com/open?id=19BCFWchfw9SLUCNJLnr37brcZdh2n_qP"/>
        <s v="https://drive.google.com/open?id=1Esnne3EF0nDCVFY0yNF0s-O0oIeM9LkT"/>
        <s v="https://drive.google.com/open?id=1r64PXvZavziIzd-tSp9m3zPWq4KCPVd6"/>
        <s v="https://drive.google.com/open?id=1Xt_N59iQiL-ckJBW-gBNtWBQPr972Kl-"/>
        <s v="https://drive.google.com/open?id=1U6JzgmUtu9GghBUA6vtVT1X_i_LLPJ_2"/>
        <s v="https://drive.google.com/open?id=12_glf7ohtBGogh91v9HxkwCJo0GOxHT3"/>
        <s v="https://drive.google.com/open?id=1GBAFJfylOBRP0t3YAWBWrCnfFE4H5WKK"/>
        <s v="https://drive.google.com/open?id=1YtsOjbmfLCJHe1vfL7Jb_0ohsVBQEOKV"/>
        <s v="https://drive.google.com/open?id=187v22aA0xNfGlmPAZh9n_16ShklAhoDj"/>
        <s v="https://drive.google.com/open?id=1pOv4Zdu0lqow7rXLOJueAjWaFCeReO13"/>
      </sharedItems>
    </cacheField>
    <cacheField name="PAN Card" numFmtId="0">
      <sharedItems containsBlank="1">
        <s v="https://drive.google.com/open?id=1P8o5u-wkGayDLIcyTArlaMzpPcBL8IP1"/>
        <m/>
        <s v="https://drive.google.com/open?id=11LbxcMTLS62PuKE6EHwzu8WdUemKU5ba"/>
        <s v="https://drive.google.com/open?id=1r4LwvkbszhmmgLl56dsxPyTtENCSry3W"/>
        <s v="https://drive.google.com/open?id=1wLa_Pt-AJbdtSV0NDD93Cgm0a-yocPNO"/>
        <s v="https://drive.google.com/open?id=1pP1p8yHifkOvlMj3fFQXJ-_zZU02HhTR"/>
        <s v="https://drive.google.com/open?id=1lHnQS6jFD0j-ODzzm6ncc6Fds_MkMTOj"/>
        <s v="https://drive.google.com/open?id=1-S0Ms1yARTteTRwzAtfYIosgIvtAoKrD"/>
        <s v="https://drive.google.com/open?id=1NsZ5WcHnZIPbzaY8z4g91aZM_fe2ibN8"/>
        <s v="https://drive.google.com/open?id=14vl9WR1NycmF9z9tVJiiS1sjEI4BpUgn"/>
        <s v="https://drive.google.com/open?id=1i3JNiPqA3bg9GskvIiKQOkcygNvWSwFo"/>
        <s v="https://drive.google.com/open?id=1Uop_OL_J095nxx7Re4m3p62_DS8J7Cai"/>
        <s v="https://drive.google.com/open?id=14IVRIxSnIQQt6lva1v7ExVvqU4V4bM6l"/>
        <s v="https://drive.google.com/open?id=1TGEb0yhwAAch3o-uj61e77IJ76PBiiNm"/>
        <s v="https://drive.google.com/open?id=1SefsNnW2N-5RAzKURGcWE46DoH3EFMvZ"/>
        <s v="https://drive.google.com/open?id=16VMSkJtnx2sth2a93gMBw8bIauhQ4QgY"/>
        <s v="https://drive.google.com/open?id=1_dVx2u88AJbRK_cdhlcm5w9BOa-NL-qE"/>
        <s v="https://drive.google.com/open?id=1mShRP-cqmHVFZLU640-JIitYc1Hbdu-w"/>
        <s v="https://drive.google.com/open?id=1AJ6Bfl3fKA7EyjUaT33Q-BEaqLJYLFpE"/>
        <s v="https://drive.google.com/open?id=1bIvEcXpfVNl_DQCS6PvKRh51VxqYyyLn"/>
        <s v="https://drive.google.com/open?id=10C5WjBtCBIlv55ac_HFiCjrMwueH5--t"/>
        <s v="https://drive.google.com/open?id=1sI3WqNOFvKe4niWEHF_25fgwDL5FWJv4"/>
        <s v="https://drive.google.com/open?id=18bZYxppjAI2i6dJ5kmCHOmhA6qsOjZuW"/>
        <s v="https://drive.google.com/open?id=1dMfhXyQ5x-FzUs_VFgnZWPWGoRTr7BXk"/>
        <s v="https://drive.google.com/open?id=1_F3xmRV2zlRSNziROJSeDL0iKC_VNGZt"/>
        <s v="https://drive.google.com/open?id=1nTgwZ-m4rPslhVYuqeVe_nRrYljsedOK"/>
        <s v="https://drive.google.com/open?id=1ve20UFwuWtQjg3TMnjmn_jLJwONfRNiH"/>
        <s v="https://drive.google.com/open?id=1iJA6UzP29nUggmceli9hvRZ-6uEpTCFf"/>
        <s v="https://drive.google.com/open?id=1QBcjT0hK85JwnNDGRyW3KOcdn-M1YT8-"/>
        <s v="https://drive.google.com/open?id=1d4BXXvEiNmx6Dq1mA_V9h4cZaoAkrMjq"/>
        <s v="https://drive.google.com/open?id=14aEMqG4cRhEAWWWEUNigYvfesqexjYkw"/>
        <s v="https://drive.google.com/open?id=1CkVgioQfrxvRRy0dt9R1ow16d6h9z3l2"/>
        <s v="https://drive.google.com/open?id=1DKhgeaOM1lxMrzSlLawBSx8tlUKAqWaQ"/>
        <s v="https://drive.google.com/open?id=1CvNTbmPl5H3Pl4kxzAGEv9k6yWwZYSnE"/>
        <s v="https://drive.google.com/open?id=1XOEGZNv7dqwn1eaZHpqzdPOQ_bcOsHXU"/>
        <s v="https://drive.google.com/open?id=1-SCscuHBy-YUrhyfqQGP43svE7_kLMWr"/>
        <s v="https://drive.google.com/open?id=16XFbrGSMZvIL1QzjcXJBj1KIHbIhWKDf"/>
        <s v="https://drive.google.com/open?id=1qE5ez9Tj8VeTC7DGpU3OzbvCVZGo-IC-"/>
        <s v="https://drive.google.com/open?id=1v0Q4P_xuBK-3EP4oJ5-F7SUtrC346hHR"/>
        <s v="https://drive.google.com/open?id=1_xt5uT6DbdEE-AEue2BQMzy6YXo2zcIg"/>
        <s v="https://drive.google.com/open?id=1sDrRhLZEmvz0XjP4BBf4HBBHVNAglB3S"/>
        <s v="https://drive.google.com/open?id=14kcMFkw4Z8IDUJoLnnR9MRizu0k0-Bqy"/>
        <s v="https://drive.google.com/open?id=1LGqkwoVNZb_k67wzigd4fkwMHJLGDjMy"/>
        <s v="https://drive.google.com/open?id=1lgW0kIjnPAZ5KLVH-CnWfgRd9KntwZz5"/>
        <s v="https://drive.google.com/open?id=1YLzd-h6M_cVMp9BAWEwQEL6usbuyBhDk"/>
        <s v="https://drive.google.com/open?id=1Lui1FIfU_zhdyYNbhdIUlGp6GG6Sfkc2"/>
        <s v="https://drive.google.com/open?id=1cKpMV49fCKB-o1IzWrDE-ogDddLX-IEP"/>
        <s v="https://drive.google.com/open?id=1a4jrdCpp0mdyelv-EXaW5gTBFvJFBFj8"/>
        <s v="https://drive.google.com/open?id=1Ob5ZsFBnNcbO1RXlHH9F9alkofaUv9JU"/>
        <s v="https://drive.google.com/open?id=1SHS07UZY0g1n5LwrKZvE3xpK2gX8BWk0"/>
        <s v="https://drive.google.com/open?id=12ghaPXC0kCxeonRGdc1yrqfLQMmtnlTa"/>
        <s v="https://drive.google.com/open?id=1ecRpt3QjIY5PotmiNiHR1HBPyDPtQuvl"/>
        <s v="https://drive.google.com/open?id=1zBdMZcQqrV-mArYvL02JEA_MH9zQNp7y"/>
        <s v="https://drive.google.com/open?id=1cyQLytiQvsiU0vA4tc9EQj5yhuJDrOPW"/>
        <s v="https://drive.google.com/open?id=17tcFw2cINnz_Ih3bP9CBcgAGFyyMS4Ul"/>
        <s v="https://drive.google.com/open?id=1nLvd4DvtCUcB1ziwiCLawkm7WjK0wHT0"/>
        <s v="https://drive.google.com/open?id=1QXAlKpIBQInBixggqbC_jI6MPRubZ-Dv"/>
        <s v="https://drive.google.com/open?id=1o18SdyJdHxK1ivAa17eVfBuiGzaeuCpU"/>
        <s v="https://drive.google.com/open?id=12K4b8vhs3pAxMC0tiMtzobsXR3Sz9XyS"/>
        <s v="https://drive.google.com/open?id=16r6DJTjOKtSG2yn0_TX4bS1xeLipnrUa"/>
        <s v="https://drive.google.com/open?id=1qC8zQOc9yxc7yoFkX8JM-IzFatcOjmzh"/>
        <s v="https://drive.google.com/open?id=1tRWmDpkyPg_hKBpEZFmJ5ONSHZi68ZRk"/>
        <s v="https://drive.google.com/open?id=1oollF86MvkeP8F7pfPJA4uSPIrURUU4y"/>
        <s v="https://drive.google.com/open?id=1LUkvi82AtTdaF_7imhG0sKxXvD8gJwEg"/>
        <s v="https://drive.google.com/open?id=1-4NWD5Y-cmWKKxC99_hPPygKjk_uxo6S"/>
        <s v="https://drive.google.com/open?id=1F5Akbwd88epJsI8yovUNIxNwIgwavCJH"/>
        <s v="https://drive.google.com/open?id=1uQmldAeGEJwNboL-RxQC_Qg7L0iJnEGh"/>
        <s v="https://drive.google.com/open?id=1lpeezznRAOebSXSygIRK15676Fs9DdAI"/>
        <s v="https://drive.google.com/open?id=1AgZE2LCQPK0lup15zm83h4rQPN-YjOos"/>
        <s v="https://drive.google.com/open?id=17SuBAYQXu3DrAwrWtWchmjuu19fRWOaM"/>
        <s v="https://drive.google.com/open?id=1f5N7Aw76L4XL8WeYMZPIIMivduLu_S11"/>
        <s v="https://drive.google.com/open?id=1v_GRSU39RFaKGSR0BsUyD8Mw28ER73I5"/>
        <s v="https://drive.google.com/open?id=1rkz2vG3ra98Pa6PjLFJ35frMOZxpm2MN"/>
        <s v="https://drive.google.com/open?id=1H-Fn8nHUs2HU8MkYd5LHpk0Oi7It1s2a"/>
        <s v="https://drive.google.com/open?id=1tl-OLTTvJ-HV-kEgm3sykXDHnFp46ijg"/>
        <s v="https://drive.google.com/open?id=19Q_XKziHGd0OH8LyXLXakehql9R1pi5B"/>
        <s v="https://drive.google.com/open?id=1yjWsvWZYtU0tQZ7BF1MDZA80e_e01Ruk"/>
        <s v="https://drive.google.com/open?id=17EI432R4YqUB68oBIsJ39RFep66Up9kt"/>
        <s v="https://drive.google.com/open?id=1Gz0r1WmfBDdQi3wDUk_cmZY6OsGfV8vF"/>
        <s v="https://drive.google.com/open?id=1FMMHBLDuF6nxxlVmbGqOCpNbn5kVh4y_"/>
        <s v="https://drive.google.com/open?id=1JdgccoLtSZE2h7hkXgz_valyJD6DBH9w"/>
        <s v="https://drive.google.com/open?id=1IBDIV6ROtZVYMZFcVDruA8ZCPQ2NC7cK"/>
        <s v="https://drive.google.com/open?id=1qzmK3TLyJFsE8wG4oqpQujaSq0R3R3Xt"/>
        <s v="https://drive.google.com/open?id=1lEvwVgmvQfRvkTPM7gykXehs-Dwt-ffx"/>
        <s v="https://drive.google.com/open?id=1QNYcLPMeC0UgmXXSnFXDTAgyB8qfLFME"/>
        <s v="https://drive.google.com/open?id=1fyc7UMJwnYQe1gnfEn6ERAWKYc96dUR9"/>
        <s v="https://drive.google.com/open?id=1kQOQ0kicVr2cCG9DSM-uee5ZGrwBkTKr"/>
        <s v="https://drive.google.com/open?id=1-6yZUYECRiR_Cjh4Tg5KruPhVbpZQQOW"/>
        <s v="https://drive.google.com/open?id=1m8Ivaol53x-yS9rTfsZUPVdUAKeXK-g6"/>
        <s v="https://drive.google.com/open?id=1b5A9jNsukoJijOmYkdLeDG4HYchGTAcE"/>
        <s v="https://drive.google.com/open?id=1f0Y8W6ZF6kcIvmPXr5nQV3I7uDMJbg8W"/>
        <s v="https://drive.google.com/open?id=1TB274l4YnS8pi_PsZ8ZaMCBEWk9Ut3_6"/>
        <s v="https://drive.google.com/open?id=1CVL6Qcvx8sy1Jhl6QyaPogFVKvB8jtAn"/>
        <s v="https://drive.google.com/open?id=1LYdObCkVkWMoJMNmbQ9OG9HBCq-7ACGq"/>
        <s v="https://drive.google.com/open?id=1ET7KPHyMQAF1mtAz-dPlK-N_MOhW-Dxr"/>
        <s v="https://drive.google.com/open?id=17WF4j-GOWBva0yLn5Qgm9Gioh16pcGAe"/>
        <s v="https://drive.google.com/open?id=1Drkt38q1i_BmH6UAtl3R3QBxeff4pyWK"/>
        <s v="https://drive.google.com/open?id=1v2azjikW30IslxTYOt5Ug-p8vp0xLrgW"/>
        <s v="https://drive.google.com/open?id=1wjDPbjKlLQoYE8u69vV_LFQ71g-3bjbM"/>
        <s v="https://drive.google.com/open?id=1ux7aC5lwsqUjooJ1TI0c3bkstcoRDbjy"/>
        <s v="https://drive.google.com/open?id=1IcLcoA65m0XFP3qZjF2SsWwBsqCQdqsm"/>
        <s v="https://drive.google.com/open?id=1WR5kN81INs4UxikzdQZvdQ0EUOcCKs0y"/>
      </sharedItems>
    </cacheField>
    <cacheField name="Labour License" numFmtId="0">
      <sharedItems containsBlank="1">
        <s v="https://drive.google.com/open?id=1zOmxq565qkkMqqCAFCaCRWzjb7i60OTF"/>
        <m/>
        <s v="https://drive.google.com/open?id=1yiMZ_9SQgNkHaFczbCDoGLcoQaoiMWqz"/>
        <s v="https://drive.google.com/open?id=1EZX1yqE9A9WyTNlB7ShJMB6qtXLxeZoC"/>
        <s v="https://drive.google.com/open?id=1gZv8AfQJERFpRc1DcTxPJAfAAKNSFNEb"/>
        <s v="https://drive.google.com/open?id=1qCkHg4Q5BTWb_r67QEH7wbvl6kslEcxf"/>
        <s v="https://drive.google.com/open?id=12s2f57VzvxLLaOdnwoVFKLOsBR6DugpZ"/>
        <s v="https://drive.google.com/open?id=1xB7gqJCUL6xbRxNZqDKvTuXJj0yO8EYc"/>
        <s v="https://drive.google.com/open?id=1I0nDgARq3-b4FG1xDYyGvkDT3cyzY6YV"/>
        <s v="https://drive.google.com/open?id=1xf1yB3ZQVA3SzkTp9AW2VoLh9LPy_xvg"/>
        <s v="https://drive.google.com/open?id=1BIYKKTui-geMacpBdE2bNO7Mgdto7mOH"/>
        <s v="https://drive.google.com/open?id=1jX4__Ei1uQlFS5DZI3VjqtlXUCBm3Zoe"/>
        <s v="https://drive.google.com/open?id=1umbnoHwDcTbur0RGBkkD4OYAZW2Kxi1p"/>
        <s v="https://drive.google.com/open?id=1dntAdXiOb2gZNFvyFl4Z2kXxhX95ZGol"/>
        <s v="https://drive.google.com/open?id=1lZk9Mia_V5B7OxDVWY4dSqga4JVxiyvG"/>
      </sharedItems>
    </cacheField>
    <cacheField name="Menu (Image)" numFmtId="0">
      <sharedItems containsBlank="1">
        <s v="https://drive.google.com/open?id=1qsXvdJuct7_aToPR8ThIMJcmid9TRtyr"/>
        <m/>
        <s v="https://drive.google.com/open?id=1zs5LVtkzfw6Ig4tlx1lPWSn0Lm-7bwoP"/>
        <s v="https://drive.google.com/open?id=1kddVXBDtmyxBYZuEGyQzheu06kPD2YCr"/>
        <s v="https://drive.google.com/open?id=1DMx_aqiNEP9UWnIpWFPjhq9IVflDo6wh"/>
        <s v="https://drive.google.com/open?id=1d5gMIAgwLYoo1XE8r6S6l9xrXBuHC_fD"/>
        <s v="https://drive.google.com/open?id=12gU5eBF4h4UumpvRgJOtQk-imBWvHY8u"/>
        <s v="https://drive.google.com/open?id=12EAJVco-KdWw1uSYlFtmmTicVZ84gYM2"/>
        <s v="https://drive.google.com/open?id=1cyi3Awg4bkM-qh0jCZ9AYvANscdYVEcQ"/>
        <s v="https://drive.google.com/open?id=1aJ7jyiQI1BxadWuyiDV75Cr6pKDhzzPn"/>
        <s v="https://drive.google.com/open?id=1Km226MX9KwuUpcWS9pqTAKGqr92Mg0Y3"/>
        <s v="https://drive.google.com/open?id=1co_tLOZJen6Y4IPvYNvxKakldF9XaDv6"/>
        <s v="https://drive.google.com/open?id=1pK59o1Aziv19WH0wSGHnNWo73zXeKHr_"/>
        <s v="https://drive.google.com/open?id=1o3AopNhsVJvFWoH8x_tLVNIZCcVx7cOn"/>
        <s v="https://drive.google.com/open?id=1nEMKQeAuolmOzlaxJpjW6qF6_rmIf6AP"/>
        <s v="https://drive.google.com/open?id=1Bon9T4mlU4z4S-rJrHY4p_4GBEaqvBis"/>
        <s v="https://drive.google.com/open?id=17qIijHeA5A66t0mbM5MuK1vxY67ZvH_w"/>
        <s v="https://drive.google.com/open?id=1MGUb-FLSLWz3mtFRYvr2kA8UU9R1ZDoe"/>
        <s v="https://drive.google.com/open?id=1aI50gadedsudO6h3wLqQp1xHLebrCR10"/>
        <s v="https://drive.google.com/open?id=1eUsNeyEj8OgtygeMyLiVEJod82SwU5zN"/>
      </sharedItems>
    </cacheField>
    <cacheField name="Bank Account Proof" numFmtId="0">
      <sharedItems containsBlank="1">
        <m/>
        <s v="https://drive.google.com/open?id=13qbsLsi98K74BchvdcD_7-swJp4EtkeO"/>
        <s v="https://drive.google.com/open?id=1LV1wXeDgKShlIJHBUn--Sn9J2gR1xgxD"/>
        <s v="https://drive.google.com/open?id=12sEwp13vy0B0IOgjOaR48di8G3M0dgC6"/>
        <s v="https://drive.google.com/open?id=1HMbFf9NKxwpNmJpRUAoeT4JSbWFH_gsM"/>
        <s v="https://drive.google.com/open?id=1B_C4vy9xoX9tPLwjSW2tR-EM6ekXOlYl"/>
        <s v="https://drive.google.com/open?id=1xJurv609CUKpePCGd0rcMOwYy6MJKEto"/>
        <s v="https://drive.google.com/open?id=1EM4vsraBCi3CmJzJUZ8gpuR8XRGBOcDh"/>
        <s v="https://drive.google.com/open?id=1-_wWaTH5f5gEAIqiuRyYQXb_tpy1C51V"/>
        <s v="https://drive.google.com/open?id=1HoToRS41uHrqu_gErmgajRS9Q13SKrzV"/>
        <s v="https://drive.google.com/open?id=1FHEOkgoHN1uVC9-OPnLYD4xoB1lkx6FT"/>
        <s v="https://drive.google.com/open?id=1-wjf481GOo4dlMS7Mn0_aN82x0QlqFIb"/>
        <s v="https://drive.google.com/open?id=174krwSmWS-7Ns96sjRGj3zQCcClDenc9"/>
        <s v="https://drive.google.com/open?id=1gCFHksXqJDMO9XNunUEWVv0oVwAAtw9X"/>
        <s v="https://drive.google.com/open?id=1z18XBbhWksdkjRHgsWjBufUzI3CtoA82"/>
        <s v="https://drive.google.com/open?id=17gc3uKZwnSFjbItrX6qAUmzjxO6L0k0z"/>
        <s v="https://drive.google.com/open?id=1dKb9onDSn0QUhvFk10SsnWf6GzlGdEV2"/>
        <s v="https://drive.google.com/open?id=1hdLV6N4fySfFzccVvxE7fAxQDFXVc5kZ"/>
        <s v="https://drive.google.com/open?id=1MSZTJnrSvojZAVGFGN9ERkT44CKcaSkX"/>
        <s v="https://drive.google.com/open?id=1z9xSy2R7BX9_IGQo40Fw_7fa7sypwjLg"/>
        <s v="https://drive.google.com/open?id=1RJg0vZYb8rpZ2eJBCHN88JVswb33w6cp"/>
        <s v="https://drive.google.com/open?id=1CsPd5PJwoKYcmy0ljOmn5Tm4rcNoXc_o"/>
        <s v="https://drive.google.com/open?id=1P_CpJZaQU2rNcw0-VvaemxIwfiMVd5Jx"/>
        <s v="https://drive.google.com/open?id=1hHYKH2vaxK2MdQvW2T-DLbQa7QTnUOnE"/>
        <s v="https://drive.google.com/open?id=12sMx09M1ImUhIZqd82WIvNaInTBWDcDb"/>
        <s v="https://drive.google.com/open?id=1fZKkhOY4LGNL-4ZQ8W2N88rEaTjYMZ6T"/>
        <s v="https://drive.google.com/open?id=1QQz-dSrn8BLxQJ2yneKFg763S5lFmEn9"/>
        <s v="https://drive.google.com/open?id=1dYdxSEdKDP25VExUX-FmWdaIiSXHMgdB"/>
        <s v="https://drive.google.com/open?id=181YFkStbeQu9DiIOSorReiJkbKFB5kZE"/>
        <s v="https://drive.google.com/open?id=1GzwV68LZjE7yRgLhc0J8Np1acynTdVFG"/>
        <s v="https://drive.google.com/open?id=1YV_3V66B3IfEOWAvik5kQtmn72HGp0jh"/>
        <s v="https://drive.google.com/open?id=1zu_M2fRUfLRdFPZfETU9gn84XXlL3P0m"/>
        <s v="https://drive.google.com/open?id=1dxElB3vRZ1tS6RVyXUrVqeRnYh81rGTu"/>
        <s v="https://drive.google.com/open?id=1TG-6YHm1tSjM2QKx8bxcb5OsnRWbvTBx"/>
        <s v="https://drive.google.com/open?id=15hJdUQGf_fyRP9LiydLCMSi1StFZTTjv"/>
        <s v="https://drive.google.com/open?id=1c5OX2uUNeQWX_ZBgExdNadzag4rWD5lN"/>
        <s v="https://drive.google.com/open?id=1DztSeMbfTMIHcNUCvl3ObaM0uq3Eem1t"/>
        <s v="https://drive.google.com/open?id=1s3qkv8BsnDod67ajNIztoNk4pVhhTL74"/>
        <s v="https://drive.google.com/open?id=1iSONILkt5lH4Z6I8zgC4f5FG-WyYCWjD"/>
        <s v="https://drive.google.com/open?id=1XqfSCML6SoFCVD8TCEqvqtCDTAEjdvUa"/>
        <s v="https://drive.google.com/open?id=1gaojrQDsRKOnMGTffrg7CRd7nH8P-4wY"/>
        <s v="https://drive.google.com/open?id=1XZ9ZsEViH7b8kP1ukMLroSjXiL-dq7y_"/>
        <s v="https://drive.google.com/open?id=1iM2kJS9HkQ3zvV9PvTqoRtXsVkbBQHGe"/>
        <s v="https://drive.google.com/open?id=1rd37Nb7X_DnLu5vq5RT9zuDu_yvrcW0G"/>
        <s v="https://drive.google.com/open?id=18yRO-B3Lj3Gfw91ri3Ga2IQUP3tgwc8p"/>
        <s v="https://drive.google.com/open?id=1GeVV81U6D5F9tTaSAVz-8ZxKWT8UmvBG"/>
        <s v="https://drive.google.com/open?id=1ktOhb0u7Zp5tL4_e1kwCHdk8MnTVqz9S"/>
        <s v="https://drive.google.com/open?id=1LYTwoCS--h120P_e4AkLSKjaqZ3Lupsi"/>
        <s v="https://drive.google.com/open?id=14urNv3pIYh9cA2bgR2TgNpjceg_5fQ3z"/>
        <s v="https://drive.google.com/open?id=1oeWZTEIc09G0jV1DRernRUzSTaBycY9e"/>
        <s v="https://drive.google.com/open?id=105qvkmlCWecN--NR_X2-JQYI1kJKwbAT"/>
        <s v="https://drive.google.com/open?id=1QjCULw6L2OGsSDChaQymVKSkeE7zaATb"/>
        <s v="https://drive.google.com/open?id=1qBXCbE_vTaiYmE4_PYtfAjCd5k4f_Ji8"/>
        <s v="https://drive.google.com/open?id=1QzadrdF1fruc3XZQktLe8rw6eHtQSBeF"/>
        <s v="https://drive.google.com/open?id=1ZqqbAXMee-gtK1xay_XrZdq-HxLWYqJo"/>
        <s v="https://drive.google.com/open?id=1KWhmvCRV6edvP7Im57nVrGEySdll2Kkx"/>
        <s v="https://drive.google.com/open?id=12x4Z2BqC7w_Q3Z9r3zQaOyy6lzRKedSp"/>
        <s v="https://drive.google.com/open?id=1GJR5LCAoKfbnGEYOuSrN9dl8OUDyhW5K"/>
        <s v="https://drive.google.com/open?id=1iFWqFpvXzhdgWHC7QJbB04xfKRRCZ6XI"/>
        <s v="https://drive.google.com/open?id=1YveRWqKuQSveB578ZRwwNhhBR7WmMX_t"/>
        <s v="https://drive.google.com/open?id=1TQ8Yzk_vYM49ejCMETCOPr4RFK0U5R2D"/>
        <s v="https://drive.google.com/open?id=1SXiJmvMSwMpmmTquzUuPQb56rv-arqLv"/>
        <s v="https://drive.google.com/open?id=129B7kMmSpA4mZCafFz_8IRegXJt-_4J9"/>
      </sharedItems>
    </cacheField>
    <cacheField name="FSSAI Status" numFmtId="0">
      <sharedItems containsSemiMixedTypes="0" containsString="0" containsNumber="1" containsInteger="1">
        <n v="1.0"/>
        <n v="0.0"/>
      </sharedItems>
    </cacheField>
    <cacheField name="GST Status" numFmtId="0">
      <sharedItems containsSemiMixedTypes="0" containsString="0" containsNumber="1" containsInteger="1">
        <n v="1.0"/>
        <n v="0.0"/>
      </sharedItems>
    </cacheField>
    <cacheField name="PAN Card Status" numFmtId="0">
      <sharedItems containsSemiMixedTypes="0" containsString="0" containsNumber="1" containsInteger="1">
        <n v="1.0"/>
        <n v="0.0"/>
      </sharedItems>
    </cacheField>
    <cacheField name="Labour License Status" numFmtId="0">
      <sharedItems containsSemiMixedTypes="0" containsString="0" containsNumber="1" containsInteger="1">
        <n v="1.0"/>
        <n v="0.0"/>
      </sharedItems>
    </cacheField>
    <cacheField name="Menu Status" numFmtId="0">
      <sharedItems containsSemiMixedTypes="0" containsString="0" containsNumber="1" containsInteger="1">
        <n v="1.0"/>
        <n v="0.0"/>
      </sharedItems>
    </cacheField>
    <cacheField name="Bank Account Proof Status" numFmtId="0">
      <sharedItems containsSemiMixedTypes="0" containsString="0" containsNumber="1" containsInteger="1">
        <n v="0.0"/>
        <n v="1.0"/>
      </sharedItems>
    </cacheField>
    <cacheField name="Name on Bank Account" numFmtId="0">
      <sharedItems containsBlank="1">
        <s v="icici"/>
        <s v="HDFC Bank "/>
        <m/>
        <s v="IDFC"/>
        <s v="ICICI BANK"/>
        <s v="EASTIN HOTELS AND RESORTS "/>
        <s v="BANDHAN BANK"/>
        <s v="BANK OF BARODA"/>
        <s v="HUNAN CHINESE CUSINE"/>
        <s v="LUCKY MULTI CUISINE RESTAURANT"/>
        <s v="State Bank Of India"/>
        <s v="DCB Bank Limited"/>
        <s v="Indusland Bank"/>
        <s v="ANAND BHAVAN MESS"/>
        <s v="KOTAK MAHINDRA BANK"/>
        <s v="SBI"/>
        <s v="Indian Bank"/>
        <s v="Central Bank Of India"/>
        <s v="AXIS BANK"/>
        <s v="GOOD SPARROW FOODS PRIVATE LIMITED"/>
        <s v="Sambasiva rao kethineni"/>
        <s v="VJ food prenuers"/>
        <s v="IDFC first bank "/>
        <s v="Al saba cafe"/>
        <s v="G HITECH BAWARCHI FOOD COURT"/>
        <s v="Canara Bank"/>
        <s v="Padmavathi Food court"/>
        <s v="Rambabu ji"/>
        <s v="Bulli abbai kodi palau"/>
        <s v="Arukha flavours"/>
        <s v="Arukha flavours "/>
        <s v="Akurha flavours"/>
        <s v="HDFC BANK"/>
        <s v="C DINESH KUMAR"/>
        <s v="INDIAN OVERSEAS "/>
        <s v="HDFC"/>
        <s v="Bullet abbai Kodi palav "/>
        <s v="Padavala ramalakshmi"/>
        <s v="Venu Prakash Gunda"/>
        <s v="Sri Sai Rama tiffins"/>
        <s v="Kanchu muthyam"/>
        <s v="Monica surana"/>
        <s v="Golla kumar"/>
        <s v="Syed shahed"/>
        <s v="Mohammed ghouse"/>
        <s v="Zamin ali"/>
        <s v="Santhakam ruchulu"/>
        <s v="Mohammed zahera begum"/>
        <s v="SHAIK JANBEE"/>
        <s v="Alamideem shawarma"/>
        <s v="Laxmi shailaja sutrave"/>
        <s v="Ichirakur rAmin house"/>
        <s v="Dontham mahesh"/>
        <s v="SBI n 000 1441"/>
        <s v="P srinivasulu "/>
        <s v="P srinivasulu"/>
        <s v="Sekh jani bakas"/>
        <s v="GUNDRA AJAY KUMAR"/>
        <s v="NAIDU FOOD COURT"/>
        <s v="Adarsh bank"/>
        <s v="Union Bank"/>
        <s v="Snaking Cafe private limited"/>
        <s v="Indus bank"/>
        <s v="Rambabu k"/>
        <s v="J manikanth"/>
        <s v="The bakely"/>
        <s v="D Indra "/>
        <s v="D Indira"/>
      </sharedItems>
    </cacheField>
    <cacheField name="Owner Name" numFmtId="0">
      <sharedItems containsBlank="1">
        <s v="jihughyfu"/>
        <s v="Rama Rao"/>
        <m/>
        <s v="SHESHA SAI"/>
        <s v="VENKAT LINGAM"/>
        <s v="NATVA SANTOSH KUMAR"/>
        <s v="VAMSI"/>
        <s v="GM RAGHAVENDRA"/>
        <s v="POKURI PRATHYUSHA"/>
        <s v="ALANKRUTHA RESTAURANT"/>
        <s v="RAVI"/>
        <s v="B RAJA YESHWANTH KUMAR"/>
        <s v="MANSOOR"/>
        <s v="Uttam Kumar"/>
        <s v="Harish Dhas"/>
        <s v="SYED"/>
        <s v="Quddus Hussain"/>
        <s v="B SONI"/>
        <s v="MOHAMMED FEROZ"/>
        <s v="MADAPURAM ANIL KUMAR"/>
        <s v="SHANKAR"/>
        <s v="PRANAY"/>
        <s v="CHALLA TRIVENI"/>
        <s v="M SaiTeja"/>
        <s v="Sai Kumar Goud"/>
        <s v="Kartheek"/>
        <s v="Suryam"/>
        <s v="SUDARSAN NAYAK"/>
        <s v="Ramachandr rao"/>
        <s v="Rama chandhar rao"/>
        <s v="Ramachandra rao"/>
        <s v="KHASIM"/>
        <s v="Ashish kumar"/>
        <s v="Rajesh kethiklneni"/>
        <s v="Sagar"/>
        <s v="Subhash"/>
        <s v="Shiva kumar"/>
        <s v="MOHAMMED ILYAS"/>
        <s v="Faheen"/>
        <s v="Padmavathi"/>
        <s v="SANTHOSH"/>
        <s v="SRI LATHA"/>
        <s v="venkat reddy"/>
        <s v="Arun"/>
        <s v="C DINESH KUMAR"/>
        <s v="TOKALA MAHENDRA REDDY"/>
        <s v="KOTHA ASHOK"/>
      </sharedItems>
    </cacheField>
    <cacheField name="Owner Contact Number">
      <sharedItems containsBlank="1" containsMixedTypes="1" containsNumber="1" containsInteger="1">
        <n v="6.4946165597E10"/>
        <n v="9.030611616E9"/>
        <m/>
        <n v="9.052592437E9"/>
        <n v="8.989873636E9"/>
        <n v="6.302181276E9"/>
        <n v="9.01470785E9"/>
        <n v="9.963968917E9"/>
        <n v="6.301782448E9"/>
        <n v="8.341514984E9"/>
        <n v="7.396735758E9"/>
        <n v="9.705812524E9"/>
        <n v="9.676213874E9"/>
        <n v="9.010022093E9"/>
        <n v="9.9648187E9"/>
        <n v="9.742645678E9"/>
        <n v="9.182466676E9"/>
        <n v="7.097949648E9"/>
        <n v="7.893713995E9"/>
        <n v="7.093742666E9"/>
        <n v="9.963967706E9"/>
        <n v="8.333833299E9"/>
        <n v="9.642897117E9"/>
        <n v="9.030518803E9"/>
        <n v="9.642431013E9"/>
        <n v="9.849995653E9"/>
        <s v="80086 23545"/>
        <n v="8.977709421E9"/>
        <n v="9.849108337E9"/>
        <n v="9.494399656E9"/>
        <n v="9.346342272E9"/>
        <s v="74168 26069‬"/>
        <n v="8.466082222E9"/>
        <n v="9.959223649E9"/>
        <n v="9.177937307E9"/>
        <n v="9.980102334E9"/>
      </sharedItems>
    </cacheField>
    <cacheField name="Owner Email address" numFmtId="0">
      <sharedItems containsBlank="1">
        <s v="jhgyfyf2@GMAIL,COM"/>
        <s v="bhuvanskitchen25@gmail.com"/>
        <m/>
        <s v="BOWLRISE.SRNAGAR@GMAIL.COM"/>
        <s v="nsantosh086@gmail.com"/>
        <s v="info@eastinhotel.com"/>
        <s v="cakash121@gmail.com"/>
        <s v="thehumanspice@gmail.com"/>
        <s v="ya6822534@gmail.com"/>
        <s v="khuddushussian7@gmail.com"/>
        <s v="bidhaniyasony@gmail.com"/>
        <s v="anandbhavanmess@gmail.com"/>
        <s v="SMASHCITY.BK2025@GMAIL.COM"/>
        <s v="brewcommunecafe@gmail.com"/>
        <s v="rebalsaikumargoud@gmail.com"/>
        <s v="veerammagarivantillu@gmail.com"/>
        <s v="hsgsubhamgrand@gmail.com"/>
        <s v="NA"/>
        <s v="bakehousesns@gmail.com"/>
        <s v="mohdilyas13@gmail.com"/>
        <s v="faheen88977@gmail.com"/>
        <s v="PUNJABIJUNCTIONYF@GMAIL.COM"/>
        <s v="srichandrakakarla@gmail.com"/>
        <s v="kothaaashok25@gmail.com"/>
      </sharedItems>
    </cacheField>
    <cacheField name="Legal Entity Name" numFmtId="0">
      <sharedItems containsBlank="1">
        <s v="HVTFUGYFYGJH"/>
        <s v="Bhuvan’s Kitchen"/>
        <m/>
        <s v="INVENCES FOODS"/>
        <s v="AARAV SUNRISE HOSPITALITES"/>
        <s v="NATVA SANTOSH KUMAR"/>
        <s v="ROLO ONE BAKERS"/>
        <s v="POKURI PRATHYUSHA"/>
        <s v="ALANKRUTHA MULTICUSINE RESTAURANT"/>
        <s v="Ravi "/>
        <s v="SHREE BALAJI TIFFIN CENTER"/>
        <s v="LUCKY MULTI CUISINE RESTAURANT"/>
        <s v="BIRYANI N BIRYANI"/>
        <s v="Naseeb Cafe"/>
        <s v="Sri Balaji Family Dhaba"/>
        <s v="Madapuram food court "/>
        <s v="ANAND BHAVAN MESS"/>
        <s v="SMASH CITY"/>
        <s v="BREW COMMUNE CAFE &amp; BISTRO"/>
        <s v="The good sparrow food pvt ltd"/>
        <s v="Good sparrow foods private limited"/>
        <s v="MOHAMMED ILYAS"/>
        <s v="YUMMY FOODS"/>
        <s v="COSTAL KITCHEN"/>
        <s v="C DINESH KUMAR"/>
        <s v="tealogy caf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Follow ups" cacheId="0" dataCaption="" compact="0" compactData="0">
  <location ref="A4:S14" firstHeaderRow="0" firstDataRow="1" firstDataCol="1" rowPageCount="2" colPageCount="1"/>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Type Of Meeting" compact="0" outline="0" multipleItemSelectionAllowed="1" showAll="0">
      <items>
        <item x="0"/>
        <item x="1"/>
        <item x="2"/>
        <item x="3"/>
        <item x="4"/>
        <item t="default"/>
      </items>
    </pivotField>
    <pivotField name="Name of Restaurant ?&#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aily 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ind of Restaurant" compact="0" outline="0" multipleItemSelectionAllowed="1" showAll="0">
      <items>
        <item x="0"/>
        <item x="1"/>
        <item x="2"/>
        <item x="3"/>
        <item x="4"/>
        <item x="5"/>
        <item x="6"/>
        <item x="7"/>
        <item x="8"/>
        <item t="default"/>
      </items>
    </pivotField>
    <pivotField name="Restaurant Live on " compact="0" outline="0" multipleItemSelectionAllowed="1" showAll="0">
      <items>
        <item x="0"/>
        <item x="1"/>
        <item x="2"/>
        <item x="3"/>
        <item x="4"/>
        <item x="5"/>
        <item x="6"/>
        <item x="7"/>
        <item x="8"/>
        <item x="9"/>
        <item x="10"/>
        <item x="11"/>
        <item x="12"/>
        <item x="13"/>
        <item x="14"/>
        <item t="default"/>
      </items>
    </pivotField>
    <pivotField name="Claimed Margins (Competition)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pected Margins (Caps)" compact="0" outline="0" multipleItemSelectionAllowed="1" showAll="0">
      <items>
        <item x="0"/>
        <item x="1"/>
        <item x="2"/>
        <item x="3"/>
        <item x="4"/>
        <item x="5"/>
        <item x="6"/>
        <item x="7"/>
        <item x="8"/>
        <item x="9"/>
        <item x="10"/>
        <item x="11"/>
        <item x="12"/>
        <item x="13"/>
        <item x="14"/>
        <item t="default"/>
      </items>
    </pivotField>
    <pivotField name="No.of Branch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ype of Ownership" compact="0" outline="0" multipleItemSelectionAllowed="1" showAll="0">
      <items>
        <item x="0"/>
        <item x="1"/>
        <item x="2"/>
        <item x="3"/>
        <item x="4"/>
        <item x="5"/>
        <item x="6"/>
        <item x="7"/>
        <item x="8"/>
        <item x="9"/>
        <item x="10"/>
        <item x="11"/>
        <item x="12"/>
        <item x="13"/>
        <item x="14"/>
        <item t="default"/>
      </items>
    </pivotField>
    <pivotField name="GST" compact="0" outline="0" multipleItemSelectionAllowed="1" showAll="0">
      <items>
        <item x="0"/>
        <item x="1"/>
        <item x="2"/>
        <item t="default"/>
      </items>
    </pivotField>
    <pivotField name="FSSAI" compact="0" outline="0" multipleItemSelectionAllowed="1" showAll="0">
      <items>
        <item x="0"/>
        <item x="1"/>
        <item x="2"/>
        <item x="3"/>
        <item t="default"/>
      </items>
    </pivotField>
    <pivotField name="Labour License" compact="0" outline="0" multipleItemSelectionAllowed="1" showAll="0">
      <items>
        <item x="0"/>
        <item x="1"/>
        <item x="2"/>
        <item x="3"/>
        <item t="default"/>
      </items>
    </pivotField>
    <pivotField name="Google Map Business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Name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Contact Number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t="default"/>
      </items>
    </pivotField>
    <pivotField name="Email- ID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Name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ontact Number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mail- ID (POC-2)" compact="0" outline="0" multipleItemSelectionAllowed="1" showAll="0">
      <items>
        <item x="0"/>
        <item x="1"/>
        <item x="2"/>
        <item x="3"/>
        <item x="4"/>
        <item x="5"/>
        <item x="6"/>
        <item x="7"/>
        <item x="8"/>
        <item x="9"/>
        <item x="10"/>
        <item t="default"/>
      </items>
    </pivotField>
    <pivotField name="Do you want to Submit Documents" compact="0" outline="0" multipleItemSelectionAllowed="1" showAll="0">
      <items>
        <item x="0"/>
        <item x="1"/>
        <item x="2"/>
        <item t="default"/>
      </items>
    </pivotField>
    <pivotField name="FSSA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fssai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GS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gs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N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abour License Number" compact="0" outline="0" multipleItemSelectionAllowed="1" showAll="0">
      <items>
        <item x="0"/>
        <item x="1"/>
        <item x="2"/>
        <item x="3"/>
        <item x="4"/>
        <item x="5"/>
        <item x="6"/>
        <item x="7"/>
        <item x="8"/>
        <item x="9"/>
        <item x="10"/>
        <item x="11"/>
        <item x="12"/>
        <item x="13"/>
        <item x="14"/>
        <item x="15"/>
        <item x="16"/>
        <item t="default"/>
      </items>
    </pivotField>
    <pivotField name="labour licens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IFSC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nboarding Done" axis="axisPage" compact="0" outline="0" multipleItemSelectionAllowed="1" showAll="0">
      <items>
        <item x="0"/>
        <item h="1" x="1"/>
        <item x="2"/>
        <item x="3"/>
        <item t="default"/>
      </items>
    </pivotField>
    <pivotField name="Remarks(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Follow Up Meeting Required?" axis="axisPage" compact="0" outline="0" multipleItemSelectionAllowed="1" showAll="0">
      <items>
        <item h="1" x="0"/>
        <item x="1"/>
        <item h="1" x="2"/>
        <item t="default"/>
      </items>
    </pivotField>
    <pivotField name="Meeting agenda for follow 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Meeting Date" axis="axisCol" compact="0" outline="0" multipleItemSelectionAllowed="1" showAll="0" sortType="ascending">
      <items>
        <item h="1" x="0"/>
        <item h="1" x="1"/>
        <item h="1" x="30"/>
        <item h="1" x="3"/>
        <item h="1" x="2"/>
        <item h="1" x="4"/>
        <item h="1" x="10"/>
        <item h="1" x="5"/>
        <item h="1" x="6"/>
        <item h="1" x="8"/>
        <item h="1" x="11"/>
        <item h="1" x="12"/>
        <item h="1" x="14"/>
        <item h="1" x="17"/>
        <item h="1" x="7"/>
        <item h="1" x="15"/>
        <item h="1" x="18"/>
        <item h="1" x="20"/>
        <item h="1" x="13"/>
        <item h="1" x="16"/>
        <item h="1" x="23"/>
        <item h="1" x="21"/>
        <item h="1" x="22"/>
        <item h="1" x="19"/>
        <item h="1" x="26"/>
        <item h="1" x="28"/>
        <item h="1" x="24"/>
        <item h="1" x="9"/>
        <item h="1" x="27"/>
        <item h="1" x="31"/>
        <item h="1" x="32"/>
        <item h="1" x="33"/>
        <item h="1" x="34"/>
        <item h="1" x="36"/>
        <item h="1" x="35"/>
        <item h="1" x="37"/>
        <item h="1" x="38"/>
        <item h="1" x="41"/>
        <item h="1" x="39"/>
        <item h="1" x="40"/>
        <item h="1" x="43"/>
        <item h="1" x="45"/>
        <item h="1" x="29"/>
        <item h="1" x="46"/>
        <item h="1" x="44"/>
        <item h="1" x="47"/>
        <item h="1" x="42"/>
        <item h="1" x="25"/>
        <item t="default"/>
      </items>
    </pivotField>
    <pivotField name="Meeting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mail address" axis="axisRow" dataField="1" compact="0" outline="0" multipleItemSelectionAllowed="1" showAll="0" sortType="ascending">
      <items>
        <item x="0"/>
        <item x="10"/>
        <item x="12"/>
        <item x="15"/>
        <item x="9"/>
        <item x="4"/>
        <item x="8"/>
        <item x="11"/>
        <item x="2"/>
        <item x="13"/>
        <item x="14"/>
        <item x="6"/>
        <item x="7"/>
        <item x="5"/>
        <item x="16"/>
        <item x="3"/>
        <item x="1"/>
        <item t="default"/>
      </items>
    </pivotField>
    <pivotField name="Cold Walk/ Scheduled" compact="0" outline="0" multipleItemSelectionAllowed="1" showAll="0">
      <items>
        <item x="0"/>
        <item x="1"/>
        <item x="2"/>
        <item t="default"/>
      </items>
    </pivotField>
    <pivotField name="POC Available" compact="0" outline="0" multipleItemSelectionAllowed="1" showAll="0">
      <items>
        <item x="0"/>
        <item x="1"/>
        <item x="2"/>
        <item t="default"/>
      </items>
    </pivotField>
    <pivotField name="Manager Name" compact="0" outline="0" multipleItemSelectionAllowed="1" showAll="0">
      <items>
        <item x="0"/>
        <item x="1"/>
        <item t="default"/>
      </items>
    </pivotField>
    <pivotField name="Manager Contact Details" compact="0" outline="0" multipleItemSelectionAllowed="1" showAll="0">
      <items>
        <item x="0"/>
        <item t="default"/>
      </items>
    </pivotField>
    <pivotField name="Manager Email ID" compact="0" outline="0" multipleItemSelectionAllowed="1" showAll="0">
      <items>
        <item x="0"/>
        <item t="default"/>
      </items>
    </pivotField>
    <pivotField name="Manager Contact Number" compact="0" outline="0" multipleItemSelectionAllowed="1" showAll="0">
      <items>
        <item x="0"/>
        <item x="1"/>
        <item t="default"/>
      </items>
    </pivotField>
    <pivotField name="manager email id2" compact="0" outline="0" multipleItemSelectionAllowed="1" showAll="0">
      <items>
        <item x="0"/>
        <item x="1"/>
        <item t="default"/>
      </items>
    </pivotField>
    <pivotField name="Caps Magin %" compact="0" outline="0" multipleItemSelectionAllowed="1" showAll="0">
      <items>
        <item x="0"/>
        <item x="1"/>
        <item x="2"/>
        <item x="3"/>
        <item x="4"/>
        <item x="5"/>
        <item x="6"/>
        <item x="7"/>
        <item x="8"/>
        <item x="9"/>
        <item x="10"/>
        <item x="11"/>
        <item x="12"/>
        <item x="13"/>
        <item x="14"/>
        <item t="default"/>
      </items>
    </pivotField>
    <pivotField name="Additional 2% Distance Margin " compact="0" outline="0" multipleItemSelectionAllowed="1" showAll="0">
      <items>
        <item x="0"/>
        <item x="1"/>
        <item x="2"/>
        <item t="default"/>
      </items>
    </pivotField>
    <pivotField name="Restaurant Open Time" compact="0" outline="0" multipleItemSelectionAllowed="1" showAll="0">
      <items>
        <item x="0"/>
        <item x="1"/>
        <item x="2"/>
        <item x="3"/>
        <item x="4"/>
        <item x="5"/>
        <item x="6"/>
        <item x="7"/>
        <item x="8"/>
        <item x="9"/>
        <item x="10"/>
        <item x="11"/>
        <item x="12"/>
        <item x="13"/>
        <item x="14"/>
        <item x="15"/>
        <item x="16"/>
        <item t="default"/>
      </items>
    </pivotField>
    <pivotField name="Restaurant Close Time" compact="0" outline="0" multipleItemSelectionAllowed="1" showAll="0">
      <items>
        <item x="0"/>
        <item x="1"/>
        <item x="2"/>
        <item x="3"/>
        <item x="4"/>
        <item x="5"/>
        <item x="6"/>
        <item x="7"/>
        <item x="8"/>
        <item x="9"/>
        <item x="10"/>
        <item x="11"/>
        <item x="12"/>
        <item x="13"/>
        <item x="14"/>
        <item x="15"/>
        <item x="16"/>
        <item x="17"/>
        <item x="18"/>
        <item t="default"/>
      </items>
    </pivotField>
    <pivotField name="Daily Online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staurant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Clust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ame of Restaurant Walk" compact="0" outline="0" multipleItemSelectionAllowed="1" showAll="0">
      <items>
        <item x="0"/>
        <item t="default"/>
      </items>
    </pivotField>
    <pivotField name="Name of 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t="default"/>
      </items>
    </pivotField>
    <pivotField name="Name of Ra" compact="0" outline="0" multipleItemSelectionAllowed="1" showAll="0">
      <items>
        <item x="0"/>
        <item t="default"/>
      </items>
    </pivotField>
    <pivotField name="Restaurant Name Con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t="default"/>
      </items>
    </pivotField>
  </pivotFields>
  <rowFields>
    <field x="51"/>
  </rowFields>
  <colFields>
    <field x="49"/>
  </colFields>
  <pageFields>
    <pageField fld="46"/>
    <pageField fld="44"/>
  </pageFields>
  <dataFields>
    <dataField name="chanakya.inugala@capsdelivery.com" fld="51" subtotal="count" baseField="0"/>
  </dataFields>
</pivotTableDefinition>
</file>

<file path=xl/pivotTables/pivotTable2.xml><?xml version="1.0" encoding="utf-8"?>
<pivotTableDefinition xmlns="http://schemas.openxmlformats.org/spreadsheetml/2006/main" name="Follow ups 2" cacheId="0" dataCaption="" compact="0" compactData="0">
  <location ref="A17:H34" firstHeaderRow="0" firstDataRow="1" firstDataCol="1" rowPageCount="3" colPageCount="1"/>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t="default"/>
      </items>
    </pivotField>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Type Of Meeting" compact="0" outline="0" multipleItemSelectionAllowed="1" showAll="0">
      <items>
        <item x="0"/>
        <item x="1"/>
        <item x="2"/>
        <item x="3"/>
        <item x="4"/>
        <item t="default"/>
      </items>
    </pivotField>
    <pivotField name="Name of Restaurant ?&#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aily 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ind of Restaurant" axis="axisCol" compact="0" outline="0" multipleItemSelectionAllowed="1" showAll="0" sortType="ascending">
      <items>
        <item x="0"/>
        <item x="5"/>
        <item x="4"/>
        <item x="6"/>
        <item x="7"/>
        <item x="8"/>
        <item x="2"/>
        <item x="1"/>
        <item x="3"/>
        <item t="default"/>
      </items>
    </pivotField>
    <pivotField name="Restaurant Live on " compact="0" outline="0" multipleItemSelectionAllowed="1" showAll="0">
      <items>
        <item x="0"/>
        <item x="1"/>
        <item x="2"/>
        <item x="3"/>
        <item x="4"/>
        <item x="5"/>
        <item x="6"/>
        <item x="7"/>
        <item x="8"/>
        <item x="9"/>
        <item x="10"/>
        <item x="11"/>
        <item x="12"/>
        <item x="13"/>
        <item x="14"/>
        <item t="default"/>
      </items>
    </pivotField>
    <pivotField name="Claimed Margins (Competition)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pected Margins (Caps)" compact="0" outline="0" multipleItemSelectionAllowed="1" showAll="0">
      <items>
        <item x="0"/>
        <item x="1"/>
        <item x="2"/>
        <item x="3"/>
        <item x="4"/>
        <item x="5"/>
        <item x="6"/>
        <item x="7"/>
        <item x="8"/>
        <item x="9"/>
        <item x="10"/>
        <item x="11"/>
        <item x="12"/>
        <item x="13"/>
        <item x="14"/>
        <item t="default"/>
      </items>
    </pivotField>
    <pivotField name="No.of Branch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ype of Ownership" compact="0" outline="0" multipleItemSelectionAllowed="1" showAll="0">
      <items>
        <item x="0"/>
        <item x="1"/>
        <item x="2"/>
        <item x="3"/>
        <item x="4"/>
        <item x="5"/>
        <item x="6"/>
        <item x="7"/>
        <item x="8"/>
        <item x="9"/>
        <item x="10"/>
        <item x="11"/>
        <item x="12"/>
        <item x="13"/>
        <item x="14"/>
        <item t="default"/>
      </items>
    </pivotField>
    <pivotField name="GST" compact="0" outline="0" multipleItemSelectionAllowed="1" showAll="0">
      <items>
        <item x="0"/>
        <item x="1"/>
        <item x="2"/>
        <item t="default"/>
      </items>
    </pivotField>
    <pivotField name="FSSAI" compact="0" outline="0" multipleItemSelectionAllowed="1" showAll="0">
      <items>
        <item x="0"/>
        <item x="1"/>
        <item x="2"/>
        <item x="3"/>
        <item t="default"/>
      </items>
    </pivotField>
    <pivotField name="Labour License" compact="0" outline="0" multipleItemSelectionAllowed="1" showAll="0">
      <items>
        <item x="0"/>
        <item x="1"/>
        <item x="2"/>
        <item x="3"/>
        <item t="default"/>
      </items>
    </pivotField>
    <pivotField name="Google Map Business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Name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Contact Number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t="default"/>
      </items>
    </pivotField>
    <pivotField name="Email- ID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Name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ontact Number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mail- ID (POC-2)" compact="0" outline="0" multipleItemSelectionAllowed="1" showAll="0">
      <items>
        <item x="0"/>
        <item x="1"/>
        <item x="2"/>
        <item x="3"/>
        <item x="4"/>
        <item x="5"/>
        <item x="6"/>
        <item x="7"/>
        <item x="8"/>
        <item x="9"/>
        <item x="10"/>
        <item t="default"/>
      </items>
    </pivotField>
    <pivotField name="Do you want to Submit Documents" compact="0" outline="0" multipleItemSelectionAllowed="1" showAll="0">
      <items>
        <item x="0"/>
        <item x="1"/>
        <item x="2"/>
        <item t="default"/>
      </items>
    </pivotField>
    <pivotField name="FSSA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fssai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GS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gs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N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abour License Number" compact="0" outline="0" multipleItemSelectionAllowed="1" showAll="0">
      <items>
        <item x="0"/>
        <item x="1"/>
        <item x="2"/>
        <item x="3"/>
        <item x="4"/>
        <item x="5"/>
        <item x="6"/>
        <item x="7"/>
        <item x="8"/>
        <item x="9"/>
        <item x="10"/>
        <item x="11"/>
        <item x="12"/>
        <item x="13"/>
        <item x="14"/>
        <item x="15"/>
        <item x="16"/>
        <item t="default"/>
      </items>
    </pivotField>
    <pivotField name="labour licens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IFSC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nboarding Done" axis="axisPage" compact="0" outline="0" multipleItemSelectionAllowed="1" showAll="0">
      <items>
        <item x="0"/>
        <item h="1" x="1"/>
        <item x="2"/>
        <item x="3"/>
        <item t="default"/>
      </items>
    </pivotField>
    <pivotField name="Remarks(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Follow Up Meeting Required?" axis="axisPage" compact="0" outline="0" multipleItemSelectionAllowed="1" showAll="0">
      <items>
        <item h="1" x="0"/>
        <item x="1"/>
        <item h="1" x="2"/>
        <item t="default"/>
      </items>
    </pivotField>
    <pivotField name="Meeting agenda for follow 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Meeting Date" axis="axisPage" compact="0" outline="0" multipleItemSelectionAllowed="1" showAll="0">
      <items>
        <item x="0"/>
        <item h="1" x="1"/>
        <item h="1" x="2"/>
        <item h="1" x="3"/>
        <item h="1" x="4"/>
        <item h="1" x="5"/>
        <item h="1" x="6"/>
        <item h="1" x="7"/>
        <item h="1" x="8"/>
        <item h="1" x="9"/>
        <item h="1" x="10"/>
        <item h="1" x="11"/>
        <item h="1" x="12"/>
        <item h="1" x="13"/>
        <item h="1" x="14"/>
        <item h="1" x="15"/>
        <item h="1" x="16"/>
        <item h="1" x="17"/>
        <item h="1" x="18"/>
        <item h="1" x="19"/>
        <item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t="default"/>
      </items>
    </pivotField>
    <pivotField name="Meeting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mail address" axis="axisRow" dataField="1" compact="0" outline="0" multipleItemSelectionAllowed="1" showAll="0" sortType="ascending">
      <items>
        <item x="0"/>
        <item x="10"/>
        <item x="12"/>
        <item x="15"/>
        <item x="9"/>
        <item x="4"/>
        <item x="8"/>
        <item x="11"/>
        <item x="2"/>
        <item x="13"/>
        <item x="14"/>
        <item x="6"/>
        <item x="7"/>
        <item x="5"/>
        <item x="16"/>
        <item x="3"/>
        <item x="1"/>
        <item t="default"/>
      </items>
    </pivotField>
    <pivotField name="Cold Walk/ Scheduled" compact="0" outline="0" multipleItemSelectionAllowed="1" showAll="0">
      <items>
        <item x="0"/>
        <item x="1"/>
        <item x="2"/>
        <item t="default"/>
      </items>
    </pivotField>
    <pivotField name="POC Available" compact="0" outline="0" multipleItemSelectionAllowed="1" showAll="0">
      <items>
        <item x="0"/>
        <item x="1"/>
        <item x="2"/>
        <item t="default"/>
      </items>
    </pivotField>
    <pivotField name="Manager Name" compact="0" outline="0" multipleItemSelectionAllowed="1" showAll="0">
      <items>
        <item x="0"/>
        <item x="1"/>
        <item t="default"/>
      </items>
    </pivotField>
    <pivotField name="Manager Contact Details" compact="0" outline="0" multipleItemSelectionAllowed="1" showAll="0">
      <items>
        <item x="0"/>
        <item t="default"/>
      </items>
    </pivotField>
    <pivotField name="Manager Email ID" compact="0" outline="0" multipleItemSelectionAllowed="1" showAll="0">
      <items>
        <item x="0"/>
        <item t="default"/>
      </items>
    </pivotField>
    <pivotField name="Manager Contact Number" compact="0" outline="0" multipleItemSelectionAllowed="1" showAll="0">
      <items>
        <item x="0"/>
        <item x="1"/>
        <item t="default"/>
      </items>
    </pivotField>
    <pivotField name="manager email id2" compact="0" outline="0" multipleItemSelectionAllowed="1" showAll="0">
      <items>
        <item x="0"/>
        <item x="1"/>
        <item t="default"/>
      </items>
    </pivotField>
    <pivotField name="Caps Magin %" compact="0" outline="0" multipleItemSelectionAllowed="1" showAll="0">
      <items>
        <item x="0"/>
        <item x="1"/>
        <item x="2"/>
        <item x="3"/>
        <item x="4"/>
        <item x="5"/>
        <item x="6"/>
        <item x="7"/>
        <item x="8"/>
        <item x="9"/>
        <item x="10"/>
        <item x="11"/>
        <item x="12"/>
        <item x="13"/>
        <item x="14"/>
        <item t="default"/>
      </items>
    </pivotField>
    <pivotField name="Additional 2% Distance Margin " compact="0" outline="0" multipleItemSelectionAllowed="1" showAll="0">
      <items>
        <item x="0"/>
        <item x="1"/>
        <item x="2"/>
        <item t="default"/>
      </items>
    </pivotField>
    <pivotField name="Restaurant Open Time" compact="0" outline="0" multipleItemSelectionAllowed="1" showAll="0">
      <items>
        <item x="0"/>
        <item x="1"/>
        <item x="2"/>
        <item x="3"/>
        <item x="4"/>
        <item x="5"/>
        <item x="6"/>
        <item x="7"/>
        <item x="8"/>
        <item x="9"/>
        <item x="10"/>
        <item x="11"/>
        <item x="12"/>
        <item x="13"/>
        <item x="14"/>
        <item x="15"/>
        <item x="16"/>
        <item t="default"/>
      </items>
    </pivotField>
    <pivotField name="Restaurant Close Time" compact="0" outline="0" multipleItemSelectionAllowed="1" showAll="0">
      <items>
        <item x="0"/>
        <item x="1"/>
        <item x="2"/>
        <item x="3"/>
        <item x="4"/>
        <item x="5"/>
        <item x="6"/>
        <item x="7"/>
        <item x="8"/>
        <item x="9"/>
        <item x="10"/>
        <item x="11"/>
        <item x="12"/>
        <item x="13"/>
        <item x="14"/>
        <item x="15"/>
        <item x="16"/>
        <item x="17"/>
        <item x="18"/>
        <item t="default"/>
      </items>
    </pivotField>
    <pivotField name="Daily Online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staurant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Clust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ame of Restaurant Walk" compact="0" outline="0" multipleItemSelectionAllowed="1" showAll="0">
      <items>
        <item x="0"/>
        <item t="default"/>
      </items>
    </pivotField>
    <pivotField name="Name of 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t="default"/>
      </items>
    </pivotField>
    <pivotField name="Name of Ra" compact="0" outline="0" multipleItemSelectionAllowed="1" showAll="0">
      <items>
        <item x="0"/>
        <item t="default"/>
      </items>
    </pivotField>
    <pivotField name="Restaurant Name Con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t="default"/>
      </items>
    </pivotField>
  </pivotFields>
  <rowFields>
    <field x="51"/>
  </rowFields>
  <colFields>
    <field x="9"/>
  </colFields>
  <pageFields>
    <pageField fld="46"/>
    <pageField fld="49"/>
    <pageField fld="44"/>
  </pageFields>
  <dataFields>
    <dataField name="chanakya.inugala@capsdelivery.com" fld="51" subtotal="count" baseField="0"/>
  </dataFields>
</pivotTableDefinition>
</file>

<file path=xl/pivotTables/pivotTable3.xml><?xml version="1.0" encoding="utf-8"?>
<pivotTableDefinition xmlns="http://schemas.openxmlformats.org/spreadsheetml/2006/main" name="Pivot Table 14" cacheId="1" dataCaption="" compact="0" compactData="0">
  <location ref="A1:AO13" firstHeaderRow="0" firstDataRow="1" firstDataCol="1"/>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t="default"/>
      </items>
    </pivotField>
    <pivotField name="Date" axis="axisCol" dataField="1" compact="0" outline="0" multipleItemSelectionAllowed="1" showAll="0" sortType="ascending">
      <items>
        <item x="0"/>
        <item h="1" x="18"/>
        <item h="1" x="23"/>
        <item h="1" x="1"/>
        <item h="1" x="11"/>
        <item h="1" x="3"/>
        <item h="1" x="2"/>
        <item h="1" x="4"/>
        <item h="1" x="5"/>
        <item h="1" x="7"/>
        <item h="1" x="12"/>
        <item h="1" x="8"/>
        <item h="1" x="9"/>
        <item h="1" x="10"/>
        <item h="1" x="13"/>
        <item h="1" x="14"/>
        <item h="1" x="17"/>
        <item h="1" x="16"/>
        <item h="1" x="20"/>
        <item h="1" x="21"/>
        <item h="1" x="15"/>
        <item h="1" x="22"/>
        <item h="1" x="24"/>
        <item h="1" x="25"/>
        <item h="1" x="26"/>
        <item h="1" x="19"/>
        <item h="1" x="28"/>
        <item h="1" x="29"/>
        <item h="1" x="31"/>
        <item h="1" x="32"/>
        <item h="1" x="33"/>
        <item h="1" x="34"/>
        <item h="1" x="35"/>
        <item h="1" x="36"/>
        <item h="1" x="37"/>
        <item h="1" x="38"/>
        <item h="1" x="39"/>
        <item h="1" x="40"/>
        <item h="1" x="41"/>
        <item h="1" x="42"/>
        <item h="1" x="30"/>
        <item h="1" x="27"/>
        <item h="1" x="6"/>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Type Of Meeting" compact="0" outline="0" multipleItemSelectionAllowed="1" showAll="0">
      <items>
        <item x="0"/>
        <item x="1"/>
        <item x="2"/>
        <item x="3"/>
        <item x="4"/>
        <item t="default"/>
      </items>
    </pivotField>
    <pivotField name="Name of Restaurant ?&#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aily 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ind of Restaurant" compact="0" outline="0" multipleItemSelectionAllowed="1" showAll="0">
      <items>
        <item x="0"/>
        <item x="1"/>
        <item x="2"/>
        <item x="3"/>
        <item x="4"/>
        <item x="5"/>
        <item x="6"/>
        <item x="7"/>
        <item x="8"/>
        <item t="default"/>
      </items>
    </pivotField>
    <pivotField name="Restaurant Live on " compact="0" outline="0" multipleItemSelectionAllowed="1" showAll="0">
      <items>
        <item x="0"/>
        <item x="1"/>
        <item x="2"/>
        <item x="3"/>
        <item x="4"/>
        <item x="5"/>
        <item x="6"/>
        <item x="7"/>
        <item x="8"/>
        <item x="9"/>
        <item x="10"/>
        <item x="11"/>
        <item x="12"/>
        <item x="13"/>
        <item x="14"/>
        <item t="default"/>
      </items>
    </pivotField>
    <pivotField name="Claimed Margins (Competition)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pected Margins (Caps)" compact="0" outline="0" multipleItemSelectionAllowed="1" showAll="0">
      <items>
        <item x="0"/>
        <item x="1"/>
        <item x="2"/>
        <item x="3"/>
        <item x="4"/>
        <item x="5"/>
        <item x="6"/>
        <item x="7"/>
        <item x="8"/>
        <item x="9"/>
        <item x="10"/>
        <item x="11"/>
        <item x="12"/>
        <item x="13"/>
        <item x="14"/>
        <item t="default"/>
      </items>
    </pivotField>
    <pivotField name="No.of Branch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ype of Ownership" compact="0" outline="0" multipleItemSelectionAllowed="1" showAll="0">
      <items>
        <item x="0"/>
        <item x="1"/>
        <item x="2"/>
        <item x="3"/>
        <item x="4"/>
        <item x="5"/>
        <item x="6"/>
        <item x="7"/>
        <item x="8"/>
        <item x="9"/>
        <item x="10"/>
        <item x="11"/>
        <item x="12"/>
        <item x="13"/>
        <item x="14"/>
        <item t="default"/>
      </items>
    </pivotField>
    <pivotField name="GST" compact="0" outline="0" multipleItemSelectionAllowed="1" showAll="0">
      <items>
        <item x="0"/>
        <item x="1"/>
        <item x="2"/>
        <item t="default"/>
      </items>
    </pivotField>
    <pivotField name="FSSAI" compact="0" outline="0" multipleItemSelectionAllowed="1" showAll="0">
      <items>
        <item x="0"/>
        <item x="1"/>
        <item x="2"/>
        <item x="3"/>
        <item t="default"/>
      </items>
    </pivotField>
    <pivotField name="Labour License" compact="0" outline="0" multipleItemSelectionAllowed="1" showAll="0">
      <items>
        <item x="0"/>
        <item x="1"/>
        <item x="2"/>
        <item x="3"/>
        <item t="default"/>
      </items>
    </pivotField>
    <pivotField name="Google Map Business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Name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Contact Number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t="default"/>
      </items>
    </pivotField>
    <pivotField name="Email- ID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Name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ontact Number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mail- ID (POC-2)" compact="0" outline="0" multipleItemSelectionAllowed="1" showAll="0">
      <items>
        <item x="0"/>
        <item x="1"/>
        <item x="2"/>
        <item x="3"/>
        <item x="4"/>
        <item x="5"/>
        <item x="6"/>
        <item x="7"/>
        <item x="8"/>
        <item x="9"/>
        <item x="10"/>
        <item t="default"/>
      </items>
    </pivotField>
    <pivotField name="Do you want to Submit Documents" compact="0" outline="0" multipleItemSelectionAllowed="1" showAll="0">
      <items>
        <item x="0"/>
        <item x="1"/>
        <item x="2"/>
        <item t="default"/>
      </items>
    </pivotField>
    <pivotField name="FSSA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fssai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GS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gs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N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abour License Number" compact="0" outline="0" multipleItemSelectionAllowed="1" showAll="0">
      <items>
        <item x="0"/>
        <item x="1"/>
        <item x="2"/>
        <item x="3"/>
        <item x="4"/>
        <item x="5"/>
        <item x="6"/>
        <item x="7"/>
        <item x="8"/>
        <item x="9"/>
        <item x="10"/>
        <item x="11"/>
        <item x="12"/>
        <item x="13"/>
        <item x="14"/>
        <item x="15"/>
        <item x="16"/>
        <item t="default"/>
      </items>
    </pivotField>
    <pivotField name="labour licens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IFSC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nboarding Done" compact="0" outline="0" multipleItemSelectionAllowed="1" showAll="0">
      <items>
        <item x="0"/>
        <item x="1"/>
        <item x="2"/>
        <item x="3"/>
        <item t="default"/>
      </items>
    </pivotField>
    <pivotField name="Remarks(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Follow Up Meeting Required?" compact="0" outline="0" multipleItemSelectionAllowed="1" showAll="0">
      <items>
        <item x="0"/>
        <item x="1"/>
        <item x="2"/>
        <item t="default"/>
      </items>
    </pivotField>
    <pivotField name="Meeting agenda for follow 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Meeting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eting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mail address" axis="axisRow" compact="0" outline="0" multipleItemSelectionAllowed="1" showAll="0" sortType="ascending">
      <items>
        <item h="1" x="0"/>
        <item h="1" x="10"/>
        <item h="1" x="12"/>
        <item x="15"/>
        <item x="9"/>
        <item x="4"/>
        <item x="8"/>
        <item x="11"/>
        <item x="2"/>
        <item h="1" x="13"/>
        <item h="1" x="14"/>
        <item x="6"/>
        <item x="7"/>
        <item x="5"/>
        <item x="16"/>
        <item h="1" x="3"/>
        <item h="1" x="1"/>
        <item t="default"/>
      </items>
    </pivotField>
    <pivotField name="Cold Walk/ Scheduled" compact="0" outline="0" multipleItemSelectionAllowed="1" showAll="0">
      <items>
        <item x="0"/>
        <item x="1"/>
        <item x="2"/>
        <item t="default"/>
      </items>
    </pivotField>
    <pivotField name="POC Available" compact="0" outline="0" multipleItemSelectionAllowed="1" showAll="0">
      <items>
        <item x="0"/>
        <item x="1"/>
        <item x="2"/>
        <item t="default"/>
      </items>
    </pivotField>
    <pivotField name="Manager Name" compact="0" outline="0" multipleItemSelectionAllowed="1" showAll="0">
      <items>
        <item x="0"/>
        <item x="1"/>
        <item t="default"/>
      </items>
    </pivotField>
    <pivotField name="Manager Contact Details" compact="0" outline="0" multipleItemSelectionAllowed="1" showAll="0">
      <items>
        <item x="0"/>
        <item t="default"/>
      </items>
    </pivotField>
    <pivotField name="Manager Email ID" compact="0" outline="0" multipleItemSelectionAllowed="1" showAll="0">
      <items>
        <item x="0"/>
        <item t="default"/>
      </items>
    </pivotField>
    <pivotField name="Manager Contact Number" compact="0" outline="0" multipleItemSelectionAllowed="1" showAll="0">
      <items>
        <item x="0"/>
        <item x="1"/>
        <item t="default"/>
      </items>
    </pivotField>
    <pivotField name="manager email id2" compact="0" outline="0" multipleItemSelectionAllowed="1" showAll="0">
      <items>
        <item x="0"/>
        <item x="1"/>
        <item t="default"/>
      </items>
    </pivotField>
    <pivotField name="Caps Magin %" compact="0" outline="0" multipleItemSelectionAllowed="1" showAll="0">
      <items>
        <item x="0"/>
        <item x="1"/>
        <item x="2"/>
        <item x="3"/>
        <item x="4"/>
        <item x="5"/>
        <item x="6"/>
        <item x="7"/>
        <item x="8"/>
        <item x="9"/>
        <item x="10"/>
        <item x="11"/>
        <item x="12"/>
        <item x="13"/>
        <item x="14"/>
        <item t="default"/>
      </items>
    </pivotField>
    <pivotField name="Additional 2% Distance Margin " compact="0" outline="0" multipleItemSelectionAllowed="1" showAll="0">
      <items>
        <item x="0"/>
        <item x="1"/>
        <item x="2"/>
        <item t="default"/>
      </items>
    </pivotField>
    <pivotField name="Restaurant Open Time" compact="0" outline="0" multipleItemSelectionAllowed="1" showAll="0">
      <items>
        <item x="0"/>
        <item x="1"/>
        <item x="2"/>
        <item x="3"/>
        <item x="4"/>
        <item x="5"/>
        <item x="6"/>
        <item x="7"/>
        <item x="8"/>
        <item x="9"/>
        <item x="10"/>
        <item x="11"/>
        <item x="12"/>
        <item x="13"/>
        <item x="14"/>
        <item x="15"/>
        <item x="16"/>
        <item t="default"/>
      </items>
    </pivotField>
    <pivotField name="Restaurant Close Time" compact="0" outline="0" multipleItemSelectionAllowed="1" showAll="0">
      <items>
        <item x="0"/>
        <item x="1"/>
        <item x="2"/>
        <item x="3"/>
        <item x="4"/>
        <item x="5"/>
        <item x="6"/>
        <item x="7"/>
        <item x="8"/>
        <item x="9"/>
        <item x="10"/>
        <item x="11"/>
        <item x="12"/>
        <item x="13"/>
        <item x="14"/>
        <item x="15"/>
        <item x="16"/>
        <item x="17"/>
        <item x="18"/>
        <item t="default"/>
      </items>
    </pivotField>
    <pivotField name="Daily Online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staurant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Clust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ame of Restaurant Walk" compact="0" outline="0" multipleItemSelectionAllowed="1" showAll="0">
      <items>
        <item x="0"/>
        <item t="default"/>
      </items>
    </pivotField>
    <pivotField name="Name of 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t="default"/>
      </items>
    </pivotField>
    <pivotField name="Name of Ra" compact="0" outline="0" multipleItemSelectionAllowed="1" showAll="0">
      <items>
        <item x="0"/>
        <item t="default"/>
      </items>
    </pivotField>
    <pivotField name="Restaurant Name Con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51"/>
  </rowFields>
  <colFields>
    <field x="1"/>
  </colFields>
  <dataFields>
    <dataField name="COUNTA of Date" fld="1" subtotal="count" baseField="0"/>
  </dataFields>
</pivotTableDefinition>
</file>

<file path=xl/pivotTables/pivotTable4.xml><?xml version="1.0" encoding="utf-8"?>
<pivotTableDefinition xmlns="http://schemas.openxmlformats.org/spreadsheetml/2006/main" name="Visit New" cacheId="0" dataCaption="" compact="0" compactData="0">
  <location ref="A1:N12" firstHeaderRow="0" firstDataRow="1" firstDataCol="1"/>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t="default"/>
      </items>
    </pivotField>
    <pivotField name="Date" axis="axisCol" dataField="1" compact="0" outline="0" multipleItemSelectionAllowed="1" showAll="0" sortType="ascending">
      <items>
        <item h="1" x="0"/>
        <item h="1" x="18"/>
        <item h="1" x="23"/>
        <item h="1" x="1"/>
        <item h="1" x="11"/>
        <item h="1" x="3"/>
        <item h="1" x="2"/>
        <item h="1" x="4"/>
        <item h="1" x="5"/>
        <item h="1" x="7"/>
        <item h="1" x="12"/>
        <item h="1" x="8"/>
        <item h="1" x="9"/>
        <item h="1" x="10"/>
        <item h="1" x="13"/>
        <item h="1" x="14"/>
        <item h="1" x="17"/>
        <item h="1" x="16"/>
        <item h="1" x="20"/>
        <item h="1" x="21"/>
        <item h="1" x="15"/>
        <item h="1" x="22"/>
        <item h="1" x="24"/>
        <item h="1" x="25"/>
        <item h="1" x="26"/>
        <item h="1" x="19"/>
        <item h="1" x="28"/>
        <item h="1" x="29"/>
        <item h="1" x="31"/>
        <item h="1" x="32"/>
        <item h="1" x="33"/>
        <item h="1" x="34"/>
        <item h="1" x="35"/>
        <item h="1" x="36"/>
        <item h="1" x="37"/>
        <item h="1" x="38"/>
        <item h="1" x="39"/>
        <item h="1" x="40"/>
        <item h="1" x="41"/>
        <item h="1" x="42"/>
        <item h="1" x="30"/>
        <item h="1" x="27"/>
        <item h="1" x="6"/>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Type Of Meeting" compact="0" outline="0" multipleItemSelectionAllowed="1" showAll="0">
      <items>
        <item x="0"/>
        <item x="1"/>
        <item x="2"/>
        <item x="3"/>
        <item x="4"/>
        <item t="default"/>
      </items>
    </pivotField>
    <pivotField name="Name of Restaurant ?&#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aily 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ind of Restaurant" compact="0" outline="0" multipleItemSelectionAllowed="1" showAll="0">
      <items>
        <item x="0"/>
        <item x="1"/>
        <item x="2"/>
        <item x="3"/>
        <item x="4"/>
        <item x="5"/>
        <item x="6"/>
        <item x="7"/>
        <item x="8"/>
        <item t="default"/>
      </items>
    </pivotField>
    <pivotField name="Restaurant Live on " compact="0" outline="0" multipleItemSelectionAllowed="1" showAll="0">
      <items>
        <item x="0"/>
        <item x="1"/>
        <item x="2"/>
        <item x="3"/>
        <item x="4"/>
        <item x="5"/>
        <item x="6"/>
        <item x="7"/>
        <item x="8"/>
        <item x="9"/>
        <item x="10"/>
        <item x="11"/>
        <item x="12"/>
        <item x="13"/>
        <item x="14"/>
        <item t="default"/>
      </items>
    </pivotField>
    <pivotField name="Claimed Margins (Competition)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pected Margins (Caps)" compact="0" outline="0" multipleItemSelectionAllowed="1" showAll="0">
      <items>
        <item x="0"/>
        <item x="1"/>
        <item x="2"/>
        <item x="3"/>
        <item x="4"/>
        <item x="5"/>
        <item x="6"/>
        <item x="7"/>
        <item x="8"/>
        <item x="9"/>
        <item x="10"/>
        <item x="11"/>
        <item x="12"/>
        <item x="13"/>
        <item x="14"/>
        <item t="default"/>
      </items>
    </pivotField>
    <pivotField name="No.of Branch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ype of Ownership" compact="0" outline="0" multipleItemSelectionAllowed="1" showAll="0">
      <items>
        <item x="0"/>
        <item x="1"/>
        <item x="2"/>
        <item x="3"/>
        <item x="4"/>
        <item x="5"/>
        <item x="6"/>
        <item x="7"/>
        <item x="8"/>
        <item x="9"/>
        <item x="10"/>
        <item x="11"/>
        <item x="12"/>
        <item x="13"/>
        <item x="14"/>
        <item t="default"/>
      </items>
    </pivotField>
    <pivotField name="GST" compact="0" outline="0" multipleItemSelectionAllowed="1" showAll="0">
      <items>
        <item x="0"/>
        <item x="1"/>
        <item x="2"/>
        <item t="default"/>
      </items>
    </pivotField>
    <pivotField name="FSSAI" compact="0" outline="0" multipleItemSelectionAllowed="1" showAll="0">
      <items>
        <item x="0"/>
        <item x="1"/>
        <item x="2"/>
        <item x="3"/>
        <item t="default"/>
      </items>
    </pivotField>
    <pivotField name="Labour License" compact="0" outline="0" multipleItemSelectionAllowed="1" showAll="0">
      <items>
        <item x="0"/>
        <item x="1"/>
        <item x="2"/>
        <item x="3"/>
        <item t="default"/>
      </items>
    </pivotField>
    <pivotField name="Google Map Business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Name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Contact Number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t="default"/>
      </items>
    </pivotField>
    <pivotField name="Email- ID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Name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ontact Number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mail- ID (POC-2)" compact="0" outline="0" multipleItemSelectionAllowed="1" showAll="0">
      <items>
        <item x="0"/>
        <item x="1"/>
        <item x="2"/>
        <item x="3"/>
        <item x="4"/>
        <item x="5"/>
        <item x="6"/>
        <item x="7"/>
        <item x="8"/>
        <item x="9"/>
        <item x="10"/>
        <item t="default"/>
      </items>
    </pivotField>
    <pivotField name="Do you want to Submit Documents" compact="0" outline="0" multipleItemSelectionAllowed="1" showAll="0">
      <items>
        <item x="0"/>
        <item x="1"/>
        <item x="2"/>
        <item t="default"/>
      </items>
    </pivotField>
    <pivotField name="FSSA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fssai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GS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gs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N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abour License Number" compact="0" outline="0" multipleItemSelectionAllowed="1" showAll="0">
      <items>
        <item x="0"/>
        <item x="1"/>
        <item x="2"/>
        <item x="3"/>
        <item x="4"/>
        <item x="5"/>
        <item x="6"/>
        <item x="7"/>
        <item x="8"/>
        <item x="9"/>
        <item x="10"/>
        <item x="11"/>
        <item x="12"/>
        <item x="13"/>
        <item x="14"/>
        <item x="15"/>
        <item x="16"/>
        <item t="default"/>
      </items>
    </pivotField>
    <pivotField name="labour licens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IFSC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nboarding Done" compact="0" outline="0" multipleItemSelectionAllowed="1" showAll="0">
      <items>
        <item x="0"/>
        <item x="1"/>
        <item x="2"/>
        <item x="3"/>
        <item t="default"/>
      </items>
    </pivotField>
    <pivotField name="Remarks(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Follow Up Meeting Required?" compact="0" outline="0" multipleItemSelectionAllowed="1" showAll="0">
      <items>
        <item x="0"/>
        <item x="1"/>
        <item x="2"/>
        <item t="default"/>
      </items>
    </pivotField>
    <pivotField name="Meeting agenda for follow 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Meeting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eting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mail address" axis="axisRow" compact="0" outline="0" multipleItemSelectionAllowed="1" showAll="0" sortType="ascending">
      <items>
        <item x="0"/>
        <item x="10"/>
        <item x="12"/>
        <item x="15"/>
        <item x="9"/>
        <item x="4"/>
        <item x="8"/>
        <item x="11"/>
        <item x="2"/>
        <item x="13"/>
        <item x="14"/>
        <item x="6"/>
        <item x="7"/>
        <item x="5"/>
        <item x="16"/>
        <item x="3"/>
        <item x="1"/>
        <item t="default"/>
      </items>
    </pivotField>
    <pivotField name="Cold Walk/ Scheduled" compact="0" outline="0" multipleItemSelectionAllowed="1" showAll="0">
      <items>
        <item x="0"/>
        <item x="1"/>
        <item x="2"/>
        <item t="default"/>
      </items>
    </pivotField>
    <pivotField name="POC Available" compact="0" outline="0" multipleItemSelectionAllowed="1" showAll="0">
      <items>
        <item x="0"/>
        <item x="1"/>
        <item x="2"/>
        <item t="default"/>
      </items>
    </pivotField>
    <pivotField name="Manager Name" compact="0" outline="0" multipleItemSelectionAllowed="1" showAll="0">
      <items>
        <item x="0"/>
        <item x="1"/>
        <item t="default"/>
      </items>
    </pivotField>
    <pivotField name="Manager Contact Details" compact="0" outline="0" multipleItemSelectionAllowed="1" showAll="0">
      <items>
        <item x="0"/>
        <item t="default"/>
      </items>
    </pivotField>
    <pivotField name="Manager Email ID" compact="0" outline="0" multipleItemSelectionAllowed="1" showAll="0">
      <items>
        <item x="0"/>
        <item t="default"/>
      </items>
    </pivotField>
    <pivotField name="Manager Contact Number" compact="0" outline="0" multipleItemSelectionAllowed="1" showAll="0">
      <items>
        <item x="0"/>
        <item x="1"/>
        <item t="default"/>
      </items>
    </pivotField>
    <pivotField name="manager email id2" compact="0" outline="0" multipleItemSelectionAllowed="1" showAll="0">
      <items>
        <item x="0"/>
        <item x="1"/>
        <item t="default"/>
      </items>
    </pivotField>
    <pivotField name="Caps Magin %" compact="0" outline="0" multipleItemSelectionAllowed="1" showAll="0">
      <items>
        <item x="0"/>
        <item x="1"/>
        <item x="2"/>
        <item x="3"/>
        <item x="4"/>
        <item x="5"/>
        <item x="6"/>
        <item x="7"/>
        <item x="8"/>
        <item x="9"/>
        <item x="10"/>
        <item x="11"/>
        <item x="12"/>
        <item x="13"/>
        <item x="14"/>
        <item t="default"/>
      </items>
    </pivotField>
    <pivotField name="Additional 2% Distance Margin " compact="0" outline="0" multipleItemSelectionAllowed="1" showAll="0">
      <items>
        <item x="0"/>
        <item x="1"/>
        <item x="2"/>
        <item t="default"/>
      </items>
    </pivotField>
    <pivotField name="Restaurant Open Time" compact="0" outline="0" multipleItemSelectionAllowed="1" showAll="0">
      <items>
        <item x="0"/>
        <item x="1"/>
        <item x="2"/>
        <item x="3"/>
        <item x="4"/>
        <item x="5"/>
        <item x="6"/>
        <item x="7"/>
        <item x="8"/>
        <item x="9"/>
        <item x="10"/>
        <item x="11"/>
        <item x="12"/>
        <item x="13"/>
        <item x="14"/>
        <item x="15"/>
        <item x="16"/>
        <item t="default"/>
      </items>
    </pivotField>
    <pivotField name="Restaurant Close Time" compact="0" outline="0" multipleItemSelectionAllowed="1" showAll="0">
      <items>
        <item x="0"/>
        <item x="1"/>
        <item x="2"/>
        <item x="3"/>
        <item x="4"/>
        <item x="5"/>
        <item x="6"/>
        <item x="7"/>
        <item x="8"/>
        <item x="9"/>
        <item x="10"/>
        <item x="11"/>
        <item x="12"/>
        <item x="13"/>
        <item x="14"/>
        <item x="15"/>
        <item x="16"/>
        <item x="17"/>
        <item x="18"/>
        <item t="default"/>
      </items>
    </pivotField>
    <pivotField name="Daily Online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staurant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Clust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ame of Restaurant Walk" compact="0" outline="0" multipleItemSelectionAllowed="1" showAll="0">
      <items>
        <item x="0"/>
        <item t="default"/>
      </items>
    </pivotField>
    <pivotField name="Name of 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t="default"/>
      </items>
    </pivotField>
    <pivotField name="Name of Ra" compact="0" outline="0" multipleItemSelectionAllowed="1" showAll="0">
      <items>
        <item x="0"/>
        <item t="default"/>
      </items>
    </pivotField>
    <pivotField name="Restaurant Name Con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t="default"/>
      </items>
    </pivotField>
  </pivotFields>
  <rowFields>
    <field x="51"/>
  </rowFields>
  <colFields>
    <field x="1"/>
  </colFields>
  <dataFields>
    <dataField name="COUNTA of Date" fld="1" subtotal="count" baseField="0"/>
  </dataFields>
</pivotTableDefinition>
</file>

<file path=xl/pivotTables/pivotTable5.xml><?xml version="1.0" encoding="utf-8"?>
<pivotTableDefinition xmlns="http://schemas.openxmlformats.org/spreadsheetml/2006/main" name="POS Data" cacheId="1" dataCaption="" compact="0" compactData="0">
  <location ref="A4:B49" firstHeaderRow="0" firstDataRow="1" firstDataCol="0" rowPageCount="1" colPageCount="1"/>
  <pivotFields>
    <pivotField name="Timestam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t="default"/>
      </items>
    </pivotField>
    <pivotField name="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t="default"/>
      </items>
    </pivotField>
    <pivotField name="Type Of Meeting" compact="0" outline="0" multipleItemSelectionAllowed="1" showAll="0">
      <items>
        <item x="0"/>
        <item x="1"/>
        <item x="2"/>
        <item x="3"/>
        <item x="4"/>
        <item t="default"/>
      </items>
    </pivotField>
    <pivotField name="Name of Restaurant ?&#10;"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POS" axis="axisRow" compact="0" outline="0" multipleItemSelectionAllowed="1" showAll="0" sortType="ascending">
      <items>
        <item x="0"/>
        <item x="10"/>
        <item x="31"/>
        <item x="15"/>
        <item x="27"/>
        <item x="16"/>
        <item x="38"/>
        <item x="29"/>
        <item h="1" x="49"/>
        <item h="1" x="48"/>
        <item h="1" x="46"/>
        <item x="17"/>
        <item x="41"/>
        <item x="39"/>
        <item x="9"/>
        <item x="40"/>
        <item x="25"/>
        <item x="13"/>
        <item x="33"/>
        <item x="11"/>
        <item x="19"/>
        <item x="2"/>
        <item x="12"/>
        <item x="28"/>
        <item x="8"/>
        <item x="26"/>
        <item h="1" x="47"/>
        <item x="22"/>
        <item h="1" x="45"/>
        <item x="21"/>
        <item x="1"/>
        <item x="3"/>
        <item x="5"/>
        <item x="36"/>
        <item x="30"/>
        <item x="6"/>
        <item x="24"/>
        <item x="42"/>
        <item x="14"/>
        <item x="7"/>
        <item x="23"/>
        <item h="1" x="50"/>
        <item x="35"/>
        <item h="1" x="44"/>
        <item x="18"/>
        <item h="1" x="43"/>
        <item x="37"/>
        <item x="20"/>
        <item x="32"/>
        <item x="34"/>
        <item x="4"/>
        <item t="default"/>
      </items>
    </pivotField>
    <pivotField name="Daily Revenu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Kind of Restaurant" compact="0" outline="0" multipleItemSelectionAllowed="1" showAll="0">
      <items>
        <item x="0"/>
        <item x="1"/>
        <item x="2"/>
        <item x="3"/>
        <item x="4"/>
        <item x="5"/>
        <item x="6"/>
        <item x="7"/>
        <item x="8"/>
        <item t="default"/>
      </items>
    </pivotField>
    <pivotField name="Restaurant Live on " compact="0" outline="0" multipleItemSelectionAllowed="1" showAll="0">
      <items>
        <item x="0"/>
        <item x="1"/>
        <item x="2"/>
        <item x="3"/>
        <item x="4"/>
        <item x="5"/>
        <item x="6"/>
        <item x="7"/>
        <item x="8"/>
        <item x="9"/>
        <item x="10"/>
        <item x="11"/>
        <item x="12"/>
        <item x="13"/>
        <item x="14"/>
        <item t="default"/>
      </items>
    </pivotField>
    <pivotField name="Claimed Margins (Competition) "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Expected Margins (Caps)" compact="0" outline="0" multipleItemSelectionAllowed="1" showAll="0">
      <items>
        <item x="0"/>
        <item x="1"/>
        <item x="2"/>
        <item x="3"/>
        <item x="4"/>
        <item x="5"/>
        <item x="6"/>
        <item x="7"/>
        <item x="8"/>
        <item x="9"/>
        <item x="10"/>
        <item x="11"/>
        <item x="12"/>
        <item x="13"/>
        <item x="14"/>
        <item t="default"/>
      </items>
    </pivotField>
    <pivotField name="No.of Branch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ame="Type of Ownership" compact="0" outline="0" multipleItemSelectionAllowed="1" showAll="0">
      <items>
        <item x="0"/>
        <item x="1"/>
        <item x="2"/>
        <item x="3"/>
        <item x="4"/>
        <item x="5"/>
        <item x="6"/>
        <item x="7"/>
        <item x="8"/>
        <item x="9"/>
        <item x="10"/>
        <item x="11"/>
        <item x="12"/>
        <item x="13"/>
        <item x="14"/>
        <item t="default"/>
      </items>
    </pivotField>
    <pivotField name="GST" compact="0" outline="0" multipleItemSelectionAllowed="1" showAll="0">
      <items>
        <item x="0"/>
        <item x="1"/>
        <item x="2"/>
        <item t="default"/>
      </items>
    </pivotField>
    <pivotField name="FSSAI" compact="0" outline="0" multipleItemSelectionAllowed="1" showAll="0">
      <items>
        <item x="0"/>
        <item x="1"/>
        <item x="2"/>
        <item x="3"/>
        <item t="default"/>
      </items>
    </pivotField>
    <pivotField name="Labour License" compact="0" outline="0" multipleItemSelectionAllowed="1" showAll="0">
      <items>
        <item x="0"/>
        <item x="1"/>
        <item x="2"/>
        <item x="3"/>
        <item t="default"/>
      </items>
    </pivotField>
    <pivotField name="Google Map Business lin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t="default"/>
      </items>
    </pivotField>
    <pivotField name="Restaurant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t="default"/>
      </items>
    </pivotField>
    <pivotField name="Name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t="default"/>
      </items>
    </pivotField>
    <pivotField name="Contact Number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t="default"/>
      </items>
    </pivotField>
    <pivotField name="Email- ID (POC-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t="default"/>
      </items>
    </pivotField>
    <pivotField name="Name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Contact Number (POC-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Email- ID (POC-2)" compact="0" outline="0" multipleItemSelectionAllowed="1" showAll="0">
      <items>
        <item x="0"/>
        <item x="1"/>
        <item x="2"/>
        <item x="3"/>
        <item x="4"/>
        <item x="5"/>
        <item x="6"/>
        <item x="7"/>
        <item x="8"/>
        <item x="9"/>
        <item x="10"/>
        <item t="default"/>
      </items>
    </pivotField>
    <pivotField name="Do you want to Submit Documents" compact="0" outline="0" multipleItemSelectionAllowed="1" showAll="0">
      <items>
        <item x="0"/>
        <item x="1"/>
        <item x="2"/>
        <item t="default"/>
      </items>
    </pivotField>
    <pivotField name="FSSAI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fssai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GS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gst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name="PAN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t="default"/>
      </items>
    </pivotField>
    <pivotField name="Labour License Number" compact="0" outline="0" multipleItemSelectionAllowed="1" showAll="0">
      <items>
        <item x="0"/>
        <item x="1"/>
        <item x="2"/>
        <item x="3"/>
        <item x="4"/>
        <item x="5"/>
        <item x="6"/>
        <item x="7"/>
        <item x="8"/>
        <item x="9"/>
        <item x="10"/>
        <item x="11"/>
        <item x="12"/>
        <item x="13"/>
        <item x="14"/>
        <item x="15"/>
        <item x="16"/>
        <item t="default"/>
      </items>
    </pivotField>
    <pivotField name="labour licens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Accoun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IFSC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Onboarding Done" axis="axisPage" compact="0" outline="0" multipleItemSelectionAllowed="1" showAll="0">
      <items>
        <item x="0"/>
        <item x="1"/>
        <item x="2"/>
        <item x="3"/>
        <item t="default"/>
      </items>
    </pivotField>
    <pivotField name="Remarks(Comme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name="Follow Up Meeting Required?" compact="0" outline="0" multipleItemSelectionAllowed="1" showAll="0">
      <items>
        <item x="0"/>
        <item x="1"/>
        <item x="2"/>
        <item t="default"/>
      </items>
    </pivotField>
    <pivotField name="Meeting agenda for follow 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name="Meeting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Meeting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 name="Email address" compact="0" outline="0" multipleItemSelectionAllowed="1" showAll="0">
      <items>
        <item x="0"/>
        <item x="1"/>
        <item x="2"/>
        <item x="3"/>
        <item x="4"/>
        <item x="5"/>
        <item x="6"/>
        <item x="7"/>
        <item x="8"/>
        <item x="9"/>
        <item x="10"/>
        <item x="11"/>
        <item x="12"/>
        <item x="13"/>
        <item x="14"/>
        <item x="15"/>
        <item x="16"/>
        <item t="default"/>
      </items>
    </pivotField>
    <pivotField name="Cold Walk/ Scheduled" compact="0" outline="0" multipleItemSelectionAllowed="1" showAll="0">
      <items>
        <item x="0"/>
        <item x="1"/>
        <item x="2"/>
        <item t="default"/>
      </items>
    </pivotField>
    <pivotField name="POC Available" compact="0" outline="0" multipleItemSelectionAllowed="1" showAll="0">
      <items>
        <item x="0"/>
        <item x="1"/>
        <item x="2"/>
        <item t="default"/>
      </items>
    </pivotField>
    <pivotField name="Manager Name" compact="0" outline="0" multipleItemSelectionAllowed="1" showAll="0">
      <items>
        <item x="0"/>
        <item x="1"/>
        <item t="default"/>
      </items>
    </pivotField>
    <pivotField name="Manager Contact Details" compact="0" outline="0" multipleItemSelectionAllowed="1" showAll="0">
      <items>
        <item x="0"/>
        <item t="default"/>
      </items>
    </pivotField>
    <pivotField name="Manager Email ID" compact="0" outline="0" multipleItemSelectionAllowed="1" showAll="0">
      <items>
        <item x="0"/>
        <item t="default"/>
      </items>
    </pivotField>
    <pivotField name="Manager Contact Number" compact="0" outline="0" multipleItemSelectionAllowed="1" showAll="0">
      <items>
        <item x="0"/>
        <item x="1"/>
        <item t="default"/>
      </items>
    </pivotField>
    <pivotField name="manager email id2" compact="0" outline="0" multipleItemSelectionAllowed="1" showAll="0">
      <items>
        <item x="0"/>
        <item x="1"/>
        <item t="default"/>
      </items>
    </pivotField>
    <pivotField name="Caps Magin %" compact="0" outline="0" multipleItemSelectionAllowed="1" showAll="0">
      <items>
        <item x="0"/>
        <item x="1"/>
        <item x="2"/>
        <item x="3"/>
        <item x="4"/>
        <item x="5"/>
        <item x="6"/>
        <item x="7"/>
        <item x="8"/>
        <item x="9"/>
        <item x="10"/>
        <item x="11"/>
        <item x="12"/>
        <item x="13"/>
        <item x="14"/>
        <item t="default"/>
      </items>
    </pivotField>
    <pivotField name="Additional 2% Distance Margin " compact="0" outline="0" multipleItemSelectionAllowed="1" showAll="0">
      <items>
        <item x="0"/>
        <item x="1"/>
        <item x="2"/>
        <item t="default"/>
      </items>
    </pivotField>
    <pivotField name="Restaurant Open Time" compact="0" outline="0" multipleItemSelectionAllowed="1" showAll="0">
      <items>
        <item x="0"/>
        <item x="1"/>
        <item x="2"/>
        <item x="3"/>
        <item x="4"/>
        <item x="5"/>
        <item x="6"/>
        <item x="7"/>
        <item x="8"/>
        <item x="9"/>
        <item x="10"/>
        <item x="11"/>
        <item x="12"/>
        <item x="13"/>
        <item x="14"/>
        <item x="15"/>
        <item x="16"/>
        <item t="default"/>
      </items>
    </pivotField>
    <pivotField name="Restaurant Close Time" compact="0" outline="0" multipleItemSelectionAllowed="1" showAll="0">
      <items>
        <item x="0"/>
        <item x="1"/>
        <item x="2"/>
        <item x="3"/>
        <item x="4"/>
        <item x="5"/>
        <item x="6"/>
        <item x="7"/>
        <item x="8"/>
        <item x="9"/>
        <item x="10"/>
        <item x="11"/>
        <item x="12"/>
        <item x="13"/>
        <item x="14"/>
        <item x="15"/>
        <item x="16"/>
        <item x="17"/>
        <item x="18"/>
        <item t="default"/>
      </items>
    </pivotField>
    <pivotField name="Daily Online Orde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Restaurant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name="Clust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Name of Restaurant Walk" compact="0" outline="0" multipleItemSelectionAllowed="1" showAll="0">
      <items>
        <item x="0"/>
        <item t="default"/>
      </items>
    </pivotField>
    <pivotField name="Name of 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t="default"/>
      </items>
    </pivotField>
    <pivotField name="Name of Ra" compact="0" outline="0" multipleItemSelectionAllowed="1" showAll="0">
      <items>
        <item x="0"/>
        <item t="default"/>
      </items>
    </pivotField>
    <pivotField name="Restaurant Name Conca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s>
  <rowFields>
    <field x="7"/>
  </rowFields>
  <pageFields>
    <pageField fld="44"/>
  </pageFields>
  <dataFields>
    <dataField name="COUNTA of Date" fld="1" subtotal="count" baseField="0"/>
  </dataFields>
</pivotTableDefinition>
</file>

<file path=xl/pivotTables/pivotTable6.xml><?xml version="1.0" encoding="utf-8"?>
<pivotTableDefinition xmlns="http://schemas.openxmlformats.org/spreadsheetml/2006/main" name="Data Visits Pivot" cacheId="2" dataCaption="" compact="0" compactData="0">
  <location ref="A2:AB21" firstHeaderRow="0" firstDataRow="1" firstDataCol="1"/>
  <pivotFields>
    <pivotField name="Date" axis="axisCol" dataField="1" compact="0" outline="0" multipleItemSelectionAllowed="1" showAll="0" sortType="ascending">
      <items>
        <item x="25"/>
        <item h="1" x="17"/>
        <item h="1" x="22"/>
        <item h="1" x="0"/>
        <item h="1" x="10"/>
        <item h="1" x="2"/>
        <item h="1" x="1"/>
        <item h="1" x="3"/>
        <item h="1" x="4"/>
        <item h="1" x="6"/>
        <item h="1" x="11"/>
        <item h="1" x="7"/>
        <item h="1" x="8"/>
        <item h="1" x="9"/>
        <item h="1" x="12"/>
        <item h="1" x="13"/>
        <item h="1" x="16"/>
        <item h="1" x="15"/>
        <item h="1" x="20"/>
        <item h="1" x="21"/>
        <item h="1" x="14"/>
        <item h="1" x="19"/>
        <item h="1" x="23"/>
        <item h="1" x="24"/>
        <item h="1" x="18"/>
        <item h="1" x="5"/>
        <item t="default"/>
      </items>
    </pivotField>
    <pivotField name="RM" axis="axisRow" compact="0" outline="0" multipleItemSelectionAllowed="1" showAll="0" sortType="ascending">
      <items>
        <item x="16"/>
        <item x="9"/>
        <item x="11"/>
        <item x="14"/>
        <item x="8"/>
        <item x="3"/>
        <item x="7"/>
        <item x="10"/>
        <item x="1"/>
        <item x="12"/>
        <item x="13"/>
        <item x="5"/>
        <item x="6"/>
        <item x="4"/>
        <item x="15"/>
        <item x="2"/>
        <item x="0"/>
        <item t="default"/>
      </items>
    </pivotField>
    <pivotField name="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FOLLOW UP REQD." compact="0" outline="0" multipleItemSelectionAllowed="1" showAll="0">
      <items>
        <item x="0"/>
        <item x="1"/>
        <item x="2"/>
        <item t="default"/>
      </items>
    </pivotField>
    <pivotField name="Follow 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ollow up Time" compact="0" numFmtId="1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Onboarding Status" compact="0" outline="0" multipleItemSelectionAllowed="1" showAll="0">
      <items>
        <item x="0"/>
        <item x="1"/>
        <item x="2"/>
        <item x="3"/>
        <item t="default"/>
      </items>
    </pivotField>
    <pivotField name="Restaurant Category" compact="0" outline="0" multipleItemSelectionAllowed="1" showAll="0">
      <items>
        <item x="0"/>
        <item x="1"/>
        <item x="2"/>
        <item x="3"/>
        <item x="4"/>
        <item x="5"/>
        <item x="6"/>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OC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POC 1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t="default"/>
      </items>
    </pivotField>
    <pivotField name="POC 1 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POC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OC 2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OC 2 EMAIL  ID" compact="0" outline="0" multipleItemSelectionAllowed="1" showAll="0">
      <items>
        <item x="0"/>
        <item x="1"/>
        <item x="2"/>
        <item x="3"/>
        <item x="4"/>
        <item t="default"/>
      </items>
    </pivotField>
    <pivotField name="FS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Labour License" compact="0" outline="0" multipleItemSelectionAllowed="1" showAll="0">
      <items>
        <item x="0"/>
        <item x="1"/>
        <item x="2"/>
        <item x="3"/>
        <item x="4"/>
        <item x="5"/>
        <item x="6"/>
        <item x="7"/>
        <item x="8"/>
        <item x="9"/>
        <item x="10"/>
        <item x="11"/>
        <item x="12"/>
        <item x="13"/>
        <item x="1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SSAI Status" compact="0" outline="0" multipleItemSelectionAllowed="1" showAll="0">
      <items>
        <item x="0"/>
        <item x="1"/>
        <item t="default"/>
      </items>
    </pivotField>
    <pivotField name="GST Status" compact="0" outline="0" multipleItemSelectionAllowed="1" showAll="0">
      <items>
        <item x="0"/>
        <item x="1"/>
        <item t="default"/>
      </items>
    </pivotField>
    <pivotField name="PAN Card Status" compact="0" outline="0" multipleItemSelectionAllowed="1" showAll="0">
      <items>
        <item x="0"/>
        <item x="1"/>
        <item t="default"/>
      </items>
    </pivotField>
    <pivotField name="Labour License Status" compact="0" outline="0" multipleItemSelectionAllowed="1" showAll="0">
      <items>
        <item x="0"/>
        <item x="1"/>
        <item t="default"/>
      </items>
    </pivotField>
    <pivotField name="Menu Status" compact="0" outline="0" multipleItemSelectionAllowed="1" showAll="0">
      <items>
        <item x="0"/>
        <item x="1"/>
        <item t="default"/>
      </items>
    </pivotField>
    <pivotField name="Bank Account Proof Status" compact="0" outline="0" multipleItemSelectionAllowed="1" showAll="0">
      <items>
        <item x="0"/>
        <item x="1"/>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1"/>
  </rowFields>
  <colFields>
    <field x="0"/>
  </colFields>
  <dataFields>
    <dataField name="COUNTA of Date" fld="0" subtotal="count" baseField="0"/>
  </dataFields>
</pivotTableDefinition>
</file>

<file path=xl/pivotTables/pivotTable7.xml><?xml version="1.0" encoding="utf-8"?>
<pivotTableDefinition xmlns="http://schemas.openxmlformats.org/spreadsheetml/2006/main" name="Data Visits Pivot 2" cacheId="2" dataCaption="" compact="0" compactData="0">
  <location ref="A29:W45" firstHeaderRow="0" firstDataRow="1" firstDataCol="1"/>
  <pivotFields>
    <pivotField name="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M" axis="axisRow" dataField="1" compact="0" outline="0" multipleItemSelectionAllowed="1" showAll="0" sortType="ascending">
      <items>
        <item x="16"/>
        <item x="9"/>
        <item x="11"/>
        <item x="14"/>
        <item x="8"/>
        <item x="3"/>
        <item x="7"/>
        <item x="10"/>
        <item x="1"/>
        <item x="12"/>
        <item x="13"/>
        <item x="5"/>
        <item x="6"/>
        <item x="4"/>
        <item x="15"/>
        <item x="2"/>
        <item x="0"/>
        <item t="default"/>
      </items>
    </pivotField>
    <pivotField name="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FOLLOW UP REQD." compact="0" outline="0" multipleItemSelectionAllowed="1" showAll="0">
      <items>
        <item x="0"/>
        <item x="1"/>
        <item x="2"/>
        <item t="default"/>
      </items>
    </pivotField>
    <pivotField name="Follow up date" axis="axisCol" compact="0" numFmtId="14" outline="0" multipleItemSelectionAllowed="1" showAll="0" sortType="ascending">
      <items>
        <item h="1" x="1"/>
        <item h="1" x="0"/>
        <item h="1" x="3"/>
        <item h="1" x="2"/>
        <item h="1" x="4"/>
        <item h="1" x="10"/>
        <item h="1" x="5"/>
        <item h="1" x="6"/>
        <item h="1" x="8"/>
        <item h="1" x="11"/>
        <item h="1" x="12"/>
        <item h="1" x="14"/>
        <item h="1" x="17"/>
        <item h="1" x="7"/>
        <item h="1" x="15"/>
        <item h="1" x="18"/>
        <item x="20"/>
        <item h="1" x="13"/>
        <item h="1" x="16"/>
        <item h="1" x="23"/>
        <item h="1" x="21"/>
        <item h="1" x="22"/>
        <item h="1" x="19"/>
        <item h="1" x="24"/>
        <item h="1" x="9"/>
        <item h="1" x="25"/>
        <item t="default"/>
      </items>
    </pivotField>
    <pivotField name="Follow up Time" compact="0" numFmtId="1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Onboarding Status" compact="0" outline="0" multipleItemSelectionAllowed="1" showAll="0">
      <items>
        <item x="0"/>
        <item x="1"/>
        <item x="2"/>
        <item x="3"/>
        <item t="default"/>
      </items>
    </pivotField>
    <pivotField name="Restaurant Category" compact="0" outline="0" multipleItemSelectionAllowed="1" showAll="0">
      <items>
        <item x="0"/>
        <item x="1"/>
        <item x="2"/>
        <item x="3"/>
        <item x="4"/>
        <item x="5"/>
        <item x="6"/>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OC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POC 1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t="default"/>
      </items>
    </pivotField>
    <pivotField name="POC 1 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POC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OC 2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OC 2 EMAIL  ID" compact="0" outline="0" multipleItemSelectionAllowed="1" showAll="0">
      <items>
        <item x="0"/>
        <item x="1"/>
        <item x="2"/>
        <item x="3"/>
        <item x="4"/>
        <item t="default"/>
      </items>
    </pivotField>
    <pivotField name="FS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Labour License" compact="0" outline="0" multipleItemSelectionAllowed="1" showAll="0">
      <items>
        <item x="0"/>
        <item x="1"/>
        <item x="2"/>
        <item x="3"/>
        <item x="4"/>
        <item x="5"/>
        <item x="6"/>
        <item x="7"/>
        <item x="8"/>
        <item x="9"/>
        <item x="10"/>
        <item x="11"/>
        <item x="12"/>
        <item x="13"/>
        <item x="1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SSAI Status" compact="0" outline="0" multipleItemSelectionAllowed="1" showAll="0">
      <items>
        <item x="0"/>
        <item x="1"/>
        <item t="default"/>
      </items>
    </pivotField>
    <pivotField name="GST Status" compact="0" outline="0" multipleItemSelectionAllowed="1" showAll="0">
      <items>
        <item x="0"/>
        <item x="1"/>
        <item t="default"/>
      </items>
    </pivotField>
    <pivotField name="PAN Card Status" compact="0" outline="0" multipleItemSelectionAllowed="1" showAll="0">
      <items>
        <item x="0"/>
        <item x="1"/>
        <item t="default"/>
      </items>
    </pivotField>
    <pivotField name="Labour License Status" compact="0" outline="0" multipleItemSelectionAllowed="1" showAll="0">
      <items>
        <item x="0"/>
        <item x="1"/>
        <item t="default"/>
      </items>
    </pivotField>
    <pivotField name="Menu Status" compact="0" outline="0" multipleItemSelectionAllowed="1" showAll="0">
      <items>
        <item x="0"/>
        <item x="1"/>
        <item t="default"/>
      </items>
    </pivotField>
    <pivotField name="Bank Account Proof Status" compact="0" outline="0" multipleItemSelectionAllowed="1" showAll="0">
      <items>
        <item x="0"/>
        <item x="1"/>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1"/>
  </rowFields>
  <colFields>
    <field x="5"/>
  </colFields>
  <dataFields>
    <dataField name="COUNTA of RM" fld="1" subtotal="count" baseField="0"/>
  </dataFields>
</pivotTableDefinition>
</file>

<file path=xl/pivotTables/pivotTable8.xml><?xml version="1.0" encoding="utf-8"?>
<pivotTableDefinition xmlns="http://schemas.openxmlformats.org/spreadsheetml/2006/main" name="Data Visits Pivot 3" cacheId="2" dataCaption="" compact="0" compactData="0">
  <location ref="A69:B85" firstHeaderRow="0" firstDataRow="1" firstDataCol="1" rowPageCount="1" colPageCount="1"/>
  <pivotFields>
    <pivotField name="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M" axis="axisRow" compact="0" outline="0" multipleItemSelectionAllowed="1" showAll="0" sortType="ascending">
      <items>
        <item x="16"/>
        <item x="9"/>
        <item x="11"/>
        <item x="14"/>
        <item x="8"/>
        <item x="3"/>
        <item x="7"/>
        <item x="10"/>
        <item x="1"/>
        <item x="12"/>
        <item x="13"/>
        <item x="5"/>
        <item x="6"/>
        <item x="4"/>
        <item x="15"/>
        <item x="2"/>
        <item x="0"/>
        <item t="default"/>
      </items>
    </pivotField>
    <pivotField name="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FOLLOW UP REQD." compact="0" outline="0" multipleItemSelectionAllowed="1" showAll="0">
      <items>
        <item x="0"/>
        <item x="1"/>
        <item x="2"/>
        <item t="default"/>
      </items>
    </pivotField>
    <pivotField name="Follow 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ollow up Time" compact="0" numFmtId="1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Onboarding Status" axis="axisPage" compact="0" outline="0" multipleItemSelectionAllowed="1" showAll="0">
      <items>
        <item x="0"/>
        <item x="1"/>
        <item x="2"/>
        <item x="3"/>
        <item t="default"/>
      </items>
    </pivotField>
    <pivotField name="Restaurant Category" axis="axisCol" compact="0" outline="0" multipleItemSelectionAllowed="1" showAll="0" sortType="ascending">
      <items>
        <item h="1" x="0"/>
        <item h="1" x="5"/>
        <item h="1" x="4"/>
        <item h="1" x="6"/>
        <item x="2"/>
        <item x="1"/>
        <item x="3"/>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OC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POC 1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t="default"/>
      </items>
    </pivotField>
    <pivotField name="POC 1 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POC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OC 2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OC 2 EMAIL  ID" compact="0" outline="0" multipleItemSelectionAllowed="1" showAll="0">
      <items>
        <item x="0"/>
        <item x="1"/>
        <item x="2"/>
        <item x="3"/>
        <item x="4"/>
        <item t="default"/>
      </items>
    </pivotField>
    <pivotField name="FS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Labour License" compact="0" outline="0" multipleItemSelectionAllowed="1" showAll="0">
      <items>
        <item x="0"/>
        <item x="1"/>
        <item x="2"/>
        <item x="3"/>
        <item x="4"/>
        <item x="5"/>
        <item x="6"/>
        <item x="7"/>
        <item x="8"/>
        <item x="9"/>
        <item x="10"/>
        <item x="11"/>
        <item x="12"/>
        <item x="13"/>
        <item x="1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SSAI Status" compact="0" outline="0" multipleItemSelectionAllowed="1" showAll="0">
      <items>
        <item x="0"/>
        <item x="1"/>
        <item t="default"/>
      </items>
    </pivotField>
    <pivotField name="GST Status" compact="0" outline="0" multipleItemSelectionAllowed="1" showAll="0">
      <items>
        <item x="0"/>
        <item x="1"/>
        <item t="default"/>
      </items>
    </pivotField>
    <pivotField name="PAN Card Status" compact="0" outline="0" multipleItemSelectionAllowed="1" showAll="0">
      <items>
        <item x="0"/>
        <item x="1"/>
        <item t="default"/>
      </items>
    </pivotField>
    <pivotField name="Labour License Status" compact="0" outline="0" multipleItemSelectionAllowed="1" showAll="0">
      <items>
        <item x="0"/>
        <item x="1"/>
        <item t="default"/>
      </items>
    </pivotField>
    <pivotField name="Menu Status" compact="0" outline="0" multipleItemSelectionAllowed="1" showAll="0">
      <items>
        <item x="0"/>
        <item x="1"/>
        <item t="default"/>
      </items>
    </pivotField>
    <pivotField name="Bank Account Proof Status" compact="0" outline="0" multipleItemSelectionAllowed="1" showAll="0">
      <items>
        <item x="0"/>
        <item x="1"/>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1"/>
  </rowFields>
  <colFields>
    <field x="9"/>
  </colFields>
  <pageFields>
    <pageField fld="8"/>
  </pageFields>
  <dataFields>
    <dataField name="COUNTA of Date" fld="0" subtotal="count" baseField="0"/>
  </dataFields>
</pivotTableDefinition>
</file>

<file path=xl/pivotTables/pivotTable9.xml><?xml version="1.0" encoding="utf-8"?>
<pivotTableDefinition xmlns="http://schemas.openxmlformats.org/spreadsheetml/2006/main" name="Data Visits Pivot 4" cacheId="2" dataCaption="" compact="0" compactData="0">
  <location ref="A96:B112" firstHeaderRow="0" firstDataRow="1" firstDataCol="1"/>
  <pivotFields>
    <pivotField name="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M" axis="axisRow" compact="0" outline="0" multipleItemSelectionAllowed="1" showAll="0" sortType="ascending">
      <items>
        <item x="16"/>
        <item x="9"/>
        <item x="11"/>
        <item x="14"/>
        <item x="8"/>
        <item x="3"/>
        <item x="7"/>
        <item x="10"/>
        <item x="1"/>
        <item x="12"/>
        <item x="13"/>
        <item x="5"/>
        <item x="6"/>
        <item x="4"/>
        <item x="15"/>
        <item x="2"/>
        <item x="0"/>
        <item t="default"/>
      </items>
    </pivotField>
    <pivotField name="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FOLLOW UP REQD." compact="0" outline="0" multipleItemSelectionAllowed="1" showAll="0">
      <items>
        <item x="0"/>
        <item x="1"/>
        <item x="2"/>
        <item t="default"/>
      </items>
    </pivotField>
    <pivotField name="Follow 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ollow up Time" compact="0" numFmtId="1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Onboarding Status" compact="0" outline="0" multipleItemSelectionAllowed="1" showAll="0">
      <items>
        <item x="0"/>
        <item x="1"/>
        <item x="2"/>
        <item x="3"/>
        <item t="default"/>
      </items>
    </pivotField>
    <pivotField name="Restaurant Category" axis="axisCol" compact="0" outline="0" multipleItemSelectionAllowed="1" showAll="0" sortType="ascending">
      <items>
        <item h="1" x="0"/>
        <item h="1" x="5"/>
        <item h="1" x="4"/>
        <item h="1" x="6"/>
        <item x="2"/>
        <item x="1"/>
        <item x="3"/>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OC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POC 1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t="default"/>
      </items>
    </pivotField>
    <pivotField name="POC 1 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POC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OC 2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OC 2 EMAIL  ID" compact="0" outline="0" multipleItemSelectionAllowed="1" showAll="0">
      <items>
        <item x="0"/>
        <item x="1"/>
        <item x="2"/>
        <item x="3"/>
        <item x="4"/>
        <item t="default"/>
      </items>
    </pivotField>
    <pivotField name="FS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Labour License" compact="0" outline="0" multipleItemSelectionAllowed="1" showAll="0">
      <items>
        <item x="0"/>
        <item x="1"/>
        <item x="2"/>
        <item x="3"/>
        <item x="4"/>
        <item x="5"/>
        <item x="6"/>
        <item x="7"/>
        <item x="8"/>
        <item x="9"/>
        <item x="10"/>
        <item x="11"/>
        <item x="12"/>
        <item x="13"/>
        <item x="1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SSAI Status" compact="0" outline="0" multipleItemSelectionAllowed="1" showAll="0">
      <items>
        <item x="0"/>
        <item x="1"/>
        <item t="default"/>
      </items>
    </pivotField>
    <pivotField name="GST Status" compact="0" outline="0" multipleItemSelectionAllowed="1" showAll="0">
      <items>
        <item x="0"/>
        <item x="1"/>
        <item t="default"/>
      </items>
    </pivotField>
    <pivotField name="PAN Card Status" compact="0" outline="0" multipleItemSelectionAllowed="1" showAll="0">
      <items>
        <item x="0"/>
        <item x="1"/>
        <item t="default"/>
      </items>
    </pivotField>
    <pivotField name="Labour License Status" compact="0" outline="0" multipleItemSelectionAllowed="1" showAll="0">
      <items>
        <item x="0"/>
        <item x="1"/>
        <item t="default"/>
      </items>
    </pivotField>
    <pivotField name="Menu Status" compact="0" outline="0" multipleItemSelectionAllowed="1" showAll="0">
      <items>
        <item x="0"/>
        <item x="1"/>
        <item t="default"/>
      </items>
    </pivotField>
    <pivotField name="Bank Account Proof Status" compact="0" outline="0" multipleItemSelectionAllowed="1" showAll="0">
      <items>
        <item x="0"/>
        <item x="1"/>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1"/>
  </rowFields>
  <colFields>
    <field x="9"/>
  </colFields>
  <dataFields>
    <dataField name="COUNTA of Date" fld="0" subtotal="count" baseField="0"/>
  </dataFields>
</pivotTableDefinition>
</file>

<file path=xl/pivotTables/pivotTable10.xml><?xml version="1.0" encoding="utf-8"?>
<pivotTableDefinition xmlns="http://schemas.openxmlformats.org/spreadsheetml/2006/main" name="Data Visits Pivot 5" cacheId="2" dataCaption="" compact="0" compactData="0">
  <location ref="A122:E132" firstHeaderRow="0" firstDataRow="1" firstDataCol="1" rowPageCount="1" colPageCount="1"/>
  <pivotFields>
    <pivotField name="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M" axis="axisRow" compact="0" outline="0" multipleItemSelectionAllowed="1" showAll="0" sortType="ascending">
      <items>
        <item x="16"/>
        <item x="9"/>
        <item x="11"/>
        <item x="14"/>
        <item x="8"/>
        <item x="3"/>
        <item x="7"/>
        <item x="10"/>
        <item x="1"/>
        <item x="12"/>
        <item x="13"/>
        <item x="5"/>
        <item x="6"/>
        <item x="4"/>
        <item x="15"/>
        <item x="2"/>
        <item x="0"/>
        <item t="default"/>
      </items>
    </pivotField>
    <pivotField name="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FOLLOW UP REQD." compact="0" outline="0" multipleItemSelectionAllowed="1" showAll="0">
      <items>
        <item x="0"/>
        <item x="1"/>
        <item x="2"/>
        <item t="default"/>
      </items>
    </pivotField>
    <pivotField name="Follow 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ollow up Time" compact="0" numFmtId="1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Onboarding Status" axis="axisPage" compact="0" outline="0" multipleItemSelectionAllowed="1" showAll="0">
      <items>
        <item x="0"/>
        <item h="1" x="1"/>
        <item h="1" x="2"/>
        <item h="1" x="3"/>
        <item t="default"/>
      </items>
    </pivotField>
    <pivotField name="Restaurant Category" axis="axisCol" compact="0" outline="0" multipleItemSelectionAllowed="1" showAll="0" sortType="ascending">
      <items>
        <item h="1" x="0"/>
        <item h="1" x="5"/>
        <item h="1" x="4"/>
        <item h="1" x="6"/>
        <item x="2"/>
        <item x="1"/>
        <item x="3"/>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OC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POC 1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t="default"/>
      </items>
    </pivotField>
    <pivotField name="POC 1 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POC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OC 2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OC 2 EMAIL  ID" compact="0" outline="0" multipleItemSelectionAllowed="1" showAll="0">
      <items>
        <item x="0"/>
        <item x="1"/>
        <item x="2"/>
        <item x="3"/>
        <item x="4"/>
        <item t="default"/>
      </items>
    </pivotField>
    <pivotField name="FS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Labour License" compact="0" outline="0" multipleItemSelectionAllowed="1" showAll="0">
      <items>
        <item x="0"/>
        <item x="1"/>
        <item x="2"/>
        <item x="3"/>
        <item x="4"/>
        <item x="5"/>
        <item x="6"/>
        <item x="7"/>
        <item x="8"/>
        <item x="9"/>
        <item x="10"/>
        <item x="11"/>
        <item x="12"/>
        <item x="13"/>
        <item x="1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SSAI Status" compact="0" outline="0" multipleItemSelectionAllowed="1" showAll="0">
      <items>
        <item x="0"/>
        <item x="1"/>
        <item t="default"/>
      </items>
    </pivotField>
    <pivotField name="GST Status" compact="0" outline="0" multipleItemSelectionAllowed="1" showAll="0">
      <items>
        <item x="0"/>
        <item x="1"/>
        <item t="default"/>
      </items>
    </pivotField>
    <pivotField name="PAN Card Status" compact="0" outline="0" multipleItemSelectionAllowed="1" showAll="0">
      <items>
        <item x="0"/>
        <item x="1"/>
        <item t="default"/>
      </items>
    </pivotField>
    <pivotField name="Labour License Status" compact="0" outline="0" multipleItemSelectionAllowed="1" showAll="0">
      <items>
        <item x="0"/>
        <item x="1"/>
        <item t="default"/>
      </items>
    </pivotField>
    <pivotField name="Menu Status" compact="0" outline="0" multipleItemSelectionAllowed="1" showAll="0">
      <items>
        <item x="0"/>
        <item x="1"/>
        <item t="default"/>
      </items>
    </pivotField>
    <pivotField name="Bank Account Proof Status" compact="0" outline="0" multipleItemSelectionAllowed="1" showAll="0">
      <items>
        <item x="0"/>
        <item x="1"/>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1"/>
  </rowFields>
  <colFields>
    <field x="9"/>
  </colFields>
  <pageFields>
    <pageField fld="8"/>
  </pageFields>
  <dataFields>
    <dataField name="COUNTA of Date" fld="0" subtotal="count" baseField="0"/>
  </dataFields>
</pivotTableDefinition>
</file>

<file path=xl/pivotTables/pivotTable11.xml><?xml version="1.0" encoding="utf-8"?>
<pivotTableDefinition xmlns="http://schemas.openxmlformats.org/spreadsheetml/2006/main" name="Sheet3" cacheId="2" dataCaption="" compact="0" compactData="0">
  <location ref="A4:E14" firstHeaderRow="0" firstDataRow="1" firstDataCol="1" rowPageCount="1" colPageCount="1"/>
  <pivotFields>
    <pivotField name="Dat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RM" axis="axisRow" compact="0" outline="0" multipleItemSelectionAllowed="1" showAll="0" sortType="ascending">
      <items>
        <item x="16"/>
        <item x="9"/>
        <item x="11"/>
        <item x="14"/>
        <item x="8"/>
        <item x="3"/>
        <item x="7"/>
        <item x="10"/>
        <item x="1"/>
        <item x="12"/>
        <item x="13"/>
        <item x="5"/>
        <item x="6"/>
        <item x="4"/>
        <item x="15"/>
        <item x="2"/>
        <item x="0"/>
        <item t="default"/>
      </items>
    </pivotField>
    <pivotField name="Restaura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FOLLOW UP REQD." compact="0" outline="0" multipleItemSelectionAllowed="1" showAll="0">
      <items>
        <item x="0"/>
        <item x="1"/>
        <item x="2"/>
        <item t="default"/>
      </items>
    </pivotField>
    <pivotField name="Follow up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Follow up Time" compact="0" numFmtId="19"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Points to be prepar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Onboarding Status" axis="axisPage" compact="0" outline="0" multipleItemSelectionAllowed="1" showAll="0">
      <items>
        <item x="0"/>
        <item h="1" x="1"/>
        <item h="1" x="2"/>
        <item h="1" x="3"/>
        <item t="default"/>
      </items>
    </pivotField>
    <pivotField name="Restaurant Category" axis="axisCol" compact="0" outline="0" multipleItemSelectionAllowed="1" showAll="0" sortType="ascending">
      <items>
        <item h="1" x="0"/>
        <item h="1" x="5"/>
        <item h="1" x="4"/>
        <item h="1" x="6"/>
        <item x="2"/>
        <item x="1"/>
        <item x="3"/>
        <item t="default"/>
      </items>
    </pivotField>
    <pivotField name="AOV"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ating Capacit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POC 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t="default"/>
      </items>
    </pivotField>
    <pivotField name="POC 1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t="default"/>
      </items>
    </pivotField>
    <pivotField name="POC 1 EMAIL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POC 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POC 2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POC 2 EMAIL  ID" compact="0" outline="0" multipleItemSelectionAllowed="1" showAll="0">
      <items>
        <item x="0"/>
        <item x="1"/>
        <item x="2"/>
        <item x="3"/>
        <item x="4"/>
        <item t="default"/>
      </items>
    </pivotField>
    <pivotField name="FSSAI"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PAN Car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Labour License" compact="0" outline="0" multipleItemSelectionAllowed="1" showAll="0">
      <items>
        <item x="0"/>
        <item x="1"/>
        <item x="2"/>
        <item x="3"/>
        <item x="4"/>
        <item x="5"/>
        <item x="6"/>
        <item x="7"/>
        <item x="8"/>
        <item x="9"/>
        <item x="10"/>
        <item x="11"/>
        <item x="12"/>
        <item x="13"/>
        <item x="14"/>
        <item t="default"/>
      </items>
    </pivotField>
    <pivotField name="Menu (Imag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Bank Account Proof"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name="FSSAI Status" compact="0" outline="0" multipleItemSelectionAllowed="1" showAll="0">
      <items>
        <item x="0"/>
        <item x="1"/>
        <item t="default"/>
      </items>
    </pivotField>
    <pivotField name="GST Status" compact="0" outline="0" multipleItemSelectionAllowed="1" showAll="0">
      <items>
        <item x="0"/>
        <item x="1"/>
        <item t="default"/>
      </items>
    </pivotField>
    <pivotField name="PAN Card Status" compact="0" outline="0" multipleItemSelectionAllowed="1" showAll="0">
      <items>
        <item x="0"/>
        <item x="1"/>
        <item t="default"/>
      </items>
    </pivotField>
    <pivotField name="Labour License Status" compact="0" outline="0" multipleItemSelectionAllowed="1" showAll="0">
      <items>
        <item x="0"/>
        <item x="1"/>
        <item t="default"/>
      </items>
    </pivotField>
    <pivotField name="Menu Status" compact="0" outline="0" multipleItemSelectionAllowed="1" showAll="0">
      <items>
        <item x="0"/>
        <item x="1"/>
        <item t="default"/>
      </items>
    </pivotField>
    <pivotField name="Bank Account Proof Status" compact="0" outline="0" multipleItemSelectionAllowed="1" showAll="0">
      <items>
        <item x="0"/>
        <item x="1"/>
        <item t="default"/>
      </items>
    </pivotField>
    <pivotField name="Name on Bank Ac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name="Own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Owner Contact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Owner Email addres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Legal Entity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s>
  <rowFields>
    <field x="1"/>
  </rowFields>
  <colFields>
    <field x="9"/>
  </colFields>
  <pageFields>
    <pageField fld="8"/>
  </pageFields>
  <dataFields>
    <dataField name="COUNTA of Date" fld="0" subtotal="count" baseField="0"/>
  </dataFields>
</pivotTableDefinition>
</file>

<file path=xl/tables/table1.xml><?xml version="1.0" encoding="utf-8"?>
<table xmlns="http://schemas.openxmlformats.org/spreadsheetml/2006/main" ref="A1:BR1777" displayName="Form_Responses" name="Form_Responses" id="1">
  <tableColumns count="70">
    <tableColumn name="Timestamp" id="1"/>
    <tableColumn name="Date" id="2"/>
    <tableColumn name="Time" id="3"/>
    <tableColumn name="Type Of Meeting" id="4"/>
    <tableColumn name="Name of Restaurant ?_x000a_" id="5"/>
    <tableColumn name="Seating Capacity" id="6"/>
    <tableColumn name="AOV" id="7"/>
    <tableColumn name="POS" id="8"/>
    <tableColumn name="Daily Revenue? " id="9"/>
    <tableColumn name="Kind of Restaurant" id="10"/>
    <tableColumn name="Restaurant Live on " id="11"/>
    <tableColumn name="Claimed Margins (Competition) " id="12"/>
    <tableColumn name="Expected Margins (Caps)" id="13"/>
    <tableColumn name="No.of Branches?" id="14"/>
    <tableColumn name="Type of Ownership" id="15"/>
    <tableColumn name="GST" id="16"/>
    <tableColumn name="FSSAI" id="17"/>
    <tableColumn name="Labour License" id="18"/>
    <tableColumn name="Google Map Business link" id="19"/>
    <tableColumn name="Restaurant ID" id="20"/>
    <tableColumn name="Name (POC-1)" id="21"/>
    <tableColumn name="Contact Number (POC-1)" id="22"/>
    <tableColumn name="Email- ID (POC-1)" id="23"/>
    <tableColumn name="Name (POC-2)" id="24"/>
    <tableColumn name="Contact Number (POC-2)" id="25"/>
    <tableColumn name="Email- ID (POC-2)" id="26"/>
    <tableColumn name="Do you want to Submit Documents" id="27"/>
    <tableColumn name="FSSAI Number" id="28"/>
    <tableColumn name="FSSAI 2" id="29"/>
    <tableColumn name="GST Number" id="30"/>
    <tableColumn name="GST 2" id="31"/>
    <tableColumn name="PAN Number" id="32"/>
    <tableColumn name="PAN Card" id="33"/>
    <tableColumn name="Labour License Number" id="34"/>
    <tableColumn name="Labour License 2" id="35"/>
    <tableColumn name="Menu (Image)" id="36"/>
    <tableColumn name="Bank Account Proof" id="37"/>
    <tableColumn name="Account Number" id="38"/>
    <tableColumn name="IFSC " id="39"/>
    <tableColumn name="Name on Bank Account" id="40"/>
    <tableColumn name="Owner Name" id="41"/>
    <tableColumn name="Owner Contact Number" id="42"/>
    <tableColumn name="Owner Email address" id="43"/>
    <tableColumn name="Legal Entity Name" id="44"/>
    <tableColumn name="Onboarding Done" id="45"/>
    <tableColumn name="Remarks(Comments)" id="46"/>
    <tableColumn name="Follow Up Meeting Required?" id="47"/>
    <tableColumn name="Meeting agenda for follow up" id="48"/>
    <tableColumn name="Points to be prepared" id="49"/>
    <tableColumn name="Meeting Date" id="50"/>
    <tableColumn name="Meeting Time" id="51"/>
    <tableColumn name="Email address" id="52"/>
    <tableColumn name="Cold Walk/ Scheduled" id="53"/>
    <tableColumn name="POC Available" id="54"/>
    <tableColumn name="Manager Name" id="55"/>
    <tableColumn name="Manager Contact Details" id="56"/>
    <tableColumn name="Manager Email ID" id="57"/>
    <tableColumn name="Manager Contact Number" id="58"/>
    <tableColumn name="Manager Email ID 2" id="59"/>
    <tableColumn name="Caps Magin %" id="60"/>
    <tableColumn name="Additional 2% Distance Margin " id="61"/>
    <tableColumn name="Restaurant Open Time" id="62"/>
    <tableColumn name="Restaurant Close Time" id="63"/>
    <tableColumn name="Daily Online Orders" id="64"/>
    <tableColumn name="Restaurant Address" id="65"/>
    <tableColumn name="Cluster" id="66"/>
    <tableColumn name="Name of Restaurant Walk" id="67"/>
    <tableColumn name="Name of Restaurant" id="68"/>
    <tableColumn name="Name of Ra" id="69"/>
    <tableColumn name="Restaurant Name Concat" id="70"/>
  </tableColumns>
  <tableStyleInfo name="Form responses 1-style" showColumnStripes="0" showFirstColumn="1" showLastColumn="1" showRowStripes="1"/>
</table>
</file>

<file path=xl/tables/table2.xml><?xml version="1.0" encoding="utf-8"?>
<table xmlns="http://schemas.openxmlformats.org/spreadsheetml/2006/main" ref="A1:BQ97" displayName="Table_1" name="Table_1" id="2">
  <tableColumns count="69">
    <tableColumn name="Timestamp" id="1"/>
    <tableColumn name="Date" id="2"/>
    <tableColumn name="Time" id="3"/>
    <tableColumn name="Type Of Meeting" id="4"/>
    <tableColumn name="Restaurant Name Concat" id="5"/>
    <tableColumn name="Seating Capacity" id="6"/>
    <tableColumn name="AOV" id="7"/>
    <tableColumn name="POS" id="8"/>
    <tableColumn name="Daily Revenue? " id="9"/>
    <tableColumn name="Kind of Restaurant" id="10"/>
    <tableColumn name="Restaurant Live on " id="11"/>
    <tableColumn name="Claimed Margins (Competition) " id="12"/>
    <tableColumn name="Expected Margins (Caps)" id="13"/>
    <tableColumn name="No.of Branches?" id="14"/>
    <tableColumn name="Type of Ownership" id="15"/>
    <tableColumn name="GST" id="16"/>
    <tableColumn name="FSSAI" id="17"/>
    <tableColumn name="Labour License" id="18"/>
    <tableColumn name="Google Map Business link" id="19"/>
    <tableColumn name="Restaurant ID" id="20"/>
    <tableColumn name="Name (POC-1)" id="21"/>
    <tableColumn name="Contact Number (POC-1)" id="22"/>
    <tableColumn name="Email- ID (POC-1)" id="23"/>
    <tableColumn name="Name (POC-2)" id="24"/>
    <tableColumn name="Contact Number (POC-2)" id="25"/>
    <tableColumn name="Email- ID (POC-2)" id="26"/>
    <tableColumn name="Do you want to Submit Documents" id="27"/>
    <tableColumn name="FSSAI Number" id="28"/>
    <tableColumn name="FSSAI 2" id="29"/>
    <tableColumn name="GST Number" id="30"/>
    <tableColumn name="GST 2" id="31"/>
    <tableColumn name="PAN Number" id="32"/>
    <tableColumn name="PAN Card" id="33"/>
    <tableColumn name="Labour License Number" id="34"/>
    <tableColumn name="Labour License 2" id="35"/>
    <tableColumn name="Menu (Image)" id="36"/>
    <tableColumn name="Bank Account Proof" id="37"/>
    <tableColumn name="Account Number" id="38"/>
    <tableColumn name="IFSC " id="39"/>
    <tableColumn name="Name on Bank Account" id="40"/>
    <tableColumn name="Owner Name" id="41"/>
    <tableColumn name="Owner Contact Number" id="42"/>
    <tableColumn name="Owner Email address" id="43"/>
    <tableColumn name="Legal Entity Name" id="44"/>
    <tableColumn name="Onboarding Done" id="45"/>
    <tableColumn name="Remarks(Comments)" id="46"/>
    <tableColumn name="Follow Up Meeting Required?" id="47"/>
    <tableColumn name="Meeting agenda for follow up" id="48"/>
    <tableColumn name="Points to be prepared" id="49"/>
    <tableColumn name="Meeting Date" id="50"/>
    <tableColumn name="Meeting Time" id="51"/>
    <tableColumn name="Email address" id="52"/>
    <tableColumn name="Cold Walk/ Scheduled" id="53"/>
    <tableColumn name="POC Available" id="54"/>
    <tableColumn name="Manager Name" id="55"/>
    <tableColumn name="Manager Contact Details" id="56"/>
    <tableColumn name="Manager Email ID" id="57"/>
    <tableColumn name="Manager Contact Number" id="58"/>
    <tableColumn name="Manager Email ID 2" id="59"/>
    <tableColumn name="Caps Magin %" id="60"/>
    <tableColumn name="Additional 2% Distance Margin " id="61"/>
    <tableColumn name="Restaurant Open Time" id="62"/>
    <tableColumn name="Restaurant Close Time" id="63"/>
    <tableColumn name="Daily Online Orders" id="64"/>
    <tableColumn name="Restaurant Address" id="65"/>
    <tableColumn name="Cluster" id="66"/>
    <tableColumn name="Name of Restaurant Walk" id="67"/>
    <tableColumn name="Name of Restaurant" id="68"/>
    <tableColumn name="Name of Ra" id="69"/>
  </tableColumns>
  <tableStyleInfo name="Detail19-Tier-1(AOV&gt;40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ps.app.goo.gl/6iuCt9p5WZeixZtb6?g_st=ic" TargetMode="External"/><Relationship Id="rId194" Type="http://schemas.openxmlformats.org/officeDocument/2006/relationships/hyperlink" Target="https://drive.google.com/open?id=1bOdmrQWowW-khG2i25-X3I8JS1GVT-FV" TargetMode="External"/><Relationship Id="rId193" Type="http://schemas.openxmlformats.org/officeDocument/2006/relationships/hyperlink" Target="https://drive.google.com/open?id=1Esnne3EF0nDCVFY0yNF0s-O0oIeM9LkT" TargetMode="External"/><Relationship Id="rId192" Type="http://schemas.openxmlformats.org/officeDocument/2006/relationships/hyperlink" Target="https://drive.google.com/open?id=17M8j3mFhZFG3wU77l4cQMHYhXq8pD0tH" TargetMode="External"/><Relationship Id="rId191" Type="http://schemas.openxmlformats.org/officeDocument/2006/relationships/hyperlink" Target="https://maps.app.goo.gl/Nk7sXotTrfTDzGZ97?g_st=ic" TargetMode="External"/><Relationship Id="rId187" Type="http://schemas.openxmlformats.org/officeDocument/2006/relationships/hyperlink" Target="https://drive.google.com/open?id=1v0Q4P_xuBK-3EP4oJ5-F7SUtrC346hHR" TargetMode="External"/><Relationship Id="rId186" Type="http://schemas.openxmlformats.org/officeDocument/2006/relationships/hyperlink" Target="https://drive.google.com/open?id=1W5DvnQWJlR0kGJulI7-q7OPepzyaL_ZD" TargetMode="External"/><Relationship Id="rId185" Type="http://schemas.openxmlformats.org/officeDocument/2006/relationships/hyperlink" Target="https://drive.google.com/open?id=1qE5ez9Tj8VeTC7DGpU3OzbvCVZGo-IC-" TargetMode="External"/><Relationship Id="rId184" Type="http://schemas.openxmlformats.org/officeDocument/2006/relationships/hyperlink" Target="https://drive.google.com/open?id=1OhYuUPJZtUt9ADEJV6NmHD-6_CD-YagI" TargetMode="External"/><Relationship Id="rId189" Type="http://schemas.openxmlformats.org/officeDocument/2006/relationships/hyperlink" Target="https://drive.google.com/open?id=12sMx09M1ImUhIZqd82WIvNaInTBWDcDb" TargetMode="External"/><Relationship Id="rId188" Type="http://schemas.openxmlformats.org/officeDocument/2006/relationships/hyperlink" Target="https://drive.google.com/open?id=1I0nDgARq3-b4FG1xDYyGvkDT3cyzY6YV" TargetMode="External"/><Relationship Id="rId183" Type="http://schemas.openxmlformats.org/officeDocument/2006/relationships/hyperlink" Target="https://maps.app.goo.gl/rLANGzUP8SGcpU1U9" TargetMode="External"/><Relationship Id="rId182" Type="http://schemas.openxmlformats.org/officeDocument/2006/relationships/hyperlink" Target="https://drive.google.com/open?id=1hHYKH2vaxK2MdQvW2T-DLbQa7QTnUOnE" TargetMode="External"/><Relationship Id="rId181" Type="http://schemas.openxmlformats.org/officeDocument/2006/relationships/hyperlink" Target="https://drive.google.com/open?id=1aJ7jyiQI1BxadWuyiDV75Cr6pKDhzzPn" TargetMode="External"/><Relationship Id="rId180" Type="http://schemas.openxmlformats.org/officeDocument/2006/relationships/hyperlink" Target="https://drive.google.com/open?id=1QmWrK_rT287ulHBndycSFpNyv3pFYCxb" TargetMode="External"/><Relationship Id="rId176" Type="http://schemas.openxmlformats.org/officeDocument/2006/relationships/hyperlink" Target="https://drive.google.com/open?id=1PdI1UU9f5OPowNVgD7fReE2oDtxxx4Mn" TargetMode="External"/><Relationship Id="rId175" Type="http://schemas.openxmlformats.org/officeDocument/2006/relationships/hyperlink" Target="https://www.google.com/maps/place/Hitech+Bawarchi+Food+Court/@17.4411555,78.3891442,17z/data=!3m2!4b1!5s0x3bcb915c69673b95:0x2e57b919b7100bcf!4m6!3m5!1s0x3bcb915c697f825f:0x1a999cc2808c5734!8m2!3d17.4411504!4d78.3917191!16s%2Fg%2F11byxft_qc?entry=ttu&amp;g_ep=EgoyMDI2MDIwNC4wIKXMDSoASAFQAw%3D%3D" TargetMode="External"/><Relationship Id="rId174" Type="http://schemas.openxmlformats.org/officeDocument/2006/relationships/hyperlink" Target="https://maps.app.goo.gl/Ee99adJhmANZ7wbi8" TargetMode="External"/><Relationship Id="rId173" Type="http://schemas.openxmlformats.org/officeDocument/2006/relationships/hyperlink" Target="https://drive.google.com/open?id=1CsPd5PJwoKYcmy0ljOmn5Tm4rcNoXc_o" TargetMode="External"/><Relationship Id="rId179" Type="http://schemas.openxmlformats.org/officeDocument/2006/relationships/hyperlink" Target="https://drive.google.com/open?id=1P_CpJZaQU2rNcw0-VvaemxIwfiMVd5Jx" TargetMode="External"/><Relationship Id="rId178" Type="http://schemas.openxmlformats.org/officeDocument/2006/relationships/hyperlink" Target="https://drive.google.com/open?id=16XFbrGSMZvIL1QzjcXJBj1KIHbIhWKDf" TargetMode="External"/><Relationship Id="rId177" Type="http://schemas.openxmlformats.org/officeDocument/2006/relationships/hyperlink" Target="https://drive.google.com/open?id=19BCFWchfw9SLUCNJLnr37brcZdh2n_qP" TargetMode="External"/><Relationship Id="rId198" Type="http://schemas.openxmlformats.org/officeDocument/2006/relationships/hyperlink" Target="https://drive.google.com/open?id=1fZKkhOY4LGNL-4ZQ8W2N88rEaTjYMZ6T" TargetMode="External"/><Relationship Id="rId197" Type="http://schemas.openxmlformats.org/officeDocument/2006/relationships/hyperlink" Target="https://drive.google.com/open?id=1xf1yB3ZQVA3SzkTp9AW2VoLh9LPy_xvg" TargetMode="External"/><Relationship Id="rId196" Type="http://schemas.openxmlformats.org/officeDocument/2006/relationships/hyperlink" Target="https://drive.google.com/open?id=1_xt5uT6DbdEE-AEue2BQMzy6YXo2zcIg" TargetMode="External"/><Relationship Id="rId195" Type="http://schemas.openxmlformats.org/officeDocument/2006/relationships/hyperlink" Target="https://drive.google.com/open?id=1r64PXvZavziIzd-tSp9m3zPWq4KCPVd6" TargetMode="External"/><Relationship Id="rId199" Type="http://schemas.openxmlformats.org/officeDocument/2006/relationships/hyperlink" Target="https://share.google/NGYbU0jsM5QQzbN2H" TargetMode="External"/><Relationship Id="rId150" Type="http://schemas.openxmlformats.org/officeDocument/2006/relationships/hyperlink" Target="https://drive.google.com/open?id=14aEMqG4cRhEAWWWEUNigYvfesqexjYkw" TargetMode="External"/><Relationship Id="rId392" Type="http://schemas.openxmlformats.org/officeDocument/2006/relationships/hyperlink" Target="https://drive.google.com/open?id=125T7pFP7_Nj1RyExE6yiGLlMNItiF0U5" TargetMode="External"/><Relationship Id="rId391" Type="http://schemas.openxmlformats.org/officeDocument/2006/relationships/hyperlink" Target="https://www.google.com/maps/place/Yum+Yum+Tree+Arabian+Food+Court+gachibowli/@17.4305869,78.3219044,17z/data=!3m1!4b1!4m6!3m5!1s0x3bcb936f8238cc77:0x170954685a40fb08!8m2!3d17.4305818!4d78.3244793!16s%2Fg%2F11f4t6jqmj?entry=ttu&amp;g_ep=EgoyMDI2MDIxMS4wIKXMDSoASAFQAw%3D%3D" TargetMode="External"/><Relationship Id="rId390" Type="http://schemas.openxmlformats.org/officeDocument/2006/relationships/hyperlink" Target="https://drive.google.com/open?id=1QzadrdF1fruc3XZQktLe8rw6eHtQSBeF" TargetMode="External"/><Relationship Id="rId1" Type="http://schemas.openxmlformats.org/officeDocument/2006/relationships/hyperlink" Target="https://drive.google.com/open?id=1K2GAYdf9j8OoeRQJN7a2rrWNqrJv-Yr8" TargetMode="External"/><Relationship Id="rId2" Type="http://schemas.openxmlformats.org/officeDocument/2006/relationships/hyperlink" Target="https://drive.google.com/open?id=1Xrc3uPOk64pgUM1gMvRHq-hhYc6pYKJT" TargetMode="External"/><Relationship Id="rId3" Type="http://schemas.openxmlformats.org/officeDocument/2006/relationships/hyperlink" Target="https://drive.google.com/open?id=1P8o5u-wkGayDLIcyTArlaMzpPcBL8IP1" TargetMode="External"/><Relationship Id="rId149" Type="http://schemas.openxmlformats.org/officeDocument/2006/relationships/hyperlink" Target="https://drive.google.com/open?id=1f3HDxJ2e7YVMA6zQIKF8G75AQEmqiRfH" TargetMode="External"/><Relationship Id="rId4" Type="http://schemas.openxmlformats.org/officeDocument/2006/relationships/hyperlink" Target="https://drive.google.com/open?id=1zOmxq565qkkMqqCAFCaCRWzjb7i60OTF" TargetMode="External"/><Relationship Id="rId148" Type="http://schemas.openxmlformats.org/officeDocument/2006/relationships/hyperlink" Target="https://drive.google.com/open?id=1LLEJekJcTxrNm2QagzhMxqyDXOWjpyCP" TargetMode="External"/><Relationship Id="rId9" Type="http://schemas.openxmlformats.org/officeDocument/2006/relationships/hyperlink" Target="https://drive.google.com/open?id=1wmAzfgRO6AUexNEcncft5vbltGIV8av4" TargetMode="External"/><Relationship Id="rId143" Type="http://schemas.openxmlformats.org/officeDocument/2006/relationships/hyperlink" Target="https://drive.google.com/open?id=1nFJkCl5MASyahmgFBFpfuuaFmGwr4WfO" TargetMode="External"/><Relationship Id="rId385" Type="http://schemas.openxmlformats.org/officeDocument/2006/relationships/hyperlink" Target="https://drive.google.com/open?id=1qBXCbE_vTaiYmE4_PYtfAjCd5k4f_Ji8" TargetMode="External"/><Relationship Id="rId142" Type="http://schemas.openxmlformats.org/officeDocument/2006/relationships/hyperlink" Target="https://drive.google.com/open?id=12EAJVco-KdWw1uSYlFtmmTicVZ84gYM2" TargetMode="External"/><Relationship Id="rId384" Type="http://schemas.openxmlformats.org/officeDocument/2006/relationships/hyperlink" Target="https://drive.google.com/open?id=1aI50gadedsudO6h3wLqQp1xHLebrCR10" TargetMode="External"/><Relationship Id="rId141" Type="http://schemas.openxmlformats.org/officeDocument/2006/relationships/hyperlink" Target="https://drive.google.com/open?id=1QBcjT0hK85JwnNDGRyW3KOcdn-M1YT8-" TargetMode="External"/><Relationship Id="rId383" Type="http://schemas.openxmlformats.org/officeDocument/2006/relationships/hyperlink" Target="https://drive.google.com/open?id=1QNYcLPMeC0UgmXXSnFXDTAgyB8qfLFME" TargetMode="External"/><Relationship Id="rId140" Type="http://schemas.openxmlformats.org/officeDocument/2006/relationships/hyperlink" Target="https://drive.google.com/open?id=1eEfT6eZGwPzwadX92zbnoIOERbRBDC6Z" TargetMode="External"/><Relationship Id="rId382" Type="http://schemas.openxmlformats.org/officeDocument/2006/relationships/hyperlink" Target="https://drive.google.com/open?id=1Vk7oOI9LH_xIejew7Y-jbw9vU268TCPa" TargetMode="External"/><Relationship Id="rId5" Type="http://schemas.openxmlformats.org/officeDocument/2006/relationships/hyperlink" Target="https://drive.google.com/open?id=1qsXvdJuct7_aToPR8ThIMJcmid9TRtyr" TargetMode="External"/><Relationship Id="rId147" Type="http://schemas.openxmlformats.org/officeDocument/2006/relationships/hyperlink" Target="https://www.google.com/maps/place/Lucky+Multicuisine+Restaurant/@17.422848,78.4586384,17z/data=!3m1!4b1!4m6!3m5!1s0x3bcb90b4f1a76c29:0x2dd97a740a6f0a53!8m2!3d17.4228429!4d78.4612133!16s%2Fg%2F11fr3lwfw5?hl=en&amp;entry=ttu&amp;g_ep=EgoyMDI2MDIwMS4wIKXMDSoKLDEwMDc5MjA2OUgBUAM%3D" TargetMode="External"/><Relationship Id="rId389" Type="http://schemas.openxmlformats.org/officeDocument/2006/relationships/hyperlink" Target="https://drive.google.com/open?id=1eUsNeyEj8OgtygeMyLiVEJod82SwU5zN" TargetMode="External"/><Relationship Id="rId6" Type="http://schemas.openxmlformats.org/officeDocument/2006/relationships/hyperlink" Target="https://maps.app.goo.gl/QukQHejyepep1eaLA?g_st=ic" TargetMode="External"/><Relationship Id="rId146" Type="http://schemas.openxmlformats.org/officeDocument/2006/relationships/hyperlink" Target="https://drive.google.com/open?id=1cyi3Awg4bkM-qh0jCZ9AYvANscdYVEcQ" TargetMode="External"/><Relationship Id="rId388" Type="http://schemas.openxmlformats.org/officeDocument/2006/relationships/hyperlink" Target="https://drive.google.com/open?id=1fyc7UMJwnYQe1gnfEn6ERAWKYc96dUR9" TargetMode="External"/><Relationship Id="rId7" Type="http://schemas.openxmlformats.org/officeDocument/2006/relationships/hyperlink" Target="https://drive.google.com/open?id=1zQ8cp3_66Bhden1m6eXDLNsshBt8JXb3" TargetMode="External"/><Relationship Id="rId145" Type="http://schemas.openxmlformats.org/officeDocument/2006/relationships/hyperlink" Target="https://drive.google.com/open?id=1d4BXXvEiNmx6Dq1mA_V9h4cZaoAkrMjq" TargetMode="External"/><Relationship Id="rId387" Type="http://schemas.openxmlformats.org/officeDocument/2006/relationships/hyperlink" Target="https://drive.google.com/open?id=1waSIzAH-MIZnU9Z2Cf4OEIbVIJfuSsAd" TargetMode="External"/><Relationship Id="rId8" Type="http://schemas.openxmlformats.org/officeDocument/2006/relationships/hyperlink" Target="https://drive.google.com/open?id=1jDd9udZkiYFM95E6qDnBXxB9dZAPA3Q6" TargetMode="External"/><Relationship Id="rId144" Type="http://schemas.openxmlformats.org/officeDocument/2006/relationships/hyperlink" Target="https://drive.google.com/open?id=1mGWWMK_seDKY43K2NZSUjD03Ky_AuJtM" TargetMode="External"/><Relationship Id="rId386" Type="http://schemas.openxmlformats.org/officeDocument/2006/relationships/hyperlink" Target="https://www.google.com/maps/place/Malabar+Kitchen/@17.4509053,78.3083533,17z/data=!3m1!4b1!4m6!3m5!1s0x3bcb93c30d57cb29:0xf2046a6c2f2ee5b6!8m2!3d17.4509002!4d78.3109282!16s%2Fg%2F11h7r438dt?entry=ttu&amp;g_ep=EgoyMDI2MDIxMS4wIKXMDSoASAFQAw%3D%3D" TargetMode="External"/><Relationship Id="rId381" Type="http://schemas.openxmlformats.org/officeDocument/2006/relationships/hyperlink" Target="https://drive.google.com/open?id=1QjCULw6L2OGsSDChaQymVKSkeE7zaATb" TargetMode="External"/><Relationship Id="rId380" Type="http://schemas.openxmlformats.org/officeDocument/2006/relationships/hyperlink" Target="https://drive.google.com/open?id=1lEvwVgmvQfRvkTPM7gykXehs-Dwt-ffx" TargetMode="External"/><Relationship Id="rId139" Type="http://schemas.openxmlformats.org/officeDocument/2006/relationships/hyperlink" Target="https://drive.google.com/open?id=1RXkZ-moPk64eEHlh8LGIRgU1nGyi4Hm-" TargetMode="External"/><Relationship Id="rId138" Type="http://schemas.openxmlformats.org/officeDocument/2006/relationships/hyperlink" Target="https://drive.google.com/open?id=12gU5eBF4h4UumpvRgJOtQk-imBWvHY8u" TargetMode="External"/><Relationship Id="rId137" Type="http://schemas.openxmlformats.org/officeDocument/2006/relationships/hyperlink" Target="https://drive.google.com/open?id=1iJA6UzP29nUggmceli9hvRZ-6uEpTCFf" TargetMode="External"/><Relationship Id="rId379" Type="http://schemas.openxmlformats.org/officeDocument/2006/relationships/hyperlink" Target="https://drive.google.com/open?id=1_oMdjFshA5OacqXz-P5K3wFYDMTELQH3" TargetMode="External"/><Relationship Id="rId132" Type="http://schemas.openxmlformats.org/officeDocument/2006/relationships/hyperlink" Target="https://drive.google.com/open?id=1Z-lRC1l3IL3T3kyON-FcG7O_JcxZeZJF" TargetMode="External"/><Relationship Id="rId374" Type="http://schemas.openxmlformats.org/officeDocument/2006/relationships/hyperlink" Target="https://drive.google.com/open?id=1IBDIV6ROtZVYMZFcVDruA8ZCPQ2NC7cK" TargetMode="External"/><Relationship Id="rId131" Type="http://schemas.openxmlformats.org/officeDocument/2006/relationships/hyperlink" Target="https://www.google.com/maps/place/SUBHAM+GRAND+MULTICUISINE+FAMILY+RESTAURANT/@17.4261765,78.4544318,17z/data=!3m1!4b1!4m6!3m5!1s0x3bcb975c71ce4f23:0xaf7b1a826964a38f!8m2!3d17.4261714!4d78.4570067!16s%2Fg%2F11w4twbg4t?entry=ttu&amp;g_ep=EgoyMDI2MDIwNC4wIKXMDSoASAFQAw%3D%3D" TargetMode="External"/><Relationship Id="rId373" Type="http://schemas.openxmlformats.org/officeDocument/2006/relationships/hyperlink" Target="https://drive.google.com/open?id=1YtsOjbmfLCJHe1vfL7Jb_0ohsVBQEOKV" TargetMode="External"/><Relationship Id="rId130" Type="http://schemas.openxmlformats.org/officeDocument/2006/relationships/hyperlink" Target="https://drive.google.com/open?id=1qCkHg4Q5BTWb_r67QEH7wbvl6kslEcxf" TargetMode="External"/><Relationship Id="rId372" Type="http://schemas.openxmlformats.org/officeDocument/2006/relationships/hyperlink" Target="https://drive.google.com/open?id=1FaoWhwagdXOqBkQSbc5J4CR47LYsrDkN" TargetMode="External"/><Relationship Id="rId371" Type="http://schemas.openxmlformats.org/officeDocument/2006/relationships/hyperlink" Target="https://drive.google.com/open?id=1JdgccoLtSZE2h7hkXgz_valyJD6DBH9w" TargetMode="External"/><Relationship Id="rId136" Type="http://schemas.openxmlformats.org/officeDocument/2006/relationships/hyperlink" Target="https://drive.google.com/open?id=1EzGKkfBdCwxpUid7iVSOGiOiFaC375_N" TargetMode="External"/><Relationship Id="rId378" Type="http://schemas.openxmlformats.org/officeDocument/2006/relationships/hyperlink" Target="https://www.google.com/maps/place/Hi-Tech+Bawarchi+Multi+Cuisine+Restaurant/@17.4463925,78.3553254,17z/data=!3m1!4b1!4m6!3m5!1s0x3bcb93957fc72207:0x7041b4aed2113221!8m2!3d17.4463874!4d78.3579003!16s%2Fg%2F119wpxspp?hl=en&amp;entry=ttu&amp;g_ep=EgoyMDI2MDIxMS4wIKXMDSoASAFQAw%3D%3D" TargetMode="External"/><Relationship Id="rId135" Type="http://schemas.openxmlformats.org/officeDocument/2006/relationships/hyperlink" Target="https://drive.google.com/open?id=14aiEgHPTLKqKHTq6XSwqDEBE2xAfhvkI" TargetMode="External"/><Relationship Id="rId377" Type="http://schemas.openxmlformats.org/officeDocument/2006/relationships/hyperlink" Target="https://drive.google.com/open?id=1umbnoHwDcTbur0RGBkkD4OYAZW2Kxi1p" TargetMode="External"/><Relationship Id="rId134" Type="http://schemas.openxmlformats.org/officeDocument/2006/relationships/hyperlink" Target="https://drive.google.com/open?id=12s2f57VzvxLLaOdnwoVFKLOsBR6DugpZ" TargetMode="External"/><Relationship Id="rId376" Type="http://schemas.openxmlformats.org/officeDocument/2006/relationships/hyperlink" Target="https://drive.google.com/open?id=1qzmK3TLyJFsE8wG4oqpQujaSq0R3R3Xt" TargetMode="External"/><Relationship Id="rId133" Type="http://schemas.openxmlformats.org/officeDocument/2006/relationships/hyperlink" Target="https://drive.google.com/open?id=1ve20UFwuWtQjg3TMnjmn_jLJwONfRNiH" TargetMode="External"/><Relationship Id="rId375" Type="http://schemas.openxmlformats.org/officeDocument/2006/relationships/hyperlink" Target="https://drive.google.com/open?id=1xjX5JwWB2h-OdF7dTFNTZzEZgfatGvaC" TargetMode="External"/><Relationship Id="rId172" Type="http://schemas.openxmlformats.org/officeDocument/2006/relationships/hyperlink" Target="https://drive.google.com/open?id=1-SCscuHBy-YUrhyfqQGP43svE7_kLMWr" TargetMode="External"/><Relationship Id="rId171" Type="http://schemas.openxmlformats.org/officeDocument/2006/relationships/hyperlink" Target="https://drive.google.com/open?id=1iR45OA_9VnjsNVeuN-H1TZ1lyxkj8tq2" TargetMode="External"/><Relationship Id="rId170" Type="http://schemas.openxmlformats.org/officeDocument/2006/relationships/hyperlink" Target="https://drive.google.com/open?id=1tUv-8B6zLHP5QCXxzN1yLw_QwqmSiAES" TargetMode="External"/><Relationship Id="rId165" Type="http://schemas.openxmlformats.org/officeDocument/2006/relationships/hyperlink" Target="https://drive.google.com/open?id=1TKBICOHdgFm-5O9irakhUBYhhEYE5Ogf" TargetMode="External"/><Relationship Id="rId164" Type="http://schemas.openxmlformats.org/officeDocument/2006/relationships/hyperlink" Target="https://drive.google.com/open?id=1dzCPMgBk7v1BOPqjGbCpJvxzaj3B5s04" TargetMode="External"/><Relationship Id="rId163" Type="http://schemas.openxmlformats.org/officeDocument/2006/relationships/hyperlink" Target="https://maps.app.goo.gl/sYXCnfhqxd3hu7ip9" TargetMode="External"/><Relationship Id="rId162" Type="http://schemas.openxmlformats.org/officeDocument/2006/relationships/hyperlink" Target="https://maps.app.goo.gl/h5mfCSmAMJu8DGXGA?g_st=ic" TargetMode="External"/><Relationship Id="rId169" Type="http://schemas.openxmlformats.org/officeDocument/2006/relationships/hyperlink" Target="https://maps.app.goo.gl/at2JYB7H8y98ogrP6" TargetMode="External"/><Relationship Id="rId168" Type="http://schemas.openxmlformats.org/officeDocument/2006/relationships/hyperlink" Target="https://drive.google.com/open?id=1RJg0vZYb8rpZ2eJBCHN88JVswb33w6cp" TargetMode="External"/><Relationship Id="rId167" Type="http://schemas.openxmlformats.org/officeDocument/2006/relationships/hyperlink" Target="https://drive.google.com/open?id=1xB7gqJCUL6xbRxNZqDKvTuXJj0yO8EYc" TargetMode="External"/><Relationship Id="rId166" Type="http://schemas.openxmlformats.org/officeDocument/2006/relationships/hyperlink" Target="https://drive.google.com/open?id=1XOEGZNv7dqwn1eaZHpqzdPOQ_bcOsHXU" TargetMode="External"/><Relationship Id="rId161" Type="http://schemas.openxmlformats.org/officeDocument/2006/relationships/hyperlink" Target="https://maps.app.goo.gl/MLPAk8oqSLDkFd4U9" TargetMode="External"/><Relationship Id="rId160" Type="http://schemas.openxmlformats.org/officeDocument/2006/relationships/hyperlink" Target="http://google.com/maps?sca_esv=dcb567104b2294d0&amp;sxsrf=ANbL-n5lqbl4Fui7H-cLK-YtgJP6EbfQNg:1770874365686&amp;biw=1366&amp;bih=581&amp;um=1&amp;ie=UTF-8&amp;fb=1&amp;gl=in&amp;sa=X&amp;geocode=KYnj5j4Nk8s7MboSR4ZVvDAD&amp;daddr=C9VM%2BFH2,+Patrika+Nagar,+HITEC+City,+Hyderabad,+Telangana+500081" TargetMode="External"/><Relationship Id="rId159" Type="http://schemas.openxmlformats.org/officeDocument/2006/relationships/hyperlink" Target="https://drive.google.com/open?id=1z9xSy2R7BX9_IGQo40Fw_7fa7sypwjLg" TargetMode="External"/><Relationship Id="rId154" Type="http://schemas.openxmlformats.org/officeDocument/2006/relationships/hyperlink" Target="https://drive.google.com/open?id=1CkVgioQfrxvRRy0dt9R1ow16d6h9z3l2" TargetMode="External"/><Relationship Id="rId396" Type="http://schemas.openxmlformats.org/officeDocument/2006/relationships/hyperlink" Target="https://drive.google.com/open?id=1-6yZUYECRiR_Cjh4Tg5KruPhVbpZQQOW" TargetMode="External"/><Relationship Id="rId153" Type="http://schemas.openxmlformats.org/officeDocument/2006/relationships/hyperlink" Target="https://drive.google.com/open?id=1C6Yj7irP-AOhQl7Tm9zhPVp-6PeHCotG" TargetMode="External"/><Relationship Id="rId395" Type="http://schemas.openxmlformats.org/officeDocument/2006/relationships/hyperlink" Target="https://drive.google.com/open?id=1-PmbyHH_FFcytI0mUI-24IqfZBGvv0lV" TargetMode="External"/><Relationship Id="rId152" Type="http://schemas.openxmlformats.org/officeDocument/2006/relationships/hyperlink" Target="https://drive.google.com/open?id=1UlTTQTrZr1eADuCSZrV_BPpaH4jLCq_v" TargetMode="External"/><Relationship Id="rId394" Type="http://schemas.openxmlformats.org/officeDocument/2006/relationships/hyperlink" Target="https://drive.google.com/open?id=1ZqqbAXMee-gtK1xay_XrZdq-HxLWYqJo" TargetMode="External"/><Relationship Id="rId151" Type="http://schemas.openxmlformats.org/officeDocument/2006/relationships/hyperlink" Target="https://drive.google.com/open?id=1MSZTJnrSvojZAVGFGN9ERkT44CKcaSkX" TargetMode="External"/><Relationship Id="rId393" Type="http://schemas.openxmlformats.org/officeDocument/2006/relationships/hyperlink" Target="https://drive.google.com/open?id=1kQOQ0kicVr2cCG9DSM-uee5ZGrwBkTKr" TargetMode="External"/><Relationship Id="rId158" Type="http://schemas.openxmlformats.org/officeDocument/2006/relationships/hyperlink" Target="https://drive.google.com/open?id=1CvNTbmPl5H3Pl4kxzAGEv9k6yWwZYSnE" TargetMode="External"/><Relationship Id="rId157" Type="http://schemas.openxmlformats.org/officeDocument/2006/relationships/hyperlink" Target="https://drive.google.com/open?id=1M9oQEmkMPWMxfuaY50HMSDTxpW7WCXs4" TargetMode="External"/><Relationship Id="rId399" Type="http://schemas.openxmlformats.org/officeDocument/2006/relationships/hyperlink" Target="https://drive.google.com/open?id=1AIJY0WXmXEWz_SjgX4mvaV5iufPJIEDK" TargetMode="External"/><Relationship Id="rId156" Type="http://schemas.openxmlformats.org/officeDocument/2006/relationships/hyperlink" Target="https://drive.google.com/open?id=1DKhgeaOM1lxMrzSlLawBSx8tlUKAqWaQ" TargetMode="External"/><Relationship Id="rId398" Type="http://schemas.openxmlformats.org/officeDocument/2006/relationships/hyperlink" Target="https://maps.app.goo.gl/H9SX4U2MU2PjPQZe7" TargetMode="External"/><Relationship Id="rId155" Type="http://schemas.openxmlformats.org/officeDocument/2006/relationships/hyperlink" Target="https://drive.google.com/open?id=1mlYB2ikwWJ-JF1B6rw17HV_R-3hmedEX" TargetMode="External"/><Relationship Id="rId397" Type="http://schemas.openxmlformats.org/officeDocument/2006/relationships/hyperlink" Target="https://maps.app.goo.gl/H9SX4U2MU2PjPQZe7" TargetMode="External"/><Relationship Id="rId40" Type="http://schemas.openxmlformats.org/officeDocument/2006/relationships/hyperlink" Target="https://drive.google.com/open?id=1eq2DvTRrEKjx7F39onOqBAWekTlxGmlf" TargetMode="External"/><Relationship Id="rId42" Type="http://schemas.openxmlformats.org/officeDocument/2006/relationships/hyperlink" Target="https://maps.app.goo.gl/7YMoNqTWQYbg4jmu7" TargetMode="External"/><Relationship Id="rId41" Type="http://schemas.openxmlformats.org/officeDocument/2006/relationships/hyperlink" Target="https://drive.google.com/open?id=1EM4vsraBCi3CmJzJUZ8gpuR8XRGBOcDh" TargetMode="External"/><Relationship Id="rId44" Type="http://schemas.openxmlformats.org/officeDocument/2006/relationships/hyperlink" Target="https://drive.google.com/open?id=1-S0Ms1yARTteTRwzAtfYIosgIvtAoKrD" TargetMode="External"/><Relationship Id="rId43" Type="http://schemas.openxmlformats.org/officeDocument/2006/relationships/hyperlink" Target="https://drive.google.com/open?id=1FDLfrP2vE0w4X7UHEaSFNcpu27KdfG4j" TargetMode="External"/><Relationship Id="rId46" Type="http://schemas.openxmlformats.org/officeDocument/2006/relationships/hyperlink" Target="https://drive.google.com/open?id=1M7jn0BGrwdxzFH55n7AA8m6MyWVZRx1z" TargetMode="External"/><Relationship Id="rId45" Type="http://schemas.openxmlformats.org/officeDocument/2006/relationships/hyperlink" Target="https://www.google.com/maps/place/lucky+multi+cuisine+restaurant+madhapur/data=!4m2!3m1!1s0x3bcb915eea8173fb:0x9c806787d3a94d48?sa=X&amp;ved=1t:242&amp;ictx=111" TargetMode="External"/><Relationship Id="rId509" Type="http://schemas.openxmlformats.org/officeDocument/2006/relationships/hyperlink" Target="https://drive.google.com/open?id=1ihTahj5bPs21wOmS6eC1bXYzaehhK9Vx" TargetMode="External"/><Relationship Id="rId508" Type="http://schemas.openxmlformats.org/officeDocument/2006/relationships/hyperlink" Target="https://drive.google.com/open?id=1jK9HCsDFwdxaYpF7b51O45QtHOyVJ1fk" TargetMode="External"/><Relationship Id="rId503" Type="http://schemas.openxmlformats.org/officeDocument/2006/relationships/hyperlink" Target="https://drive.google.com/open?id=1R4_qb9yI6Wh_R93vETPXZuqmqeANtLWU" TargetMode="External"/><Relationship Id="rId745" Type="http://schemas.openxmlformats.org/officeDocument/2006/relationships/hyperlink" Target="https://drive.google.com/open?id=1hHbFX0jlNka_NOsQPGucTULDBgQhAKya" TargetMode="External"/><Relationship Id="rId502" Type="http://schemas.openxmlformats.org/officeDocument/2006/relationships/hyperlink" Target="https://maps.app.goo.gl/7zaYTnnraGZVayoE9" TargetMode="External"/><Relationship Id="rId744" Type="http://schemas.openxmlformats.org/officeDocument/2006/relationships/hyperlink" Target="https://drive.google.com/open?id=1guKv_Cj3x_o6TvbAEkSwqGm2WB5TRMy-" TargetMode="External"/><Relationship Id="rId501" Type="http://schemas.openxmlformats.org/officeDocument/2006/relationships/hyperlink" Target="https://drive.google.com/open?id=1dApwEatKCIsTwHGolk1RsoGqT6MzO3wM" TargetMode="External"/><Relationship Id="rId743" Type="http://schemas.openxmlformats.org/officeDocument/2006/relationships/hyperlink" Target="https://drive.google.com/open?id=1qCdhr2AD-05qs4tWmpivdqS03cvclkMd" TargetMode="External"/><Relationship Id="rId500" Type="http://schemas.openxmlformats.org/officeDocument/2006/relationships/hyperlink" Target="https://drive.google.com/open?id=1h-Z7g_Fm-6WYh8wpeUhJAc5VEE3UImSM" TargetMode="External"/><Relationship Id="rId742" Type="http://schemas.openxmlformats.org/officeDocument/2006/relationships/hyperlink" Target="https://drive.google.com/open?id=1JEn4YlMgDwnArRceuGakQkBu4ar29GJQ" TargetMode="External"/><Relationship Id="rId507" Type="http://schemas.openxmlformats.org/officeDocument/2006/relationships/hyperlink" Target="https://drive.google.com/open?id=1SYyUokC9rVQUv_iIDxbvpCNCC7fpFwnW" TargetMode="External"/><Relationship Id="rId749" Type="http://schemas.openxmlformats.org/officeDocument/2006/relationships/hyperlink" Target="https://drive.google.com/open?id=1QIIt_vECym2k-TduxMzZh2B6MGqNDOr7" TargetMode="External"/><Relationship Id="rId506" Type="http://schemas.openxmlformats.org/officeDocument/2006/relationships/hyperlink" Target="https://drive.google.com/open?id=1gHZnSRyXz_xmPAncGCGsyYVX_rT0ryr9" TargetMode="External"/><Relationship Id="rId748" Type="http://schemas.openxmlformats.org/officeDocument/2006/relationships/hyperlink" Target="https://drive.google.com/open?id=1FAkdximut1Elkc0pr9ZGPCZMPfLFuBCW" TargetMode="External"/><Relationship Id="rId505" Type="http://schemas.openxmlformats.org/officeDocument/2006/relationships/hyperlink" Target="https://maps.app.goo.gl/7gGytv11hEArWsgo6" TargetMode="External"/><Relationship Id="rId747" Type="http://schemas.openxmlformats.org/officeDocument/2006/relationships/hyperlink" Target="https://maps.app.goo.gl/6vbWDLY4L89VdBTu9" TargetMode="External"/><Relationship Id="rId504" Type="http://schemas.openxmlformats.org/officeDocument/2006/relationships/hyperlink" Target="https://drive.google.com/open?id=1SuBvPzKcXh6kQlJhrQrQyAxzFyRJ4hro" TargetMode="External"/><Relationship Id="rId746" Type="http://schemas.openxmlformats.org/officeDocument/2006/relationships/hyperlink" Target="https://drive.google.com/open?id=1JPqAG3J3RITBg-clM7q7o-pnsuTG8Iso" TargetMode="External"/><Relationship Id="rId48" Type="http://schemas.openxmlformats.org/officeDocument/2006/relationships/hyperlink" Target="https://drive.google.com/open?id=1NsZ5WcHnZIPbzaY8z4g91aZM_fe2ibN8" TargetMode="External"/><Relationship Id="rId47" Type="http://schemas.openxmlformats.org/officeDocument/2006/relationships/hyperlink" Target="https://drive.google.com/open?id=19lSB9R9cl_cCitMQsEsLggwyE9tp94F1" TargetMode="External"/><Relationship Id="rId49" Type="http://schemas.openxmlformats.org/officeDocument/2006/relationships/hyperlink" Target="https://maps.app.goo.gl/bVjfB92p6JmtmXyu9" TargetMode="External"/><Relationship Id="rId741" Type="http://schemas.openxmlformats.org/officeDocument/2006/relationships/hyperlink" Target="https://drive.google.com/open?id=1V2GBWW8QGsCm7zGwtUq_5eLjcpg7hkX_" TargetMode="External"/><Relationship Id="rId740" Type="http://schemas.openxmlformats.org/officeDocument/2006/relationships/hyperlink" Target="https://drive.google.com/open?id=1xCOLOWZCAs1YaC0vGe2kk4WyMtrdAdBe" TargetMode="External"/><Relationship Id="rId31" Type="http://schemas.openxmlformats.org/officeDocument/2006/relationships/hyperlink" Target="https://drive.google.com/open?id=12A0pBqsWeMNRgfr4-RewydCYL1MhGFzW" TargetMode="External"/><Relationship Id="rId30" Type="http://schemas.openxmlformats.org/officeDocument/2006/relationships/hyperlink" Target="https://www.google.com/maps/place/Rayalaseema+Spice+Restaurant/@17.4463018,78.3898889,17z/data=!3m1!4b1!4m6!3m5!1s0x3bcb91140c324827:0xb8961b47ea2ebc6a!8m2!3d17.4463018!4d78.3924638!16s%2Fg%2F11ks1mwcz0?entry=ttu&amp;g_ep=EgoyMDI2MDIwMS4wIKXMDSoKLDEwMDc5MjA2OUgBUAM%3D" TargetMode="External"/><Relationship Id="rId33" Type="http://schemas.openxmlformats.org/officeDocument/2006/relationships/hyperlink" Target="https://drive.google.com/open?id=1pP1p8yHifkOvlMj3fFQXJ-_zZU02HhTR" TargetMode="External"/><Relationship Id="rId32" Type="http://schemas.openxmlformats.org/officeDocument/2006/relationships/hyperlink" Target="https://drive.google.com/open?id=1w2-0S2iGSW_hsqhFAKZANxRRUo2t8rGA" TargetMode="External"/><Relationship Id="rId35" Type="http://schemas.openxmlformats.org/officeDocument/2006/relationships/hyperlink" Target="https://www.google.com/maps/place/Alankrutha+Restaurant/@17.44665,78.3922746,3a,75y,90t/data=!3m8!1e2!3m6!1sAF1QipN-ydSRKlr93jgWDRaakYdE5oV8xhAkUs2hDWna!2e10!3e12!6shttps:%2F%2Flh3.googleusercontent.com%2Fp%2FAF1QipN-ydSRKlr93jgWDRaakYdE5oV8xhAkUs2hDWna%3Dw203-h114-k-no!7i1920!8i1080!4m7!3m6!1s0x3bcb9100076d4f83:0x7e07d0c42ed99066!8m2!3d17.4466622!4d78.3923727!10e5!16s%2Fg%2F11m6k7vc6z?entry=ttu&amp;g_ep=EgoyMDI2MDIwMS4wIKXMDSoKLDEwMDc5MjA2OUgBUAM%3D" TargetMode="External"/><Relationship Id="rId34" Type="http://schemas.openxmlformats.org/officeDocument/2006/relationships/hyperlink" Target="https://drive.google.com/open?id=1B_C4vy9xoX9tPLwjSW2tR-EM6ekXOlYl" TargetMode="External"/><Relationship Id="rId739" Type="http://schemas.openxmlformats.org/officeDocument/2006/relationships/hyperlink" Target="https://drive.google.com/open?id=1xYvcew1vm2NmOkv7ChZ4SPsH3-5cppSs" TargetMode="External"/><Relationship Id="rId734" Type="http://schemas.openxmlformats.org/officeDocument/2006/relationships/hyperlink" Target="https://drive.google.com/open?id=1eFkc8IN0m7DLDeUyn0jLmgQvnogANdB8" TargetMode="External"/><Relationship Id="rId733" Type="http://schemas.openxmlformats.org/officeDocument/2006/relationships/hyperlink" Target="https://drive.google.com/open?id=1Jyt-2QRh4VWHH4Pn0ZouN2KKo2X3-DZ4" TargetMode="External"/><Relationship Id="rId732" Type="http://schemas.openxmlformats.org/officeDocument/2006/relationships/hyperlink" Target="https://drive.google.com/open?id=10lRQExd8BubtK2z0E2PaHxNrlYLZbWn1" TargetMode="External"/><Relationship Id="rId731" Type="http://schemas.openxmlformats.org/officeDocument/2006/relationships/hyperlink" Target="https://drive.google.com/open?id=12Bz7VC0RqoFHFbfFQJCg_I12soJGbFe3" TargetMode="External"/><Relationship Id="rId738" Type="http://schemas.openxmlformats.org/officeDocument/2006/relationships/hyperlink" Target="https://maps.app.goo.gl/J6fXcWdbKbn52DFf8" TargetMode="External"/><Relationship Id="rId737" Type="http://schemas.openxmlformats.org/officeDocument/2006/relationships/hyperlink" Target="https://drive.google.com/open?id=1SsWdZ2FxF2uEVv4zVgbc_IC2neGwB0qQ" TargetMode="External"/><Relationship Id="rId736" Type="http://schemas.openxmlformats.org/officeDocument/2006/relationships/hyperlink" Target="https://drive.google.com/open?id=1q2AZINXrp1zhAuitiqlGgnKgP6V3MVPT" TargetMode="External"/><Relationship Id="rId735" Type="http://schemas.openxmlformats.org/officeDocument/2006/relationships/hyperlink" Target="https://drive.google.com/open?id=10GcO4Bw1TSKSDgaNlx82hlJhVBT0lqHr" TargetMode="External"/><Relationship Id="rId37" Type="http://schemas.openxmlformats.org/officeDocument/2006/relationships/hyperlink" Target="https://drive.google.com/open?id=1lHnQS6jFD0j-ODzzm6ncc6Fds_MkMTOj" TargetMode="External"/><Relationship Id="rId36" Type="http://schemas.openxmlformats.org/officeDocument/2006/relationships/hyperlink" Target="https://drive.google.com/open?id=1yUrIaR5y55zD2nSA-kJ0RTpJklMZhyOE" TargetMode="External"/><Relationship Id="rId39" Type="http://schemas.openxmlformats.org/officeDocument/2006/relationships/hyperlink" Target="https://www.google.com/maps/place/Hunan+Chinese+Cuisine/@17.4478451,78.3885023,17z/data=!3m1!4b1!4m6!3m5!1s0x3bcb91b50352f21f:0xee872dfeab40a154!8m2!3d17.4478451!4d78.3885023!16s%2Fg%2F11vxjzpgh9?hl=en&amp;entry=ttu&amp;g_ep=EgoyMDI2MDIwMS4wIKXMDSoKLDEwMDc5MjA2OUgBUAM%3D" TargetMode="External"/><Relationship Id="rId38" Type="http://schemas.openxmlformats.org/officeDocument/2006/relationships/hyperlink" Target="https://drive.google.com/open?id=1xJurv609CUKpePCGd0rcMOwYy6MJKEto" TargetMode="External"/><Relationship Id="rId730" Type="http://schemas.openxmlformats.org/officeDocument/2006/relationships/hyperlink" Target="https://drive.google.com/open?id=1blDtsMzIE5Djz_uh7ly460gffC5eu7wF" TargetMode="External"/><Relationship Id="rId20" Type="http://schemas.openxmlformats.org/officeDocument/2006/relationships/hyperlink" Target="https://drive.google.com/open?id=12sEwp13vy0B0IOgjOaR48di8G3M0dgC6" TargetMode="External"/><Relationship Id="rId22" Type="http://schemas.openxmlformats.org/officeDocument/2006/relationships/hyperlink" Target="https://drive.google.com/open?id=15R5f8q3so1Ik7UrWJk_3rCjAQY8sBEFO" TargetMode="External"/><Relationship Id="rId21" Type="http://schemas.openxmlformats.org/officeDocument/2006/relationships/hyperlink" Target="https://drive.google.com/open?id=1O-A-ESorVgS21JbM9bD4LsPgYXHMCp0d" TargetMode="External"/><Relationship Id="rId24" Type="http://schemas.openxmlformats.org/officeDocument/2006/relationships/hyperlink" Target="https://drive.google.com/open?id=1kddVXBDtmyxBYZuEGyQzheu06kPD2YCr" TargetMode="External"/><Relationship Id="rId23" Type="http://schemas.openxmlformats.org/officeDocument/2006/relationships/hyperlink" Target="https://drive.google.com/open?id=1r4LwvkbszhmmgLl56dsxPyTtENCSry3W" TargetMode="External"/><Relationship Id="rId525" Type="http://schemas.openxmlformats.org/officeDocument/2006/relationships/hyperlink" Target="https://www.google.com/maps/place/NAWABI+CAFETERIA+%26+Family+Restaurant/@17.3412502,78.3705311,17z/data=!3m1!4b1!4m6!3m5!1s0x3bcb95e55fd5b9b7:0xb768a25ba13cdba4!8m2!3d17.3412451!4d78.373106!16s%2Fg%2F11x73bx5fy?hl=en&amp;entry=ttu&amp;g_ep=EgoyMDI2MDIxMS4wIKXMDSoASAFQAw%3D%3D" TargetMode="External"/><Relationship Id="rId767" Type="http://schemas.openxmlformats.org/officeDocument/2006/relationships/hyperlink" Target="https://drive.google.com/open?id=1ovhh9wNQissHHpqs6hYowObINXesAUc9" TargetMode="External"/><Relationship Id="rId524" Type="http://schemas.openxmlformats.org/officeDocument/2006/relationships/hyperlink" Target="https://drive.google.com/open?id=1Yjn4b4NkwlP6xHqNveSrp8fxDlsbulQy" TargetMode="External"/><Relationship Id="rId766" Type="http://schemas.openxmlformats.org/officeDocument/2006/relationships/hyperlink" Target="https://drive.google.com/open?id=1ajxV8wB8W5zjxpIQaQmKQFP5I-B_TyBa" TargetMode="External"/><Relationship Id="rId523" Type="http://schemas.openxmlformats.org/officeDocument/2006/relationships/hyperlink" Target="https://drive.google.com/open?id=1ePH_AqwjntYQcERf-9_CVVuyddXZM6pB" TargetMode="External"/><Relationship Id="rId765" Type="http://schemas.openxmlformats.org/officeDocument/2006/relationships/hyperlink" Target="https://drive.google.com/open?id=1xau2FX-ursfDW_KDXXYHBjqHZT-ZnpAJ" TargetMode="External"/><Relationship Id="rId522" Type="http://schemas.openxmlformats.org/officeDocument/2006/relationships/hyperlink" Target="https://drive.google.com/open?id=1aQ1wz50Qyk_RNO1AdaFPv1QJD7vjd7Il" TargetMode="External"/><Relationship Id="rId764" Type="http://schemas.openxmlformats.org/officeDocument/2006/relationships/hyperlink" Target="https://drive.google.com/open?id=1yg7403f19zytj0hpS3zmM7ZVSR_0wbqz" TargetMode="External"/><Relationship Id="rId529" Type="http://schemas.openxmlformats.org/officeDocument/2006/relationships/hyperlink" Target="https://drive.google.com/open?id=1ze35BcFoparFRp-Iin0kt2cL25jJXWGJ" TargetMode="External"/><Relationship Id="rId528" Type="http://schemas.openxmlformats.org/officeDocument/2006/relationships/hyperlink" Target="https://drive.google.com/open?id=1iG2lfwDwBguIlAANoVaxNZbUGd76rKC5" TargetMode="External"/><Relationship Id="rId527" Type="http://schemas.openxmlformats.org/officeDocument/2006/relationships/hyperlink" Target="https://maps.app.goo.gl/iQh3tM84Cxr7pSrz8" TargetMode="External"/><Relationship Id="rId769" Type="http://schemas.openxmlformats.org/officeDocument/2006/relationships/hyperlink" Target="https://maps.app.goo.gl/Ao37FYj6SkoNo3bA9?g_st=ic" TargetMode="External"/><Relationship Id="rId526" Type="http://schemas.openxmlformats.org/officeDocument/2006/relationships/hyperlink" Target="https://maps.app.goo.gl/7ZAKm49VnnqBZjCD7" TargetMode="External"/><Relationship Id="rId768" Type="http://schemas.openxmlformats.org/officeDocument/2006/relationships/hyperlink" Target="https://maps.app.goo.gl/bvLLQi92EuhBxDRCA?g_st=ic" TargetMode="External"/><Relationship Id="rId26" Type="http://schemas.openxmlformats.org/officeDocument/2006/relationships/hyperlink" Target="http://google.com/maps?q=17.440473,78.3934188&amp;z=17&amp;hl=en" TargetMode="External"/><Relationship Id="rId25" Type="http://schemas.openxmlformats.org/officeDocument/2006/relationships/hyperlink" Target="https://drive.google.com/open?id=1HMbFf9NKxwpNmJpRUAoeT4JSbWFH_gsM" TargetMode="External"/><Relationship Id="rId28" Type="http://schemas.openxmlformats.org/officeDocument/2006/relationships/hyperlink" Target="https://drive.google.com/open?id=1QyRpGDX2lP1lX3GoLj4kqxGuQ7cNxZ5q" TargetMode="External"/><Relationship Id="rId27" Type="http://schemas.openxmlformats.org/officeDocument/2006/relationships/hyperlink" Target="https://drive.google.com/open?id=16IQXYD4HTTgs7GCdBU6iPTmSXHfWlbQY" TargetMode="External"/><Relationship Id="rId521" Type="http://schemas.openxmlformats.org/officeDocument/2006/relationships/hyperlink" Target="https://drive.google.com/open?id=1eUZ6TIrLZBsIZ9X-kyj91lhijdK7dBsb" TargetMode="External"/><Relationship Id="rId763" Type="http://schemas.openxmlformats.org/officeDocument/2006/relationships/hyperlink" Target="https://drive.google.com/open?id=1JtB8IbmzjN_okacxtDmWkqRMWo93j6wc" TargetMode="External"/><Relationship Id="rId29" Type="http://schemas.openxmlformats.org/officeDocument/2006/relationships/hyperlink" Target="https://drive.google.com/open?id=1wLa_Pt-AJbdtSV0NDD93Cgm0a-yocPNO" TargetMode="External"/><Relationship Id="rId520" Type="http://schemas.openxmlformats.org/officeDocument/2006/relationships/hyperlink" Target="https://drive.google.com/open?id=1PxTPcogVjyTNHWUfBaYQZontjnu_Tssq" TargetMode="External"/><Relationship Id="rId762" Type="http://schemas.openxmlformats.org/officeDocument/2006/relationships/hyperlink" Target="https://drive.google.com/open?id=1aMZIon-6AXSLtpw1SXpbccLEGSYzcJGj" TargetMode="External"/><Relationship Id="rId761" Type="http://schemas.openxmlformats.org/officeDocument/2006/relationships/hyperlink" Target="https://drive.google.com/open?id=1lsfzeIMxyyIRWqW9F28U-RY2gWxLhSRq" TargetMode="External"/><Relationship Id="rId760" Type="http://schemas.openxmlformats.org/officeDocument/2006/relationships/hyperlink" Target="https://maps.app.goo.gl/DT8E6ga4ZgTBtJY86" TargetMode="External"/><Relationship Id="rId11" Type="http://schemas.openxmlformats.org/officeDocument/2006/relationships/hyperlink" Target="https://maps.app.goo.gl/U96V4tJ8v4oih7cF9" TargetMode="External"/><Relationship Id="rId10" Type="http://schemas.openxmlformats.org/officeDocument/2006/relationships/hyperlink" Target="https://drive.google.com/open?id=13qbsLsi98K74BchvdcD_7-swJp4EtkeO" TargetMode="External"/><Relationship Id="rId13" Type="http://schemas.openxmlformats.org/officeDocument/2006/relationships/hyperlink" Target="https://drive.google.com/open?id=1hZ4_XJa0ar_5viyQyWSwjO63ut7o3QIh" TargetMode="External"/><Relationship Id="rId12" Type="http://schemas.openxmlformats.org/officeDocument/2006/relationships/hyperlink" Target="https://drive.google.com/open?id=1p7jWoaNGA48ZsmXz8piawFvDD6h8MZPo" TargetMode="External"/><Relationship Id="rId519" Type="http://schemas.openxmlformats.org/officeDocument/2006/relationships/hyperlink" Target="https://drive.google.com/open?id=1OISAb_BWPyOqQZ2ocAVOKLc4mJCl2BQX" TargetMode="External"/><Relationship Id="rId514" Type="http://schemas.openxmlformats.org/officeDocument/2006/relationships/hyperlink" Target="https://drive.google.com/open?id=1-JYD6imr2ZmFWQmEhWQFef7oJzfstG1e" TargetMode="External"/><Relationship Id="rId756" Type="http://schemas.openxmlformats.org/officeDocument/2006/relationships/hyperlink" Target="https://maps.app.goo.gl/czMQ9rMX5SUwHGBSA" TargetMode="External"/><Relationship Id="rId513" Type="http://schemas.openxmlformats.org/officeDocument/2006/relationships/hyperlink" Target="https://drive.google.com/open?id=14geVllZEb2onca2lRpYTtisfLBVkPKhY" TargetMode="External"/><Relationship Id="rId755" Type="http://schemas.openxmlformats.org/officeDocument/2006/relationships/hyperlink" Target="https://drive.google.com/open?id=1gD1aW0xVDmhiTlr4swJXHfPkzvSs-TwM" TargetMode="External"/><Relationship Id="rId512" Type="http://schemas.openxmlformats.org/officeDocument/2006/relationships/hyperlink" Target="https://maps.app.goo.gl/cs25WNq7NeyT9LMq5" TargetMode="External"/><Relationship Id="rId754" Type="http://schemas.openxmlformats.org/officeDocument/2006/relationships/hyperlink" Target="https://maps.app.goo.gl/bmcqmqveFcxUG5189" TargetMode="External"/><Relationship Id="rId511" Type="http://schemas.openxmlformats.org/officeDocument/2006/relationships/hyperlink" Target="https://maps.app.goo.gl/FNpYJXFYk9jPzHydA" TargetMode="External"/><Relationship Id="rId753" Type="http://schemas.openxmlformats.org/officeDocument/2006/relationships/hyperlink" Target="https://drive.google.com/open?id=1xw5oBVodeM2mgTN9b19KPSV3ffb5BR4B" TargetMode="External"/><Relationship Id="rId518" Type="http://schemas.openxmlformats.org/officeDocument/2006/relationships/hyperlink" Target="https://drive.google.com/open?id=1tu_p-2MpyU5LB7dq_zMXxJtYeN5FxH3O" TargetMode="External"/><Relationship Id="rId517" Type="http://schemas.openxmlformats.org/officeDocument/2006/relationships/hyperlink" Target="https://drive.google.com/open?id=1Nzk8S-vAwlDqD7IXCXUmiKQob8Suo_Yp" TargetMode="External"/><Relationship Id="rId759" Type="http://schemas.openxmlformats.org/officeDocument/2006/relationships/hyperlink" Target="https://maps.app.goo.gl/pd3GpLjbyb7teD4G7" TargetMode="External"/><Relationship Id="rId516" Type="http://schemas.openxmlformats.org/officeDocument/2006/relationships/hyperlink" Target="https://drive.google.com/open?id=1xy3O5sd_LmuHE2KT7tvpgfl0Piqh1ifQ" TargetMode="External"/><Relationship Id="rId758" Type="http://schemas.openxmlformats.org/officeDocument/2006/relationships/hyperlink" Target="https://www.google.com/travel/hotels/s/rfbsr2SurcwVJaqw9" TargetMode="External"/><Relationship Id="rId515" Type="http://schemas.openxmlformats.org/officeDocument/2006/relationships/hyperlink" Target="https://drive.google.com/open?id=1I0HKMiYh0ZFvmjMswrS4w9tb7SoIKFqh" TargetMode="External"/><Relationship Id="rId757" Type="http://schemas.openxmlformats.org/officeDocument/2006/relationships/hyperlink" Target="https://share.google/KRNDtfbxOEpjMeTRs" TargetMode="External"/><Relationship Id="rId15" Type="http://schemas.openxmlformats.org/officeDocument/2006/relationships/hyperlink" Target="https://drive.google.com/open?id=1LV1wXeDgKShlIJHBUn--Sn9J2gR1xgxD" TargetMode="External"/><Relationship Id="rId14" Type="http://schemas.openxmlformats.org/officeDocument/2006/relationships/hyperlink" Target="https://drive.google.com/open?id=11LbxcMTLS62PuKE6EHwzu8WdUemKU5ba" TargetMode="External"/><Relationship Id="rId17" Type="http://schemas.openxmlformats.org/officeDocument/2006/relationships/hyperlink" Target="https://drive.google.com/open?id=19PGovlvYadreb67eUHeNKzrktgJO-8bX" TargetMode="External"/><Relationship Id="rId16" Type="http://schemas.openxmlformats.org/officeDocument/2006/relationships/hyperlink" Target="https://www.google.com/maps/place/17%C2%B027'04.3%22N+78%C2%B023'30.1%22E/@17.4512028,78.389128,17z/data=!3m1!4b1!4m4!3m3!8m2!3d17.4512028!4d78.3917029?hl=en&amp;entry=ttu&amp;g_ep=EgoyMDI2MDIwMS4wIKXMDSoKLDEwMDc5MjA2OUgBUAM%3D" TargetMode="External"/><Relationship Id="rId19" Type="http://schemas.openxmlformats.org/officeDocument/2006/relationships/hyperlink" Target="https://drive.google.com/open?id=1zs5LVtkzfw6Ig4tlx1lPWSn0Lm-7bwoP" TargetMode="External"/><Relationship Id="rId510" Type="http://schemas.openxmlformats.org/officeDocument/2006/relationships/hyperlink" Target="https://drive.google.com/open?id=1itbC0D8IUH7ufLLHxwo-TO5HxU-YHhZg" TargetMode="External"/><Relationship Id="rId752" Type="http://schemas.openxmlformats.org/officeDocument/2006/relationships/hyperlink" Target="https://drive.google.com/open?id=1wPfHWHVJwjPeJUo6E1qQMFZ8HsHGbNZc" TargetMode="External"/><Relationship Id="rId18" Type="http://schemas.openxmlformats.org/officeDocument/2006/relationships/hyperlink" Target="https://drive.google.com/open?id=1xkvSfuIbWsf_ar7Z_3_MFx49cCnJTGSd" TargetMode="External"/><Relationship Id="rId751" Type="http://schemas.openxmlformats.org/officeDocument/2006/relationships/hyperlink" Target="https://drive.google.com/open?id=1RzrYBrZNEpUGbQ2-2SGbQHJBcdJpOmQw" TargetMode="External"/><Relationship Id="rId750" Type="http://schemas.openxmlformats.org/officeDocument/2006/relationships/hyperlink" Target="https://drive.google.com/open?id=1AZVEYhxd70CX5j7lOak7glnICKMjQzsG" TargetMode="External"/><Relationship Id="rId84" Type="http://schemas.openxmlformats.org/officeDocument/2006/relationships/hyperlink" Target="https://maps.app.goo.gl/6hdkrbad7BwbvaWQ6" TargetMode="External"/><Relationship Id="rId83" Type="http://schemas.openxmlformats.org/officeDocument/2006/relationships/hyperlink" Target="https://drive.google.com/open?id=1-8lOUY6jgkJa66YVEByy-q1eWlWTl5rK" TargetMode="External"/><Relationship Id="rId86" Type="http://schemas.openxmlformats.org/officeDocument/2006/relationships/hyperlink" Target="https://www.google.com/maps/place/Hunan+Chinese+Cuisine/@17.4478451,78.3885023,17z/data=!3m1!4b1!4m6!3m5!1s0x3bcb91b50352f21f:0xee872dfeab40a154!8m2!3d17.4478451!4d78.3885023!16s%2Fg%2F11vxjzpgh9?hl=en&amp;entry=ttu&amp;g_ep=EgoyMDI2MDIwMS4wIKXMDSoKLDEwMDc5MjA2OUgBUAM%3D" TargetMode="External"/><Relationship Id="rId85" Type="http://schemas.openxmlformats.org/officeDocument/2006/relationships/hyperlink" Target="https://maps.app.goo.gl/9s4KoQNjMUjsr5Kj8" TargetMode="External"/><Relationship Id="rId88" Type="http://schemas.openxmlformats.org/officeDocument/2006/relationships/hyperlink" Target="https://drive.google.com/open?id=1mShRP-cqmHVFZLU640-JIitYc1Hbdu-w" TargetMode="External"/><Relationship Id="rId87" Type="http://schemas.openxmlformats.org/officeDocument/2006/relationships/hyperlink" Target="https://drive.google.com/open?id=1DlC2bj1dFOqdVO20DL-nBeSxxMLICMpI" TargetMode="External"/><Relationship Id="rId89" Type="http://schemas.openxmlformats.org/officeDocument/2006/relationships/hyperlink" Target="https://www.google.com/maps/place/ANAND+BHAVAN+MESS/@17.4471051,78.3854684,17z/data=!3m1!4b1!4m6!3m5!1s0x3bcb910040604355:0x1b5af753bc8c8b9e!8m2!3d17.4471051!4d78.3880433!16s%2Fg%2F11mt5nf89c?hl=en&amp;entry=ttu&amp;g_ep=EgoyMDI2MDIwMS4wIKXMDSoKLDEwMDc5MjA2OUgBUAM%3D" TargetMode="External"/><Relationship Id="rId709" Type="http://schemas.openxmlformats.org/officeDocument/2006/relationships/hyperlink" Target="https://drive.google.com/open?id=1O4VQC3MwOA0rQyX801w6EIH4z7p7jAWE" TargetMode="External"/><Relationship Id="rId708" Type="http://schemas.openxmlformats.org/officeDocument/2006/relationships/hyperlink" Target="https://drive.google.com/open?id=1FmWsxQNc4Ch3okxuOrB_JODQScO9TS8N" TargetMode="External"/><Relationship Id="rId707" Type="http://schemas.openxmlformats.org/officeDocument/2006/relationships/hyperlink" Target="https://drive.google.com/open?id=1UpMDWJiaP_SC4lYDp1CWFFl1VbTk8S1F" TargetMode="External"/><Relationship Id="rId706" Type="http://schemas.openxmlformats.org/officeDocument/2006/relationships/hyperlink" Target="https://drive.google.com/open?id=1YY9ilWhg4vlHnWpdsEtSk2Tx9Y5tGm2Q" TargetMode="External"/><Relationship Id="rId80" Type="http://schemas.openxmlformats.org/officeDocument/2006/relationships/hyperlink" Target="https://drive.google.com/open?id=1_dVx2u88AJbRK_cdhlcm5w9BOa-NL-qE" TargetMode="External"/><Relationship Id="rId82" Type="http://schemas.openxmlformats.org/officeDocument/2006/relationships/hyperlink" Target="https://drive.google.com/open?id=1-wjf481GOo4dlMS7Mn0_aN82x0QlqFIb" TargetMode="External"/><Relationship Id="rId81" Type="http://schemas.openxmlformats.org/officeDocument/2006/relationships/hyperlink" Target="https://drive.google.com/open?id=1AlxCOdJ1Za0jZBdQ3zWZHURu3hmd6ii2" TargetMode="External"/><Relationship Id="rId701" Type="http://schemas.openxmlformats.org/officeDocument/2006/relationships/hyperlink" Target="https://drive.google.com/open?id=17VxtR690hMGCJX0r_ZTSLQMzJ9qENMUI" TargetMode="External"/><Relationship Id="rId700" Type="http://schemas.openxmlformats.org/officeDocument/2006/relationships/hyperlink" Target="https://drive.google.com/open?id=1-x-uCoBNSRzcDA0LqN8lx4xBoTIxulOt" TargetMode="External"/><Relationship Id="rId705" Type="http://schemas.openxmlformats.org/officeDocument/2006/relationships/hyperlink" Target="https://drive.google.com/open?id=1S0LHNcN-1X0rNIWRo_lb9mjmqSkluuio" TargetMode="External"/><Relationship Id="rId704" Type="http://schemas.openxmlformats.org/officeDocument/2006/relationships/hyperlink" Target="https://drive.google.com/open?id=1IauJF0dTzuOe-6wogxcGQ3m-femkwc0X" TargetMode="External"/><Relationship Id="rId703" Type="http://schemas.openxmlformats.org/officeDocument/2006/relationships/hyperlink" Target="https://drive.google.com/open?id=1HFGEqhL6d3aEQGQWUfnzXaRVxapWCaxb" TargetMode="External"/><Relationship Id="rId702" Type="http://schemas.openxmlformats.org/officeDocument/2006/relationships/hyperlink" Target="https://maps.app.goo.gl/rKEwYoJBxmCtTMGs5" TargetMode="External"/><Relationship Id="rId73" Type="http://schemas.openxmlformats.org/officeDocument/2006/relationships/hyperlink" Target="https://share.google/tMU7i0NamuInUBqVj" TargetMode="External"/><Relationship Id="rId72" Type="http://schemas.openxmlformats.org/officeDocument/2006/relationships/hyperlink" Target="https://maps.app.goo.gl/avzks9t6kSFWe88o8" TargetMode="External"/><Relationship Id="rId75" Type="http://schemas.openxmlformats.org/officeDocument/2006/relationships/hyperlink" Target="https://drive.google.com/open?id=1sAnOS-klkKNxUHLQQA1nebfrNs7UHF3f" TargetMode="External"/><Relationship Id="rId74" Type="http://schemas.openxmlformats.org/officeDocument/2006/relationships/hyperlink" Target="https://share.google/tMU7i0NamuInUBqVj" TargetMode="External"/><Relationship Id="rId77" Type="http://schemas.openxmlformats.org/officeDocument/2006/relationships/hyperlink" Target="https://drive.google.com/open?id=1S1WlPojpvf1raedXv-niWA3UjYFTUlk5" TargetMode="External"/><Relationship Id="rId76" Type="http://schemas.openxmlformats.org/officeDocument/2006/relationships/hyperlink" Target="https://drive.google.com/open?id=1SefsNnW2N-5RAzKURGcWE46DoH3EFMvZ" TargetMode="External"/><Relationship Id="rId79" Type="http://schemas.openxmlformats.org/officeDocument/2006/relationships/hyperlink" Target="https://drive.google.com/open?id=1yf9M7K7UhdTNA3TQu2NOSU6PrAh13spn" TargetMode="External"/><Relationship Id="rId78" Type="http://schemas.openxmlformats.org/officeDocument/2006/relationships/hyperlink" Target="https://drive.google.com/open?id=16VMSkJtnx2sth2a93gMBw8bIauhQ4QgY" TargetMode="External"/><Relationship Id="rId71" Type="http://schemas.openxmlformats.org/officeDocument/2006/relationships/hyperlink" Target="https://share.google/2dLN0NYKphOuVkK3U" TargetMode="External"/><Relationship Id="rId70" Type="http://schemas.openxmlformats.org/officeDocument/2006/relationships/hyperlink" Target="https://drive.google.com/open?id=1FHEOkgoHN1uVC9-OPnLYD4xoB1lkx6FT" TargetMode="External"/><Relationship Id="rId62" Type="http://schemas.openxmlformats.org/officeDocument/2006/relationships/hyperlink" Target="https://drive.google.com/open?id=1Uop_OL_J095nxx7Re4m3p62_DS8J7Cai" TargetMode="External"/><Relationship Id="rId61" Type="http://schemas.openxmlformats.org/officeDocument/2006/relationships/hyperlink" Target="https://drive.google.com/open?id=1GwUWxdepNWvDVaZTDr0zsGPPIuKR_QoL" TargetMode="External"/><Relationship Id="rId64" Type="http://schemas.openxmlformats.org/officeDocument/2006/relationships/hyperlink" Target="https://drive.google.com/open?id=1hhJ4HCs3cnLc731dz0ty_EzVSMGi6q8m" TargetMode="External"/><Relationship Id="rId63" Type="http://schemas.openxmlformats.org/officeDocument/2006/relationships/hyperlink" Target="https://maps.app.goo.gl/gbPqgYV9ZsUP1gDc8" TargetMode="External"/><Relationship Id="rId66" Type="http://schemas.openxmlformats.org/officeDocument/2006/relationships/hyperlink" Target="https://drive.google.com/open?id=1HoToRS41uHrqu_gErmgajRS9Q13SKrzV" TargetMode="External"/><Relationship Id="rId65" Type="http://schemas.openxmlformats.org/officeDocument/2006/relationships/hyperlink" Target="https://drive.google.com/open?id=14IVRIxSnIQQt6lva1v7ExVvqU4V4bM6l" TargetMode="External"/><Relationship Id="rId68" Type="http://schemas.openxmlformats.org/officeDocument/2006/relationships/hyperlink" Target="https://drive.google.com/open?id=1aZgR-8WQbSPhz8kdHLDR2naTnc3fOi42" TargetMode="External"/><Relationship Id="rId67" Type="http://schemas.openxmlformats.org/officeDocument/2006/relationships/hyperlink" Target="https://maps.app.goo.gl/CYfpD7HuaPaEeArM6" TargetMode="External"/><Relationship Id="rId729" Type="http://schemas.openxmlformats.org/officeDocument/2006/relationships/hyperlink" Target="https://drive.google.com/open?id=13SVa6AmlbW_yGxk_FYtSKZ_UBRoIg6gi" TargetMode="External"/><Relationship Id="rId728" Type="http://schemas.openxmlformats.org/officeDocument/2006/relationships/hyperlink" Target="https://drive.google.com/open?id=1esF7xqbWvymnSCoo1cACkhBLCr1EVGj9" TargetMode="External"/><Relationship Id="rId60" Type="http://schemas.openxmlformats.org/officeDocument/2006/relationships/hyperlink" Target="https://maps.app.goo.gl/Aiiv6UZV7TLfDBn47" TargetMode="External"/><Relationship Id="rId723" Type="http://schemas.openxmlformats.org/officeDocument/2006/relationships/hyperlink" Target="https://drive.google.com/open?id=10d-5iKVDspm40nqJRs2FabC6V9Qh_aru" TargetMode="External"/><Relationship Id="rId722" Type="http://schemas.openxmlformats.org/officeDocument/2006/relationships/hyperlink" Target="https://drive.google.com/open?id=1egoxut77w9HxNsxwMIBVrP2RuRdNGxpr" TargetMode="External"/><Relationship Id="rId721" Type="http://schemas.openxmlformats.org/officeDocument/2006/relationships/hyperlink" Target="https://www.google.com/maps/place/Ala+Konaseemaloo/@17.485835,78.388804,17z/data=!3m1!4b1!4m6!3m5!1s0x3bcb919f123fde81:0xfd35517a7df075dd!8m2!3d17.4858299!4d78.3913789!16s%2Fg%2F11ynz_g52n?hl=en&amp;entry=ttu&amp;g_ep=EgoyMDI2MDMwNS4wIKXMDSoASAFQAw%3D%3D" TargetMode="External"/><Relationship Id="rId720" Type="http://schemas.openxmlformats.org/officeDocument/2006/relationships/hyperlink" Target="https://drive.google.com/open?id=1gHOQgtEYbTqffPSb-inYKnKE-ks5zNdB" TargetMode="External"/><Relationship Id="rId727" Type="http://schemas.openxmlformats.org/officeDocument/2006/relationships/hyperlink" Target="https://share.google/cGwLiZvR7bvsWRMtF" TargetMode="External"/><Relationship Id="rId726" Type="http://schemas.openxmlformats.org/officeDocument/2006/relationships/hyperlink" Target="https://drive.google.com/open?id=1-M9ScotpY-10RRLKrWQOBm6g6IHLhqX7" TargetMode="External"/><Relationship Id="rId725" Type="http://schemas.openxmlformats.org/officeDocument/2006/relationships/hyperlink" Target="https://drive.google.com/open?id=1cGslP_coDVQ4-F5hP6LWsMMhdtE-1B58" TargetMode="External"/><Relationship Id="rId724" Type="http://schemas.openxmlformats.org/officeDocument/2006/relationships/hyperlink" Target="https://share.google/yJYJ5H1MhZ5AXLkmt" TargetMode="External"/><Relationship Id="rId69" Type="http://schemas.openxmlformats.org/officeDocument/2006/relationships/hyperlink" Target="https://drive.google.com/open?id=1TGEb0yhwAAch3o-uj61e77IJ76PBiiNm" TargetMode="External"/><Relationship Id="rId51" Type="http://schemas.openxmlformats.org/officeDocument/2006/relationships/hyperlink" Target="https://maps.app.goo.gl/3NoTX3DyLcp6bSMX7" TargetMode="External"/><Relationship Id="rId50" Type="http://schemas.openxmlformats.org/officeDocument/2006/relationships/hyperlink" Target="https://drive.google.com/open?id=1uEv1SbghR4V6SRNuV_W5cWmXTxOGaOTk" TargetMode="External"/><Relationship Id="rId53" Type="http://schemas.openxmlformats.org/officeDocument/2006/relationships/hyperlink" Target="https://drive.google.com/open?id=14vl9WR1NycmF9z9tVJiiS1sjEI4BpUgn" TargetMode="External"/><Relationship Id="rId52" Type="http://schemas.openxmlformats.org/officeDocument/2006/relationships/hyperlink" Target="https://drive.google.com/open?id=1jlS2uzGgdXIiBFtKTniOqZcQQP1Def9B" TargetMode="External"/><Relationship Id="rId55" Type="http://schemas.openxmlformats.org/officeDocument/2006/relationships/hyperlink" Target="https://drive.google.com/open?id=1XHti40Q6rcjbNTd4338mnP-gp5zYiTTo" TargetMode="External"/><Relationship Id="rId54" Type="http://schemas.openxmlformats.org/officeDocument/2006/relationships/hyperlink" Target="https://maps.app.goo.gl/2zVYUFdRf5UbswRq8" TargetMode="External"/><Relationship Id="rId57" Type="http://schemas.openxmlformats.org/officeDocument/2006/relationships/hyperlink" Target="https://drive.google.com/open?id=1i3JNiPqA3bg9GskvIiKQOkcygNvWSwFo" TargetMode="External"/><Relationship Id="rId56" Type="http://schemas.openxmlformats.org/officeDocument/2006/relationships/hyperlink" Target="https://drive.google.com/open?id=1wfQiIC4z7mrMJ5O4AxkRDuixJ2qPRhk2" TargetMode="External"/><Relationship Id="rId719" Type="http://schemas.openxmlformats.org/officeDocument/2006/relationships/hyperlink" Target="https://drive.google.com/open?id=1jmijOcaQwtJM_TDfmVnE-r2OWXY4dtMf" TargetMode="External"/><Relationship Id="rId718" Type="http://schemas.openxmlformats.org/officeDocument/2006/relationships/hyperlink" Target="https://drive.google.com/open?id=15-au54v6DNMl3CVWDXZBOgmqTCRg-uxi" TargetMode="External"/><Relationship Id="rId717" Type="http://schemas.openxmlformats.org/officeDocument/2006/relationships/hyperlink" Target="https://www.google.com/maps?q=17.4878529,78.3941825&amp;z=17&amp;hl=en" TargetMode="External"/><Relationship Id="rId712" Type="http://schemas.openxmlformats.org/officeDocument/2006/relationships/hyperlink" Target="https://www.google.com/maps?q=17.4866222,78.3978727&amp;z=17&amp;hl=en" TargetMode="External"/><Relationship Id="rId711" Type="http://schemas.openxmlformats.org/officeDocument/2006/relationships/hyperlink" Target="https://drive.google.com/open?id=1HUqoI0sD8zQh-6IBp3-egEyP223MbVok" TargetMode="External"/><Relationship Id="rId710" Type="http://schemas.openxmlformats.org/officeDocument/2006/relationships/hyperlink" Target="https://drive.google.com/open?id=1aD9d-GiwbnjkiGGC7uLJunfkZARlM-MC" TargetMode="External"/><Relationship Id="rId716" Type="http://schemas.openxmlformats.org/officeDocument/2006/relationships/hyperlink" Target="https://drive.google.com/open?id=17nCgx6decgDKgMXfSU6ADVUKpjIPGzH_" TargetMode="External"/><Relationship Id="rId715" Type="http://schemas.openxmlformats.org/officeDocument/2006/relationships/hyperlink" Target="https://drive.google.com/open?id=1E8QyZejNKaV1oSsAAudQhmHuvconi95k" TargetMode="External"/><Relationship Id="rId714" Type="http://schemas.openxmlformats.org/officeDocument/2006/relationships/hyperlink" Target="https://drive.google.com/open?id=1A4BpSF8VFxdehVX10cNFUfoatYc-Xjyq" TargetMode="External"/><Relationship Id="rId713" Type="http://schemas.openxmlformats.org/officeDocument/2006/relationships/hyperlink" Target="https://www.google.com/maps?q=17.4701567,78.4187885&amp;z=17&amp;hl=en" TargetMode="External"/><Relationship Id="rId59" Type="http://schemas.openxmlformats.org/officeDocument/2006/relationships/hyperlink" Target="https://drive.google.com/open?id=1-_wWaTH5f5gEAIqiuRyYQXb_tpy1C51V" TargetMode="External"/><Relationship Id="rId58" Type="http://schemas.openxmlformats.org/officeDocument/2006/relationships/hyperlink" Target="https://drive.google.com/open?id=1DMx_aqiNEP9UWnIpWFPjhq9IVflDo6wh" TargetMode="External"/><Relationship Id="rId590" Type="http://schemas.openxmlformats.org/officeDocument/2006/relationships/hyperlink" Target="https://drive.google.com/open?id=1SDauxMIqPZBRvRR40vORv6tGzZIdM7gd" TargetMode="External"/><Relationship Id="rId107" Type="http://schemas.openxmlformats.org/officeDocument/2006/relationships/hyperlink" Target="https://maps.app.goo.gl/Azm6uVjLA8CHdEVq5?g_st=ic" TargetMode="External"/><Relationship Id="rId349" Type="http://schemas.openxmlformats.org/officeDocument/2006/relationships/hyperlink" Target="https://drive.google.com/open?id=1cYN7h_LAZ4WEiQB9JGKxfb5s7iNY2O6y" TargetMode="External"/><Relationship Id="rId106" Type="http://schemas.openxmlformats.org/officeDocument/2006/relationships/hyperlink" Target="https://drive.google.com/open?id=18bZYxppjAI2i6dJ5kmCHOmhA6qsOjZuW" TargetMode="External"/><Relationship Id="rId348" Type="http://schemas.openxmlformats.org/officeDocument/2006/relationships/hyperlink" Target="https://drive.google.com/open?id=1rkz2vG3ra98Pa6PjLFJ35frMOZxpm2MN" TargetMode="External"/><Relationship Id="rId105" Type="http://schemas.openxmlformats.org/officeDocument/2006/relationships/hyperlink" Target="https://drive.google.com/open?id=1fGbSlo6SQePsw9IXCKG5RYAxMZoOHZ-d" TargetMode="External"/><Relationship Id="rId347" Type="http://schemas.openxmlformats.org/officeDocument/2006/relationships/hyperlink" Target="https://drive.google.com/open?id=1E3GFAcJKhqQYmGTMwQlEvoFQWzviRTW1" TargetMode="External"/><Relationship Id="rId589" Type="http://schemas.openxmlformats.org/officeDocument/2006/relationships/hyperlink" Target="https://share.google/PciqUWGRouRjOyi4V" TargetMode="External"/><Relationship Id="rId104" Type="http://schemas.openxmlformats.org/officeDocument/2006/relationships/hyperlink" Target="https://drive.google.com/open?id=1sI3WqNOFvKe4niWEHF_25fgwDL5FWJv4" TargetMode="External"/><Relationship Id="rId346" Type="http://schemas.openxmlformats.org/officeDocument/2006/relationships/hyperlink" Target="https://maps.app.goo.gl/CfCrheay9uRm8XX9A" TargetMode="External"/><Relationship Id="rId588" Type="http://schemas.openxmlformats.org/officeDocument/2006/relationships/hyperlink" Target="https://drive.google.com/open?id=1cp_AokYM9t8MfLfcwsP52r7DbEW8Lj13" TargetMode="External"/><Relationship Id="rId109" Type="http://schemas.openxmlformats.org/officeDocument/2006/relationships/hyperlink" Target="https://drive.google.com/open?id=1oKV_3cQoMNE-A5xCKoHVszsAgIot6crY" TargetMode="External"/><Relationship Id="rId108" Type="http://schemas.openxmlformats.org/officeDocument/2006/relationships/hyperlink" Target="https://maps.app.goo.gl/ZRjTitSxKuHU45Vv7?g_st=ic" TargetMode="External"/><Relationship Id="rId341" Type="http://schemas.openxmlformats.org/officeDocument/2006/relationships/hyperlink" Target="https://drive.google.com/open?id=1nEMKQeAuolmOzlaxJpjW6qF6_rmIf6AP" TargetMode="External"/><Relationship Id="rId583" Type="http://schemas.openxmlformats.org/officeDocument/2006/relationships/hyperlink" Target="https://share.google/BgBGogzHjTZVfrDxp" TargetMode="External"/><Relationship Id="rId340" Type="http://schemas.openxmlformats.org/officeDocument/2006/relationships/hyperlink" Target="https://drive.google.com/open?id=1f5N7Aw76L4XL8WeYMZPIIMivduLu_S11" TargetMode="External"/><Relationship Id="rId582" Type="http://schemas.openxmlformats.org/officeDocument/2006/relationships/hyperlink" Target="https://drive.google.com/open?id=1SX4gLD15i2EkU2hMav3uQ9roy5VsMp9F" TargetMode="External"/><Relationship Id="rId581" Type="http://schemas.openxmlformats.org/officeDocument/2006/relationships/hyperlink" Target="https://drive.google.com/open?id=1z8Wh0PjJJ_u1xqjbvfhBCjlWMDuPShqi" TargetMode="External"/><Relationship Id="rId580" Type="http://schemas.openxmlformats.org/officeDocument/2006/relationships/hyperlink" Target="https://drive.google.com/open?id=12lqhtUv2jODd2NIr_YvneONEjhgC8l02" TargetMode="External"/><Relationship Id="rId103" Type="http://schemas.openxmlformats.org/officeDocument/2006/relationships/hyperlink" Target="https://drive.google.com/open?id=1rHTW-WZBcmBuGCZkK9YDvq-bRkFEbAAL" TargetMode="External"/><Relationship Id="rId345" Type="http://schemas.openxmlformats.org/officeDocument/2006/relationships/hyperlink" Target="https://drive.google.com/open?id=1v_GRSU39RFaKGSR0BsUyD8Mw28ER73I5" TargetMode="External"/><Relationship Id="rId587" Type="http://schemas.openxmlformats.org/officeDocument/2006/relationships/hyperlink" Target="https://drive.google.com/open?id=1UFk5riFJgEKnyinqRWWuPAV6D1HdZ6i7" TargetMode="External"/><Relationship Id="rId102" Type="http://schemas.openxmlformats.org/officeDocument/2006/relationships/hyperlink" Target="https://drive.google.com/open?id=1z18XBbhWksdkjRHgsWjBufUzI3CtoA82" TargetMode="External"/><Relationship Id="rId344" Type="http://schemas.openxmlformats.org/officeDocument/2006/relationships/hyperlink" Target="https://drive.google.com/open?id=1v8GuVB6FT1xhXRdZk20oBYf8sShOinDH" TargetMode="External"/><Relationship Id="rId586" Type="http://schemas.openxmlformats.org/officeDocument/2006/relationships/hyperlink" Target="https://drive.google.com/open?id=1sEUhnwhF8OQWBiBk4s0BFZRNBraJRL93" TargetMode="External"/><Relationship Id="rId101" Type="http://schemas.openxmlformats.org/officeDocument/2006/relationships/hyperlink" Target="https://drive.google.com/open?id=1d5gMIAgwLYoo1XE8r6S6l9xrXBuHC_fD" TargetMode="External"/><Relationship Id="rId343" Type="http://schemas.openxmlformats.org/officeDocument/2006/relationships/hyperlink" Target="https://share.google/XMBxRGaXbDmXdehfP" TargetMode="External"/><Relationship Id="rId585" Type="http://schemas.openxmlformats.org/officeDocument/2006/relationships/hyperlink" Target="https://drive.google.com/open?id=1z3W_seUGXJ_wrU4NmxDmt4XyYoObNkzM" TargetMode="External"/><Relationship Id="rId100" Type="http://schemas.openxmlformats.org/officeDocument/2006/relationships/hyperlink" Target="https://drive.google.com/open?id=10C5WjBtCBIlv55ac_HFiCjrMwueH5--t" TargetMode="External"/><Relationship Id="rId342" Type="http://schemas.openxmlformats.org/officeDocument/2006/relationships/hyperlink" Target="https://drive.google.com/open?id=1LYTwoCS--h120P_e4AkLSKjaqZ3Lupsi" TargetMode="External"/><Relationship Id="rId584" Type="http://schemas.openxmlformats.org/officeDocument/2006/relationships/hyperlink" Target="https://share.google/5fOzwt6aeXKXGYN1i" TargetMode="External"/><Relationship Id="rId338" Type="http://schemas.openxmlformats.org/officeDocument/2006/relationships/hyperlink" Target="https://maps.app.goo.gl/RQ4eFXL7YjP8chk99" TargetMode="External"/><Relationship Id="rId337" Type="http://schemas.openxmlformats.org/officeDocument/2006/relationships/hyperlink" Target="https://drive.google.com/open?id=1o3AopNhsVJvFWoH8x_tLVNIZCcVx7cOn" TargetMode="External"/><Relationship Id="rId579" Type="http://schemas.openxmlformats.org/officeDocument/2006/relationships/hyperlink" Target="https://share.google/fcLsKH5VyWtrElBSB" TargetMode="External"/><Relationship Id="rId336" Type="http://schemas.openxmlformats.org/officeDocument/2006/relationships/hyperlink" Target="https://drive.google.com/open?id=17SuBAYQXu3DrAwrWtWchmjuu19fRWOaM" TargetMode="External"/><Relationship Id="rId578" Type="http://schemas.openxmlformats.org/officeDocument/2006/relationships/hyperlink" Target="https://share.google/fcLsKH5VyWtrElBSB" TargetMode="External"/><Relationship Id="rId335" Type="http://schemas.openxmlformats.org/officeDocument/2006/relationships/hyperlink" Target="https://drive.google.com/open?id=1yq3TS2sV89Wt5V8ytwcIHq2eDEvfkyCA" TargetMode="External"/><Relationship Id="rId577" Type="http://schemas.openxmlformats.org/officeDocument/2006/relationships/hyperlink" Target="https://drive.google.com/open?id=1iRVwGXp32Yr4MweuxF_xoZD9wGVSleh4" TargetMode="External"/><Relationship Id="rId339" Type="http://schemas.openxmlformats.org/officeDocument/2006/relationships/hyperlink" Target="https://drive.google.com/open?id=1YCWgJXNqdWEF_bLRHD7fB-jAF0Gum0RP" TargetMode="External"/><Relationship Id="rId330" Type="http://schemas.openxmlformats.org/officeDocument/2006/relationships/hyperlink" Target="https://drive.google.com/open?id=1lpeezznRAOebSXSygIRK15676Fs9DdAI" TargetMode="External"/><Relationship Id="rId572" Type="http://schemas.openxmlformats.org/officeDocument/2006/relationships/hyperlink" Target="https://drive.google.com/open?id=1IWO6IY8Q8s8oURYFuTHi2NcmKWBF2ATB" TargetMode="External"/><Relationship Id="rId571" Type="http://schemas.openxmlformats.org/officeDocument/2006/relationships/hyperlink" Target="https://drive.google.com/open?id=1M8jJowHRpxMOA6HGyOwiGWxMalwroQYD" TargetMode="External"/><Relationship Id="rId570" Type="http://schemas.openxmlformats.org/officeDocument/2006/relationships/hyperlink" Target="https://share.google/fcLsKH5VyWtrElBSB" TargetMode="External"/><Relationship Id="rId334" Type="http://schemas.openxmlformats.org/officeDocument/2006/relationships/hyperlink" Target="https://share.google/AxIFmrqurMJGg5zip" TargetMode="External"/><Relationship Id="rId576" Type="http://schemas.openxmlformats.org/officeDocument/2006/relationships/hyperlink" Target="https://drive.google.com/open?id=1T8it4e6ov4ToPxrZZf8Tdjy_3n-oqElW" TargetMode="External"/><Relationship Id="rId333" Type="http://schemas.openxmlformats.org/officeDocument/2006/relationships/hyperlink" Target="https://drive.google.com/open?id=1ktOhb0u7Zp5tL4_e1kwCHdk8MnTVqz9S" TargetMode="External"/><Relationship Id="rId575" Type="http://schemas.openxmlformats.org/officeDocument/2006/relationships/hyperlink" Target="https://drive.google.com/open?id=1M4X4pO2iyOaPnP2SBhWKK2oRXyUaG4Zl" TargetMode="External"/><Relationship Id="rId332" Type="http://schemas.openxmlformats.org/officeDocument/2006/relationships/hyperlink" Target="https://drive.google.com/open?id=1AgZE2LCQPK0lup15zm83h4rQPN-YjOos" TargetMode="External"/><Relationship Id="rId574" Type="http://schemas.openxmlformats.org/officeDocument/2006/relationships/hyperlink" Target="https://share.google/fcLsKH5VyWtrElBSB" TargetMode="External"/><Relationship Id="rId331" Type="http://schemas.openxmlformats.org/officeDocument/2006/relationships/hyperlink" Target="https://drive.google.com/open?id=1QpPC9T80dwxRb-wHw66rsvN9lSGhW9w4" TargetMode="External"/><Relationship Id="rId573" Type="http://schemas.openxmlformats.org/officeDocument/2006/relationships/hyperlink" Target="https://drive.google.com/open?id=1pUzMsfy3VO37wyxAE1aPjYqL5ywJpPn8" TargetMode="External"/><Relationship Id="rId370" Type="http://schemas.openxmlformats.org/officeDocument/2006/relationships/hyperlink" Target="https://drive.google.com/open?id=105qvkmlCWecN--NR_X2-JQYI1kJKwbAT" TargetMode="External"/><Relationship Id="rId129" Type="http://schemas.openxmlformats.org/officeDocument/2006/relationships/hyperlink" Target="https://drive.google.com/open?id=1oMq8fqPB0ZMZ2V7hVfWrTU4nKYssh1mD" TargetMode="External"/><Relationship Id="rId128" Type="http://schemas.openxmlformats.org/officeDocument/2006/relationships/hyperlink" Target="https://drive.google.com/open?id=1h3_DBVEvIMkLFlPtsfWS18CSpghzWTn2" TargetMode="External"/><Relationship Id="rId127" Type="http://schemas.openxmlformats.org/officeDocument/2006/relationships/hyperlink" Target="https://maps.app.goo.gl/1qDaKDQ4ZYJq3Euk7?g_st=ic" TargetMode="External"/><Relationship Id="rId369" Type="http://schemas.openxmlformats.org/officeDocument/2006/relationships/hyperlink" Target="https://drive.google.com/open?id=1MGUb-FLSLWz3mtFRYvr2kA8UU9R1ZDoe" TargetMode="External"/><Relationship Id="rId126" Type="http://schemas.openxmlformats.org/officeDocument/2006/relationships/hyperlink" Target="https://drive.google.com/open?id=1hdLV6N4fySfFzccVvxE7fAxQDFXVc5kZ" TargetMode="External"/><Relationship Id="rId368" Type="http://schemas.openxmlformats.org/officeDocument/2006/relationships/hyperlink" Target="https://drive.google.com/open?id=1FMMHBLDuF6nxxlVmbGqOCpNbn5kVh4y_" TargetMode="External"/><Relationship Id="rId121" Type="http://schemas.openxmlformats.org/officeDocument/2006/relationships/hyperlink" Target="https://drive.google.com/open?id=1nTgwZ-m4rPslhVYuqeVe_nRrYljsedOK" TargetMode="External"/><Relationship Id="rId363" Type="http://schemas.openxmlformats.org/officeDocument/2006/relationships/hyperlink" Target="https://drive.google.com/open?id=17EI432R4YqUB68oBIsJ39RFep66Up9kt" TargetMode="External"/><Relationship Id="rId120" Type="http://schemas.openxmlformats.org/officeDocument/2006/relationships/hyperlink" Target="https://drive.google.com/open?id=1lzn9VjNKeaCPDBh4aYrl3n_K7W9Qn8cy" TargetMode="External"/><Relationship Id="rId362" Type="http://schemas.openxmlformats.org/officeDocument/2006/relationships/hyperlink" Target="https://drive.google.com/open?id=1JkXdJV6m74LD-RAl0FyQDJteR06jW_9X" TargetMode="External"/><Relationship Id="rId361" Type="http://schemas.openxmlformats.org/officeDocument/2006/relationships/hyperlink" Target="https://drive.google.com/open?id=17qIijHeA5A66t0mbM5MuK1vxY67ZvH_w" TargetMode="External"/><Relationship Id="rId360" Type="http://schemas.openxmlformats.org/officeDocument/2006/relationships/hyperlink" Target="https://drive.google.com/open?id=1yjWsvWZYtU0tQZ7BF1MDZA80e_e01Ruk" TargetMode="External"/><Relationship Id="rId125" Type="http://schemas.openxmlformats.org/officeDocument/2006/relationships/hyperlink" Target="https://drive.google.com/open?id=1gZv8AfQJERFpRc1DcTxPJAfAAKNSFNEb" TargetMode="External"/><Relationship Id="rId367" Type="http://schemas.openxmlformats.org/officeDocument/2006/relationships/hyperlink" Target="https://drive.google.com/open?id=1ia1w9zN8y7Hhp3yXc1c1rMX3MWIwrlTo" TargetMode="External"/><Relationship Id="rId124" Type="http://schemas.openxmlformats.org/officeDocument/2006/relationships/hyperlink" Target="https://drive.google.com/open?id=1-gR1d5RyzErC3JexistxNdbSDXRnqA4B" TargetMode="External"/><Relationship Id="rId366" Type="http://schemas.openxmlformats.org/officeDocument/2006/relationships/hyperlink" Target="https://drive.google.com/open?id=1oeWZTEIc09G0jV1DRernRUzSTaBycY9e" TargetMode="External"/><Relationship Id="rId123" Type="http://schemas.openxmlformats.org/officeDocument/2006/relationships/hyperlink" Target="https://drive.google.com/open?id=1_pVvhL8ftMgUTL7yMtxYmWWO7q2tGY8Y" TargetMode="External"/><Relationship Id="rId365" Type="http://schemas.openxmlformats.org/officeDocument/2006/relationships/hyperlink" Target="https://drive.google.com/open?id=1Gz0r1WmfBDdQi3wDUk_cmZY6OsGfV8vF" TargetMode="External"/><Relationship Id="rId122" Type="http://schemas.openxmlformats.org/officeDocument/2006/relationships/hyperlink" Target="https://drive.google.com/open?id=1EZX1yqE9A9WyTNlB7ShJMB6qtXLxeZoC" TargetMode="External"/><Relationship Id="rId364" Type="http://schemas.openxmlformats.org/officeDocument/2006/relationships/hyperlink" Target="https://drive.google.com/open?id=1LAz6YfU48rjgUm90rjucNoyHLFOblYJ1" TargetMode="External"/><Relationship Id="rId95" Type="http://schemas.openxmlformats.org/officeDocument/2006/relationships/hyperlink" Target="https://drive.google.com/open?id=1bIvEcXpfVNl_DQCS6PvKRh51VxqYyyLn" TargetMode="External"/><Relationship Id="rId94" Type="http://schemas.openxmlformats.org/officeDocument/2006/relationships/hyperlink" Target="https://drive.google.com/open?id=16MNvuqRPFC7_QYv133p_s5qg9F-FCQ4f" TargetMode="External"/><Relationship Id="rId97" Type="http://schemas.openxmlformats.org/officeDocument/2006/relationships/hyperlink" Target="https://share.google/SZFJJlssb5hkmphPA" TargetMode="External"/><Relationship Id="rId96" Type="http://schemas.openxmlformats.org/officeDocument/2006/relationships/hyperlink" Target="https://drive.google.com/open?id=1gCFHksXqJDMO9XNunUEWVv0oVwAAtw9X" TargetMode="External"/><Relationship Id="rId99" Type="http://schemas.openxmlformats.org/officeDocument/2006/relationships/hyperlink" Target="https://drive.google.com/open?id=1DvL3nMVvblvTgCQjw2nEz6TTgrlJB-SM" TargetMode="External"/><Relationship Id="rId98" Type="http://schemas.openxmlformats.org/officeDocument/2006/relationships/hyperlink" Target="https://drive.google.com/open?id=1f4MJPvzkVHBffgC4W0BlFcwQrLXPEzPq" TargetMode="External"/><Relationship Id="rId91" Type="http://schemas.openxmlformats.org/officeDocument/2006/relationships/hyperlink" Target="https://drive.google.com/open?id=1AJ6Bfl3fKA7EyjUaT33Q-BEaqLJYLFpE" TargetMode="External"/><Relationship Id="rId90" Type="http://schemas.openxmlformats.org/officeDocument/2006/relationships/hyperlink" Target="https://drive.google.com/open?id=1-Dl1aiT5Ad0HRsUNS4BdokXeybknF0vr" TargetMode="External"/><Relationship Id="rId93" Type="http://schemas.openxmlformats.org/officeDocument/2006/relationships/hyperlink" Target="https://drive.google.com/open?id=1TyQ5VyQoYOXBgO6bKGNQK8FFz5yUt2Nw" TargetMode="External"/><Relationship Id="rId92" Type="http://schemas.openxmlformats.org/officeDocument/2006/relationships/hyperlink" Target="https://drive.google.com/open?id=174krwSmWS-7Ns96sjRGj3zQCcClDenc9" TargetMode="External"/><Relationship Id="rId118" Type="http://schemas.openxmlformats.org/officeDocument/2006/relationships/hyperlink" Target="https://www.google.com/maps/dir//Bhojanam+Thali,+1200,+Rd+Number+59,+Jubilee+Hills,+Hyderabad,+Telangana+500033/@17.4358528,78.4072704,11z/data=!4m8!4m7!1m0!1m5!1m1!1s0x3bcb91ff414df91d:0xb3f0fa00e20c4e2d!2m2!1d78.4095133!2d17.4290901?entry=ttu&amp;g_ep=EgoyMDI2MDIwNC4wIKXMDSoKLDEwMDc5MjA2OUgBUAM%3D" TargetMode="External"/><Relationship Id="rId117" Type="http://schemas.openxmlformats.org/officeDocument/2006/relationships/hyperlink" Target="https://drive.google.com/open?id=1dKb9onDSn0QUhvFk10SsnWf6GzlGdEV2" TargetMode="External"/><Relationship Id="rId359" Type="http://schemas.openxmlformats.org/officeDocument/2006/relationships/hyperlink" Target="https://drive.google.com/open?id=1cWIBkV2BJ7J0xgnp5ZfIMiQCx6aDLs0n" TargetMode="External"/><Relationship Id="rId116" Type="http://schemas.openxmlformats.org/officeDocument/2006/relationships/hyperlink" Target="https://drive.google.com/open?id=1yiMZ_9SQgNkHaFczbCDoGLcoQaoiMWqz" TargetMode="External"/><Relationship Id="rId358" Type="http://schemas.openxmlformats.org/officeDocument/2006/relationships/hyperlink" Target="https://drive.google.com/open?id=16k493vsOc5EyewYiso7AgZvxNRtpsHwS" TargetMode="External"/><Relationship Id="rId115" Type="http://schemas.openxmlformats.org/officeDocument/2006/relationships/hyperlink" Target="https://drive.google.com/open?id=1_F3xmRV2zlRSNziROJSeDL0iKC_VNGZt" TargetMode="External"/><Relationship Id="rId357" Type="http://schemas.openxmlformats.org/officeDocument/2006/relationships/hyperlink" Target="https://drive.google.com/open?id=14urNv3pIYh9cA2bgR2TgNpjceg_5fQ3z" TargetMode="External"/><Relationship Id="rId599" Type="http://schemas.openxmlformats.org/officeDocument/2006/relationships/hyperlink" Target="https://drive.google.com/open?id=1p-j-KXQJXRAi_TieTurTGR4-HK3aDPi1" TargetMode="External"/><Relationship Id="rId119" Type="http://schemas.openxmlformats.org/officeDocument/2006/relationships/hyperlink" Target="https://drive.google.com/open?id=1FPCiNB0YBRTLIUvuT9773zFtJI3rUXLv" TargetMode="External"/><Relationship Id="rId110" Type="http://schemas.openxmlformats.org/officeDocument/2006/relationships/hyperlink" Target="https://drive.google.com/open?id=1dMfhXyQ5x-FzUs_VFgnZWPWGoRTr7BXk" TargetMode="External"/><Relationship Id="rId352" Type="http://schemas.openxmlformats.org/officeDocument/2006/relationships/hyperlink" Target="https://drive.google.com/open?id=1tl-OLTTvJ-HV-kEgm3sykXDHnFp46ijg" TargetMode="External"/><Relationship Id="rId594" Type="http://schemas.openxmlformats.org/officeDocument/2006/relationships/hyperlink" Target="https://drive.google.com/open?id=18MD5868uK_FlB_1KZ3JBylWxNXSWcx4F" TargetMode="External"/><Relationship Id="rId351" Type="http://schemas.openxmlformats.org/officeDocument/2006/relationships/hyperlink" Target="https://drive.google.com/open?id=1qCO3zcHYab6Ni473npDxy_YcSbImrwhZ" TargetMode="External"/><Relationship Id="rId593" Type="http://schemas.openxmlformats.org/officeDocument/2006/relationships/hyperlink" Target="https://drive.google.com/open?id=1j6XicPycJBtanEzkSuzJf3keheQwxA5y" TargetMode="External"/><Relationship Id="rId350" Type="http://schemas.openxmlformats.org/officeDocument/2006/relationships/hyperlink" Target="https://drive.google.com/open?id=1H-Fn8nHUs2HU8MkYd5LHpk0Oi7It1s2a" TargetMode="External"/><Relationship Id="rId592" Type="http://schemas.openxmlformats.org/officeDocument/2006/relationships/hyperlink" Target="https://drive.google.com/open?id=1VSJgKbSbcf7YUF8HOFBE830QkekiDM_a" TargetMode="External"/><Relationship Id="rId591" Type="http://schemas.openxmlformats.org/officeDocument/2006/relationships/hyperlink" Target="https://drive.google.com/open?id=1lUgwbv7z1DSCELSOHZ9mnldmAKIHFhfY" TargetMode="External"/><Relationship Id="rId114" Type="http://schemas.openxmlformats.org/officeDocument/2006/relationships/hyperlink" Target="https://drive.google.com/open?id=176ECpGpxZDmqD8I_vWbXX5K-YBZRlh3A" TargetMode="External"/><Relationship Id="rId356" Type="http://schemas.openxmlformats.org/officeDocument/2006/relationships/hyperlink" Target="https://drive.google.com/open?id=1Bon9T4mlU4z4S-rJrHY4p_4GBEaqvBis" TargetMode="External"/><Relationship Id="rId598" Type="http://schemas.openxmlformats.org/officeDocument/2006/relationships/hyperlink" Target="https://drive.google.com/open?id=1MjLb_rkwDQEMMUXJ9ZqaycaOJMDkQkI3" TargetMode="External"/><Relationship Id="rId113" Type="http://schemas.openxmlformats.org/officeDocument/2006/relationships/hyperlink" Target="https://maps.app.goo.gl/PmQrZ6A18zjb25S37?g_st=ic" TargetMode="External"/><Relationship Id="rId355" Type="http://schemas.openxmlformats.org/officeDocument/2006/relationships/hyperlink" Target="https://drive.google.com/open?id=19Q_XKziHGd0OH8LyXLXakehql9R1pi5B" TargetMode="External"/><Relationship Id="rId597" Type="http://schemas.openxmlformats.org/officeDocument/2006/relationships/hyperlink" Target="https://drive.google.com/open?id=1CScl-Xyo0gHskym0OCz_bqQXeCGMdcDG" TargetMode="External"/><Relationship Id="rId112" Type="http://schemas.openxmlformats.org/officeDocument/2006/relationships/hyperlink" Target="https://maps.app.goo.gl/W2xHqpTu7pXfvcBD6" TargetMode="External"/><Relationship Id="rId354" Type="http://schemas.openxmlformats.org/officeDocument/2006/relationships/hyperlink" Target="https://drive.google.com/open?id=1tiJVZz0afAaAtdukvIjB2p6eA73oWqM7" TargetMode="External"/><Relationship Id="rId596" Type="http://schemas.openxmlformats.org/officeDocument/2006/relationships/hyperlink" Target="https://drive.google.com/open?id=1hAKaoPN5zuFfRksA85zt_f73omsMWM-9" TargetMode="External"/><Relationship Id="rId111" Type="http://schemas.openxmlformats.org/officeDocument/2006/relationships/hyperlink" Target="https://drive.google.com/open?id=17gc3uKZwnSFjbItrX6qAUmzjxO6L0k0z" TargetMode="External"/><Relationship Id="rId353" Type="http://schemas.openxmlformats.org/officeDocument/2006/relationships/hyperlink" Target="https://maps.app.goo.gl/WhDMmw7eW8W5E6xW8" TargetMode="External"/><Relationship Id="rId595" Type="http://schemas.openxmlformats.org/officeDocument/2006/relationships/hyperlink" Target="https://maps.app.goo.gl/n6GkDThzygHgQvL6A?g_st=ic" TargetMode="External"/><Relationship Id="rId305" Type="http://schemas.openxmlformats.org/officeDocument/2006/relationships/hyperlink" Target="https://drive.google.com/open?id=1XZ9ZsEViH7b8kP1ukMLroSjXiL-dq7y_" TargetMode="External"/><Relationship Id="rId547" Type="http://schemas.openxmlformats.org/officeDocument/2006/relationships/hyperlink" Target="https://drive.google.com/open?id=1GS8AvgbHEHbfkaYuNrmtL18TZjtR_ciK" TargetMode="External"/><Relationship Id="rId304" Type="http://schemas.openxmlformats.org/officeDocument/2006/relationships/hyperlink" Target="https://drive.google.com/open?id=1tRWmDpkyPg_hKBpEZFmJ5ONSHZi68ZRk" TargetMode="External"/><Relationship Id="rId546" Type="http://schemas.openxmlformats.org/officeDocument/2006/relationships/hyperlink" Target="https://drive.google.com/open?id=1OhJXkb5bE9UqrDDqXlZ3uMcCDmneB4fi" TargetMode="External"/><Relationship Id="rId303" Type="http://schemas.openxmlformats.org/officeDocument/2006/relationships/hyperlink" Target="https://drive.google.com/open?id=1GMZ4NH82b3mgZS90MqbElPLVhwFtsXrH" TargetMode="External"/><Relationship Id="rId545" Type="http://schemas.openxmlformats.org/officeDocument/2006/relationships/hyperlink" Target="https://drive.google.com/open?id=1fSSKj0PB01QtLuwEJXjhrLK4sddajuOb" TargetMode="External"/><Relationship Id="rId302" Type="http://schemas.openxmlformats.org/officeDocument/2006/relationships/hyperlink" Target="https://maps.app.goo.gl/xK7xrwBxYyjxiacc8" TargetMode="External"/><Relationship Id="rId544" Type="http://schemas.openxmlformats.org/officeDocument/2006/relationships/hyperlink" Target="https://drive.google.com/open?id=1IvJvCF2das2flGPdpNf-1whUPKX1DXtn" TargetMode="External"/><Relationship Id="rId309" Type="http://schemas.openxmlformats.org/officeDocument/2006/relationships/hyperlink" Target="https://drive.google.com/open?id=1co_tLOZJen6Y4IPvYNvxKakldF9XaDv6" TargetMode="External"/><Relationship Id="rId308" Type="http://schemas.openxmlformats.org/officeDocument/2006/relationships/hyperlink" Target="https://drive.google.com/open?id=1oollF86MvkeP8F7pfPJA4uSPIrURUU4y" TargetMode="External"/><Relationship Id="rId307" Type="http://schemas.openxmlformats.org/officeDocument/2006/relationships/hyperlink" Target="https://drive.google.com/open?id=1gcv9RnzFa4BVuSpZKCyspNeRZ9pq7tQm" TargetMode="External"/><Relationship Id="rId549" Type="http://schemas.openxmlformats.org/officeDocument/2006/relationships/hyperlink" Target="https://drive.google.com/open?id=12s0NUo5-gf53l25K59UeNpZLcd05buwc" TargetMode="External"/><Relationship Id="rId306" Type="http://schemas.openxmlformats.org/officeDocument/2006/relationships/hyperlink" Target="https://maps.app.goo.gl/oXwuf4LKsNdYomaPA" TargetMode="External"/><Relationship Id="rId548" Type="http://schemas.openxmlformats.org/officeDocument/2006/relationships/hyperlink" Target="https://drive.google.com/open?id=1XBs1nLoOS-TwwL237NCvMafODBjx0ZyY" TargetMode="External"/><Relationship Id="rId301" Type="http://schemas.openxmlformats.org/officeDocument/2006/relationships/hyperlink" Target="https://drive.google.com/open?id=1qC8zQOc9yxc7yoFkX8JM-IzFatcOjmzh" TargetMode="External"/><Relationship Id="rId543" Type="http://schemas.openxmlformats.org/officeDocument/2006/relationships/hyperlink" Target="https://drive.google.com/open?id=1lTF_nvZWYuQbZbJKeRT_-d_qo7rc7kA8" TargetMode="External"/><Relationship Id="rId300" Type="http://schemas.openxmlformats.org/officeDocument/2006/relationships/hyperlink" Target="https://drive.google.com/open?id=1CPG3HtOWnpLMHqHuEIjVRE95CmobxkfV" TargetMode="External"/><Relationship Id="rId542" Type="http://schemas.openxmlformats.org/officeDocument/2006/relationships/hyperlink" Target="https://drive.google.com/open?id=1dKBq2qwbhjbC2syhjXGyppBP_hrHOnM9" TargetMode="External"/><Relationship Id="rId541" Type="http://schemas.openxmlformats.org/officeDocument/2006/relationships/hyperlink" Target="https://drive.google.com/open?id=1ioHKAsjGj6d06Lxo_Ko8pIFpd_IR1IW_" TargetMode="External"/><Relationship Id="rId540" Type="http://schemas.openxmlformats.org/officeDocument/2006/relationships/hyperlink" Target="https://drive.google.com/open?id=1R4uS2hMqH7nJg20KD0nE8_sFc2UiLkUS" TargetMode="External"/><Relationship Id="rId536" Type="http://schemas.openxmlformats.org/officeDocument/2006/relationships/hyperlink" Target="https://drive.google.com/open?id=1CEVTsKfKOrj52DRMvms99Fucutp_yBqk" TargetMode="External"/><Relationship Id="rId535" Type="http://schemas.openxmlformats.org/officeDocument/2006/relationships/hyperlink" Target="https://drive.google.com/open?id=14K-gRnlXsPsHMbvznIikc897sO6LguG6" TargetMode="External"/><Relationship Id="rId534" Type="http://schemas.openxmlformats.org/officeDocument/2006/relationships/hyperlink" Target="https://drive.google.com/open?id=10Sw597YYAdkr8G_N_sFceIW-TeEyDjAd" TargetMode="External"/><Relationship Id="rId776" Type="http://schemas.openxmlformats.org/officeDocument/2006/relationships/table" Target="../tables/table1.xml"/><Relationship Id="rId533" Type="http://schemas.openxmlformats.org/officeDocument/2006/relationships/hyperlink" Target="https://drive.google.com/open?id=1tO6bfG8Qg2vKQsS9KNDpZbQxJRso7eq8" TargetMode="External"/><Relationship Id="rId539" Type="http://schemas.openxmlformats.org/officeDocument/2006/relationships/hyperlink" Target="https://drive.google.com/open?id=1hQ7KpHFxouVDxAvVs9HZvkcDXsPWCBpv" TargetMode="External"/><Relationship Id="rId538" Type="http://schemas.openxmlformats.org/officeDocument/2006/relationships/hyperlink" Target="https://drive.google.com/open?id=1pxDZ_URRx7z_7ONcgYD7-GvJK_n-JnK0" TargetMode="External"/><Relationship Id="rId537" Type="http://schemas.openxmlformats.org/officeDocument/2006/relationships/hyperlink" Target="https://drive.google.com/open?id=1hK4PK5uozGeGViyI2RbGA3O8VvgBGLnW" TargetMode="External"/><Relationship Id="rId770" Type="http://schemas.openxmlformats.org/officeDocument/2006/relationships/hyperlink" Target="https://drive.google.com/open?id=1Anb_aB_nVfowaJW-J4E-qUUAq8UoRryz" TargetMode="External"/><Relationship Id="rId532" Type="http://schemas.openxmlformats.org/officeDocument/2006/relationships/hyperlink" Target="https://drive.google.com/open?id=14CfvEmx8e12ROf36Ry7jpxpSAaE1w5zN" TargetMode="External"/><Relationship Id="rId774" Type="http://schemas.openxmlformats.org/officeDocument/2006/relationships/drawing" Target="../drawings/drawing1.xml"/><Relationship Id="rId531" Type="http://schemas.openxmlformats.org/officeDocument/2006/relationships/hyperlink" Target="https://drive.google.com/open?id=1JWWT-G2EZ-3fHoUaesA-SfFDfycfCdPn" TargetMode="External"/><Relationship Id="rId773" Type="http://schemas.openxmlformats.org/officeDocument/2006/relationships/hyperlink" Target="https://drive.google.com/open?id=1e6xSf44AUu7berD98-obIeSO2duVx3r8" TargetMode="External"/><Relationship Id="rId530" Type="http://schemas.openxmlformats.org/officeDocument/2006/relationships/hyperlink" Target="https://drive.google.com/open?id=1CU5Ianr--_pYRZPFaO5ZAVn6TIDlAMzn" TargetMode="External"/><Relationship Id="rId772" Type="http://schemas.openxmlformats.org/officeDocument/2006/relationships/hyperlink" Target="https://drive.google.com/open?id=1rKfzMBMoLhOpl-Ukt2gu6bAp2ob_bbaG" TargetMode="External"/><Relationship Id="rId771" Type="http://schemas.openxmlformats.org/officeDocument/2006/relationships/hyperlink" Target="https://drive.google.com/open?id=1_ZXq8X9lb_q5TZwd2x8HpOBIaPn2eNxV" TargetMode="External"/><Relationship Id="rId327" Type="http://schemas.openxmlformats.org/officeDocument/2006/relationships/hyperlink" Target="https://drive.google.com/open?id=1uQmldAeGEJwNboL-RxQC_Qg7L0iJnEGh" TargetMode="External"/><Relationship Id="rId569" Type="http://schemas.openxmlformats.org/officeDocument/2006/relationships/hyperlink" Target="https://drive.google.com/open?id=1hsAszpcLGPwVgp4j0ifKNJbKns-L1fnP" TargetMode="External"/><Relationship Id="rId326" Type="http://schemas.openxmlformats.org/officeDocument/2006/relationships/hyperlink" Target="https://drive.google.com/open?id=17Or-bhIxOB_fO2sEGmNwr5IQ6ixU3vvE" TargetMode="External"/><Relationship Id="rId568" Type="http://schemas.openxmlformats.org/officeDocument/2006/relationships/hyperlink" Target="https://drive.google.com/open?id=1qAVVlD0Zypb86SU0-jP52c8rRSF0Rqtj" TargetMode="External"/><Relationship Id="rId325" Type="http://schemas.openxmlformats.org/officeDocument/2006/relationships/hyperlink" Target="https://maps.app.goo.gl/wrTbDZnD5N3mw4cu5" TargetMode="External"/><Relationship Id="rId567" Type="http://schemas.openxmlformats.org/officeDocument/2006/relationships/hyperlink" Target="https://drive.google.com/open?id=1U6ZHiBGETF-dNWX9DEOHlmH6a1nxNRFe" TargetMode="External"/><Relationship Id="rId324" Type="http://schemas.openxmlformats.org/officeDocument/2006/relationships/hyperlink" Target="https://drive.google.com/open?id=1GeVV81U6D5F9tTaSAVz-8ZxKWT8UmvBG" TargetMode="External"/><Relationship Id="rId566" Type="http://schemas.openxmlformats.org/officeDocument/2006/relationships/hyperlink" Target="https://drive.google.com/open?id=1hmxV2-hxRftF1EuWygEhGwmJ5Ktr0JIs" TargetMode="External"/><Relationship Id="rId329" Type="http://schemas.openxmlformats.org/officeDocument/2006/relationships/hyperlink" Target="https://drive.google.com/open?id=1QnMLths7iNcb1nTv46dC1aw-7bW5GTgf" TargetMode="External"/><Relationship Id="rId328" Type="http://schemas.openxmlformats.org/officeDocument/2006/relationships/hyperlink" Target="https://maps.app.goo.gl/NN3VLf1stEGKdp4HA" TargetMode="External"/><Relationship Id="rId561" Type="http://schemas.openxmlformats.org/officeDocument/2006/relationships/hyperlink" Target="https://drive.google.com/open?id=1jHVbxfOTCsrhO_KUut8sCCtGffUn9d1b" TargetMode="External"/><Relationship Id="rId560" Type="http://schemas.openxmlformats.org/officeDocument/2006/relationships/hyperlink" Target="https://drive.google.com/open?id=1hWV_6XclsW7AfwjluWtL1IFfoZ3rQeoO" TargetMode="External"/><Relationship Id="rId323" Type="http://schemas.openxmlformats.org/officeDocument/2006/relationships/hyperlink" Target="https://drive.google.com/open?id=1F5Akbwd88epJsI8yovUNIxNwIgwavCJH" TargetMode="External"/><Relationship Id="rId565" Type="http://schemas.openxmlformats.org/officeDocument/2006/relationships/hyperlink" Target="https://drive.google.com/open?id=1U2tUpzUHoeKmJvehvebIqSDxPpXHiobG" TargetMode="External"/><Relationship Id="rId322" Type="http://schemas.openxmlformats.org/officeDocument/2006/relationships/hyperlink" Target="https://drive.google.com/open?id=1GBAFJfylOBRP0t3YAWBWrCnfFE4H5WKK" TargetMode="External"/><Relationship Id="rId564" Type="http://schemas.openxmlformats.org/officeDocument/2006/relationships/hyperlink" Target="https://drive.google.com/open?id=1zu_8VbE-VdwzSqYKkTkfN28ODF7fyi51" TargetMode="External"/><Relationship Id="rId321" Type="http://schemas.openxmlformats.org/officeDocument/2006/relationships/hyperlink" Target="https://drive.google.com/open?id=1t5Stq0SMOsAKB4MzMx0D5ctoM9FxcKaY" TargetMode="External"/><Relationship Id="rId563" Type="http://schemas.openxmlformats.org/officeDocument/2006/relationships/hyperlink" Target="https://drive.google.com/open?id=1vajF3gEJTGO5Dt5niqhoc9GikbnxWy4D" TargetMode="External"/><Relationship Id="rId320" Type="http://schemas.openxmlformats.org/officeDocument/2006/relationships/hyperlink" Target="https://maps.app.goo.gl/Fy7aeqRmTAGgLgWn6" TargetMode="External"/><Relationship Id="rId562" Type="http://schemas.openxmlformats.org/officeDocument/2006/relationships/hyperlink" Target="https://www.google.com/maps/place//@17.3626202,78.3920017,17z/data=!3m1!4b1!4m6!1m5!3m4!2zMTfCsDIxJzQ1LjQiTiA3OMKwMjMnNDAuNSJF!8m2!3d17.3626111!4d78.3945833?hl=en&amp;entry=ttu&amp;g_ep=EgoyMDI2MDIyMi4wIKXMDSoASAFQAw%3D%3D" TargetMode="External"/><Relationship Id="rId316" Type="http://schemas.openxmlformats.org/officeDocument/2006/relationships/hyperlink" Target="https://drive.google.com/open?id=17t9rSNa1ACIcY4EyDJMioAGOKy4ezj_V" TargetMode="External"/><Relationship Id="rId558" Type="http://schemas.openxmlformats.org/officeDocument/2006/relationships/hyperlink" Target="https://drive.google.com/open?id=1CZ7hvqfQ_YxQdZk1XVXbz3qvJ1DwPeyo" TargetMode="External"/><Relationship Id="rId315" Type="http://schemas.openxmlformats.org/officeDocument/2006/relationships/hyperlink" Target="https://maps.app.goo.gl/tx9Nc1Maef9y1ixo7" TargetMode="External"/><Relationship Id="rId557" Type="http://schemas.openxmlformats.org/officeDocument/2006/relationships/hyperlink" Target="https://drive.google.com/open?id=1MSbhVBCkb-p82sfEstgmmwqLjiFtNLhR" TargetMode="External"/><Relationship Id="rId314" Type="http://schemas.openxmlformats.org/officeDocument/2006/relationships/hyperlink" Target="https://drive.google.com/open?id=1rd37Nb7X_DnLu5vq5RT9zuDu_yvrcW0G" TargetMode="External"/><Relationship Id="rId556" Type="http://schemas.openxmlformats.org/officeDocument/2006/relationships/hyperlink" Target="https://drive.google.com/open?id=1OS5NEWfVzhsDEA6Xi8O8Jczqs9m1Cicj" TargetMode="External"/><Relationship Id="rId313" Type="http://schemas.openxmlformats.org/officeDocument/2006/relationships/hyperlink" Target="https://drive.google.com/open?id=1LUkvi82AtTdaF_7imhG0sKxXvD8gJwEg" TargetMode="External"/><Relationship Id="rId555" Type="http://schemas.openxmlformats.org/officeDocument/2006/relationships/hyperlink" Target="https://drive.google.com/open?id=1n3dh2kStL9zm1tIQRvqdl2uZ74C2xU_S" TargetMode="External"/><Relationship Id="rId319" Type="http://schemas.openxmlformats.org/officeDocument/2006/relationships/hyperlink" Target="https://drive.google.com/open?id=18yRO-B3Lj3Gfw91ri3Ga2IQUP3tgwc8p" TargetMode="External"/><Relationship Id="rId318" Type="http://schemas.openxmlformats.org/officeDocument/2006/relationships/hyperlink" Target="https://drive.google.com/open?id=1pK59o1Aziv19WH0wSGHnNWo73zXeKHr_" TargetMode="External"/><Relationship Id="rId317" Type="http://schemas.openxmlformats.org/officeDocument/2006/relationships/hyperlink" Target="https://drive.google.com/open?id=1-4NWD5Y-cmWKKxC99_hPPygKjk_uxo6S" TargetMode="External"/><Relationship Id="rId559" Type="http://schemas.openxmlformats.org/officeDocument/2006/relationships/hyperlink" Target="https://drive.google.com/open?id=1GqUi1FzF3b0W2s1Z_DekgAzIFXPUmBjp" TargetMode="External"/><Relationship Id="rId550" Type="http://schemas.openxmlformats.org/officeDocument/2006/relationships/hyperlink" Target="https://drive.google.com/open?id=13CKXnmGR_lAD9FeuaDm9mOxvQEQJ2NHt" TargetMode="External"/><Relationship Id="rId312" Type="http://schemas.openxmlformats.org/officeDocument/2006/relationships/hyperlink" Target="https://drive.google.com/open?id=1YamiPESl9lY_-e9DER0dGwAA3iNj4XIl" TargetMode="External"/><Relationship Id="rId554" Type="http://schemas.openxmlformats.org/officeDocument/2006/relationships/hyperlink" Target="https://drive.google.com/open?id=1yGqGHcHJXRvF6FdM2VMgw5vnO7A2Bags" TargetMode="External"/><Relationship Id="rId311" Type="http://schemas.openxmlformats.org/officeDocument/2006/relationships/hyperlink" Target="https://maps.app.goo.gl/nA3YjUfHoAfydvHw9" TargetMode="External"/><Relationship Id="rId553" Type="http://schemas.openxmlformats.org/officeDocument/2006/relationships/hyperlink" Target="https://drive.google.com/open?id=10BRrmdHzFzwfXs0B0LB2LyJAGJOKin27" TargetMode="External"/><Relationship Id="rId310" Type="http://schemas.openxmlformats.org/officeDocument/2006/relationships/hyperlink" Target="https://drive.google.com/open?id=1iM2kJS9HkQ3zvV9PvTqoRtXsVkbBQHGe" TargetMode="External"/><Relationship Id="rId552" Type="http://schemas.openxmlformats.org/officeDocument/2006/relationships/hyperlink" Target="https://drive.google.com/open?id=1_kAR5vOlP8FWjW8FxdwzuM8DrQsTi4Zf" TargetMode="External"/><Relationship Id="rId551" Type="http://schemas.openxmlformats.org/officeDocument/2006/relationships/hyperlink" Target="https://drive.google.com/open?id=1Dcc6NER0ijy5HWG0_rtpa-kPCfSh-Vd3" TargetMode="External"/><Relationship Id="rId297" Type="http://schemas.openxmlformats.org/officeDocument/2006/relationships/hyperlink" Target="https://drive.google.com/open?id=16r6DJTjOKtSG2yn0_TX4bS1xeLipnrUa" TargetMode="External"/><Relationship Id="rId296" Type="http://schemas.openxmlformats.org/officeDocument/2006/relationships/hyperlink" Target="https://drive.google.com/open?id=15w-41KfK4yuAaZbxJPFH_B99m-hbwa4F" TargetMode="External"/><Relationship Id="rId295" Type="http://schemas.openxmlformats.org/officeDocument/2006/relationships/hyperlink" Target="https://share.google/WbSC2YeW2euvyWXec" TargetMode="External"/><Relationship Id="rId294" Type="http://schemas.openxmlformats.org/officeDocument/2006/relationships/hyperlink" Target="https://share.google/srUHBGWH63dYunKNW" TargetMode="External"/><Relationship Id="rId299" Type="http://schemas.openxmlformats.org/officeDocument/2006/relationships/hyperlink" Target="https://share.google/YfSA4bjUxoJiV6vSl" TargetMode="External"/><Relationship Id="rId298" Type="http://schemas.openxmlformats.org/officeDocument/2006/relationships/hyperlink" Target="https://drive.google.com/open?id=1gaojrQDsRKOnMGTffrg7CRd7nH8P-4wY" TargetMode="External"/><Relationship Id="rId271" Type="http://schemas.openxmlformats.org/officeDocument/2006/relationships/hyperlink" Target="https://www.google.com/maps?gs_lcrp=EgZjaHJvbWUyBggAEEUYOTIJCAEQIRgKGKABMgkIAhAhGAoYoAEyBwgDECEYjwIyBwgEECEYjwIyBwgFECEYjwLSAQgzNDk1ajBqNKgCALACAQ&amp;um=1&amp;ie=UTF-8&amp;fb=1&amp;gl=in&amp;sa=X&amp;geocode=KZWrt9Rxkcs7MVfIMjfyFA-9&amp;daddr=4th+Floor,+Inorbit+Mall,+Mindspace+Madhapur+Rd,+Mind+Space,+Madhapur,+Hyderabad,+Telangana+500081" TargetMode="External"/><Relationship Id="rId270" Type="http://schemas.openxmlformats.org/officeDocument/2006/relationships/hyperlink" Target="https://www.google.com/maps?sca_esv=d6eb6bac57f34326&amp;sxsrf=ANbL-n4B5OSWpuRwcNbMRnTof1uYTLjeBg:1771311097540&amp;biw=1470&amp;bih=723&amp;uact=5&amp;gs_lp=Egxnd3Mtd2l6LXNlcnAiFWNodXRuZXlzIGlub3JiaXQgbWFsbDILEC4YgAQYxwEYrwEyBRAAGIAEMgYQABgHGB4yBBAAGB4yBBAAGB4yAhAmMgIQJjILEAAYgAQYhgMYigUyCxAAGIAEGIYDGIoFMgUQABjvBTIaEC4YgAQYxwEYrwEYlwUY3AQY3gQY4ATYAQFInwlQAFivB3AAeAGQAQCYAX6gAfgGqgEDMy41uAEDyAEA-AEBmAIGoALYBcICDRAuGIAEGMcBGA0YrwHCAgcQABiABBgNwgIcEC4YgAQYxwEYDRivARiXBRjcBBjeBBjgBNgBAZgDALoGBggBEAEYFJIHAzEuNaAHz0WyBwMxLjW4B9gFwgcFMi00LjLIByWACAA&amp;um=1&amp;ie=UTF-8&amp;fb=1&amp;gl=in&amp;sa=X&amp;geocode=KcOruzNYkcs7MWMzMvunEor6&amp;daddr=Inorbit+Mall+Rd,+Mind+Space,+Vittal+Rao+Nagar,+HITEC+City,+Hyderabad,+Telangana+500081" TargetMode="External"/><Relationship Id="rId269" Type="http://schemas.openxmlformats.org/officeDocument/2006/relationships/hyperlink" Target="https://www.google.com/maps?gs_lcrp=EgZjaHJvbWUqDQgBEC4YrwEYxwEYgAQyCggAEEUYFhgeGDkyDQgBEC4YrwEYxwEYgAQyBwgCEAAYgAQyBwgDEAAYgAQyBwgEEAAYgAQyCAgFEAAYFhgeMggIBhAAGBYYHjIICAcQABgWGB4yCAgIEAAYFhge0gEJMTc0OTdqMGo3qAIIsAIB8QVsLCl7Jib_JQ&amp;um=1&amp;ie=UTF-8&amp;fb=1&amp;gl=in&amp;sa=X&amp;geocode=KRnXhiy4kcs7MRTcZ3ygvDfN&amp;daddr=Shop+No.+S-16,+Second+Floor,+Level+4,+Inorbit+Mall+Mindspace,+Cyberabad,+Madhapur,+Hyderabad,+Telangana+500081" TargetMode="External"/><Relationship Id="rId264" Type="http://schemas.openxmlformats.org/officeDocument/2006/relationships/hyperlink" Target="https://drive.google.com/open?id=15OcZoL691OxDeIQUq7hxTLlVkESpAFxU" TargetMode="External"/><Relationship Id="rId263" Type="http://schemas.openxmlformats.org/officeDocument/2006/relationships/hyperlink" Target="https://drive.google.com/open?id=1Bs5j9AK0RG5Hl2wupt4lloyhDgXIhyxN" TargetMode="External"/><Relationship Id="rId262" Type="http://schemas.openxmlformats.org/officeDocument/2006/relationships/hyperlink" Target="https://drive.google.com/open?id=1s3qkv8BsnDod67ajNIztoNk4pVhhTL74" TargetMode="External"/><Relationship Id="rId261" Type="http://schemas.openxmlformats.org/officeDocument/2006/relationships/hyperlink" Target="https://drive.google.com/open?id=1nLvd4DvtCUcB1ziwiCLawkm7WjK0wHT0" TargetMode="External"/><Relationship Id="rId268" Type="http://schemas.openxmlformats.org/officeDocument/2006/relationships/hyperlink" Target="http://google.com/maps?gs_lcrp=EgZjaHJvbWUyBggAEEUYOTIICAEQABgWGB4yCAgCEAAYFhgeMggIAxAAGBYYHjIICAQQABgWGB4yCAgFEAAYFhgeMggIBhAAGBYYHjIICAcQABgWGB4yCAgIEAAYFhgeMggICRAAGBYYHtIBCDc0MDBqMGo3qAIAsAIA&amp;um=1&amp;ie=UTF-8&amp;fb=1&amp;gl=in&amp;sa=X&amp;geocode=KRHLCwtbkcs7MQxXM_ZqyHLw&amp;daddr=8-2-293/82/A/1181,+Road+No.+45+Jubilee+Hills,+Jubilee+Hills,+Hyderabad,+Telangana+500033" TargetMode="External"/><Relationship Id="rId267" Type="http://schemas.openxmlformats.org/officeDocument/2006/relationships/hyperlink" Target="https://drive.google.com/open?id=1iSONILkt5lH4Z6I8zgC4f5FG-WyYCWjD" TargetMode="External"/><Relationship Id="rId266" Type="http://schemas.openxmlformats.org/officeDocument/2006/relationships/hyperlink" Target="https://drive.google.com/open?id=1QXAlKpIBQInBixggqbC_jI6MPRubZ-Dv" TargetMode="External"/><Relationship Id="rId265" Type="http://schemas.openxmlformats.org/officeDocument/2006/relationships/hyperlink" Target="https://drive.google.com/open?id=12_glf7ohtBGogh91v9HxkwCJo0GOxHT3" TargetMode="External"/><Relationship Id="rId260" Type="http://schemas.openxmlformats.org/officeDocument/2006/relationships/hyperlink" Target="https://drive.google.com/open?id=1fxLJs5jB-xpQQqYcyKiJa9ow9u28RGf_" TargetMode="External"/><Relationship Id="rId259" Type="http://schemas.openxmlformats.org/officeDocument/2006/relationships/hyperlink" Target="https://drive.google.com/open?id=1DztSeMbfTMIHcNUCvl3ObaM0uq3Eem1t" TargetMode="External"/><Relationship Id="rId258" Type="http://schemas.openxmlformats.org/officeDocument/2006/relationships/hyperlink" Target="https://drive.google.com/open?id=17tcFw2cINnz_Ih3bP9CBcgAGFyyMS4Ul" TargetMode="External"/><Relationship Id="rId253" Type="http://schemas.openxmlformats.org/officeDocument/2006/relationships/hyperlink" Target="https://drive.google.com/open?id=1RqIgGbKdS7V0393jSefvmGbOHW9VQV1S" TargetMode="External"/><Relationship Id="rId495" Type="http://schemas.openxmlformats.org/officeDocument/2006/relationships/hyperlink" Target="https://drive.google.com/open?id=1MXfwLVhDS0l7uBO0_3gV6iO7EBzcZxt_" TargetMode="External"/><Relationship Id="rId252" Type="http://schemas.openxmlformats.org/officeDocument/2006/relationships/hyperlink" Target="https://drive.google.com/open?id=1zBdMZcQqrV-mArYvL02JEA_MH9zQNp7y" TargetMode="External"/><Relationship Id="rId494" Type="http://schemas.openxmlformats.org/officeDocument/2006/relationships/hyperlink" Target="https://drive.google.com/open?id=1XCXzU_ZQ40iwh5YGuHP0HNdNsyUFCQm7" TargetMode="External"/><Relationship Id="rId251" Type="http://schemas.openxmlformats.org/officeDocument/2006/relationships/hyperlink" Target="https://drive.google.com/open?id=1WXzJB5jAq-ErFkqRSFDqCwMunYuUzXes" TargetMode="External"/><Relationship Id="rId493" Type="http://schemas.openxmlformats.org/officeDocument/2006/relationships/hyperlink" Target="https://drive.google.com/open?id=1ElkQEBbpL4Rwh7v6l8_UqxLIy4-ZMmfV" TargetMode="External"/><Relationship Id="rId250" Type="http://schemas.openxmlformats.org/officeDocument/2006/relationships/hyperlink" Target="https://drive.google.com/open?id=15hJdUQGf_fyRP9LiydLCMSi1StFZTTjv" TargetMode="External"/><Relationship Id="rId492" Type="http://schemas.openxmlformats.org/officeDocument/2006/relationships/hyperlink" Target="https://drive.google.com/open?id=1q98t4jbHMvch3nt1oNFRIwegqFPcDflg" TargetMode="External"/><Relationship Id="rId257" Type="http://schemas.openxmlformats.org/officeDocument/2006/relationships/hyperlink" Target="https://drive.google.com/open?id=1aG-dLFSw3LpAi8pn-Qwq1DOev6gi8frp" TargetMode="External"/><Relationship Id="rId499" Type="http://schemas.openxmlformats.org/officeDocument/2006/relationships/hyperlink" Target="https://maps.app.goo.gl/g6cNTrpwb4QL6jAz6" TargetMode="External"/><Relationship Id="rId256" Type="http://schemas.openxmlformats.org/officeDocument/2006/relationships/hyperlink" Target="https://drive.google.com/open?id=1c5OX2uUNeQWX_ZBgExdNadzag4rWD5lN" TargetMode="External"/><Relationship Id="rId498" Type="http://schemas.openxmlformats.org/officeDocument/2006/relationships/hyperlink" Target="https://share.google/b7w9SqsO3x5h9MKiW" TargetMode="External"/><Relationship Id="rId255" Type="http://schemas.openxmlformats.org/officeDocument/2006/relationships/hyperlink" Target="https://drive.google.com/open?id=1cyQLytiQvsiU0vA4tc9EQj5yhuJDrOPW" TargetMode="External"/><Relationship Id="rId497" Type="http://schemas.openxmlformats.org/officeDocument/2006/relationships/hyperlink" Target="https://share.google/g8VtPK9T7Lq2eV6HV" TargetMode="External"/><Relationship Id="rId254" Type="http://schemas.openxmlformats.org/officeDocument/2006/relationships/hyperlink" Target="https://drive.google.com/open?id=1U6JzgmUtu9GghBUA6vtVT1X_i_LLPJ_2" TargetMode="External"/><Relationship Id="rId496" Type="http://schemas.openxmlformats.org/officeDocument/2006/relationships/hyperlink" Target="https://drive.google.com/open?id=1Ebks0NSpqDOezGoNOk04gbSu2LQ4XhqS" TargetMode="External"/><Relationship Id="rId293" Type="http://schemas.openxmlformats.org/officeDocument/2006/relationships/hyperlink" Target="https://share.google/ONj2n2GaI20X3tFea" TargetMode="External"/><Relationship Id="rId292" Type="http://schemas.openxmlformats.org/officeDocument/2006/relationships/hyperlink" Target="https://drive.google.com/open?id=1z2n-KhU_rLTCL1gYXHa3gKHQePwZpwM1" TargetMode="External"/><Relationship Id="rId291" Type="http://schemas.openxmlformats.org/officeDocument/2006/relationships/hyperlink" Target="https://drive.google.com/open?id=1dAEDqfgo5WXJ-OTH7YaLBgpqRr8Vw7T9" TargetMode="External"/><Relationship Id="rId290" Type="http://schemas.openxmlformats.org/officeDocument/2006/relationships/hyperlink" Target="https://drive.google.com/open?id=1XqfSCML6SoFCVD8TCEqvqtCDTAEjdvUa" TargetMode="External"/><Relationship Id="rId286" Type="http://schemas.openxmlformats.org/officeDocument/2006/relationships/hyperlink" Target="https://drive.google.com/open?id=1o18SdyJdHxK1ivAa17eVfBuiGzaeuCpU" TargetMode="External"/><Relationship Id="rId285" Type="http://schemas.openxmlformats.org/officeDocument/2006/relationships/hyperlink" Target="https://drive.google.com/open?id=1xK1wKlI15IktTyXKw_xMHwAZmL8l0hv2" TargetMode="External"/><Relationship Id="rId284" Type="http://schemas.openxmlformats.org/officeDocument/2006/relationships/hyperlink" Target="https://maps.app.goo.gl/UP22p3iYoUeYTUdz7" TargetMode="External"/><Relationship Id="rId283" Type="http://schemas.openxmlformats.org/officeDocument/2006/relationships/hyperlink" Target="https://maps.app.goo.gl/2Kktb6CGw3TCfPBx7" TargetMode="External"/><Relationship Id="rId289" Type="http://schemas.openxmlformats.org/officeDocument/2006/relationships/hyperlink" Target="https://drive.google.com/open?id=12K4b8vhs3pAxMC0tiMtzobsXR3Sz9XyS" TargetMode="External"/><Relationship Id="rId288" Type="http://schemas.openxmlformats.org/officeDocument/2006/relationships/hyperlink" Target="https://drive.google.com/open?id=19bhmAYOCFdCddBwZl3Wau73LQMozPDuZ" TargetMode="External"/><Relationship Id="rId287" Type="http://schemas.openxmlformats.org/officeDocument/2006/relationships/hyperlink" Target="https://drive.google.com/open?id=1PmaUkgNxXz5G-6LFNQQU3Aw1hn4ZzMGv" TargetMode="External"/><Relationship Id="rId282" Type="http://schemas.openxmlformats.org/officeDocument/2006/relationships/hyperlink" Target="https://www.google.com/maps/dir//The+Game+Palacio,+Level+5,+Inorbit+Mall+Rd,+near+PVR+Cinema,+Software+Units+Layout,+HITEC+City,+Hyderabad,+Telangana+500081/@17.4391296,78.4859136,15z/data=!4m8!4m7!1m0!1m5!1m1!1s0x3bcb91b9b901e80d:0x5aebc4a84f5dfbba!2m2!1d78.3872005!2d17.4350874?entry=ttu&amp;g_ep=EgoyMDI2MDIxMS4wIKXMDSoASAFQAw%3D%3D" TargetMode="External"/><Relationship Id="rId281" Type="http://schemas.openxmlformats.org/officeDocument/2006/relationships/hyperlink" Target="https://www.google.com/maps?um=1&amp;ie=UTF-8&amp;fb=1&amp;gl=in&amp;sa=X&amp;geocode=KUF8vUYlkcs7MS0rNCnlKQ5i&amp;daddr=103,+104,+5th+Floor,+Inorbit+Mall,+Software+Units+Layout,+Madhapur,+Hyderabad,+Telangana+500081" TargetMode="External"/><Relationship Id="rId280" Type="http://schemas.openxmlformats.org/officeDocument/2006/relationships/hyperlink" Target="https://www.google.com/maps?sca_esv=d6eb6bac57f34326&amp;sxsrf=ANbL-n6zMXS_xjfTwnoF_9GIZIWGUolzMg:1771313953825&amp;biw=1470&amp;bih=723&amp;uact=5&amp;gs_lp=Egxnd3Mtd2l6LXNlcnAiD2FtIGFoYSBpbiBvcmJpdDICECYyBRAAGO8FMgUQABjvBTIFEAAY7wUyCBAAGIAEGKIEMgUQABjvBUj7B1CvA1jEBnABeACQAQCYAaIBoAGiA6oBAzAuM7gBA8gBAPgBAZgCBKACtgPCAhAQLhiABBiwAxjHARgNGK8BwgIJEAAYsAMYDRgewgILEAAYsAMYBRgNGB7CAg0QABiwAxgFGAoYDRgewgILEAAYsAMYCBgNGB7CAgYQABgNGB6YAwCIBgGQBgeSBwMxLjOgB8QOsgcDMC4zuAexA8IHBTAuMS4zyAcMgAgA&amp;um=1&amp;ie=UTF-8&amp;fb=1&amp;gl=in&amp;sa=X&amp;geocode=KfVTvJL4kcs7MRjkfwJO-CAP&amp;daddr=4th+Floor,+64,+Inorbit+Mall+Rd,+APIIC+Software+Layout,+Madhapur,+Hyderabad,+Telangana+500081" TargetMode="External"/><Relationship Id="rId275" Type="http://schemas.openxmlformats.org/officeDocument/2006/relationships/hyperlink" Target="https://www.google.com/maps?gs_lcrp=EgZjaHJvbWUqBwgBECEYoAEyBggAEEUYOTIHCAEQIRigATIHCAIQIRigATIHCAMQIRigATIHCAQQIRigATIHCAUQIRiPAjIHCAYQIRiPAtIBCTE0Mzk2ajBqNKgCALACAA&amp;um=1&amp;ie=UTF-8&amp;fb=1&amp;gl=in&amp;sa=X&amp;geocode=KY0d_WHukcs7Mdgo-dk7ysUX&amp;daddr=L4,+Inorbit+Mall,+Inorbit+Mall+Rd,+Mind+Space,+Kavuri+Hills,+Madhapur,+Hyderabad,+Telangana+500081" TargetMode="External"/><Relationship Id="rId274" Type="http://schemas.openxmlformats.org/officeDocument/2006/relationships/hyperlink" Target="https://www.google.com/maps?sca_esv=d6eb6bac57f34326&amp;biw=1470&amp;bih=723&amp;sxsrf=ANbL-n4uhRq8CYMe_VjmiXbTIjoYRrhr_Q:1771312186517&amp;uact=5&amp;gs_lp=Egxnd3Mtd2l6LXNlcnAiEWtldmVudGVycyBpbm9yYml0Mg4QLhiABBjHARiOBRivATILEC4YgAQYxwEYrwEyBRAAGIAEMgQQABgeMgQQABgeMgQQABgeMgQQABgeMgQQABgeMgQQABgeMgQQABgeMh0QLhiABBjHARiOBRivARiXBRjcBBjeBBjgBNgBAUjaD1AAWOQNcAB4AJABAJgBygGgAcAIqgEFMi42LjG4AQPIAQD4AQGYAgmgAoAJwgIGEAAYBxgewgIQEC4YgAQYxwEYDRiOBRivAcICHxAuGIAEGMcBGA0YjgUYrwEYlwUY3AQY3gQY4ATYAQGYAwC6BgYIARABGBSSBwUwLjguMaAH9lyyBwUwLjguMbgHgAnCBwcwLjMuNS4xyAcwgAgA&amp;um=1&amp;ie=UTF-8&amp;fb=1&amp;gl=in&amp;sa=X&amp;geocode=KaORl9DBkcs7MeryFvP_eQrE&amp;daddr=Survey+No.+64,+APIIC+Software+Layout,+Madhapur,+Hyderabad,+Telangana+500081" TargetMode="External"/><Relationship Id="rId273" Type="http://schemas.openxmlformats.org/officeDocument/2006/relationships/hyperlink" Target="https://www.google.com/maps?gs_lcrp=EgZjaHJvbWUyBggAEEUYOTIPCAEQLhgNGK8BGMcBGIAEMgkIAhAAGA0YgAQyCQgDEAAYDRiABDIJCAQQABgNGIAEMggIBRAAGBYYHjIICAYQABgWGB4yCAgHEAAYFhgeMggICBAAGBYYHtIBCDgwMDdqMGo0qAIAsAIA&amp;um=1&amp;ie=UTF-8&amp;fb=1&amp;gl=in&amp;sa=X&amp;geocode=KR1HXg5tkcs7MdTqStPsyZvd&amp;daddr=64,+Inorbit+Mall+Rd,+APIIC+Software+Layout,+Madhapur,+Hyderabad,+Telangana+500081" TargetMode="External"/><Relationship Id="rId272" Type="http://schemas.openxmlformats.org/officeDocument/2006/relationships/hyperlink" Target="https://www.google.com/maps?sca_esv=d6eb6bac57f34326&amp;sxsrf=ANbL-n4yy65I9ZopH6s6emlSjdlh6FYi8g:1771311529307&amp;biw=1470&amp;bih=723&amp;uact=5&amp;gs_lp=Egxnd3Mtd2l6LXNlcnAiEGZvbyBpbm9yYml0IG1hbGwyCxAuGIAEGMcBGK8BMgUQABiABDIGEAAYBxgeMgYQABgHGB4yBhAAGAcYHjIEEAAYHjILEAAYgAQYhgMYigUyCxAAGIAEGIYDGIoFMgsQABiABBiGAxiKBTILEAAYgAQYhgMYigUyGhAuGIAEGMcBGK8BGJcFGNwEGN4EGOAE2AEBSMEFUABY2ANwAHgBkAEAmAGZAaABlgSqAQMwLjS4AQPIAQD4AQGYAgOgAqoDwgIKEAAYgAQYsQMYDcICExAuGIAEGLEDGMcBGA0YjgUYrwHCAgcQABiABBgNwgIQEC4YgAQYxwEYDRiOBRivAZgDAOIDBRIBMSBAugYGCAEQARgUkgcDMC4zoAeUOrIHAzAuM7gHqgPCBwUyLTIuMcgHEoAIAA&amp;um=1&amp;ie=UTF-8&amp;fb=1&amp;gl=in&amp;sa=X&amp;geocode=KUP5SZoUkcs7MTS3fLj-rgKR&amp;daddr=Level+4,+Inorbit+Mall+Cyberabad,+APIIC+Software+Layout,+Madhapur,+Hyderabad,+Telangana+500081" TargetMode="External"/><Relationship Id="rId279" Type="http://schemas.openxmlformats.org/officeDocument/2006/relationships/hyperlink" Target="https://www.google.com/maps?biw=1470&amp;bih=723&amp;sca_esv=d6eb6bac57f34326&amp;sxsrf=ANbL-n7z1uRNTkPoYZu0ed8tQc0S2iL6kg:1771313508929&amp;um=1&amp;ie=UTF-8&amp;fb=1&amp;gl=in&amp;sa=X&amp;geocode=KRf-pxRSkcs7MROeYlBUg-3s&amp;daddr=64,+Inorbit+Mall+Rd,+APIIC+Software+Layout,+Madhapur,+Hyderabad,+Telangana+500081" TargetMode="External"/><Relationship Id="rId278" Type="http://schemas.openxmlformats.org/officeDocument/2006/relationships/hyperlink" Target="https://www.google.com/maps?sca_esv=d6eb6bac57f34326&amp;biw=1470&amp;bih=723&amp;sxsrf=ANbL-n6OSFptNvghbGoqHUIlXaLvaUZMkA:1771313504989&amp;uact=5&amp;gs_lp=Egxnd3Mtd2l6LXNlcnAiEnBsdXQwIGlub3JiaXQgbWFsbDIFEAAY7wUyCBAAGIAEGKIEMggQABiABBiiBDIIEAAYgAQYogRI_QdQ0AVY0AVwAXgBkAEAmAG4AaABuAGqAQMwLjG4AQPIAQD4AQGYAgKgAsEBwgIKEAAYsAMY1gQYR5gDAIgGAZAGCJIHAzEuMaAHgQSyBwMwLjG4B74BwgcFMC4xLjHIBwaACAA&amp;um=1&amp;ie=UTF-8&amp;fb=1&amp;gl=in&amp;sa=X&amp;geocode=KRFHbeYvl8s7MRNToRxpJy1_&amp;daddr=S+No.+64,+Inorbit+Mall,+Inorbit+Mall+Rd,+APIIC+Software+Layout,+Mindspace,+Madhapur,+Hyderabad,+Telangana+500081" TargetMode="External"/><Relationship Id="rId277" Type="http://schemas.openxmlformats.org/officeDocument/2006/relationships/hyperlink" Target="https://www.google.com/maps?sca_esv=d6eb6bac57f34326&amp;sxsrf=ANbL-n7BVT6m7RNWJrGmzVXHAzXMfEDB9w:1771313119547&amp;biw=1470&amp;bih=723&amp;gs_lp=Egxnd3Mtd2l6LXNlcnAiEWdhYnJ1IGRpIGNoYWFwIEluKgIIADILEC4YgAQYxwEYrwEyCxAuGIAEGMcBGK8BMgUQABiABDIFEAAYgAQyBRAAGIAEMgsQLhiABBjHARivATIFEAAYgAQyBRAAGIAEMgYQABgWGB4yBhAAGBYYHjIaEC4YgAQYxwEYrwEYlwUY3AQY3gQY4ATYAQFIzUdQ9gFY-TtwAXgBkAEAmAGUAaABmQOqAQMwLjO4AQPIAQD4AQGYAgWgAtEOwgIKEAAYsAMY1gQYR8ICDRAAGLADGNYEGEcYyQPCAhAQABiABBiwAxiSAxhDGIoFwgIOEAAYgAQYsAMYkgMYigXCAg0QABiABBiwAxhDGIoFwgITEC4YgAQYsAMYQxjIAxiKBdgBAcICHBAuGIAEGLADGEMYxwEYyAMYigUYjgUYrwHYAQHCAhkQLhiABBiwAxjRAxhDGMcBGMgDGIoF2AEBwgIZEC4YgAQYsAMYQxjHARjIAxiKBRivAdgBAcICDhAAGLADGOQCGNYE2AEBwgIKEAAYgAQYQxiKBcICDRAAGIAEGEMYyQMYigXCAggQABiABBiSA8ICDhAuGIAEGMcBGI4FGK8BmAMAiAYBkAYTugYGCAEQARgIkgcHMS4zLjctMaAHkTGyBwMwLjO4B7MDwgcHMC4xLjMuMcgHF4AIAA&amp;um=1&amp;ie=UTF-8&amp;fb=1&amp;gl=in&amp;sa=X&amp;geocode=Kf__jy5Ykcs7MUbczbUEhGV-&amp;daddr=Inorbit+mall,+Food+court,+Mindspace,+HUDA+Techno+Enclave,+HITEC+City,+Hyderabad,+Telangana+500081" TargetMode="External"/><Relationship Id="rId276" Type="http://schemas.openxmlformats.org/officeDocument/2006/relationships/hyperlink" Target="https://www.google.com/maps?gs_lcrp=EgZjaHJvbWUyBggAEEUYOTISCAEQLhgNGK8BGMcBGIAEGI4FMgkIAhAAGA0YgAQyCQgDEAAYDRiABDIJCAQQABgNGIAEMgkIBRAAGA0YgAQyCAgGEAAYFhgeMggIBxAAGBYYHjIICAgQABgWGB7SAQgzODUwajBqNKgCALACAA&amp;um=1&amp;ie=UTF-8&amp;fb=1&amp;gl=in&amp;sa=X&amp;geocode=KRmtG-nNk8s7MY6SesYBMWDP&amp;daddr=64,+APIIC+Software+Layout,+Inorbit+Mall+F+%26+B+14B,+Hi+Tech+City,+Madhapur,+Hyderabad,+Telangana+500081" TargetMode="External"/><Relationship Id="rId629" Type="http://schemas.openxmlformats.org/officeDocument/2006/relationships/hyperlink" Target="https://drive.google.com/open?id=1FUE3mBc6CjsVTBVguJckJPgPuaWp7zIM" TargetMode="External"/><Relationship Id="rId624" Type="http://schemas.openxmlformats.org/officeDocument/2006/relationships/hyperlink" Target="https://drive.google.com/open?id=1GS7vFCoGP47kOe8nnXzGHA7sSGMsLNhY" TargetMode="External"/><Relationship Id="rId623" Type="http://schemas.openxmlformats.org/officeDocument/2006/relationships/hyperlink" Target="https://share.google/CMz1OA41NbziAOgF2" TargetMode="External"/><Relationship Id="rId622" Type="http://schemas.openxmlformats.org/officeDocument/2006/relationships/hyperlink" Target="https://drive.google.com/open?id=1zAOz-0mXATnMb5QUiDN-_Z69gNBZ9DTQ" TargetMode="External"/><Relationship Id="rId621" Type="http://schemas.openxmlformats.org/officeDocument/2006/relationships/hyperlink" Target="https://drive.google.com/open?id=1uW3CHzdx9jKZennRYYXyVcFI3xuydgyM" TargetMode="External"/><Relationship Id="rId628" Type="http://schemas.openxmlformats.org/officeDocument/2006/relationships/hyperlink" Target="https://share.google/CMz1OA41NbziAOgF2" TargetMode="External"/><Relationship Id="rId627" Type="http://schemas.openxmlformats.org/officeDocument/2006/relationships/hyperlink" Target="https://drive.google.com/open?id=1oPiUCj_jgdCCD_TnRjwIrvuMQsRIK_hU" TargetMode="External"/><Relationship Id="rId626" Type="http://schemas.openxmlformats.org/officeDocument/2006/relationships/hyperlink" Target="https://drive.google.com/open?id=1rpNj1AvvAbyrpbXRkkv4ZcgkTaH5ORRF" TargetMode="External"/><Relationship Id="rId625" Type="http://schemas.openxmlformats.org/officeDocument/2006/relationships/hyperlink" Target="https://drive.google.com/open?id=1ItyyURfuDP-ReFry76iM0kxEN9h9YVm2" TargetMode="External"/><Relationship Id="rId620" Type="http://schemas.openxmlformats.org/officeDocument/2006/relationships/hyperlink" Target="https://drive.google.com/open?id=1djX8Rx2dDuDUrrw-7Um_FHw6nmVnzCpf" TargetMode="External"/><Relationship Id="rId619" Type="http://schemas.openxmlformats.org/officeDocument/2006/relationships/hyperlink" Target="https://drive.google.com/open?id=1jOqu9dPd-xdRBQFFzQBTxOTJziYFlC8F" TargetMode="External"/><Relationship Id="rId618" Type="http://schemas.openxmlformats.org/officeDocument/2006/relationships/hyperlink" Target="https://share.google/CMz1OA41NbziAOgF2" TargetMode="External"/><Relationship Id="rId613" Type="http://schemas.openxmlformats.org/officeDocument/2006/relationships/hyperlink" Target="https://share.google/CMz1OA41NbziAOgF2" TargetMode="External"/><Relationship Id="rId612" Type="http://schemas.openxmlformats.org/officeDocument/2006/relationships/hyperlink" Target="https://drive.google.com/open?id=1Qm7yyZZa14R1CgpzDtgkSkm5arRaPIKo" TargetMode="External"/><Relationship Id="rId611" Type="http://schemas.openxmlformats.org/officeDocument/2006/relationships/hyperlink" Target="https://drive.google.com/open?id=1eN-f9JaAIy1mkcImEyc2XvE4d24l1mQ6" TargetMode="External"/><Relationship Id="rId610" Type="http://schemas.openxmlformats.org/officeDocument/2006/relationships/hyperlink" Target="https://drive.google.com/open?id=1lAsYlkKX_UgLpmM-uNQNLOxyklL92xpq" TargetMode="External"/><Relationship Id="rId617" Type="http://schemas.openxmlformats.org/officeDocument/2006/relationships/hyperlink" Target="https://drive.google.com/open?id=10iabTxcVj4Za6PKaG5em2u27iXvW8hF-" TargetMode="External"/><Relationship Id="rId616" Type="http://schemas.openxmlformats.org/officeDocument/2006/relationships/hyperlink" Target="https://drive.google.com/open?id=1pEXnx0VShWNcz48h5JFBuaSgOTXtW93H" TargetMode="External"/><Relationship Id="rId615" Type="http://schemas.openxmlformats.org/officeDocument/2006/relationships/hyperlink" Target="https://drive.google.com/open?id=1lv1e_ske_WKKM5C36QoLGb_SZUNdrUCg" TargetMode="External"/><Relationship Id="rId614" Type="http://schemas.openxmlformats.org/officeDocument/2006/relationships/hyperlink" Target="https://drive.google.com/open?id=1QMbe_AxSD0wRtJwzfDrQDIFFrUHXdiO-" TargetMode="External"/><Relationship Id="rId409" Type="http://schemas.openxmlformats.org/officeDocument/2006/relationships/hyperlink" Target="https://drive.google.com/open?id=1eKGwCZlTvrm9EuAd82fGvz2TcSFkMfOG" TargetMode="External"/><Relationship Id="rId404" Type="http://schemas.openxmlformats.org/officeDocument/2006/relationships/hyperlink" Target="https://drive.google.com/open?id=1b5A9jNsukoJijOmYkdLeDG4HYchGTAcE" TargetMode="External"/><Relationship Id="rId646" Type="http://schemas.openxmlformats.org/officeDocument/2006/relationships/hyperlink" Target="https://drive.google.com/open?id=1tg1YYNBpZ6tSWW_9HDDJxHqOoIveejiz" TargetMode="External"/><Relationship Id="rId403" Type="http://schemas.openxmlformats.org/officeDocument/2006/relationships/hyperlink" Target="https://drive.google.com/open?id=13Dds29Tr2HY-QAhKBxqO6CFmA56taYhg" TargetMode="External"/><Relationship Id="rId645" Type="http://schemas.openxmlformats.org/officeDocument/2006/relationships/hyperlink" Target="https://drive.google.com/open?id=18ETTcNXYtv4nBPx7hM2XWbUAZIBM-aD7" TargetMode="External"/><Relationship Id="rId402" Type="http://schemas.openxmlformats.org/officeDocument/2006/relationships/hyperlink" Target="https://share.google/uwobkDmwrtS7lnqmR" TargetMode="External"/><Relationship Id="rId644" Type="http://schemas.openxmlformats.org/officeDocument/2006/relationships/hyperlink" Target="https://drive.google.com/open?id=1CmRn6ReXYRzBAN2XIiw_xv3qvQB6rPVa" TargetMode="External"/><Relationship Id="rId401" Type="http://schemas.openxmlformats.org/officeDocument/2006/relationships/hyperlink" Target="https://drive.google.com/open?id=1Yme6KvX9A5Q2bO4gaJvBIARQqEpdANjj" TargetMode="External"/><Relationship Id="rId643" Type="http://schemas.openxmlformats.org/officeDocument/2006/relationships/hyperlink" Target="https://maps.app.goo.gl/c9RYPFLsTBfefUWG9?g_st=ic" TargetMode="External"/><Relationship Id="rId408" Type="http://schemas.openxmlformats.org/officeDocument/2006/relationships/hyperlink" Target="https://share.google/uwobkDmwrtS7lnqmR" TargetMode="External"/><Relationship Id="rId407" Type="http://schemas.openxmlformats.org/officeDocument/2006/relationships/hyperlink" Target="https://drive.google.com/open?id=1f0Y8W6ZF6kcIvmPXr5nQV3I7uDMJbg8W" TargetMode="External"/><Relationship Id="rId649" Type="http://schemas.openxmlformats.org/officeDocument/2006/relationships/hyperlink" Target="https://drive.google.com/open?id=16IIefTFuB7F8TgpAZfb6Lyq6TItp54et" TargetMode="External"/><Relationship Id="rId406" Type="http://schemas.openxmlformats.org/officeDocument/2006/relationships/hyperlink" Target="https://drive.google.com/open?id=1aWK762ejH9coEq15X3GXpnOEkFD9iAAt" TargetMode="External"/><Relationship Id="rId648" Type="http://schemas.openxmlformats.org/officeDocument/2006/relationships/hyperlink" Target="https://drive.google.com/open?id=11tXJPvuGuhQ162puehhd8sngRtxizSzN" TargetMode="External"/><Relationship Id="rId405" Type="http://schemas.openxmlformats.org/officeDocument/2006/relationships/hyperlink" Target="https://share.google/uwobkDmwrtS7lnqmR" TargetMode="External"/><Relationship Id="rId647" Type="http://schemas.openxmlformats.org/officeDocument/2006/relationships/hyperlink" Target="https://share.google/ZzD5DnBNCZEb4Q0if" TargetMode="External"/><Relationship Id="rId400" Type="http://schemas.openxmlformats.org/officeDocument/2006/relationships/hyperlink" Target="https://drive.google.com/open?id=1m8Ivaol53x-yS9rTfsZUPVdUAKeXK-g6" TargetMode="External"/><Relationship Id="rId642" Type="http://schemas.openxmlformats.org/officeDocument/2006/relationships/hyperlink" Target="https://maps.google.com/?q=Baburao%20Gari%20Biryani,%20Sri%20Sai%20Chaitanya%20Nilayam,%20Street%20Number%204,%20opposite%20Montessori%20High%20School,%20Vijaya%20Nagar%20Colony,%20Kukatpally,%20Hyderabad,%20Telangana%20500072&amp;ftid=0x3bcb919f96d79569:0xc5f549118c193c7b&amp;entry=gps&amp;shh=CAE&amp;lucs=,94297699,94284481,94231188,94280568,47071704,94266210,94218641,94282134,94286869&amp;g_st=ic" TargetMode="External"/><Relationship Id="rId641" Type="http://schemas.openxmlformats.org/officeDocument/2006/relationships/hyperlink" Target="https://drive.google.com/open?id=12yruOYw-H1K_UGFjjWLOR0NC_r5279xy" TargetMode="External"/><Relationship Id="rId640" Type="http://schemas.openxmlformats.org/officeDocument/2006/relationships/hyperlink" Target="https://drive.google.com/open?id=1Tfvit8SMbQHmdwADQm39zULpFu97RjfZ" TargetMode="External"/><Relationship Id="rId635" Type="http://schemas.openxmlformats.org/officeDocument/2006/relationships/hyperlink" Target="https://drive.google.com/open?id=19ITtfreLKXTrAhQDpxtJ9-vkkxZ5QVxi" TargetMode="External"/><Relationship Id="rId634" Type="http://schemas.openxmlformats.org/officeDocument/2006/relationships/hyperlink" Target="https://drive.google.com/open?id=1AHabjK3M3BFq1bDTHAIC-v_0vsqxhQ-c" TargetMode="External"/><Relationship Id="rId633" Type="http://schemas.openxmlformats.org/officeDocument/2006/relationships/hyperlink" Target="https://share.google/ZzD5DnBNCZEb4Q0if" TargetMode="External"/><Relationship Id="rId632" Type="http://schemas.openxmlformats.org/officeDocument/2006/relationships/hyperlink" Target="https://drive.google.com/open?id=1ANfBuq4jiapQrVe8vsikq3MYna6QV_Z2" TargetMode="External"/><Relationship Id="rId639" Type="http://schemas.openxmlformats.org/officeDocument/2006/relationships/hyperlink" Target="https://drive.google.com/open?id=15-B-PpZnsDSPRXzineckckaKX1SIJIl8" TargetMode="External"/><Relationship Id="rId638" Type="http://schemas.openxmlformats.org/officeDocument/2006/relationships/hyperlink" Target="https://drive.google.com/open?id=1KhdHSlTgvasr_R8wfr7FWcOOB5KSaRK5" TargetMode="External"/><Relationship Id="rId637" Type="http://schemas.openxmlformats.org/officeDocument/2006/relationships/hyperlink" Target="https://share.google/ZzD5DnBNCZEb4Q0if" TargetMode="External"/><Relationship Id="rId636" Type="http://schemas.openxmlformats.org/officeDocument/2006/relationships/hyperlink" Target="https://drive.google.com/open?id=1nXENJHod-X6e6HBUNRdlC2dCDwU89dWz" TargetMode="External"/><Relationship Id="rId631" Type="http://schemas.openxmlformats.org/officeDocument/2006/relationships/hyperlink" Target="https://drive.google.com/open?id=1ffF7waPJYXEgdUHn93eUCAc21BgoQxZF" TargetMode="External"/><Relationship Id="rId630" Type="http://schemas.openxmlformats.org/officeDocument/2006/relationships/hyperlink" Target="https://drive.google.com/open?id=1Rv5hKsh7TKOL9BJY1EVze33ZDlPrEJBt" TargetMode="External"/><Relationship Id="rId609" Type="http://schemas.openxmlformats.org/officeDocument/2006/relationships/hyperlink" Target="https://drive.google.com/open?id=1Lz7RcKmFO0xmdvZTZm8QKlh2bSbx7PlO" TargetMode="External"/><Relationship Id="rId608" Type="http://schemas.openxmlformats.org/officeDocument/2006/relationships/hyperlink" Target="https://share.google/CMz1OA41NbziAOgF2" TargetMode="External"/><Relationship Id="rId607" Type="http://schemas.openxmlformats.org/officeDocument/2006/relationships/hyperlink" Target="https://drive.google.com/open?id=1iOJ2ihjS0fS9MrplWXmYR4-Emg4KR4wg" TargetMode="External"/><Relationship Id="rId602" Type="http://schemas.openxmlformats.org/officeDocument/2006/relationships/hyperlink" Target="https://drive.google.com/open?id=1fMJMyw68keYkSsVsJVRMynZJXSa31nYx" TargetMode="External"/><Relationship Id="rId601" Type="http://schemas.openxmlformats.org/officeDocument/2006/relationships/hyperlink" Target="https://drive.google.com/open?id=1Ps2lgMmTAyYPUW26kXCLtPOw8zpK8NbS" TargetMode="External"/><Relationship Id="rId600" Type="http://schemas.openxmlformats.org/officeDocument/2006/relationships/hyperlink" Target="https://maps.app.goo.gl/z9SkJgocGbESBgAP8?g_st=ic" TargetMode="External"/><Relationship Id="rId606" Type="http://schemas.openxmlformats.org/officeDocument/2006/relationships/hyperlink" Target="https://drive.google.com/open?id=1dOPrXStUc-ocn2XPS8-dAptbth1PYAZc" TargetMode="External"/><Relationship Id="rId605" Type="http://schemas.openxmlformats.org/officeDocument/2006/relationships/hyperlink" Target="https://drive.google.com/open?id=1VzUTVP4fyXHqc7bW2dZ8WQbIjlwj9gwZ" TargetMode="External"/><Relationship Id="rId604" Type="http://schemas.openxmlformats.org/officeDocument/2006/relationships/hyperlink" Target="https://drive.google.com/open?id=1-r1SlwvNrqBytm-3AVDDSlFoyYH5YMYM" TargetMode="External"/><Relationship Id="rId603" Type="http://schemas.openxmlformats.org/officeDocument/2006/relationships/hyperlink" Target="https://drive.google.com/open?id=1DWTK_zbTkuXNLLrrNVHt1K1vnTgfJ3in" TargetMode="External"/><Relationship Id="rId228" Type="http://schemas.openxmlformats.org/officeDocument/2006/relationships/hyperlink" Target="https://drive.google.com/open?id=1Lui1FIfU_zhdyYNbhdIUlGp6GG6Sfkc2" TargetMode="External"/><Relationship Id="rId227" Type="http://schemas.openxmlformats.org/officeDocument/2006/relationships/hyperlink" Target="https://drive.google.com/open?id=1MLUUMknW2eGLiMy4-2efmMrFgAz1nhYH" TargetMode="External"/><Relationship Id="rId469" Type="http://schemas.openxmlformats.org/officeDocument/2006/relationships/hyperlink" Target="https://drive.google.com/open?id=1x2qQkfoWv8LumP2sZtDcM6fLv8gn22UJ" TargetMode="External"/><Relationship Id="rId226" Type="http://schemas.openxmlformats.org/officeDocument/2006/relationships/hyperlink" Target="https://drive.google.com/open?id=1GzwV68LZjE7yRgLhc0J8Np1acynTdVFG" TargetMode="External"/><Relationship Id="rId468" Type="http://schemas.openxmlformats.org/officeDocument/2006/relationships/hyperlink" Target="https://drive.google.com/open?id=1Klvkr959tFdbo3st2OPnbRGO46ox4r5Q" TargetMode="External"/><Relationship Id="rId225" Type="http://schemas.openxmlformats.org/officeDocument/2006/relationships/hyperlink" Target="https://drive.google.com/open?id=1Km226MX9KwuUpcWS9pqTAKGqr92Mg0Y3" TargetMode="External"/><Relationship Id="rId467" Type="http://schemas.openxmlformats.org/officeDocument/2006/relationships/hyperlink" Target="https://drive.google.com/open?id=1vuoP8YRkmZ0wDCyP7OFh4PBIm_E2X6Ah" TargetMode="External"/><Relationship Id="rId229" Type="http://schemas.openxmlformats.org/officeDocument/2006/relationships/hyperlink" Target="https://drive.google.com/open?id=1YV_3V66B3IfEOWAvik5kQtmn72HGp0jh" TargetMode="External"/><Relationship Id="rId220" Type="http://schemas.openxmlformats.org/officeDocument/2006/relationships/hyperlink" Target="https://drive.google.com/open?id=1lgW0kIjnPAZ5KLVH-CnWfgRd9KntwZz5" TargetMode="External"/><Relationship Id="rId462" Type="http://schemas.openxmlformats.org/officeDocument/2006/relationships/hyperlink" Target="https://drive.google.com/open?id=1ptS7jZ5pkn_KDPll2GvtPRg-N_0wFMVV" TargetMode="External"/><Relationship Id="rId461" Type="http://schemas.openxmlformats.org/officeDocument/2006/relationships/hyperlink" Target="https://drive.google.com/open?id=11hizKFhvCBegDx8AxAxXCCMSNoCjcqqC" TargetMode="External"/><Relationship Id="rId460" Type="http://schemas.openxmlformats.org/officeDocument/2006/relationships/hyperlink" Target="https://drive.google.com/open?id=13zsfyiLjJMynVxqMk6rFJhdR41TMTvky" TargetMode="External"/><Relationship Id="rId224" Type="http://schemas.openxmlformats.org/officeDocument/2006/relationships/hyperlink" Target="https://drive.google.com/open?id=1BIYKKTui-geMacpBdE2bNO7Mgdto7mOH" TargetMode="External"/><Relationship Id="rId466" Type="http://schemas.openxmlformats.org/officeDocument/2006/relationships/hyperlink" Target="https://drive.google.com/open?id=1elXh5YeFZuytioObyDQQWMaskfXNiB23" TargetMode="External"/><Relationship Id="rId223" Type="http://schemas.openxmlformats.org/officeDocument/2006/relationships/hyperlink" Target="https://drive.google.com/open?id=1YLzd-h6M_cVMp9BAWEwQEL6usbuyBhDk" TargetMode="External"/><Relationship Id="rId465" Type="http://schemas.openxmlformats.org/officeDocument/2006/relationships/hyperlink" Target="https://drive.google.com/open?id=1sdfFL7T8Wpj1CdAuuGImQkFHNds0Egke" TargetMode="External"/><Relationship Id="rId222" Type="http://schemas.openxmlformats.org/officeDocument/2006/relationships/hyperlink" Target="https://drive.google.com/open?id=1Y4KiVuvKsiEij0pmuN9chObs0R6zRWix" TargetMode="External"/><Relationship Id="rId464" Type="http://schemas.openxmlformats.org/officeDocument/2006/relationships/hyperlink" Target="https://drive.google.com/open?id=1Ub1wrnAcgo91klgFqZiNehSro4IEjnGR" TargetMode="External"/><Relationship Id="rId221" Type="http://schemas.openxmlformats.org/officeDocument/2006/relationships/hyperlink" Target="https://drive.google.com/open?id=181YFkStbeQu9DiIOSorReiJkbKFB5kZE" TargetMode="External"/><Relationship Id="rId463" Type="http://schemas.openxmlformats.org/officeDocument/2006/relationships/hyperlink" Target="https://maps.app.goo.gl/59keb47TwkDraerf6" TargetMode="External"/><Relationship Id="rId217" Type="http://schemas.openxmlformats.org/officeDocument/2006/relationships/hyperlink" Target="https://drive.google.com/open?id=1LGqkwoVNZb_k67wzigd4fkwMHJLGDjMy" TargetMode="External"/><Relationship Id="rId459" Type="http://schemas.openxmlformats.org/officeDocument/2006/relationships/hyperlink" Target="https://maps.app.goo.gl/TNeKE9L8oEFahn8R9" TargetMode="External"/><Relationship Id="rId216" Type="http://schemas.openxmlformats.org/officeDocument/2006/relationships/hyperlink" Target="https://drive.google.com/open?id=1lckDHfTyIZ5yB82IYRdKjbdKZl3Jc_jX" TargetMode="External"/><Relationship Id="rId458" Type="http://schemas.openxmlformats.org/officeDocument/2006/relationships/hyperlink" Target="https://drive.google.com/open?id=129B7kMmSpA4mZCafFz_8IRegXJt-_4J9" TargetMode="External"/><Relationship Id="rId215" Type="http://schemas.openxmlformats.org/officeDocument/2006/relationships/hyperlink" Target="https://drive.google.com/open?id=1QQz-dSrn8BLxQJ2yneKFg763S5lFmEn9" TargetMode="External"/><Relationship Id="rId457" Type="http://schemas.openxmlformats.org/officeDocument/2006/relationships/hyperlink" Target="https://drive.google.com/open?id=1WR5kN81INs4UxikzdQZvdQ0EUOcCKs0y" TargetMode="External"/><Relationship Id="rId699" Type="http://schemas.openxmlformats.org/officeDocument/2006/relationships/hyperlink" Target="https://maps.app.goo.gl/d4aYjc9VNEkBhgtu8" TargetMode="External"/><Relationship Id="rId214" Type="http://schemas.openxmlformats.org/officeDocument/2006/relationships/hyperlink" Target="https://drive.google.com/open?id=14kcMFkw4Z8IDUJoLnnR9MRizu0k0-Bqy" TargetMode="External"/><Relationship Id="rId456" Type="http://schemas.openxmlformats.org/officeDocument/2006/relationships/hyperlink" Target="https://drive.google.com/open?id=1SeRPTsRYQVU6SkqR9ic9_CMF0KvW45tR" TargetMode="External"/><Relationship Id="rId698" Type="http://schemas.openxmlformats.org/officeDocument/2006/relationships/hyperlink" Target="https://drive.google.com/open?id=1sHOy6TBEmeaoJhNdoWWy8WDdU1x5yKFb" TargetMode="External"/><Relationship Id="rId219" Type="http://schemas.openxmlformats.org/officeDocument/2006/relationships/hyperlink" Target="https://drive.google.com/open?id=1yxAcSsnzIiU3Ql7cs-2Q1mpsTEeB95JQ" TargetMode="External"/><Relationship Id="rId218" Type="http://schemas.openxmlformats.org/officeDocument/2006/relationships/hyperlink" Target="https://drive.google.com/open?id=1dYdxSEdKDP25VExUX-FmWdaIiSXHMgdB" TargetMode="External"/><Relationship Id="rId451" Type="http://schemas.openxmlformats.org/officeDocument/2006/relationships/hyperlink" Target="https://maps.app.goo.gl/1RTgYEiDbyhJ6orG7" TargetMode="External"/><Relationship Id="rId693" Type="http://schemas.openxmlformats.org/officeDocument/2006/relationships/hyperlink" Target="https://maps.app.goo.gl/jFdAGQyCvp6NZha37" TargetMode="External"/><Relationship Id="rId450" Type="http://schemas.openxmlformats.org/officeDocument/2006/relationships/hyperlink" Target="https://maps.app.goo.gl/tWWabBCKUvnGKtRT9" TargetMode="External"/><Relationship Id="rId692" Type="http://schemas.openxmlformats.org/officeDocument/2006/relationships/hyperlink" Target="https://drive.google.com/open?id=1yyN6uBhrB61j64j_vr-QFy5eCUy3Ew7t" TargetMode="External"/><Relationship Id="rId691" Type="http://schemas.openxmlformats.org/officeDocument/2006/relationships/hyperlink" Target="https://drive.google.com/open?id=191h83SjcYl5-9P1Lln65RMokFPR1aydy" TargetMode="External"/><Relationship Id="rId690" Type="http://schemas.openxmlformats.org/officeDocument/2006/relationships/hyperlink" Target="https://drive.google.com/open?id=1RTxOUqpq8Lf1_dt9-u02aVECzO0T4csi" TargetMode="External"/><Relationship Id="rId213" Type="http://schemas.openxmlformats.org/officeDocument/2006/relationships/hyperlink" Target="https://drive.google.com/open?id=1Y2r1fJ76bZRYNZ76UjnNFLyBLdtVuebW" TargetMode="External"/><Relationship Id="rId455" Type="http://schemas.openxmlformats.org/officeDocument/2006/relationships/hyperlink" Target="https://maps.app.goo.gl/ScmmEJwWb3SHJCqB9" TargetMode="External"/><Relationship Id="rId697" Type="http://schemas.openxmlformats.org/officeDocument/2006/relationships/hyperlink" Target="https://drive.google.com/open?id=1wtohNm56wbPAnW4EahcUgyHdRUrN0Mnx" TargetMode="External"/><Relationship Id="rId212" Type="http://schemas.openxmlformats.org/officeDocument/2006/relationships/hyperlink" Target="https://maps.app.goo.gl/fRG9MCSzy7tPywEL7" TargetMode="External"/><Relationship Id="rId454" Type="http://schemas.openxmlformats.org/officeDocument/2006/relationships/hyperlink" Target="https://drive.google.com/open?id=1SXiJmvMSwMpmmTquzUuPQb56rv-arqLv" TargetMode="External"/><Relationship Id="rId696" Type="http://schemas.openxmlformats.org/officeDocument/2006/relationships/hyperlink" Target="https://maps.app.goo.gl/sQMhB2TAK2ihFpq1A" TargetMode="External"/><Relationship Id="rId211" Type="http://schemas.openxmlformats.org/officeDocument/2006/relationships/hyperlink" Target="https://drive.google.com/open?id=1bYYNkuI4klJFNRxozmqIxILvA32fXEGy" TargetMode="External"/><Relationship Id="rId453" Type="http://schemas.openxmlformats.org/officeDocument/2006/relationships/hyperlink" Target="https://drive.google.com/open?id=1lZk9Mia_V5B7OxDVWY4dSqga4JVxiyvG" TargetMode="External"/><Relationship Id="rId695" Type="http://schemas.openxmlformats.org/officeDocument/2006/relationships/hyperlink" Target="https://drive.google.com/open?id=14VdRTF2eoOXuSrKH_Hj9PKjEktg36nVC" TargetMode="External"/><Relationship Id="rId210" Type="http://schemas.openxmlformats.org/officeDocument/2006/relationships/hyperlink" Target="https://maps.app.goo.gl/hpXVVA38FNwEDCzNA" TargetMode="External"/><Relationship Id="rId452" Type="http://schemas.openxmlformats.org/officeDocument/2006/relationships/hyperlink" Target="https://drive.google.com/open?id=1QtpPmtQ2GmKhyIwRqjT1D_J7nAdTaTI1" TargetMode="External"/><Relationship Id="rId694" Type="http://schemas.openxmlformats.org/officeDocument/2006/relationships/hyperlink" Target="https://drive.google.com/open?id=18eeWHW3FsGjY5ka5ytfY1tymV1j7RVgv" TargetMode="External"/><Relationship Id="rId491" Type="http://schemas.openxmlformats.org/officeDocument/2006/relationships/hyperlink" Target="https://drive.google.com/open?id=1iG4CHMLheLxf0_59SC_sGZL5SDBGW72m" TargetMode="External"/><Relationship Id="rId490" Type="http://schemas.openxmlformats.org/officeDocument/2006/relationships/hyperlink" Target="https://drive.google.com/open?id=1mRa1P7QF-C-SAjike4M1q1WsV0e9qMIL" TargetMode="External"/><Relationship Id="rId249" Type="http://schemas.openxmlformats.org/officeDocument/2006/relationships/hyperlink" Target="https://drive.google.com/open?id=1ecRpt3QjIY5PotmiNiHR1HBPyDPtQuvl" TargetMode="External"/><Relationship Id="rId248" Type="http://schemas.openxmlformats.org/officeDocument/2006/relationships/hyperlink" Target="https://drive.google.com/open?id=1f5YEmi8R5RjXfuitMzBruEY8OzIZ72t8" TargetMode="External"/><Relationship Id="rId247" Type="http://schemas.openxmlformats.org/officeDocument/2006/relationships/hyperlink" Target="https://drive.google.com/open?id=12ghaPXC0kCxeonRGdc1yrqfLQMmtnlTa" TargetMode="External"/><Relationship Id="rId489" Type="http://schemas.openxmlformats.org/officeDocument/2006/relationships/hyperlink" Target="https://drive.google.com/open?id=1uMIvQMobHYkC0SuzTuCD4Dsvs5m7_Ozn" TargetMode="External"/><Relationship Id="rId242" Type="http://schemas.openxmlformats.org/officeDocument/2006/relationships/hyperlink" Target="https://drive.google.com/open?id=1EXRoLkUeVUy1NFPvVCPy0gMxGzevA2zB" TargetMode="External"/><Relationship Id="rId484" Type="http://schemas.openxmlformats.org/officeDocument/2006/relationships/hyperlink" Target="https://drive.google.com/open?id=12aSpcfELc-0b_8s3NDaYnlXXNVWRcf2-" TargetMode="External"/><Relationship Id="rId241" Type="http://schemas.openxmlformats.org/officeDocument/2006/relationships/hyperlink" Target="https://share.google/Dw0aunpNz3KYzSitm" TargetMode="External"/><Relationship Id="rId483" Type="http://schemas.openxmlformats.org/officeDocument/2006/relationships/hyperlink" Target="https://drive.google.com/open?id=1FlTDmXDLyyVsRmXAEcUptJ6Ok7pSB0cC" TargetMode="External"/><Relationship Id="rId240" Type="http://schemas.openxmlformats.org/officeDocument/2006/relationships/hyperlink" Target="https://drive.google.com/open?id=1dxElB3vRZ1tS6RVyXUrVqeRnYh81rGTu" TargetMode="External"/><Relationship Id="rId482" Type="http://schemas.openxmlformats.org/officeDocument/2006/relationships/hyperlink" Target="https://drive.google.com/open?id=1QHOJrjQ-bogE42gz1ED2GU99sKB7bE8g" TargetMode="External"/><Relationship Id="rId481" Type="http://schemas.openxmlformats.org/officeDocument/2006/relationships/hyperlink" Target="https://drive.google.com/open?id=1bhGvPXDDdK_nQNmOHXe3W2kovW_aFJkU" TargetMode="External"/><Relationship Id="rId246" Type="http://schemas.openxmlformats.org/officeDocument/2006/relationships/hyperlink" Target="https://drive.google.com/open?id=1HrStDjCgHTofQeCbOBlxQbgfOzFz-65r" TargetMode="External"/><Relationship Id="rId488" Type="http://schemas.openxmlformats.org/officeDocument/2006/relationships/hyperlink" Target="https://drive.google.com/open?id=1GBBHeRrEgqXpMR0Bwyb9qWksXR5CNScb" TargetMode="External"/><Relationship Id="rId245" Type="http://schemas.openxmlformats.org/officeDocument/2006/relationships/hyperlink" Target="https://drive.google.com/open?id=1TG-6YHm1tSjM2QKx8bxcb5OsnRWbvTBx" TargetMode="External"/><Relationship Id="rId487" Type="http://schemas.openxmlformats.org/officeDocument/2006/relationships/hyperlink" Target="https://drive.google.com/open?id=1U3r1RGgeuGSs_ZfLpT7Dh9NcAt-p4Ewq" TargetMode="External"/><Relationship Id="rId244" Type="http://schemas.openxmlformats.org/officeDocument/2006/relationships/hyperlink" Target="https://drive.google.com/open?id=1SHS07UZY0g1n5LwrKZvE3xpK2gX8BWk0" TargetMode="External"/><Relationship Id="rId486" Type="http://schemas.openxmlformats.org/officeDocument/2006/relationships/hyperlink" Target="https://drive.google.com/open?id=1AUuJgduHEABT2rNKEj_CQcm5Fg0DX8Cq" TargetMode="External"/><Relationship Id="rId243" Type="http://schemas.openxmlformats.org/officeDocument/2006/relationships/hyperlink" Target="https://drive.google.com/open?id=1Xt_N59iQiL-ckJBW-gBNtWBQPr972Kl-" TargetMode="External"/><Relationship Id="rId485" Type="http://schemas.openxmlformats.org/officeDocument/2006/relationships/hyperlink" Target="https://drive.google.com/open?id=1NXxcnA8eUQVkK1CZ_dZ-SV5r4d5y6oLM" TargetMode="External"/><Relationship Id="rId480" Type="http://schemas.openxmlformats.org/officeDocument/2006/relationships/hyperlink" Target="https://drive.google.com/open?id=1-ZRqjAzUwxYL4bYH2PJSsL1fX3ZRmVnK" TargetMode="External"/><Relationship Id="rId239" Type="http://schemas.openxmlformats.org/officeDocument/2006/relationships/hyperlink" Target="https://drive.google.com/open?id=1Ob5ZsFBnNcbO1RXlHH9F9alkofaUv9JU" TargetMode="External"/><Relationship Id="rId238" Type="http://schemas.openxmlformats.org/officeDocument/2006/relationships/hyperlink" Target="https://drive.google.com/open?id=1d95a7vRIcXsPASPsC4bzqOyFhSVR4OSZ" TargetMode="External"/><Relationship Id="rId237" Type="http://schemas.openxmlformats.org/officeDocument/2006/relationships/hyperlink" Target="https://www.google.com/maps/place/Mysore+bakery/@17.3618028,78.3870037,17z/data=!3m1!4b1!4m6!3m5!1s0x3bcb9768cdcae48b:0xb25ceaf90e26b101!8m2!3d17.3617977!4d78.3895786!16s%2Fg%2F11qqgqx9sb?entry=ttu&amp;g_ep=EgoyMDI2MDIxMS4wIKXMDSoASAFQAw%3D%3D" TargetMode="External"/><Relationship Id="rId479" Type="http://schemas.openxmlformats.org/officeDocument/2006/relationships/hyperlink" Target="https://drive.google.com/open?id=1sPfPvJNakWzDXB9tu924f-bgmxo3i20V" TargetMode="External"/><Relationship Id="rId236" Type="http://schemas.openxmlformats.org/officeDocument/2006/relationships/hyperlink" Target="https://drive.google.com/open?id=1a4jrdCpp0mdyelv-EXaW5gTBFvJFBFj8" TargetMode="External"/><Relationship Id="rId478" Type="http://schemas.openxmlformats.org/officeDocument/2006/relationships/hyperlink" Target="https://drive.google.com/open?id=1tUcBmTY88ciHV2VZKdmGUSTObadrxrrK" TargetMode="External"/><Relationship Id="rId231" Type="http://schemas.openxmlformats.org/officeDocument/2006/relationships/hyperlink" Target="https://drive.google.com/open?id=1E0YyvYuvkww1Vl4LmBKqT1b-yVnr6XXq" TargetMode="External"/><Relationship Id="rId473" Type="http://schemas.openxmlformats.org/officeDocument/2006/relationships/hyperlink" Target="https://share.google/FQROJgExIdqy3vrwr" TargetMode="External"/><Relationship Id="rId230" Type="http://schemas.openxmlformats.org/officeDocument/2006/relationships/hyperlink" Target="mailto:manisha.kumari@capsdelivery.com" TargetMode="External"/><Relationship Id="rId472" Type="http://schemas.openxmlformats.org/officeDocument/2006/relationships/hyperlink" Target="https://share.google/oLGEXqY5nrFZoHwwT" TargetMode="External"/><Relationship Id="rId471" Type="http://schemas.openxmlformats.org/officeDocument/2006/relationships/hyperlink" Target="https://share.google/rBQh0y9tZ3jb15iLq" TargetMode="External"/><Relationship Id="rId470" Type="http://schemas.openxmlformats.org/officeDocument/2006/relationships/hyperlink" Target="https://drive.google.com/open?id=1OSXdDkPlFCtN36zLV3BYIEOJisFzmKMS" TargetMode="External"/><Relationship Id="rId235" Type="http://schemas.openxmlformats.org/officeDocument/2006/relationships/hyperlink" Target="https://drive.google.com/open?id=1WyRpq7Y9UlNtgHY06tO1Rf-kj6bCjxqg" TargetMode="External"/><Relationship Id="rId477" Type="http://schemas.openxmlformats.org/officeDocument/2006/relationships/hyperlink" Target="https://maps.app.goo.gl/fCaFg8X4E9UMrVj99" TargetMode="External"/><Relationship Id="rId234" Type="http://schemas.openxmlformats.org/officeDocument/2006/relationships/hyperlink" Target="https://drive.google.com/open?id=1zu_M2fRUfLRdFPZfETU9gn84XXlL3P0m" TargetMode="External"/><Relationship Id="rId476" Type="http://schemas.openxmlformats.org/officeDocument/2006/relationships/hyperlink" Target="https://drive.google.com/open?id=1wJgd-9hPULgaYdKEsVJjrsjTjoyxshJe" TargetMode="External"/><Relationship Id="rId233" Type="http://schemas.openxmlformats.org/officeDocument/2006/relationships/hyperlink" Target="https://drive.google.com/open?id=1jX4__Ei1uQlFS5DZI3VjqtlXUCBm3Zoe" TargetMode="External"/><Relationship Id="rId475" Type="http://schemas.openxmlformats.org/officeDocument/2006/relationships/hyperlink" Target="https://drive.google.com/open?id=1QASk-_HGmQ0IuQXHwiHAig9s7moEqiC5" TargetMode="External"/><Relationship Id="rId232" Type="http://schemas.openxmlformats.org/officeDocument/2006/relationships/hyperlink" Target="https://drive.google.com/open?id=1cKpMV49fCKB-o1IzWrDE-ogDddLX-IEP" TargetMode="External"/><Relationship Id="rId474" Type="http://schemas.openxmlformats.org/officeDocument/2006/relationships/hyperlink" Target="https://share.google/s5YB6CZB2NHCEXpOl" TargetMode="External"/><Relationship Id="rId426" Type="http://schemas.openxmlformats.org/officeDocument/2006/relationships/hyperlink" Target="https://drive.google.com/open?id=1dntAdXiOb2gZNFvyFl4Z2kXxhX95ZGol" TargetMode="External"/><Relationship Id="rId668" Type="http://schemas.openxmlformats.org/officeDocument/2006/relationships/hyperlink" Target="https://drive.google.com/open?id=1TyOXQznNSb154-k3YMN5H7-uN5PXwRc7" TargetMode="External"/><Relationship Id="rId425" Type="http://schemas.openxmlformats.org/officeDocument/2006/relationships/hyperlink" Target="https://drive.google.com/open?id=17WF4j-GOWBva0yLn5Qgm9Gioh16pcGAe" TargetMode="External"/><Relationship Id="rId667" Type="http://schemas.openxmlformats.org/officeDocument/2006/relationships/hyperlink" Target="https://drive.google.com/open?id=1bOy5QnrlzHUtrDvFV95MHHOPj43vYI3s" TargetMode="External"/><Relationship Id="rId424" Type="http://schemas.openxmlformats.org/officeDocument/2006/relationships/hyperlink" Target="https://drive.google.com/open?id=1_NtYZThmlKKbqsgOwqprAq1rGaCg8jqf" TargetMode="External"/><Relationship Id="rId666" Type="http://schemas.openxmlformats.org/officeDocument/2006/relationships/hyperlink" Target="https://drive.google.com/open?id=1v5AuEV3TlpgKmKiMYKdaZd8vH8Rpq39B" TargetMode="External"/><Relationship Id="rId423" Type="http://schemas.openxmlformats.org/officeDocument/2006/relationships/hyperlink" Target="https://drive.google.com/open?id=12x4Z2BqC7w_Q3Z9r3zQaOyy6lzRKedSp" TargetMode="External"/><Relationship Id="rId665" Type="http://schemas.openxmlformats.org/officeDocument/2006/relationships/hyperlink" Target="https://drive.google.com/open?id=1UayLS9Rf8Smkz8RCq2kyqfft2PvDANsS" TargetMode="External"/><Relationship Id="rId429" Type="http://schemas.openxmlformats.org/officeDocument/2006/relationships/hyperlink" Target="https://drive.google.com/open?id=1GJR5LCAoKfbnGEYOuSrN9dl8OUDyhW5K" TargetMode="External"/><Relationship Id="rId428" Type="http://schemas.openxmlformats.org/officeDocument/2006/relationships/hyperlink" Target="https://drive.google.com/open?id=1Drkt38q1i_BmH6UAtl3R3QBxeff4pyWK" TargetMode="External"/><Relationship Id="rId427" Type="http://schemas.openxmlformats.org/officeDocument/2006/relationships/hyperlink" Target="https://drive.google.com/open?id=1UB9lnAVZLJ_ESZbSY-C9PQnn3VZ_ryy3" TargetMode="External"/><Relationship Id="rId669" Type="http://schemas.openxmlformats.org/officeDocument/2006/relationships/hyperlink" Target="https://drive.google.com/open?id=1mmKFGEhmqRl2nTUZnF6hW__99AaOChve" TargetMode="External"/><Relationship Id="rId660" Type="http://schemas.openxmlformats.org/officeDocument/2006/relationships/hyperlink" Target="https://drive.google.com/open?id=17XbcLCrOB1kWVGbZDc6o0qqlArXghP6A" TargetMode="External"/><Relationship Id="rId422" Type="http://schemas.openxmlformats.org/officeDocument/2006/relationships/hyperlink" Target="https://drive.google.com/open?id=1ET7KPHyMQAF1mtAz-dPlK-N_MOhW-Dxr" TargetMode="External"/><Relationship Id="rId664" Type="http://schemas.openxmlformats.org/officeDocument/2006/relationships/hyperlink" Target="https://drive.google.com/open?id=1zVDsBrZSUt7yPKGsdXe1Fht57bSxdo6B" TargetMode="External"/><Relationship Id="rId421" Type="http://schemas.openxmlformats.org/officeDocument/2006/relationships/hyperlink" Target="https://drive.google.com/open?id=1_EsQCbBvreBn1i4-iQY3OWPNNvw0YO6W" TargetMode="External"/><Relationship Id="rId663" Type="http://schemas.openxmlformats.org/officeDocument/2006/relationships/hyperlink" Target="https://drive.google.com/open?id=1wGIuS5LdKX6sbKKQX06OXx33Zup9NNDv" TargetMode="External"/><Relationship Id="rId420" Type="http://schemas.openxmlformats.org/officeDocument/2006/relationships/hyperlink" Target="https://share.google/3zAzeNUNZf8ETdCvG" TargetMode="External"/><Relationship Id="rId662" Type="http://schemas.openxmlformats.org/officeDocument/2006/relationships/hyperlink" Target="https://drive.google.com/open?id=1rCRtXjoo9gUHuZx4kxV58RO5_mVZIDCH" TargetMode="External"/><Relationship Id="rId661" Type="http://schemas.openxmlformats.org/officeDocument/2006/relationships/hyperlink" Target="https://drive.google.com/open?id=1aPncDT6QcZySFxSwMG_xY36eBWbmKTdY" TargetMode="External"/><Relationship Id="rId415" Type="http://schemas.openxmlformats.org/officeDocument/2006/relationships/hyperlink" Target="https://share.google/UD00MDZGwWVyGDAmY" TargetMode="External"/><Relationship Id="rId657" Type="http://schemas.openxmlformats.org/officeDocument/2006/relationships/hyperlink" Target="https://drive.google.com/open?id=16uzmsqr0FfEizxP4fvxZUTijkrK2F0EZ" TargetMode="External"/><Relationship Id="rId414" Type="http://schemas.openxmlformats.org/officeDocument/2006/relationships/hyperlink" Target="https://maps.app.goo.gl/EVJtCvpror5Cgh7o8" TargetMode="External"/><Relationship Id="rId656" Type="http://schemas.openxmlformats.org/officeDocument/2006/relationships/hyperlink" Target="https://drive.google.com/open?id=15XeVjTUbGM8EDFEtpE16VrUSKAdEkd5X" TargetMode="External"/><Relationship Id="rId413" Type="http://schemas.openxmlformats.org/officeDocument/2006/relationships/hyperlink" Target="https://drive.google.com/open?id=1CVL6Qcvx8sy1Jhl6QyaPogFVKvB8jtAn" TargetMode="External"/><Relationship Id="rId655" Type="http://schemas.openxmlformats.org/officeDocument/2006/relationships/hyperlink" Target="https://drive.google.com/open?id=13zCW8D8SNib1er9ke9uEwycgWhCXbGm4" TargetMode="External"/><Relationship Id="rId412" Type="http://schemas.openxmlformats.org/officeDocument/2006/relationships/hyperlink" Target="https://drive.google.com/open?id=1N7xMX3EOZrJDHQhrTC35u_p5wcRgengC" TargetMode="External"/><Relationship Id="rId654" Type="http://schemas.openxmlformats.org/officeDocument/2006/relationships/hyperlink" Target="https://drive.google.com/open?id=1RN-1HWhoWVesrIbEK2dlHK5APScryeyQ" TargetMode="External"/><Relationship Id="rId419" Type="http://schemas.openxmlformats.org/officeDocument/2006/relationships/hyperlink" Target="https://share.google/M1PB6kWW79XB9UDIO" TargetMode="External"/><Relationship Id="rId418" Type="http://schemas.openxmlformats.org/officeDocument/2006/relationships/hyperlink" Target="https://drive.google.com/open?id=1KWhmvCRV6edvP7Im57nVrGEySdll2Kkx" TargetMode="External"/><Relationship Id="rId417" Type="http://schemas.openxmlformats.org/officeDocument/2006/relationships/hyperlink" Target="https://drive.google.com/open?id=1LYdObCkVkWMoJMNmbQ9OG9HBCq-7ACGq" TargetMode="External"/><Relationship Id="rId659" Type="http://schemas.openxmlformats.org/officeDocument/2006/relationships/hyperlink" Target="https://drive.google.com/open?id=19PvDBCbHxm2udfkoK3NYiHw0EGxFds77" TargetMode="External"/><Relationship Id="rId416" Type="http://schemas.openxmlformats.org/officeDocument/2006/relationships/hyperlink" Target="https://drive.google.com/open?id=1gVIhGFh3TtKR_VDLHfpcXDblyt3RssT2" TargetMode="External"/><Relationship Id="rId658" Type="http://schemas.openxmlformats.org/officeDocument/2006/relationships/hyperlink" Target="https://drive.google.com/open?id=1QFSCt_8o_lASOmdaCLlzVCq2ILzAFnEK" TargetMode="External"/><Relationship Id="rId411" Type="http://schemas.openxmlformats.org/officeDocument/2006/relationships/hyperlink" Target="https://share.google/uwobkDmwrtS7lnqmR" TargetMode="External"/><Relationship Id="rId653" Type="http://schemas.openxmlformats.org/officeDocument/2006/relationships/hyperlink" Target="https://drive.google.com/open?id=1z1aWdopo4V2Z4W8UGY-6ROa5byni8O5C" TargetMode="External"/><Relationship Id="rId410" Type="http://schemas.openxmlformats.org/officeDocument/2006/relationships/hyperlink" Target="https://drive.google.com/open?id=1TB274l4YnS8pi_PsZ8ZaMCBEWk9Ut3_6" TargetMode="External"/><Relationship Id="rId652" Type="http://schemas.openxmlformats.org/officeDocument/2006/relationships/hyperlink" Target="https://drive.google.com/open?id=1R0DZiA7acsmFVV4cHf2iIFoBfpW5Ud5U" TargetMode="External"/><Relationship Id="rId651" Type="http://schemas.openxmlformats.org/officeDocument/2006/relationships/hyperlink" Target="https://drive.google.com/open?id=1Jopvc15Mue80-daovBKdQiKBP2CF-pkt" TargetMode="External"/><Relationship Id="rId650" Type="http://schemas.openxmlformats.org/officeDocument/2006/relationships/hyperlink" Target="https://drive.google.com/open?id=1JUnT13imr2_E-8z2WaqtoxzqSErhpxBz" TargetMode="External"/><Relationship Id="rId206" Type="http://schemas.openxmlformats.org/officeDocument/2006/relationships/hyperlink" Target="https://drive.google.com/open?id=1lRsfS8PW2rGv9OdqTH2xf99j_u_nNw-E" TargetMode="External"/><Relationship Id="rId448" Type="http://schemas.openxmlformats.org/officeDocument/2006/relationships/hyperlink" Target="https://drive.google.com/open?id=1IcLcoA65m0XFP3qZjF2SsWwBsqCQdqsm" TargetMode="External"/><Relationship Id="rId205" Type="http://schemas.openxmlformats.org/officeDocument/2006/relationships/hyperlink" Target="https://maps.app.goo.gl/owvSW6ouv6EYP9Py5?g_st=ic" TargetMode="External"/><Relationship Id="rId447" Type="http://schemas.openxmlformats.org/officeDocument/2006/relationships/hyperlink" Target="https://drive.google.com/open?id=1a_4H2_9CknTE0d_ON89ybjkve64jWQor" TargetMode="External"/><Relationship Id="rId689" Type="http://schemas.openxmlformats.org/officeDocument/2006/relationships/hyperlink" Target="https://maps.app.goo.gl/2QPzRsRkpAAWKYP87" TargetMode="External"/><Relationship Id="rId204" Type="http://schemas.openxmlformats.org/officeDocument/2006/relationships/hyperlink" Target="https://maps.app.goo.gl/J3Wsvxeh1yxFtzcG9?g_st=ic" TargetMode="External"/><Relationship Id="rId446" Type="http://schemas.openxmlformats.org/officeDocument/2006/relationships/hyperlink" Target="https://maps.app.goo.gl/VdnukP9PkqLLhWqQ7" TargetMode="External"/><Relationship Id="rId688" Type="http://schemas.openxmlformats.org/officeDocument/2006/relationships/hyperlink" Target="https://drive.google.com/open?id=15-wiveaMUe3YvtKu9SiRsYeiLVcJGt30" TargetMode="External"/><Relationship Id="rId203" Type="http://schemas.openxmlformats.org/officeDocument/2006/relationships/hyperlink" Target="https://share.google/M0vWSrt6a1iawTVxb" TargetMode="External"/><Relationship Id="rId445" Type="http://schemas.openxmlformats.org/officeDocument/2006/relationships/hyperlink" Target="http://www.alfamadreat.com" TargetMode="External"/><Relationship Id="rId687" Type="http://schemas.openxmlformats.org/officeDocument/2006/relationships/hyperlink" Target="https://drive.google.com/open?id=1XdvAzYEUjtR2ZM0U9nggleDGanQtie0N" TargetMode="External"/><Relationship Id="rId209" Type="http://schemas.openxmlformats.org/officeDocument/2006/relationships/hyperlink" Target="https://drive.google.com/open?id=1sDrRhLZEmvz0XjP4BBf4HBBHVNAglB3S" TargetMode="External"/><Relationship Id="rId208" Type="http://schemas.openxmlformats.org/officeDocument/2006/relationships/hyperlink" Target="https://drive.google.com/open?id=15LQNQwFCSmtoa-ANPNjSw85OKSSf_V4h" TargetMode="External"/><Relationship Id="rId207" Type="http://schemas.openxmlformats.org/officeDocument/2006/relationships/hyperlink" Target="https://maps.google.com/maps/place//data=!4m2!3m1!1s0x3bcb974d964ebe25:0xece3580d587566f?entry=s&amp;sa=X&amp;ved=2ahUKEwjugt--qtaSAxV3TGwGHaIQFDYQ4kB6BAgXEAA&amp;hl=en" TargetMode="External"/><Relationship Id="rId449" Type="http://schemas.openxmlformats.org/officeDocument/2006/relationships/hyperlink" Target="https://drive.google.com/open?id=1TQ8Yzk_vYM49ejCMETCOPr4RFK0U5R2D" TargetMode="External"/><Relationship Id="rId440" Type="http://schemas.openxmlformats.org/officeDocument/2006/relationships/hyperlink" Target="https://drive.google.com/open?id=1ux7aC5lwsqUjooJ1TI0c3bkstcoRDbjy" TargetMode="External"/><Relationship Id="rId682" Type="http://schemas.openxmlformats.org/officeDocument/2006/relationships/hyperlink" Target="https://drive.google.com/open?id=18xnuJeykyowujSYPixTqYmZ4z8kMIkvz" TargetMode="External"/><Relationship Id="rId681" Type="http://schemas.openxmlformats.org/officeDocument/2006/relationships/hyperlink" Target="https://drive.google.com/open?id=1KmRKETyj7ICA0orAN7PvIzfeuX0oAGYU" TargetMode="External"/><Relationship Id="rId680" Type="http://schemas.openxmlformats.org/officeDocument/2006/relationships/hyperlink" Target="https://drive.google.com/open?id=1V5EcWiOz3A_zOcttE8ql8gE0VF9nNZUB" TargetMode="External"/><Relationship Id="rId202" Type="http://schemas.openxmlformats.org/officeDocument/2006/relationships/hyperlink" Target="http://www.alanati.in/" TargetMode="External"/><Relationship Id="rId444" Type="http://schemas.openxmlformats.org/officeDocument/2006/relationships/hyperlink" Target="https://maps.app.goo.gl/TTtJ7J4W3bw8JTsu9" TargetMode="External"/><Relationship Id="rId686" Type="http://schemas.openxmlformats.org/officeDocument/2006/relationships/hyperlink" Target="http://google.com/maps?q=17.4674346,78.3981803&amp;z=17&amp;hl=en" TargetMode="External"/><Relationship Id="rId201" Type="http://schemas.openxmlformats.org/officeDocument/2006/relationships/hyperlink" Target="https://share.google/CHy1tdi4IZ9qchmkI" TargetMode="External"/><Relationship Id="rId443" Type="http://schemas.openxmlformats.org/officeDocument/2006/relationships/hyperlink" Target="https://maps.app.goo.gl/k9WJWwkpwA3V2dof7" TargetMode="External"/><Relationship Id="rId685" Type="http://schemas.openxmlformats.org/officeDocument/2006/relationships/hyperlink" Target="https://drive.google.com/open?id=1UQeKyCwjI3tO6DxqxQsxQSwZmY7WJoAt" TargetMode="External"/><Relationship Id="rId200" Type="http://schemas.openxmlformats.org/officeDocument/2006/relationships/hyperlink" Target="https://share.google/Rak1DxkX5m16fu3uV" TargetMode="External"/><Relationship Id="rId442" Type="http://schemas.openxmlformats.org/officeDocument/2006/relationships/hyperlink" Target="https://maps.app.goo.gl/ZX1PKgCmqgjduocj7" TargetMode="External"/><Relationship Id="rId684" Type="http://schemas.openxmlformats.org/officeDocument/2006/relationships/hyperlink" Target="https://drive.google.com/open?id=1GfzrAjULqd-OrRfwGDaizPimI8Vjfm1G" TargetMode="External"/><Relationship Id="rId441" Type="http://schemas.openxmlformats.org/officeDocument/2006/relationships/hyperlink" Target="https://drive.google.com/open?id=1YveRWqKuQSveB578ZRwwNhhBR7WmMX_t" TargetMode="External"/><Relationship Id="rId683" Type="http://schemas.openxmlformats.org/officeDocument/2006/relationships/hyperlink" Target="https://drive.google.com/open?id=14xqyVNlmVU8rOI72yuvAxjfY3tLugHhk" TargetMode="External"/><Relationship Id="rId437" Type="http://schemas.openxmlformats.org/officeDocument/2006/relationships/hyperlink" Target="https://drive.google.com/open?id=1iFWqFpvXzhdgWHC7QJbB04xfKRRCZ6XI" TargetMode="External"/><Relationship Id="rId679" Type="http://schemas.openxmlformats.org/officeDocument/2006/relationships/hyperlink" Target="https://drive.google.com/open?id=1lJPCs9L2yDHxWxWfb0lDz6YmHzEBXxFh" TargetMode="External"/><Relationship Id="rId436" Type="http://schemas.openxmlformats.org/officeDocument/2006/relationships/hyperlink" Target="https://drive.google.com/open?id=1wjDPbjKlLQoYE8u69vV_LFQ71g-3bjbM" TargetMode="External"/><Relationship Id="rId678" Type="http://schemas.openxmlformats.org/officeDocument/2006/relationships/hyperlink" Target="https://drive.google.com/open?id=1kX78Vn0BaJhUGBwL9QDXwpw-_X8ZxC81" TargetMode="External"/><Relationship Id="rId435" Type="http://schemas.openxmlformats.org/officeDocument/2006/relationships/hyperlink" Target="https://drive.google.com/open?id=187v22aA0xNfGlmPAZh9n_16ShklAhoDj" TargetMode="External"/><Relationship Id="rId677" Type="http://schemas.openxmlformats.org/officeDocument/2006/relationships/hyperlink" Target="https://drive.google.com/open?id=1lH-3wxZgtDEGe_MAdkn70uGnpLS720dY" TargetMode="External"/><Relationship Id="rId434" Type="http://schemas.openxmlformats.org/officeDocument/2006/relationships/hyperlink" Target="https://drive.google.com/open?id=1HJGX_svu90CwIK68w9IGPfdhDRpFWrqH" TargetMode="External"/><Relationship Id="rId676" Type="http://schemas.openxmlformats.org/officeDocument/2006/relationships/hyperlink" Target="https://drive.google.com/open?id=1DYiae-A8Ee2nqAiyJ7JwJs7M4E52k7dx" TargetMode="External"/><Relationship Id="rId439" Type="http://schemas.openxmlformats.org/officeDocument/2006/relationships/hyperlink" Target="https://drive.google.com/open?id=1pOv4Zdu0lqow7rXLOJueAjWaFCeReO13" TargetMode="External"/><Relationship Id="rId438" Type="http://schemas.openxmlformats.org/officeDocument/2006/relationships/hyperlink" Target="https://drive.google.com/open?id=18F5QkGfb2iE-oL-r98unRi2bzST-d0TS" TargetMode="External"/><Relationship Id="rId671" Type="http://schemas.openxmlformats.org/officeDocument/2006/relationships/hyperlink" Target="https://www.google.com/maps/place/Madhapur+Bawarchi,+Ayyappa+Society+Main+Road/@17.4416457,78.3891354,17z/data=!3m1!4b1!4m6!3m5!1s0x3bcb915c640be665:0xd6108edbbd595caf!8m2!3d17.4416406!4d78.3917103!16s%2Fg%2F11bw4sh2j2?hl=en&amp;entry=ttu&amp;g_ep=EgoyMDI2MDMwMS4xIKXMDSoASAFQAw%3D%3D" TargetMode="External"/><Relationship Id="rId670" Type="http://schemas.openxmlformats.org/officeDocument/2006/relationships/hyperlink" Target="https://drive.google.com/open?id=1B73x5KBZ4-gx2NXySC5LtwoDyiVEdIIZ" TargetMode="External"/><Relationship Id="rId433" Type="http://schemas.openxmlformats.org/officeDocument/2006/relationships/hyperlink" Target="https://drive.google.com/open?id=1dCLs2DtvSUrxj10Ah6RkKP8Fl1ZdDrwy" TargetMode="External"/><Relationship Id="rId675" Type="http://schemas.openxmlformats.org/officeDocument/2006/relationships/hyperlink" Target="https://www.google.com/maps?q=17.4674346,78.3981803&amp;z=17&amp;hl=en" TargetMode="External"/><Relationship Id="rId432" Type="http://schemas.openxmlformats.org/officeDocument/2006/relationships/hyperlink" Target="https://drive.google.com/open?id=1v2azjikW30IslxTYOt5Ug-p8vp0xLrgW" TargetMode="External"/><Relationship Id="rId674" Type="http://schemas.openxmlformats.org/officeDocument/2006/relationships/hyperlink" Target="https://drive.google.com/open?id=1TVsu2_zOmHnVog5RRJy1iHy5UtLlhaEF" TargetMode="External"/><Relationship Id="rId431" Type="http://schemas.openxmlformats.org/officeDocument/2006/relationships/hyperlink" Target="https://drive.google.com/open?id=1p0EP3qh90HYIFgre-tk0LkewVFMbKRdA" TargetMode="External"/><Relationship Id="rId673" Type="http://schemas.openxmlformats.org/officeDocument/2006/relationships/hyperlink" Target="https://drive.google.com/open?id=1XlJpIT7i3d2qQnAyrupxDpTDl3y5jpWa" TargetMode="External"/><Relationship Id="rId430" Type="http://schemas.openxmlformats.org/officeDocument/2006/relationships/hyperlink" Target="https://share.google/0FAZRMPoXgCw0Fyoq" TargetMode="External"/><Relationship Id="rId672" Type="http://schemas.openxmlformats.org/officeDocument/2006/relationships/hyperlink" Target="https://drive.google.com/open?id=1yfedvBWS3qZedfuzJMqe7INjzyOVp5fc"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hyperlink" Target="mailto:manisha.kumari@capsdelivery.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share.google/NGYbU0jsM5QQzbN2H" TargetMode="External"/><Relationship Id="rId2" Type="http://schemas.openxmlformats.org/officeDocument/2006/relationships/hyperlink" Target="https://share.google/Rak1DxkX5m16fu3uV" TargetMode="External"/><Relationship Id="rId3" Type="http://schemas.openxmlformats.org/officeDocument/2006/relationships/hyperlink" Target="https://share.google/CHy1tdi4IZ9qchmkI" TargetMode="External"/><Relationship Id="rId4" Type="http://schemas.openxmlformats.org/officeDocument/2006/relationships/hyperlink" Target="https://share.google/M0vWSrt6a1iawTVxb" TargetMode="External"/><Relationship Id="rId9" Type="http://schemas.openxmlformats.org/officeDocument/2006/relationships/hyperlink" Target="https://www.google.com/maps?sca_esv=d6eb6bac57f34326&amp;sxsrf=ANbL-n4yy65I9ZopH6s6emlSjdlh6FYi8g:1771311529307&amp;biw=1470&amp;bih=723&amp;uact=5&amp;gs_lp=Egxnd3Mtd2l6LXNlcnAiEGZvbyBpbm9yYml0IG1hbGwyCxAuGIAEGMcBGK8BMgUQABiABDIGEAAYBxgeMgYQABgHGB4yBhAAGAcYHjIEEAAYHjILEAAYgAQYhgMYigUyCxAAGIAEGIYDGIoFMgsQABiABBiGAxiKBTILEAAYgAQYhgMYigUyGhAuGIAEGMcBGK8BGJcFGNwEGN4EGOAE2AEBSMEFUABY2ANwAHgBkAEAmAGZAaABlgSqAQMwLjS4AQPIAQD4AQGYAgOgAqoDwgIKEAAYgAQYsQMYDcICExAuGIAEGLEDGMcBGA0YjgUYrwHCAgcQABiABBgNwgIQEC4YgAQYxwEYDRiOBRivAZgDAOIDBRIBMSBAugYGCAEQARgUkgcDMC4zoAeUOrIHAzAuM7gHqgPCBwUyLTIuMcgHEoAIAA&amp;um=1&amp;ie=UTF-8&amp;fb=1&amp;gl=in&amp;sa=X&amp;geocode=KUP5SZoUkcs7MTS3fLj-rgKR&amp;daddr=Level+4,+Inorbit+Mall+Cyberabad,+APIIC+Software+Layout,+Madhapur,+Hyderabad,+Telangana+500081" TargetMode="External"/><Relationship Id="rId5" Type="http://schemas.openxmlformats.org/officeDocument/2006/relationships/hyperlink" Target="https://maps.google.com/maps/place//data=!4m2!3m1!1s0x3bcb974d964ebe25:0xece3580d587566f?entry=s&amp;sa=X&amp;ved=2ahUKEwjugt--qtaSAxV3TGwGHaIQFDYQ4kB6BAgXEAA&amp;hl=en" TargetMode="External"/><Relationship Id="rId6" Type="http://schemas.openxmlformats.org/officeDocument/2006/relationships/hyperlink" Target="https://share.google/Dw0aunpNz3KYzSitm" TargetMode="External"/><Relationship Id="rId7" Type="http://schemas.openxmlformats.org/officeDocument/2006/relationships/hyperlink" Target="https://www.google.com/maps?gs_lcrp=EgZjaHJvbWUqDQgBEC4YrwEYxwEYgAQyCggAEEUYFhgeGDkyDQgBEC4YrwEYxwEYgAQyBwgCEAAYgAQyBwgDEAAYgAQyBwgEEAAYgAQyCAgFEAAYFhgeMggIBhAAGBYYHjIICAcQABgWGB4yCAgIEAAYFhge0gEJMTc0OTdqMGo3qAIIsAIB8QVsLCl7Jib_JQ&amp;um=1&amp;ie=UTF-8&amp;fb=1&amp;gl=in&amp;sa=X&amp;geocode=KRnXhiy4kcs7MRTcZ3ygvDfN&amp;daddr=Shop+No.+S-16,+Second+Floor,+Level+4,+Inorbit+Mall+Mindspace,+Cyberabad,+Madhapur,+Hyderabad,+Telangana+500081" TargetMode="External"/><Relationship Id="rId8" Type="http://schemas.openxmlformats.org/officeDocument/2006/relationships/hyperlink" Target="https://www.google.com/maps?sca_esv=d6eb6bac57f34326&amp;sxsrf=ANbL-n4B5OSWpuRwcNbMRnTof1uYTLjeBg:1771311097540&amp;biw=1470&amp;bih=723&amp;uact=5&amp;gs_lp=Egxnd3Mtd2l6LXNlcnAiFWNodXRuZXlzIGlub3JiaXQgbWFsbDILEC4YgAQYxwEYrwEyBRAAGIAEMgYQABgHGB4yBBAAGB4yBBAAGB4yAhAmMgIQJjILEAAYgAQYhgMYigUyCxAAGIAEGIYDGIoFMgUQABjvBTIaEC4YgAQYxwEYrwEYlwUY3AQY3gQY4ATYAQFInwlQAFivB3AAeAGQAQCYAX6gAfgGqgEDMy41uAEDyAEA-AEBmAIGoALYBcICDRAuGIAEGMcBGA0YrwHCAgcQABiABBgNwgIcEC4YgAQYxwEYDRivARiXBRjcBBjeBBjgBNgBAZgDALoGBggBEAEYFJIHAzEuNaAHz0WyBwMxLjW4B9gFwgcFMi00LjLIByWACAA&amp;um=1&amp;ie=UTF-8&amp;fb=1&amp;gl=in&amp;sa=X&amp;geocode=KcOruzNYkcs7MWMzMvunEor6&amp;daddr=Inorbit+Mall+Rd,+Mind+Space,+Vittal+Rao+Nagar,+HITEC+City,+Hyderabad,+Telangana+500081" TargetMode="External"/><Relationship Id="rId31" Type="http://schemas.openxmlformats.org/officeDocument/2006/relationships/hyperlink" Target="https://maps.google.com/?q=Baburao%20Gari%20Biryani,%20Sri%20Sai%20Chaitanya%20Nilayam,%20Street%20Number%204,%20opposite%20Montessori%20High%20School,%20Vijaya%20Nagar%20Colony,%20Kukatpally,%20Hyderabad,%20Telangana%20500072&amp;ftid=0x3bcb919f96d79569:0xc5f549118c193c7b&amp;entry=gps&amp;shh=CAE&amp;lucs=,94297699,94284481,94231188,94280568,47071704,94266210,94218641,94282134,94286869&amp;g_st=ic" TargetMode="External"/><Relationship Id="rId30" Type="http://schemas.openxmlformats.org/officeDocument/2006/relationships/hyperlink" Target="https://maps.app.goo.gl/z9SkJgocGbESBgAP8?g_st=ic" TargetMode="External"/><Relationship Id="rId33" Type="http://schemas.openxmlformats.org/officeDocument/2006/relationships/hyperlink" Target="https://maps.app.goo.gl/bvLLQi92EuhBxDRCA?g_st=ic" TargetMode="External"/><Relationship Id="rId32" Type="http://schemas.openxmlformats.org/officeDocument/2006/relationships/hyperlink" Target="https://maps.app.goo.gl/c9RYPFLsTBfefUWG9?g_st=ic" TargetMode="External"/><Relationship Id="rId34" Type="http://schemas.openxmlformats.org/officeDocument/2006/relationships/drawing" Target="../drawings/drawing3.xml"/><Relationship Id="rId36" Type="http://schemas.openxmlformats.org/officeDocument/2006/relationships/table" Target="../tables/table2.xml"/><Relationship Id="rId20" Type="http://schemas.openxmlformats.org/officeDocument/2006/relationships/hyperlink" Target="https://maps.app.goo.gl/k9WJWwkpwA3V2dof7" TargetMode="External"/><Relationship Id="rId22" Type="http://schemas.openxmlformats.org/officeDocument/2006/relationships/hyperlink" Target="https://share.google/oLGEXqY5nrFZoHwwT" TargetMode="External"/><Relationship Id="rId21" Type="http://schemas.openxmlformats.org/officeDocument/2006/relationships/hyperlink" Target="https://share.google/rBQh0y9tZ3jb15iLq" TargetMode="External"/><Relationship Id="rId24" Type="http://schemas.openxmlformats.org/officeDocument/2006/relationships/hyperlink" Target="https://share.google/s5YB6CZB2NHCEXpOl" TargetMode="External"/><Relationship Id="rId23" Type="http://schemas.openxmlformats.org/officeDocument/2006/relationships/hyperlink" Target="https://share.google/FQROJgExIdqy3vrwr" TargetMode="External"/><Relationship Id="rId26" Type="http://schemas.openxmlformats.org/officeDocument/2006/relationships/hyperlink" Target="https://share.google/b7w9SqsO3x5h9MKiW" TargetMode="External"/><Relationship Id="rId25" Type="http://schemas.openxmlformats.org/officeDocument/2006/relationships/hyperlink" Target="https://share.google/g8VtPK9T7Lq2eV6HV" TargetMode="External"/><Relationship Id="rId28" Type="http://schemas.openxmlformats.org/officeDocument/2006/relationships/hyperlink" Target="https://maps.app.goo.gl/7ZAKm49VnnqBZjCD7" TargetMode="External"/><Relationship Id="rId27" Type="http://schemas.openxmlformats.org/officeDocument/2006/relationships/hyperlink" Target="https://maps.app.goo.gl/FNpYJXFYk9jPzHydA" TargetMode="External"/><Relationship Id="rId29" Type="http://schemas.openxmlformats.org/officeDocument/2006/relationships/hyperlink" Target="https://maps.app.goo.gl/iQh3tM84Cxr7pSrz8" TargetMode="External"/><Relationship Id="rId11" Type="http://schemas.openxmlformats.org/officeDocument/2006/relationships/hyperlink" Target="https://www.google.com/maps?gs_lcrp=EgZjaHJvbWUqBwgBECEYoAEyBggAEEUYOTIHCAEQIRigATIHCAIQIRigATIHCAMQIRigATIHCAQQIRigATIHCAUQIRiPAjIHCAYQIRiPAtIBCTE0Mzk2ajBqNKgCALACAA&amp;um=1&amp;ie=UTF-8&amp;fb=1&amp;gl=in&amp;sa=X&amp;geocode=KY0d_WHukcs7Mdgo-dk7ysUX&amp;daddr=L4,+Inorbit+Mall,+Inorbit+Mall+Rd,+Mind+Space,+Kavuri+Hills,+Madhapur,+Hyderabad,+Telangana+500081" TargetMode="External"/><Relationship Id="rId10" Type="http://schemas.openxmlformats.org/officeDocument/2006/relationships/hyperlink" Target="https://www.google.com/maps?gs_lcrp=EgZjaHJvbWUyBggAEEUYOTIPCAEQLhgNGK8BGMcBGIAEMgkIAhAAGA0YgAQyCQgDEAAYDRiABDIJCAQQABgNGIAEMggIBRAAGBYYHjIICAYQABgWGB4yCAgHEAAYFhgeMggICBAAGBYYHtIBCDgwMDdqMGo0qAIAsAIA&amp;um=1&amp;ie=UTF-8&amp;fb=1&amp;gl=in&amp;sa=X&amp;geocode=KR1HXg5tkcs7MdTqStPsyZvd&amp;daddr=64,+Inorbit+Mall+Rd,+APIIC+Software+Layout,+Madhapur,+Hyderabad,+Telangana+500081" TargetMode="External"/><Relationship Id="rId13" Type="http://schemas.openxmlformats.org/officeDocument/2006/relationships/hyperlink" Target="https://www.google.com/maps?sca_esv=d6eb6bac57f34326&amp;sxsrf=ANbL-n7BVT6m7RNWJrGmzVXHAzXMfEDB9w:1771313119547&amp;biw=1470&amp;bih=723&amp;gs_lp=Egxnd3Mtd2l6LXNlcnAiEWdhYnJ1IGRpIGNoYWFwIEluKgIIADILEC4YgAQYxwEYrwEyCxAuGIAEGMcBGK8BMgUQABiABDIFEAAYgAQyBRAAGIAEMgsQLhiABBjHARivATIFEAAYgAQyBRAAGIAEMgYQABgWGB4yBhAAGBYYHjIaEC4YgAQYxwEYrwEYlwUY3AQY3gQY4ATYAQFIzUdQ9gFY-TtwAXgBkAEAmAGUAaABmQOqAQMwLjO4AQPIAQD4AQGYAgWgAtEOwgIKEAAYsAMY1gQYR8ICDRAAGLADGNYEGEcYyQPCAhAQABiABBiwAxiSAxhDGIoFwgIOEAAYgAQYsAMYkgMYigXCAg0QABiABBiwAxhDGIoFwgITEC4YgAQYsAMYQxjIAxiKBdgBAcICHBAuGIAEGLADGEMYxwEYyAMYigUYjgUYrwHYAQHCAhkQLhiABBiwAxjRAxhDGMcBGMgDGIoF2AEBwgIZEC4YgAQYsAMYQxjHARjIAxiKBRivAdgBAcICDhAAGLADGOQCGNYE2AEBwgIKEAAYgAQYQxiKBcICDRAAGIAEGEMYyQMYigXCAggQABiABBiSA8ICDhAuGIAEGMcBGI4FGK8BmAMAiAYBkAYTugYGCAEQARgIkgcHMS4zLjctMaAHkTGyBwMwLjO4B7MDwgcHMC4xLjMuMcgHF4AIAA&amp;um=1&amp;ie=UTF-8&amp;fb=1&amp;gl=in&amp;sa=X&amp;geocode=Kf__jy5Ykcs7MUbczbUEhGV-&amp;daddr=Inorbit+mall,+Food+court,+Mindspace,+HUDA+Techno+Enclave,+HITEC+City,+Hyderabad,+Telangana+500081" TargetMode="External"/><Relationship Id="rId12" Type="http://schemas.openxmlformats.org/officeDocument/2006/relationships/hyperlink" Target="https://www.google.com/maps?gs_lcrp=EgZjaHJvbWUyBggAEEUYOTISCAEQLhgNGK8BGMcBGIAEGI4FMgkIAhAAGA0YgAQyCQgDEAAYDRiABDIJCAQQABgNGIAEMgkIBRAAGA0YgAQyCAgGEAAYFhgeMggIBxAAGBYYHjIICAgQABgWGB7SAQgzODUwajBqNKgCALACAA&amp;um=1&amp;ie=UTF-8&amp;fb=1&amp;gl=in&amp;sa=X&amp;geocode=KRmtG-nNk8s7MY6SesYBMWDP&amp;daddr=64,+APIIC+Software+Layout,+Inorbit+Mall+F+%26+B+14B,+Hi+Tech+City,+Madhapur,+Hyderabad,+Telangana+500081" TargetMode="External"/><Relationship Id="rId15" Type="http://schemas.openxmlformats.org/officeDocument/2006/relationships/hyperlink" Target="https://www.google.com/maps?um=1&amp;ie=UTF-8&amp;fb=1&amp;gl=in&amp;sa=X&amp;geocode=KUF8vUYlkcs7MS0rNCnlKQ5i&amp;daddr=103,+104,+5th+Floor,+Inorbit+Mall,+Software+Units+Layout,+Madhapur,+Hyderabad,+Telangana+500081" TargetMode="External"/><Relationship Id="rId14" Type="http://schemas.openxmlformats.org/officeDocument/2006/relationships/hyperlink" Target="https://www.google.com/maps?sca_esv=d6eb6bac57f34326&amp;sxsrf=ANbL-n6zMXS_xjfTwnoF_9GIZIWGUolzMg:1771313953825&amp;biw=1470&amp;bih=723&amp;uact=5&amp;gs_lp=Egxnd3Mtd2l6LXNlcnAiD2FtIGFoYSBpbiBvcmJpdDICECYyBRAAGO8FMgUQABjvBTIFEAAY7wUyCBAAGIAEGKIEMgUQABjvBUj7B1CvA1jEBnABeACQAQCYAaIBoAGiA6oBAzAuM7gBA8gBAPgBAZgCBKACtgPCAhAQLhiABBiwAxjHARgNGK8BwgIJEAAYsAMYDRgewgILEAAYsAMYBRgNGB7CAg0QABiwAxgFGAoYDRgewgILEAAYsAMYCBgNGB7CAgYQABgNGB6YAwCIBgGQBgeSBwMxLjOgB8QOsgcDMC4zuAexA8IHBTAuMS4zyAcMgAgA&amp;um=1&amp;ie=UTF-8&amp;fb=1&amp;gl=in&amp;sa=X&amp;geocode=KfVTvJL4kcs7MRjkfwJO-CAP&amp;daddr=4th+Floor,+64,+Inorbit+Mall+Rd,+APIIC+Software+Layout,+Madhapur,+Hyderabad,+Telangana+500081" TargetMode="External"/><Relationship Id="rId17" Type="http://schemas.openxmlformats.org/officeDocument/2006/relationships/hyperlink" Target="https://share.google/ONj2n2GaI20X3tFea" TargetMode="External"/><Relationship Id="rId16" Type="http://schemas.openxmlformats.org/officeDocument/2006/relationships/hyperlink" Target="https://www.google.com/maps/dir//The+Game+Palacio,+Level+5,+Inorbit+Mall+Rd,+near+PVR+Cinema,+Software+Units+Layout,+HITEC+City,+Hyderabad,+Telangana+500081/@17.4391296,78.4859136,15z/data=!4m8!4m7!1m0!1m5!1m1!1s0x3bcb91b9b901e80d:0x5aebc4a84f5dfbba!2m2!1d78.3872005!2d17.4350874?entry=ttu&amp;g_ep=EgoyMDI2MDIxMS4wIKXMDSoASAFQAw%3D%3D" TargetMode="External"/><Relationship Id="rId19" Type="http://schemas.openxmlformats.org/officeDocument/2006/relationships/hyperlink" Target="https://share.google/0FAZRMPoXgCw0Fyoq" TargetMode="External"/><Relationship Id="rId18" Type="http://schemas.openxmlformats.org/officeDocument/2006/relationships/hyperlink" Target="https://maps.app.goo.gl/H9SX4U2MU2PjPQZe7"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pivotTable" Target="../pivotTables/pivotTable7.xml"/><Relationship Id="rId3" Type="http://schemas.openxmlformats.org/officeDocument/2006/relationships/pivotTable" Target="../pivotTables/pivotTable8.xml"/><Relationship Id="rId4" Type="http://schemas.openxmlformats.org/officeDocument/2006/relationships/pivotTable" Target="../pivotTables/pivotTable9.xml"/><Relationship Id="rId5" Type="http://schemas.openxmlformats.org/officeDocument/2006/relationships/pivotTable" Target="../pivotTables/pivotTable10.xml"/><Relationship Id="rId6" Type="http://schemas.openxmlformats.org/officeDocument/2006/relationships/hyperlink" Target="mailto:manisha.kumari@capsdelivery.com" TargetMode="External"/><Relationship Id="rId7" Type="http://schemas.openxmlformats.org/officeDocument/2006/relationships/hyperlink" Target="mailto:manisha.kumari@capsdelivery.com"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4" width="18.88"/>
    <col customWidth="1" min="5" max="5" width="21.13"/>
    <col customWidth="1" min="6" max="10" width="18.88"/>
    <col customWidth="1" min="11" max="11" width="19.25"/>
    <col customWidth="1" min="12" max="12" width="28.38"/>
    <col customWidth="1" min="13" max="13" width="23.63"/>
    <col customWidth="1" min="14" max="18" width="18.88"/>
    <col customWidth="1" min="19" max="19" width="24.13"/>
    <col customWidth="1" min="20" max="20" width="22.63"/>
    <col customWidth="1" min="21" max="26" width="18.88"/>
    <col customWidth="1" min="27" max="27" width="30.38"/>
    <col customWidth="1" min="28" max="33" width="18.88"/>
    <col customWidth="1" min="34" max="34" width="22.63"/>
    <col customWidth="1" min="35" max="36" width="18.88"/>
    <col customWidth="1" min="37" max="37" width="19.88"/>
    <col customWidth="1" min="38" max="39" width="18.88"/>
    <col customWidth="1" min="40" max="40" width="22.38"/>
    <col customWidth="1" min="41" max="41" width="18.88"/>
    <col customWidth="1" min="42" max="42" width="22.38"/>
    <col customWidth="1" min="43" max="43" width="20.75"/>
    <col customWidth="1" min="44" max="45" width="18.88"/>
    <col customWidth="1" min="46" max="46" width="79.38"/>
    <col customWidth="1" min="47" max="47" width="26.38"/>
    <col customWidth="1" min="48" max="48" width="26.5"/>
    <col customWidth="1" min="49" max="49" width="20.88"/>
    <col customWidth="1" min="50" max="51" width="18.88"/>
    <col customWidth="1" min="52" max="52" width="31.38"/>
    <col customWidth="1" min="53" max="69" width="18.88"/>
    <col customWidth="1" min="70" max="70" width="43.38"/>
    <col customWidth="1" min="71" max="7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3" t="s">
        <v>69</v>
      </c>
      <c r="BS1" s="4" t="s">
        <v>70</v>
      </c>
      <c r="BT1" s="4" t="s">
        <v>70</v>
      </c>
      <c r="BU1" s="4" t="s">
        <v>70</v>
      </c>
      <c r="BV1" s="4" t="s">
        <v>70</v>
      </c>
      <c r="BW1" s="4" t="s">
        <v>70</v>
      </c>
    </row>
    <row r="2" ht="22.5" customHeight="1">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6"/>
      <c r="BA2" s="6"/>
      <c r="BB2" s="6"/>
      <c r="BC2" s="6"/>
      <c r="BD2" s="6"/>
      <c r="BE2" s="6"/>
      <c r="BF2" s="6"/>
      <c r="BG2" s="6"/>
      <c r="BH2" s="6"/>
      <c r="BI2" s="6"/>
      <c r="BJ2" s="6"/>
      <c r="BK2" s="6"/>
      <c r="BL2" s="6"/>
      <c r="BM2" s="6"/>
      <c r="BN2" s="6"/>
      <c r="BO2" s="6"/>
      <c r="BP2" s="6"/>
      <c r="BQ2" s="6"/>
      <c r="BR2" s="7"/>
    </row>
    <row r="3" ht="22.5" customHeight="1">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6"/>
      <c r="BA3" s="6"/>
      <c r="BB3" s="6"/>
      <c r="BC3" s="6"/>
      <c r="BD3" s="6"/>
      <c r="BE3" s="6"/>
      <c r="BF3" s="6"/>
      <c r="BG3" s="6"/>
      <c r="BH3" s="6"/>
      <c r="BI3" s="6"/>
      <c r="BJ3" s="6"/>
      <c r="BK3" s="6"/>
      <c r="BL3" s="6"/>
      <c r="BM3" s="6"/>
      <c r="BN3" s="6"/>
      <c r="BO3" s="6"/>
      <c r="BP3" s="6"/>
      <c r="BQ3" s="6"/>
      <c r="BR3" s="7"/>
    </row>
    <row r="4" ht="22.5" customHeight="1">
      <c r="A4" s="8">
        <v>46056.701991435184</v>
      </c>
      <c r="B4" s="9">
        <v>44577.0</v>
      </c>
      <c r="C4" s="10">
        <v>0.4243055555562023</v>
      </c>
      <c r="D4" s="11" t="s">
        <v>71</v>
      </c>
      <c r="E4" s="12"/>
      <c r="F4" s="12"/>
      <c r="G4" s="12"/>
      <c r="H4" s="12"/>
      <c r="I4" s="12"/>
      <c r="J4" s="12"/>
      <c r="K4" s="12"/>
      <c r="L4" s="12"/>
      <c r="M4" s="12"/>
      <c r="N4" s="12"/>
      <c r="O4" s="12"/>
      <c r="P4" s="12"/>
      <c r="Q4" s="12"/>
      <c r="R4" s="12"/>
      <c r="S4" s="12"/>
      <c r="T4" s="11">
        <v>5823694.0</v>
      </c>
      <c r="U4" s="11" t="s">
        <v>72</v>
      </c>
      <c r="V4" s="11">
        <v>9.16679555E8</v>
      </c>
      <c r="W4" s="11" t="s">
        <v>73</v>
      </c>
      <c r="X4" s="11" t="s">
        <v>74</v>
      </c>
      <c r="Y4" s="11">
        <v>7.896541232E9</v>
      </c>
      <c r="Z4" s="11" t="s">
        <v>75</v>
      </c>
      <c r="AA4" s="11" t="s">
        <v>76</v>
      </c>
      <c r="AB4" s="11">
        <v>3589795.0</v>
      </c>
      <c r="AC4" s="13" t="s">
        <v>77</v>
      </c>
      <c r="AD4" s="11">
        <v>6.954865895E9</v>
      </c>
      <c r="AE4" s="13" t="s">
        <v>78</v>
      </c>
      <c r="AF4" s="11" t="s">
        <v>79</v>
      </c>
      <c r="AG4" s="13" t="s">
        <v>80</v>
      </c>
      <c r="AH4" s="11">
        <v>5.484581245E9</v>
      </c>
      <c r="AI4" s="13" t="s">
        <v>81</v>
      </c>
      <c r="AJ4" s="13" t="s">
        <v>82</v>
      </c>
      <c r="AK4" s="12"/>
      <c r="AL4" s="11">
        <v>5.4946489461649E13</v>
      </c>
      <c r="AM4" s="11" t="s">
        <v>83</v>
      </c>
      <c r="AN4" s="11" t="s">
        <v>84</v>
      </c>
      <c r="AO4" s="11" t="s">
        <v>85</v>
      </c>
      <c r="AP4" s="11">
        <v>6.4946165597E10</v>
      </c>
      <c r="AQ4" s="11" t="s">
        <v>86</v>
      </c>
      <c r="AR4" s="11" t="s">
        <v>87</v>
      </c>
      <c r="AS4" s="11" t="s">
        <v>76</v>
      </c>
      <c r="AT4" s="12"/>
      <c r="AU4" s="11" t="s">
        <v>76</v>
      </c>
      <c r="AV4" s="11" t="s">
        <v>88</v>
      </c>
      <c r="AW4" s="11" t="s">
        <v>89</v>
      </c>
      <c r="AX4" s="9">
        <v>35098.0</v>
      </c>
      <c r="AY4" s="10">
        <v>0.4243055555562023</v>
      </c>
      <c r="AZ4" s="11" t="s">
        <v>90</v>
      </c>
      <c r="BA4" s="7"/>
      <c r="BB4" s="7"/>
      <c r="BC4" s="7"/>
      <c r="BD4" s="7"/>
      <c r="BE4" s="7"/>
      <c r="BF4" s="7"/>
      <c r="BG4" s="7"/>
      <c r="BH4" s="7"/>
      <c r="BI4" s="7"/>
      <c r="BJ4" s="7"/>
      <c r="BK4" s="7"/>
      <c r="BL4" s="7"/>
      <c r="BM4" s="7"/>
      <c r="BN4" s="7"/>
      <c r="BO4" s="7"/>
      <c r="BP4" s="7"/>
      <c r="BQ4" s="7"/>
      <c r="BR4" s="7" t="str">
        <f t="shared" ref="BR4:BR1777" si="1">Concatenate(BQ4,BP4,BO4,E4,T4)</f>
        <v>5823694</v>
      </c>
    </row>
    <row r="5" ht="22.5" customHeight="1">
      <c r="A5" s="14">
        <v>46056.79755679399</v>
      </c>
      <c r="B5" s="15">
        <v>46056.0</v>
      </c>
      <c r="C5" s="16">
        <v>0.6666666666642413</v>
      </c>
      <c r="D5" s="17" t="s">
        <v>91</v>
      </c>
      <c r="E5" s="17" t="s">
        <v>92</v>
      </c>
      <c r="F5" s="17">
        <v>85.0</v>
      </c>
      <c r="G5" s="17">
        <v>250.0</v>
      </c>
      <c r="H5" s="17" t="s">
        <v>93</v>
      </c>
      <c r="I5" s="17">
        <v>50000.0</v>
      </c>
      <c r="J5" s="17" t="s">
        <v>94</v>
      </c>
      <c r="K5" s="17" t="s">
        <v>95</v>
      </c>
      <c r="L5" s="17">
        <v>28.0</v>
      </c>
      <c r="M5" s="17">
        <v>20.0</v>
      </c>
      <c r="N5" s="17">
        <v>1.0</v>
      </c>
      <c r="O5" s="17" t="s">
        <v>96</v>
      </c>
      <c r="P5" s="17" t="s">
        <v>76</v>
      </c>
      <c r="Q5" s="17" t="s">
        <v>97</v>
      </c>
      <c r="R5" s="17" t="s">
        <v>98</v>
      </c>
      <c r="S5" s="18" t="s">
        <v>99</v>
      </c>
      <c r="U5" s="17" t="s">
        <v>100</v>
      </c>
      <c r="V5" s="17">
        <v>9.030611616E9</v>
      </c>
      <c r="W5" s="17" t="s">
        <v>101</v>
      </c>
      <c r="AA5" s="17" t="s">
        <v>76</v>
      </c>
      <c r="AB5" s="17" t="s">
        <v>102</v>
      </c>
      <c r="AC5" s="18" t="s">
        <v>103</v>
      </c>
      <c r="AL5" s="17">
        <v>5.0200102000231E13</v>
      </c>
      <c r="AM5" s="17" t="s">
        <v>104</v>
      </c>
      <c r="AN5" s="17" t="s">
        <v>105</v>
      </c>
      <c r="AO5" s="17" t="s">
        <v>100</v>
      </c>
      <c r="AP5" s="17">
        <v>9.030611616E9</v>
      </c>
      <c r="AQ5" s="17" t="s">
        <v>106</v>
      </c>
      <c r="AR5" s="17" t="s">
        <v>107</v>
      </c>
      <c r="AS5" s="17" t="s">
        <v>76</v>
      </c>
      <c r="AT5" s="17" t="s">
        <v>108</v>
      </c>
      <c r="AU5" s="17" t="s">
        <v>109</v>
      </c>
      <c r="AZ5" s="17" t="s">
        <v>110</v>
      </c>
      <c r="BA5" s="19"/>
      <c r="BB5" s="19"/>
      <c r="BC5" s="19"/>
      <c r="BD5" s="19"/>
      <c r="BE5" s="19"/>
      <c r="BF5" s="19"/>
      <c r="BG5" s="19"/>
      <c r="BH5" s="19"/>
      <c r="BI5" s="19"/>
      <c r="BJ5" s="19"/>
      <c r="BK5" s="19"/>
      <c r="BL5" s="19"/>
      <c r="BM5" s="19"/>
      <c r="BN5" s="19"/>
      <c r="BO5" s="19"/>
      <c r="BP5" s="19"/>
      <c r="BQ5" s="19"/>
      <c r="BR5" s="7" t="str">
        <f t="shared" si="1"/>
        <v>Bhuvan’s Kitchen </v>
      </c>
    </row>
    <row r="6" ht="22.5" customHeight="1">
      <c r="A6" s="14">
        <v>46056.802930868056</v>
      </c>
      <c r="B6" s="15">
        <v>46056.0</v>
      </c>
      <c r="C6" s="16">
        <v>0.6458333333357587</v>
      </c>
      <c r="D6" s="17" t="s">
        <v>111</v>
      </c>
      <c r="T6" s="17">
        <v>1.2345578E7</v>
      </c>
      <c r="U6" s="17" t="s">
        <v>112</v>
      </c>
      <c r="V6" s="17">
        <v>9.9498146E9</v>
      </c>
      <c r="W6" s="17" t="s">
        <v>113</v>
      </c>
      <c r="AA6" s="17" t="s">
        <v>109</v>
      </c>
      <c r="AU6" s="17" t="s">
        <v>76</v>
      </c>
      <c r="AV6" s="17" t="s">
        <v>114</v>
      </c>
      <c r="AX6" s="15">
        <v>46057.0</v>
      </c>
      <c r="AY6" s="16">
        <v>0.45833333333575865</v>
      </c>
      <c r="AZ6" s="17" t="s">
        <v>115</v>
      </c>
      <c r="BA6" s="19"/>
      <c r="BB6" s="19"/>
      <c r="BC6" s="19"/>
      <c r="BD6" s="19"/>
      <c r="BE6" s="19"/>
      <c r="BF6" s="19"/>
      <c r="BG6" s="19"/>
      <c r="BH6" s="19"/>
      <c r="BI6" s="19"/>
      <c r="BJ6" s="19"/>
      <c r="BK6" s="19"/>
      <c r="BL6" s="19"/>
      <c r="BM6" s="19"/>
      <c r="BN6" s="19"/>
      <c r="BO6" s="19"/>
      <c r="BP6" s="19"/>
      <c r="BQ6" s="19"/>
      <c r="BR6" s="7" t="str">
        <f t="shared" si="1"/>
        <v>12345578</v>
      </c>
    </row>
    <row r="7" ht="22.5" customHeight="1">
      <c r="A7" s="14">
        <v>46057.37877997685</v>
      </c>
      <c r="B7" s="15">
        <v>46056.0</v>
      </c>
      <c r="C7" s="16">
        <v>0.75</v>
      </c>
      <c r="D7" s="17" t="s">
        <v>91</v>
      </c>
      <c r="E7" s="17" t="s">
        <v>116</v>
      </c>
      <c r="F7" s="17">
        <v>30.0</v>
      </c>
      <c r="G7" s="17">
        <v>500.0</v>
      </c>
      <c r="H7" s="17" t="s">
        <v>117</v>
      </c>
      <c r="I7" s="17">
        <v>24.0</v>
      </c>
      <c r="J7" s="17" t="s">
        <v>94</v>
      </c>
      <c r="K7" s="17" t="s">
        <v>118</v>
      </c>
      <c r="N7" s="17">
        <v>1.0</v>
      </c>
      <c r="O7" s="17" t="s">
        <v>96</v>
      </c>
      <c r="P7" s="17" t="s">
        <v>76</v>
      </c>
      <c r="Q7" s="17" t="s">
        <v>97</v>
      </c>
      <c r="R7" s="17" t="s">
        <v>76</v>
      </c>
      <c r="S7" s="17" t="s">
        <v>119</v>
      </c>
      <c r="U7" s="17" t="s">
        <v>120</v>
      </c>
      <c r="V7" s="17">
        <v>9.052592437E9</v>
      </c>
      <c r="W7" s="17" t="s">
        <v>121</v>
      </c>
      <c r="AA7" s="17" t="s">
        <v>76</v>
      </c>
      <c r="AB7" s="17">
        <v>1.3619013001993E13</v>
      </c>
      <c r="AC7" s="18" t="s">
        <v>122</v>
      </c>
      <c r="AD7" s="17" t="s">
        <v>123</v>
      </c>
      <c r="AE7" s="18" t="s">
        <v>124</v>
      </c>
      <c r="AK7" s="18" t="s">
        <v>125</v>
      </c>
      <c r="AL7" s="17">
        <v>1.0192341683E10</v>
      </c>
      <c r="AM7" s="17" t="s">
        <v>126</v>
      </c>
      <c r="AN7" s="17" t="s">
        <v>127</v>
      </c>
      <c r="AO7" s="17" t="s">
        <v>128</v>
      </c>
      <c r="AP7" s="17">
        <v>9.052592437E9</v>
      </c>
      <c r="AR7" s="17" t="s">
        <v>129</v>
      </c>
      <c r="AS7" s="17" t="s">
        <v>76</v>
      </c>
      <c r="AT7" s="17" t="s">
        <v>130</v>
      </c>
      <c r="AU7" s="17" t="s">
        <v>109</v>
      </c>
      <c r="AV7" s="17" t="s">
        <v>88</v>
      </c>
      <c r="AX7" s="15">
        <v>46056.0</v>
      </c>
      <c r="AY7" s="16">
        <v>0.8472222222189885</v>
      </c>
      <c r="AZ7" s="17" t="s">
        <v>131</v>
      </c>
      <c r="BA7" s="19"/>
      <c r="BB7" s="19"/>
      <c r="BC7" s="19"/>
      <c r="BD7" s="19"/>
      <c r="BE7" s="19"/>
      <c r="BF7" s="19"/>
      <c r="BG7" s="19"/>
      <c r="BH7" s="19"/>
      <c r="BI7" s="19"/>
      <c r="BJ7" s="19"/>
      <c r="BK7" s="19"/>
      <c r="BL7" s="19"/>
      <c r="BM7" s="19"/>
      <c r="BN7" s="19"/>
      <c r="BO7" s="19"/>
      <c r="BP7" s="19"/>
      <c r="BQ7" s="19"/>
      <c r="BR7" s="7" t="str">
        <f t="shared" si="1"/>
        <v>Bhojanams &amp; Birynis</v>
      </c>
    </row>
    <row r="8" ht="22.5" customHeight="1">
      <c r="A8" s="14">
        <v>46057.39675702546</v>
      </c>
      <c r="B8" s="15">
        <v>46055.0</v>
      </c>
      <c r="C8" s="16">
        <v>0.23958333333575865</v>
      </c>
      <c r="D8" s="17" t="s">
        <v>91</v>
      </c>
      <c r="E8" s="17" t="s">
        <v>132</v>
      </c>
      <c r="F8" s="17">
        <v>100.0</v>
      </c>
      <c r="G8" s="17">
        <v>300.0</v>
      </c>
      <c r="H8" s="17" t="s">
        <v>133</v>
      </c>
      <c r="I8" s="17">
        <v>50000.0</v>
      </c>
      <c r="J8" s="17" t="s">
        <v>94</v>
      </c>
      <c r="K8" s="17" t="s">
        <v>134</v>
      </c>
      <c r="N8" s="17">
        <v>1.0</v>
      </c>
      <c r="O8" s="17" t="s">
        <v>135</v>
      </c>
      <c r="P8" s="17" t="s">
        <v>76</v>
      </c>
      <c r="Q8" s="17" t="s">
        <v>97</v>
      </c>
      <c r="R8" s="17" t="s">
        <v>76</v>
      </c>
      <c r="S8" s="18" t="s">
        <v>136</v>
      </c>
      <c r="U8" s="17" t="s">
        <v>137</v>
      </c>
      <c r="V8" s="17">
        <v>8.989873636E9</v>
      </c>
      <c r="W8" s="17" t="s">
        <v>138</v>
      </c>
      <c r="AA8" s="17" t="s">
        <v>76</v>
      </c>
      <c r="AB8" s="17">
        <v>2.36250300015E13</v>
      </c>
      <c r="AC8" s="18" t="s">
        <v>139</v>
      </c>
      <c r="AD8" s="17" t="s">
        <v>140</v>
      </c>
      <c r="AE8" s="18" t="s">
        <v>141</v>
      </c>
      <c r="AF8" s="17" t="s">
        <v>142</v>
      </c>
      <c r="AG8" s="18" t="s">
        <v>143</v>
      </c>
      <c r="AK8" s="18" t="s">
        <v>144</v>
      </c>
      <c r="AL8" s="17">
        <v>8.03705000004E11</v>
      </c>
      <c r="AM8" s="17" t="s">
        <v>145</v>
      </c>
      <c r="AN8" s="17" t="s">
        <v>146</v>
      </c>
      <c r="AO8" s="17" t="s">
        <v>147</v>
      </c>
      <c r="AP8" s="17">
        <v>8.989873636E9</v>
      </c>
      <c r="AQ8" s="17" t="s">
        <v>148</v>
      </c>
      <c r="AR8" s="17" t="s">
        <v>149</v>
      </c>
      <c r="AS8" s="17" t="s">
        <v>76</v>
      </c>
      <c r="AT8" s="17" t="s">
        <v>150</v>
      </c>
      <c r="AU8" s="17" t="s">
        <v>109</v>
      </c>
      <c r="AV8" s="17" t="s">
        <v>88</v>
      </c>
      <c r="AX8" s="15">
        <v>46056.0</v>
      </c>
      <c r="AY8" s="16">
        <v>0.23958333333575865</v>
      </c>
      <c r="AZ8" s="17" t="s">
        <v>151</v>
      </c>
      <c r="BA8" s="19"/>
      <c r="BB8" s="19"/>
      <c r="BC8" s="19"/>
      <c r="BD8" s="19"/>
      <c r="BE8" s="19"/>
      <c r="BF8" s="19"/>
      <c r="BG8" s="19"/>
      <c r="BH8" s="19"/>
      <c r="BI8" s="19"/>
      <c r="BJ8" s="19"/>
      <c r="BK8" s="19"/>
      <c r="BL8" s="19"/>
      <c r="BM8" s="19"/>
      <c r="BN8" s="19"/>
      <c r="BO8" s="19"/>
      <c r="BP8" s="19"/>
      <c r="BQ8" s="19"/>
      <c r="BR8" s="7" t="str">
        <f t="shared" si="1"/>
        <v>Sunrise Business Hotel</v>
      </c>
    </row>
    <row r="9" ht="22.5" customHeight="1">
      <c r="A9" s="14">
        <v>46057.40767318287</v>
      </c>
      <c r="B9" s="15">
        <v>46056.0</v>
      </c>
      <c r="C9" s="16">
        <v>0.75</v>
      </c>
      <c r="D9" s="17" t="s">
        <v>91</v>
      </c>
      <c r="E9" s="17" t="s">
        <v>152</v>
      </c>
      <c r="F9" s="17">
        <v>8.0</v>
      </c>
      <c r="G9" s="17">
        <v>300.0</v>
      </c>
      <c r="H9" s="17" t="s">
        <v>153</v>
      </c>
      <c r="I9" s="17">
        <v>60000.0</v>
      </c>
      <c r="J9" s="17" t="s">
        <v>94</v>
      </c>
      <c r="K9" s="17" t="s">
        <v>134</v>
      </c>
      <c r="L9" s="17">
        <v>22.0</v>
      </c>
      <c r="M9" s="17">
        <v>18.0</v>
      </c>
      <c r="N9" s="17">
        <v>1.0</v>
      </c>
      <c r="O9" s="17" t="s">
        <v>96</v>
      </c>
      <c r="P9" s="17" t="s">
        <v>76</v>
      </c>
      <c r="Q9" s="17" t="s">
        <v>97</v>
      </c>
      <c r="R9" s="17" t="s">
        <v>98</v>
      </c>
      <c r="S9" s="18" t="s">
        <v>154</v>
      </c>
      <c r="U9" s="17" t="s">
        <v>155</v>
      </c>
      <c r="V9" s="17">
        <v>6.302181276E9</v>
      </c>
      <c r="W9" s="17" t="s">
        <v>156</v>
      </c>
      <c r="X9" s="17" t="s">
        <v>117</v>
      </c>
      <c r="AA9" s="17" t="s">
        <v>76</v>
      </c>
      <c r="AB9" s="17">
        <v>1.3625010001295E13</v>
      </c>
      <c r="AC9" s="18" t="s">
        <v>157</v>
      </c>
      <c r="AD9" s="17" t="s">
        <v>158</v>
      </c>
      <c r="AE9" s="18" t="s">
        <v>159</v>
      </c>
      <c r="AJ9" s="18" t="s">
        <v>160</v>
      </c>
      <c r="AK9" s="18" t="s">
        <v>161</v>
      </c>
      <c r="AL9" s="17">
        <v>6.450935473E9</v>
      </c>
      <c r="AM9" s="17" t="s">
        <v>162</v>
      </c>
      <c r="AO9" s="17" t="s">
        <v>155</v>
      </c>
      <c r="AP9" s="17">
        <v>6.302181276E9</v>
      </c>
      <c r="AQ9" s="17" t="s">
        <v>156</v>
      </c>
      <c r="AR9" s="17" t="s">
        <v>155</v>
      </c>
      <c r="AS9" s="17" t="s">
        <v>76</v>
      </c>
      <c r="AT9" s="17" t="s">
        <v>163</v>
      </c>
      <c r="AU9" s="17" t="s">
        <v>109</v>
      </c>
      <c r="AZ9" s="17" t="s">
        <v>164</v>
      </c>
      <c r="BA9" s="19"/>
      <c r="BB9" s="19"/>
      <c r="BC9" s="19"/>
      <c r="BD9" s="19"/>
      <c r="BE9" s="19"/>
      <c r="BF9" s="19"/>
      <c r="BG9" s="19"/>
      <c r="BH9" s="19"/>
      <c r="BI9" s="19"/>
      <c r="BJ9" s="19"/>
      <c r="BK9" s="19"/>
      <c r="BL9" s="19"/>
      <c r="BM9" s="19"/>
      <c r="BN9" s="19"/>
      <c r="BO9" s="19"/>
      <c r="BP9" s="19"/>
      <c r="BQ9" s="19"/>
      <c r="BR9" s="7" t="str">
        <f t="shared" si="1"/>
        <v>ZYROS BIRYANI HOUSE </v>
      </c>
    </row>
    <row r="10" ht="22.5" customHeight="1">
      <c r="A10" s="14">
        <v>46057.41720993056</v>
      </c>
      <c r="B10" s="15">
        <v>46055.0</v>
      </c>
      <c r="C10" s="16">
        <v>0.125</v>
      </c>
      <c r="D10" s="17" t="s">
        <v>91</v>
      </c>
      <c r="E10" s="17" t="s">
        <v>165</v>
      </c>
      <c r="F10" s="17">
        <v>150.0</v>
      </c>
      <c r="G10" s="17">
        <v>5000.0</v>
      </c>
      <c r="H10" s="17" t="s">
        <v>166</v>
      </c>
      <c r="I10" s="17">
        <v>120000.0</v>
      </c>
      <c r="J10" s="17" t="s">
        <v>167</v>
      </c>
      <c r="K10" s="17" t="s">
        <v>95</v>
      </c>
      <c r="N10" s="17">
        <v>15.0</v>
      </c>
      <c r="O10" s="17" t="s">
        <v>135</v>
      </c>
      <c r="P10" s="17" t="s">
        <v>76</v>
      </c>
      <c r="Q10" s="17" t="s">
        <v>97</v>
      </c>
      <c r="R10" s="17" t="s">
        <v>76</v>
      </c>
      <c r="S10" s="17" t="s">
        <v>168</v>
      </c>
      <c r="U10" s="17" t="s">
        <v>137</v>
      </c>
      <c r="V10" s="17">
        <v>8.88655996E8</v>
      </c>
      <c r="W10" s="17" t="s">
        <v>169</v>
      </c>
      <c r="AA10" s="17" t="s">
        <v>76</v>
      </c>
      <c r="AB10" s="17">
        <v>2.3625032003555E13</v>
      </c>
      <c r="AC10" s="18" t="s">
        <v>170</v>
      </c>
      <c r="AD10" s="17" t="s">
        <v>171</v>
      </c>
      <c r="AE10" s="18" t="s">
        <v>172</v>
      </c>
      <c r="AF10" s="17" t="s">
        <v>173</v>
      </c>
      <c r="AG10" s="18" t="s">
        <v>174</v>
      </c>
      <c r="AJ10" s="18" t="s">
        <v>175</v>
      </c>
      <c r="AK10" s="18" t="s">
        <v>176</v>
      </c>
      <c r="AL10" s="17">
        <v>1.12005003328E11</v>
      </c>
      <c r="AM10" s="17" t="s">
        <v>177</v>
      </c>
      <c r="AN10" s="17" t="s">
        <v>178</v>
      </c>
      <c r="AO10" s="17" t="s">
        <v>179</v>
      </c>
      <c r="AP10" s="17">
        <v>9.01470785E9</v>
      </c>
      <c r="AQ10" s="17" t="s">
        <v>180</v>
      </c>
      <c r="AS10" s="17" t="s">
        <v>76</v>
      </c>
      <c r="AT10" s="17" t="s">
        <v>181</v>
      </c>
      <c r="AU10" s="17" t="s">
        <v>109</v>
      </c>
      <c r="AZ10" s="17" t="s">
        <v>182</v>
      </c>
      <c r="BA10" s="19"/>
      <c r="BB10" s="19"/>
      <c r="BC10" s="19"/>
      <c r="BD10" s="19"/>
      <c r="BE10" s="19"/>
      <c r="BF10" s="19"/>
      <c r="BG10" s="19"/>
      <c r="BH10" s="19"/>
      <c r="BI10" s="19"/>
      <c r="BJ10" s="19"/>
      <c r="BK10" s="19"/>
      <c r="BL10" s="19"/>
      <c r="BM10" s="19"/>
      <c r="BN10" s="19"/>
      <c r="BO10" s="19"/>
      <c r="BP10" s="19"/>
      <c r="BQ10" s="19"/>
      <c r="BR10" s="7" t="str">
        <f t="shared" si="1"/>
        <v>Slice of Spice</v>
      </c>
    </row>
    <row r="11" ht="22.5" customHeight="1">
      <c r="A11" s="14">
        <v>46057.974996122684</v>
      </c>
      <c r="B11" s="15">
        <v>46057.0</v>
      </c>
      <c r="C11" s="16">
        <v>0.9111111111124046</v>
      </c>
      <c r="D11" s="17" t="s">
        <v>91</v>
      </c>
      <c r="E11" s="17" t="s">
        <v>183</v>
      </c>
      <c r="F11" s="17">
        <v>20.0</v>
      </c>
      <c r="G11" s="17">
        <v>250.0</v>
      </c>
      <c r="H11" s="17" t="s">
        <v>184</v>
      </c>
      <c r="I11" s="17">
        <v>25000.0</v>
      </c>
      <c r="J11" s="17" t="s">
        <v>94</v>
      </c>
      <c r="K11" s="17" t="s">
        <v>134</v>
      </c>
      <c r="L11" s="17">
        <v>15.0</v>
      </c>
      <c r="M11" s="17">
        <v>18.0</v>
      </c>
      <c r="N11" s="17">
        <v>1.0</v>
      </c>
      <c r="O11" s="17" t="s">
        <v>135</v>
      </c>
      <c r="P11" s="17" t="s">
        <v>76</v>
      </c>
      <c r="Q11" s="17" t="s">
        <v>97</v>
      </c>
      <c r="R11" s="17" t="s">
        <v>109</v>
      </c>
      <c r="S11" s="18" t="s">
        <v>185</v>
      </c>
      <c r="U11" s="17" t="s">
        <v>186</v>
      </c>
      <c r="V11" s="17">
        <v>9.963968917E9</v>
      </c>
      <c r="W11" s="17" t="s">
        <v>117</v>
      </c>
      <c r="AA11" s="17" t="s">
        <v>76</v>
      </c>
      <c r="AB11" s="17">
        <v>2.3624032003815E13</v>
      </c>
      <c r="AC11" s="18" t="s">
        <v>187</v>
      </c>
      <c r="AD11" s="17" t="s">
        <v>188</v>
      </c>
      <c r="AE11" s="18" t="s">
        <v>189</v>
      </c>
      <c r="AF11" s="17" t="s">
        <v>190</v>
      </c>
      <c r="AG11" s="18" t="s">
        <v>191</v>
      </c>
      <c r="AO11" s="17" t="s">
        <v>186</v>
      </c>
      <c r="AP11" s="17">
        <v>9.963968917E9</v>
      </c>
      <c r="AR11" s="17" t="s">
        <v>192</v>
      </c>
      <c r="AS11" s="17" t="s">
        <v>76</v>
      </c>
      <c r="AT11" s="17" t="s">
        <v>193</v>
      </c>
      <c r="AU11" s="17" t="s">
        <v>109</v>
      </c>
      <c r="AZ11" s="17" t="s">
        <v>164</v>
      </c>
      <c r="BA11" s="19"/>
      <c r="BB11" s="19"/>
      <c r="BC11" s="19"/>
      <c r="BD11" s="19"/>
      <c r="BE11" s="19"/>
      <c r="BF11" s="19"/>
      <c r="BG11" s="19"/>
      <c r="BH11" s="19"/>
      <c r="BI11" s="19"/>
      <c r="BJ11" s="19"/>
      <c r="BK11" s="19"/>
      <c r="BL11" s="19"/>
      <c r="BM11" s="19"/>
      <c r="BN11" s="19"/>
      <c r="BO11" s="19"/>
      <c r="BP11" s="19"/>
      <c r="BQ11" s="19"/>
      <c r="BR11" s="7" t="str">
        <f t="shared" si="1"/>
        <v>ROLO BAKERS</v>
      </c>
    </row>
    <row r="12" ht="22.5" customHeight="1">
      <c r="A12" s="14">
        <v>46057.988451111116</v>
      </c>
      <c r="B12" s="15">
        <v>46057.0</v>
      </c>
      <c r="C12" s="16">
        <v>0.9333333333343035</v>
      </c>
      <c r="D12" s="17" t="s">
        <v>91</v>
      </c>
      <c r="E12" s="17" t="s">
        <v>194</v>
      </c>
      <c r="F12" s="17">
        <v>40.0</v>
      </c>
      <c r="G12" s="17">
        <v>300.0</v>
      </c>
      <c r="H12" s="17" t="s">
        <v>184</v>
      </c>
      <c r="I12" s="17">
        <v>21000.0</v>
      </c>
      <c r="J12" s="17" t="s">
        <v>94</v>
      </c>
      <c r="K12" s="17" t="s">
        <v>134</v>
      </c>
      <c r="L12" s="17">
        <v>20.0</v>
      </c>
      <c r="M12" s="17">
        <v>18.0</v>
      </c>
      <c r="N12" s="17">
        <v>1.0</v>
      </c>
      <c r="O12" s="17" t="s">
        <v>96</v>
      </c>
      <c r="P12" s="17" t="s">
        <v>76</v>
      </c>
      <c r="Q12" s="17" t="s">
        <v>97</v>
      </c>
      <c r="R12" s="17" t="s">
        <v>109</v>
      </c>
      <c r="S12" s="18" t="s">
        <v>195</v>
      </c>
      <c r="U12" s="17" t="s">
        <v>196</v>
      </c>
      <c r="V12" s="17">
        <v>6.301782448E9</v>
      </c>
      <c r="W12" s="17" t="s">
        <v>197</v>
      </c>
      <c r="AA12" s="17" t="s">
        <v>76</v>
      </c>
      <c r="AB12" s="17">
        <v>1.3623013001342E13</v>
      </c>
      <c r="AC12" s="18" t="s">
        <v>198</v>
      </c>
      <c r="AD12" s="17" t="s">
        <v>199</v>
      </c>
      <c r="AE12" s="18" t="s">
        <v>200</v>
      </c>
      <c r="AF12" s="17" t="s">
        <v>201</v>
      </c>
      <c r="AG12" s="18" t="s">
        <v>202</v>
      </c>
      <c r="AK12" s="18" t="s">
        <v>203</v>
      </c>
      <c r="AL12" s="17">
        <v>2.0100061259823E13</v>
      </c>
      <c r="AM12" s="17" t="s">
        <v>204</v>
      </c>
      <c r="AN12" s="17" t="s">
        <v>205</v>
      </c>
      <c r="AO12" s="17" t="s">
        <v>206</v>
      </c>
      <c r="AP12" s="17">
        <v>6.301782448E9</v>
      </c>
      <c r="AR12" s="17" t="s">
        <v>206</v>
      </c>
      <c r="AS12" s="17" t="s">
        <v>76</v>
      </c>
      <c r="AT12" s="17" t="s">
        <v>193</v>
      </c>
      <c r="AU12" s="17" t="s">
        <v>109</v>
      </c>
      <c r="AZ12" s="17" t="s">
        <v>164</v>
      </c>
      <c r="BA12" s="19"/>
      <c r="BB12" s="19"/>
      <c r="BC12" s="19"/>
      <c r="BD12" s="19"/>
      <c r="BE12" s="19"/>
      <c r="BF12" s="19"/>
      <c r="BG12" s="19"/>
      <c r="BH12" s="19"/>
      <c r="BI12" s="19"/>
      <c r="BJ12" s="19"/>
      <c r="BK12" s="19"/>
      <c r="BL12" s="19"/>
      <c r="BM12" s="19"/>
      <c r="BN12" s="19"/>
      <c r="BO12" s="19"/>
      <c r="BP12" s="19"/>
      <c r="BQ12" s="19"/>
      <c r="BR12" s="7" t="str">
        <f t="shared" si="1"/>
        <v> rayalseema spice  restaurant  </v>
      </c>
    </row>
    <row r="13" ht="22.5" customHeight="1">
      <c r="A13" s="14">
        <v>46057.99737390046</v>
      </c>
      <c r="B13" s="15">
        <v>46057.0</v>
      </c>
      <c r="C13" s="16">
        <v>0.9472222222248092</v>
      </c>
      <c r="D13" s="17" t="s">
        <v>91</v>
      </c>
      <c r="E13" s="17" t="s">
        <v>207</v>
      </c>
      <c r="F13" s="17">
        <v>20.0</v>
      </c>
      <c r="G13" s="17">
        <v>300.0</v>
      </c>
      <c r="H13" s="17" t="s">
        <v>208</v>
      </c>
      <c r="I13" s="17">
        <v>24000.0</v>
      </c>
      <c r="J13" s="17" t="s">
        <v>94</v>
      </c>
      <c r="K13" s="17" t="s">
        <v>134</v>
      </c>
      <c r="L13" s="17">
        <v>20.0</v>
      </c>
      <c r="M13" s="17">
        <v>18.0</v>
      </c>
      <c r="N13" s="17">
        <v>1.0</v>
      </c>
      <c r="O13" s="17" t="s">
        <v>96</v>
      </c>
      <c r="P13" s="17" t="s">
        <v>109</v>
      </c>
      <c r="Q13" s="17" t="s">
        <v>97</v>
      </c>
      <c r="R13" s="17" t="s">
        <v>109</v>
      </c>
      <c r="S13" s="18" t="s">
        <v>209</v>
      </c>
      <c r="U13" s="17" t="s">
        <v>210</v>
      </c>
      <c r="V13" s="17">
        <v>8.341514984E9</v>
      </c>
      <c r="W13" s="17" t="s">
        <v>211</v>
      </c>
      <c r="AA13" s="17" t="s">
        <v>76</v>
      </c>
      <c r="AB13" s="17">
        <v>2.3625028001267E13</v>
      </c>
      <c r="AC13" s="18" t="s">
        <v>212</v>
      </c>
      <c r="AD13" s="17" t="s">
        <v>113</v>
      </c>
      <c r="AF13" s="17" t="s">
        <v>213</v>
      </c>
      <c r="AG13" s="18" t="s">
        <v>214</v>
      </c>
      <c r="AK13" s="18" t="s">
        <v>215</v>
      </c>
      <c r="AL13" s="17">
        <v>6.598200001283E12</v>
      </c>
      <c r="AM13" s="17" t="s">
        <v>216</v>
      </c>
      <c r="AN13" s="17" t="s">
        <v>217</v>
      </c>
      <c r="AO13" s="17" t="s">
        <v>218</v>
      </c>
      <c r="AP13" s="17">
        <v>8.341514984E9</v>
      </c>
      <c r="AQ13" s="17" t="s">
        <v>211</v>
      </c>
      <c r="AR13" s="17" t="s">
        <v>219</v>
      </c>
      <c r="AS13" s="17" t="s">
        <v>76</v>
      </c>
      <c r="AT13" s="17" t="s">
        <v>193</v>
      </c>
      <c r="AU13" s="17" t="s">
        <v>109</v>
      </c>
      <c r="AZ13" s="17" t="s">
        <v>164</v>
      </c>
      <c r="BA13" s="19"/>
      <c r="BB13" s="19"/>
      <c r="BC13" s="19"/>
      <c r="BD13" s="19"/>
      <c r="BE13" s="19"/>
      <c r="BF13" s="19"/>
      <c r="BG13" s="19"/>
      <c r="BH13" s="19"/>
      <c r="BI13" s="19"/>
      <c r="BJ13" s="19"/>
      <c r="BK13" s="19"/>
      <c r="BL13" s="19"/>
      <c r="BM13" s="19"/>
      <c r="BN13" s="19"/>
      <c r="BO13" s="19"/>
      <c r="BP13" s="19"/>
      <c r="BQ13" s="19"/>
      <c r="BR13" s="7" t="str">
        <f t="shared" si="1"/>
        <v>alankrutha multicuisine restaurant </v>
      </c>
    </row>
    <row r="14" ht="22.5" customHeight="1">
      <c r="A14" s="14">
        <v>46058.41354829861</v>
      </c>
      <c r="B14" s="15">
        <v>46057.0</v>
      </c>
      <c r="C14" s="16">
        <v>0.625</v>
      </c>
      <c r="D14" s="17" t="s">
        <v>91</v>
      </c>
      <c r="E14" s="17" t="s">
        <v>220</v>
      </c>
      <c r="F14" s="17">
        <v>20.0</v>
      </c>
      <c r="G14" s="17">
        <v>200.0</v>
      </c>
      <c r="H14" s="17" t="s">
        <v>117</v>
      </c>
      <c r="I14" s="17">
        <v>10000.0</v>
      </c>
      <c r="J14" s="17" t="s">
        <v>221</v>
      </c>
      <c r="K14" s="17" t="s">
        <v>118</v>
      </c>
      <c r="N14" s="17">
        <v>1.0</v>
      </c>
      <c r="O14" s="17" t="s">
        <v>96</v>
      </c>
      <c r="P14" s="17" t="s">
        <v>109</v>
      </c>
      <c r="Q14" s="17" t="s">
        <v>97</v>
      </c>
      <c r="R14" s="17" t="s">
        <v>76</v>
      </c>
      <c r="S14" s="17" t="s">
        <v>153</v>
      </c>
      <c r="U14" s="17" t="s">
        <v>222</v>
      </c>
      <c r="V14" s="17">
        <v>9.391167117E9</v>
      </c>
      <c r="W14" s="17" t="s">
        <v>223</v>
      </c>
      <c r="AA14" s="17" t="s">
        <v>76</v>
      </c>
      <c r="AS14" s="17" t="s">
        <v>76</v>
      </c>
      <c r="AT14" s="17" t="s">
        <v>224</v>
      </c>
      <c r="AU14" s="17" t="s">
        <v>109</v>
      </c>
      <c r="AV14" s="17" t="s">
        <v>88</v>
      </c>
      <c r="AZ14" s="17" t="s">
        <v>131</v>
      </c>
      <c r="BA14" s="19"/>
      <c r="BB14" s="19"/>
      <c r="BC14" s="19"/>
      <c r="BD14" s="19"/>
      <c r="BE14" s="19"/>
      <c r="BF14" s="19"/>
      <c r="BG14" s="19"/>
      <c r="BH14" s="19"/>
      <c r="BI14" s="19"/>
      <c r="BJ14" s="19"/>
      <c r="BK14" s="19"/>
      <c r="BL14" s="19"/>
      <c r="BM14" s="19"/>
      <c r="BN14" s="19"/>
      <c r="BO14" s="19"/>
      <c r="BP14" s="19"/>
      <c r="BQ14" s="19"/>
      <c r="BR14" s="7" t="str">
        <f t="shared" si="1"/>
        <v>GUNTUR MESS</v>
      </c>
    </row>
    <row r="15" ht="22.5" customHeight="1">
      <c r="A15" s="14">
        <v>46058.833092534725</v>
      </c>
      <c r="B15" s="15">
        <v>46058.0</v>
      </c>
      <c r="C15" s="16">
        <v>0.625</v>
      </c>
      <c r="D15" s="17" t="s">
        <v>91</v>
      </c>
      <c r="E15" s="17" t="s">
        <v>225</v>
      </c>
      <c r="F15" s="17">
        <v>30.0</v>
      </c>
      <c r="G15" s="17">
        <v>200.0</v>
      </c>
      <c r="H15" s="17" t="s">
        <v>117</v>
      </c>
      <c r="I15" s="17">
        <v>15000.0</v>
      </c>
      <c r="J15" s="17" t="s">
        <v>221</v>
      </c>
      <c r="K15" s="17" t="s">
        <v>134</v>
      </c>
      <c r="L15" s="17">
        <v>22.0</v>
      </c>
      <c r="M15" s="17">
        <v>22.0</v>
      </c>
      <c r="N15" s="17">
        <v>1.0</v>
      </c>
      <c r="O15" s="17" t="s">
        <v>96</v>
      </c>
      <c r="P15" s="17" t="s">
        <v>76</v>
      </c>
      <c r="Q15" s="17" t="s">
        <v>97</v>
      </c>
      <c r="R15" s="17" t="s">
        <v>76</v>
      </c>
      <c r="S15" s="17" t="s">
        <v>119</v>
      </c>
      <c r="U15" s="17" t="s">
        <v>226</v>
      </c>
      <c r="V15" s="17">
        <v>9.441674841E9</v>
      </c>
      <c r="W15" s="17" t="s">
        <v>113</v>
      </c>
      <c r="AA15" s="17" t="s">
        <v>109</v>
      </c>
      <c r="AT15" s="17" t="s">
        <v>227</v>
      </c>
      <c r="AU15" s="17" t="s">
        <v>109</v>
      </c>
      <c r="AV15" s="17" t="s">
        <v>88</v>
      </c>
      <c r="AX15" s="15">
        <v>46059.0</v>
      </c>
      <c r="AY15" s="16">
        <v>0.625</v>
      </c>
      <c r="AZ15" s="17" t="s">
        <v>131</v>
      </c>
      <c r="BA15" s="19"/>
      <c r="BB15" s="19"/>
      <c r="BC15" s="19"/>
      <c r="BD15" s="19"/>
      <c r="BE15" s="19"/>
      <c r="BF15" s="19"/>
      <c r="BG15" s="19"/>
      <c r="BH15" s="19"/>
      <c r="BI15" s="19"/>
      <c r="BJ15" s="19"/>
      <c r="BK15" s="19"/>
      <c r="BL15" s="19"/>
      <c r="BM15" s="19"/>
      <c r="BN15" s="19"/>
      <c r="BO15" s="19"/>
      <c r="BP15" s="19"/>
      <c r="BQ15" s="19"/>
      <c r="BR15" s="7" t="str">
        <f t="shared" si="1"/>
        <v>Bihar Dhaba</v>
      </c>
    </row>
    <row r="16" ht="22.5" customHeight="1">
      <c r="A16" s="14">
        <v>46058.83652298611</v>
      </c>
      <c r="B16" s="15">
        <v>46058.0</v>
      </c>
      <c r="C16" s="16">
        <v>0.8118055555532919</v>
      </c>
      <c r="D16" s="17" t="s">
        <v>91</v>
      </c>
      <c r="E16" s="17" t="s">
        <v>228</v>
      </c>
      <c r="F16" s="17">
        <v>20.0</v>
      </c>
      <c r="G16" s="17">
        <v>200.0</v>
      </c>
      <c r="H16" s="17" t="s">
        <v>229</v>
      </c>
      <c r="I16" s="17">
        <v>12000.0</v>
      </c>
      <c r="J16" s="17" t="s">
        <v>94</v>
      </c>
      <c r="K16" s="17" t="s">
        <v>134</v>
      </c>
      <c r="L16" s="17">
        <v>18.0</v>
      </c>
      <c r="M16" s="17">
        <v>20.0</v>
      </c>
      <c r="N16" s="17">
        <v>1.0</v>
      </c>
      <c r="O16" s="17" t="s">
        <v>96</v>
      </c>
      <c r="P16" s="17" t="s">
        <v>109</v>
      </c>
      <c r="Q16" s="17" t="s">
        <v>97</v>
      </c>
      <c r="R16" s="17" t="s">
        <v>109</v>
      </c>
      <c r="S16" s="18" t="s">
        <v>230</v>
      </c>
      <c r="U16" s="17" t="s">
        <v>231</v>
      </c>
      <c r="V16" s="17">
        <v>7.396735758E9</v>
      </c>
      <c r="W16" s="17" t="s">
        <v>232</v>
      </c>
      <c r="X16" s="17" t="s">
        <v>117</v>
      </c>
      <c r="Z16" s="17" t="s">
        <v>117</v>
      </c>
      <c r="AA16" s="17" t="s">
        <v>76</v>
      </c>
      <c r="AB16" s="17">
        <v>2.3625032004054E13</v>
      </c>
      <c r="AC16" s="18" t="s">
        <v>233</v>
      </c>
      <c r="AD16" s="17" t="s">
        <v>117</v>
      </c>
      <c r="AK16" s="18" t="s">
        <v>234</v>
      </c>
      <c r="AL16" s="17">
        <v>1.548257253E9</v>
      </c>
      <c r="AN16" s="17" t="s">
        <v>235</v>
      </c>
      <c r="AO16" s="17" t="s">
        <v>231</v>
      </c>
      <c r="AP16" s="17">
        <v>7.396735758E9</v>
      </c>
      <c r="AQ16" s="17" t="s">
        <v>232</v>
      </c>
      <c r="AR16" s="17" t="s">
        <v>236</v>
      </c>
      <c r="AS16" s="17" t="s">
        <v>76</v>
      </c>
      <c r="AT16" s="17" t="s">
        <v>237</v>
      </c>
      <c r="AU16" s="17" t="s">
        <v>109</v>
      </c>
      <c r="AZ16" s="17" t="s">
        <v>164</v>
      </c>
      <c r="BA16" s="19"/>
      <c r="BB16" s="19"/>
      <c r="BC16" s="19"/>
      <c r="BD16" s="19"/>
      <c r="BE16" s="19"/>
      <c r="BF16" s="19"/>
      <c r="BG16" s="19"/>
      <c r="BH16" s="19"/>
      <c r="BI16" s="19"/>
      <c r="BJ16" s="19"/>
      <c r="BK16" s="19"/>
      <c r="BL16" s="19"/>
      <c r="BM16" s="19"/>
      <c r="BN16" s="19"/>
      <c r="BO16" s="19"/>
      <c r="BP16" s="19"/>
      <c r="BQ16" s="19"/>
      <c r="BR16" s="7" t="str">
        <f t="shared" si="1"/>
        <v>hunan chinese cusine </v>
      </c>
    </row>
    <row r="17" ht="22.5" customHeight="1">
      <c r="A17" s="14">
        <v>46059.17717609953</v>
      </c>
      <c r="B17" s="15">
        <v>46058.0</v>
      </c>
      <c r="C17" s="16">
        <v>0.7326388888905058</v>
      </c>
      <c r="D17" s="17" t="s">
        <v>71</v>
      </c>
      <c r="T17" s="17" t="s">
        <v>238</v>
      </c>
      <c r="U17" s="17" t="s">
        <v>239</v>
      </c>
      <c r="V17" s="17">
        <v>9.985609966E9</v>
      </c>
      <c r="W17" s="17" t="s">
        <v>240</v>
      </c>
      <c r="AA17" s="17" t="s">
        <v>109</v>
      </c>
      <c r="AT17" s="17" t="s">
        <v>241</v>
      </c>
      <c r="AU17" s="17" t="s">
        <v>109</v>
      </c>
      <c r="AV17" s="17" t="s">
        <v>242</v>
      </c>
      <c r="AZ17" s="17" t="s">
        <v>243</v>
      </c>
      <c r="BA17" s="19"/>
      <c r="BB17" s="19"/>
      <c r="BC17" s="19"/>
      <c r="BD17" s="19"/>
      <c r="BE17" s="19"/>
      <c r="BF17" s="19"/>
      <c r="BG17" s="19"/>
      <c r="BH17" s="19"/>
      <c r="BI17" s="19"/>
      <c r="BJ17" s="19"/>
      <c r="BK17" s="19"/>
      <c r="BL17" s="19"/>
      <c r="BM17" s="19"/>
      <c r="BN17" s="19"/>
      <c r="BO17" s="19"/>
      <c r="BP17" s="19"/>
      <c r="BQ17" s="19"/>
      <c r="BR17" s="7" t="str">
        <f t="shared" si="1"/>
        <v>Krishna teeram</v>
      </c>
    </row>
    <row r="18" ht="22.5" customHeight="1">
      <c r="A18" s="14">
        <v>46059.17902336805</v>
      </c>
      <c r="B18" s="15">
        <v>46058.0</v>
      </c>
      <c r="C18" s="16">
        <v>0.625</v>
      </c>
      <c r="D18" s="17" t="s">
        <v>71</v>
      </c>
      <c r="T18" s="17" t="s">
        <v>244</v>
      </c>
      <c r="U18" s="17" t="s">
        <v>245</v>
      </c>
      <c r="V18" s="17">
        <v>8.555086883E9</v>
      </c>
      <c r="W18" s="17" t="s">
        <v>246</v>
      </c>
      <c r="AA18" s="17" t="s">
        <v>109</v>
      </c>
      <c r="AT18" s="17" t="s">
        <v>247</v>
      </c>
      <c r="AU18" s="17" t="s">
        <v>109</v>
      </c>
      <c r="AV18" s="17" t="s">
        <v>248</v>
      </c>
      <c r="AZ18" s="17" t="s">
        <v>243</v>
      </c>
      <c r="BA18" s="19"/>
      <c r="BB18" s="19"/>
      <c r="BC18" s="19"/>
      <c r="BD18" s="19"/>
      <c r="BE18" s="19"/>
      <c r="BF18" s="19"/>
      <c r="BG18" s="19"/>
      <c r="BH18" s="19"/>
      <c r="BI18" s="19"/>
      <c r="BJ18" s="19"/>
      <c r="BK18" s="19"/>
      <c r="BL18" s="19"/>
      <c r="BM18" s="19"/>
      <c r="BN18" s="19"/>
      <c r="BO18" s="19"/>
      <c r="BP18" s="19"/>
      <c r="BQ18" s="19"/>
      <c r="BR18" s="7" t="str">
        <f t="shared" si="1"/>
        <v>Ahaladha kitchen</v>
      </c>
    </row>
    <row r="19" ht="22.5" customHeight="1">
      <c r="A19" s="14">
        <v>46059.184123865736</v>
      </c>
      <c r="B19" s="15">
        <v>46058.0</v>
      </c>
      <c r="C19" s="16">
        <v>0.7916666666642413</v>
      </c>
      <c r="D19" s="17" t="s">
        <v>91</v>
      </c>
      <c r="E19" s="17" t="s">
        <v>249</v>
      </c>
      <c r="F19" s="17">
        <v>80.0</v>
      </c>
      <c r="G19" s="17">
        <v>1.0</v>
      </c>
      <c r="H19" s="17" t="s">
        <v>250</v>
      </c>
      <c r="I19" s="17">
        <v>1.0</v>
      </c>
      <c r="J19" s="17" t="s">
        <v>94</v>
      </c>
      <c r="K19" s="17" t="s">
        <v>134</v>
      </c>
      <c r="N19" s="17">
        <v>1.0</v>
      </c>
      <c r="O19" s="17" t="s">
        <v>251</v>
      </c>
      <c r="P19" s="17" t="s">
        <v>76</v>
      </c>
      <c r="Q19" s="17" t="s">
        <v>97</v>
      </c>
      <c r="R19" s="17" t="s">
        <v>98</v>
      </c>
      <c r="S19" s="17" t="s">
        <v>252</v>
      </c>
      <c r="U19" s="17" t="s">
        <v>253</v>
      </c>
      <c r="V19" s="17" t="s">
        <v>253</v>
      </c>
      <c r="W19" s="17" t="s">
        <v>253</v>
      </c>
      <c r="AA19" s="17" t="s">
        <v>109</v>
      </c>
      <c r="AU19" s="17" t="s">
        <v>76</v>
      </c>
      <c r="AV19" s="17" t="s">
        <v>254</v>
      </c>
      <c r="AZ19" s="17" t="s">
        <v>243</v>
      </c>
      <c r="BA19" s="19"/>
      <c r="BB19" s="19"/>
      <c r="BC19" s="19"/>
      <c r="BD19" s="19"/>
      <c r="BE19" s="19"/>
      <c r="BF19" s="19"/>
      <c r="BG19" s="19"/>
      <c r="BH19" s="19"/>
      <c r="BI19" s="19"/>
      <c r="BJ19" s="19"/>
      <c r="BK19" s="19"/>
      <c r="BL19" s="19"/>
      <c r="BM19" s="19"/>
      <c r="BN19" s="19"/>
      <c r="BO19" s="19"/>
      <c r="BP19" s="19"/>
      <c r="BQ19" s="19"/>
      <c r="BR19" s="7" t="str">
        <f t="shared" si="1"/>
        <v>Rameshwaram cafe</v>
      </c>
    </row>
    <row r="20" ht="22.5" customHeight="1">
      <c r="A20" s="14">
        <v>46059.334208796296</v>
      </c>
      <c r="B20" s="15">
        <v>46058.0</v>
      </c>
      <c r="C20" s="16">
        <v>0.6666666666642413</v>
      </c>
      <c r="D20" s="17" t="s">
        <v>91</v>
      </c>
      <c r="E20" s="17" t="s">
        <v>255</v>
      </c>
      <c r="F20" s="17">
        <v>30.0</v>
      </c>
      <c r="G20" s="17">
        <v>1.0</v>
      </c>
      <c r="H20" s="17">
        <v>1.0</v>
      </c>
      <c r="I20" s="17">
        <v>1.0</v>
      </c>
      <c r="J20" s="17" t="s">
        <v>167</v>
      </c>
      <c r="K20" s="17" t="s">
        <v>134</v>
      </c>
      <c r="N20" s="17">
        <v>1.0</v>
      </c>
      <c r="O20" s="17" t="s">
        <v>256</v>
      </c>
      <c r="P20" s="17" t="s">
        <v>76</v>
      </c>
      <c r="Q20" s="17" t="s">
        <v>97</v>
      </c>
      <c r="R20" s="17" t="s">
        <v>98</v>
      </c>
      <c r="S20" s="17" t="s">
        <v>257</v>
      </c>
      <c r="U20" s="17" t="s">
        <v>258</v>
      </c>
      <c r="V20" s="17">
        <v>8.712220229E9</v>
      </c>
      <c r="W20" s="17" t="s">
        <v>259</v>
      </c>
      <c r="AA20" s="17" t="s">
        <v>109</v>
      </c>
      <c r="AU20" s="17" t="s">
        <v>76</v>
      </c>
      <c r="AV20" s="17" t="s">
        <v>260</v>
      </c>
      <c r="AZ20" s="17" t="s">
        <v>243</v>
      </c>
      <c r="BA20" s="19"/>
      <c r="BB20" s="19"/>
      <c r="BC20" s="19"/>
      <c r="BD20" s="19"/>
      <c r="BE20" s="19"/>
      <c r="BF20" s="19"/>
      <c r="BG20" s="19"/>
      <c r="BH20" s="19"/>
      <c r="BI20" s="19"/>
      <c r="BJ20" s="19"/>
      <c r="BK20" s="19"/>
      <c r="BL20" s="19"/>
      <c r="BM20" s="19"/>
      <c r="BN20" s="19"/>
      <c r="BO20" s="19"/>
      <c r="BP20" s="19"/>
      <c r="BQ20" s="19"/>
      <c r="BR20" s="7" t="str">
        <f t="shared" si="1"/>
        <v>Hamara Adda</v>
      </c>
    </row>
    <row r="21" ht="22.5" customHeight="1">
      <c r="A21" s="14">
        <v>46059.33631694445</v>
      </c>
      <c r="B21" s="15">
        <v>46058.0</v>
      </c>
      <c r="C21" s="16">
        <v>0.5416666666642413</v>
      </c>
      <c r="D21" s="17" t="s">
        <v>111</v>
      </c>
      <c r="T21" s="17" t="s">
        <v>261</v>
      </c>
      <c r="U21" s="17" t="s">
        <v>262</v>
      </c>
      <c r="V21" s="17">
        <v>8.522886035E9</v>
      </c>
      <c r="W21" s="17" t="s">
        <v>263</v>
      </c>
      <c r="AA21" s="17" t="s">
        <v>109</v>
      </c>
      <c r="AU21" s="17" t="s">
        <v>76</v>
      </c>
      <c r="AV21" s="17" t="s">
        <v>264</v>
      </c>
      <c r="AZ21" s="17" t="s">
        <v>243</v>
      </c>
      <c r="BA21" s="19"/>
      <c r="BB21" s="19"/>
      <c r="BC21" s="19"/>
      <c r="BD21" s="19"/>
      <c r="BE21" s="19"/>
      <c r="BF21" s="19"/>
      <c r="BG21" s="19"/>
      <c r="BH21" s="19"/>
      <c r="BI21" s="19"/>
      <c r="BJ21" s="19"/>
      <c r="BK21" s="19"/>
      <c r="BL21" s="19"/>
      <c r="BM21" s="19"/>
      <c r="BN21" s="19"/>
      <c r="BO21" s="19"/>
      <c r="BP21" s="19"/>
      <c r="BQ21" s="19"/>
      <c r="BR21" s="7" t="str">
        <f t="shared" si="1"/>
        <v>Delicia</v>
      </c>
    </row>
    <row r="22" ht="22.5" customHeight="1">
      <c r="A22" s="14">
        <v>46059.3402575463</v>
      </c>
      <c r="B22" s="15">
        <v>46058.0</v>
      </c>
      <c r="C22" s="16">
        <v>0.5</v>
      </c>
      <c r="D22" s="17" t="s">
        <v>111</v>
      </c>
      <c r="T22" s="17" t="s">
        <v>265</v>
      </c>
      <c r="U22" s="17" t="s">
        <v>266</v>
      </c>
      <c r="V22" s="17">
        <v>7.032682089E9</v>
      </c>
      <c r="W22" s="17" t="s">
        <v>267</v>
      </c>
      <c r="AA22" s="17" t="s">
        <v>109</v>
      </c>
      <c r="AU22" s="17" t="s">
        <v>76</v>
      </c>
      <c r="AV22" s="17" t="s">
        <v>268</v>
      </c>
      <c r="AZ22" s="17" t="s">
        <v>243</v>
      </c>
      <c r="BA22" s="19"/>
      <c r="BB22" s="19"/>
      <c r="BC22" s="19"/>
      <c r="BD22" s="19"/>
      <c r="BE22" s="19"/>
      <c r="BF22" s="19"/>
      <c r="BG22" s="19"/>
      <c r="BH22" s="19"/>
      <c r="BI22" s="19"/>
      <c r="BJ22" s="19"/>
      <c r="BK22" s="19"/>
      <c r="BL22" s="19"/>
      <c r="BM22" s="19"/>
      <c r="BN22" s="19"/>
      <c r="BO22" s="19"/>
      <c r="BP22" s="19"/>
      <c r="BQ22" s="19"/>
      <c r="BR22" s="7" t="str">
        <f t="shared" si="1"/>
        <v>Palapitta Ruchulu</v>
      </c>
    </row>
    <row r="23" ht="22.5" customHeight="1">
      <c r="A23" s="14">
        <v>46059.386234791666</v>
      </c>
      <c r="B23" s="15">
        <v>46058.0</v>
      </c>
      <c r="C23" s="16">
        <v>0.75</v>
      </c>
      <c r="D23" s="17" t="s">
        <v>111</v>
      </c>
      <c r="T23" s="17" t="s">
        <v>269</v>
      </c>
      <c r="U23" s="17" t="s">
        <v>270</v>
      </c>
      <c r="V23" s="17">
        <v>9.849108337E9</v>
      </c>
      <c r="W23" s="17" t="s">
        <v>113</v>
      </c>
      <c r="AA23" s="17" t="s">
        <v>109</v>
      </c>
      <c r="AU23" s="17" t="s">
        <v>76</v>
      </c>
      <c r="AV23" s="17" t="s">
        <v>271</v>
      </c>
      <c r="AX23" s="15">
        <v>46059.0</v>
      </c>
      <c r="AY23" s="16">
        <v>0.625</v>
      </c>
      <c r="AZ23" s="17" t="s">
        <v>164</v>
      </c>
      <c r="BA23" s="19"/>
      <c r="BB23" s="19"/>
      <c r="BC23" s="19"/>
      <c r="BD23" s="19"/>
      <c r="BE23" s="19"/>
      <c r="BF23" s="19"/>
      <c r="BG23" s="19"/>
      <c r="BH23" s="19"/>
      <c r="BI23" s="19"/>
      <c r="BJ23" s="19"/>
      <c r="BK23" s="19"/>
      <c r="BL23" s="19"/>
      <c r="BM23" s="19"/>
      <c r="BN23" s="19"/>
      <c r="BO23" s="19"/>
      <c r="BP23" s="19"/>
      <c r="BQ23" s="19"/>
      <c r="BR23" s="7" t="str">
        <f t="shared" si="1"/>
        <v>lucky restaurant </v>
      </c>
    </row>
    <row r="24" ht="22.5" customHeight="1">
      <c r="A24" s="14">
        <v>46059.38957748843</v>
      </c>
      <c r="B24" s="15">
        <v>46058.0</v>
      </c>
      <c r="C24" s="16">
        <v>0.6666666666642413</v>
      </c>
      <c r="D24" s="17" t="s">
        <v>91</v>
      </c>
      <c r="E24" s="17" t="s">
        <v>272</v>
      </c>
      <c r="F24" s="17">
        <v>50.0</v>
      </c>
      <c r="G24" s="17">
        <v>300.0</v>
      </c>
      <c r="H24" s="17" t="s">
        <v>113</v>
      </c>
      <c r="I24" s="17">
        <v>15000.0</v>
      </c>
      <c r="J24" s="17" t="s">
        <v>221</v>
      </c>
      <c r="K24" s="17" t="s">
        <v>273</v>
      </c>
      <c r="L24" s="17">
        <v>22.0</v>
      </c>
      <c r="M24" s="17">
        <v>20.0</v>
      </c>
      <c r="N24" s="17">
        <v>3.0</v>
      </c>
      <c r="O24" s="17" t="s">
        <v>96</v>
      </c>
      <c r="P24" s="17" t="s">
        <v>76</v>
      </c>
      <c r="Q24" s="17" t="s">
        <v>97</v>
      </c>
      <c r="R24" s="17" t="s">
        <v>76</v>
      </c>
      <c r="S24" s="17" t="s">
        <v>119</v>
      </c>
      <c r="U24" s="17" t="s">
        <v>274</v>
      </c>
      <c r="V24" s="17">
        <v>9.866174396E9</v>
      </c>
      <c r="W24" s="17" t="s">
        <v>117</v>
      </c>
      <c r="AA24" s="17" t="s">
        <v>109</v>
      </c>
      <c r="AU24" s="17" t="s">
        <v>76</v>
      </c>
      <c r="AV24" s="17" t="s">
        <v>114</v>
      </c>
      <c r="AW24" s="17" t="s">
        <v>117</v>
      </c>
      <c r="AX24" s="15">
        <v>46059.0</v>
      </c>
      <c r="AY24" s="16">
        <v>0.5833333333357587</v>
      </c>
      <c r="AZ24" s="17" t="s">
        <v>131</v>
      </c>
      <c r="BA24" s="19"/>
      <c r="BB24" s="19"/>
      <c r="BC24" s="19"/>
      <c r="BD24" s="19"/>
      <c r="BE24" s="19"/>
      <c r="BF24" s="19"/>
      <c r="BG24" s="19"/>
      <c r="BH24" s="19"/>
      <c r="BI24" s="19"/>
      <c r="BJ24" s="19"/>
      <c r="BK24" s="19"/>
      <c r="BL24" s="19"/>
      <c r="BM24" s="19"/>
      <c r="BN24" s="19"/>
      <c r="BO24" s="19"/>
      <c r="BP24" s="19"/>
      <c r="BQ24" s="19"/>
      <c r="BR24" s="7" t="str">
        <f t="shared" si="1"/>
        <v>kiss me mandi</v>
      </c>
    </row>
    <row r="25" ht="22.5" customHeight="1">
      <c r="A25" s="14">
        <v>46059.39400478009</v>
      </c>
      <c r="B25" s="15">
        <v>46058.0</v>
      </c>
      <c r="C25" s="16">
        <v>0.625</v>
      </c>
      <c r="D25" s="17" t="s">
        <v>91</v>
      </c>
      <c r="E25" s="17" t="s">
        <v>275</v>
      </c>
      <c r="F25" s="17">
        <v>40.0</v>
      </c>
      <c r="G25" s="17">
        <v>300.0</v>
      </c>
      <c r="H25" s="17" t="s">
        <v>113</v>
      </c>
      <c r="I25" s="17">
        <v>30000.0</v>
      </c>
      <c r="J25" s="17" t="s">
        <v>221</v>
      </c>
      <c r="K25" s="17" t="s">
        <v>134</v>
      </c>
      <c r="L25" s="17">
        <v>22.0</v>
      </c>
      <c r="M25" s="17">
        <v>20.0</v>
      </c>
      <c r="N25" s="17">
        <v>2.0</v>
      </c>
      <c r="O25" s="17" t="s">
        <v>96</v>
      </c>
      <c r="P25" s="17" t="s">
        <v>76</v>
      </c>
      <c r="Q25" s="17" t="s">
        <v>97</v>
      </c>
      <c r="R25" s="17" t="s">
        <v>76</v>
      </c>
      <c r="S25" s="17" t="s">
        <v>117</v>
      </c>
      <c r="U25" s="17" t="s">
        <v>276</v>
      </c>
      <c r="V25" s="17">
        <v>8.886904546E9</v>
      </c>
      <c r="W25" s="17" t="s">
        <v>113</v>
      </c>
      <c r="AA25" s="17" t="s">
        <v>109</v>
      </c>
      <c r="AU25" s="17" t="s">
        <v>76</v>
      </c>
      <c r="AV25" s="17" t="s">
        <v>114</v>
      </c>
      <c r="AX25" s="15">
        <v>46062.0</v>
      </c>
      <c r="AY25" s="16">
        <v>0.5416666666642413</v>
      </c>
      <c r="AZ25" s="17" t="s">
        <v>131</v>
      </c>
      <c r="BA25" s="19"/>
      <c r="BB25" s="19"/>
      <c r="BC25" s="19"/>
      <c r="BD25" s="19"/>
      <c r="BE25" s="19"/>
      <c r="BF25" s="19"/>
      <c r="BG25" s="19"/>
      <c r="BH25" s="19"/>
      <c r="BI25" s="19"/>
      <c r="BJ25" s="19"/>
      <c r="BK25" s="19"/>
      <c r="BL25" s="19"/>
      <c r="BM25" s="19"/>
      <c r="BN25" s="19"/>
      <c r="BO25" s="19"/>
      <c r="BP25" s="19"/>
      <c r="BQ25" s="19"/>
      <c r="BR25" s="7" t="str">
        <f t="shared" si="1"/>
        <v>Girl Friend Mandi</v>
      </c>
    </row>
    <row r="26" ht="22.5" customHeight="1">
      <c r="A26" s="14">
        <v>46059.39420888889</v>
      </c>
      <c r="B26" s="15">
        <v>46057.0</v>
      </c>
      <c r="C26" s="16">
        <v>0.5090277777781012</v>
      </c>
      <c r="D26" s="17" t="s">
        <v>91</v>
      </c>
      <c r="E26" s="17" t="s">
        <v>277</v>
      </c>
      <c r="F26" s="17">
        <v>60.0</v>
      </c>
      <c r="G26" s="17">
        <v>90.0</v>
      </c>
      <c r="H26" s="17" t="s">
        <v>278</v>
      </c>
      <c r="I26" s="17">
        <v>16000.0</v>
      </c>
      <c r="J26" s="17" t="s">
        <v>221</v>
      </c>
      <c r="K26" s="17" t="s">
        <v>134</v>
      </c>
      <c r="L26" s="17">
        <v>22.0</v>
      </c>
      <c r="M26" s="17">
        <v>22.0</v>
      </c>
      <c r="N26" s="17">
        <v>1.0</v>
      </c>
      <c r="O26" s="17" t="s">
        <v>96</v>
      </c>
      <c r="P26" s="17" t="s">
        <v>109</v>
      </c>
      <c r="Q26" s="17" t="s">
        <v>97</v>
      </c>
      <c r="R26" s="17" t="s">
        <v>109</v>
      </c>
      <c r="S26" s="18" t="s">
        <v>279</v>
      </c>
      <c r="U26" s="17" t="s">
        <v>280</v>
      </c>
      <c r="V26" s="17">
        <v>9.705812524E9</v>
      </c>
      <c r="W26" s="17" t="s">
        <v>117</v>
      </c>
      <c r="AA26" s="17" t="s">
        <v>76</v>
      </c>
      <c r="AB26" s="17">
        <v>2.3625034003143E13</v>
      </c>
      <c r="AC26" s="18" t="s">
        <v>281</v>
      </c>
      <c r="AF26" s="17" t="s">
        <v>282</v>
      </c>
      <c r="AG26" s="18" t="s">
        <v>283</v>
      </c>
      <c r="AO26" s="17" t="s">
        <v>284</v>
      </c>
      <c r="AP26" s="17">
        <v>9.705812524E9</v>
      </c>
      <c r="AR26" s="17" t="s">
        <v>285</v>
      </c>
      <c r="AS26" s="17" t="s">
        <v>76</v>
      </c>
      <c r="AT26" s="17" t="s">
        <v>286</v>
      </c>
      <c r="AU26" s="17" t="s">
        <v>109</v>
      </c>
      <c r="AV26" s="17" t="s">
        <v>117</v>
      </c>
      <c r="AZ26" s="17" t="s">
        <v>287</v>
      </c>
      <c r="BA26" s="19"/>
      <c r="BB26" s="19"/>
      <c r="BC26" s="19"/>
      <c r="BD26" s="19"/>
      <c r="BE26" s="19"/>
      <c r="BF26" s="19"/>
      <c r="BG26" s="19"/>
      <c r="BH26" s="19"/>
      <c r="BI26" s="19"/>
      <c r="BJ26" s="19"/>
      <c r="BK26" s="19"/>
      <c r="BL26" s="19"/>
      <c r="BM26" s="19"/>
      <c r="BN26" s="19"/>
      <c r="BO26" s="19"/>
      <c r="BP26" s="19"/>
      <c r="BQ26" s="19"/>
      <c r="BR26" s="7" t="str">
        <f t="shared" si="1"/>
        <v>Shree Balaji Tiffin Center</v>
      </c>
    </row>
    <row r="27" ht="22.5" customHeight="1">
      <c r="A27" s="14">
        <v>46059.39731891204</v>
      </c>
      <c r="B27" s="15">
        <v>46058.0</v>
      </c>
      <c r="C27" s="16">
        <v>0.625</v>
      </c>
      <c r="D27" s="17" t="s">
        <v>91</v>
      </c>
      <c r="E27" s="17" t="s">
        <v>288</v>
      </c>
      <c r="F27" s="17">
        <v>50.0</v>
      </c>
      <c r="G27" s="17">
        <v>250.0</v>
      </c>
      <c r="H27" s="17" t="s">
        <v>289</v>
      </c>
      <c r="I27" s="17">
        <v>15000.0</v>
      </c>
      <c r="J27" s="17" t="s">
        <v>94</v>
      </c>
      <c r="K27" s="17" t="s">
        <v>134</v>
      </c>
      <c r="L27" s="17">
        <v>22.0</v>
      </c>
      <c r="M27" s="17">
        <v>22.0</v>
      </c>
      <c r="N27" s="17">
        <v>2.0</v>
      </c>
      <c r="O27" s="17" t="s">
        <v>96</v>
      </c>
      <c r="P27" s="17" t="s">
        <v>76</v>
      </c>
      <c r="Q27" s="17" t="s">
        <v>97</v>
      </c>
      <c r="R27" s="17" t="s">
        <v>76</v>
      </c>
      <c r="S27" s="17" t="s">
        <v>119</v>
      </c>
      <c r="U27" s="17" t="s">
        <v>289</v>
      </c>
      <c r="V27" s="17">
        <v>7.799956667E9</v>
      </c>
      <c r="W27" s="17" t="s">
        <v>113</v>
      </c>
      <c r="AA27" s="17" t="s">
        <v>109</v>
      </c>
      <c r="AU27" s="17" t="s">
        <v>76</v>
      </c>
      <c r="AV27" s="17" t="s">
        <v>271</v>
      </c>
      <c r="AX27" s="15">
        <v>46062.0</v>
      </c>
      <c r="AY27" s="16">
        <v>0.625</v>
      </c>
      <c r="AZ27" s="17" t="s">
        <v>131</v>
      </c>
      <c r="BA27" s="19"/>
      <c r="BB27" s="19"/>
      <c r="BC27" s="19"/>
      <c r="BD27" s="19"/>
      <c r="BE27" s="19"/>
      <c r="BF27" s="19"/>
      <c r="BG27" s="19"/>
      <c r="BH27" s="19"/>
      <c r="BI27" s="19"/>
      <c r="BJ27" s="19"/>
      <c r="BK27" s="19"/>
      <c r="BL27" s="19"/>
      <c r="BM27" s="19"/>
      <c r="BN27" s="19"/>
      <c r="BO27" s="19"/>
      <c r="BP27" s="19"/>
      <c r="BQ27" s="19"/>
      <c r="BR27" s="7" t="str">
        <f t="shared" si="1"/>
        <v>President Dhaba</v>
      </c>
    </row>
    <row r="28" ht="22.5" customHeight="1">
      <c r="A28" s="14">
        <v>46059.39741118056</v>
      </c>
      <c r="B28" s="15">
        <v>46058.0</v>
      </c>
      <c r="C28" s="16">
        <v>0.75</v>
      </c>
      <c r="D28" s="17" t="s">
        <v>91</v>
      </c>
      <c r="E28" s="17" t="s">
        <v>290</v>
      </c>
      <c r="F28" s="17">
        <v>200.0</v>
      </c>
      <c r="G28" s="17">
        <v>300.0</v>
      </c>
      <c r="H28" s="17" t="s">
        <v>291</v>
      </c>
      <c r="I28" s="17">
        <v>90000.0</v>
      </c>
      <c r="J28" s="17" t="s">
        <v>94</v>
      </c>
      <c r="K28" s="17" t="s">
        <v>134</v>
      </c>
      <c r="L28" s="17">
        <v>15.0</v>
      </c>
      <c r="M28" s="17">
        <v>15.0</v>
      </c>
      <c r="N28" s="17">
        <v>1.0</v>
      </c>
      <c r="O28" s="17" t="s">
        <v>96</v>
      </c>
      <c r="P28" s="17" t="s">
        <v>76</v>
      </c>
      <c r="Q28" s="17" t="s">
        <v>97</v>
      </c>
      <c r="R28" s="17" t="s">
        <v>109</v>
      </c>
      <c r="S28" s="18" t="s">
        <v>292</v>
      </c>
      <c r="U28" s="17" t="s">
        <v>293</v>
      </c>
      <c r="V28" s="17">
        <v>9.676213874E9</v>
      </c>
      <c r="W28" s="17" t="s">
        <v>294</v>
      </c>
      <c r="AA28" s="17" t="s">
        <v>76</v>
      </c>
      <c r="AB28" s="17">
        <v>1.3622013001491E13</v>
      </c>
      <c r="AC28" s="18" t="s">
        <v>295</v>
      </c>
      <c r="AD28" s="17" t="s">
        <v>296</v>
      </c>
      <c r="AE28" s="18" t="s">
        <v>297</v>
      </c>
      <c r="AF28" s="17" t="s">
        <v>298</v>
      </c>
      <c r="AG28" s="18" t="s">
        <v>299</v>
      </c>
      <c r="AL28" s="17">
        <v>5.0200064899781E13</v>
      </c>
      <c r="AM28" s="17" t="s">
        <v>300</v>
      </c>
      <c r="AN28" s="17" t="s">
        <v>301</v>
      </c>
      <c r="AO28" s="17" t="s">
        <v>302</v>
      </c>
      <c r="AP28" s="17">
        <v>9.676213874E9</v>
      </c>
      <c r="AQ28" s="17" t="s">
        <v>294</v>
      </c>
      <c r="AR28" s="17" t="s">
        <v>301</v>
      </c>
      <c r="AS28" s="17" t="s">
        <v>76</v>
      </c>
      <c r="AT28" s="17" t="s">
        <v>193</v>
      </c>
      <c r="AU28" s="17" t="s">
        <v>109</v>
      </c>
      <c r="AZ28" s="17" t="s">
        <v>164</v>
      </c>
      <c r="BA28" s="19"/>
      <c r="BB28" s="19"/>
      <c r="BC28" s="19"/>
      <c r="BD28" s="19"/>
      <c r="BE28" s="19"/>
      <c r="BF28" s="19"/>
      <c r="BG28" s="19"/>
      <c r="BH28" s="19"/>
      <c r="BI28" s="19"/>
      <c r="BJ28" s="19"/>
      <c r="BK28" s="19"/>
      <c r="BL28" s="19"/>
      <c r="BM28" s="19"/>
      <c r="BN28" s="19"/>
      <c r="BO28" s="19"/>
      <c r="BP28" s="19"/>
      <c r="BQ28" s="19"/>
      <c r="BR28" s="7" t="str">
        <f t="shared" si="1"/>
        <v> lucky multicusine restaurant </v>
      </c>
    </row>
    <row r="29" ht="22.5" customHeight="1">
      <c r="A29" s="14">
        <v>46059.399894155096</v>
      </c>
      <c r="B29" s="15">
        <v>46058.0</v>
      </c>
      <c r="C29" s="16">
        <v>0.75</v>
      </c>
      <c r="D29" s="17" t="s">
        <v>111</v>
      </c>
      <c r="T29" s="17" t="s">
        <v>303</v>
      </c>
      <c r="U29" s="17" t="s">
        <v>304</v>
      </c>
      <c r="V29" s="17">
        <v>9.553119997E9</v>
      </c>
      <c r="W29" s="17" t="s">
        <v>113</v>
      </c>
      <c r="AA29" s="17" t="s">
        <v>109</v>
      </c>
      <c r="AU29" s="17" t="s">
        <v>76</v>
      </c>
      <c r="AV29" s="17" t="s">
        <v>271</v>
      </c>
      <c r="AX29" s="15">
        <v>46059.0</v>
      </c>
      <c r="AY29" s="16">
        <v>0.5416666666642413</v>
      </c>
      <c r="AZ29" s="17" t="s">
        <v>164</v>
      </c>
      <c r="BA29" s="19"/>
      <c r="BB29" s="19"/>
      <c r="BC29" s="19"/>
      <c r="BD29" s="19"/>
      <c r="BE29" s="19"/>
      <c r="BF29" s="19"/>
      <c r="BG29" s="19"/>
      <c r="BH29" s="19"/>
      <c r="BI29" s="19"/>
      <c r="BJ29" s="19"/>
      <c r="BK29" s="19"/>
      <c r="BL29" s="19"/>
      <c r="BM29" s="19"/>
      <c r="BN29" s="19"/>
      <c r="BO29" s="19"/>
      <c r="BP29" s="19"/>
      <c r="BQ29" s="19"/>
      <c r="BR29" s="7" t="str">
        <f t="shared" si="1"/>
        <v>godavari restaurant </v>
      </c>
    </row>
    <row r="30" ht="22.5" customHeight="1">
      <c r="A30" s="14">
        <v>46059.40138894676</v>
      </c>
      <c r="B30" s="15">
        <v>46058.0</v>
      </c>
      <c r="C30" s="16">
        <v>0.75</v>
      </c>
      <c r="D30" s="17" t="s">
        <v>111</v>
      </c>
      <c r="T30" s="17" t="s">
        <v>305</v>
      </c>
      <c r="U30" s="17" t="s">
        <v>306</v>
      </c>
      <c r="V30" s="17">
        <v>8.309230685E9</v>
      </c>
      <c r="W30" s="17" t="s">
        <v>113</v>
      </c>
      <c r="AA30" s="17" t="s">
        <v>109</v>
      </c>
      <c r="AU30" s="17" t="s">
        <v>76</v>
      </c>
      <c r="AV30" s="17" t="s">
        <v>271</v>
      </c>
      <c r="AW30" s="17" t="s">
        <v>307</v>
      </c>
      <c r="AX30" s="15">
        <v>46059.0</v>
      </c>
      <c r="AY30" s="16">
        <v>0.5833333333357587</v>
      </c>
      <c r="AZ30" s="17" t="s">
        <v>164</v>
      </c>
      <c r="BA30" s="19"/>
      <c r="BB30" s="19"/>
      <c r="BC30" s="19"/>
      <c r="BD30" s="19"/>
      <c r="BE30" s="19"/>
      <c r="BF30" s="19"/>
      <c r="BG30" s="19"/>
      <c r="BH30" s="19"/>
      <c r="BI30" s="19"/>
      <c r="BJ30" s="19"/>
      <c r="BK30" s="19"/>
      <c r="BL30" s="19"/>
      <c r="BM30" s="19"/>
      <c r="BN30" s="19"/>
      <c r="BO30" s="19"/>
      <c r="BP30" s="19"/>
      <c r="BQ30" s="19"/>
      <c r="BR30" s="7" t="str">
        <f t="shared" si="1"/>
        <v>frozen bottles </v>
      </c>
    </row>
    <row r="31" ht="22.5" customHeight="1">
      <c r="A31" s="14">
        <v>46059.40186585648</v>
      </c>
      <c r="B31" s="15">
        <v>46058.0</v>
      </c>
      <c r="C31" s="16">
        <v>0.6666666666642413</v>
      </c>
      <c r="D31" s="17" t="s">
        <v>91</v>
      </c>
      <c r="E31" s="17" t="s">
        <v>308</v>
      </c>
      <c r="F31" s="17">
        <v>25.0</v>
      </c>
      <c r="G31" s="17">
        <v>200.0</v>
      </c>
      <c r="H31" s="17" t="s">
        <v>113</v>
      </c>
      <c r="I31" s="17">
        <v>20000.0</v>
      </c>
      <c r="J31" s="17" t="s">
        <v>94</v>
      </c>
      <c r="K31" s="17" t="s">
        <v>118</v>
      </c>
      <c r="N31" s="17">
        <v>1.0</v>
      </c>
      <c r="O31" s="17" t="s">
        <v>96</v>
      </c>
      <c r="P31" s="17" t="s">
        <v>76</v>
      </c>
      <c r="Q31" s="17" t="s">
        <v>97</v>
      </c>
      <c r="R31" s="17" t="s">
        <v>76</v>
      </c>
      <c r="S31" s="17" t="s">
        <v>113</v>
      </c>
      <c r="U31" s="17" t="s">
        <v>309</v>
      </c>
      <c r="V31" s="17" t="s">
        <v>113</v>
      </c>
      <c r="W31" s="17" t="s">
        <v>113</v>
      </c>
      <c r="AA31" s="17" t="s">
        <v>109</v>
      </c>
      <c r="AU31" s="17" t="s">
        <v>76</v>
      </c>
      <c r="AV31" s="17" t="s">
        <v>271</v>
      </c>
      <c r="AX31" s="15">
        <v>46063.0</v>
      </c>
      <c r="AY31" s="16">
        <v>0.6666666666642413</v>
      </c>
      <c r="AZ31" s="17" t="s">
        <v>131</v>
      </c>
      <c r="BA31" s="19"/>
      <c r="BB31" s="19"/>
      <c r="BC31" s="19"/>
      <c r="BD31" s="19"/>
      <c r="BE31" s="19"/>
      <c r="BF31" s="19"/>
      <c r="BG31" s="19"/>
      <c r="BH31" s="19"/>
      <c r="BI31" s="19"/>
      <c r="BJ31" s="19"/>
      <c r="BK31" s="19"/>
      <c r="BL31" s="19"/>
      <c r="BM31" s="19"/>
      <c r="BN31" s="19"/>
      <c r="BO31" s="19"/>
      <c r="BP31" s="19"/>
      <c r="BQ31" s="19"/>
      <c r="BR31" s="7" t="str">
        <f t="shared" si="1"/>
        <v>Adhirath</v>
      </c>
    </row>
    <row r="32" ht="22.5" customHeight="1">
      <c r="A32" s="14">
        <v>46059.402872569444</v>
      </c>
      <c r="B32" s="15">
        <v>46058.0</v>
      </c>
      <c r="C32" s="16">
        <v>0.75</v>
      </c>
      <c r="D32" s="17" t="s">
        <v>111</v>
      </c>
      <c r="T32" s="17" t="s">
        <v>310</v>
      </c>
      <c r="U32" s="17" t="s">
        <v>311</v>
      </c>
      <c r="V32" s="17">
        <v>7.799223445E9</v>
      </c>
      <c r="W32" s="17" t="s">
        <v>113</v>
      </c>
      <c r="AA32" s="17" t="s">
        <v>109</v>
      </c>
      <c r="AU32" s="17" t="s">
        <v>76</v>
      </c>
      <c r="AV32" s="17" t="s">
        <v>271</v>
      </c>
      <c r="AX32" s="15">
        <v>46059.0</v>
      </c>
      <c r="AY32" s="16">
        <v>0.625</v>
      </c>
      <c r="AZ32" s="17" t="s">
        <v>164</v>
      </c>
      <c r="BA32" s="19"/>
      <c r="BB32" s="19"/>
      <c r="BC32" s="19"/>
      <c r="BD32" s="19"/>
      <c r="BE32" s="19"/>
      <c r="BF32" s="19"/>
      <c r="BG32" s="19"/>
      <c r="BH32" s="19"/>
      <c r="BI32" s="19"/>
      <c r="BJ32" s="19"/>
      <c r="BK32" s="19"/>
      <c r="BL32" s="19"/>
      <c r="BM32" s="19"/>
      <c r="BN32" s="19"/>
      <c r="BO32" s="19"/>
      <c r="BP32" s="19"/>
      <c r="BQ32" s="19"/>
      <c r="BR32" s="7" t="str">
        <f t="shared" si="1"/>
        <v>minyu</v>
      </c>
    </row>
    <row r="33" ht="22.5" customHeight="1">
      <c r="A33" s="14">
        <v>46059.40387699074</v>
      </c>
      <c r="B33" s="15">
        <v>46058.0</v>
      </c>
      <c r="C33" s="16">
        <v>0.75</v>
      </c>
      <c r="D33" s="17" t="s">
        <v>111</v>
      </c>
      <c r="T33" s="17" t="s">
        <v>312</v>
      </c>
      <c r="U33" s="17" t="s">
        <v>313</v>
      </c>
      <c r="V33" s="17">
        <v>9.849991664E9</v>
      </c>
      <c r="W33" s="17" t="s">
        <v>117</v>
      </c>
      <c r="AA33" s="17" t="s">
        <v>109</v>
      </c>
      <c r="AU33" s="17" t="s">
        <v>76</v>
      </c>
      <c r="AV33" s="17" t="s">
        <v>271</v>
      </c>
      <c r="AX33" s="15">
        <v>46059.0</v>
      </c>
      <c r="AY33" s="16">
        <v>0.625</v>
      </c>
      <c r="AZ33" s="17" t="s">
        <v>164</v>
      </c>
      <c r="BA33" s="19"/>
      <c r="BB33" s="19"/>
      <c r="BC33" s="19"/>
      <c r="BD33" s="19"/>
      <c r="BE33" s="19"/>
      <c r="BF33" s="19"/>
      <c r="BG33" s="19"/>
      <c r="BH33" s="19"/>
      <c r="BI33" s="19"/>
      <c r="BJ33" s="19"/>
      <c r="BK33" s="19"/>
      <c r="BL33" s="19"/>
      <c r="BM33" s="19"/>
      <c r="BN33" s="19"/>
      <c r="BO33" s="19"/>
      <c r="BP33" s="19"/>
      <c r="BQ33" s="19"/>
      <c r="BR33" s="7" t="str">
        <f t="shared" si="1"/>
        <v> hyderabad host</v>
      </c>
    </row>
    <row r="34" ht="22.5" customHeight="1">
      <c r="A34" s="14">
        <v>46059.4054362037</v>
      </c>
      <c r="B34" s="15">
        <v>46056.0</v>
      </c>
      <c r="C34" s="16">
        <v>0.6888888888934162</v>
      </c>
      <c r="D34" s="17" t="s">
        <v>91</v>
      </c>
      <c r="E34" s="17" t="s">
        <v>314</v>
      </c>
      <c r="F34" s="17">
        <v>150.0</v>
      </c>
      <c r="G34" s="17">
        <v>150.0</v>
      </c>
      <c r="H34" s="17" t="s">
        <v>117</v>
      </c>
      <c r="I34" s="17">
        <v>12000.0</v>
      </c>
      <c r="J34" s="17" t="s">
        <v>221</v>
      </c>
      <c r="K34" s="17" t="s">
        <v>134</v>
      </c>
      <c r="L34" s="17">
        <v>22.0</v>
      </c>
      <c r="M34" s="17">
        <v>22.0</v>
      </c>
      <c r="N34" s="17">
        <v>1.0</v>
      </c>
      <c r="O34" s="17" t="s">
        <v>135</v>
      </c>
      <c r="P34" s="17" t="s">
        <v>109</v>
      </c>
      <c r="Q34" s="17" t="s">
        <v>97</v>
      </c>
      <c r="R34" s="17" t="s">
        <v>109</v>
      </c>
      <c r="S34" s="18" t="s">
        <v>315</v>
      </c>
      <c r="U34" s="17" t="s">
        <v>316</v>
      </c>
      <c r="V34" s="17">
        <v>9.010022093E9</v>
      </c>
      <c r="W34" s="17" t="s">
        <v>117</v>
      </c>
      <c r="AA34" s="17" t="s">
        <v>76</v>
      </c>
      <c r="AB34" s="17">
        <v>2.3625030002129E13</v>
      </c>
      <c r="AC34" s="18" t="s">
        <v>317</v>
      </c>
      <c r="AO34" s="17" t="s">
        <v>316</v>
      </c>
      <c r="AP34" s="17">
        <v>9.010022093E9</v>
      </c>
      <c r="AR34" s="17" t="s">
        <v>314</v>
      </c>
      <c r="AS34" s="17" t="s">
        <v>76</v>
      </c>
      <c r="AU34" s="17" t="s">
        <v>76</v>
      </c>
      <c r="AV34" s="17" t="s">
        <v>88</v>
      </c>
      <c r="AZ34" s="17" t="s">
        <v>287</v>
      </c>
      <c r="BA34" s="19"/>
      <c r="BB34" s="19"/>
      <c r="BC34" s="19"/>
      <c r="BD34" s="19"/>
      <c r="BE34" s="19"/>
      <c r="BF34" s="19"/>
      <c r="BG34" s="19"/>
      <c r="BH34" s="19"/>
      <c r="BI34" s="19"/>
      <c r="BJ34" s="19"/>
      <c r="BK34" s="19"/>
      <c r="BL34" s="19"/>
      <c r="BM34" s="19"/>
      <c r="BN34" s="19"/>
      <c r="BO34" s="19"/>
      <c r="BP34" s="19"/>
      <c r="BQ34" s="19"/>
      <c r="BR34" s="7" t="str">
        <f t="shared" si="1"/>
        <v>BIRYANI N BIRYANI</v>
      </c>
    </row>
    <row r="35" ht="22.5" customHeight="1">
      <c r="A35" s="14">
        <v>46059.406224618055</v>
      </c>
      <c r="B35" s="15">
        <v>46058.0</v>
      </c>
      <c r="C35" s="16">
        <v>0.625</v>
      </c>
      <c r="D35" s="17" t="s">
        <v>91</v>
      </c>
      <c r="E35" s="17" t="s">
        <v>318</v>
      </c>
      <c r="F35" s="17">
        <v>70.0</v>
      </c>
      <c r="G35" s="17">
        <v>300.0</v>
      </c>
      <c r="H35" s="17" t="s">
        <v>113</v>
      </c>
      <c r="I35" s="17">
        <v>200000.0</v>
      </c>
      <c r="J35" s="17" t="s">
        <v>94</v>
      </c>
      <c r="K35" s="17" t="s">
        <v>134</v>
      </c>
      <c r="L35" s="17">
        <v>22.0</v>
      </c>
      <c r="M35" s="17">
        <v>19.0</v>
      </c>
      <c r="N35" s="17">
        <v>10.0</v>
      </c>
      <c r="O35" s="17" t="s">
        <v>96</v>
      </c>
      <c r="P35" s="17" t="s">
        <v>76</v>
      </c>
      <c r="Q35" s="17" t="s">
        <v>97</v>
      </c>
      <c r="R35" s="17" t="s">
        <v>76</v>
      </c>
      <c r="S35" s="17" t="s">
        <v>119</v>
      </c>
      <c r="U35" s="17" t="s">
        <v>319</v>
      </c>
      <c r="V35" s="17" t="s">
        <v>113</v>
      </c>
      <c r="W35" s="17" t="s">
        <v>113</v>
      </c>
      <c r="AA35" s="17" t="s">
        <v>109</v>
      </c>
      <c r="AU35" s="17" t="s">
        <v>76</v>
      </c>
      <c r="AV35" s="17" t="s">
        <v>271</v>
      </c>
      <c r="AW35" s="17" t="s">
        <v>113</v>
      </c>
      <c r="AX35" s="15">
        <v>46062.0</v>
      </c>
      <c r="AY35" s="16">
        <v>0.5</v>
      </c>
      <c r="AZ35" s="17" t="s">
        <v>131</v>
      </c>
      <c r="BA35" s="19"/>
      <c r="BB35" s="19"/>
      <c r="BC35" s="19"/>
      <c r="BD35" s="19"/>
      <c r="BE35" s="19"/>
      <c r="BF35" s="19"/>
      <c r="BG35" s="19"/>
      <c r="BH35" s="19"/>
      <c r="BI35" s="19"/>
      <c r="BJ35" s="19"/>
      <c r="BK35" s="19"/>
      <c r="BL35" s="19"/>
      <c r="BM35" s="19"/>
      <c r="BN35" s="19"/>
      <c r="BO35" s="19"/>
      <c r="BP35" s="19"/>
      <c r="BQ35" s="19"/>
      <c r="BR35" s="7" t="str">
        <f t="shared" si="1"/>
        <v>Mehfil</v>
      </c>
    </row>
    <row r="36" ht="22.5" customHeight="1">
      <c r="A36" s="14">
        <v>46059.406424375</v>
      </c>
      <c r="B36" s="15">
        <v>46058.0</v>
      </c>
      <c r="C36" s="16">
        <v>0.8333333333357587</v>
      </c>
      <c r="D36" s="17" t="s">
        <v>111</v>
      </c>
      <c r="T36" s="17" t="s">
        <v>320</v>
      </c>
      <c r="U36" s="17" t="s">
        <v>321</v>
      </c>
      <c r="V36" s="17">
        <v>9.059787788E9</v>
      </c>
      <c r="W36" s="17" t="s">
        <v>117</v>
      </c>
      <c r="AA36" s="17" t="s">
        <v>109</v>
      </c>
      <c r="AU36" s="17" t="s">
        <v>76</v>
      </c>
      <c r="AV36" s="17" t="s">
        <v>271</v>
      </c>
      <c r="AX36" s="15">
        <v>46059.0</v>
      </c>
      <c r="AY36" s="16">
        <v>0.7916666666642413</v>
      </c>
      <c r="AZ36" s="17" t="s">
        <v>164</v>
      </c>
      <c r="BA36" s="19"/>
      <c r="BB36" s="19"/>
      <c r="BC36" s="19"/>
      <c r="BD36" s="19"/>
      <c r="BE36" s="19"/>
      <c r="BF36" s="19"/>
      <c r="BG36" s="19"/>
      <c r="BH36" s="19"/>
      <c r="BI36" s="19"/>
      <c r="BJ36" s="19"/>
      <c r="BK36" s="19"/>
      <c r="BL36" s="19"/>
      <c r="BM36" s="19"/>
      <c r="BN36" s="19"/>
      <c r="BO36" s="19"/>
      <c r="BP36" s="19"/>
      <c r="BQ36" s="19"/>
      <c r="BR36" s="7" t="str">
        <f t="shared" si="1"/>
        <v>king mandi </v>
      </c>
    </row>
    <row r="37" ht="22.5" customHeight="1">
      <c r="A37" s="14">
        <v>46059.41236803241</v>
      </c>
      <c r="B37" s="15">
        <v>46056.0</v>
      </c>
      <c r="C37" s="16">
        <v>0.5416666666642413</v>
      </c>
      <c r="D37" s="17" t="s">
        <v>91</v>
      </c>
      <c r="E37" s="17" t="s">
        <v>322</v>
      </c>
      <c r="F37" s="17">
        <v>1.0</v>
      </c>
      <c r="G37" s="17">
        <v>300.0</v>
      </c>
      <c r="H37" s="17" t="s">
        <v>323</v>
      </c>
      <c r="I37" s="17">
        <v>10000.0</v>
      </c>
      <c r="J37" s="17" t="s">
        <v>324</v>
      </c>
      <c r="K37" s="17" t="s">
        <v>273</v>
      </c>
      <c r="L37" s="17">
        <v>22.0</v>
      </c>
      <c r="M37" s="17">
        <v>22.0</v>
      </c>
      <c r="N37" s="17">
        <v>1.0</v>
      </c>
      <c r="O37" s="17" t="s">
        <v>96</v>
      </c>
      <c r="P37" s="17" t="s">
        <v>109</v>
      </c>
      <c r="Q37" s="17" t="s">
        <v>97</v>
      </c>
      <c r="R37" s="17" t="s">
        <v>109</v>
      </c>
      <c r="S37" s="18" t="s">
        <v>325</v>
      </c>
      <c r="U37" s="17" t="s">
        <v>326</v>
      </c>
      <c r="V37" s="17">
        <v>9.502632532E9</v>
      </c>
      <c r="W37" s="17" t="s">
        <v>117</v>
      </c>
      <c r="AA37" s="17" t="s">
        <v>76</v>
      </c>
      <c r="AB37" s="17">
        <v>2.3625030004336E13</v>
      </c>
      <c r="AC37" s="18" t="s">
        <v>327</v>
      </c>
      <c r="AF37" s="17" t="s">
        <v>328</v>
      </c>
      <c r="AG37" s="18" t="s">
        <v>329</v>
      </c>
      <c r="AS37" s="17" t="s">
        <v>76</v>
      </c>
      <c r="AT37" s="17" t="s">
        <v>330</v>
      </c>
      <c r="AU37" s="17" t="s">
        <v>109</v>
      </c>
      <c r="AZ37" s="17" t="s">
        <v>287</v>
      </c>
      <c r="BA37" s="19"/>
      <c r="BB37" s="19"/>
      <c r="BC37" s="19"/>
      <c r="BD37" s="19"/>
      <c r="BE37" s="19"/>
      <c r="BF37" s="19"/>
      <c r="BG37" s="19"/>
      <c r="BH37" s="19"/>
      <c r="BI37" s="19"/>
      <c r="BJ37" s="19"/>
      <c r="BK37" s="19"/>
      <c r="BL37" s="19"/>
      <c r="BM37" s="19"/>
      <c r="BN37" s="19"/>
      <c r="BO37" s="19"/>
      <c r="BP37" s="19"/>
      <c r="BQ37" s="19"/>
      <c r="BR37" s="7" t="str">
        <f t="shared" si="1"/>
        <v>AL RAWAF HOME MADE DISHES</v>
      </c>
    </row>
    <row r="38" ht="22.5" customHeight="1">
      <c r="A38" s="14">
        <v>46059.423640243054</v>
      </c>
      <c r="B38" s="15">
        <v>46057.0</v>
      </c>
      <c r="C38" s="16">
        <v>0.5736111111109494</v>
      </c>
      <c r="D38" s="17" t="s">
        <v>91</v>
      </c>
      <c r="E38" s="17" t="s">
        <v>331</v>
      </c>
      <c r="F38" s="17">
        <v>25.0</v>
      </c>
      <c r="G38" s="17">
        <v>400.0</v>
      </c>
      <c r="H38" s="17" t="s">
        <v>332</v>
      </c>
      <c r="I38" s="17">
        <v>10000.0</v>
      </c>
      <c r="J38" s="17" t="s">
        <v>94</v>
      </c>
      <c r="K38" s="17" t="s">
        <v>134</v>
      </c>
      <c r="L38" s="17">
        <v>21.0</v>
      </c>
      <c r="M38" s="17">
        <v>21.0</v>
      </c>
      <c r="N38" s="17">
        <v>2.0</v>
      </c>
      <c r="O38" s="17" t="s">
        <v>333</v>
      </c>
      <c r="P38" s="17" t="s">
        <v>109</v>
      </c>
      <c r="Q38" s="17" t="s">
        <v>97</v>
      </c>
      <c r="R38" s="17" t="s">
        <v>109</v>
      </c>
      <c r="S38" s="18" t="s">
        <v>334</v>
      </c>
      <c r="U38" s="17" t="s">
        <v>335</v>
      </c>
      <c r="V38" s="17">
        <v>9.9648187E9</v>
      </c>
      <c r="W38" s="17" t="s">
        <v>117</v>
      </c>
      <c r="AA38" s="17" t="s">
        <v>76</v>
      </c>
      <c r="AB38" s="17">
        <v>1.3622015000429E13</v>
      </c>
      <c r="AC38" s="18" t="s">
        <v>336</v>
      </c>
      <c r="AD38" s="17" t="s">
        <v>337</v>
      </c>
      <c r="AE38" s="18" t="s">
        <v>338</v>
      </c>
      <c r="AF38" s="17" t="s">
        <v>339</v>
      </c>
      <c r="AG38" s="18" t="s">
        <v>340</v>
      </c>
      <c r="AJ38" s="18" t="s">
        <v>341</v>
      </c>
      <c r="AK38" s="18" t="s">
        <v>342</v>
      </c>
      <c r="AO38" s="17" t="s">
        <v>335</v>
      </c>
      <c r="AP38" s="17">
        <v>9.9648187E9</v>
      </c>
      <c r="AS38" s="17" t="s">
        <v>76</v>
      </c>
      <c r="AT38" s="17" t="s">
        <v>330</v>
      </c>
      <c r="AU38" s="17" t="s">
        <v>109</v>
      </c>
      <c r="AZ38" s="17" t="s">
        <v>287</v>
      </c>
      <c r="BA38" s="19"/>
      <c r="BB38" s="19"/>
      <c r="BC38" s="19"/>
      <c r="BD38" s="19"/>
      <c r="BE38" s="19"/>
      <c r="BF38" s="19"/>
      <c r="BG38" s="19"/>
      <c r="BH38" s="19"/>
      <c r="BI38" s="19"/>
      <c r="BJ38" s="19"/>
      <c r="BK38" s="19"/>
      <c r="BL38" s="19"/>
      <c r="BM38" s="19"/>
      <c r="BN38" s="19"/>
      <c r="BO38" s="19"/>
      <c r="BP38" s="19"/>
      <c r="BQ38" s="19"/>
      <c r="BR38" s="7" t="str">
        <f t="shared" si="1"/>
        <v>Govinda's Resturant</v>
      </c>
    </row>
    <row r="39" ht="22.5" customHeight="1">
      <c r="A39" s="14">
        <v>46059.42609392361</v>
      </c>
      <c r="B39" s="15">
        <v>46175.0</v>
      </c>
      <c r="C39" s="16">
        <v>0.5625</v>
      </c>
      <c r="D39" s="17" t="s">
        <v>91</v>
      </c>
      <c r="E39" s="17" t="s">
        <v>343</v>
      </c>
      <c r="F39" s="17">
        <v>200.0</v>
      </c>
      <c r="G39" s="17">
        <v>500.0</v>
      </c>
      <c r="H39" s="17" t="s">
        <v>344</v>
      </c>
      <c r="I39" s="17">
        <v>1.0</v>
      </c>
      <c r="J39" s="17" t="s">
        <v>167</v>
      </c>
      <c r="K39" s="17" t="s">
        <v>134</v>
      </c>
      <c r="L39" s="17">
        <v>22.0</v>
      </c>
      <c r="M39" s="17">
        <v>20.0</v>
      </c>
      <c r="N39" s="17">
        <v>1.0</v>
      </c>
      <c r="O39" s="17" t="s">
        <v>96</v>
      </c>
      <c r="P39" s="17" t="s">
        <v>76</v>
      </c>
      <c r="Q39" s="17" t="s">
        <v>97</v>
      </c>
      <c r="R39" s="17" t="s">
        <v>76</v>
      </c>
      <c r="S39" s="17" t="s">
        <v>117</v>
      </c>
      <c r="U39" s="17" t="s">
        <v>345</v>
      </c>
      <c r="V39" s="17">
        <v>7.842264138E9</v>
      </c>
      <c r="W39" s="17" t="s">
        <v>344</v>
      </c>
      <c r="AA39" s="17" t="s">
        <v>109</v>
      </c>
      <c r="AU39" s="17" t="s">
        <v>76</v>
      </c>
      <c r="AV39" s="17" t="s">
        <v>88</v>
      </c>
      <c r="AX39" s="15">
        <v>46059.0</v>
      </c>
      <c r="AY39" s="16">
        <v>0.5625</v>
      </c>
      <c r="AZ39" s="17" t="s">
        <v>110</v>
      </c>
      <c r="BA39" s="19"/>
      <c r="BB39" s="19"/>
      <c r="BC39" s="19"/>
      <c r="BD39" s="19"/>
      <c r="BE39" s="19"/>
      <c r="BF39" s="19"/>
      <c r="BG39" s="19"/>
      <c r="BH39" s="19"/>
      <c r="BI39" s="19"/>
      <c r="BJ39" s="19"/>
      <c r="BK39" s="19"/>
      <c r="BL39" s="19"/>
      <c r="BM39" s="19"/>
      <c r="BN39" s="19"/>
      <c r="BO39" s="19"/>
      <c r="BP39" s="19"/>
      <c r="BQ39" s="19"/>
      <c r="BR39" s="7" t="str">
        <f t="shared" si="1"/>
        <v>KNOX</v>
      </c>
    </row>
    <row r="40" ht="22.5" customHeight="1">
      <c r="A40" s="14">
        <v>46059.43034670139</v>
      </c>
      <c r="B40" s="15">
        <v>46055.0</v>
      </c>
      <c r="C40" s="16">
        <v>0.6041666666642413</v>
      </c>
      <c r="D40" s="17" t="s">
        <v>91</v>
      </c>
      <c r="E40" s="17" t="s">
        <v>346</v>
      </c>
      <c r="F40" s="17">
        <v>50.0</v>
      </c>
      <c r="G40" s="17">
        <v>300.0</v>
      </c>
      <c r="H40" s="17" t="s">
        <v>117</v>
      </c>
      <c r="I40" s="17">
        <v>10000.0</v>
      </c>
      <c r="J40" s="17" t="s">
        <v>221</v>
      </c>
      <c r="K40" s="17" t="s">
        <v>118</v>
      </c>
      <c r="L40" s="17">
        <v>22.0</v>
      </c>
      <c r="M40" s="17">
        <v>22.0</v>
      </c>
      <c r="N40" s="17">
        <v>1.0</v>
      </c>
      <c r="O40" s="17" t="s">
        <v>96</v>
      </c>
      <c r="P40" s="17" t="s">
        <v>109</v>
      </c>
      <c r="Q40" s="17" t="s">
        <v>97</v>
      </c>
      <c r="R40" s="17" t="s">
        <v>109</v>
      </c>
      <c r="S40" s="18" t="s">
        <v>347</v>
      </c>
      <c r="U40" s="17" t="s">
        <v>348</v>
      </c>
      <c r="V40" s="17">
        <v>9.742645678E9</v>
      </c>
      <c r="W40" s="17" t="s">
        <v>117</v>
      </c>
      <c r="AA40" s="17" t="s">
        <v>76</v>
      </c>
      <c r="AB40" s="17">
        <v>2.3622028000187E13</v>
      </c>
      <c r="AC40" s="18" t="s">
        <v>349</v>
      </c>
      <c r="AD40" s="17" t="s">
        <v>117</v>
      </c>
      <c r="AF40" s="17" t="s">
        <v>350</v>
      </c>
      <c r="AG40" s="18" t="s">
        <v>351</v>
      </c>
      <c r="AO40" s="17" t="s">
        <v>352</v>
      </c>
      <c r="AP40" s="17">
        <v>9.742645678E9</v>
      </c>
      <c r="AS40" s="17" t="s">
        <v>76</v>
      </c>
      <c r="AT40" s="17" t="s">
        <v>330</v>
      </c>
      <c r="AU40" s="17" t="s">
        <v>109</v>
      </c>
      <c r="AZ40" s="17" t="s">
        <v>287</v>
      </c>
      <c r="BA40" s="19"/>
      <c r="BB40" s="19"/>
      <c r="BC40" s="19"/>
      <c r="BD40" s="19"/>
      <c r="BE40" s="19"/>
      <c r="BF40" s="19"/>
      <c r="BG40" s="19"/>
      <c r="BH40" s="19"/>
      <c r="BI40" s="19"/>
      <c r="BJ40" s="19"/>
      <c r="BK40" s="19"/>
      <c r="BL40" s="19"/>
      <c r="BM40" s="19"/>
      <c r="BN40" s="19"/>
      <c r="BO40" s="19"/>
      <c r="BP40" s="19"/>
      <c r="BQ40" s="19"/>
      <c r="BR40" s="7" t="str">
        <f t="shared" si="1"/>
        <v>NEW FARMAISH RESTAURANT</v>
      </c>
    </row>
    <row r="41" ht="22.5" customHeight="1">
      <c r="A41" s="14">
        <v>46059.43059423611</v>
      </c>
      <c r="B41" s="15">
        <v>46059.0</v>
      </c>
      <c r="C41" s="16">
        <v>0.47916666666424135</v>
      </c>
      <c r="D41" s="17" t="s">
        <v>111</v>
      </c>
      <c r="T41" s="17" t="s">
        <v>353</v>
      </c>
      <c r="U41" s="17" t="s">
        <v>354</v>
      </c>
      <c r="V41" s="17">
        <v>8.978216439E9</v>
      </c>
      <c r="W41" s="17" t="s">
        <v>117</v>
      </c>
      <c r="Z41" s="17" t="s">
        <v>117</v>
      </c>
      <c r="AA41" s="17" t="s">
        <v>109</v>
      </c>
      <c r="AU41" s="17" t="s">
        <v>76</v>
      </c>
      <c r="AV41" s="17" t="s">
        <v>271</v>
      </c>
      <c r="AW41" s="17" t="s">
        <v>355</v>
      </c>
      <c r="AX41" s="15">
        <v>46059.0</v>
      </c>
      <c r="AY41" s="16">
        <v>0.47916666666424135</v>
      </c>
      <c r="AZ41" s="17" t="s">
        <v>356</v>
      </c>
      <c r="BA41" s="19"/>
      <c r="BB41" s="19"/>
      <c r="BC41" s="19"/>
      <c r="BD41" s="19"/>
      <c r="BE41" s="19"/>
      <c r="BF41" s="19"/>
      <c r="BG41" s="19"/>
      <c r="BH41" s="19"/>
      <c r="BI41" s="19"/>
      <c r="BJ41" s="19"/>
      <c r="BK41" s="19"/>
      <c r="BL41" s="19"/>
      <c r="BM41" s="19"/>
      <c r="BN41" s="19"/>
      <c r="BO41" s="19"/>
      <c r="BP41" s="19"/>
      <c r="BQ41" s="19"/>
      <c r="BR41" s="7" t="str">
        <f t="shared" si="1"/>
        <v>Bahar Biryani</v>
      </c>
    </row>
    <row r="42" ht="22.5" customHeight="1">
      <c r="A42" s="14">
        <v>46059.43123717593</v>
      </c>
      <c r="B42" s="15">
        <v>46059.0</v>
      </c>
      <c r="C42" s="16">
        <v>0.6041666666642413</v>
      </c>
      <c r="D42" s="17" t="s">
        <v>91</v>
      </c>
      <c r="E42" s="17" t="s">
        <v>357</v>
      </c>
      <c r="F42" s="17">
        <v>300.0</v>
      </c>
      <c r="G42" s="17">
        <v>1000.0</v>
      </c>
      <c r="H42" s="17" t="s">
        <v>344</v>
      </c>
      <c r="I42" s="17">
        <v>1.0</v>
      </c>
      <c r="J42" s="17" t="s">
        <v>167</v>
      </c>
      <c r="K42" s="17" t="s">
        <v>134</v>
      </c>
      <c r="L42" s="17">
        <v>22.0</v>
      </c>
      <c r="M42" s="17">
        <v>20.0</v>
      </c>
      <c r="N42" s="17">
        <v>1.0</v>
      </c>
      <c r="O42" s="17" t="s">
        <v>96</v>
      </c>
      <c r="P42" s="17" t="s">
        <v>76</v>
      </c>
      <c r="Q42" s="17" t="s">
        <v>97</v>
      </c>
      <c r="R42" s="17" t="s">
        <v>109</v>
      </c>
      <c r="S42" s="17" t="s">
        <v>344</v>
      </c>
      <c r="U42" s="17" t="s">
        <v>358</v>
      </c>
      <c r="V42" s="17">
        <v>8.019447999E9</v>
      </c>
      <c r="W42" s="17" t="s">
        <v>344</v>
      </c>
      <c r="AA42" s="17" t="s">
        <v>109</v>
      </c>
      <c r="AU42" s="17" t="s">
        <v>76</v>
      </c>
      <c r="AV42" s="17" t="s">
        <v>88</v>
      </c>
      <c r="AZ42" s="17" t="s">
        <v>110</v>
      </c>
      <c r="BA42" s="19"/>
      <c r="BB42" s="19"/>
      <c r="BC42" s="19"/>
      <c r="BD42" s="19"/>
      <c r="BE42" s="19"/>
      <c r="BF42" s="19"/>
      <c r="BG42" s="19"/>
      <c r="BH42" s="19"/>
      <c r="BI42" s="19"/>
      <c r="BJ42" s="19"/>
      <c r="BK42" s="19"/>
      <c r="BL42" s="19"/>
      <c r="BM42" s="19"/>
      <c r="BN42" s="19"/>
      <c r="BO42" s="19"/>
      <c r="BP42" s="19"/>
      <c r="BQ42" s="19"/>
      <c r="BR42" s="7" t="str">
        <f t="shared" si="1"/>
        <v>Zythum</v>
      </c>
    </row>
    <row r="43" ht="22.5" customHeight="1">
      <c r="A43" s="14">
        <v>46059.434031956014</v>
      </c>
      <c r="B43" s="15">
        <v>46059.0</v>
      </c>
      <c r="C43" s="16">
        <v>0.5208333333357587</v>
      </c>
      <c r="D43" s="17" t="s">
        <v>111</v>
      </c>
      <c r="T43" s="17" t="s">
        <v>359</v>
      </c>
      <c r="U43" s="17" t="s">
        <v>360</v>
      </c>
      <c r="V43" s="17">
        <v>9.8488146E9</v>
      </c>
      <c r="W43" s="17" t="s">
        <v>117</v>
      </c>
      <c r="X43" s="17" t="s">
        <v>361</v>
      </c>
      <c r="Y43" s="17">
        <v>9.848444396E9</v>
      </c>
      <c r="Z43" s="17" t="s">
        <v>117</v>
      </c>
      <c r="AA43" s="17" t="s">
        <v>109</v>
      </c>
      <c r="AU43" s="17" t="s">
        <v>76</v>
      </c>
      <c r="AV43" s="17" t="s">
        <v>114</v>
      </c>
      <c r="AW43" s="17" t="s">
        <v>117</v>
      </c>
      <c r="AX43" s="15">
        <v>46059.0</v>
      </c>
      <c r="AY43" s="16">
        <v>0.5208333333357587</v>
      </c>
      <c r="AZ43" s="17" t="s">
        <v>356</v>
      </c>
      <c r="BA43" s="19"/>
      <c r="BB43" s="19"/>
      <c r="BC43" s="19"/>
      <c r="BD43" s="19"/>
      <c r="BE43" s="19"/>
      <c r="BF43" s="19"/>
      <c r="BG43" s="19"/>
      <c r="BH43" s="19"/>
      <c r="BI43" s="19"/>
      <c r="BJ43" s="19"/>
      <c r="BK43" s="19"/>
      <c r="BL43" s="19"/>
      <c r="BM43" s="19"/>
      <c r="BN43" s="19"/>
      <c r="BO43" s="19"/>
      <c r="BP43" s="19"/>
      <c r="BQ43" s="19"/>
      <c r="BR43" s="7" t="str">
        <f t="shared" si="1"/>
        <v>Singha Dhaba</v>
      </c>
    </row>
    <row r="44" ht="22.5" customHeight="1">
      <c r="A44" s="14">
        <v>46059.5423743287</v>
      </c>
      <c r="B44" s="15">
        <v>46059.0</v>
      </c>
      <c r="C44" s="16">
        <v>0.45486111110949423</v>
      </c>
      <c r="D44" s="17" t="s">
        <v>91</v>
      </c>
      <c r="E44" s="17" t="s">
        <v>362</v>
      </c>
      <c r="F44" s="17">
        <v>150.0</v>
      </c>
      <c r="G44" s="17">
        <v>600.0</v>
      </c>
      <c r="H44" s="17" t="s">
        <v>363</v>
      </c>
      <c r="I44" s="17">
        <v>15000.0</v>
      </c>
      <c r="J44" s="17" t="s">
        <v>167</v>
      </c>
      <c r="K44" s="17" t="s">
        <v>134</v>
      </c>
      <c r="L44" s="17">
        <v>17.0</v>
      </c>
      <c r="M44" s="17">
        <v>10.0</v>
      </c>
      <c r="N44" s="17">
        <v>11.0</v>
      </c>
      <c r="O44" s="17" t="s">
        <v>96</v>
      </c>
      <c r="P44" s="17" t="s">
        <v>76</v>
      </c>
      <c r="Q44" s="17" t="s">
        <v>97</v>
      </c>
      <c r="R44" s="17" t="s">
        <v>76</v>
      </c>
      <c r="S44" s="17" t="s">
        <v>113</v>
      </c>
      <c r="U44" s="17" t="s">
        <v>364</v>
      </c>
      <c r="V44" s="17">
        <v>6.309794222E9</v>
      </c>
      <c r="W44" s="17" t="s">
        <v>344</v>
      </c>
      <c r="AA44" s="17" t="s">
        <v>109</v>
      </c>
      <c r="AU44" s="17" t="s">
        <v>76</v>
      </c>
      <c r="AV44" s="17" t="s">
        <v>88</v>
      </c>
      <c r="AW44" s="17" t="s">
        <v>365</v>
      </c>
      <c r="AX44" s="15">
        <v>46069.0</v>
      </c>
      <c r="AY44" s="16">
        <v>0.45833333333575865</v>
      </c>
      <c r="AZ44" s="17" t="s">
        <v>110</v>
      </c>
      <c r="BA44" s="19"/>
      <c r="BB44" s="19"/>
      <c r="BC44" s="19"/>
      <c r="BD44" s="19"/>
      <c r="BE44" s="19"/>
      <c r="BF44" s="19"/>
      <c r="BG44" s="19"/>
      <c r="BH44" s="19"/>
      <c r="BI44" s="19"/>
      <c r="BJ44" s="19"/>
      <c r="BK44" s="19"/>
      <c r="BL44" s="19"/>
      <c r="BM44" s="19"/>
      <c r="BN44" s="19"/>
      <c r="BO44" s="19"/>
      <c r="BP44" s="19"/>
      <c r="BQ44" s="19"/>
      <c r="BR44" s="7" t="str">
        <f t="shared" si="1"/>
        <v>Ohri's Cake Nation</v>
      </c>
    </row>
    <row r="45" ht="22.5" customHeight="1">
      <c r="A45" s="14">
        <v>46059.58608912037</v>
      </c>
      <c r="B45" s="15">
        <v>46059.0</v>
      </c>
      <c r="C45" s="16">
        <v>0.5833333333357587</v>
      </c>
      <c r="D45" s="17" t="s">
        <v>91</v>
      </c>
      <c r="E45" s="17" t="s">
        <v>366</v>
      </c>
      <c r="F45" s="17">
        <v>320.0</v>
      </c>
      <c r="G45" s="17">
        <v>450.0</v>
      </c>
      <c r="H45" s="17" t="s">
        <v>291</v>
      </c>
      <c r="I45" s="17">
        <v>20000.0</v>
      </c>
      <c r="J45" s="17" t="s">
        <v>167</v>
      </c>
      <c r="K45" s="17" t="s">
        <v>134</v>
      </c>
      <c r="L45" s="17">
        <v>20.0</v>
      </c>
      <c r="M45" s="17">
        <v>20.0</v>
      </c>
      <c r="N45" s="17">
        <v>1.0</v>
      </c>
      <c r="O45" s="17" t="s">
        <v>96</v>
      </c>
      <c r="P45" s="17" t="s">
        <v>76</v>
      </c>
      <c r="Q45" s="17" t="s">
        <v>97</v>
      </c>
      <c r="R45" s="17" t="s">
        <v>76</v>
      </c>
      <c r="S45" s="17" t="s">
        <v>344</v>
      </c>
      <c r="U45" s="17" t="s">
        <v>367</v>
      </c>
      <c r="V45" s="17">
        <v>9.100007676E9</v>
      </c>
      <c r="W45" s="17" t="s">
        <v>368</v>
      </c>
      <c r="AA45" s="17" t="s">
        <v>109</v>
      </c>
      <c r="AU45" s="17" t="s">
        <v>76</v>
      </c>
      <c r="AV45" s="17" t="s">
        <v>88</v>
      </c>
      <c r="AW45" s="17" t="s">
        <v>369</v>
      </c>
      <c r="AX45" s="15">
        <v>46064.0</v>
      </c>
      <c r="AY45" s="16">
        <v>0.39583333333575865</v>
      </c>
      <c r="AZ45" s="17" t="s">
        <v>110</v>
      </c>
      <c r="BA45" s="19"/>
      <c r="BB45" s="19"/>
      <c r="BC45" s="19"/>
      <c r="BD45" s="19"/>
      <c r="BE45" s="19"/>
      <c r="BF45" s="19"/>
      <c r="BG45" s="19"/>
      <c r="BH45" s="19"/>
      <c r="BI45" s="19"/>
      <c r="BJ45" s="19"/>
      <c r="BK45" s="19"/>
      <c r="BL45" s="19"/>
      <c r="BM45" s="19"/>
      <c r="BN45" s="19"/>
      <c r="BO45" s="19"/>
      <c r="BP45" s="19"/>
      <c r="BQ45" s="19"/>
      <c r="BR45" s="7" t="str">
        <f t="shared" si="1"/>
        <v>KNOX </v>
      </c>
    </row>
    <row r="46" ht="22.5" customHeight="1">
      <c r="A46" s="14">
        <v>46059.666718125</v>
      </c>
      <c r="B46" s="15">
        <v>46059.0</v>
      </c>
      <c r="C46" s="16">
        <v>0.6666666666642413</v>
      </c>
      <c r="D46" s="17" t="s">
        <v>91</v>
      </c>
      <c r="E46" s="17" t="s">
        <v>357</v>
      </c>
      <c r="F46" s="17">
        <v>400.0</v>
      </c>
      <c r="G46" s="17">
        <v>500.0</v>
      </c>
      <c r="H46" s="17" t="s">
        <v>370</v>
      </c>
      <c r="I46" s="17">
        <v>100000.0</v>
      </c>
      <c r="J46" s="17" t="s">
        <v>167</v>
      </c>
      <c r="K46" s="17" t="s">
        <v>134</v>
      </c>
      <c r="L46" s="17">
        <v>20.0</v>
      </c>
      <c r="M46" s="17">
        <v>20.0</v>
      </c>
      <c r="N46" s="17">
        <v>1.0</v>
      </c>
      <c r="O46" s="17" t="s">
        <v>371</v>
      </c>
      <c r="P46" s="17" t="s">
        <v>76</v>
      </c>
      <c r="Q46" s="17" t="s">
        <v>97</v>
      </c>
      <c r="R46" s="17" t="s">
        <v>76</v>
      </c>
      <c r="S46" s="17" t="s">
        <v>344</v>
      </c>
      <c r="U46" s="17" t="s">
        <v>372</v>
      </c>
      <c r="V46" s="17">
        <v>8.249132908E9</v>
      </c>
      <c r="W46" s="17" t="s">
        <v>344</v>
      </c>
      <c r="AA46" s="17" t="s">
        <v>109</v>
      </c>
      <c r="AU46" s="17" t="s">
        <v>76</v>
      </c>
      <c r="AV46" s="17" t="s">
        <v>373</v>
      </c>
      <c r="AW46" s="17" t="s">
        <v>374</v>
      </c>
      <c r="AX46" s="15">
        <v>46063.0</v>
      </c>
      <c r="AY46" s="16">
        <v>0.7083333333357587</v>
      </c>
      <c r="AZ46" s="17" t="s">
        <v>110</v>
      </c>
      <c r="BA46" s="19"/>
      <c r="BB46" s="19"/>
      <c r="BC46" s="19"/>
      <c r="BD46" s="19"/>
      <c r="BE46" s="19"/>
      <c r="BF46" s="19"/>
      <c r="BG46" s="19"/>
      <c r="BH46" s="19"/>
      <c r="BI46" s="19"/>
      <c r="BJ46" s="19"/>
      <c r="BK46" s="19"/>
      <c r="BL46" s="19"/>
      <c r="BM46" s="19"/>
      <c r="BN46" s="19"/>
      <c r="BO46" s="19"/>
      <c r="BP46" s="19"/>
      <c r="BQ46" s="19"/>
      <c r="BR46" s="7" t="str">
        <f t="shared" si="1"/>
        <v>Zythum</v>
      </c>
    </row>
    <row r="47" ht="22.5" customHeight="1">
      <c r="A47" s="14">
        <v>46059.70921296296</v>
      </c>
      <c r="B47" s="15">
        <v>46059.0</v>
      </c>
      <c r="C47" s="16">
        <v>0.6493055555547471</v>
      </c>
      <c r="D47" s="17" t="s">
        <v>91</v>
      </c>
      <c r="E47" s="17" t="s">
        <v>375</v>
      </c>
      <c r="F47" s="17">
        <v>25.0</v>
      </c>
      <c r="G47" s="17">
        <v>250.0</v>
      </c>
      <c r="H47" s="17" t="s">
        <v>117</v>
      </c>
      <c r="I47" s="17">
        <v>8000.0</v>
      </c>
      <c r="J47" s="17" t="s">
        <v>221</v>
      </c>
      <c r="K47" s="17" t="s">
        <v>118</v>
      </c>
      <c r="L47" s="17">
        <v>22.0</v>
      </c>
      <c r="M47" s="17">
        <v>22.0</v>
      </c>
      <c r="N47" s="17">
        <v>1.0</v>
      </c>
      <c r="O47" s="17" t="s">
        <v>96</v>
      </c>
      <c r="P47" s="17" t="s">
        <v>109</v>
      </c>
      <c r="Q47" s="17" t="s">
        <v>97</v>
      </c>
      <c r="R47" s="17" t="s">
        <v>109</v>
      </c>
      <c r="S47" s="18" t="s">
        <v>376</v>
      </c>
      <c r="U47" s="17" t="s">
        <v>377</v>
      </c>
      <c r="V47" s="17">
        <v>9.182466676E9</v>
      </c>
      <c r="W47" s="17" t="s">
        <v>378</v>
      </c>
      <c r="AA47" s="17" t="s">
        <v>76</v>
      </c>
      <c r="AB47" s="17" t="s">
        <v>379</v>
      </c>
      <c r="AC47" s="18" t="s">
        <v>380</v>
      </c>
      <c r="AF47" s="17" t="s">
        <v>381</v>
      </c>
      <c r="AG47" s="18" t="s">
        <v>382</v>
      </c>
      <c r="AK47" s="18" t="s">
        <v>383</v>
      </c>
      <c r="AL47" s="17">
        <v>3.79474434E10</v>
      </c>
      <c r="AM47" s="17" t="s">
        <v>384</v>
      </c>
      <c r="AN47" s="17" t="s">
        <v>385</v>
      </c>
      <c r="AO47" s="17" t="s">
        <v>386</v>
      </c>
      <c r="AP47" s="17">
        <v>9.182466676E9</v>
      </c>
      <c r="AQ47" s="17" t="s">
        <v>378</v>
      </c>
      <c r="AR47" s="17" t="s">
        <v>375</v>
      </c>
      <c r="AS47" s="17" t="s">
        <v>76</v>
      </c>
      <c r="AT47" s="17" t="s">
        <v>44</v>
      </c>
      <c r="AU47" s="17" t="s">
        <v>109</v>
      </c>
      <c r="AZ47" s="17" t="s">
        <v>287</v>
      </c>
      <c r="BA47" s="19"/>
      <c r="BB47" s="19"/>
      <c r="BC47" s="19"/>
      <c r="BD47" s="19"/>
      <c r="BE47" s="19"/>
      <c r="BF47" s="19"/>
      <c r="BG47" s="19"/>
      <c r="BH47" s="19"/>
      <c r="BI47" s="19"/>
      <c r="BJ47" s="19"/>
      <c r="BK47" s="19"/>
      <c r="BL47" s="19"/>
      <c r="BM47" s="19"/>
      <c r="BN47" s="19"/>
      <c r="BO47" s="19"/>
      <c r="BP47" s="19"/>
      <c r="BQ47" s="19"/>
      <c r="BR47" s="7" t="str">
        <f t="shared" si="1"/>
        <v>Naseeb Cafe</v>
      </c>
    </row>
    <row r="48" ht="22.5" customHeight="1">
      <c r="A48" s="14">
        <v>46059.7151232176</v>
      </c>
      <c r="B48" s="15">
        <v>46059.0</v>
      </c>
      <c r="C48" s="16">
        <v>0.671527777776646</v>
      </c>
      <c r="D48" s="17" t="s">
        <v>91</v>
      </c>
      <c r="E48" s="17" t="s">
        <v>387</v>
      </c>
      <c r="F48" s="17">
        <v>60.0</v>
      </c>
      <c r="G48" s="17">
        <v>200.0</v>
      </c>
      <c r="H48" s="17" t="s">
        <v>388</v>
      </c>
      <c r="I48" s="17">
        <v>9000.0</v>
      </c>
      <c r="J48" s="17" t="s">
        <v>221</v>
      </c>
      <c r="K48" s="17" t="s">
        <v>134</v>
      </c>
      <c r="L48" s="17">
        <v>22.0</v>
      </c>
      <c r="M48" s="17">
        <v>22.0</v>
      </c>
      <c r="N48" s="17">
        <v>1.0</v>
      </c>
      <c r="O48" s="17" t="s">
        <v>96</v>
      </c>
      <c r="P48" s="17" t="s">
        <v>109</v>
      </c>
      <c r="Q48" s="17" t="s">
        <v>97</v>
      </c>
      <c r="R48" s="17" t="s">
        <v>109</v>
      </c>
      <c r="S48" s="18" t="s">
        <v>389</v>
      </c>
      <c r="U48" s="17" t="s">
        <v>390</v>
      </c>
      <c r="V48" s="20" t="s">
        <v>391</v>
      </c>
      <c r="W48" s="17" t="s">
        <v>392</v>
      </c>
      <c r="AA48" s="17" t="s">
        <v>76</v>
      </c>
      <c r="AB48" s="17">
        <v>1.3620011000085E13</v>
      </c>
      <c r="AC48" s="18" t="s">
        <v>393</v>
      </c>
      <c r="AF48" s="17" t="s">
        <v>394</v>
      </c>
      <c r="AG48" s="18" t="s">
        <v>395</v>
      </c>
      <c r="AK48" s="18" t="s">
        <v>396</v>
      </c>
      <c r="AL48" s="20" t="s">
        <v>397</v>
      </c>
      <c r="AM48" s="17" t="s">
        <v>398</v>
      </c>
      <c r="AN48" s="17" t="s">
        <v>399</v>
      </c>
      <c r="AO48" s="17" t="s">
        <v>400</v>
      </c>
      <c r="AP48" s="17">
        <v>9.010022093E9</v>
      </c>
      <c r="AQ48" s="17" t="s">
        <v>392</v>
      </c>
      <c r="AR48" s="17" t="s">
        <v>387</v>
      </c>
      <c r="AS48" s="17" t="s">
        <v>76</v>
      </c>
      <c r="AT48" s="17" t="s">
        <v>330</v>
      </c>
      <c r="AU48" s="17" t="s">
        <v>109</v>
      </c>
      <c r="AZ48" s="17" t="s">
        <v>287</v>
      </c>
      <c r="BA48" s="19"/>
      <c r="BB48" s="19"/>
      <c r="BC48" s="19"/>
      <c r="BD48" s="19"/>
      <c r="BE48" s="19"/>
      <c r="BF48" s="19"/>
      <c r="BG48" s="19"/>
      <c r="BH48" s="19"/>
      <c r="BI48" s="19"/>
      <c r="BJ48" s="19"/>
      <c r="BK48" s="19"/>
      <c r="BL48" s="19"/>
      <c r="BM48" s="19"/>
      <c r="BN48" s="19"/>
      <c r="BO48" s="19"/>
      <c r="BP48" s="19"/>
      <c r="BQ48" s="19"/>
      <c r="BR48" s="7" t="str">
        <f t="shared" si="1"/>
        <v>Sri Balaji Family Dhaba</v>
      </c>
    </row>
    <row r="49" ht="22.5" customHeight="1">
      <c r="A49" s="14">
        <v>46059.71738608796</v>
      </c>
      <c r="B49" s="15">
        <v>46059.0</v>
      </c>
      <c r="C49" s="16">
        <v>0.7083333333357587</v>
      </c>
      <c r="D49" s="17" t="s">
        <v>91</v>
      </c>
      <c r="E49" s="17" t="s">
        <v>401</v>
      </c>
      <c r="F49" s="17">
        <v>15.0</v>
      </c>
      <c r="G49" s="17">
        <v>300.0</v>
      </c>
      <c r="H49" s="17" t="s">
        <v>344</v>
      </c>
      <c r="I49" s="17">
        <v>15000.0</v>
      </c>
      <c r="J49" s="17" t="s">
        <v>94</v>
      </c>
      <c r="K49" s="17" t="s">
        <v>95</v>
      </c>
      <c r="L49" s="17">
        <v>1.0</v>
      </c>
      <c r="N49" s="17">
        <v>1.0</v>
      </c>
      <c r="O49" s="17" t="s">
        <v>96</v>
      </c>
      <c r="P49" s="17" t="s">
        <v>76</v>
      </c>
      <c r="Q49" s="17" t="s">
        <v>97</v>
      </c>
      <c r="R49" s="17" t="s">
        <v>76</v>
      </c>
      <c r="S49" s="17" t="s">
        <v>344</v>
      </c>
      <c r="U49" s="17" t="s">
        <v>402</v>
      </c>
      <c r="V49" s="17">
        <v>9.063906004E9</v>
      </c>
      <c r="W49" s="17" t="s">
        <v>344</v>
      </c>
      <c r="AA49" s="17" t="s">
        <v>109</v>
      </c>
      <c r="AU49" s="17" t="s">
        <v>76</v>
      </c>
      <c r="AV49" s="17" t="s">
        <v>373</v>
      </c>
      <c r="AW49" s="17" t="s">
        <v>403</v>
      </c>
      <c r="AX49" s="15">
        <v>46082.0</v>
      </c>
      <c r="AY49" s="16">
        <v>0.7083333333357587</v>
      </c>
      <c r="AZ49" s="17" t="s">
        <v>110</v>
      </c>
      <c r="BA49" s="19"/>
      <c r="BB49" s="19"/>
      <c r="BC49" s="19"/>
      <c r="BD49" s="19"/>
      <c r="BE49" s="19"/>
      <c r="BF49" s="19"/>
      <c r="BG49" s="19"/>
      <c r="BH49" s="19"/>
      <c r="BI49" s="19"/>
      <c r="BJ49" s="19"/>
      <c r="BK49" s="19"/>
      <c r="BL49" s="19"/>
      <c r="BM49" s="19"/>
      <c r="BN49" s="19"/>
      <c r="BO49" s="19"/>
      <c r="BP49" s="19"/>
      <c r="BQ49" s="19"/>
      <c r="BR49" s="7" t="str">
        <f t="shared" si="1"/>
        <v>10th street coffee</v>
      </c>
    </row>
    <row r="50" ht="22.5" customHeight="1">
      <c r="A50" s="14">
        <v>46059.75395475695</v>
      </c>
      <c r="B50" s="15">
        <v>46059.0</v>
      </c>
      <c r="C50" s="16">
        <v>0.75</v>
      </c>
      <c r="D50" s="17" t="s">
        <v>91</v>
      </c>
      <c r="E50" s="17" t="s">
        <v>404</v>
      </c>
      <c r="F50" s="17">
        <v>200.0</v>
      </c>
      <c r="G50" s="17">
        <v>300.0</v>
      </c>
      <c r="H50" s="17" t="s">
        <v>405</v>
      </c>
      <c r="I50" s="17">
        <v>20000.0</v>
      </c>
      <c r="J50" s="17" t="s">
        <v>94</v>
      </c>
      <c r="K50" s="17" t="s">
        <v>134</v>
      </c>
      <c r="L50" s="17">
        <v>20.0</v>
      </c>
      <c r="M50" s="17">
        <v>18.0</v>
      </c>
      <c r="N50" s="17">
        <v>1.0</v>
      </c>
      <c r="O50" s="17" t="s">
        <v>96</v>
      </c>
      <c r="P50" s="17" t="s">
        <v>76</v>
      </c>
      <c r="Q50" s="17" t="s">
        <v>97</v>
      </c>
      <c r="R50" s="17" t="s">
        <v>109</v>
      </c>
      <c r="S50" s="17" t="s">
        <v>344</v>
      </c>
      <c r="U50" s="17" t="s">
        <v>406</v>
      </c>
      <c r="V50" s="17">
        <v>9.032417871E9</v>
      </c>
      <c r="W50" s="17" t="s">
        <v>344</v>
      </c>
      <c r="AA50" s="17" t="s">
        <v>109</v>
      </c>
      <c r="AU50" s="17" t="s">
        <v>76</v>
      </c>
      <c r="AV50" s="17" t="s">
        <v>88</v>
      </c>
      <c r="AW50" s="17" t="s">
        <v>117</v>
      </c>
      <c r="AX50" s="15">
        <v>46063.0</v>
      </c>
      <c r="AY50" s="16">
        <v>0.75</v>
      </c>
      <c r="AZ50" s="17" t="s">
        <v>110</v>
      </c>
      <c r="BA50" s="19"/>
      <c r="BB50" s="19"/>
      <c r="BC50" s="19"/>
      <c r="BD50" s="19"/>
      <c r="BE50" s="19"/>
      <c r="BF50" s="19"/>
      <c r="BG50" s="19"/>
      <c r="BH50" s="19"/>
      <c r="BI50" s="19"/>
      <c r="BJ50" s="19"/>
      <c r="BK50" s="19"/>
      <c r="BL50" s="19"/>
      <c r="BM50" s="19"/>
      <c r="BN50" s="19"/>
      <c r="BO50" s="19"/>
      <c r="BP50" s="19"/>
      <c r="BQ50" s="19"/>
      <c r="BR50" s="7" t="str">
        <f t="shared" si="1"/>
        <v>Mujataba Grills</v>
      </c>
    </row>
    <row r="51" ht="22.5" customHeight="1">
      <c r="A51" s="14">
        <v>46060.64950668981</v>
      </c>
      <c r="B51" s="15">
        <v>46062.0</v>
      </c>
      <c r="C51" s="16">
        <v>0.125</v>
      </c>
      <c r="D51" s="17" t="s">
        <v>111</v>
      </c>
      <c r="T51" s="17" t="s">
        <v>407</v>
      </c>
      <c r="U51" s="17" t="s">
        <v>408</v>
      </c>
      <c r="V51" s="17">
        <v>9.030266975E9</v>
      </c>
      <c r="W51" s="17" t="s">
        <v>388</v>
      </c>
      <c r="AA51" s="17" t="s">
        <v>109</v>
      </c>
      <c r="AU51" s="17" t="s">
        <v>76</v>
      </c>
      <c r="AV51" s="17" t="s">
        <v>373</v>
      </c>
      <c r="AW51" s="17" t="s">
        <v>409</v>
      </c>
      <c r="AX51" s="15">
        <v>46062.0</v>
      </c>
      <c r="AY51" s="16">
        <v>0.125</v>
      </c>
      <c r="AZ51" s="17" t="s">
        <v>151</v>
      </c>
      <c r="BA51" s="19"/>
      <c r="BB51" s="19"/>
      <c r="BC51" s="19"/>
      <c r="BD51" s="19"/>
      <c r="BE51" s="19"/>
      <c r="BF51" s="19"/>
      <c r="BG51" s="19"/>
      <c r="BH51" s="19"/>
      <c r="BI51" s="19"/>
      <c r="BJ51" s="19"/>
      <c r="BK51" s="19"/>
      <c r="BL51" s="19"/>
      <c r="BM51" s="19"/>
      <c r="BN51" s="19"/>
      <c r="BO51" s="19"/>
      <c r="BP51" s="19"/>
      <c r="BQ51" s="19"/>
      <c r="BR51" s="7" t="str">
        <f t="shared" si="1"/>
        <v>Minerva Blue fox hotel </v>
      </c>
    </row>
    <row r="52" ht="22.5" customHeight="1">
      <c r="A52" s="14">
        <v>46060.64980377315</v>
      </c>
      <c r="B52" s="15">
        <v>46062.0</v>
      </c>
      <c r="C52" s="16">
        <v>0.5208333333357587</v>
      </c>
      <c r="D52" s="17" t="s">
        <v>111</v>
      </c>
      <c r="T52" s="17" t="s">
        <v>410</v>
      </c>
      <c r="U52" s="17" t="s">
        <v>411</v>
      </c>
      <c r="V52" s="17" t="s">
        <v>411</v>
      </c>
      <c r="W52" s="17" t="s">
        <v>117</v>
      </c>
      <c r="X52" s="17" t="s">
        <v>117</v>
      </c>
      <c r="Y52" s="17">
        <v>9.95902031E9</v>
      </c>
      <c r="Z52" s="17" t="s">
        <v>117</v>
      </c>
      <c r="AA52" s="17" t="s">
        <v>109</v>
      </c>
      <c r="AU52" s="17" t="s">
        <v>76</v>
      </c>
      <c r="AV52" s="17" t="s">
        <v>271</v>
      </c>
      <c r="AW52" s="17" t="s">
        <v>412</v>
      </c>
      <c r="AX52" s="15">
        <v>46061.0</v>
      </c>
      <c r="AY52" s="16">
        <v>0.5208333333357587</v>
      </c>
      <c r="AZ52" s="17" t="s">
        <v>356</v>
      </c>
      <c r="BA52" s="19"/>
      <c r="BB52" s="19"/>
      <c r="BC52" s="19"/>
      <c r="BD52" s="19"/>
      <c r="BE52" s="19"/>
      <c r="BF52" s="19"/>
      <c r="BG52" s="19"/>
      <c r="BH52" s="19"/>
      <c r="BI52" s="19"/>
      <c r="BJ52" s="19"/>
      <c r="BK52" s="19"/>
      <c r="BL52" s="19"/>
      <c r="BM52" s="19"/>
      <c r="BN52" s="19"/>
      <c r="BO52" s="19"/>
      <c r="BP52" s="19"/>
      <c r="BQ52" s="19"/>
      <c r="BR52" s="7" t="str">
        <f t="shared" si="1"/>
        <v>Rayalasema Ruchulu</v>
      </c>
    </row>
    <row r="53" ht="22.5" customHeight="1">
      <c r="A53" s="14">
        <v>46060.653516516206</v>
      </c>
      <c r="B53" s="15">
        <v>46062.0</v>
      </c>
      <c r="C53" s="16">
        <v>0.04166666666424135</v>
      </c>
      <c r="D53" s="17" t="s">
        <v>111</v>
      </c>
      <c r="T53" s="17" t="s">
        <v>413</v>
      </c>
      <c r="U53" s="17" t="s">
        <v>414</v>
      </c>
      <c r="V53" s="17">
        <v>9.493106693E9</v>
      </c>
      <c r="W53" s="17" t="s">
        <v>388</v>
      </c>
      <c r="AA53" s="17" t="s">
        <v>109</v>
      </c>
      <c r="AU53" s="17" t="s">
        <v>76</v>
      </c>
      <c r="AV53" s="17" t="s">
        <v>114</v>
      </c>
      <c r="AW53" s="17" t="s">
        <v>388</v>
      </c>
      <c r="AX53" s="15">
        <v>46062.0</v>
      </c>
      <c r="AY53" s="16">
        <v>0.5416666666642413</v>
      </c>
      <c r="AZ53" s="17" t="s">
        <v>151</v>
      </c>
      <c r="BA53" s="19"/>
      <c r="BB53" s="19"/>
      <c r="BC53" s="19"/>
      <c r="BD53" s="19"/>
      <c r="BE53" s="19"/>
      <c r="BF53" s="19"/>
      <c r="BG53" s="19"/>
      <c r="BH53" s="19"/>
      <c r="BI53" s="19"/>
      <c r="BJ53" s="19"/>
      <c r="BK53" s="19"/>
      <c r="BL53" s="19"/>
      <c r="BM53" s="19"/>
      <c r="BN53" s="19"/>
      <c r="BO53" s="19"/>
      <c r="BP53" s="19"/>
      <c r="BQ53" s="19"/>
      <c r="BR53" s="7" t="str">
        <f t="shared" si="1"/>
        <v>Ahara Tiffins</v>
      </c>
    </row>
    <row r="54" ht="22.5" customHeight="1">
      <c r="A54" s="14">
        <v>46060.6570962963</v>
      </c>
      <c r="B54" s="15">
        <v>46059.0</v>
      </c>
      <c r="C54" s="16">
        <v>0.6458333333357587</v>
      </c>
      <c r="D54" s="17" t="s">
        <v>91</v>
      </c>
      <c r="E54" s="17" t="s">
        <v>415</v>
      </c>
      <c r="F54" s="17">
        <v>90.0</v>
      </c>
      <c r="G54" s="17">
        <v>120.0</v>
      </c>
      <c r="H54" s="17" t="s">
        <v>416</v>
      </c>
      <c r="I54" s="17">
        <v>30000.0</v>
      </c>
      <c r="J54" s="17" t="s">
        <v>221</v>
      </c>
      <c r="K54" s="17" t="s">
        <v>134</v>
      </c>
      <c r="L54" s="17">
        <v>28.0</v>
      </c>
      <c r="M54" s="17">
        <v>17.0</v>
      </c>
      <c r="N54" s="17">
        <v>1.0</v>
      </c>
      <c r="O54" s="17" t="s">
        <v>135</v>
      </c>
      <c r="P54" s="17" t="s">
        <v>109</v>
      </c>
      <c r="Q54" s="17" t="s">
        <v>97</v>
      </c>
      <c r="R54" s="17" t="s">
        <v>76</v>
      </c>
      <c r="S54" s="18" t="s">
        <v>417</v>
      </c>
      <c r="U54" s="17" t="s">
        <v>418</v>
      </c>
      <c r="V54" s="17">
        <v>9.704204592E9</v>
      </c>
      <c r="W54" s="17" t="s">
        <v>388</v>
      </c>
      <c r="AA54" s="17" t="s">
        <v>109</v>
      </c>
      <c r="AU54" s="17" t="s">
        <v>76</v>
      </c>
      <c r="AV54" s="17" t="s">
        <v>114</v>
      </c>
      <c r="AW54" s="17" t="s">
        <v>388</v>
      </c>
      <c r="AX54" s="15">
        <v>46062.0</v>
      </c>
      <c r="AY54" s="16">
        <v>0.625</v>
      </c>
      <c r="AZ54" s="17" t="s">
        <v>151</v>
      </c>
      <c r="BA54" s="19"/>
      <c r="BB54" s="19"/>
      <c r="BC54" s="19"/>
      <c r="BD54" s="19"/>
      <c r="BE54" s="19"/>
      <c r="BF54" s="19"/>
      <c r="BG54" s="19"/>
      <c r="BH54" s="19"/>
      <c r="BI54" s="19"/>
      <c r="BJ54" s="19"/>
      <c r="BK54" s="19"/>
      <c r="BL54" s="19"/>
      <c r="BM54" s="19"/>
      <c r="BN54" s="19"/>
      <c r="BO54" s="19"/>
      <c r="BP54" s="19"/>
      <c r="BQ54" s="19"/>
      <c r="BR54" s="7" t="str">
        <f t="shared" si="1"/>
        <v>Samastha Tiffins </v>
      </c>
    </row>
    <row r="55" ht="22.5" customHeight="1">
      <c r="A55" s="14">
        <v>46060.66720673611</v>
      </c>
      <c r="B55" s="15">
        <v>46059.0</v>
      </c>
      <c r="C55" s="16">
        <v>0.6458333333357587</v>
      </c>
      <c r="D55" s="17" t="s">
        <v>91</v>
      </c>
      <c r="E55" s="17" t="s">
        <v>419</v>
      </c>
      <c r="F55" s="17">
        <v>90.0</v>
      </c>
      <c r="G55" s="17">
        <v>150.0</v>
      </c>
      <c r="H55" s="17" t="s">
        <v>388</v>
      </c>
      <c r="I55" s="17">
        <v>50000.0</v>
      </c>
      <c r="J55" s="17" t="s">
        <v>221</v>
      </c>
      <c r="K55" s="17" t="s">
        <v>134</v>
      </c>
      <c r="L55" s="17">
        <v>30.0</v>
      </c>
      <c r="M55" s="17">
        <v>17.0</v>
      </c>
      <c r="N55" s="17">
        <v>1.0</v>
      </c>
      <c r="O55" s="17" t="s">
        <v>135</v>
      </c>
      <c r="P55" s="17" t="s">
        <v>109</v>
      </c>
      <c r="Q55" s="17" t="s">
        <v>97</v>
      </c>
      <c r="R55" s="17" t="s">
        <v>76</v>
      </c>
      <c r="S55" s="18" t="s">
        <v>420</v>
      </c>
      <c r="U55" s="17" t="s">
        <v>421</v>
      </c>
      <c r="V55" s="17">
        <v>9.604204592E9</v>
      </c>
      <c r="W55" s="17" t="s">
        <v>388</v>
      </c>
      <c r="AA55" s="17" t="s">
        <v>109</v>
      </c>
      <c r="AU55" s="17" t="s">
        <v>76</v>
      </c>
      <c r="AV55" s="17" t="s">
        <v>114</v>
      </c>
      <c r="AW55" s="17" t="s">
        <v>388</v>
      </c>
      <c r="AX55" s="15">
        <v>46062.0</v>
      </c>
      <c r="AY55" s="16">
        <v>0.6458333333357587</v>
      </c>
      <c r="AZ55" s="17" t="s">
        <v>151</v>
      </c>
      <c r="BA55" s="19"/>
      <c r="BB55" s="19"/>
      <c r="BC55" s="19"/>
      <c r="BD55" s="19"/>
      <c r="BE55" s="19"/>
      <c r="BF55" s="19"/>
      <c r="BG55" s="19"/>
      <c r="BH55" s="19"/>
      <c r="BI55" s="19"/>
      <c r="BJ55" s="19"/>
      <c r="BK55" s="19"/>
      <c r="BL55" s="19"/>
      <c r="BM55" s="19"/>
      <c r="BN55" s="19"/>
      <c r="BO55" s="19"/>
      <c r="BP55" s="19"/>
      <c r="BQ55" s="19"/>
      <c r="BR55" s="7" t="str">
        <f t="shared" si="1"/>
        <v>Mokshi kitchens</v>
      </c>
    </row>
    <row r="56" ht="22.5" customHeight="1">
      <c r="A56" s="14">
        <v>46060.6773778125</v>
      </c>
      <c r="B56" s="15">
        <v>46059.0</v>
      </c>
      <c r="C56" s="16">
        <v>0.6041666666642413</v>
      </c>
      <c r="D56" s="17" t="s">
        <v>91</v>
      </c>
      <c r="E56" s="17" t="s">
        <v>422</v>
      </c>
      <c r="F56" s="17">
        <v>60.0</v>
      </c>
      <c r="G56" s="17">
        <v>160.0</v>
      </c>
      <c r="H56" s="17" t="s">
        <v>423</v>
      </c>
      <c r="I56" s="17">
        <v>40000.0</v>
      </c>
      <c r="J56" s="17" t="s">
        <v>221</v>
      </c>
      <c r="K56" s="17" t="s">
        <v>134</v>
      </c>
      <c r="L56" s="17">
        <v>28.0</v>
      </c>
      <c r="M56" s="17">
        <v>17.0</v>
      </c>
      <c r="N56" s="17">
        <v>1.0</v>
      </c>
      <c r="O56" s="17" t="s">
        <v>135</v>
      </c>
      <c r="P56" s="17" t="s">
        <v>109</v>
      </c>
      <c r="Q56" s="17" t="s">
        <v>97</v>
      </c>
      <c r="R56" s="17" t="s">
        <v>76</v>
      </c>
      <c r="S56" s="18" t="s">
        <v>424</v>
      </c>
      <c r="U56" s="17" t="s">
        <v>425</v>
      </c>
      <c r="V56" s="17">
        <v>8.500703171E9</v>
      </c>
      <c r="W56" s="17" t="s">
        <v>388</v>
      </c>
      <c r="AA56" s="17" t="s">
        <v>109</v>
      </c>
      <c r="AU56" s="17" t="s">
        <v>76</v>
      </c>
      <c r="AV56" s="17" t="s">
        <v>114</v>
      </c>
      <c r="AW56" s="17" t="s">
        <v>388</v>
      </c>
      <c r="AX56" s="15">
        <v>46062.0</v>
      </c>
      <c r="AY56" s="16">
        <v>0.41666666666424135</v>
      </c>
      <c r="AZ56" s="17" t="s">
        <v>151</v>
      </c>
      <c r="BA56" s="19"/>
      <c r="BB56" s="19"/>
      <c r="BC56" s="19"/>
      <c r="BD56" s="19"/>
      <c r="BE56" s="19"/>
      <c r="BF56" s="19"/>
      <c r="BG56" s="19"/>
      <c r="BH56" s="19"/>
      <c r="BI56" s="19"/>
      <c r="BJ56" s="19"/>
      <c r="BK56" s="19"/>
      <c r="BL56" s="19"/>
      <c r="BM56" s="19"/>
      <c r="BN56" s="19"/>
      <c r="BO56" s="19"/>
      <c r="BP56" s="19"/>
      <c r="BQ56" s="19"/>
      <c r="BR56" s="7" t="str">
        <f t="shared" si="1"/>
        <v>Exotic Shawarma</v>
      </c>
    </row>
    <row r="57" ht="22.5" customHeight="1">
      <c r="A57" s="14">
        <v>46060.685529571754</v>
      </c>
      <c r="B57" s="15">
        <v>46059.0</v>
      </c>
      <c r="C57" s="16">
        <v>0.41666666666424135</v>
      </c>
      <c r="D57" s="17" t="s">
        <v>91</v>
      </c>
      <c r="E57" s="17" t="s">
        <v>426</v>
      </c>
      <c r="F57" s="17">
        <v>100.0</v>
      </c>
      <c r="G57" s="17">
        <v>200.0</v>
      </c>
      <c r="H57" s="17" t="s">
        <v>388</v>
      </c>
      <c r="I57" s="17">
        <v>50000.0</v>
      </c>
      <c r="J57" s="17" t="s">
        <v>221</v>
      </c>
      <c r="K57" s="17" t="s">
        <v>134</v>
      </c>
      <c r="L57" s="17">
        <v>28.0</v>
      </c>
      <c r="M57" s="17">
        <v>17.0</v>
      </c>
      <c r="N57" s="17">
        <v>1.0</v>
      </c>
      <c r="O57" s="17" t="s">
        <v>96</v>
      </c>
      <c r="P57" s="17" t="s">
        <v>76</v>
      </c>
      <c r="Q57" s="17" t="s">
        <v>97</v>
      </c>
      <c r="R57" s="17" t="s">
        <v>76</v>
      </c>
      <c r="S57" s="18" t="s">
        <v>424</v>
      </c>
      <c r="U57" s="17" t="s">
        <v>427</v>
      </c>
      <c r="V57" s="17">
        <v>9.032460766E9</v>
      </c>
      <c r="W57" s="17" t="s">
        <v>388</v>
      </c>
      <c r="AA57" s="17" t="s">
        <v>109</v>
      </c>
      <c r="AU57" s="17" t="s">
        <v>76</v>
      </c>
      <c r="AV57" s="17" t="s">
        <v>114</v>
      </c>
      <c r="AW57" s="17" t="s">
        <v>388</v>
      </c>
      <c r="AX57" s="15">
        <v>46062.0</v>
      </c>
      <c r="AY57" s="16">
        <v>0.4375</v>
      </c>
      <c r="AZ57" s="17" t="s">
        <v>151</v>
      </c>
      <c r="BA57" s="19"/>
      <c r="BB57" s="19"/>
      <c r="BC57" s="19"/>
      <c r="BD57" s="19"/>
      <c r="BE57" s="19"/>
      <c r="BF57" s="19"/>
      <c r="BG57" s="19"/>
      <c r="BH57" s="19"/>
      <c r="BI57" s="19"/>
      <c r="BJ57" s="19"/>
      <c r="BK57" s="19"/>
      <c r="BL57" s="19"/>
      <c r="BM57" s="19"/>
      <c r="BN57" s="19"/>
      <c r="BO57" s="19"/>
      <c r="BP57" s="19"/>
      <c r="BQ57" s="19"/>
      <c r="BR57" s="7" t="str">
        <f t="shared" si="1"/>
        <v>Sri Sai Swetha foods</v>
      </c>
    </row>
    <row r="58" ht="22.5" customHeight="1">
      <c r="A58" s="14">
        <v>46061.73199138889</v>
      </c>
      <c r="B58" s="15">
        <v>46055.0</v>
      </c>
      <c r="C58" s="16">
        <v>0.10416666666424135</v>
      </c>
      <c r="D58" s="17" t="s">
        <v>91</v>
      </c>
      <c r="E58" s="17" t="s">
        <v>428</v>
      </c>
      <c r="F58" s="17">
        <v>50.0</v>
      </c>
      <c r="G58" s="17">
        <v>150.0</v>
      </c>
      <c r="H58" s="17" t="s">
        <v>117</v>
      </c>
      <c r="I58" s="17">
        <v>5000.0</v>
      </c>
      <c r="J58" s="17" t="s">
        <v>221</v>
      </c>
      <c r="K58" s="17" t="s">
        <v>118</v>
      </c>
      <c r="L58" s="17">
        <v>22.0</v>
      </c>
      <c r="M58" s="17">
        <v>22.0</v>
      </c>
      <c r="N58" s="17">
        <v>1.0</v>
      </c>
      <c r="O58" s="17" t="s">
        <v>96</v>
      </c>
      <c r="P58" s="17" t="s">
        <v>109</v>
      </c>
      <c r="Q58" s="17" t="s">
        <v>97</v>
      </c>
      <c r="R58" s="17" t="s">
        <v>109</v>
      </c>
      <c r="S58" s="17" t="s">
        <v>117</v>
      </c>
      <c r="U58" s="17" t="s">
        <v>429</v>
      </c>
      <c r="V58" s="17">
        <v>8.121007155E9</v>
      </c>
      <c r="W58" s="17" t="s">
        <v>117</v>
      </c>
      <c r="AA58" s="17" t="s">
        <v>76</v>
      </c>
      <c r="AB58" s="17">
        <v>2.3623028001095E13</v>
      </c>
      <c r="AC58" s="18" t="s">
        <v>430</v>
      </c>
      <c r="AF58" s="17" t="s">
        <v>431</v>
      </c>
      <c r="AG58" s="18" t="s">
        <v>432</v>
      </c>
      <c r="AS58" s="17" t="s">
        <v>76</v>
      </c>
      <c r="AT58" s="17" t="s">
        <v>181</v>
      </c>
      <c r="AU58" s="17" t="s">
        <v>109</v>
      </c>
      <c r="AZ58" s="17" t="s">
        <v>287</v>
      </c>
      <c r="BA58" s="19"/>
      <c r="BB58" s="19"/>
      <c r="BC58" s="19"/>
      <c r="BD58" s="19"/>
      <c r="BE58" s="19"/>
      <c r="BF58" s="19"/>
      <c r="BG58" s="19"/>
      <c r="BH58" s="19"/>
      <c r="BI58" s="19"/>
      <c r="BJ58" s="19"/>
      <c r="BK58" s="19"/>
      <c r="BL58" s="19"/>
      <c r="BM58" s="19"/>
      <c r="BN58" s="19"/>
      <c r="BO58" s="19"/>
      <c r="BP58" s="19"/>
      <c r="BQ58" s="19"/>
      <c r="BR58" s="7" t="str">
        <f t="shared" si="1"/>
        <v>JUS VOUS</v>
      </c>
    </row>
    <row r="59" ht="22.5" customHeight="1">
      <c r="A59" s="14">
        <v>46061.73630201389</v>
      </c>
      <c r="B59" s="15">
        <v>46055.0</v>
      </c>
      <c r="C59" s="16">
        <v>0.6145833333357587</v>
      </c>
      <c r="D59" s="17" t="s">
        <v>91</v>
      </c>
      <c r="E59" s="17" t="s">
        <v>433</v>
      </c>
      <c r="F59" s="17">
        <v>100.0</v>
      </c>
      <c r="G59" s="17">
        <v>200.0</v>
      </c>
      <c r="H59" s="17" t="s">
        <v>117</v>
      </c>
      <c r="I59" s="17">
        <v>7000.0</v>
      </c>
      <c r="J59" s="17" t="s">
        <v>221</v>
      </c>
      <c r="K59" s="17" t="s">
        <v>118</v>
      </c>
      <c r="L59" s="17">
        <v>22.0</v>
      </c>
      <c r="M59" s="17">
        <v>22.0</v>
      </c>
      <c r="N59" s="17">
        <v>1.0</v>
      </c>
      <c r="O59" s="17" t="s">
        <v>96</v>
      </c>
      <c r="P59" s="17" t="s">
        <v>109</v>
      </c>
      <c r="Q59" s="17" t="s">
        <v>97</v>
      </c>
      <c r="R59" s="17" t="s">
        <v>109</v>
      </c>
      <c r="S59" s="17" t="s">
        <v>117</v>
      </c>
      <c r="U59" s="17" t="s">
        <v>434</v>
      </c>
      <c r="V59" s="17">
        <v>8.121007155E9</v>
      </c>
      <c r="W59" s="17" t="s">
        <v>117</v>
      </c>
      <c r="AA59" s="17" t="s">
        <v>76</v>
      </c>
      <c r="AB59" s="17">
        <v>2.3623028000252E13</v>
      </c>
      <c r="AC59" s="18" t="s">
        <v>435</v>
      </c>
      <c r="AF59" s="17" t="s">
        <v>350</v>
      </c>
      <c r="AG59" s="18" t="s">
        <v>436</v>
      </c>
      <c r="AS59" s="17" t="s">
        <v>76</v>
      </c>
      <c r="AT59" s="17" t="s">
        <v>193</v>
      </c>
      <c r="AU59" s="17" t="s">
        <v>109</v>
      </c>
      <c r="AZ59" s="17" t="s">
        <v>287</v>
      </c>
      <c r="BA59" s="19"/>
      <c r="BB59" s="19"/>
      <c r="BC59" s="19"/>
      <c r="BD59" s="19"/>
      <c r="BE59" s="19"/>
      <c r="BF59" s="19"/>
      <c r="BG59" s="19"/>
      <c r="BH59" s="19"/>
      <c r="BI59" s="19"/>
      <c r="BJ59" s="19"/>
      <c r="BK59" s="19"/>
      <c r="BL59" s="19"/>
      <c r="BM59" s="19"/>
      <c r="BN59" s="19"/>
      <c r="BO59" s="19"/>
      <c r="BP59" s="19"/>
      <c r="BQ59" s="19"/>
      <c r="BR59" s="7" t="str">
        <f t="shared" si="1"/>
        <v>BEGUM KI BIRYANI</v>
      </c>
    </row>
    <row r="60" ht="22.5" customHeight="1">
      <c r="A60" s="14">
        <v>46061.78824274306</v>
      </c>
      <c r="B60" s="15">
        <v>46058.0</v>
      </c>
      <c r="C60" s="16">
        <v>0.6736111111094942</v>
      </c>
      <c r="D60" s="17" t="s">
        <v>91</v>
      </c>
      <c r="E60" s="17" t="s">
        <v>437</v>
      </c>
      <c r="F60" s="17">
        <v>60.0</v>
      </c>
      <c r="G60" s="17">
        <v>150.0</v>
      </c>
      <c r="H60" s="17" t="s">
        <v>117</v>
      </c>
      <c r="I60" s="17">
        <v>10000.0</v>
      </c>
      <c r="J60" s="17" t="s">
        <v>221</v>
      </c>
      <c r="K60" s="17" t="s">
        <v>118</v>
      </c>
      <c r="L60" s="17">
        <v>20.0</v>
      </c>
      <c r="M60" s="17">
        <v>20.0</v>
      </c>
      <c r="N60" s="17">
        <v>1.0</v>
      </c>
      <c r="O60" s="17" t="s">
        <v>96</v>
      </c>
      <c r="P60" s="17" t="s">
        <v>109</v>
      </c>
      <c r="Q60" s="17" t="s">
        <v>97</v>
      </c>
      <c r="R60" s="17" t="s">
        <v>109</v>
      </c>
      <c r="S60" s="17" t="s">
        <v>117</v>
      </c>
      <c r="U60" s="17" t="s">
        <v>438</v>
      </c>
      <c r="V60" s="17">
        <v>8.247496273E9</v>
      </c>
      <c r="W60" s="17" t="s">
        <v>117</v>
      </c>
      <c r="AA60" s="17" t="s">
        <v>76</v>
      </c>
      <c r="AB60" s="17">
        <v>2.3625030005083E13</v>
      </c>
      <c r="AC60" s="18" t="s">
        <v>439</v>
      </c>
      <c r="AF60" s="17" t="s">
        <v>440</v>
      </c>
      <c r="AG60" s="18" t="s">
        <v>441</v>
      </c>
      <c r="AS60" s="17" t="s">
        <v>76</v>
      </c>
      <c r="AT60" s="17" t="s">
        <v>193</v>
      </c>
      <c r="AU60" s="17" t="s">
        <v>109</v>
      </c>
      <c r="AZ60" s="17" t="s">
        <v>287</v>
      </c>
      <c r="BA60" s="19"/>
      <c r="BB60" s="19"/>
      <c r="BC60" s="19"/>
      <c r="BD60" s="19"/>
      <c r="BE60" s="19"/>
      <c r="BF60" s="19"/>
      <c r="BG60" s="19"/>
      <c r="BH60" s="19"/>
      <c r="BI60" s="19"/>
      <c r="BJ60" s="19"/>
      <c r="BK60" s="19"/>
      <c r="BL60" s="19"/>
      <c r="BM60" s="19"/>
      <c r="BN60" s="19"/>
      <c r="BO60" s="19"/>
      <c r="BP60" s="19"/>
      <c r="BQ60" s="19"/>
      <c r="BR60" s="7" t="str">
        <f t="shared" si="1"/>
        <v>FOOD 4 U</v>
      </c>
    </row>
    <row r="61" ht="22.5" customHeight="1">
      <c r="A61" s="14">
        <v>46061.79235265046</v>
      </c>
      <c r="B61" s="15">
        <v>46058.0</v>
      </c>
      <c r="C61" s="16">
        <v>0.6736111111094942</v>
      </c>
      <c r="D61" s="17" t="s">
        <v>91</v>
      </c>
      <c r="E61" s="17" t="s">
        <v>442</v>
      </c>
      <c r="F61" s="17">
        <v>80.0</v>
      </c>
      <c r="G61" s="17">
        <v>200.0</v>
      </c>
      <c r="H61" s="17" t="s">
        <v>117</v>
      </c>
      <c r="I61" s="17">
        <v>8000.0</v>
      </c>
      <c r="J61" s="17" t="s">
        <v>221</v>
      </c>
      <c r="K61" s="17" t="s">
        <v>118</v>
      </c>
      <c r="L61" s="17">
        <v>20.0</v>
      </c>
      <c r="M61" s="17">
        <v>20.0</v>
      </c>
      <c r="N61" s="17">
        <v>1.0</v>
      </c>
      <c r="O61" s="17" t="s">
        <v>96</v>
      </c>
      <c r="P61" s="17" t="s">
        <v>109</v>
      </c>
      <c r="Q61" s="17" t="s">
        <v>97</v>
      </c>
      <c r="R61" s="17" t="s">
        <v>109</v>
      </c>
      <c r="S61" s="17" t="s">
        <v>117</v>
      </c>
      <c r="U61" s="17" t="s">
        <v>443</v>
      </c>
      <c r="V61" s="17">
        <v>7.097949648E9</v>
      </c>
      <c r="W61" s="17" t="s">
        <v>444</v>
      </c>
      <c r="AA61" s="17" t="s">
        <v>76</v>
      </c>
      <c r="AB61" s="17">
        <v>2.3625030004696E13</v>
      </c>
      <c r="AC61" s="18" t="s">
        <v>445</v>
      </c>
      <c r="AK61" s="18" t="s">
        <v>446</v>
      </c>
      <c r="AL61" s="17">
        <v>1.57097949648E11</v>
      </c>
      <c r="AM61" s="17" t="s">
        <v>447</v>
      </c>
      <c r="AN61" s="17" t="s">
        <v>448</v>
      </c>
      <c r="AO61" s="17" t="s">
        <v>443</v>
      </c>
      <c r="AP61" s="17">
        <v>7.097949648E9</v>
      </c>
      <c r="AS61" s="17" t="s">
        <v>76</v>
      </c>
      <c r="AT61" s="17" t="s">
        <v>193</v>
      </c>
      <c r="AU61" s="17" t="s">
        <v>109</v>
      </c>
      <c r="AZ61" s="17" t="s">
        <v>287</v>
      </c>
      <c r="BA61" s="19"/>
      <c r="BB61" s="19"/>
      <c r="BC61" s="19"/>
      <c r="BD61" s="19"/>
      <c r="BE61" s="19"/>
      <c r="BF61" s="19"/>
      <c r="BG61" s="19"/>
      <c r="BH61" s="19"/>
      <c r="BI61" s="19"/>
      <c r="BJ61" s="19"/>
      <c r="BK61" s="19"/>
      <c r="BL61" s="19"/>
      <c r="BM61" s="19"/>
      <c r="BN61" s="19"/>
      <c r="BO61" s="19"/>
      <c r="BP61" s="19"/>
      <c r="BQ61" s="19"/>
      <c r="BR61" s="7" t="str">
        <f t="shared" si="1"/>
        <v>TAHARI HOUSE</v>
      </c>
    </row>
    <row r="62" ht="22.5" customHeight="1">
      <c r="A62" s="14">
        <v>46061.79452326389</v>
      </c>
      <c r="B62" s="15">
        <v>46058.0</v>
      </c>
      <c r="C62" s="16">
        <v>0.6736111111094942</v>
      </c>
      <c r="D62" s="17" t="s">
        <v>91</v>
      </c>
      <c r="E62" s="17" t="s">
        <v>449</v>
      </c>
      <c r="F62" s="17">
        <v>100.0</v>
      </c>
      <c r="G62" s="17">
        <v>200.0</v>
      </c>
      <c r="H62" s="17" t="s">
        <v>117</v>
      </c>
      <c r="I62" s="17">
        <v>10000.0</v>
      </c>
      <c r="J62" s="17" t="s">
        <v>221</v>
      </c>
      <c r="K62" s="17" t="s">
        <v>118</v>
      </c>
      <c r="L62" s="17">
        <v>20.0</v>
      </c>
      <c r="M62" s="17">
        <v>20.0</v>
      </c>
      <c r="N62" s="17">
        <v>1.0</v>
      </c>
      <c r="O62" s="17" t="s">
        <v>96</v>
      </c>
      <c r="P62" s="17" t="s">
        <v>109</v>
      </c>
      <c r="Q62" s="17" t="s">
        <v>97</v>
      </c>
      <c r="R62" s="17" t="s">
        <v>109</v>
      </c>
      <c r="S62" s="17" t="s">
        <v>117</v>
      </c>
      <c r="U62" s="17" t="s">
        <v>443</v>
      </c>
      <c r="V62" s="17">
        <v>7.097949648E9</v>
      </c>
      <c r="W62" s="17" t="s">
        <v>117</v>
      </c>
      <c r="AA62" s="17" t="s">
        <v>76</v>
      </c>
      <c r="AB62" s="17">
        <v>1.3624011000338E13</v>
      </c>
      <c r="AC62" s="18" t="s">
        <v>450</v>
      </c>
      <c r="AS62" s="17" t="s">
        <v>76</v>
      </c>
      <c r="AT62" s="17" t="s">
        <v>193</v>
      </c>
      <c r="AU62" s="17" t="s">
        <v>109</v>
      </c>
      <c r="AZ62" s="17" t="s">
        <v>287</v>
      </c>
      <c r="BA62" s="19"/>
      <c r="BB62" s="19"/>
      <c r="BC62" s="19"/>
      <c r="BD62" s="19"/>
      <c r="BE62" s="19"/>
      <c r="BF62" s="19"/>
      <c r="BG62" s="19"/>
      <c r="BH62" s="19"/>
      <c r="BI62" s="19"/>
      <c r="BJ62" s="19"/>
      <c r="BK62" s="19"/>
      <c r="BL62" s="19"/>
      <c r="BM62" s="19"/>
      <c r="BN62" s="19"/>
      <c r="BO62" s="19"/>
      <c r="BP62" s="19"/>
      <c r="BQ62" s="19"/>
      <c r="BR62" s="7" t="str">
        <f t="shared" si="1"/>
        <v>RAHAT RESTURANT</v>
      </c>
    </row>
    <row r="63" ht="22.5" customHeight="1">
      <c r="A63" s="14">
        <v>46061.93363025463</v>
      </c>
      <c r="B63" s="15">
        <v>46058.0</v>
      </c>
      <c r="C63" s="16">
        <v>0.7916666666642413</v>
      </c>
      <c r="D63" s="17" t="s">
        <v>91</v>
      </c>
      <c r="E63" s="17" t="s">
        <v>451</v>
      </c>
      <c r="F63" s="17">
        <v>50.0</v>
      </c>
      <c r="G63" s="17">
        <v>250.0</v>
      </c>
      <c r="H63" s="17" t="s">
        <v>452</v>
      </c>
      <c r="J63" s="17" t="s">
        <v>94</v>
      </c>
      <c r="K63" s="17" t="s">
        <v>95</v>
      </c>
      <c r="N63" s="17">
        <v>1.0</v>
      </c>
      <c r="O63" s="17" t="s">
        <v>96</v>
      </c>
      <c r="P63" s="17" t="s">
        <v>76</v>
      </c>
      <c r="Q63" s="17" t="s">
        <v>97</v>
      </c>
      <c r="R63" s="17" t="s">
        <v>109</v>
      </c>
      <c r="S63" s="18" t="s">
        <v>453</v>
      </c>
      <c r="U63" s="17" t="s">
        <v>454</v>
      </c>
      <c r="V63" s="17" t="s">
        <v>455</v>
      </c>
      <c r="W63" s="17" t="s">
        <v>388</v>
      </c>
      <c r="AA63" s="17" t="s">
        <v>76</v>
      </c>
      <c r="AS63" s="17" t="s">
        <v>456</v>
      </c>
      <c r="AT63" s="17" t="s">
        <v>457</v>
      </c>
      <c r="AZ63" s="17" t="s">
        <v>115</v>
      </c>
      <c r="BA63" s="17" t="s">
        <v>458</v>
      </c>
      <c r="BB63" s="17" t="s">
        <v>76</v>
      </c>
      <c r="BR63" s="7" t="str">
        <f t="shared" si="1"/>
        <v>Bhavani mess</v>
      </c>
    </row>
    <row r="64" ht="22.5" customHeight="1">
      <c r="A64" s="14">
        <v>46061.93741400463</v>
      </c>
      <c r="B64" s="15">
        <v>46058.0</v>
      </c>
      <c r="C64" s="16">
        <v>0.625</v>
      </c>
      <c r="D64" s="17" t="s">
        <v>91</v>
      </c>
      <c r="E64" s="17" t="s">
        <v>459</v>
      </c>
      <c r="F64" s="17">
        <v>30.0</v>
      </c>
      <c r="G64" s="17">
        <v>100.0</v>
      </c>
      <c r="H64" s="17" t="s">
        <v>117</v>
      </c>
      <c r="J64" s="17" t="s">
        <v>460</v>
      </c>
      <c r="N64" s="17">
        <v>1.0</v>
      </c>
      <c r="O64" s="17" t="s">
        <v>96</v>
      </c>
      <c r="P64" s="17" t="s">
        <v>109</v>
      </c>
      <c r="Q64" s="17" t="s">
        <v>98</v>
      </c>
      <c r="R64" s="17" t="s">
        <v>98</v>
      </c>
      <c r="S64" s="18" t="s">
        <v>461</v>
      </c>
      <c r="U64" s="17" t="s">
        <v>462</v>
      </c>
      <c r="V64" s="17" t="s">
        <v>463</v>
      </c>
      <c r="W64" s="17" t="s">
        <v>117</v>
      </c>
      <c r="AA64" s="17" t="s">
        <v>76</v>
      </c>
      <c r="AS64" s="17" t="s">
        <v>109</v>
      </c>
      <c r="AU64" s="17" t="s">
        <v>76</v>
      </c>
      <c r="AV64" s="17" t="s">
        <v>114</v>
      </c>
      <c r="AX64" s="15">
        <v>46062.0</v>
      </c>
      <c r="AY64" s="16">
        <v>0.6041666666642413</v>
      </c>
      <c r="AZ64" s="17" t="s">
        <v>115</v>
      </c>
      <c r="BA64" s="17" t="s">
        <v>458</v>
      </c>
      <c r="BB64" s="17" t="s">
        <v>76</v>
      </c>
      <c r="BR64" s="7" t="str">
        <f t="shared" si="1"/>
        <v>Kausar cafe,Al nabi cafe</v>
      </c>
    </row>
    <row r="65" ht="22.5" customHeight="1">
      <c r="A65" s="14">
        <v>46062.001652997686</v>
      </c>
      <c r="B65" s="15">
        <v>46059.0</v>
      </c>
      <c r="C65" s="16">
        <v>0.75</v>
      </c>
      <c r="D65" s="17" t="s">
        <v>91</v>
      </c>
      <c r="E65" s="17" t="s">
        <v>464</v>
      </c>
      <c r="F65" s="17">
        <v>50.0</v>
      </c>
      <c r="G65" s="17">
        <v>250.0</v>
      </c>
      <c r="H65" s="17" t="s">
        <v>184</v>
      </c>
      <c r="J65" s="17" t="s">
        <v>94</v>
      </c>
      <c r="K65" s="17" t="s">
        <v>118</v>
      </c>
      <c r="L65" s="17">
        <v>19.0</v>
      </c>
      <c r="M65" s="17">
        <v>22.0</v>
      </c>
      <c r="N65" s="17">
        <v>1.0</v>
      </c>
      <c r="O65" s="17" t="s">
        <v>96</v>
      </c>
      <c r="P65" s="17" t="s">
        <v>109</v>
      </c>
      <c r="Q65" s="17" t="s">
        <v>97</v>
      </c>
      <c r="R65" s="17" t="s">
        <v>109</v>
      </c>
      <c r="S65" s="18" t="s">
        <v>230</v>
      </c>
      <c r="U65" s="17" t="s">
        <v>465</v>
      </c>
      <c r="V65" s="17">
        <v>7.893713995E9</v>
      </c>
      <c r="W65" s="17" t="s">
        <v>117</v>
      </c>
      <c r="AA65" s="17" t="s">
        <v>76</v>
      </c>
      <c r="AB65" s="17">
        <v>2.362503200008E13</v>
      </c>
      <c r="AC65" s="18" t="s">
        <v>466</v>
      </c>
      <c r="AF65" s="17" t="s">
        <v>467</v>
      </c>
      <c r="AG65" s="18" t="s">
        <v>468</v>
      </c>
      <c r="AO65" s="17" t="s">
        <v>469</v>
      </c>
      <c r="AP65" s="17">
        <v>7.893713995E9</v>
      </c>
      <c r="AR65" s="17" t="s">
        <v>470</v>
      </c>
      <c r="AS65" s="17" t="s">
        <v>76</v>
      </c>
      <c r="AU65" s="17" t="s">
        <v>76</v>
      </c>
      <c r="AV65" s="17" t="s">
        <v>88</v>
      </c>
      <c r="AX65" s="15">
        <v>46062.0</v>
      </c>
      <c r="AY65" s="16">
        <v>0.625</v>
      </c>
      <c r="AZ65" s="17" t="s">
        <v>164</v>
      </c>
      <c r="BA65" s="17" t="s">
        <v>458</v>
      </c>
      <c r="BB65" s="17" t="s">
        <v>76</v>
      </c>
      <c r="BH65" s="17">
        <v>22.0</v>
      </c>
      <c r="BJ65" s="16">
        <v>0.45833333333575865</v>
      </c>
      <c r="BK65" s="16">
        <v>0.0</v>
      </c>
      <c r="BL65" s="17">
        <v>60.0</v>
      </c>
      <c r="BM65" s="19"/>
      <c r="BN65" s="19"/>
      <c r="BO65" s="19"/>
      <c r="BP65" s="19"/>
      <c r="BQ65" s="19"/>
      <c r="BR65" s="7" t="str">
        <f t="shared" si="1"/>
        <v>Madhapuram food court </v>
      </c>
    </row>
    <row r="66" ht="22.5" customHeight="1">
      <c r="A66" s="14">
        <v>46062.00297452546</v>
      </c>
      <c r="B66" s="15">
        <v>46059.0</v>
      </c>
      <c r="C66" s="16">
        <v>0.7916666666642413</v>
      </c>
      <c r="U66" s="17" t="s">
        <v>471</v>
      </c>
      <c r="V66" s="17">
        <v>9.856666589E9</v>
      </c>
      <c r="W66" s="17" t="s">
        <v>117</v>
      </c>
      <c r="AA66" s="17" t="s">
        <v>109</v>
      </c>
      <c r="AU66" s="17" t="s">
        <v>76</v>
      </c>
      <c r="AV66" s="17" t="s">
        <v>271</v>
      </c>
      <c r="AX66" s="15">
        <v>46062.0</v>
      </c>
      <c r="AY66" s="16">
        <v>0.5833333333357587</v>
      </c>
      <c r="AZ66" s="17" t="s">
        <v>164</v>
      </c>
      <c r="BA66" s="17" t="s">
        <v>458</v>
      </c>
      <c r="BB66" s="17" t="s">
        <v>109</v>
      </c>
      <c r="BR66" s="7" t="str">
        <f t="shared" si="1"/>
        <v/>
      </c>
    </row>
    <row r="67" ht="22.5" customHeight="1">
      <c r="A67" s="14">
        <v>46062.003909120365</v>
      </c>
      <c r="B67" s="15">
        <v>46059.0</v>
      </c>
      <c r="C67" s="16">
        <v>0.75</v>
      </c>
      <c r="U67" s="17" t="s">
        <v>231</v>
      </c>
      <c r="V67" s="17">
        <v>7.702070233E9</v>
      </c>
      <c r="W67" s="17" t="s">
        <v>117</v>
      </c>
      <c r="AA67" s="17" t="s">
        <v>109</v>
      </c>
      <c r="AU67" s="17" t="s">
        <v>76</v>
      </c>
      <c r="AV67" s="17" t="s">
        <v>472</v>
      </c>
      <c r="AX67" s="15">
        <v>46062.0</v>
      </c>
      <c r="AY67" s="16">
        <v>0.5416666666642413</v>
      </c>
      <c r="AZ67" s="17" t="s">
        <v>164</v>
      </c>
      <c r="BA67" s="17" t="s">
        <v>458</v>
      </c>
      <c r="BB67" s="17" t="s">
        <v>109</v>
      </c>
      <c r="BR67" s="7" t="str">
        <f t="shared" si="1"/>
        <v/>
      </c>
    </row>
    <row r="68" ht="22.5" customHeight="1">
      <c r="A68" s="14">
        <v>46062.005572372684</v>
      </c>
      <c r="B68" s="15">
        <v>46059.0</v>
      </c>
      <c r="C68" s="16">
        <v>0.75</v>
      </c>
      <c r="D68" s="17" t="s">
        <v>111</v>
      </c>
      <c r="T68" s="17" t="s">
        <v>473</v>
      </c>
      <c r="U68" s="17" t="s">
        <v>474</v>
      </c>
      <c r="V68" s="17">
        <v>6.281845369E9</v>
      </c>
      <c r="W68" s="17" t="s">
        <v>117</v>
      </c>
      <c r="AA68" s="17" t="s">
        <v>109</v>
      </c>
      <c r="AU68" s="17" t="s">
        <v>76</v>
      </c>
      <c r="AV68" s="17" t="s">
        <v>373</v>
      </c>
      <c r="AX68" s="15">
        <v>46062.0</v>
      </c>
      <c r="AY68" s="16">
        <v>0.5833333333357587</v>
      </c>
      <c r="AZ68" s="17" t="s">
        <v>164</v>
      </c>
      <c r="BA68" s="17" t="s">
        <v>458</v>
      </c>
      <c r="BB68" s="17" t="s">
        <v>76</v>
      </c>
      <c r="BR68" s="7" t="str">
        <f t="shared" si="1"/>
        <v>godavari  restaurant </v>
      </c>
    </row>
    <row r="69" ht="22.5" customHeight="1">
      <c r="A69" s="14">
        <v>46062.006628055555</v>
      </c>
      <c r="B69" s="15">
        <v>46059.0</v>
      </c>
      <c r="C69" s="16">
        <v>0.75</v>
      </c>
      <c r="U69" s="17" t="s">
        <v>475</v>
      </c>
      <c r="V69" s="17">
        <v>9.346811687E9</v>
      </c>
      <c r="W69" s="17" t="s">
        <v>117</v>
      </c>
      <c r="AA69" s="17" t="s">
        <v>109</v>
      </c>
      <c r="AU69" s="17" t="s">
        <v>76</v>
      </c>
      <c r="AV69" s="17" t="s">
        <v>271</v>
      </c>
      <c r="AX69" s="15">
        <v>46062.0</v>
      </c>
      <c r="AY69" s="16">
        <v>0.5833333333357587</v>
      </c>
      <c r="AZ69" s="17" t="s">
        <v>164</v>
      </c>
      <c r="BA69" s="17" t="s">
        <v>458</v>
      </c>
      <c r="BB69" s="17" t="s">
        <v>109</v>
      </c>
      <c r="BR69" s="7" t="str">
        <f t="shared" si="1"/>
        <v/>
      </c>
    </row>
    <row r="70" ht="22.5" customHeight="1">
      <c r="A70" s="14">
        <v>46062.01547748843</v>
      </c>
      <c r="B70" s="15">
        <v>46059.0</v>
      </c>
      <c r="C70" s="16">
        <v>0.75</v>
      </c>
      <c r="D70" s="17" t="s">
        <v>91</v>
      </c>
      <c r="E70" s="17" t="s">
        <v>476</v>
      </c>
      <c r="F70" s="17">
        <v>50.0</v>
      </c>
      <c r="G70" s="17">
        <v>300.0</v>
      </c>
      <c r="H70" s="17" t="s">
        <v>184</v>
      </c>
      <c r="I70" s="17">
        <v>18000.0</v>
      </c>
      <c r="J70" s="17" t="s">
        <v>94</v>
      </c>
      <c r="K70" s="17" t="s">
        <v>134</v>
      </c>
      <c r="L70" s="17">
        <v>19.0</v>
      </c>
      <c r="M70" s="17">
        <v>22.0</v>
      </c>
      <c r="N70" s="17">
        <v>1.0</v>
      </c>
      <c r="O70" s="17" t="s">
        <v>135</v>
      </c>
      <c r="P70" s="17" t="s">
        <v>76</v>
      </c>
      <c r="Q70" s="17" t="s">
        <v>97</v>
      </c>
      <c r="R70" s="17" t="s">
        <v>76</v>
      </c>
      <c r="S70" s="18" t="s">
        <v>477</v>
      </c>
      <c r="U70" s="17" t="s">
        <v>478</v>
      </c>
      <c r="V70" s="17">
        <v>7.093742666E9</v>
      </c>
      <c r="W70" s="17" t="s">
        <v>479</v>
      </c>
      <c r="AA70" s="17" t="s">
        <v>76</v>
      </c>
      <c r="AB70" s="17">
        <v>2.3625032007575E13</v>
      </c>
      <c r="AC70" s="18" t="s">
        <v>480</v>
      </c>
      <c r="AF70" s="17" t="s">
        <v>481</v>
      </c>
      <c r="AG70" s="18" t="s">
        <v>482</v>
      </c>
      <c r="AK70" s="18" t="s">
        <v>483</v>
      </c>
      <c r="AL70" s="20" t="s">
        <v>484</v>
      </c>
      <c r="AM70" s="17" t="s">
        <v>485</v>
      </c>
      <c r="AN70" s="17" t="s">
        <v>486</v>
      </c>
      <c r="AO70" s="17" t="s">
        <v>478</v>
      </c>
      <c r="AP70" s="17">
        <v>7.093742666E9</v>
      </c>
      <c r="AQ70" s="17" t="s">
        <v>479</v>
      </c>
      <c r="AR70" s="17" t="s">
        <v>486</v>
      </c>
      <c r="AS70" s="17" t="s">
        <v>76</v>
      </c>
      <c r="AT70" s="17" t="s">
        <v>193</v>
      </c>
      <c r="AU70" s="17" t="s">
        <v>109</v>
      </c>
      <c r="AZ70" s="17" t="s">
        <v>164</v>
      </c>
      <c r="BA70" s="17" t="s">
        <v>458</v>
      </c>
      <c r="BB70" s="17" t="s">
        <v>76</v>
      </c>
      <c r="BH70" s="17">
        <v>22.0</v>
      </c>
      <c r="BI70" s="17" t="s">
        <v>109</v>
      </c>
      <c r="BJ70" s="16">
        <v>0.45833333333575865</v>
      </c>
      <c r="BK70" s="16">
        <v>0.0</v>
      </c>
      <c r="BL70" s="17">
        <v>60.0</v>
      </c>
      <c r="BM70" s="19"/>
      <c r="BN70" s="19"/>
      <c r="BO70" s="19"/>
      <c r="BP70" s="19"/>
      <c r="BQ70" s="19"/>
      <c r="BR70" s="7" t="str">
        <f t="shared" si="1"/>
        <v>anand bhavan mess </v>
      </c>
    </row>
    <row r="71" ht="22.5" customHeight="1">
      <c r="A71" s="14">
        <v>46062.01659261574</v>
      </c>
      <c r="B71" s="15">
        <v>46059.0</v>
      </c>
      <c r="C71" s="16">
        <v>0.75</v>
      </c>
      <c r="U71" s="17" t="s">
        <v>487</v>
      </c>
      <c r="V71" s="17">
        <v>9.966644448E9</v>
      </c>
      <c r="W71" s="17" t="s">
        <v>117</v>
      </c>
      <c r="AA71" s="17" t="s">
        <v>109</v>
      </c>
      <c r="AU71" s="17" t="s">
        <v>76</v>
      </c>
      <c r="AV71" s="17" t="s">
        <v>472</v>
      </c>
      <c r="AX71" s="15">
        <v>46062.0</v>
      </c>
      <c r="AY71" s="16">
        <v>0.5416666666642413</v>
      </c>
      <c r="AZ71" s="17" t="s">
        <v>164</v>
      </c>
      <c r="BA71" s="17" t="s">
        <v>458</v>
      </c>
      <c r="BB71" s="17" t="s">
        <v>109</v>
      </c>
      <c r="BR71" s="7" t="str">
        <f t="shared" si="1"/>
        <v/>
      </c>
    </row>
    <row r="72" ht="22.5" customHeight="1">
      <c r="A72" s="14">
        <v>46062.01751155093</v>
      </c>
      <c r="B72" s="15">
        <v>46059.0</v>
      </c>
      <c r="C72" s="16">
        <v>0.75</v>
      </c>
      <c r="U72" s="17" t="s">
        <v>488</v>
      </c>
      <c r="V72" s="17" t="s">
        <v>117</v>
      </c>
      <c r="W72" s="17" t="s">
        <v>117</v>
      </c>
      <c r="AA72" s="17" t="s">
        <v>109</v>
      </c>
      <c r="AU72" s="17" t="s">
        <v>76</v>
      </c>
      <c r="AV72" s="17" t="s">
        <v>472</v>
      </c>
      <c r="AX72" s="15">
        <v>46062.0</v>
      </c>
      <c r="AY72" s="16">
        <v>0.5625</v>
      </c>
      <c r="AZ72" s="17" t="s">
        <v>164</v>
      </c>
      <c r="BA72" s="17" t="s">
        <v>458</v>
      </c>
      <c r="BB72" s="17" t="s">
        <v>109</v>
      </c>
      <c r="BR72" s="7" t="str">
        <f t="shared" si="1"/>
        <v/>
      </c>
    </row>
    <row r="73" ht="22.5" customHeight="1">
      <c r="A73" s="14">
        <v>46062.01976762732</v>
      </c>
      <c r="B73" s="15">
        <v>46059.0</v>
      </c>
      <c r="C73" s="16">
        <v>0.75</v>
      </c>
      <c r="D73" s="17" t="s">
        <v>111</v>
      </c>
      <c r="T73" s="17" t="s">
        <v>489</v>
      </c>
      <c r="U73" s="17" t="s">
        <v>490</v>
      </c>
      <c r="V73" s="17">
        <v>9.849108337E9</v>
      </c>
      <c r="W73" s="17" t="s">
        <v>117</v>
      </c>
      <c r="AA73" s="17" t="s">
        <v>109</v>
      </c>
      <c r="AU73" s="17" t="s">
        <v>76</v>
      </c>
      <c r="AV73" s="17" t="s">
        <v>114</v>
      </c>
      <c r="AX73" s="15">
        <v>46062.0</v>
      </c>
      <c r="AY73" s="16">
        <v>0.625</v>
      </c>
      <c r="AZ73" s="17" t="s">
        <v>164</v>
      </c>
      <c r="BA73" s="17" t="s">
        <v>491</v>
      </c>
      <c r="BR73" s="7" t="str">
        <f t="shared" si="1"/>
        <v>UCKY RESTAURANT</v>
      </c>
    </row>
    <row r="74" ht="22.5" customHeight="1">
      <c r="A74" s="14">
        <v>46062.38389444444</v>
      </c>
      <c r="B74" s="15">
        <v>46059.0</v>
      </c>
      <c r="C74" s="16">
        <v>0.6666666666642413</v>
      </c>
      <c r="D74" s="17" t="s">
        <v>91</v>
      </c>
      <c r="E74" s="17" t="s">
        <v>492</v>
      </c>
      <c r="F74" s="17">
        <v>10.0</v>
      </c>
      <c r="G74" s="17">
        <v>200.0</v>
      </c>
      <c r="H74" s="17" t="s">
        <v>493</v>
      </c>
      <c r="I74" s="17">
        <v>1000.0</v>
      </c>
      <c r="J74" s="17" t="s">
        <v>221</v>
      </c>
      <c r="K74" s="17" t="s">
        <v>273</v>
      </c>
      <c r="L74" s="17">
        <v>22.0</v>
      </c>
      <c r="M74" s="17">
        <v>22.0</v>
      </c>
      <c r="N74" s="17">
        <v>1.0</v>
      </c>
      <c r="O74" s="17" t="s">
        <v>96</v>
      </c>
      <c r="P74" s="17" t="s">
        <v>76</v>
      </c>
      <c r="Q74" s="17" t="s">
        <v>97</v>
      </c>
      <c r="R74" s="17" t="s">
        <v>76</v>
      </c>
      <c r="S74" s="17" t="s">
        <v>119</v>
      </c>
      <c r="U74" s="17" t="s">
        <v>494</v>
      </c>
      <c r="V74" s="17">
        <v>9.963967706E9</v>
      </c>
      <c r="W74" s="17" t="s">
        <v>495</v>
      </c>
      <c r="AA74" s="17" t="s">
        <v>76</v>
      </c>
      <c r="AB74" s="17">
        <v>2.3625032006375E13</v>
      </c>
      <c r="AC74" s="18" t="s">
        <v>496</v>
      </c>
      <c r="AD74" s="17" t="s">
        <v>497</v>
      </c>
      <c r="AE74" s="18" t="s">
        <v>498</v>
      </c>
      <c r="AF74" s="17" t="s">
        <v>499</v>
      </c>
      <c r="AG74" s="18" t="s">
        <v>500</v>
      </c>
      <c r="AK74" s="18" t="s">
        <v>501</v>
      </c>
      <c r="AL74" s="17">
        <v>1.850667931E9</v>
      </c>
      <c r="AM74" s="17" t="s">
        <v>502</v>
      </c>
      <c r="AN74" s="17" t="s">
        <v>503</v>
      </c>
      <c r="AO74" s="17" t="s">
        <v>504</v>
      </c>
      <c r="AP74" s="17">
        <v>9.963967706E9</v>
      </c>
      <c r="AQ74" s="17" t="s">
        <v>505</v>
      </c>
      <c r="AR74" s="17" t="s">
        <v>506</v>
      </c>
      <c r="AS74" s="17" t="s">
        <v>76</v>
      </c>
      <c r="AT74" s="17" t="s">
        <v>507</v>
      </c>
      <c r="AU74" s="17" t="s">
        <v>109</v>
      </c>
      <c r="AX74" s="15">
        <v>46059.0</v>
      </c>
      <c r="AY74" s="16">
        <v>0.6666666666642413</v>
      </c>
      <c r="AZ74" s="17" t="s">
        <v>131</v>
      </c>
      <c r="BA74" s="17" t="s">
        <v>458</v>
      </c>
      <c r="BB74" s="17" t="s">
        <v>76</v>
      </c>
      <c r="BJ74" s="16">
        <v>0.41666666666424135</v>
      </c>
      <c r="BK74" s="16">
        <v>0.9166666666642413</v>
      </c>
      <c r="BL74" s="17">
        <v>40.0</v>
      </c>
      <c r="BM74" s="19"/>
      <c r="BN74" s="19"/>
      <c r="BO74" s="19"/>
      <c r="BP74" s="19"/>
      <c r="BQ74" s="19"/>
      <c r="BR74" s="7" t="str">
        <f t="shared" si="1"/>
        <v>The smash city</v>
      </c>
    </row>
    <row r="75" ht="22.5" customHeight="1">
      <c r="A75" s="14">
        <v>46062.388201759255</v>
      </c>
      <c r="B75" s="15">
        <v>46062.0</v>
      </c>
      <c r="C75" s="16">
        <v>0.5</v>
      </c>
      <c r="D75" s="17" t="s">
        <v>91</v>
      </c>
      <c r="E75" s="17" t="s">
        <v>508</v>
      </c>
      <c r="F75" s="17">
        <v>50.0</v>
      </c>
      <c r="G75" s="17">
        <v>100.0</v>
      </c>
      <c r="H75" s="17" t="s">
        <v>509</v>
      </c>
      <c r="I75" s="17">
        <v>30000.0</v>
      </c>
      <c r="J75" s="17" t="s">
        <v>221</v>
      </c>
      <c r="K75" s="17" t="s">
        <v>134</v>
      </c>
      <c r="N75" s="17">
        <v>3.0</v>
      </c>
      <c r="O75" s="17" t="s">
        <v>135</v>
      </c>
      <c r="P75" s="17" t="s">
        <v>76</v>
      </c>
      <c r="Q75" s="17" t="s">
        <v>97</v>
      </c>
      <c r="R75" s="17" t="s">
        <v>76</v>
      </c>
      <c r="S75" s="18" t="s">
        <v>510</v>
      </c>
      <c r="U75" s="17" t="s">
        <v>511</v>
      </c>
      <c r="V75" s="17">
        <v>8.977709421E9</v>
      </c>
      <c r="W75" s="17" t="s">
        <v>388</v>
      </c>
      <c r="AA75" s="17" t="s">
        <v>109</v>
      </c>
      <c r="AU75" s="17" t="s">
        <v>76</v>
      </c>
      <c r="AV75" s="17" t="s">
        <v>114</v>
      </c>
      <c r="AW75" s="17" t="s">
        <v>388</v>
      </c>
      <c r="AX75" s="15">
        <v>46062.0</v>
      </c>
      <c r="AY75" s="16">
        <v>0.5</v>
      </c>
      <c r="AZ75" s="17" t="s">
        <v>151</v>
      </c>
      <c r="BA75" s="17" t="s">
        <v>491</v>
      </c>
      <c r="BL75" s="17" t="s">
        <v>512</v>
      </c>
      <c r="BM75" s="19"/>
      <c r="BN75" s="19"/>
      <c r="BO75" s="19"/>
      <c r="BP75" s="19"/>
      <c r="BQ75" s="19"/>
      <c r="BR75" s="7" t="str">
        <f t="shared" si="1"/>
        <v>Gold sparrow millets </v>
      </c>
    </row>
    <row r="76" ht="22.5" customHeight="1">
      <c r="A76" s="14">
        <v>46062.393271458335</v>
      </c>
      <c r="B76" s="15">
        <v>46059.0</v>
      </c>
      <c r="C76" s="16">
        <v>0.7083333333357587</v>
      </c>
      <c r="D76" s="17" t="s">
        <v>91</v>
      </c>
      <c r="E76" s="17" t="s">
        <v>513</v>
      </c>
      <c r="F76" s="17">
        <v>40.0</v>
      </c>
      <c r="G76" s="17">
        <v>250.0</v>
      </c>
      <c r="H76" s="17" t="s">
        <v>514</v>
      </c>
      <c r="I76" s="17">
        <v>10000.0</v>
      </c>
      <c r="J76" s="17" t="s">
        <v>221</v>
      </c>
      <c r="K76" s="17" t="s">
        <v>515</v>
      </c>
      <c r="L76" s="17">
        <v>22.0</v>
      </c>
      <c r="M76" s="17">
        <v>22.0</v>
      </c>
      <c r="N76" s="17">
        <v>1.0</v>
      </c>
      <c r="O76" s="17" t="s">
        <v>96</v>
      </c>
      <c r="P76" s="17" t="s">
        <v>76</v>
      </c>
      <c r="Q76" s="17" t="s">
        <v>97</v>
      </c>
      <c r="R76" s="17" t="s">
        <v>98</v>
      </c>
      <c r="S76" s="17" t="s">
        <v>153</v>
      </c>
      <c r="U76" s="17" t="s">
        <v>516</v>
      </c>
      <c r="V76" s="17">
        <v>8.333833299E9</v>
      </c>
      <c r="W76" s="17" t="s">
        <v>517</v>
      </c>
      <c r="AA76" s="17" t="s">
        <v>76</v>
      </c>
      <c r="AB76" s="17">
        <v>1.3626013000059E13</v>
      </c>
      <c r="AC76" s="18" t="s">
        <v>518</v>
      </c>
      <c r="AD76" s="17" t="s">
        <v>519</v>
      </c>
      <c r="AE76" s="18" t="s">
        <v>520</v>
      </c>
      <c r="AF76" s="17" t="s">
        <v>521</v>
      </c>
      <c r="AG76" s="18" t="s">
        <v>522</v>
      </c>
      <c r="AJ76" s="18" t="s">
        <v>523</v>
      </c>
      <c r="AK76" s="18" t="s">
        <v>524</v>
      </c>
      <c r="AL76" s="20" t="s">
        <v>525</v>
      </c>
      <c r="AM76" s="17" t="s">
        <v>526</v>
      </c>
      <c r="AN76" s="17" t="s">
        <v>527</v>
      </c>
      <c r="AO76" s="17" t="s">
        <v>516</v>
      </c>
      <c r="AP76" s="17">
        <v>8.333833299E9</v>
      </c>
      <c r="AQ76" s="17" t="s">
        <v>517</v>
      </c>
      <c r="AR76" s="17" t="s">
        <v>528</v>
      </c>
      <c r="AS76" s="17" t="s">
        <v>76</v>
      </c>
      <c r="AT76" s="17" t="s">
        <v>193</v>
      </c>
      <c r="AU76" s="17" t="s">
        <v>109</v>
      </c>
      <c r="AX76" s="15">
        <v>46059.0</v>
      </c>
      <c r="AY76" s="16">
        <v>0.7083333333357587</v>
      </c>
      <c r="AZ76" s="17" t="s">
        <v>131</v>
      </c>
      <c r="BA76" s="17" t="s">
        <v>458</v>
      </c>
      <c r="BB76" s="17" t="s">
        <v>76</v>
      </c>
      <c r="BJ76" s="16">
        <v>0.41666666666424135</v>
      </c>
      <c r="BK76" s="16">
        <v>0.9166666666642413</v>
      </c>
      <c r="BL76" s="17">
        <v>20.0</v>
      </c>
      <c r="BM76" s="19"/>
      <c r="BN76" s="19"/>
      <c r="BO76" s="19"/>
      <c r="BP76" s="19"/>
      <c r="BQ76" s="19"/>
      <c r="BR76" s="7" t="str">
        <f t="shared" si="1"/>
        <v>BREW COMMUNE CAFE&amp;BISTRO</v>
      </c>
    </row>
    <row r="77" ht="22.5" customHeight="1">
      <c r="A77" s="14">
        <v>46062.394996365736</v>
      </c>
      <c r="B77" s="15">
        <v>46059.0</v>
      </c>
      <c r="C77" s="16">
        <v>0.625</v>
      </c>
      <c r="D77" s="17" t="s">
        <v>111</v>
      </c>
      <c r="T77" s="17" t="s">
        <v>117</v>
      </c>
      <c r="U77" s="17" t="s">
        <v>529</v>
      </c>
      <c r="V77" s="17">
        <v>9.676945646E9</v>
      </c>
      <c r="W77" s="17" t="s">
        <v>530</v>
      </c>
      <c r="AA77" s="17" t="s">
        <v>109</v>
      </c>
      <c r="AU77" s="17" t="s">
        <v>76</v>
      </c>
      <c r="AV77" s="17" t="s">
        <v>472</v>
      </c>
      <c r="AX77" s="15">
        <v>46062.0</v>
      </c>
      <c r="AY77" s="16">
        <v>0.5</v>
      </c>
      <c r="AZ77" s="17" t="s">
        <v>131</v>
      </c>
      <c r="BA77" s="17" t="s">
        <v>458</v>
      </c>
      <c r="BB77" s="17" t="s">
        <v>76</v>
      </c>
      <c r="BR77" s="7" t="str">
        <f t="shared" si="1"/>
        <v>NA</v>
      </c>
    </row>
    <row r="78" ht="22.5" customHeight="1">
      <c r="A78" s="14">
        <v>46062.39895107639</v>
      </c>
      <c r="B78" s="15">
        <v>46059.0</v>
      </c>
      <c r="C78" s="16">
        <v>0.75</v>
      </c>
      <c r="D78" s="17" t="s">
        <v>91</v>
      </c>
      <c r="E78" s="17" t="s">
        <v>531</v>
      </c>
      <c r="F78" s="17">
        <v>50.0</v>
      </c>
      <c r="G78" s="17">
        <v>400.0</v>
      </c>
      <c r="H78" s="17" t="s">
        <v>514</v>
      </c>
      <c r="I78" s="17">
        <v>50000.0</v>
      </c>
      <c r="J78" s="17" t="s">
        <v>94</v>
      </c>
      <c r="K78" s="17" t="s">
        <v>134</v>
      </c>
      <c r="L78" s="17">
        <v>22.0</v>
      </c>
      <c r="M78" s="17">
        <v>22.0</v>
      </c>
      <c r="N78" s="17">
        <v>1.0</v>
      </c>
      <c r="O78" s="17" t="s">
        <v>96</v>
      </c>
      <c r="P78" s="17" t="s">
        <v>76</v>
      </c>
      <c r="Q78" s="17" t="s">
        <v>97</v>
      </c>
      <c r="R78" s="17" t="s">
        <v>76</v>
      </c>
      <c r="S78" s="17" t="s">
        <v>153</v>
      </c>
      <c r="U78" s="17" t="s">
        <v>532</v>
      </c>
      <c r="V78" s="17">
        <v>9.010924E9</v>
      </c>
      <c r="W78" s="17" t="s">
        <v>117</v>
      </c>
      <c r="AA78" s="17" t="s">
        <v>109</v>
      </c>
      <c r="AU78" s="17" t="s">
        <v>76</v>
      </c>
      <c r="AV78" s="17" t="s">
        <v>472</v>
      </c>
      <c r="AX78" s="15">
        <v>46062.0</v>
      </c>
      <c r="AY78" s="16">
        <v>0.5833333333357587</v>
      </c>
      <c r="AZ78" s="17" t="s">
        <v>131</v>
      </c>
      <c r="BA78" s="17" t="s">
        <v>458</v>
      </c>
      <c r="BB78" s="17" t="s">
        <v>76</v>
      </c>
      <c r="BL78" s="17">
        <v>40.0</v>
      </c>
      <c r="BM78" s="19"/>
      <c r="BN78" s="19"/>
      <c r="BO78" s="19"/>
      <c r="BP78" s="19"/>
      <c r="BQ78" s="19"/>
      <c r="BR78" s="7" t="str">
        <f t="shared" si="1"/>
        <v>HOTEL INNER CIRCLE</v>
      </c>
    </row>
    <row r="79" ht="22.5" customHeight="1">
      <c r="A79" s="14">
        <v>46062.40240521991</v>
      </c>
      <c r="B79" s="15">
        <v>46059.0</v>
      </c>
      <c r="C79" s="16">
        <v>0.5416666666642413</v>
      </c>
      <c r="D79" s="17" t="s">
        <v>91</v>
      </c>
      <c r="E79" s="17" t="s">
        <v>533</v>
      </c>
      <c r="F79" s="17">
        <v>30.0</v>
      </c>
      <c r="G79" s="17">
        <v>300.0</v>
      </c>
      <c r="H79" s="17" t="s">
        <v>117</v>
      </c>
      <c r="I79" s="17">
        <v>10000.0</v>
      </c>
      <c r="J79" s="17" t="s">
        <v>94</v>
      </c>
      <c r="K79" s="17" t="s">
        <v>134</v>
      </c>
      <c r="L79" s="17">
        <v>22.0</v>
      </c>
      <c r="M79" s="17">
        <v>22.0</v>
      </c>
      <c r="N79" s="17">
        <v>3.0</v>
      </c>
      <c r="O79" s="17" t="s">
        <v>96</v>
      </c>
      <c r="P79" s="17" t="s">
        <v>76</v>
      </c>
      <c r="Q79" s="17" t="s">
        <v>97</v>
      </c>
      <c r="R79" s="17" t="s">
        <v>76</v>
      </c>
      <c r="S79" s="17" t="s">
        <v>117</v>
      </c>
      <c r="U79" s="17" t="s">
        <v>534</v>
      </c>
      <c r="V79" s="17">
        <v>9.701916013E9</v>
      </c>
      <c r="W79" s="17" t="s">
        <v>117</v>
      </c>
      <c r="AA79" s="17" t="s">
        <v>109</v>
      </c>
      <c r="AU79" s="17" t="s">
        <v>76</v>
      </c>
      <c r="AV79" s="17" t="s">
        <v>271</v>
      </c>
      <c r="AX79" s="15">
        <v>46062.0</v>
      </c>
      <c r="AY79" s="16">
        <v>0.625</v>
      </c>
      <c r="AZ79" s="17" t="s">
        <v>131</v>
      </c>
      <c r="BA79" s="17" t="s">
        <v>458</v>
      </c>
      <c r="BB79" s="17" t="s">
        <v>76</v>
      </c>
      <c r="BL79" s="17">
        <v>30.0</v>
      </c>
      <c r="BM79" s="19"/>
      <c r="BN79" s="19"/>
      <c r="BO79" s="19"/>
      <c r="BP79" s="19"/>
      <c r="BQ79" s="19"/>
      <c r="BR79" s="7" t="str">
        <f t="shared" si="1"/>
        <v>RENAO</v>
      </c>
    </row>
    <row r="80" ht="22.5" customHeight="1">
      <c r="A80" s="14">
        <v>46062.417383611115</v>
      </c>
      <c r="B80" s="15">
        <v>46062.0</v>
      </c>
      <c r="C80" s="16">
        <v>0.625</v>
      </c>
      <c r="D80" s="17" t="s">
        <v>111</v>
      </c>
      <c r="T80" s="17" t="s">
        <v>117</v>
      </c>
      <c r="U80" s="17" t="s">
        <v>535</v>
      </c>
      <c r="V80" s="17">
        <v>8.886904546E9</v>
      </c>
      <c r="W80" s="17" t="s">
        <v>117</v>
      </c>
      <c r="AA80" s="17" t="s">
        <v>109</v>
      </c>
      <c r="AU80" s="17" t="s">
        <v>76</v>
      </c>
      <c r="AV80" s="17" t="s">
        <v>271</v>
      </c>
      <c r="AX80" s="15">
        <v>46062.0</v>
      </c>
      <c r="AY80" s="16">
        <v>0.625</v>
      </c>
      <c r="AZ80" s="17" t="s">
        <v>131</v>
      </c>
      <c r="BA80" s="17" t="s">
        <v>458</v>
      </c>
      <c r="BB80" s="17" t="s">
        <v>76</v>
      </c>
      <c r="BR80" s="7" t="str">
        <f t="shared" si="1"/>
        <v>NA</v>
      </c>
    </row>
    <row r="81" ht="22.5" customHeight="1">
      <c r="A81" s="14">
        <v>46062.41932608796</v>
      </c>
      <c r="B81" s="15">
        <v>46057.0</v>
      </c>
      <c r="C81" s="16">
        <v>0.5069444444452529</v>
      </c>
      <c r="E81" s="17" t="s">
        <v>536</v>
      </c>
      <c r="F81" s="17">
        <v>100.0</v>
      </c>
      <c r="G81" s="17">
        <v>400.0</v>
      </c>
      <c r="H81" s="17" t="s">
        <v>113</v>
      </c>
      <c r="I81" s="17">
        <v>150000.0</v>
      </c>
      <c r="J81" s="17" t="s">
        <v>94</v>
      </c>
      <c r="K81" s="17" t="s">
        <v>95</v>
      </c>
      <c r="L81" s="17">
        <v>20.0</v>
      </c>
      <c r="M81" s="17">
        <v>20.0</v>
      </c>
      <c r="N81" s="17">
        <v>1.0</v>
      </c>
      <c r="O81" s="17" t="s">
        <v>96</v>
      </c>
      <c r="P81" s="17" t="s">
        <v>109</v>
      </c>
      <c r="Q81" s="17" t="s">
        <v>98</v>
      </c>
      <c r="R81" s="17" t="s">
        <v>98</v>
      </c>
      <c r="S81" s="17" t="s">
        <v>113</v>
      </c>
      <c r="U81" s="17" t="s">
        <v>537</v>
      </c>
      <c r="V81" s="17">
        <v>9.885199151E9</v>
      </c>
      <c r="W81" s="17" t="s">
        <v>538</v>
      </c>
      <c r="AA81" s="17" t="s">
        <v>109</v>
      </c>
      <c r="AT81" s="17" t="s">
        <v>237</v>
      </c>
      <c r="AU81" s="17" t="s">
        <v>109</v>
      </c>
      <c r="AV81" s="17" t="s">
        <v>472</v>
      </c>
      <c r="AZ81" s="17" t="s">
        <v>539</v>
      </c>
      <c r="BL81" s="17">
        <v>0.0</v>
      </c>
      <c r="BM81" s="19"/>
      <c r="BN81" s="19"/>
      <c r="BO81" s="19"/>
      <c r="BP81" s="19"/>
      <c r="BQ81" s="19"/>
      <c r="BR81" s="7" t="str">
        <f t="shared" si="1"/>
        <v>merajs restraunt </v>
      </c>
    </row>
    <row r="82" ht="22.5" customHeight="1">
      <c r="A82" s="14">
        <v>46062.420438194444</v>
      </c>
      <c r="B82" s="15">
        <v>46058.0</v>
      </c>
      <c r="C82" s="16">
        <v>0.6708333333372138</v>
      </c>
      <c r="D82" s="17" t="s">
        <v>91</v>
      </c>
      <c r="E82" s="17" t="s">
        <v>540</v>
      </c>
      <c r="F82" s="17">
        <v>25.0</v>
      </c>
      <c r="G82" s="17">
        <v>200.0</v>
      </c>
      <c r="H82" s="17" t="s">
        <v>113</v>
      </c>
      <c r="I82" s="17">
        <v>8000.0</v>
      </c>
      <c r="J82" s="17" t="s">
        <v>221</v>
      </c>
      <c r="K82" s="17" t="s">
        <v>134</v>
      </c>
      <c r="L82" s="17">
        <v>22.0</v>
      </c>
      <c r="M82" s="17">
        <v>22.0</v>
      </c>
      <c r="N82" s="17">
        <v>1.0</v>
      </c>
      <c r="O82" s="17" t="s">
        <v>96</v>
      </c>
      <c r="P82" s="17" t="s">
        <v>109</v>
      </c>
      <c r="Q82" s="17" t="s">
        <v>97</v>
      </c>
      <c r="R82" s="17" t="s">
        <v>109</v>
      </c>
      <c r="S82" s="17" t="s">
        <v>113</v>
      </c>
      <c r="U82" s="17" t="s">
        <v>541</v>
      </c>
      <c r="V82" s="17">
        <v>9.642897117E9</v>
      </c>
      <c r="W82" s="17" t="s">
        <v>542</v>
      </c>
      <c r="AA82" s="17" t="s">
        <v>76</v>
      </c>
      <c r="AB82" s="17">
        <v>2.3626030000702E13</v>
      </c>
      <c r="AC82" s="18" t="s">
        <v>543</v>
      </c>
      <c r="AF82" s="17" t="s">
        <v>544</v>
      </c>
      <c r="AG82" s="18" t="s">
        <v>545</v>
      </c>
      <c r="AL82" s="17">
        <v>6.414081002E9</v>
      </c>
      <c r="AM82" s="17" t="s">
        <v>546</v>
      </c>
      <c r="AN82" s="17" t="s">
        <v>547</v>
      </c>
      <c r="AO82" s="17" t="s">
        <v>548</v>
      </c>
      <c r="AP82" s="17">
        <v>9.642897117E9</v>
      </c>
      <c r="AS82" s="17" t="s">
        <v>76</v>
      </c>
      <c r="AT82" s="17" t="s">
        <v>181</v>
      </c>
      <c r="AU82" s="17" t="s">
        <v>109</v>
      </c>
      <c r="AZ82" s="17" t="s">
        <v>287</v>
      </c>
      <c r="BA82" s="17" t="s">
        <v>458</v>
      </c>
      <c r="BB82" s="17" t="s">
        <v>76</v>
      </c>
      <c r="BL82" s="17">
        <v>50.0</v>
      </c>
      <c r="BM82" s="19"/>
      <c r="BN82" s="19"/>
      <c r="BO82" s="19"/>
      <c r="BP82" s="19"/>
      <c r="BQ82" s="19"/>
      <c r="BR82" s="7" t="str">
        <f t="shared" si="1"/>
        <v>Flavors Of Briyani Cafe</v>
      </c>
    </row>
    <row r="83" ht="22.5" customHeight="1">
      <c r="A83" s="14">
        <v>46062.42343196759</v>
      </c>
      <c r="B83" s="15">
        <v>46057.0</v>
      </c>
      <c r="C83" s="16">
        <v>0.45833333333575865</v>
      </c>
      <c r="D83" s="17" t="s">
        <v>91</v>
      </c>
      <c r="E83" s="17" t="s">
        <v>549</v>
      </c>
      <c r="F83" s="17">
        <v>10.0</v>
      </c>
      <c r="G83" s="17">
        <v>200.0</v>
      </c>
      <c r="H83" s="17" t="s">
        <v>113</v>
      </c>
      <c r="I83" s="17">
        <v>5000.0</v>
      </c>
      <c r="J83" s="17" t="s">
        <v>221</v>
      </c>
      <c r="K83" s="17" t="s">
        <v>134</v>
      </c>
      <c r="N83" s="17">
        <v>1.0</v>
      </c>
      <c r="O83" s="17" t="s">
        <v>96</v>
      </c>
      <c r="P83" s="17" t="s">
        <v>109</v>
      </c>
      <c r="Q83" s="17" t="s">
        <v>97</v>
      </c>
      <c r="R83" s="17" t="s">
        <v>76</v>
      </c>
      <c r="S83" s="17" t="s">
        <v>113</v>
      </c>
      <c r="U83" s="17" t="s">
        <v>550</v>
      </c>
      <c r="V83" s="17">
        <v>7.995109409E9</v>
      </c>
      <c r="W83" s="17" t="s">
        <v>551</v>
      </c>
      <c r="AA83" s="17" t="s">
        <v>109</v>
      </c>
      <c r="AT83" s="17" t="s">
        <v>113</v>
      </c>
      <c r="AU83" s="17" t="s">
        <v>109</v>
      </c>
      <c r="AW83" s="17" t="s">
        <v>113</v>
      </c>
      <c r="AZ83" s="17" t="s">
        <v>539</v>
      </c>
      <c r="BA83" s="17" t="s">
        <v>458</v>
      </c>
      <c r="BB83" s="17" t="s">
        <v>76</v>
      </c>
      <c r="BL83" s="17">
        <v>30.0</v>
      </c>
      <c r="BM83" s="19"/>
      <c r="BN83" s="19"/>
      <c r="BO83" s="19"/>
      <c r="BP83" s="19"/>
      <c r="BQ83" s="19"/>
      <c r="BR83" s="7" t="str">
        <f t="shared" si="1"/>
        <v>lassi corner </v>
      </c>
    </row>
    <row r="84" ht="22.5" customHeight="1">
      <c r="A84" s="14">
        <v>46062.42469721065</v>
      </c>
      <c r="B84" s="15">
        <v>46056.0</v>
      </c>
      <c r="C84" s="16">
        <v>0.5</v>
      </c>
      <c r="D84" s="17" t="s">
        <v>91</v>
      </c>
      <c r="E84" s="17" t="s">
        <v>552</v>
      </c>
      <c r="F84" s="17">
        <v>60.0</v>
      </c>
      <c r="G84" s="17">
        <v>120.0</v>
      </c>
      <c r="H84" s="17" t="s">
        <v>117</v>
      </c>
      <c r="I84" s="17">
        <v>7000.0</v>
      </c>
      <c r="J84" s="17" t="s">
        <v>221</v>
      </c>
      <c r="K84" s="17" t="s">
        <v>134</v>
      </c>
      <c r="L84" s="17">
        <v>22.0</v>
      </c>
      <c r="M84" s="17">
        <v>22.0</v>
      </c>
      <c r="N84" s="17">
        <v>1.0</v>
      </c>
      <c r="O84" s="17" t="s">
        <v>96</v>
      </c>
      <c r="P84" s="17" t="s">
        <v>109</v>
      </c>
      <c r="Q84" s="17" t="s">
        <v>97</v>
      </c>
      <c r="R84" s="17" t="s">
        <v>109</v>
      </c>
      <c r="S84" s="17" t="s">
        <v>117</v>
      </c>
      <c r="U84" s="17" t="s">
        <v>553</v>
      </c>
      <c r="V84" s="17">
        <v>9.030518803E9</v>
      </c>
      <c r="W84" s="17" t="s">
        <v>554</v>
      </c>
      <c r="AA84" s="17" t="s">
        <v>76</v>
      </c>
      <c r="AB84" s="17">
        <v>2.3621030003744E13</v>
      </c>
      <c r="AC84" s="18" t="s">
        <v>555</v>
      </c>
      <c r="AF84" s="17" t="s">
        <v>556</v>
      </c>
      <c r="AG84" s="18" t="s">
        <v>557</v>
      </c>
      <c r="AL84" s="17">
        <v>3.269632568E9</v>
      </c>
      <c r="AM84" s="17" t="s">
        <v>558</v>
      </c>
      <c r="AN84" s="17" t="s">
        <v>559</v>
      </c>
      <c r="AO84" s="17" t="s">
        <v>553</v>
      </c>
      <c r="AP84" s="17">
        <v>9.030518803E9</v>
      </c>
      <c r="AQ84" s="17" t="s">
        <v>554</v>
      </c>
      <c r="AS84" s="17" t="s">
        <v>76</v>
      </c>
      <c r="AT84" s="17" t="s">
        <v>181</v>
      </c>
      <c r="AU84" s="17" t="s">
        <v>109</v>
      </c>
      <c r="AZ84" s="17" t="s">
        <v>287</v>
      </c>
      <c r="BA84" s="17" t="s">
        <v>458</v>
      </c>
      <c r="BB84" s="17" t="s">
        <v>76</v>
      </c>
      <c r="BL84" s="17">
        <v>50.0</v>
      </c>
      <c r="BM84" s="19"/>
      <c r="BN84" s="19"/>
      <c r="BO84" s="19"/>
      <c r="BP84" s="19"/>
      <c r="BQ84" s="19"/>
      <c r="BR84" s="7" t="str">
        <f t="shared" si="1"/>
        <v>Pandu Fast Food Center</v>
      </c>
    </row>
    <row r="85" ht="22.5" customHeight="1">
      <c r="A85" s="14">
        <v>46062.42647539351</v>
      </c>
      <c r="B85" s="15">
        <v>46057.0</v>
      </c>
      <c r="C85" s="16">
        <v>0.41666666666424135</v>
      </c>
      <c r="D85" s="17" t="s">
        <v>91</v>
      </c>
      <c r="E85" s="17" t="s">
        <v>560</v>
      </c>
      <c r="F85" s="17">
        <v>50.0</v>
      </c>
      <c r="G85" s="17">
        <v>200.0</v>
      </c>
      <c r="H85" s="17" t="s">
        <v>113</v>
      </c>
      <c r="I85" s="17">
        <v>15000.0</v>
      </c>
      <c r="J85" s="17" t="s">
        <v>221</v>
      </c>
      <c r="K85" s="17" t="s">
        <v>118</v>
      </c>
      <c r="L85" s="17">
        <v>22.0</v>
      </c>
      <c r="M85" s="17">
        <v>22.0</v>
      </c>
      <c r="N85" s="17">
        <v>7.0</v>
      </c>
      <c r="O85" s="17" t="s">
        <v>96</v>
      </c>
      <c r="P85" s="17" t="s">
        <v>109</v>
      </c>
      <c r="Q85" s="17" t="s">
        <v>97</v>
      </c>
      <c r="R85" s="17" t="s">
        <v>76</v>
      </c>
      <c r="S85" s="17" t="s">
        <v>113</v>
      </c>
      <c r="U85" s="17" t="s">
        <v>561</v>
      </c>
      <c r="V85" s="17">
        <v>8.125178544E9</v>
      </c>
      <c r="W85" s="17" t="s">
        <v>562</v>
      </c>
      <c r="AA85" s="17" t="s">
        <v>109</v>
      </c>
      <c r="AT85" s="17" t="s">
        <v>113</v>
      </c>
      <c r="AU85" s="17" t="s">
        <v>109</v>
      </c>
      <c r="AV85" s="17" t="s">
        <v>472</v>
      </c>
      <c r="AZ85" s="17" t="s">
        <v>539</v>
      </c>
      <c r="BA85" s="17" t="s">
        <v>458</v>
      </c>
      <c r="BB85" s="17" t="s">
        <v>76</v>
      </c>
      <c r="BL85" s="17">
        <v>70.0</v>
      </c>
      <c r="BM85" s="19"/>
      <c r="BN85" s="19"/>
      <c r="BO85" s="19"/>
      <c r="BP85" s="19"/>
      <c r="BQ85" s="19"/>
      <c r="BR85" s="7" t="str">
        <f t="shared" si="1"/>
        <v>sri udupi grand pure veg</v>
      </c>
    </row>
    <row r="86" ht="22.5" customHeight="1">
      <c r="A86" s="14">
        <v>46062.50603560185</v>
      </c>
      <c r="B86" s="15">
        <v>46062.0</v>
      </c>
      <c r="C86" s="16">
        <v>0.5</v>
      </c>
      <c r="D86" s="17" t="s">
        <v>91</v>
      </c>
      <c r="E86" s="17" t="s">
        <v>563</v>
      </c>
      <c r="F86" s="17">
        <v>50.0</v>
      </c>
      <c r="G86" s="17">
        <v>150.0</v>
      </c>
      <c r="H86" s="17" t="s">
        <v>564</v>
      </c>
      <c r="I86" s="17">
        <v>15000.0</v>
      </c>
      <c r="J86" s="17" t="s">
        <v>221</v>
      </c>
      <c r="K86" s="17" t="s">
        <v>134</v>
      </c>
      <c r="L86" s="17">
        <v>25.0</v>
      </c>
      <c r="M86" s="17">
        <v>22.0</v>
      </c>
      <c r="N86" s="17">
        <v>1.0</v>
      </c>
      <c r="O86" s="17" t="s">
        <v>96</v>
      </c>
      <c r="P86" s="17" t="s">
        <v>109</v>
      </c>
      <c r="Q86" s="17" t="s">
        <v>97</v>
      </c>
      <c r="R86" s="17" t="s">
        <v>76</v>
      </c>
      <c r="S86" s="18" t="s">
        <v>565</v>
      </c>
      <c r="U86" s="17" t="s">
        <v>566</v>
      </c>
      <c r="V86" s="17">
        <v>6.281821329E9</v>
      </c>
      <c r="W86" s="17" t="s">
        <v>567</v>
      </c>
      <c r="AA86" s="17" t="s">
        <v>109</v>
      </c>
      <c r="AT86" s="17" t="s">
        <v>568</v>
      </c>
      <c r="AU86" s="17" t="s">
        <v>109</v>
      </c>
      <c r="AZ86" s="17" t="s">
        <v>110</v>
      </c>
      <c r="BA86" s="17" t="s">
        <v>458</v>
      </c>
      <c r="BB86" s="17" t="s">
        <v>76</v>
      </c>
      <c r="BL86" s="17">
        <v>10.0</v>
      </c>
      <c r="BM86" s="19"/>
      <c r="BN86" s="19"/>
      <c r="BO86" s="19"/>
      <c r="BP86" s="19"/>
      <c r="BQ86" s="19"/>
      <c r="BR86" s="7" t="str">
        <f t="shared" si="1"/>
        <v>SSR FOOD ZONE</v>
      </c>
    </row>
    <row r="87" ht="22.5" customHeight="1">
      <c r="A87" s="14">
        <v>46062.518000972224</v>
      </c>
      <c r="B87" s="15">
        <v>46062.0</v>
      </c>
      <c r="C87" s="16">
        <v>0.5208333333357587</v>
      </c>
      <c r="U87" s="17" t="s">
        <v>569</v>
      </c>
      <c r="V87" s="17">
        <v>9.34705965E9</v>
      </c>
      <c r="W87" s="17" t="s">
        <v>570</v>
      </c>
      <c r="AA87" s="17" t="s">
        <v>109</v>
      </c>
      <c r="AU87" s="17" t="s">
        <v>76</v>
      </c>
      <c r="AV87" s="17" t="s">
        <v>88</v>
      </c>
      <c r="AW87" s="17" t="s">
        <v>571</v>
      </c>
      <c r="AX87" s="15">
        <v>46063.0</v>
      </c>
      <c r="AY87" s="16">
        <v>0.5208333333357587</v>
      </c>
      <c r="AZ87" s="17" t="s">
        <v>110</v>
      </c>
      <c r="BA87" s="17" t="s">
        <v>458</v>
      </c>
      <c r="BB87" s="17" t="s">
        <v>109</v>
      </c>
      <c r="BR87" s="7" t="str">
        <f t="shared" si="1"/>
        <v/>
      </c>
    </row>
    <row r="88" ht="22.5" customHeight="1">
      <c r="A88" s="14">
        <v>46062.54793652778</v>
      </c>
      <c r="B88" s="15">
        <v>46062.0</v>
      </c>
      <c r="C88" s="16">
        <v>0.5451388888905058</v>
      </c>
      <c r="D88" s="17" t="s">
        <v>91</v>
      </c>
      <c r="E88" s="17" t="s">
        <v>572</v>
      </c>
      <c r="F88" s="17">
        <v>60.0</v>
      </c>
      <c r="G88" s="17">
        <v>250.0</v>
      </c>
      <c r="H88" s="17" t="s">
        <v>344</v>
      </c>
      <c r="J88" s="17" t="s">
        <v>94</v>
      </c>
      <c r="K88" s="17" t="s">
        <v>95</v>
      </c>
      <c r="L88" s="17">
        <v>25.0</v>
      </c>
      <c r="M88" s="17">
        <v>20.0</v>
      </c>
      <c r="N88" s="17">
        <v>1.0</v>
      </c>
      <c r="O88" s="17" t="s">
        <v>371</v>
      </c>
      <c r="P88" s="17" t="s">
        <v>76</v>
      </c>
      <c r="Q88" s="17" t="s">
        <v>97</v>
      </c>
      <c r="R88" s="17" t="s">
        <v>109</v>
      </c>
      <c r="S88" s="17" t="s">
        <v>344</v>
      </c>
      <c r="U88" s="17" t="s">
        <v>573</v>
      </c>
      <c r="V88" s="17">
        <v>9.381245681E9</v>
      </c>
      <c r="W88" s="17" t="s">
        <v>344</v>
      </c>
      <c r="AA88" s="17" t="s">
        <v>109</v>
      </c>
      <c r="AU88" s="17" t="s">
        <v>76</v>
      </c>
      <c r="AV88" s="17" t="s">
        <v>373</v>
      </c>
      <c r="AW88" s="17" t="s">
        <v>574</v>
      </c>
      <c r="AX88" s="15">
        <v>46069.0</v>
      </c>
      <c r="AY88" s="16">
        <v>0.5</v>
      </c>
      <c r="AZ88" s="17" t="s">
        <v>110</v>
      </c>
      <c r="BA88" s="17" t="s">
        <v>458</v>
      </c>
      <c r="BB88" s="17" t="s">
        <v>76</v>
      </c>
      <c r="BR88" s="7" t="str">
        <f t="shared" si="1"/>
        <v>Mammu’s Kitchen</v>
      </c>
    </row>
    <row r="89" ht="22.5" customHeight="1">
      <c r="A89" s="14">
        <v>46062.60580365741</v>
      </c>
      <c r="B89" s="15">
        <v>46062.0</v>
      </c>
      <c r="C89" s="16">
        <v>0.5895833333343035</v>
      </c>
      <c r="D89" s="17" t="s">
        <v>91</v>
      </c>
      <c r="E89" s="17" t="s">
        <v>575</v>
      </c>
      <c r="F89" s="17">
        <v>60.0</v>
      </c>
      <c r="G89" s="17">
        <v>200.0</v>
      </c>
      <c r="H89" s="17" t="s">
        <v>388</v>
      </c>
      <c r="I89" s="17">
        <v>20000.0</v>
      </c>
      <c r="J89" s="17" t="s">
        <v>221</v>
      </c>
      <c r="K89" s="17" t="s">
        <v>134</v>
      </c>
      <c r="L89" s="17">
        <v>22.0</v>
      </c>
      <c r="M89" s="17">
        <v>22.0</v>
      </c>
      <c r="N89" s="17">
        <v>1.0</v>
      </c>
      <c r="O89" s="17" t="s">
        <v>96</v>
      </c>
      <c r="P89" s="17" t="s">
        <v>109</v>
      </c>
      <c r="Q89" s="17" t="s">
        <v>97</v>
      </c>
      <c r="R89" s="17" t="s">
        <v>76</v>
      </c>
      <c r="S89" s="18" t="s">
        <v>576</v>
      </c>
      <c r="U89" s="17" t="s">
        <v>577</v>
      </c>
      <c r="V89" s="17">
        <v>9.642431013E9</v>
      </c>
      <c r="W89" s="17" t="s">
        <v>578</v>
      </c>
      <c r="AA89" s="17" t="s">
        <v>76</v>
      </c>
      <c r="AB89" s="17">
        <v>2.362503200784E13</v>
      </c>
      <c r="AC89" s="18" t="s">
        <v>579</v>
      </c>
      <c r="AF89" s="17" t="s">
        <v>580</v>
      </c>
      <c r="AG89" s="18" t="s">
        <v>581</v>
      </c>
      <c r="AK89" s="18" t="s">
        <v>582</v>
      </c>
      <c r="AL89" s="17">
        <v>3.212110291E9</v>
      </c>
      <c r="AM89" s="17" t="s">
        <v>583</v>
      </c>
      <c r="AN89" s="17" t="s">
        <v>584</v>
      </c>
      <c r="AO89" s="17" t="s">
        <v>585</v>
      </c>
      <c r="AP89" s="17">
        <v>9.642431013E9</v>
      </c>
      <c r="AS89" s="17" t="s">
        <v>76</v>
      </c>
      <c r="AT89" s="17" t="s">
        <v>586</v>
      </c>
      <c r="AU89" s="17" t="s">
        <v>109</v>
      </c>
      <c r="AZ89" s="17" t="s">
        <v>287</v>
      </c>
      <c r="BA89" s="17" t="s">
        <v>458</v>
      </c>
      <c r="BB89" s="17" t="s">
        <v>76</v>
      </c>
      <c r="BL89" s="17">
        <v>80.0</v>
      </c>
      <c r="BM89" s="19"/>
      <c r="BN89" s="19"/>
      <c r="BO89" s="19"/>
      <c r="BP89" s="19"/>
      <c r="BQ89" s="19"/>
      <c r="BR89" s="7" t="str">
        <f t="shared" si="1"/>
        <v>Kshatriya Grand</v>
      </c>
    </row>
    <row r="90" ht="22.5" customHeight="1">
      <c r="A90" s="14">
        <v>46062.620923877315</v>
      </c>
      <c r="B90" s="15">
        <v>46062.0</v>
      </c>
      <c r="C90" s="16">
        <v>0.5833333333357587</v>
      </c>
      <c r="D90" s="17" t="s">
        <v>91</v>
      </c>
      <c r="E90" s="17" t="s">
        <v>587</v>
      </c>
      <c r="F90" s="17">
        <v>10.0</v>
      </c>
      <c r="G90" s="17">
        <v>200.0</v>
      </c>
      <c r="H90" s="17" t="s">
        <v>588</v>
      </c>
      <c r="I90" s="17">
        <v>10000.0</v>
      </c>
      <c r="J90" s="17" t="s">
        <v>221</v>
      </c>
      <c r="K90" s="17" t="s">
        <v>134</v>
      </c>
      <c r="N90" s="17">
        <v>1.0</v>
      </c>
      <c r="O90" s="17" t="s">
        <v>135</v>
      </c>
      <c r="P90" s="17" t="s">
        <v>76</v>
      </c>
      <c r="Q90" s="17" t="s">
        <v>97</v>
      </c>
      <c r="R90" s="17" t="s">
        <v>109</v>
      </c>
      <c r="S90" s="18" t="s">
        <v>589</v>
      </c>
      <c r="U90" s="17" t="s">
        <v>590</v>
      </c>
      <c r="V90" s="17" t="s">
        <v>591</v>
      </c>
      <c r="W90" s="17" t="s">
        <v>592</v>
      </c>
      <c r="AA90" s="17" t="s">
        <v>76</v>
      </c>
      <c r="AS90" s="17" t="s">
        <v>76</v>
      </c>
      <c r="AT90" s="17" t="s">
        <v>593</v>
      </c>
      <c r="AU90" s="17" t="s">
        <v>109</v>
      </c>
      <c r="AV90" s="17" t="s">
        <v>114</v>
      </c>
      <c r="AX90" s="15">
        <v>46062.0</v>
      </c>
      <c r="AY90" s="16">
        <v>0.5833333333357587</v>
      </c>
      <c r="AZ90" s="17" t="s">
        <v>115</v>
      </c>
      <c r="BA90" s="17" t="s">
        <v>458</v>
      </c>
      <c r="BB90" s="17" t="s">
        <v>76</v>
      </c>
      <c r="BL90" s="17" t="s">
        <v>594</v>
      </c>
      <c r="BM90" s="19"/>
      <c r="BN90" s="19"/>
      <c r="BO90" s="19"/>
      <c r="BP90" s="19"/>
      <c r="BQ90" s="19"/>
      <c r="BR90" s="7" t="str">
        <f t="shared" si="1"/>
        <v>Bakeway bakers </v>
      </c>
    </row>
    <row r="91" ht="22.5" customHeight="1">
      <c r="A91" s="14">
        <v>46062.67258475695</v>
      </c>
      <c r="B91" s="15">
        <v>46062.0</v>
      </c>
      <c r="C91" s="16">
        <v>0.6479166666686069</v>
      </c>
      <c r="D91" s="17" t="s">
        <v>91</v>
      </c>
      <c r="E91" s="17" t="s">
        <v>595</v>
      </c>
      <c r="F91" s="17">
        <v>100.0</v>
      </c>
      <c r="G91" s="17">
        <v>250.0</v>
      </c>
      <c r="H91" s="17" t="s">
        <v>117</v>
      </c>
      <c r="I91" s="17">
        <v>30000.0</v>
      </c>
      <c r="J91" s="17" t="s">
        <v>221</v>
      </c>
      <c r="K91" s="17" t="s">
        <v>515</v>
      </c>
      <c r="L91" s="17">
        <v>15.0</v>
      </c>
      <c r="M91" s="17">
        <v>17.0</v>
      </c>
      <c r="N91" s="17">
        <v>1.0</v>
      </c>
      <c r="O91" s="17" t="s">
        <v>135</v>
      </c>
      <c r="P91" s="17" t="s">
        <v>109</v>
      </c>
      <c r="Q91" s="17" t="s">
        <v>98</v>
      </c>
      <c r="R91" s="17" t="s">
        <v>98</v>
      </c>
      <c r="S91" s="18" t="s">
        <v>596</v>
      </c>
      <c r="U91" s="17" t="s">
        <v>597</v>
      </c>
      <c r="V91" s="17">
        <v>9.761859999E9</v>
      </c>
      <c r="W91" s="17" t="s">
        <v>117</v>
      </c>
      <c r="AA91" s="17" t="s">
        <v>109</v>
      </c>
      <c r="AU91" s="17" t="s">
        <v>76</v>
      </c>
      <c r="AV91" s="17" t="s">
        <v>373</v>
      </c>
      <c r="AW91" s="17" t="s">
        <v>598</v>
      </c>
      <c r="AZ91" s="17" t="s">
        <v>287</v>
      </c>
      <c r="BA91" s="17" t="s">
        <v>458</v>
      </c>
      <c r="BB91" s="17" t="s">
        <v>76</v>
      </c>
      <c r="BL91" s="17">
        <v>60.0</v>
      </c>
      <c r="BM91" s="19"/>
      <c r="BN91" s="19"/>
      <c r="BO91" s="19"/>
      <c r="BP91" s="19"/>
      <c r="BQ91" s="19"/>
      <c r="BR91" s="7" t="str">
        <f t="shared" si="1"/>
        <v>Golconda Biryani House</v>
      </c>
    </row>
    <row r="92" ht="22.5" customHeight="1">
      <c r="A92" s="14">
        <v>46062.72650309028</v>
      </c>
      <c r="B92" s="15">
        <v>46062.0</v>
      </c>
      <c r="C92" s="16">
        <v>0.7083333333357587</v>
      </c>
      <c r="D92" s="17" t="s">
        <v>91</v>
      </c>
      <c r="E92" s="17" t="s">
        <v>599</v>
      </c>
      <c r="F92" s="17">
        <v>60.0</v>
      </c>
      <c r="G92" s="17">
        <v>200.0</v>
      </c>
      <c r="H92" s="17" t="s">
        <v>600</v>
      </c>
      <c r="I92" s="17">
        <v>6000.0</v>
      </c>
      <c r="J92" s="17" t="s">
        <v>221</v>
      </c>
      <c r="K92" s="17" t="s">
        <v>134</v>
      </c>
      <c r="L92" s="17">
        <v>19.7</v>
      </c>
      <c r="M92" s="17">
        <v>18.5</v>
      </c>
      <c r="N92" s="17">
        <v>1.0</v>
      </c>
      <c r="O92" s="17" t="s">
        <v>96</v>
      </c>
      <c r="P92" s="17" t="s">
        <v>109</v>
      </c>
      <c r="Q92" s="17" t="s">
        <v>97</v>
      </c>
      <c r="R92" s="17" t="s">
        <v>76</v>
      </c>
      <c r="S92" s="17" t="s">
        <v>117</v>
      </c>
      <c r="U92" s="17" t="s">
        <v>601</v>
      </c>
      <c r="V92" s="17">
        <v>9.849995653E9</v>
      </c>
      <c r="W92" s="17" t="s">
        <v>602</v>
      </c>
      <c r="AA92" s="17" t="s">
        <v>76</v>
      </c>
      <c r="AB92" s="17">
        <v>2.3625032006338E13</v>
      </c>
      <c r="AC92" s="18" t="s">
        <v>603</v>
      </c>
      <c r="AF92" s="17" t="s">
        <v>604</v>
      </c>
      <c r="AG92" s="18" t="s">
        <v>605</v>
      </c>
      <c r="AH92" s="17" t="s">
        <v>606</v>
      </c>
      <c r="AI92" s="18" t="s">
        <v>607</v>
      </c>
      <c r="AK92" s="18" t="s">
        <v>608</v>
      </c>
      <c r="AL92" s="17">
        <v>4.4573150739E10</v>
      </c>
      <c r="AM92" s="17" t="s">
        <v>609</v>
      </c>
      <c r="AN92" s="17" t="s">
        <v>385</v>
      </c>
      <c r="AO92" s="17" t="s">
        <v>601</v>
      </c>
      <c r="AP92" s="17">
        <v>9.849995653E9</v>
      </c>
      <c r="AQ92" s="17" t="s">
        <v>602</v>
      </c>
      <c r="AS92" s="17" t="s">
        <v>76</v>
      </c>
      <c r="AT92" s="17" t="s">
        <v>586</v>
      </c>
      <c r="AU92" s="17" t="s">
        <v>109</v>
      </c>
      <c r="AZ92" s="17" t="s">
        <v>287</v>
      </c>
      <c r="BA92" s="17" t="s">
        <v>458</v>
      </c>
      <c r="BB92" s="17" t="s">
        <v>76</v>
      </c>
      <c r="BL92" s="17">
        <v>25.0</v>
      </c>
      <c r="BM92" s="19"/>
      <c r="BN92" s="19"/>
      <c r="BO92" s="19"/>
      <c r="BP92" s="19"/>
      <c r="BQ92" s="19"/>
      <c r="BR92" s="7" t="str">
        <f t="shared" si="1"/>
        <v>Veeramma Gari Vantillu</v>
      </c>
    </row>
    <row r="93" ht="22.5" customHeight="1">
      <c r="A93" s="14">
        <v>46062.91964373842</v>
      </c>
      <c r="B93" s="15">
        <v>46062.0</v>
      </c>
      <c r="C93" s="16">
        <v>0.47916666666424135</v>
      </c>
      <c r="D93" s="17" t="s">
        <v>91</v>
      </c>
      <c r="E93" s="17" t="s">
        <v>610</v>
      </c>
      <c r="F93" s="17">
        <v>120.0</v>
      </c>
      <c r="G93" s="17">
        <v>250.0</v>
      </c>
      <c r="H93" s="17" t="s">
        <v>611</v>
      </c>
      <c r="J93" s="17" t="s">
        <v>94</v>
      </c>
      <c r="K93" s="17" t="s">
        <v>134</v>
      </c>
      <c r="L93" s="17">
        <v>25.0</v>
      </c>
      <c r="M93" s="17">
        <v>20.0</v>
      </c>
      <c r="N93" s="17">
        <v>1.0</v>
      </c>
      <c r="O93" s="17" t="s">
        <v>135</v>
      </c>
      <c r="P93" s="17" t="s">
        <v>76</v>
      </c>
      <c r="Q93" s="17" t="s">
        <v>97</v>
      </c>
      <c r="R93" s="17" t="s">
        <v>76</v>
      </c>
      <c r="S93" s="18" t="s">
        <v>612</v>
      </c>
      <c r="U93" s="17" t="s">
        <v>613</v>
      </c>
      <c r="V93" s="17">
        <v>7.028412666E9</v>
      </c>
      <c r="W93" s="17" t="s">
        <v>76</v>
      </c>
      <c r="X93" s="17" t="s">
        <v>76</v>
      </c>
      <c r="Y93" s="17">
        <v>4.785863578E9</v>
      </c>
      <c r="Z93" s="17" t="s">
        <v>76</v>
      </c>
      <c r="AA93" s="17" t="s">
        <v>109</v>
      </c>
      <c r="AU93" s="17" t="s">
        <v>76</v>
      </c>
      <c r="AV93" s="17" t="s">
        <v>271</v>
      </c>
      <c r="AW93" s="17" t="s">
        <v>614</v>
      </c>
      <c r="AX93" s="15">
        <v>46063.0</v>
      </c>
      <c r="AY93" s="16">
        <v>0.27083333333575865</v>
      </c>
      <c r="AZ93" s="17" t="s">
        <v>356</v>
      </c>
      <c r="BA93" s="17" t="s">
        <v>491</v>
      </c>
      <c r="BL93" s="17">
        <v>50.0</v>
      </c>
      <c r="BM93" s="19"/>
      <c r="BN93" s="19"/>
      <c r="BO93" s="19"/>
      <c r="BP93" s="19"/>
      <c r="BQ93" s="19"/>
      <c r="BR93" s="7" t="str">
        <f t="shared" si="1"/>
        <v>Bhojanam Tayyari</v>
      </c>
    </row>
    <row r="94" ht="22.5" customHeight="1">
      <c r="A94" s="14">
        <v>46062.92532643519</v>
      </c>
      <c r="B94" s="15">
        <v>46062.0</v>
      </c>
      <c r="C94" s="16">
        <v>0.0625</v>
      </c>
      <c r="D94" s="17" t="s">
        <v>111</v>
      </c>
      <c r="T94" s="17" t="s">
        <v>615</v>
      </c>
      <c r="U94" s="17" t="s">
        <v>616</v>
      </c>
      <c r="V94" s="17">
        <v>9.381522074E9</v>
      </c>
      <c r="W94" s="17" t="s">
        <v>113</v>
      </c>
      <c r="AA94" s="17" t="s">
        <v>109</v>
      </c>
      <c r="AU94" s="17" t="s">
        <v>76</v>
      </c>
      <c r="AV94" s="17" t="s">
        <v>472</v>
      </c>
      <c r="AW94" s="17" t="s">
        <v>617</v>
      </c>
      <c r="AX94" s="15">
        <v>46063.0</v>
      </c>
      <c r="AY94" s="16">
        <v>0.14583333333575865</v>
      </c>
      <c r="AZ94" s="17" t="s">
        <v>356</v>
      </c>
      <c r="BA94" s="17" t="s">
        <v>491</v>
      </c>
      <c r="BR94" s="7" t="str">
        <f t="shared" si="1"/>
        <v>Mandi@36</v>
      </c>
    </row>
    <row r="95" ht="22.5" customHeight="1">
      <c r="A95" s="14">
        <v>46062.92747549769</v>
      </c>
      <c r="B95" s="15">
        <v>46062.0</v>
      </c>
      <c r="C95" s="16">
        <v>0.24305555555474712</v>
      </c>
      <c r="U95" s="17" t="s">
        <v>618</v>
      </c>
      <c r="V95" s="17">
        <v>9.148628899E9</v>
      </c>
      <c r="W95" s="17" t="s">
        <v>113</v>
      </c>
      <c r="AA95" s="17" t="s">
        <v>109</v>
      </c>
      <c r="AU95" s="17" t="s">
        <v>76</v>
      </c>
      <c r="AV95" s="17" t="s">
        <v>88</v>
      </c>
      <c r="AW95" s="17" t="s">
        <v>619</v>
      </c>
      <c r="AX95" s="15">
        <v>46064.0</v>
      </c>
      <c r="AY95" s="16">
        <v>0.1875</v>
      </c>
      <c r="AZ95" s="17" t="s">
        <v>356</v>
      </c>
      <c r="BA95" s="17" t="s">
        <v>458</v>
      </c>
      <c r="BB95" s="17" t="s">
        <v>109</v>
      </c>
      <c r="BR95" s="7" t="str">
        <f t="shared" si="1"/>
        <v/>
      </c>
    </row>
    <row r="96" ht="22.5" customHeight="1">
      <c r="A96" s="14">
        <v>46063.39353173611</v>
      </c>
      <c r="B96" s="15">
        <v>46063.0</v>
      </c>
      <c r="C96" s="16">
        <v>0.75</v>
      </c>
      <c r="D96" s="17" t="s">
        <v>91</v>
      </c>
      <c r="E96" s="17" t="s">
        <v>620</v>
      </c>
      <c r="F96" s="17">
        <v>25.0</v>
      </c>
      <c r="G96" s="17">
        <v>250.0</v>
      </c>
      <c r="H96" s="17" t="s">
        <v>117</v>
      </c>
      <c r="I96" s="17">
        <v>10000.0</v>
      </c>
      <c r="J96" s="17" t="s">
        <v>221</v>
      </c>
      <c r="K96" s="17" t="s">
        <v>134</v>
      </c>
      <c r="L96" s="17">
        <v>22.0</v>
      </c>
      <c r="M96" s="17">
        <v>22.0</v>
      </c>
      <c r="N96" s="17">
        <v>1.0</v>
      </c>
      <c r="O96" s="17" t="s">
        <v>96</v>
      </c>
      <c r="P96" s="17" t="s">
        <v>76</v>
      </c>
      <c r="Q96" s="17" t="s">
        <v>97</v>
      </c>
      <c r="R96" s="17" t="s">
        <v>76</v>
      </c>
      <c r="S96" s="17" t="s">
        <v>153</v>
      </c>
      <c r="U96" s="17" t="s">
        <v>529</v>
      </c>
      <c r="V96" s="17">
        <v>9.676945646E9</v>
      </c>
      <c r="W96" s="17" t="s">
        <v>117</v>
      </c>
      <c r="AA96" s="17" t="s">
        <v>76</v>
      </c>
      <c r="AB96" s="17">
        <v>2.3624032003894E13</v>
      </c>
      <c r="AC96" s="18" t="s">
        <v>621</v>
      </c>
      <c r="AD96" s="17" t="s">
        <v>622</v>
      </c>
      <c r="AE96" s="18" t="s">
        <v>623</v>
      </c>
      <c r="AF96" s="17" t="s">
        <v>624</v>
      </c>
      <c r="AG96" s="18" t="s">
        <v>625</v>
      </c>
      <c r="AH96" s="17" t="s">
        <v>626</v>
      </c>
      <c r="AI96" s="18" t="s">
        <v>627</v>
      </c>
      <c r="AL96" s="17" t="s">
        <v>117</v>
      </c>
      <c r="AS96" s="17" t="s">
        <v>76</v>
      </c>
      <c r="AT96" s="17" t="s">
        <v>507</v>
      </c>
      <c r="AU96" s="17" t="s">
        <v>109</v>
      </c>
      <c r="AV96" s="17" t="s">
        <v>472</v>
      </c>
      <c r="AX96" s="15">
        <v>46062.0</v>
      </c>
      <c r="AY96" s="16">
        <v>0.7083333333357587</v>
      </c>
      <c r="AZ96" s="17" t="s">
        <v>131</v>
      </c>
      <c r="BA96" s="17" t="s">
        <v>458</v>
      </c>
      <c r="BB96" s="17" t="s">
        <v>76</v>
      </c>
      <c r="BH96" s="17">
        <v>22.0</v>
      </c>
      <c r="BJ96" s="16">
        <v>0.41666666666424135</v>
      </c>
      <c r="BK96" s="16">
        <v>0.7083333333357587</v>
      </c>
      <c r="BL96" s="17">
        <v>25.0</v>
      </c>
      <c r="BM96" s="17" t="s">
        <v>628</v>
      </c>
      <c r="BR96" s="7" t="str">
        <f t="shared" si="1"/>
        <v>CAFE REELS</v>
      </c>
    </row>
    <row r="97" ht="22.5" customHeight="1">
      <c r="A97" s="14">
        <v>46063.424975752314</v>
      </c>
      <c r="B97" s="15">
        <v>46062.0</v>
      </c>
      <c r="C97" s="16">
        <v>0.7083333333357587</v>
      </c>
      <c r="D97" s="17" t="s">
        <v>91</v>
      </c>
      <c r="E97" s="17" t="s">
        <v>629</v>
      </c>
      <c r="F97" s="17">
        <v>20.0</v>
      </c>
      <c r="G97" s="17">
        <v>200.0</v>
      </c>
      <c r="H97" s="17" t="s">
        <v>630</v>
      </c>
      <c r="J97" s="17" t="s">
        <v>94</v>
      </c>
      <c r="K97" s="17" t="s">
        <v>134</v>
      </c>
      <c r="N97" s="17">
        <v>1.0</v>
      </c>
      <c r="O97" s="17" t="s">
        <v>96</v>
      </c>
      <c r="P97" s="17" t="s">
        <v>109</v>
      </c>
      <c r="Q97" s="17" t="s">
        <v>97</v>
      </c>
      <c r="R97" s="17" t="s">
        <v>109</v>
      </c>
      <c r="S97" s="17" t="s">
        <v>631</v>
      </c>
      <c r="U97" s="17" t="s">
        <v>577</v>
      </c>
      <c r="V97" s="17" t="s">
        <v>632</v>
      </c>
      <c r="W97" s="17" t="s">
        <v>630</v>
      </c>
      <c r="AA97" s="17" t="s">
        <v>109</v>
      </c>
      <c r="AT97" s="17" t="s">
        <v>633</v>
      </c>
      <c r="AU97" s="17" t="s">
        <v>109</v>
      </c>
      <c r="AV97" s="17" t="s">
        <v>88</v>
      </c>
      <c r="AZ97" s="17" t="s">
        <v>243</v>
      </c>
      <c r="BA97" s="17" t="s">
        <v>491</v>
      </c>
      <c r="BR97" s="7" t="str">
        <f t="shared" si="1"/>
        <v>Veera di chaap</v>
      </c>
    </row>
    <row r="98" ht="22.5" customHeight="1">
      <c r="A98" s="14">
        <v>46063.43193210648</v>
      </c>
      <c r="B98" s="15">
        <v>46062.0</v>
      </c>
      <c r="C98" s="16">
        <v>0.75</v>
      </c>
      <c r="D98" s="17" t="s">
        <v>111</v>
      </c>
      <c r="T98" s="17" t="s">
        <v>634</v>
      </c>
      <c r="U98" s="17" t="s">
        <v>474</v>
      </c>
      <c r="V98" s="17" t="s">
        <v>635</v>
      </c>
      <c r="W98" s="17" t="s">
        <v>117</v>
      </c>
      <c r="AA98" s="17" t="s">
        <v>109</v>
      </c>
      <c r="AU98" s="17" t="s">
        <v>76</v>
      </c>
      <c r="AV98" s="17" t="s">
        <v>114</v>
      </c>
      <c r="AX98" s="15">
        <v>46063.0</v>
      </c>
      <c r="AY98" s="16">
        <v>0.5416666666642413</v>
      </c>
      <c r="AZ98" s="17" t="s">
        <v>164</v>
      </c>
      <c r="BA98" s="17" t="s">
        <v>458</v>
      </c>
      <c r="BB98" s="17" t="s">
        <v>76</v>
      </c>
      <c r="BR98" s="7" t="str">
        <f t="shared" si="1"/>
        <v>GODAVARI RESTAURANT </v>
      </c>
    </row>
    <row r="99" ht="22.5" customHeight="1">
      <c r="A99" s="14">
        <v>46063.43212848379</v>
      </c>
      <c r="B99" s="15">
        <v>46062.0</v>
      </c>
      <c r="C99" s="16">
        <v>0.7083333333357587</v>
      </c>
      <c r="D99" s="17" t="s">
        <v>91</v>
      </c>
      <c r="E99" s="17" t="s">
        <v>636</v>
      </c>
      <c r="F99" s="17">
        <v>10.0</v>
      </c>
      <c r="G99" s="17">
        <v>2000.0</v>
      </c>
      <c r="H99" s="17" t="s">
        <v>630</v>
      </c>
      <c r="J99" s="17" t="s">
        <v>167</v>
      </c>
      <c r="K99" s="17" t="s">
        <v>134</v>
      </c>
      <c r="N99" s="17">
        <v>8.0</v>
      </c>
      <c r="O99" s="17" t="s">
        <v>96</v>
      </c>
      <c r="P99" s="17" t="s">
        <v>76</v>
      </c>
      <c r="Q99" s="17" t="s">
        <v>97</v>
      </c>
      <c r="R99" s="17" t="s">
        <v>109</v>
      </c>
      <c r="S99" s="17" t="s">
        <v>637</v>
      </c>
      <c r="U99" s="17" t="s">
        <v>638</v>
      </c>
      <c r="V99" s="17">
        <v>9.133847766E9</v>
      </c>
      <c r="W99" s="17" t="s">
        <v>639</v>
      </c>
      <c r="AA99" s="17" t="s">
        <v>109</v>
      </c>
      <c r="AT99" s="17" t="s">
        <v>630</v>
      </c>
      <c r="AU99" s="17" t="s">
        <v>109</v>
      </c>
      <c r="AZ99" s="17" t="s">
        <v>243</v>
      </c>
      <c r="BA99" s="17" t="s">
        <v>491</v>
      </c>
      <c r="BR99" s="7" t="str">
        <f t="shared" si="1"/>
        <v>Donut O clock</v>
      </c>
    </row>
    <row r="100" ht="22.5" customHeight="1">
      <c r="A100" s="14">
        <v>46063.43280137732</v>
      </c>
      <c r="B100" s="15">
        <v>46062.0</v>
      </c>
      <c r="C100" s="16">
        <v>0.7083333333357587</v>
      </c>
      <c r="D100" s="17" t="s">
        <v>91</v>
      </c>
      <c r="E100" s="17" t="s">
        <v>640</v>
      </c>
      <c r="F100" s="17">
        <v>30.0</v>
      </c>
      <c r="G100" s="17">
        <v>300.0</v>
      </c>
      <c r="H100" s="17" t="s">
        <v>113</v>
      </c>
      <c r="I100" s="17">
        <v>50000.0</v>
      </c>
      <c r="J100" s="17" t="s">
        <v>94</v>
      </c>
      <c r="K100" s="17" t="s">
        <v>134</v>
      </c>
      <c r="L100" s="17">
        <v>22.0</v>
      </c>
      <c r="M100" s="17">
        <v>22.0</v>
      </c>
      <c r="N100" s="17">
        <v>1.0</v>
      </c>
      <c r="O100" s="17" t="s">
        <v>96</v>
      </c>
      <c r="P100" s="17" t="s">
        <v>76</v>
      </c>
      <c r="Q100" s="17" t="s">
        <v>97</v>
      </c>
      <c r="R100" s="17" t="s">
        <v>76</v>
      </c>
      <c r="S100" s="17" t="s">
        <v>119</v>
      </c>
      <c r="U100" s="17" t="s">
        <v>117</v>
      </c>
      <c r="V100" s="17">
        <v>9.908662728E9</v>
      </c>
      <c r="W100" s="17" t="s">
        <v>117</v>
      </c>
      <c r="AA100" s="17" t="s">
        <v>109</v>
      </c>
      <c r="AU100" s="17" t="s">
        <v>76</v>
      </c>
      <c r="AV100" s="17" t="s">
        <v>88</v>
      </c>
      <c r="AX100" s="15">
        <v>46065.0</v>
      </c>
      <c r="AY100" s="16">
        <v>0.5833333333357587</v>
      </c>
      <c r="AZ100" s="17" t="s">
        <v>131</v>
      </c>
      <c r="BA100" s="17" t="s">
        <v>458</v>
      </c>
      <c r="BB100" s="17" t="s">
        <v>76</v>
      </c>
      <c r="BL100" s="17">
        <v>40.0</v>
      </c>
      <c r="BN100" s="17">
        <v>1.0</v>
      </c>
      <c r="BO100" s="19"/>
      <c r="BP100" s="19"/>
      <c r="BQ100" s="19"/>
      <c r="BR100" s="7" t="str">
        <f t="shared" si="1"/>
        <v>kush mandi</v>
      </c>
    </row>
    <row r="101" ht="22.5" customHeight="1">
      <c r="A101" s="14">
        <v>46063.43333274305</v>
      </c>
      <c r="B101" s="15">
        <v>46062.0</v>
      </c>
      <c r="C101" s="16">
        <v>0.75</v>
      </c>
      <c r="D101" s="17" t="s">
        <v>111</v>
      </c>
      <c r="T101" s="17" t="s">
        <v>641</v>
      </c>
      <c r="U101" s="17" t="s">
        <v>490</v>
      </c>
      <c r="V101" s="17" t="s">
        <v>642</v>
      </c>
      <c r="W101" s="17" t="s">
        <v>117</v>
      </c>
      <c r="AA101" s="17" t="s">
        <v>109</v>
      </c>
      <c r="AU101" s="17" t="s">
        <v>76</v>
      </c>
      <c r="AV101" s="17" t="s">
        <v>114</v>
      </c>
      <c r="AX101" s="15">
        <v>46064.0</v>
      </c>
      <c r="AY101" s="16">
        <v>0.8541666666642413</v>
      </c>
      <c r="AZ101" s="17" t="s">
        <v>164</v>
      </c>
      <c r="BA101" s="17" t="s">
        <v>491</v>
      </c>
      <c r="BR101" s="7" t="str">
        <f t="shared" si="1"/>
        <v>LUCKY RESTAURANT</v>
      </c>
    </row>
    <row r="102" ht="22.5" customHeight="1">
      <c r="A102" s="14">
        <v>46063.43474287037</v>
      </c>
      <c r="B102" s="15">
        <v>46062.0</v>
      </c>
      <c r="C102" s="16">
        <v>0.7083333333357587</v>
      </c>
      <c r="D102" s="17" t="s">
        <v>91</v>
      </c>
      <c r="E102" s="17" t="s">
        <v>643</v>
      </c>
      <c r="F102" s="17">
        <v>10.0</v>
      </c>
      <c r="G102" s="17">
        <v>2000.0</v>
      </c>
      <c r="H102" s="17" t="s">
        <v>630</v>
      </c>
      <c r="J102" s="17" t="s">
        <v>167</v>
      </c>
      <c r="K102" s="17" t="s">
        <v>134</v>
      </c>
      <c r="N102" s="17">
        <v>8.0</v>
      </c>
      <c r="O102" s="17" t="s">
        <v>96</v>
      </c>
      <c r="P102" s="17" t="s">
        <v>76</v>
      </c>
      <c r="Q102" s="17" t="s">
        <v>97</v>
      </c>
      <c r="R102" s="17" t="s">
        <v>109</v>
      </c>
      <c r="S102" s="17" t="s">
        <v>637</v>
      </c>
      <c r="U102" s="17" t="s">
        <v>638</v>
      </c>
      <c r="V102" s="17">
        <v>9.133847766E9</v>
      </c>
      <c r="W102" s="17" t="s">
        <v>639</v>
      </c>
      <c r="AA102" s="17" t="s">
        <v>109</v>
      </c>
      <c r="AT102" s="17" t="s">
        <v>630</v>
      </c>
      <c r="AU102" s="17" t="s">
        <v>109</v>
      </c>
      <c r="AZ102" s="17" t="s">
        <v>243</v>
      </c>
      <c r="BA102" s="17" t="s">
        <v>491</v>
      </c>
      <c r="BR102" s="7" t="str">
        <f t="shared" si="1"/>
        <v>Tempt chocolates</v>
      </c>
    </row>
    <row r="103" ht="22.5" customHeight="1">
      <c r="A103" s="14">
        <v>46063.43501608796</v>
      </c>
      <c r="B103" s="15">
        <v>46062.0</v>
      </c>
      <c r="C103" s="16">
        <v>0.75</v>
      </c>
      <c r="U103" s="17" t="s">
        <v>465</v>
      </c>
      <c r="V103" s="17">
        <v>8.121020121E9</v>
      </c>
      <c r="W103" s="17" t="s">
        <v>117</v>
      </c>
      <c r="AA103" s="17" t="s">
        <v>109</v>
      </c>
      <c r="AU103" s="17" t="s">
        <v>76</v>
      </c>
      <c r="AV103" s="17" t="s">
        <v>271</v>
      </c>
      <c r="AX103" s="15">
        <v>46064.0</v>
      </c>
      <c r="AY103" s="16">
        <v>0.5416666666642413</v>
      </c>
      <c r="AZ103" s="17" t="s">
        <v>164</v>
      </c>
      <c r="BA103" s="17" t="s">
        <v>458</v>
      </c>
      <c r="BB103" s="17" t="s">
        <v>109</v>
      </c>
      <c r="BR103" s="7" t="str">
        <f t="shared" si="1"/>
        <v/>
      </c>
    </row>
    <row r="104" ht="22.5" customHeight="1">
      <c r="A104" s="14">
        <v>46063.43666601852</v>
      </c>
      <c r="B104" s="15">
        <v>46062.0</v>
      </c>
      <c r="C104" s="16">
        <v>0.7291666666642413</v>
      </c>
      <c r="D104" s="17" t="s">
        <v>91</v>
      </c>
      <c r="E104" s="17" t="s">
        <v>644</v>
      </c>
      <c r="F104" s="17">
        <v>10.0</v>
      </c>
      <c r="G104" s="17">
        <v>2000.0</v>
      </c>
      <c r="H104" s="17" t="s">
        <v>630</v>
      </c>
      <c r="J104" s="17" t="s">
        <v>167</v>
      </c>
      <c r="K104" s="17" t="s">
        <v>134</v>
      </c>
      <c r="N104" s="17">
        <v>8.0</v>
      </c>
      <c r="O104" s="17" t="s">
        <v>96</v>
      </c>
      <c r="P104" s="17" t="s">
        <v>76</v>
      </c>
      <c r="Q104" s="17" t="s">
        <v>97</v>
      </c>
      <c r="R104" s="17" t="s">
        <v>109</v>
      </c>
      <c r="S104" s="17" t="s">
        <v>637</v>
      </c>
      <c r="U104" s="17" t="s">
        <v>638</v>
      </c>
      <c r="V104" s="17">
        <v>9.133847766E9</v>
      </c>
      <c r="W104" s="17" t="s">
        <v>639</v>
      </c>
      <c r="AA104" s="17" t="s">
        <v>109</v>
      </c>
      <c r="AT104" s="17" t="s">
        <v>630</v>
      </c>
      <c r="AU104" s="17" t="s">
        <v>109</v>
      </c>
      <c r="AZ104" s="17" t="s">
        <v>243</v>
      </c>
      <c r="BA104" s="17" t="s">
        <v>491</v>
      </c>
      <c r="BR104" s="7" t="str">
        <f t="shared" si="1"/>
        <v>La Boulangerie</v>
      </c>
    </row>
    <row r="105" ht="22.5" customHeight="1">
      <c r="A105" s="14">
        <v>46063.43726141204</v>
      </c>
      <c r="B105" s="15">
        <v>46062.0</v>
      </c>
      <c r="C105" s="16">
        <v>0.5833333333357587</v>
      </c>
      <c r="D105" s="17" t="s">
        <v>91</v>
      </c>
      <c r="E105" s="17" t="s">
        <v>645</v>
      </c>
      <c r="F105" s="17">
        <v>30.0</v>
      </c>
      <c r="G105" s="17">
        <v>200.0</v>
      </c>
      <c r="H105" s="17" t="s">
        <v>153</v>
      </c>
      <c r="I105" s="17">
        <v>30000.0</v>
      </c>
      <c r="J105" s="17" t="s">
        <v>221</v>
      </c>
      <c r="K105" s="17" t="s">
        <v>134</v>
      </c>
      <c r="L105" s="17">
        <v>22.0</v>
      </c>
      <c r="M105" s="17">
        <v>22.0</v>
      </c>
      <c r="N105" s="17">
        <v>3.0</v>
      </c>
      <c r="O105" s="17" t="s">
        <v>96</v>
      </c>
      <c r="P105" s="17" t="s">
        <v>76</v>
      </c>
      <c r="Q105" s="17" t="s">
        <v>97</v>
      </c>
      <c r="R105" s="17" t="s">
        <v>76</v>
      </c>
      <c r="S105" s="17" t="s">
        <v>153</v>
      </c>
      <c r="U105" s="17" t="s">
        <v>646</v>
      </c>
      <c r="V105" s="17">
        <v>9.908199083E9</v>
      </c>
      <c r="W105" s="17" t="s">
        <v>117</v>
      </c>
      <c r="AA105" s="17" t="s">
        <v>109</v>
      </c>
      <c r="AU105" s="17" t="s">
        <v>76</v>
      </c>
      <c r="AV105" s="17" t="s">
        <v>472</v>
      </c>
      <c r="AX105" s="15">
        <v>46066.0</v>
      </c>
      <c r="AY105" s="16">
        <v>0.625</v>
      </c>
      <c r="AZ105" s="17" t="s">
        <v>131</v>
      </c>
      <c r="BA105" s="17" t="s">
        <v>458</v>
      </c>
      <c r="BB105" s="17" t="s">
        <v>76</v>
      </c>
      <c r="BL105" s="17">
        <v>50.0</v>
      </c>
      <c r="BN105" s="17">
        <v>3.0</v>
      </c>
      <c r="BO105" s="19"/>
      <c r="BP105" s="19"/>
      <c r="BQ105" s="19"/>
      <c r="BR105" s="7" t="str">
        <f t="shared" si="1"/>
        <v>BABAI HOTEL</v>
      </c>
    </row>
    <row r="106" ht="22.5" customHeight="1">
      <c r="A106" s="14">
        <v>46063.43857496528</v>
      </c>
      <c r="B106" s="15">
        <v>46062.0</v>
      </c>
      <c r="C106" s="16">
        <v>0.7291666666642413</v>
      </c>
      <c r="D106" s="17" t="s">
        <v>91</v>
      </c>
      <c r="E106" s="17" t="s">
        <v>647</v>
      </c>
      <c r="F106" s="17">
        <v>10.0</v>
      </c>
      <c r="G106" s="17">
        <v>2000.0</v>
      </c>
      <c r="H106" s="17" t="s">
        <v>630</v>
      </c>
      <c r="J106" s="17" t="s">
        <v>167</v>
      </c>
      <c r="K106" s="17" t="s">
        <v>134</v>
      </c>
      <c r="N106" s="17">
        <v>8.0</v>
      </c>
      <c r="O106" s="17" t="s">
        <v>96</v>
      </c>
      <c r="P106" s="17" t="s">
        <v>76</v>
      </c>
      <c r="Q106" s="17" t="s">
        <v>97</v>
      </c>
      <c r="R106" s="17" t="s">
        <v>109</v>
      </c>
      <c r="S106" s="17" t="s">
        <v>637</v>
      </c>
      <c r="U106" s="17" t="s">
        <v>638</v>
      </c>
      <c r="V106" s="17">
        <v>9.133847766E9</v>
      </c>
      <c r="W106" s="17" t="s">
        <v>639</v>
      </c>
      <c r="AA106" s="17" t="s">
        <v>109</v>
      </c>
      <c r="AT106" s="17" t="s">
        <v>630</v>
      </c>
      <c r="AU106" s="17" t="s">
        <v>109</v>
      </c>
      <c r="AZ106" s="17" t="s">
        <v>243</v>
      </c>
      <c r="BA106" s="17" t="s">
        <v>491</v>
      </c>
      <c r="BR106" s="7" t="str">
        <f t="shared" si="1"/>
        <v>Say cheese patisserie</v>
      </c>
    </row>
    <row r="107" ht="22.5" customHeight="1">
      <c r="A107" s="14">
        <v>46063.50065887731</v>
      </c>
      <c r="B107" s="15">
        <v>46063.0</v>
      </c>
      <c r="C107" s="16">
        <v>0.48958333333575865</v>
      </c>
      <c r="U107" s="17" t="s">
        <v>648</v>
      </c>
      <c r="V107" s="17">
        <v>6.30252957E9</v>
      </c>
      <c r="W107" s="17" t="s">
        <v>117</v>
      </c>
      <c r="AA107" s="17" t="s">
        <v>109</v>
      </c>
      <c r="AU107" s="17" t="s">
        <v>76</v>
      </c>
      <c r="AV107" s="17" t="s">
        <v>472</v>
      </c>
      <c r="AX107" s="15">
        <v>46064.0</v>
      </c>
      <c r="AY107" s="16">
        <v>0.5208333333357587</v>
      </c>
      <c r="AZ107" s="17" t="s">
        <v>164</v>
      </c>
      <c r="BA107" s="17" t="s">
        <v>458</v>
      </c>
      <c r="BB107" s="17" t="s">
        <v>109</v>
      </c>
      <c r="BR107" s="7" t="str">
        <f t="shared" si="1"/>
        <v/>
      </c>
    </row>
    <row r="108" ht="22.5" customHeight="1">
      <c r="A108" s="14">
        <v>46063.5109680787</v>
      </c>
      <c r="B108" s="15">
        <v>46063.0</v>
      </c>
      <c r="C108" s="16">
        <v>0.5097222222248092</v>
      </c>
      <c r="U108" s="17" t="s">
        <v>649</v>
      </c>
      <c r="V108" s="17">
        <v>9.0597125102E10</v>
      </c>
      <c r="W108" s="17" t="s">
        <v>630</v>
      </c>
      <c r="AA108" s="17" t="s">
        <v>109</v>
      </c>
      <c r="AU108" s="17" t="s">
        <v>76</v>
      </c>
      <c r="AV108" s="17" t="s">
        <v>472</v>
      </c>
      <c r="AZ108" s="17" t="s">
        <v>243</v>
      </c>
      <c r="BA108" s="17" t="s">
        <v>458</v>
      </c>
      <c r="BB108" s="17" t="s">
        <v>109</v>
      </c>
      <c r="BR108" s="7" t="str">
        <f t="shared" si="1"/>
        <v/>
      </c>
    </row>
    <row r="109" ht="22.5" customHeight="1">
      <c r="A109" s="14">
        <v>46063.51248770833</v>
      </c>
      <c r="B109" s="15">
        <v>46063.0</v>
      </c>
      <c r="C109" s="16">
        <v>0.5208333333357587</v>
      </c>
      <c r="U109" s="17" t="s">
        <v>650</v>
      </c>
      <c r="V109" s="17" t="s">
        <v>651</v>
      </c>
      <c r="W109" s="17" t="s">
        <v>113</v>
      </c>
      <c r="X109" s="17" t="s">
        <v>113</v>
      </c>
      <c r="Y109" s="17">
        <v>685.0</v>
      </c>
      <c r="Z109" s="17" t="s">
        <v>113</v>
      </c>
      <c r="AA109" s="17" t="s">
        <v>109</v>
      </c>
      <c r="AU109" s="17" t="s">
        <v>76</v>
      </c>
      <c r="AV109" s="17" t="s">
        <v>472</v>
      </c>
      <c r="AW109" s="17" t="s">
        <v>652</v>
      </c>
      <c r="AX109" s="15">
        <v>46064.0</v>
      </c>
      <c r="AY109" s="16">
        <v>0.47916666666424135</v>
      </c>
      <c r="AZ109" s="17" t="s">
        <v>356</v>
      </c>
      <c r="BA109" s="17" t="s">
        <v>458</v>
      </c>
      <c r="BB109" s="17" t="s">
        <v>109</v>
      </c>
      <c r="BR109" s="7" t="str">
        <f t="shared" si="1"/>
        <v/>
      </c>
    </row>
    <row r="110" ht="22.5" customHeight="1">
      <c r="A110" s="14">
        <v>46063.514382037036</v>
      </c>
      <c r="B110" s="15">
        <v>46063.0</v>
      </c>
      <c r="C110" s="16">
        <v>0.5208333333357587</v>
      </c>
      <c r="D110" s="17" t="s">
        <v>111</v>
      </c>
      <c r="T110" s="17" t="s">
        <v>653</v>
      </c>
      <c r="U110" s="17" t="s">
        <v>654</v>
      </c>
      <c r="V110" s="17">
        <v>6.303246535E9</v>
      </c>
      <c r="W110" s="17" t="s">
        <v>117</v>
      </c>
      <c r="AA110" s="17" t="s">
        <v>109</v>
      </c>
      <c r="AU110" s="17" t="s">
        <v>76</v>
      </c>
      <c r="AV110" s="17" t="s">
        <v>271</v>
      </c>
      <c r="AX110" s="15">
        <v>46063.0</v>
      </c>
      <c r="AY110" s="16">
        <v>0.7291666666642413</v>
      </c>
      <c r="AZ110" s="17" t="s">
        <v>164</v>
      </c>
      <c r="BA110" s="17" t="s">
        <v>458</v>
      </c>
      <c r="BB110" s="17" t="s">
        <v>76</v>
      </c>
      <c r="BR110" s="7" t="str">
        <f t="shared" si="1"/>
        <v>SARVI RESTAURANT </v>
      </c>
    </row>
    <row r="111" ht="22.5" customHeight="1">
      <c r="A111" s="14">
        <v>46063.522999305555</v>
      </c>
      <c r="B111" s="15">
        <v>46063.0</v>
      </c>
      <c r="C111" s="16">
        <v>0.5208333333357587</v>
      </c>
      <c r="U111" s="17" t="s">
        <v>655</v>
      </c>
      <c r="V111" s="17" t="s">
        <v>113</v>
      </c>
      <c r="W111" s="17" t="s">
        <v>113</v>
      </c>
      <c r="X111" s="17" t="s">
        <v>113</v>
      </c>
      <c r="Y111" s="17">
        <v>67.0</v>
      </c>
      <c r="Z111" s="17" t="s">
        <v>113</v>
      </c>
      <c r="AA111" s="17" t="s">
        <v>109</v>
      </c>
      <c r="AU111" s="17" t="s">
        <v>76</v>
      </c>
      <c r="AV111" s="17" t="s">
        <v>472</v>
      </c>
      <c r="AW111" s="17" t="s">
        <v>656</v>
      </c>
      <c r="AX111" s="15">
        <v>46064.0</v>
      </c>
      <c r="AY111" s="16">
        <v>0.47916666666424135</v>
      </c>
      <c r="AZ111" s="17" t="s">
        <v>356</v>
      </c>
      <c r="BA111" s="17" t="s">
        <v>458</v>
      </c>
      <c r="BB111" s="17" t="s">
        <v>109</v>
      </c>
      <c r="BR111" s="7" t="str">
        <f t="shared" si="1"/>
        <v/>
      </c>
    </row>
    <row r="112" ht="22.5" customHeight="1">
      <c r="A112" s="14">
        <v>46063.52475658565</v>
      </c>
      <c r="B112" s="15">
        <v>46063.0</v>
      </c>
      <c r="C112" s="16">
        <v>0.523611111115315</v>
      </c>
      <c r="U112" s="17" t="s">
        <v>657</v>
      </c>
      <c r="V112" s="17">
        <v>9.398881323E9</v>
      </c>
      <c r="W112" s="17" t="s">
        <v>630</v>
      </c>
      <c r="AA112" s="17" t="s">
        <v>109</v>
      </c>
      <c r="AU112" s="17" t="s">
        <v>76</v>
      </c>
      <c r="AV112" s="17" t="s">
        <v>472</v>
      </c>
      <c r="AZ112" s="17" t="s">
        <v>243</v>
      </c>
      <c r="BA112" s="17" t="s">
        <v>458</v>
      </c>
      <c r="BB112" s="17" t="s">
        <v>109</v>
      </c>
      <c r="BR112" s="7" t="str">
        <f t="shared" si="1"/>
        <v/>
      </c>
    </row>
    <row r="113" ht="22.5" customHeight="1">
      <c r="A113" s="14">
        <v>46063.524821122686</v>
      </c>
      <c r="B113" s="15">
        <v>46063.0</v>
      </c>
      <c r="C113" s="16">
        <v>0.5173611111094942</v>
      </c>
      <c r="U113" s="17" t="s">
        <v>658</v>
      </c>
      <c r="V113" s="17">
        <v>8.985607723E9</v>
      </c>
      <c r="W113" s="17" t="s">
        <v>117</v>
      </c>
      <c r="AA113" s="17" t="s">
        <v>109</v>
      </c>
      <c r="AU113" s="17" t="s">
        <v>76</v>
      </c>
      <c r="AV113" s="17" t="s">
        <v>472</v>
      </c>
      <c r="AX113" s="15">
        <v>46063.0</v>
      </c>
      <c r="AY113" s="16">
        <v>0.5625</v>
      </c>
      <c r="AZ113" s="17" t="s">
        <v>287</v>
      </c>
      <c r="BA113" s="17" t="s">
        <v>458</v>
      </c>
      <c r="BB113" s="17" t="s">
        <v>109</v>
      </c>
      <c r="BR113" s="7" t="str">
        <f t="shared" si="1"/>
        <v/>
      </c>
    </row>
    <row r="114" ht="22.5" customHeight="1">
      <c r="A114" s="14">
        <v>46063.52611003473</v>
      </c>
      <c r="B114" s="15">
        <v>46063.0</v>
      </c>
      <c r="C114" s="16">
        <v>0.08333333333575865</v>
      </c>
      <c r="D114" s="17" t="s">
        <v>91</v>
      </c>
      <c r="E114" s="17" t="s">
        <v>659</v>
      </c>
      <c r="F114" s="17">
        <v>150.0</v>
      </c>
      <c r="G114" s="17">
        <v>500.0</v>
      </c>
      <c r="H114" s="17" t="s">
        <v>117</v>
      </c>
      <c r="I114" s="17">
        <v>23.0</v>
      </c>
      <c r="J114" s="17" t="s">
        <v>167</v>
      </c>
      <c r="K114" s="17" t="s">
        <v>134</v>
      </c>
      <c r="N114" s="17">
        <v>2.0</v>
      </c>
      <c r="O114" s="17" t="s">
        <v>135</v>
      </c>
      <c r="P114" s="17" t="s">
        <v>109</v>
      </c>
      <c r="Q114" s="17" t="s">
        <v>97</v>
      </c>
      <c r="R114" s="17" t="s">
        <v>76</v>
      </c>
      <c r="S114" s="17" t="s">
        <v>117</v>
      </c>
      <c r="U114" s="17" t="s">
        <v>660</v>
      </c>
      <c r="V114" s="17">
        <v>9.032245891E9</v>
      </c>
      <c r="W114" s="17" t="s">
        <v>113</v>
      </c>
      <c r="AA114" s="17" t="s">
        <v>109</v>
      </c>
      <c r="AU114" s="17" t="s">
        <v>76</v>
      </c>
      <c r="AV114" s="17" t="s">
        <v>472</v>
      </c>
      <c r="AW114" s="17" t="s">
        <v>661</v>
      </c>
      <c r="AX114" s="15">
        <v>46063.0</v>
      </c>
      <c r="AY114" s="16">
        <v>0.08333333333575865</v>
      </c>
      <c r="AZ114" s="17" t="s">
        <v>356</v>
      </c>
      <c r="BA114" s="17" t="s">
        <v>458</v>
      </c>
      <c r="BB114" s="17" t="s">
        <v>76</v>
      </c>
      <c r="BL114" s="17" t="s">
        <v>117</v>
      </c>
      <c r="BN114" s="17" t="s">
        <v>662</v>
      </c>
      <c r="BO114" s="19"/>
      <c r="BP114" s="19"/>
      <c r="BQ114" s="19"/>
      <c r="BR114" s="7" t="str">
        <f t="shared" si="1"/>
        <v>Labond</v>
      </c>
    </row>
    <row r="115" ht="22.5" customHeight="1">
      <c r="A115" s="14">
        <v>46063.528312870374</v>
      </c>
      <c r="B115" s="15">
        <v>46063.0</v>
      </c>
      <c r="C115" s="16">
        <v>0.0625</v>
      </c>
      <c r="D115" s="17" t="s">
        <v>91</v>
      </c>
      <c r="E115" s="17" t="s">
        <v>663</v>
      </c>
      <c r="F115" s="17">
        <v>150.0</v>
      </c>
      <c r="G115" s="17">
        <v>500.0</v>
      </c>
      <c r="H115" s="17" t="s">
        <v>113</v>
      </c>
      <c r="I115" s="17">
        <v>23.0</v>
      </c>
      <c r="J115" s="17" t="s">
        <v>167</v>
      </c>
      <c r="N115" s="17">
        <v>1.0</v>
      </c>
      <c r="O115" s="17" t="s">
        <v>96</v>
      </c>
      <c r="P115" s="17" t="s">
        <v>76</v>
      </c>
      <c r="Q115" s="17" t="s">
        <v>97</v>
      </c>
      <c r="R115" s="17" t="s">
        <v>76</v>
      </c>
      <c r="S115" s="17" t="s">
        <v>664</v>
      </c>
      <c r="U115" s="17" t="s">
        <v>665</v>
      </c>
      <c r="V115" s="17">
        <v>6.300797895E9</v>
      </c>
      <c r="W115" s="17" t="s">
        <v>113</v>
      </c>
      <c r="X115" s="17" t="s">
        <v>113</v>
      </c>
      <c r="AA115" s="17" t="s">
        <v>109</v>
      </c>
      <c r="AU115" s="17" t="s">
        <v>76</v>
      </c>
      <c r="AV115" s="17" t="s">
        <v>472</v>
      </c>
      <c r="AW115" s="17" t="s">
        <v>666</v>
      </c>
      <c r="AX115" s="15">
        <v>46064.0</v>
      </c>
      <c r="AY115" s="16">
        <v>0.5208333333357587</v>
      </c>
      <c r="AZ115" s="17" t="s">
        <v>356</v>
      </c>
      <c r="BA115" s="17" t="s">
        <v>458</v>
      </c>
      <c r="BB115" s="17" t="s">
        <v>76</v>
      </c>
      <c r="BL115" s="17">
        <v>25.0</v>
      </c>
      <c r="BN115" s="17" t="s">
        <v>667</v>
      </c>
      <c r="BO115" s="19"/>
      <c r="BP115" s="19"/>
      <c r="BQ115" s="19"/>
      <c r="BR115" s="7" t="str">
        <f t="shared" si="1"/>
        <v>Chubby Chow</v>
      </c>
    </row>
    <row r="116" ht="22.5" customHeight="1">
      <c r="A116" s="14">
        <v>46063.53200018519</v>
      </c>
      <c r="B116" s="15">
        <v>46063.0</v>
      </c>
      <c r="C116" s="16">
        <v>0.5277777777810115</v>
      </c>
      <c r="U116" s="17" t="s">
        <v>668</v>
      </c>
      <c r="V116" s="17">
        <v>9.493932004E9</v>
      </c>
      <c r="W116" s="17" t="s">
        <v>117</v>
      </c>
      <c r="AA116" s="17" t="s">
        <v>109</v>
      </c>
      <c r="AU116" s="17" t="s">
        <v>76</v>
      </c>
      <c r="AV116" s="17" t="s">
        <v>472</v>
      </c>
      <c r="AX116" s="15">
        <v>46063.0</v>
      </c>
      <c r="AY116" s="16">
        <v>0.6041666666642413</v>
      </c>
      <c r="AZ116" s="17" t="s">
        <v>287</v>
      </c>
      <c r="BA116" s="17" t="s">
        <v>458</v>
      </c>
      <c r="BB116" s="17" t="s">
        <v>109</v>
      </c>
      <c r="BR116" s="7" t="str">
        <f t="shared" si="1"/>
        <v/>
      </c>
    </row>
    <row r="117" ht="22.5" customHeight="1">
      <c r="A117" s="14">
        <v>46063.539464340276</v>
      </c>
      <c r="B117" s="15">
        <v>46063.0</v>
      </c>
      <c r="C117" s="16">
        <v>0.5381944444452529</v>
      </c>
      <c r="U117" s="17" t="s">
        <v>669</v>
      </c>
      <c r="V117" s="17">
        <v>9.032515133E9</v>
      </c>
      <c r="W117" s="17" t="s">
        <v>117</v>
      </c>
      <c r="AA117" s="17" t="s">
        <v>109</v>
      </c>
      <c r="AU117" s="17" t="s">
        <v>76</v>
      </c>
      <c r="AV117" s="17" t="s">
        <v>472</v>
      </c>
      <c r="AX117" s="15">
        <v>46073.0</v>
      </c>
      <c r="AZ117" s="17" t="s">
        <v>287</v>
      </c>
      <c r="BA117" s="17" t="s">
        <v>458</v>
      </c>
      <c r="BB117" s="17" t="s">
        <v>109</v>
      </c>
      <c r="BR117" s="7" t="str">
        <f t="shared" si="1"/>
        <v/>
      </c>
    </row>
    <row r="118" ht="22.5" customHeight="1">
      <c r="A118" s="14">
        <v>46063.54148166667</v>
      </c>
      <c r="B118" s="15">
        <v>46063.0</v>
      </c>
      <c r="C118" s="16">
        <v>0.5402777777781012</v>
      </c>
      <c r="U118" s="17" t="s">
        <v>670</v>
      </c>
      <c r="V118" s="17">
        <v>7.739656963E9</v>
      </c>
      <c r="W118" s="17" t="s">
        <v>630</v>
      </c>
      <c r="AA118" s="17" t="s">
        <v>109</v>
      </c>
      <c r="AU118" s="17" t="s">
        <v>76</v>
      </c>
      <c r="AV118" s="17" t="s">
        <v>472</v>
      </c>
      <c r="AZ118" s="17" t="s">
        <v>243</v>
      </c>
      <c r="BA118" s="17" t="s">
        <v>458</v>
      </c>
      <c r="BB118" s="17" t="s">
        <v>109</v>
      </c>
      <c r="BR118" s="7" t="str">
        <f t="shared" si="1"/>
        <v/>
      </c>
    </row>
    <row r="119" ht="22.5" customHeight="1">
      <c r="A119" s="14">
        <v>46063.54756399305</v>
      </c>
      <c r="B119" s="15">
        <v>46063.0</v>
      </c>
      <c r="C119" s="16">
        <v>0.53125</v>
      </c>
      <c r="U119" s="17" t="s">
        <v>671</v>
      </c>
      <c r="V119" s="17">
        <v>9.581749555E9</v>
      </c>
      <c r="W119" s="17" t="s">
        <v>117</v>
      </c>
      <c r="AA119" s="17" t="s">
        <v>109</v>
      </c>
      <c r="AU119" s="17" t="s">
        <v>76</v>
      </c>
      <c r="AV119" s="17" t="s">
        <v>271</v>
      </c>
      <c r="AX119" s="15">
        <v>46065.0</v>
      </c>
      <c r="AY119" s="16">
        <v>0.6041666666642413</v>
      </c>
      <c r="AZ119" s="17" t="s">
        <v>164</v>
      </c>
      <c r="BA119" s="17" t="s">
        <v>458</v>
      </c>
      <c r="BB119" s="17" t="s">
        <v>109</v>
      </c>
      <c r="BR119" s="7" t="str">
        <f t="shared" si="1"/>
        <v/>
      </c>
    </row>
    <row r="120" ht="22.5" customHeight="1">
      <c r="A120" s="14">
        <v>46063.55443256944</v>
      </c>
      <c r="B120" s="15">
        <v>46063.0</v>
      </c>
      <c r="C120" s="16">
        <v>0.5416666666642413</v>
      </c>
      <c r="D120" s="17" t="s">
        <v>111</v>
      </c>
      <c r="T120" s="17" t="s">
        <v>672</v>
      </c>
      <c r="U120" s="17" t="s">
        <v>673</v>
      </c>
      <c r="V120" s="17">
        <v>9.014249702E9</v>
      </c>
      <c r="W120" s="17" t="s">
        <v>674</v>
      </c>
      <c r="AA120" s="17" t="s">
        <v>76</v>
      </c>
      <c r="AS120" s="17" t="s">
        <v>109</v>
      </c>
      <c r="AU120" s="17" t="s">
        <v>76</v>
      </c>
      <c r="AV120" s="17" t="s">
        <v>472</v>
      </c>
      <c r="AX120" s="15">
        <v>46063.0</v>
      </c>
      <c r="AY120" s="16">
        <v>0.5833333333357587</v>
      </c>
      <c r="AZ120" s="17" t="s">
        <v>115</v>
      </c>
      <c r="BA120" s="17" t="s">
        <v>458</v>
      </c>
      <c r="BB120" s="17" t="s">
        <v>76</v>
      </c>
      <c r="BM120" s="17" t="s">
        <v>675</v>
      </c>
      <c r="BR120" s="7" t="str">
        <f t="shared" si="1"/>
        <v>Maraheb mandi</v>
      </c>
    </row>
    <row r="121" ht="22.5" customHeight="1">
      <c r="A121" s="14">
        <v>46063.56891642361</v>
      </c>
      <c r="B121" s="15">
        <v>46063.0</v>
      </c>
      <c r="C121" s="16">
        <v>0.5659722222189885</v>
      </c>
      <c r="D121" s="17" t="s">
        <v>111</v>
      </c>
      <c r="T121" s="17" t="s">
        <v>676</v>
      </c>
      <c r="U121" s="17" t="s">
        <v>677</v>
      </c>
      <c r="V121" s="17">
        <v>7.396422628E9</v>
      </c>
      <c r="W121" s="17" t="s">
        <v>416</v>
      </c>
      <c r="AA121" s="17" t="s">
        <v>109</v>
      </c>
      <c r="AU121" s="17" t="s">
        <v>76</v>
      </c>
      <c r="AV121" s="17" t="s">
        <v>271</v>
      </c>
      <c r="AZ121" s="17" t="s">
        <v>243</v>
      </c>
      <c r="BA121" s="17" t="s">
        <v>458</v>
      </c>
      <c r="BB121" s="17" t="s">
        <v>76</v>
      </c>
      <c r="BR121" s="7" t="str">
        <f t="shared" si="1"/>
        <v>Hiyya the chrono jail mandi</v>
      </c>
    </row>
    <row r="122" ht="22.5" customHeight="1">
      <c r="A122" s="14">
        <v>46063.601767615735</v>
      </c>
      <c r="B122" s="15">
        <v>46063.0</v>
      </c>
      <c r="C122" s="16">
        <v>0.5972222222189885</v>
      </c>
      <c r="D122" s="17" t="s">
        <v>91</v>
      </c>
      <c r="E122" s="17" t="s">
        <v>678</v>
      </c>
      <c r="F122" s="17">
        <v>130.0</v>
      </c>
      <c r="G122" s="17">
        <v>1500.0</v>
      </c>
      <c r="H122" s="17" t="s">
        <v>117</v>
      </c>
      <c r="J122" s="17" t="s">
        <v>167</v>
      </c>
      <c r="K122" s="17" t="s">
        <v>134</v>
      </c>
      <c r="N122" s="17">
        <v>1.0</v>
      </c>
      <c r="O122" s="17" t="s">
        <v>117</v>
      </c>
      <c r="P122" s="17" t="s">
        <v>109</v>
      </c>
      <c r="Q122" s="17" t="s">
        <v>98</v>
      </c>
      <c r="R122" s="17" t="s">
        <v>109</v>
      </c>
      <c r="S122" s="17" t="s">
        <v>117</v>
      </c>
      <c r="U122" s="17" t="s">
        <v>679</v>
      </c>
      <c r="V122" s="17">
        <v>7.977765789E9</v>
      </c>
      <c r="W122" s="17" t="s">
        <v>117</v>
      </c>
      <c r="AA122" s="17" t="s">
        <v>109</v>
      </c>
      <c r="AU122" s="17" t="s">
        <v>76</v>
      </c>
      <c r="AV122" s="17" t="s">
        <v>472</v>
      </c>
      <c r="AW122" s="17" t="s">
        <v>680</v>
      </c>
      <c r="AZ122" s="17" t="s">
        <v>287</v>
      </c>
      <c r="BA122" s="17" t="s">
        <v>458</v>
      </c>
      <c r="BB122" s="17" t="s">
        <v>76</v>
      </c>
      <c r="BL122" s="17" t="s">
        <v>681</v>
      </c>
      <c r="BR122" s="7" t="str">
        <f t="shared" si="1"/>
        <v>Burma Burma</v>
      </c>
    </row>
    <row r="123" ht="22.5" customHeight="1">
      <c r="A123" s="14">
        <v>46063.6044628588</v>
      </c>
      <c r="B123" s="15">
        <v>46063.0</v>
      </c>
      <c r="C123" s="16">
        <v>0.5902777777810115</v>
      </c>
      <c r="D123" s="17" t="s">
        <v>111</v>
      </c>
      <c r="T123" s="17" t="s">
        <v>682</v>
      </c>
      <c r="U123" s="17" t="s">
        <v>683</v>
      </c>
      <c r="V123" s="17">
        <v>9.986998503E9</v>
      </c>
      <c r="W123" s="17" t="s">
        <v>416</v>
      </c>
      <c r="AA123" s="17" t="s">
        <v>109</v>
      </c>
      <c r="AU123" s="17" t="s">
        <v>76</v>
      </c>
      <c r="AV123" s="17" t="s">
        <v>472</v>
      </c>
      <c r="AW123" s="17" t="s">
        <v>684</v>
      </c>
      <c r="AZ123" s="17" t="s">
        <v>243</v>
      </c>
      <c r="BA123" s="17" t="s">
        <v>458</v>
      </c>
      <c r="BB123" s="17" t="s">
        <v>76</v>
      </c>
      <c r="BR123" s="7" t="str">
        <f t="shared" si="1"/>
        <v>Toscano</v>
      </c>
    </row>
    <row r="124" ht="22.5" customHeight="1">
      <c r="A124" s="14">
        <v>46063.63258563657</v>
      </c>
      <c r="B124" s="15">
        <v>46063.0</v>
      </c>
      <c r="C124" s="16">
        <v>0.125</v>
      </c>
      <c r="D124" s="17" t="s">
        <v>111</v>
      </c>
      <c r="T124" s="17" t="s">
        <v>685</v>
      </c>
      <c r="U124" s="17" t="s">
        <v>113</v>
      </c>
      <c r="V124" s="17">
        <v>9.966991234E9</v>
      </c>
      <c r="W124" s="17" t="s">
        <v>113</v>
      </c>
      <c r="AA124" s="17" t="s">
        <v>109</v>
      </c>
      <c r="AU124" s="17" t="s">
        <v>76</v>
      </c>
      <c r="AV124" s="17" t="s">
        <v>88</v>
      </c>
      <c r="AW124" s="17" t="s">
        <v>686</v>
      </c>
      <c r="AX124" s="15">
        <v>46064.0</v>
      </c>
      <c r="AY124" s="16">
        <v>0.125</v>
      </c>
      <c r="AZ124" s="17" t="s">
        <v>539</v>
      </c>
      <c r="BA124" s="17" t="s">
        <v>458</v>
      </c>
      <c r="BB124" s="17" t="s">
        <v>76</v>
      </c>
      <c r="BR124" s="7" t="str">
        <f t="shared" si="1"/>
        <v>itlu bobbatlu</v>
      </c>
    </row>
    <row r="125" ht="22.5" customHeight="1">
      <c r="A125" s="14">
        <v>46063.638314421296</v>
      </c>
      <c r="B125" s="15">
        <v>46063.0</v>
      </c>
      <c r="C125" s="16">
        <v>0.6347222222248092</v>
      </c>
      <c r="D125" s="17" t="s">
        <v>91</v>
      </c>
      <c r="E125" s="17" t="s">
        <v>687</v>
      </c>
      <c r="F125" s="17">
        <v>1.0</v>
      </c>
      <c r="G125" s="17">
        <v>300.0</v>
      </c>
      <c r="H125" s="17" t="s">
        <v>388</v>
      </c>
      <c r="J125" s="17" t="s">
        <v>94</v>
      </c>
      <c r="K125" s="17" t="s">
        <v>134</v>
      </c>
      <c r="N125" s="17">
        <v>9.0</v>
      </c>
      <c r="O125" s="17" t="s">
        <v>117</v>
      </c>
      <c r="P125" s="17" t="s">
        <v>109</v>
      </c>
      <c r="Q125" s="17" t="s">
        <v>98</v>
      </c>
      <c r="R125" s="17" t="s">
        <v>98</v>
      </c>
      <c r="S125" s="17" t="s">
        <v>117</v>
      </c>
      <c r="U125" s="17" t="s">
        <v>688</v>
      </c>
      <c r="V125" s="17">
        <v>8.688843788E9</v>
      </c>
      <c r="W125" s="17" t="s">
        <v>117</v>
      </c>
      <c r="AA125" s="17" t="s">
        <v>109</v>
      </c>
      <c r="AU125" s="17" t="s">
        <v>76</v>
      </c>
      <c r="AV125" s="17" t="s">
        <v>472</v>
      </c>
      <c r="AW125" s="17" t="s">
        <v>689</v>
      </c>
      <c r="AZ125" s="17" t="s">
        <v>287</v>
      </c>
      <c r="BA125" s="17" t="s">
        <v>458</v>
      </c>
      <c r="BB125" s="17" t="s">
        <v>76</v>
      </c>
      <c r="BR125" s="7" t="str">
        <f t="shared" si="1"/>
        <v>Gabru Di Chaap</v>
      </c>
    </row>
    <row r="126" ht="22.5" customHeight="1">
      <c r="A126" s="14">
        <v>46063.64412570602</v>
      </c>
      <c r="B126" s="15">
        <v>46063.0</v>
      </c>
      <c r="C126" s="16">
        <v>0.6388888888905058</v>
      </c>
      <c r="U126" s="17" t="s">
        <v>117</v>
      </c>
      <c r="V126" s="17" t="s">
        <v>117</v>
      </c>
      <c r="W126" s="17" t="s">
        <v>117</v>
      </c>
      <c r="AA126" s="17" t="s">
        <v>109</v>
      </c>
      <c r="AU126" s="17" t="s">
        <v>76</v>
      </c>
      <c r="AV126" s="17" t="s">
        <v>472</v>
      </c>
      <c r="AW126" s="17" t="s">
        <v>690</v>
      </c>
      <c r="AY126" s="16">
        <v>0.7916666666642413</v>
      </c>
      <c r="AZ126" s="17" t="s">
        <v>287</v>
      </c>
      <c r="BA126" s="17" t="s">
        <v>458</v>
      </c>
      <c r="BB126" s="17" t="s">
        <v>109</v>
      </c>
      <c r="BR126" s="7" t="str">
        <f t="shared" si="1"/>
        <v/>
      </c>
    </row>
    <row r="127" ht="22.5" customHeight="1">
      <c r="A127" s="14">
        <v>46063.65302893519</v>
      </c>
      <c r="B127" s="15">
        <v>46063.0</v>
      </c>
      <c r="C127" s="16">
        <v>0.125</v>
      </c>
      <c r="D127" s="17" t="s">
        <v>91</v>
      </c>
      <c r="E127" s="17" t="s">
        <v>691</v>
      </c>
      <c r="F127" s="17">
        <v>25.0</v>
      </c>
      <c r="G127" s="17">
        <v>600.0</v>
      </c>
      <c r="H127" s="17" t="s">
        <v>291</v>
      </c>
      <c r="J127" s="17" t="s">
        <v>94</v>
      </c>
      <c r="K127" s="17" t="s">
        <v>515</v>
      </c>
      <c r="L127" s="17">
        <v>19.0</v>
      </c>
      <c r="M127" s="17">
        <v>10.0</v>
      </c>
      <c r="N127" s="17">
        <v>1.0</v>
      </c>
      <c r="O127" s="17" t="s">
        <v>96</v>
      </c>
      <c r="P127" s="17" t="s">
        <v>109</v>
      </c>
      <c r="Q127" s="17" t="s">
        <v>97</v>
      </c>
      <c r="R127" s="17" t="s">
        <v>76</v>
      </c>
      <c r="S127" s="17" t="s">
        <v>113</v>
      </c>
      <c r="U127" s="17" t="s">
        <v>113</v>
      </c>
      <c r="V127" s="17" t="s">
        <v>113</v>
      </c>
      <c r="W127" s="17" t="s">
        <v>113</v>
      </c>
      <c r="AA127" s="17" t="s">
        <v>109</v>
      </c>
      <c r="AU127" s="17" t="s">
        <v>76</v>
      </c>
      <c r="AV127" s="17" t="s">
        <v>472</v>
      </c>
      <c r="AX127" s="15">
        <v>46067.0</v>
      </c>
      <c r="AY127" s="16">
        <v>0.45833333333575865</v>
      </c>
      <c r="AZ127" s="17" t="s">
        <v>539</v>
      </c>
      <c r="BA127" s="17" t="s">
        <v>458</v>
      </c>
      <c r="BB127" s="17" t="s">
        <v>76</v>
      </c>
      <c r="BL127" s="17">
        <v>40.0</v>
      </c>
      <c r="BN127" s="17" t="s">
        <v>692</v>
      </c>
      <c r="BO127" s="19"/>
      <c r="BP127" s="19"/>
      <c r="BQ127" s="19"/>
      <c r="BR127" s="7" t="str">
        <f t="shared" si="1"/>
        <v>kumbhakk</v>
      </c>
    </row>
    <row r="128" ht="22.5" customHeight="1">
      <c r="A128" s="14">
        <v>46063.65516420139</v>
      </c>
      <c r="B128" s="15">
        <v>46062.0</v>
      </c>
      <c r="C128" s="16">
        <v>0.45833333333575865</v>
      </c>
      <c r="D128" s="17" t="s">
        <v>91</v>
      </c>
      <c r="E128" s="17" t="s">
        <v>693</v>
      </c>
      <c r="F128" s="17">
        <v>100.0</v>
      </c>
      <c r="G128" s="17">
        <v>400.0</v>
      </c>
      <c r="H128" s="17" t="s">
        <v>291</v>
      </c>
      <c r="I128" s="17">
        <v>10000.0</v>
      </c>
      <c r="J128" s="17" t="s">
        <v>94</v>
      </c>
      <c r="K128" s="17" t="s">
        <v>515</v>
      </c>
      <c r="L128" s="17">
        <v>21.0</v>
      </c>
      <c r="N128" s="17">
        <v>1.0</v>
      </c>
      <c r="O128" s="17" t="s">
        <v>96</v>
      </c>
      <c r="P128" s="17" t="s">
        <v>76</v>
      </c>
      <c r="Q128" s="17" t="s">
        <v>97</v>
      </c>
      <c r="R128" s="17" t="s">
        <v>76</v>
      </c>
      <c r="S128" s="17" t="s">
        <v>113</v>
      </c>
      <c r="U128" s="17" t="s">
        <v>694</v>
      </c>
      <c r="V128" s="17">
        <v>9.100368473E9</v>
      </c>
      <c r="W128" s="17" t="s">
        <v>113</v>
      </c>
      <c r="AA128" s="17" t="s">
        <v>76</v>
      </c>
      <c r="AS128" s="17" t="s">
        <v>76</v>
      </c>
      <c r="AT128" s="17" t="s">
        <v>695</v>
      </c>
      <c r="AU128" s="17" t="s">
        <v>109</v>
      </c>
      <c r="AV128" s="17" t="s">
        <v>472</v>
      </c>
      <c r="AZ128" s="17" t="s">
        <v>539</v>
      </c>
      <c r="BA128" s="17" t="s">
        <v>458</v>
      </c>
      <c r="BB128" s="17" t="s">
        <v>76</v>
      </c>
      <c r="BL128" s="17">
        <v>90.0</v>
      </c>
      <c r="BM128" s="17" t="s">
        <v>696</v>
      </c>
      <c r="BN128" s="17" t="s">
        <v>696</v>
      </c>
      <c r="BO128" s="19"/>
      <c r="BP128" s="19"/>
      <c r="BQ128" s="19"/>
      <c r="BR128" s="7" t="str">
        <f t="shared" si="1"/>
        <v>1000 biryanis</v>
      </c>
    </row>
    <row r="129" ht="22.5" customHeight="1">
      <c r="A129" s="14">
        <v>46063.65842490741</v>
      </c>
      <c r="B129" s="15">
        <v>46063.0</v>
      </c>
      <c r="C129" s="16">
        <v>0.5736111111109494</v>
      </c>
      <c r="U129" s="17" t="s">
        <v>697</v>
      </c>
      <c r="V129" s="17">
        <v>9.39205514E8</v>
      </c>
      <c r="W129" s="17" t="s">
        <v>117</v>
      </c>
      <c r="AA129" s="17" t="s">
        <v>109</v>
      </c>
      <c r="AU129" s="17" t="s">
        <v>76</v>
      </c>
      <c r="AV129" s="17" t="s">
        <v>271</v>
      </c>
      <c r="AX129" s="15">
        <v>46066.0</v>
      </c>
      <c r="AY129" s="16">
        <v>0.6458333333357587</v>
      </c>
      <c r="AZ129" s="17" t="s">
        <v>164</v>
      </c>
      <c r="BA129" s="17" t="s">
        <v>458</v>
      </c>
      <c r="BB129" s="17" t="s">
        <v>109</v>
      </c>
      <c r="BR129" s="7" t="str">
        <f t="shared" si="1"/>
        <v/>
      </c>
    </row>
    <row r="130" ht="22.5" customHeight="1">
      <c r="A130" s="14">
        <v>46063.66644274305</v>
      </c>
      <c r="B130" s="15">
        <v>46063.0</v>
      </c>
      <c r="C130" s="16">
        <v>0.625</v>
      </c>
      <c r="D130" s="17" t="s">
        <v>111</v>
      </c>
      <c r="T130" s="17" t="s">
        <v>698</v>
      </c>
      <c r="U130" s="17" t="s">
        <v>699</v>
      </c>
      <c r="V130" s="17">
        <v>9.769343996E9</v>
      </c>
      <c r="W130" s="17" t="s">
        <v>416</v>
      </c>
      <c r="AA130" s="17" t="s">
        <v>109</v>
      </c>
      <c r="AU130" s="17" t="s">
        <v>76</v>
      </c>
      <c r="AV130" s="17" t="s">
        <v>271</v>
      </c>
      <c r="AW130" s="17" t="s">
        <v>700</v>
      </c>
      <c r="AZ130" s="17" t="s">
        <v>243</v>
      </c>
      <c r="BA130" s="17" t="s">
        <v>458</v>
      </c>
      <c r="BB130" s="17" t="s">
        <v>76</v>
      </c>
      <c r="BR130" s="7" t="str">
        <f t="shared" si="1"/>
        <v>Hard rock cafe</v>
      </c>
    </row>
    <row r="131" ht="22.5" customHeight="1">
      <c r="A131" s="14">
        <v>46063.68504334491</v>
      </c>
      <c r="B131" s="15">
        <v>46063.0</v>
      </c>
      <c r="C131" s="16">
        <v>0.16666666666424135</v>
      </c>
      <c r="D131" s="17" t="s">
        <v>111</v>
      </c>
      <c r="T131" s="17" t="s">
        <v>701</v>
      </c>
      <c r="U131" s="17" t="s">
        <v>702</v>
      </c>
      <c r="V131" s="17">
        <v>7.337001104E9</v>
      </c>
      <c r="W131" s="17" t="s">
        <v>113</v>
      </c>
      <c r="AA131" s="17" t="s">
        <v>109</v>
      </c>
      <c r="AU131" s="17" t="s">
        <v>76</v>
      </c>
      <c r="AV131" s="17" t="s">
        <v>472</v>
      </c>
      <c r="AZ131" s="17" t="s">
        <v>539</v>
      </c>
      <c r="BA131" s="17" t="s">
        <v>458</v>
      </c>
      <c r="BB131" s="17" t="s">
        <v>76</v>
      </c>
      <c r="BR131" s="7" t="str">
        <f t="shared" si="1"/>
        <v>krishnapatanam </v>
      </c>
    </row>
    <row r="132" ht="22.5" customHeight="1">
      <c r="A132" s="14">
        <v>46063.68675759259</v>
      </c>
      <c r="B132" s="15">
        <v>46063.0</v>
      </c>
      <c r="C132" s="16">
        <v>0.16666666666424135</v>
      </c>
      <c r="D132" s="17" t="s">
        <v>91</v>
      </c>
      <c r="E132" s="17" t="s">
        <v>703</v>
      </c>
      <c r="F132" s="17">
        <v>250.0</v>
      </c>
      <c r="G132" s="17">
        <v>1000.0</v>
      </c>
      <c r="H132" s="17" t="s">
        <v>113</v>
      </c>
      <c r="J132" s="17" t="s">
        <v>167</v>
      </c>
      <c r="K132" s="17" t="s">
        <v>134</v>
      </c>
      <c r="L132" s="17">
        <v>18.0</v>
      </c>
      <c r="N132" s="17">
        <v>4.0</v>
      </c>
      <c r="O132" s="17" t="s">
        <v>96</v>
      </c>
      <c r="P132" s="17" t="s">
        <v>76</v>
      </c>
      <c r="Q132" s="17" t="s">
        <v>97</v>
      </c>
      <c r="R132" s="17" t="s">
        <v>76</v>
      </c>
      <c r="S132" s="17" t="s">
        <v>113</v>
      </c>
      <c r="U132" s="17" t="s">
        <v>702</v>
      </c>
      <c r="V132" s="17">
        <v>7.337001104E9</v>
      </c>
      <c r="W132" s="17" t="s">
        <v>113</v>
      </c>
      <c r="AA132" s="17" t="s">
        <v>109</v>
      </c>
      <c r="AU132" s="17" t="s">
        <v>76</v>
      </c>
      <c r="AV132" s="17" t="s">
        <v>472</v>
      </c>
      <c r="AZ132" s="17" t="s">
        <v>539</v>
      </c>
      <c r="BA132" s="17" t="s">
        <v>458</v>
      </c>
      <c r="BB132" s="17" t="s">
        <v>76</v>
      </c>
      <c r="BN132" s="17" t="s">
        <v>692</v>
      </c>
      <c r="BO132" s="19"/>
      <c r="BP132" s="19"/>
      <c r="BQ132" s="19"/>
      <c r="BR132" s="7" t="str">
        <f t="shared" si="1"/>
        <v>president dhaba</v>
      </c>
    </row>
    <row r="133" ht="22.5" customHeight="1">
      <c r="A133" s="14">
        <v>46063.688723969906</v>
      </c>
      <c r="B133" s="15">
        <v>46063.0</v>
      </c>
      <c r="C133" s="16">
        <v>0.1875</v>
      </c>
      <c r="D133" s="17" t="s">
        <v>91</v>
      </c>
      <c r="E133" s="17" t="s">
        <v>704</v>
      </c>
      <c r="F133" s="17">
        <v>25.0</v>
      </c>
      <c r="G133" s="17">
        <v>400.0</v>
      </c>
      <c r="H133" s="17" t="s">
        <v>113</v>
      </c>
      <c r="J133" s="17" t="s">
        <v>167</v>
      </c>
      <c r="K133" s="17" t="s">
        <v>134</v>
      </c>
      <c r="N133" s="17">
        <v>1.0</v>
      </c>
      <c r="O133" s="17" t="s">
        <v>96</v>
      </c>
      <c r="P133" s="17" t="s">
        <v>76</v>
      </c>
      <c r="Q133" s="17" t="s">
        <v>97</v>
      </c>
      <c r="R133" s="17" t="s">
        <v>76</v>
      </c>
      <c r="S133" s="17" t="s">
        <v>113</v>
      </c>
      <c r="U133" s="17" t="s">
        <v>705</v>
      </c>
      <c r="V133" s="17">
        <v>9.172541254E9</v>
      </c>
      <c r="W133" s="17" t="s">
        <v>113</v>
      </c>
      <c r="AA133" s="17" t="s">
        <v>109</v>
      </c>
      <c r="AU133" s="17" t="s">
        <v>76</v>
      </c>
      <c r="AV133" s="17" t="s">
        <v>472</v>
      </c>
      <c r="AX133" s="15">
        <v>46064.0</v>
      </c>
      <c r="AY133" s="16">
        <v>0.5</v>
      </c>
      <c r="AZ133" s="17" t="s">
        <v>539</v>
      </c>
      <c r="BA133" s="17" t="s">
        <v>458</v>
      </c>
      <c r="BB133" s="17" t="s">
        <v>76</v>
      </c>
      <c r="BN133" s="17" t="s">
        <v>692</v>
      </c>
      <c r="BO133" s="19"/>
      <c r="BP133" s="19"/>
      <c r="BQ133" s="19"/>
      <c r="BR133" s="7" t="str">
        <f t="shared" si="1"/>
        <v>my froyo land</v>
      </c>
    </row>
    <row r="134" ht="22.5" customHeight="1">
      <c r="A134" s="14">
        <v>46063.689358981486</v>
      </c>
      <c r="B134" s="15">
        <v>46063.0</v>
      </c>
      <c r="C134" s="16">
        <v>0.6666666666642413</v>
      </c>
      <c r="D134" s="17" t="s">
        <v>91</v>
      </c>
      <c r="E134" s="17" t="s">
        <v>706</v>
      </c>
      <c r="F134" s="17">
        <v>80.0</v>
      </c>
      <c r="G134" s="17">
        <v>230.0</v>
      </c>
      <c r="H134" s="17" t="s">
        <v>117</v>
      </c>
      <c r="J134" s="17" t="s">
        <v>94</v>
      </c>
      <c r="K134" s="17" t="s">
        <v>134</v>
      </c>
      <c r="N134" s="17">
        <v>25.0</v>
      </c>
      <c r="O134" s="17" t="s">
        <v>117</v>
      </c>
      <c r="P134" s="17" t="s">
        <v>109</v>
      </c>
      <c r="Q134" s="17" t="s">
        <v>98</v>
      </c>
      <c r="R134" s="17" t="s">
        <v>109</v>
      </c>
      <c r="S134" s="17" t="s">
        <v>117</v>
      </c>
      <c r="U134" s="17">
        <v>7.00363664E9</v>
      </c>
      <c r="V134" s="17" t="s">
        <v>707</v>
      </c>
      <c r="W134" s="17" t="s">
        <v>117</v>
      </c>
      <c r="X134" s="17" t="s">
        <v>708</v>
      </c>
      <c r="Y134" s="17">
        <v>8.847805035E9</v>
      </c>
      <c r="AA134" s="17" t="s">
        <v>109</v>
      </c>
      <c r="AU134" s="17" t="s">
        <v>76</v>
      </c>
      <c r="AV134" s="17" t="s">
        <v>472</v>
      </c>
      <c r="AW134" s="17" t="s">
        <v>709</v>
      </c>
      <c r="AZ134" s="17" t="s">
        <v>287</v>
      </c>
      <c r="BA134" s="17" t="s">
        <v>458</v>
      </c>
      <c r="BB134" s="17" t="s">
        <v>76</v>
      </c>
      <c r="BR134" s="7" t="str">
        <f t="shared" si="1"/>
        <v>California Burrito </v>
      </c>
    </row>
    <row r="135" ht="22.5" customHeight="1">
      <c r="A135" s="14">
        <v>46063.69037474537</v>
      </c>
      <c r="B135" s="15">
        <v>46063.0</v>
      </c>
      <c r="C135" s="16">
        <v>0.6840277777810115</v>
      </c>
      <c r="U135" s="17" t="s">
        <v>117</v>
      </c>
      <c r="V135" s="17" t="s">
        <v>117</v>
      </c>
      <c r="W135" s="17" t="s">
        <v>117</v>
      </c>
      <c r="AA135" s="17" t="s">
        <v>109</v>
      </c>
      <c r="AU135" s="17" t="s">
        <v>76</v>
      </c>
      <c r="AV135" s="17" t="s">
        <v>472</v>
      </c>
      <c r="AW135" s="17" t="s">
        <v>710</v>
      </c>
      <c r="AZ135" s="17" t="s">
        <v>287</v>
      </c>
      <c r="BA135" s="17" t="s">
        <v>458</v>
      </c>
      <c r="BB135" s="17" t="s">
        <v>109</v>
      </c>
      <c r="BR135" s="7" t="str">
        <f t="shared" si="1"/>
        <v/>
      </c>
    </row>
    <row r="136" ht="22.5" customHeight="1">
      <c r="A136" s="14">
        <v>46063.70740208333</v>
      </c>
      <c r="B136" s="15">
        <v>46063.0</v>
      </c>
      <c r="C136" s="16">
        <v>0.1875</v>
      </c>
      <c r="D136" s="17" t="s">
        <v>91</v>
      </c>
      <c r="E136" s="17" t="s">
        <v>711</v>
      </c>
      <c r="F136" s="17">
        <v>120.0</v>
      </c>
      <c r="G136" s="17">
        <v>600.0</v>
      </c>
      <c r="H136" s="17" t="s">
        <v>509</v>
      </c>
      <c r="I136" s="17">
        <v>600000.0</v>
      </c>
      <c r="J136" s="17" t="s">
        <v>167</v>
      </c>
      <c r="K136" s="17" t="s">
        <v>515</v>
      </c>
      <c r="L136" s="17">
        <v>15.0</v>
      </c>
      <c r="M136" s="17">
        <v>12.0</v>
      </c>
      <c r="N136" s="17">
        <v>4.0</v>
      </c>
      <c r="O136" s="17" t="s">
        <v>96</v>
      </c>
      <c r="P136" s="17" t="s">
        <v>76</v>
      </c>
      <c r="Q136" s="17" t="s">
        <v>97</v>
      </c>
      <c r="R136" s="17" t="s">
        <v>76</v>
      </c>
      <c r="S136" s="17" t="s">
        <v>344</v>
      </c>
      <c r="U136" s="17" t="s">
        <v>712</v>
      </c>
      <c r="V136" s="17">
        <v>9.95902031E9</v>
      </c>
      <c r="W136" s="17" t="s">
        <v>713</v>
      </c>
      <c r="AA136" s="17" t="s">
        <v>109</v>
      </c>
      <c r="AU136" s="17" t="s">
        <v>76</v>
      </c>
      <c r="AV136" s="17" t="s">
        <v>373</v>
      </c>
      <c r="AW136" s="17" t="s">
        <v>574</v>
      </c>
      <c r="AZ136" s="17" t="s">
        <v>110</v>
      </c>
      <c r="BA136" s="17" t="s">
        <v>491</v>
      </c>
      <c r="BN136" s="17" t="s">
        <v>714</v>
      </c>
      <c r="BO136" s="19"/>
      <c r="BP136" s="19"/>
      <c r="BQ136" s="19"/>
      <c r="BR136" s="7" t="str">
        <f t="shared" si="1"/>
        <v>Rayalaseema Ruchulu </v>
      </c>
    </row>
    <row r="137" ht="22.5" customHeight="1">
      <c r="A137" s="14">
        <v>46063.71282648148</v>
      </c>
      <c r="B137" s="15">
        <v>46063.0</v>
      </c>
      <c r="C137" s="16">
        <v>0.7083333333357587</v>
      </c>
      <c r="D137" s="17" t="s">
        <v>91</v>
      </c>
      <c r="E137" s="17" t="s">
        <v>715</v>
      </c>
      <c r="F137" s="17">
        <v>80.0</v>
      </c>
      <c r="G137" s="17">
        <v>500.0</v>
      </c>
      <c r="H137" s="17" t="s">
        <v>117</v>
      </c>
      <c r="J137" s="17" t="s">
        <v>167</v>
      </c>
      <c r="K137" s="17" t="s">
        <v>134</v>
      </c>
      <c r="N137" s="17">
        <v>1.0</v>
      </c>
      <c r="O137" s="17" t="s">
        <v>117</v>
      </c>
      <c r="P137" s="17" t="s">
        <v>109</v>
      </c>
      <c r="Q137" s="17" t="s">
        <v>98</v>
      </c>
      <c r="R137" s="17" t="s">
        <v>109</v>
      </c>
      <c r="S137" s="17" t="s">
        <v>117</v>
      </c>
      <c r="U137" s="17" t="s">
        <v>716</v>
      </c>
      <c r="V137" s="17">
        <v>7.075777491E9</v>
      </c>
      <c r="W137" s="17" t="s">
        <v>117</v>
      </c>
      <c r="AA137" s="17" t="s">
        <v>109</v>
      </c>
      <c r="AU137" s="17" t="s">
        <v>76</v>
      </c>
      <c r="AV137" s="17" t="s">
        <v>472</v>
      </c>
      <c r="AZ137" s="17" t="s">
        <v>287</v>
      </c>
      <c r="BA137" s="17" t="s">
        <v>458</v>
      </c>
      <c r="BB137" s="17" t="s">
        <v>76</v>
      </c>
      <c r="BR137" s="7" t="str">
        <f t="shared" si="1"/>
        <v>Rayalaseema spice </v>
      </c>
    </row>
    <row r="138" ht="22.5" customHeight="1">
      <c r="A138" s="14">
        <v>46063.71414048611</v>
      </c>
      <c r="B138" s="15">
        <v>46063.0</v>
      </c>
      <c r="C138" s="16">
        <v>0.6458333333357587</v>
      </c>
      <c r="U138" s="17" t="s">
        <v>717</v>
      </c>
      <c r="V138" s="17">
        <v>9.959160354E9</v>
      </c>
      <c r="W138" s="17" t="s">
        <v>416</v>
      </c>
      <c r="AA138" s="17" t="s">
        <v>109</v>
      </c>
      <c r="AU138" s="17" t="s">
        <v>76</v>
      </c>
      <c r="AV138" s="17" t="s">
        <v>472</v>
      </c>
      <c r="AW138" s="17" t="s">
        <v>718</v>
      </c>
      <c r="AZ138" s="17" t="s">
        <v>243</v>
      </c>
      <c r="BA138" s="17" t="s">
        <v>458</v>
      </c>
      <c r="BB138" s="17" t="s">
        <v>109</v>
      </c>
      <c r="BR138" s="7" t="str">
        <f t="shared" si="1"/>
        <v/>
      </c>
    </row>
    <row r="139" ht="22.5" customHeight="1">
      <c r="A139" s="14">
        <v>46063.71598623843</v>
      </c>
      <c r="B139" s="15">
        <v>46063.0</v>
      </c>
      <c r="C139" s="16">
        <v>0.7138888888875954</v>
      </c>
      <c r="D139" s="17" t="s">
        <v>91</v>
      </c>
      <c r="E139" s="17" t="s">
        <v>719</v>
      </c>
      <c r="F139" s="17">
        <v>120.0</v>
      </c>
      <c r="G139" s="17">
        <v>500.0</v>
      </c>
      <c r="H139" s="17" t="s">
        <v>416</v>
      </c>
      <c r="J139" s="17" t="s">
        <v>167</v>
      </c>
      <c r="K139" s="17" t="s">
        <v>134</v>
      </c>
      <c r="N139" s="17">
        <v>1.0</v>
      </c>
      <c r="O139" s="17" t="s">
        <v>416</v>
      </c>
      <c r="P139" s="17" t="s">
        <v>76</v>
      </c>
      <c r="Q139" s="17" t="s">
        <v>97</v>
      </c>
      <c r="R139" s="17" t="s">
        <v>109</v>
      </c>
      <c r="S139" s="17" t="s">
        <v>388</v>
      </c>
      <c r="U139" s="17" t="s">
        <v>720</v>
      </c>
      <c r="V139" s="17">
        <v>9.140523292E9</v>
      </c>
      <c r="W139" s="17" t="s">
        <v>388</v>
      </c>
      <c r="AA139" s="17" t="s">
        <v>109</v>
      </c>
      <c r="AU139" s="17" t="s">
        <v>76</v>
      </c>
      <c r="AV139" s="17" t="s">
        <v>271</v>
      </c>
      <c r="AW139" s="17" t="s">
        <v>721</v>
      </c>
      <c r="AZ139" s="17" t="s">
        <v>243</v>
      </c>
      <c r="BA139" s="17" t="s">
        <v>458</v>
      </c>
      <c r="BB139" s="17" t="s">
        <v>76</v>
      </c>
      <c r="BR139" s="7" t="str">
        <f t="shared" si="1"/>
        <v>Kake di hatti</v>
      </c>
    </row>
    <row r="140" ht="22.5" customHeight="1">
      <c r="A140" s="14">
        <v>46063.724048460645</v>
      </c>
      <c r="B140" s="15">
        <v>46063.0</v>
      </c>
      <c r="C140" s="16">
        <v>0.71875</v>
      </c>
      <c r="D140" s="17" t="s">
        <v>91</v>
      </c>
      <c r="E140" s="17" t="s">
        <v>722</v>
      </c>
      <c r="F140" s="17">
        <v>50.0</v>
      </c>
      <c r="G140" s="17">
        <v>250.0</v>
      </c>
      <c r="H140" s="17" t="s">
        <v>117</v>
      </c>
      <c r="J140" s="17" t="s">
        <v>94</v>
      </c>
      <c r="K140" s="17" t="s">
        <v>134</v>
      </c>
      <c r="N140" s="17">
        <v>1.0</v>
      </c>
      <c r="O140" s="17" t="s">
        <v>117</v>
      </c>
      <c r="P140" s="17" t="s">
        <v>76</v>
      </c>
      <c r="Q140" s="17" t="s">
        <v>97</v>
      </c>
      <c r="R140" s="17" t="s">
        <v>76</v>
      </c>
      <c r="S140" s="17" t="s">
        <v>117</v>
      </c>
      <c r="U140" s="17" t="s">
        <v>723</v>
      </c>
      <c r="V140" s="17">
        <v>9.704025498E9</v>
      </c>
      <c r="W140" s="17" t="s">
        <v>117</v>
      </c>
      <c r="AA140" s="17" t="s">
        <v>109</v>
      </c>
      <c r="AU140" s="17" t="s">
        <v>76</v>
      </c>
      <c r="AV140" s="17" t="s">
        <v>271</v>
      </c>
      <c r="AW140" s="17" t="s">
        <v>724</v>
      </c>
      <c r="AX140" s="15">
        <v>46064.0</v>
      </c>
      <c r="AZ140" s="17" t="s">
        <v>287</v>
      </c>
      <c r="BA140" s="17" t="s">
        <v>458</v>
      </c>
      <c r="BB140" s="17" t="s">
        <v>76</v>
      </c>
      <c r="BR140" s="7" t="str">
        <f t="shared" si="1"/>
        <v>Cafe Cilantro </v>
      </c>
    </row>
    <row r="141" ht="22.5" customHeight="1">
      <c r="A141" s="14">
        <v>46063.72748364584</v>
      </c>
      <c r="B141" s="15">
        <v>46063.0</v>
      </c>
      <c r="C141" s="16">
        <v>0.7256944444452529</v>
      </c>
      <c r="D141" s="17" t="s">
        <v>91</v>
      </c>
      <c r="E141" s="17" t="s">
        <v>725</v>
      </c>
      <c r="F141" s="17">
        <v>60.0</v>
      </c>
      <c r="G141" s="17">
        <v>400.0</v>
      </c>
      <c r="H141" s="17" t="s">
        <v>117</v>
      </c>
      <c r="J141" s="17" t="s">
        <v>167</v>
      </c>
      <c r="K141" s="17" t="s">
        <v>134</v>
      </c>
      <c r="N141" s="17">
        <v>1.0</v>
      </c>
      <c r="O141" s="17" t="s">
        <v>117</v>
      </c>
      <c r="P141" s="17" t="s">
        <v>76</v>
      </c>
      <c r="Q141" s="17" t="s">
        <v>97</v>
      </c>
      <c r="R141" s="17" t="s">
        <v>76</v>
      </c>
      <c r="S141" s="17" t="s">
        <v>117</v>
      </c>
      <c r="U141" s="17" t="s">
        <v>726</v>
      </c>
      <c r="V141" s="17">
        <v>9.392857604E9</v>
      </c>
      <c r="W141" s="17" t="s">
        <v>388</v>
      </c>
      <c r="AA141" s="17" t="s">
        <v>109</v>
      </c>
      <c r="AU141" s="17" t="s">
        <v>76</v>
      </c>
      <c r="AV141" s="17" t="s">
        <v>271</v>
      </c>
      <c r="AW141" s="17" t="s">
        <v>690</v>
      </c>
      <c r="AZ141" s="17" t="s">
        <v>243</v>
      </c>
      <c r="BA141" s="17" t="s">
        <v>458</v>
      </c>
      <c r="BB141" s="17" t="s">
        <v>76</v>
      </c>
      <c r="BR141" s="7" t="str">
        <f t="shared" si="1"/>
        <v>Vaikuntapuram</v>
      </c>
    </row>
    <row r="142" ht="22.5" customHeight="1">
      <c r="A142" s="14">
        <v>46063.729076261574</v>
      </c>
      <c r="B142" s="15">
        <v>46063.0</v>
      </c>
      <c r="C142" s="16">
        <v>0.7277777777781012</v>
      </c>
      <c r="U142" s="17" t="s">
        <v>727</v>
      </c>
      <c r="V142" s="17">
        <v>9.052878671E9</v>
      </c>
      <c r="W142" s="17" t="s">
        <v>117</v>
      </c>
      <c r="AA142" s="17" t="s">
        <v>109</v>
      </c>
      <c r="AU142" s="17" t="s">
        <v>76</v>
      </c>
      <c r="AV142" s="17" t="s">
        <v>271</v>
      </c>
      <c r="AW142" s="17" t="s">
        <v>728</v>
      </c>
      <c r="AX142" s="15">
        <v>46070.0</v>
      </c>
      <c r="AY142" s="16">
        <v>0.5</v>
      </c>
      <c r="AZ142" s="17" t="s">
        <v>164</v>
      </c>
      <c r="BA142" s="17" t="s">
        <v>458</v>
      </c>
      <c r="BB142" s="17" t="s">
        <v>109</v>
      </c>
      <c r="BR142" s="7" t="str">
        <f t="shared" si="1"/>
        <v/>
      </c>
    </row>
    <row r="143" ht="22.5" customHeight="1">
      <c r="A143" s="14">
        <v>46063.73133925926</v>
      </c>
      <c r="B143" s="15">
        <v>46063.0</v>
      </c>
      <c r="C143" s="16">
        <v>0.625</v>
      </c>
      <c r="U143" s="17" t="s">
        <v>729</v>
      </c>
      <c r="V143" s="17">
        <v>9.346166695E9</v>
      </c>
      <c r="W143" s="17" t="s">
        <v>117</v>
      </c>
      <c r="AA143" s="17" t="s">
        <v>109</v>
      </c>
      <c r="AU143" s="17" t="s">
        <v>76</v>
      </c>
      <c r="AV143" s="17" t="s">
        <v>271</v>
      </c>
      <c r="AW143" s="17" t="s">
        <v>730</v>
      </c>
      <c r="AX143" s="15">
        <v>46064.0</v>
      </c>
      <c r="AY143" s="16">
        <v>0.5833333333357587</v>
      </c>
      <c r="AZ143" s="17" t="s">
        <v>164</v>
      </c>
      <c r="BA143" s="17" t="s">
        <v>458</v>
      </c>
      <c r="BB143" s="17" t="s">
        <v>109</v>
      </c>
      <c r="BR143" s="7" t="str">
        <f t="shared" si="1"/>
        <v/>
      </c>
    </row>
    <row r="144" ht="22.5" customHeight="1">
      <c r="A144" s="14">
        <v>46063.73356444444</v>
      </c>
      <c r="B144" s="15">
        <v>46063.0</v>
      </c>
      <c r="C144" s="16">
        <v>0.6145833333357587</v>
      </c>
      <c r="U144" s="17" t="s">
        <v>731</v>
      </c>
      <c r="V144" s="17">
        <v>8.886767272E9</v>
      </c>
      <c r="W144" s="17" t="s">
        <v>117</v>
      </c>
      <c r="AA144" s="17" t="s">
        <v>109</v>
      </c>
      <c r="AT144" s="17" t="s">
        <v>732</v>
      </c>
      <c r="AU144" s="17" t="s">
        <v>109</v>
      </c>
      <c r="AV144" s="17" t="s">
        <v>271</v>
      </c>
      <c r="AW144" s="17" t="s">
        <v>733</v>
      </c>
      <c r="AX144" s="15">
        <v>46064.0</v>
      </c>
      <c r="AY144" s="16">
        <v>0.5729166666642413</v>
      </c>
      <c r="AZ144" s="17" t="s">
        <v>164</v>
      </c>
      <c r="BA144" s="17" t="s">
        <v>458</v>
      </c>
      <c r="BB144" s="17" t="s">
        <v>109</v>
      </c>
      <c r="BR144" s="7" t="str">
        <f t="shared" si="1"/>
        <v/>
      </c>
    </row>
    <row r="145" ht="22.5" customHeight="1">
      <c r="A145" s="14">
        <v>46063.815719826394</v>
      </c>
      <c r="B145" s="15">
        <v>46063.0</v>
      </c>
      <c r="C145" s="16">
        <v>0.5416666666642413</v>
      </c>
      <c r="D145" s="17" t="s">
        <v>91</v>
      </c>
      <c r="E145" s="17" t="s">
        <v>734</v>
      </c>
      <c r="F145" s="17">
        <v>30.0</v>
      </c>
      <c r="G145" s="17">
        <v>250.0</v>
      </c>
      <c r="H145" s="17" t="s">
        <v>76</v>
      </c>
      <c r="I145" s="17">
        <v>15000.0</v>
      </c>
      <c r="J145" s="17" t="s">
        <v>221</v>
      </c>
      <c r="K145" s="17" t="s">
        <v>134</v>
      </c>
      <c r="L145" s="17">
        <v>22.0</v>
      </c>
      <c r="M145" s="17">
        <v>22.0</v>
      </c>
      <c r="N145" s="17">
        <v>1.0</v>
      </c>
      <c r="O145" s="17" t="s">
        <v>96</v>
      </c>
      <c r="P145" s="17" t="s">
        <v>76</v>
      </c>
      <c r="Q145" s="17" t="s">
        <v>97</v>
      </c>
      <c r="R145" s="17" t="s">
        <v>76</v>
      </c>
      <c r="S145" s="17" t="s">
        <v>388</v>
      </c>
      <c r="U145" s="17" t="s">
        <v>735</v>
      </c>
      <c r="V145" s="17">
        <v>9.888586813E10</v>
      </c>
      <c r="W145" s="17" t="s">
        <v>388</v>
      </c>
      <c r="AA145" s="17" t="s">
        <v>109</v>
      </c>
      <c r="AT145" s="17" t="s">
        <v>586</v>
      </c>
      <c r="AU145" s="17" t="s">
        <v>109</v>
      </c>
      <c r="AV145" s="17" t="s">
        <v>472</v>
      </c>
      <c r="AZ145" s="17" t="s">
        <v>131</v>
      </c>
      <c r="BA145" s="17" t="s">
        <v>458</v>
      </c>
      <c r="BB145" s="17" t="s">
        <v>76</v>
      </c>
      <c r="BL145" s="17">
        <v>40.0</v>
      </c>
      <c r="BN145" s="17">
        <v>1.0</v>
      </c>
      <c r="BO145" s="19"/>
      <c r="BP145" s="19"/>
      <c r="BQ145" s="19"/>
      <c r="BR145" s="7" t="str">
        <f t="shared" si="1"/>
        <v>Mama Thinu</v>
      </c>
    </row>
    <row r="146" ht="22.5" customHeight="1">
      <c r="A146" s="14">
        <v>46063.81780607639</v>
      </c>
      <c r="B146" s="15">
        <v>46063.0</v>
      </c>
      <c r="C146" s="16">
        <v>0.7083333333357587</v>
      </c>
      <c r="D146" s="17" t="s">
        <v>111</v>
      </c>
      <c r="T146" s="17" t="s">
        <v>736</v>
      </c>
      <c r="U146" s="17" t="s">
        <v>737</v>
      </c>
      <c r="V146" s="17">
        <v>7.991231238E9</v>
      </c>
      <c r="W146" s="17" t="s">
        <v>738</v>
      </c>
      <c r="AA146" s="17" t="s">
        <v>76</v>
      </c>
      <c r="AS146" s="17" t="s">
        <v>109</v>
      </c>
      <c r="AU146" s="17" t="s">
        <v>76</v>
      </c>
      <c r="AV146" s="17" t="s">
        <v>271</v>
      </c>
      <c r="AZ146" s="17" t="s">
        <v>115</v>
      </c>
      <c r="BA146" s="17" t="s">
        <v>458</v>
      </c>
      <c r="BB146" s="17" t="s">
        <v>76</v>
      </c>
      <c r="BM146" s="17" t="s">
        <v>739</v>
      </c>
      <c r="BR146" s="7" t="str">
        <f t="shared" si="1"/>
        <v>Simply parottas </v>
      </c>
    </row>
    <row r="147" ht="22.5" customHeight="1">
      <c r="A147" s="14">
        <v>46063.81856208333</v>
      </c>
      <c r="B147" s="15">
        <v>46063.0</v>
      </c>
      <c r="C147" s="16">
        <v>0.625</v>
      </c>
      <c r="D147" s="17" t="s">
        <v>91</v>
      </c>
      <c r="E147" s="17" t="s">
        <v>740</v>
      </c>
      <c r="F147" s="17">
        <v>75.0</v>
      </c>
      <c r="G147" s="17">
        <v>600.0</v>
      </c>
      <c r="H147" s="17" t="s">
        <v>76</v>
      </c>
      <c r="I147" s="17">
        <v>200000.0</v>
      </c>
      <c r="J147" s="17" t="s">
        <v>94</v>
      </c>
      <c r="K147" s="17" t="s">
        <v>134</v>
      </c>
      <c r="L147" s="17">
        <v>22.0</v>
      </c>
      <c r="M147" s="17">
        <v>18.0</v>
      </c>
      <c r="N147" s="17">
        <v>16.0</v>
      </c>
      <c r="O147" s="17" t="s">
        <v>96</v>
      </c>
      <c r="P147" s="17" t="s">
        <v>76</v>
      </c>
      <c r="Q147" s="17" t="s">
        <v>97</v>
      </c>
      <c r="R147" s="17" t="s">
        <v>76</v>
      </c>
      <c r="S147" s="17" t="s">
        <v>388</v>
      </c>
      <c r="U147" s="17" t="s">
        <v>741</v>
      </c>
      <c r="V147" s="17">
        <v>7.618754404E9</v>
      </c>
      <c r="W147" s="17" t="s">
        <v>388</v>
      </c>
      <c r="AA147" s="17" t="s">
        <v>109</v>
      </c>
      <c r="AU147" s="17" t="s">
        <v>76</v>
      </c>
      <c r="AV147" s="17" t="s">
        <v>271</v>
      </c>
      <c r="AX147" s="15">
        <v>46065.0</v>
      </c>
      <c r="AY147" s="16">
        <v>0.625</v>
      </c>
      <c r="AZ147" s="17" t="s">
        <v>131</v>
      </c>
      <c r="BA147" s="17" t="s">
        <v>458</v>
      </c>
      <c r="BB147" s="17" t="s">
        <v>76</v>
      </c>
      <c r="BL147" s="17">
        <v>50.0</v>
      </c>
      <c r="BN147" s="17" t="s">
        <v>742</v>
      </c>
      <c r="BO147" s="19"/>
      <c r="BP147" s="19"/>
      <c r="BQ147" s="19"/>
      <c r="BR147" s="7" t="str">
        <f t="shared" si="1"/>
        <v>Onesta Pizzeria </v>
      </c>
    </row>
    <row r="148" ht="22.5" customHeight="1">
      <c r="A148" s="14">
        <v>46063.82476454861</v>
      </c>
      <c r="B148" s="15">
        <v>46063.0</v>
      </c>
      <c r="C148" s="16">
        <v>0.6666666666642413</v>
      </c>
      <c r="D148" s="17" t="s">
        <v>91</v>
      </c>
      <c r="E148" s="17" t="s">
        <v>743</v>
      </c>
      <c r="F148" s="17">
        <v>50.0</v>
      </c>
      <c r="G148" s="17">
        <v>500.0</v>
      </c>
      <c r="H148" s="17" t="s">
        <v>76</v>
      </c>
      <c r="I148" s="17">
        <v>20000.0</v>
      </c>
      <c r="J148" s="17" t="s">
        <v>94</v>
      </c>
      <c r="K148" s="17" t="s">
        <v>134</v>
      </c>
      <c r="L148" s="17">
        <v>22.0</v>
      </c>
      <c r="M148" s="17">
        <v>20.0</v>
      </c>
      <c r="N148" s="17">
        <v>15.0</v>
      </c>
      <c r="O148" s="17" t="s">
        <v>96</v>
      </c>
      <c r="P148" s="17" t="s">
        <v>76</v>
      </c>
      <c r="Q148" s="17" t="s">
        <v>97</v>
      </c>
      <c r="R148" s="17" t="s">
        <v>76</v>
      </c>
      <c r="S148" s="17" t="s">
        <v>76</v>
      </c>
      <c r="U148" s="17" t="s">
        <v>744</v>
      </c>
      <c r="V148" s="17">
        <v>8.074932383E9</v>
      </c>
      <c r="W148" s="17" t="s">
        <v>388</v>
      </c>
      <c r="AA148" s="17" t="s">
        <v>109</v>
      </c>
      <c r="AU148" s="17" t="s">
        <v>76</v>
      </c>
      <c r="AV148" s="17" t="s">
        <v>271</v>
      </c>
      <c r="AX148" s="15">
        <v>46066.0</v>
      </c>
      <c r="AY148" s="16">
        <v>0.5</v>
      </c>
      <c r="AZ148" s="17" t="s">
        <v>131</v>
      </c>
      <c r="BA148" s="17" t="s">
        <v>458</v>
      </c>
      <c r="BB148" s="17" t="s">
        <v>76</v>
      </c>
      <c r="BL148" s="17">
        <v>150.0</v>
      </c>
      <c r="BN148" s="17" t="s">
        <v>742</v>
      </c>
      <c r="BO148" s="19"/>
      <c r="BP148" s="19"/>
      <c r="BQ148" s="19"/>
      <c r="BR148" s="7" t="str">
        <f t="shared" si="1"/>
        <v>Parampara </v>
      </c>
    </row>
    <row r="149" ht="22.5" customHeight="1">
      <c r="A149" s="14">
        <v>46064.40909339121</v>
      </c>
      <c r="B149" s="15">
        <v>46063.0</v>
      </c>
      <c r="C149" s="16">
        <v>0.02986111110658385</v>
      </c>
      <c r="D149" s="17" t="s">
        <v>91</v>
      </c>
      <c r="E149" s="17" t="s">
        <v>745</v>
      </c>
      <c r="F149" s="17">
        <v>20.0</v>
      </c>
      <c r="G149" s="17">
        <v>150.0</v>
      </c>
      <c r="H149" s="17" t="s">
        <v>509</v>
      </c>
      <c r="J149" s="17" t="s">
        <v>221</v>
      </c>
      <c r="K149" s="17" t="s">
        <v>134</v>
      </c>
      <c r="N149" s="17">
        <v>30.0</v>
      </c>
      <c r="O149" s="17" t="s">
        <v>135</v>
      </c>
      <c r="P149" s="17" t="s">
        <v>76</v>
      </c>
      <c r="Q149" s="17" t="s">
        <v>97</v>
      </c>
      <c r="R149" s="17" t="s">
        <v>109</v>
      </c>
      <c r="S149" s="17" t="s">
        <v>746</v>
      </c>
      <c r="U149" s="17" t="s">
        <v>747</v>
      </c>
      <c r="V149" s="17">
        <v>8.885294412E9</v>
      </c>
      <c r="W149" s="17" t="s">
        <v>117</v>
      </c>
      <c r="X149" s="17" t="s">
        <v>748</v>
      </c>
      <c r="Y149" s="17">
        <v>9.985095605E9</v>
      </c>
      <c r="AA149" s="17" t="s">
        <v>109</v>
      </c>
      <c r="AU149" s="17" t="s">
        <v>76</v>
      </c>
      <c r="AV149" s="17" t="s">
        <v>271</v>
      </c>
      <c r="AX149" s="15">
        <v>46065.0</v>
      </c>
      <c r="AY149" s="16">
        <v>0.5416666666642413</v>
      </c>
      <c r="AZ149" s="17" t="s">
        <v>182</v>
      </c>
      <c r="BA149" s="17" t="s">
        <v>458</v>
      </c>
      <c r="BB149" s="17" t="s">
        <v>76</v>
      </c>
      <c r="BR149" s="7" t="str">
        <f t="shared" si="1"/>
        <v>Tipsy Topsy Bakers</v>
      </c>
    </row>
    <row r="150" ht="22.5" customHeight="1">
      <c r="A150" s="14">
        <v>46064.41257090278</v>
      </c>
      <c r="B150" s="15">
        <v>46063.0</v>
      </c>
      <c r="C150" s="16">
        <v>0.5486111111094942</v>
      </c>
      <c r="U150" s="17" t="s">
        <v>749</v>
      </c>
      <c r="V150" s="17">
        <v>9.515977021E9</v>
      </c>
      <c r="W150" s="17" t="s">
        <v>117</v>
      </c>
      <c r="AA150" s="17" t="s">
        <v>109</v>
      </c>
      <c r="AT150" s="17" t="s">
        <v>750</v>
      </c>
      <c r="AU150" s="17" t="s">
        <v>109</v>
      </c>
      <c r="AZ150" s="17" t="s">
        <v>182</v>
      </c>
      <c r="BA150" s="17" t="s">
        <v>458</v>
      </c>
      <c r="BB150" s="17" t="s">
        <v>109</v>
      </c>
      <c r="BR150" s="7" t="str">
        <f t="shared" si="1"/>
        <v/>
      </c>
    </row>
    <row r="151" ht="22.5" customHeight="1">
      <c r="A151" s="14">
        <v>46064.41482856481</v>
      </c>
      <c r="B151" s="15">
        <v>46063.0</v>
      </c>
      <c r="C151" s="16">
        <v>0.5534722222218988</v>
      </c>
      <c r="U151" s="17" t="s">
        <v>751</v>
      </c>
      <c r="V151" s="17">
        <v>9.13710387E9</v>
      </c>
      <c r="W151" s="17" t="s">
        <v>117</v>
      </c>
      <c r="X151" s="17" t="s">
        <v>752</v>
      </c>
      <c r="Y151" s="17">
        <v>7.977757237E9</v>
      </c>
      <c r="AA151" s="17" t="s">
        <v>109</v>
      </c>
      <c r="AU151" s="17" t="s">
        <v>76</v>
      </c>
      <c r="AV151" s="17" t="s">
        <v>271</v>
      </c>
      <c r="AZ151" s="17" t="s">
        <v>182</v>
      </c>
      <c r="BA151" s="17" t="s">
        <v>458</v>
      </c>
      <c r="BB151" s="17" t="s">
        <v>109</v>
      </c>
      <c r="BR151" s="7" t="str">
        <f t="shared" si="1"/>
        <v/>
      </c>
    </row>
    <row r="152" ht="22.5" customHeight="1">
      <c r="A152" s="14">
        <v>46064.41650260417</v>
      </c>
      <c r="B152" s="15">
        <v>46063.0</v>
      </c>
      <c r="C152" s="16">
        <v>0.5944444444467081</v>
      </c>
      <c r="U152" s="17" t="s">
        <v>117</v>
      </c>
      <c r="V152" s="17" t="s">
        <v>117</v>
      </c>
      <c r="W152" s="17" t="s">
        <v>117</v>
      </c>
      <c r="AA152" s="17" t="s">
        <v>109</v>
      </c>
      <c r="AT152" s="17" t="s">
        <v>753</v>
      </c>
      <c r="AU152" s="17" t="s">
        <v>109</v>
      </c>
      <c r="AZ152" s="17" t="s">
        <v>182</v>
      </c>
      <c r="BA152" s="17" t="s">
        <v>458</v>
      </c>
      <c r="BB152" s="17" t="s">
        <v>109</v>
      </c>
      <c r="BR152" s="7" t="str">
        <f t="shared" si="1"/>
        <v/>
      </c>
    </row>
    <row r="153" ht="22.5" customHeight="1">
      <c r="A153" s="14">
        <v>46064.41856013889</v>
      </c>
      <c r="B153" s="15">
        <v>46063.0</v>
      </c>
      <c r="C153" s="16">
        <v>0.5847222222218988</v>
      </c>
      <c r="D153" s="17" t="s">
        <v>111</v>
      </c>
      <c r="T153" s="17" t="s">
        <v>117</v>
      </c>
      <c r="U153" s="17" t="s">
        <v>754</v>
      </c>
      <c r="V153" s="17">
        <v>7.995184676E9</v>
      </c>
      <c r="W153" s="17" t="s">
        <v>117</v>
      </c>
      <c r="AA153" s="17" t="s">
        <v>109</v>
      </c>
      <c r="AT153" s="17" t="s">
        <v>755</v>
      </c>
      <c r="AU153" s="17" t="s">
        <v>109</v>
      </c>
      <c r="AV153" s="17" t="s">
        <v>373</v>
      </c>
      <c r="AZ153" s="17" t="s">
        <v>182</v>
      </c>
      <c r="BA153" s="17" t="s">
        <v>491</v>
      </c>
      <c r="BR153" s="7" t="str">
        <f t="shared" si="1"/>
        <v>NA</v>
      </c>
    </row>
    <row r="154" ht="22.5" customHeight="1">
      <c r="A154" s="14">
        <v>46064.42356098379</v>
      </c>
      <c r="B154" s="15">
        <v>46063.0</v>
      </c>
      <c r="C154" s="16">
        <v>0.5416666666642413</v>
      </c>
      <c r="D154" s="17" t="s">
        <v>91</v>
      </c>
      <c r="E154" s="17" t="s">
        <v>734</v>
      </c>
      <c r="F154" s="17">
        <v>30.0</v>
      </c>
      <c r="G154" s="17">
        <v>250.0</v>
      </c>
      <c r="H154" s="17" t="s">
        <v>291</v>
      </c>
      <c r="I154" s="17">
        <v>10000.0</v>
      </c>
      <c r="J154" s="17" t="s">
        <v>221</v>
      </c>
      <c r="K154" s="17" t="s">
        <v>134</v>
      </c>
      <c r="L154" s="17">
        <v>22.0</v>
      </c>
      <c r="M154" s="17">
        <v>20.0</v>
      </c>
      <c r="N154" s="17">
        <v>1.0</v>
      </c>
      <c r="O154" s="17" t="s">
        <v>96</v>
      </c>
      <c r="P154" s="17" t="s">
        <v>76</v>
      </c>
      <c r="Q154" s="17" t="s">
        <v>97</v>
      </c>
      <c r="R154" s="17" t="s">
        <v>76</v>
      </c>
      <c r="S154" s="17" t="s">
        <v>119</v>
      </c>
      <c r="U154" s="17" t="s">
        <v>756</v>
      </c>
      <c r="V154" s="17">
        <v>9.88586813E9</v>
      </c>
      <c r="W154" s="17" t="s">
        <v>117</v>
      </c>
      <c r="AA154" s="17" t="s">
        <v>109</v>
      </c>
      <c r="AT154" s="17" t="s">
        <v>757</v>
      </c>
      <c r="AU154" s="17" t="s">
        <v>109</v>
      </c>
      <c r="AV154" s="17" t="s">
        <v>88</v>
      </c>
      <c r="AX154" s="15">
        <v>46065.0</v>
      </c>
      <c r="AY154" s="16">
        <v>0.5833333333357587</v>
      </c>
      <c r="AZ154" s="17" t="s">
        <v>131</v>
      </c>
      <c r="BA154" s="17" t="s">
        <v>458</v>
      </c>
      <c r="BB154" s="17" t="s">
        <v>76</v>
      </c>
      <c r="BL154" s="17">
        <v>20.0</v>
      </c>
      <c r="BN154" s="17" t="s">
        <v>758</v>
      </c>
      <c r="BO154" s="19"/>
      <c r="BP154" s="19"/>
      <c r="BQ154" s="19"/>
      <c r="BR154" s="7" t="str">
        <f t="shared" si="1"/>
        <v>Mama Thinu</v>
      </c>
    </row>
    <row r="155" ht="22.5" customHeight="1">
      <c r="A155" s="14">
        <v>46064.5139997338</v>
      </c>
      <c r="B155" s="15">
        <v>46064.0</v>
      </c>
      <c r="C155" s="16">
        <v>0.5124999999970896</v>
      </c>
      <c r="D155" s="17" t="s">
        <v>111</v>
      </c>
      <c r="T155" s="17" t="s">
        <v>759</v>
      </c>
      <c r="U155" s="17" t="s">
        <v>760</v>
      </c>
      <c r="V155" s="17">
        <v>9.866847607E9</v>
      </c>
      <c r="W155" s="17" t="s">
        <v>117</v>
      </c>
      <c r="AA155" s="17" t="s">
        <v>109</v>
      </c>
      <c r="AU155" s="17" t="s">
        <v>76</v>
      </c>
      <c r="AV155" s="17" t="s">
        <v>271</v>
      </c>
      <c r="AW155" s="17" t="s">
        <v>761</v>
      </c>
      <c r="AZ155" s="17" t="s">
        <v>164</v>
      </c>
      <c r="BA155" s="17" t="s">
        <v>491</v>
      </c>
      <c r="BR155" s="7" t="str">
        <f t="shared" si="1"/>
        <v>ARMAN HOTEL</v>
      </c>
    </row>
    <row r="156" ht="22.5" customHeight="1">
      <c r="A156" s="14">
        <v>46064.5149674537</v>
      </c>
      <c r="B156" s="15">
        <v>46064.0</v>
      </c>
      <c r="C156" s="16">
        <v>0.5131944444437977</v>
      </c>
      <c r="D156" s="17" t="s">
        <v>111</v>
      </c>
      <c r="T156" s="17" t="s">
        <v>762</v>
      </c>
      <c r="U156" s="17" t="s">
        <v>763</v>
      </c>
      <c r="V156" s="17">
        <v>9.849343059E9</v>
      </c>
      <c r="W156" s="17" t="s">
        <v>388</v>
      </c>
      <c r="AA156" s="17" t="s">
        <v>109</v>
      </c>
      <c r="AU156" s="17" t="s">
        <v>76</v>
      </c>
      <c r="AV156" s="17" t="s">
        <v>88</v>
      </c>
      <c r="AX156" s="15">
        <v>46065.0</v>
      </c>
      <c r="AY156" s="16">
        <v>0.47916666666424135</v>
      </c>
      <c r="AZ156" s="17" t="s">
        <v>243</v>
      </c>
      <c r="BA156" s="17" t="s">
        <v>458</v>
      </c>
      <c r="BB156" s="17" t="s">
        <v>76</v>
      </c>
      <c r="BR156" s="7" t="str">
        <f t="shared" si="1"/>
        <v>Suryakantham military hotel </v>
      </c>
    </row>
    <row r="157" ht="22.5" customHeight="1">
      <c r="A157" s="14">
        <v>46064.52592392361</v>
      </c>
      <c r="B157" s="15">
        <v>46064.0</v>
      </c>
      <c r="C157" s="16">
        <v>0.020833333335758653</v>
      </c>
      <c r="D157" s="17" t="s">
        <v>91</v>
      </c>
      <c r="E157" s="17" t="s">
        <v>764</v>
      </c>
      <c r="F157" s="17">
        <v>1.0</v>
      </c>
      <c r="G157" s="17">
        <v>150.0</v>
      </c>
      <c r="H157" s="17" t="s">
        <v>765</v>
      </c>
      <c r="J157" s="17" t="s">
        <v>221</v>
      </c>
      <c r="K157" s="17" t="s">
        <v>134</v>
      </c>
      <c r="N157" s="17">
        <v>1.0</v>
      </c>
      <c r="O157" s="17" t="s">
        <v>96</v>
      </c>
      <c r="P157" s="17" t="s">
        <v>76</v>
      </c>
      <c r="Q157" s="17" t="s">
        <v>97</v>
      </c>
      <c r="R157" s="17" t="s">
        <v>98</v>
      </c>
      <c r="S157" s="17" t="s">
        <v>766</v>
      </c>
      <c r="U157" s="17" t="s">
        <v>767</v>
      </c>
      <c r="V157" s="17" t="s">
        <v>768</v>
      </c>
      <c r="W157" s="17" t="s">
        <v>769</v>
      </c>
      <c r="AA157" s="17" t="s">
        <v>109</v>
      </c>
      <c r="AU157" s="17" t="s">
        <v>76</v>
      </c>
      <c r="AV157" s="17" t="s">
        <v>88</v>
      </c>
      <c r="AX157" s="15">
        <v>46074.0</v>
      </c>
      <c r="AZ157" s="17" t="s">
        <v>182</v>
      </c>
      <c r="BA157" s="17" t="s">
        <v>458</v>
      </c>
      <c r="BB157" s="17" t="s">
        <v>76</v>
      </c>
      <c r="BL157" s="17">
        <v>70.0</v>
      </c>
      <c r="BR157" s="7" t="str">
        <f t="shared" si="1"/>
        <v>D and D Caters </v>
      </c>
    </row>
    <row r="158" ht="22.5" customHeight="1">
      <c r="A158" s="14">
        <v>46064.5266272338</v>
      </c>
      <c r="B158" s="15">
        <v>46064.0</v>
      </c>
      <c r="C158" s="16">
        <v>0.4951388888875954</v>
      </c>
      <c r="D158" s="17" t="s">
        <v>91</v>
      </c>
      <c r="E158" s="17" t="s">
        <v>770</v>
      </c>
      <c r="F158" s="17">
        <v>1.0</v>
      </c>
      <c r="G158" s="17">
        <v>250.0</v>
      </c>
      <c r="H158" s="17" t="s">
        <v>771</v>
      </c>
      <c r="I158" s="17">
        <v>25000.0</v>
      </c>
      <c r="J158" s="17" t="s">
        <v>94</v>
      </c>
      <c r="K158" s="17" t="s">
        <v>273</v>
      </c>
      <c r="L158" s="17">
        <v>40.0</v>
      </c>
      <c r="M158" s="17">
        <v>22.0</v>
      </c>
      <c r="N158" s="17">
        <v>1.0</v>
      </c>
      <c r="O158" s="17" t="s">
        <v>96</v>
      </c>
      <c r="P158" s="17" t="s">
        <v>76</v>
      </c>
      <c r="Q158" s="17" t="s">
        <v>97</v>
      </c>
      <c r="R158" s="17" t="s">
        <v>76</v>
      </c>
      <c r="S158" s="17" t="s">
        <v>117</v>
      </c>
      <c r="U158" s="17" t="s">
        <v>772</v>
      </c>
      <c r="V158" s="17">
        <v>8.185802329E9</v>
      </c>
      <c r="W158" s="17" t="s">
        <v>773</v>
      </c>
      <c r="AA158" s="17" t="s">
        <v>76</v>
      </c>
      <c r="AB158" s="17">
        <v>1.3623013000736E13</v>
      </c>
      <c r="AC158" s="18" t="s">
        <v>774</v>
      </c>
      <c r="AD158" s="17" t="s">
        <v>775</v>
      </c>
      <c r="AE158" s="18" t="s">
        <v>776</v>
      </c>
      <c r="AI158" s="18" t="s">
        <v>777</v>
      </c>
      <c r="AK158" s="18" t="s">
        <v>778</v>
      </c>
      <c r="AS158" s="17" t="s">
        <v>76</v>
      </c>
      <c r="AT158" s="17" t="s">
        <v>586</v>
      </c>
      <c r="AU158" s="17" t="s">
        <v>109</v>
      </c>
      <c r="AZ158" s="17" t="s">
        <v>287</v>
      </c>
      <c r="BA158" s="17" t="s">
        <v>458</v>
      </c>
      <c r="BB158" s="17" t="s">
        <v>76</v>
      </c>
      <c r="BI158" s="17" t="s">
        <v>109</v>
      </c>
      <c r="BM158" s="17" t="s">
        <v>779</v>
      </c>
      <c r="BR158" s="7" t="str">
        <f t="shared" si="1"/>
        <v>Manasa Kitchen</v>
      </c>
    </row>
    <row r="159" ht="22.5" customHeight="1">
      <c r="A159" s="14">
        <v>46064.52892373843</v>
      </c>
      <c r="B159" s="15">
        <v>46064.0</v>
      </c>
      <c r="C159" s="16">
        <v>0.02569444444088731</v>
      </c>
      <c r="D159" s="17" t="s">
        <v>91</v>
      </c>
      <c r="E159" s="17" t="s">
        <v>780</v>
      </c>
      <c r="F159" s="17">
        <v>1.0</v>
      </c>
      <c r="G159" s="17">
        <v>150.0</v>
      </c>
      <c r="H159" s="17" t="s">
        <v>117</v>
      </c>
      <c r="I159" s="17">
        <v>1.0</v>
      </c>
      <c r="J159" s="17" t="s">
        <v>221</v>
      </c>
      <c r="K159" s="17" t="s">
        <v>134</v>
      </c>
      <c r="N159" s="17">
        <v>5.0</v>
      </c>
      <c r="O159" s="17" t="s">
        <v>96</v>
      </c>
      <c r="P159" s="17" t="s">
        <v>76</v>
      </c>
      <c r="Q159" s="17" t="s">
        <v>97</v>
      </c>
      <c r="R159" s="17" t="s">
        <v>98</v>
      </c>
      <c r="S159" s="17" t="s">
        <v>781</v>
      </c>
      <c r="U159" s="17" t="s">
        <v>117</v>
      </c>
      <c r="V159" s="17" t="s">
        <v>117</v>
      </c>
      <c r="W159" s="17" t="s">
        <v>117</v>
      </c>
      <c r="AA159" s="17" t="s">
        <v>109</v>
      </c>
      <c r="AU159" s="17" t="s">
        <v>76</v>
      </c>
      <c r="AZ159" s="17" t="s">
        <v>182</v>
      </c>
      <c r="BA159" s="17" t="s">
        <v>458</v>
      </c>
      <c r="BB159" s="17" t="s">
        <v>76</v>
      </c>
      <c r="BR159" s="7" t="str">
        <f t="shared" si="1"/>
        <v>Vasista Sri Lakshmi </v>
      </c>
    </row>
    <row r="160" ht="22.5" customHeight="1">
      <c r="A160" s="14">
        <v>46064.55044092593</v>
      </c>
      <c r="B160" s="15">
        <v>46064.0</v>
      </c>
      <c r="C160" s="16">
        <v>0.5493055555562023</v>
      </c>
      <c r="U160" s="17" t="s">
        <v>782</v>
      </c>
      <c r="V160" s="17">
        <v>9.550402185E9</v>
      </c>
      <c r="W160" s="17" t="s">
        <v>388</v>
      </c>
      <c r="AA160" s="17" t="s">
        <v>109</v>
      </c>
      <c r="AU160" s="17" t="s">
        <v>76</v>
      </c>
      <c r="AV160" s="17" t="s">
        <v>472</v>
      </c>
      <c r="AW160" s="17" t="s">
        <v>783</v>
      </c>
      <c r="AZ160" s="17" t="s">
        <v>243</v>
      </c>
      <c r="BA160" s="17" t="s">
        <v>458</v>
      </c>
      <c r="BB160" s="17" t="s">
        <v>109</v>
      </c>
      <c r="BR160" s="7" t="str">
        <f t="shared" si="1"/>
        <v/>
      </c>
    </row>
    <row r="161" ht="22.5" customHeight="1">
      <c r="A161" s="14">
        <v>46064.55285415509</v>
      </c>
      <c r="B161" s="15">
        <v>46064.0</v>
      </c>
      <c r="C161" s="16">
        <v>0.5347222222189885</v>
      </c>
      <c r="D161" s="17" t="s">
        <v>91</v>
      </c>
      <c r="E161" s="17" t="s">
        <v>784</v>
      </c>
      <c r="F161" s="17">
        <v>60.0</v>
      </c>
      <c r="G161" s="17">
        <v>300.0</v>
      </c>
      <c r="H161" s="17" t="s">
        <v>117</v>
      </c>
      <c r="J161" s="17" t="s">
        <v>221</v>
      </c>
      <c r="K161" s="17" t="s">
        <v>134</v>
      </c>
      <c r="N161" s="17">
        <v>2.0</v>
      </c>
      <c r="O161" s="17" t="s">
        <v>96</v>
      </c>
      <c r="P161" s="17" t="s">
        <v>76</v>
      </c>
      <c r="Q161" s="17" t="s">
        <v>97</v>
      </c>
      <c r="R161" s="17" t="s">
        <v>76</v>
      </c>
      <c r="S161" s="17" t="s">
        <v>117</v>
      </c>
      <c r="U161" s="17" t="s">
        <v>785</v>
      </c>
      <c r="V161" s="17">
        <v>9.966660134E9</v>
      </c>
      <c r="W161" s="17" t="s">
        <v>117</v>
      </c>
      <c r="AA161" s="17" t="s">
        <v>109</v>
      </c>
      <c r="AU161" s="17" t="s">
        <v>76</v>
      </c>
      <c r="AV161" s="17" t="s">
        <v>271</v>
      </c>
      <c r="AZ161" s="17" t="s">
        <v>287</v>
      </c>
      <c r="BA161" s="17" t="s">
        <v>458</v>
      </c>
      <c r="BB161" s="17" t="s">
        <v>76</v>
      </c>
      <c r="BR161" s="7" t="str">
        <f t="shared" si="1"/>
        <v>Dosthugallu Mandi</v>
      </c>
    </row>
    <row r="162" ht="22.5" customHeight="1">
      <c r="A162" s="14">
        <v>46064.55428921296</v>
      </c>
      <c r="B162" s="15">
        <v>46064.0</v>
      </c>
      <c r="C162" s="16">
        <v>0.5444444444437977</v>
      </c>
      <c r="D162" s="17" t="s">
        <v>91</v>
      </c>
      <c r="E162" s="17" t="s">
        <v>786</v>
      </c>
      <c r="F162" s="17">
        <v>1.0</v>
      </c>
      <c r="G162" s="17">
        <v>500.0</v>
      </c>
      <c r="H162" s="17" t="s">
        <v>117</v>
      </c>
      <c r="J162" s="17" t="s">
        <v>167</v>
      </c>
      <c r="N162" s="17">
        <v>1.0</v>
      </c>
      <c r="O162" s="17" t="s">
        <v>117</v>
      </c>
      <c r="P162" s="17" t="s">
        <v>76</v>
      </c>
      <c r="Q162" s="17" t="s">
        <v>97</v>
      </c>
      <c r="R162" s="17" t="s">
        <v>76</v>
      </c>
      <c r="S162" s="17" t="s">
        <v>117</v>
      </c>
      <c r="U162" s="17" t="s">
        <v>787</v>
      </c>
      <c r="V162" s="17">
        <v>9.052253253E9</v>
      </c>
      <c r="W162" s="17" t="s">
        <v>388</v>
      </c>
      <c r="AA162" s="17" t="s">
        <v>109</v>
      </c>
      <c r="AU162" s="17" t="s">
        <v>76</v>
      </c>
      <c r="AV162" s="17" t="s">
        <v>271</v>
      </c>
      <c r="AZ162" s="17" t="s">
        <v>287</v>
      </c>
      <c r="BA162" s="17" t="s">
        <v>458</v>
      </c>
      <c r="BB162" s="17" t="s">
        <v>76</v>
      </c>
      <c r="BR162" s="7" t="str">
        <f t="shared" si="1"/>
        <v>Namesthe</v>
      </c>
    </row>
    <row r="163" ht="22.5" customHeight="1">
      <c r="A163" s="14">
        <v>46064.55603037037</v>
      </c>
      <c r="B163" s="15">
        <v>46064.0</v>
      </c>
      <c r="C163" s="16">
        <v>0.5493055555562023</v>
      </c>
      <c r="D163" s="17" t="s">
        <v>91</v>
      </c>
      <c r="E163" s="17" t="s">
        <v>788</v>
      </c>
      <c r="F163" s="17">
        <v>40.0</v>
      </c>
      <c r="G163" s="17">
        <v>120.0</v>
      </c>
      <c r="H163" s="17" t="s">
        <v>117</v>
      </c>
      <c r="J163" s="17" t="s">
        <v>221</v>
      </c>
      <c r="K163" s="17" t="s">
        <v>118</v>
      </c>
      <c r="N163" s="17">
        <v>1.0</v>
      </c>
      <c r="O163" s="17" t="s">
        <v>96</v>
      </c>
      <c r="P163" s="17" t="s">
        <v>76</v>
      </c>
      <c r="Q163" s="17" t="s">
        <v>97</v>
      </c>
      <c r="R163" s="17" t="s">
        <v>76</v>
      </c>
      <c r="S163" s="17" t="s">
        <v>117</v>
      </c>
      <c r="U163" s="17" t="s">
        <v>789</v>
      </c>
      <c r="V163" s="17">
        <v>9.059036521E9</v>
      </c>
      <c r="W163" s="17" t="s">
        <v>117</v>
      </c>
      <c r="AA163" s="17" t="s">
        <v>109</v>
      </c>
      <c r="AU163" s="17" t="s">
        <v>76</v>
      </c>
      <c r="AV163" s="17" t="s">
        <v>472</v>
      </c>
      <c r="AW163" s="17" t="s">
        <v>790</v>
      </c>
      <c r="AX163" s="15">
        <v>46066.0</v>
      </c>
      <c r="AZ163" s="17" t="s">
        <v>287</v>
      </c>
      <c r="BA163" s="17" t="s">
        <v>458</v>
      </c>
      <c r="BB163" s="17" t="s">
        <v>76</v>
      </c>
      <c r="BR163" s="7" t="str">
        <f t="shared" si="1"/>
        <v>Spicy Express </v>
      </c>
    </row>
    <row r="164" ht="22.5" customHeight="1">
      <c r="A164" s="14">
        <v>46064.58129631945</v>
      </c>
      <c r="B164" s="15">
        <v>46064.0</v>
      </c>
      <c r="C164" s="16">
        <v>0.5625</v>
      </c>
      <c r="D164" s="17" t="s">
        <v>91</v>
      </c>
      <c r="E164" s="17" t="s">
        <v>791</v>
      </c>
      <c r="F164" s="17">
        <v>25.0</v>
      </c>
      <c r="G164" s="17">
        <v>280.0</v>
      </c>
      <c r="H164" s="17" t="s">
        <v>95</v>
      </c>
      <c r="I164" s="17">
        <v>25000.0</v>
      </c>
      <c r="J164" s="17" t="s">
        <v>94</v>
      </c>
      <c r="K164" s="17" t="s">
        <v>134</v>
      </c>
      <c r="L164" s="17">
        <v>22.0</v>
      </c>
      <c r="M164" s="17">
        <v>16.0</v>
      </c>
      <c r="N164" s="17">
        <v>1.0</v>
      </c>
      <c r="O164" s="17" t="s">
        <v>96</v>
      </c>
      <c r="P164" s="17" t="s">
        <v>76</v>
      </c>
      <c r="Q164" s="17" t="s">
        <v>97</v>
      </c>
      <c r="R164" s="17" t="s">
        <v>76</v>
      </c>
      <c r="S164" s="18" t="s">
        <v>792</v>
      </c>
      <c r="U164" s="17" t="s">
        <v>793</v>
      </c>
      <c r="V164" s="17">
        <v>7.032735002E9</v>
      </c>
      <c r="W164" s="17" t="s">
        <v>794</v>
      </c>
      <c r="AA164" s="17" t="s">
        <v>76</v>
      </c>
      <c r="AB164" s="17">
        <v>2.3625032006654E13</v>
      </c>
      <c r="AC164" s="18" t="s">
        <v>795</v>
      </c>
      <c r="AD164" s="17" t="s">
        <v>796</v>
      </c>
      <c r="AE164" s="18" t="s">
        <v>797</v>
      </c>
      <c r="AF164" s="17" t="s">
        <v>798</v>
      </c>
      <c r="AH164" s="17" t="s">
        <v>799</v>
      </c>
      <c r="AI164" s="18" t="s">
        <v>800</v>
      </c>
      <c r="AS164" s="17" t="s">
        <v>76</v>
      </c>
      <c r="AT164" s="17" t="s">
        <v>801</v>
      </c>
      <c r="AU164" s="17" t="s">
        <v>109</v>
      </c>
      <c r="AZ164" s="17" t="s">
        <v>110</v>
      </c>
      <c r="BA164" s="17" t="s">
        <v>491</v>
      </c>
      <c r="BL164" s="17">
        <v>80.0</v>
      </c>
      <c r="BM164" s="17" t="s">
        <v>802</v>
      </c>
      <c r="BN164" s="17" t="s">
        <v>779</v>
      </c>
      <c r="BO164" s="19"/>
      <c r="BP164" s="19"/>
      <c r="BQ164" s="19"/>
      <c r="BR164" s="7" t="str">
        <f t="shared" si="1"/>
        <v>Chintamani Pulaos</v>
      </c>
    </row>
    <row r="165" ht="22.5" customHeight="1">
      <c r="A165" s="14">
        <v>46064.618583194446</v>
      </c>
      <c r="B165" s="15">
        <v>46064.0</v>
      </c>
      <c r="C165" s="16">
        <v>0.5972222222189885</v>
      </c>
      <c r="U165" s="17" t="s">
        <v>803</v>
      </c>
      <c r="V165" s="17">
        <v>9.133424262E9</v>
      </c>
      <c r="W165" s="17" t="s">
        <v>117</v>
      </c>
      <c r="AA165" s="17" t="s">
        <v>109</v>
      </c>
      <c r="AU165" s="17" t="s">
        <v>76</v>
      </c>
      <c r="AV165" s="17" t="s">
        <v>271</v>
      </c>
      <c r="AX165" s="15">
        <v>46069.0</v>
      </c>
      <c r="AY165" s="16">
        <v>0.5833333333357587</v>
      </c>
      <c r="AZ165" s="17" t="s">
        <v>164</v>
      </c>
      <c r="BA165" s="17" t="s">
        <v>458</v>
      </c>
      <c r="BB165" s="17" t="s">
        <v>109</v>
      </c>
      <c r="BR165" s="7" t="str">
        <f t="shared" si="1"/>
        <v/>
      </c>
    </row>
    <row r="166" ht="22.5" customHeight="1">
      <c r="A166" s="14">
        <v>46064.62104873842</v>
      </c>
      <c r="B166" s="15">
        <v>46064.0</v>
      </c>
      <c r="C166" s="16">
        <v>0.5729166666642413</v>
      </c>
      <c r="D166" s="17" t="s">
        <v>111</v>
      </c>
      <c r="T166" s="17" t="s">
        <v>804</v>
      </c>
      <c r="U166" s="17" t="s">
        <v>805</v>
      </c>
      <c r="V166" s="17" t="s">
        <v>117</v>
      </c>
      <c r="W166" s="17" t="s">
        <v>117</v>
      </c>
      <c r="AA166" s="17" t="s">
        <v>109</v>
      </c>
      <c r="AU166" s="17" t="s">
        <v>76</v>
      </c>
      <c r="AV166" s="17" t="s">
        <v>271</v>
      </c>
      <c r="AW166" s="17" t="s">
        <v>806</v>
      </c>
      <c r="AX166" s="15">
        <v>46069.0</v>
      </c>
      <c r="AY166" s="16">
        <v>0.7916666666642413</v>
      </c>
      <c r="AZ166" s="17" t="s">
        <v>164</v>
      </c>
      <c r="BA166" s="17" t="s">
        <v>491</v>
      </c>
      <c r="BR166" s="7" t="str">
        <f t="shared" si="1"/>
        <v>royal arabian mandi </v>
      </c>
    </row>
    <row r="167" ht="22.5" customHeight="1">
      <c r="A167" s="14">
        <v>46064.62321856481</v>
      </c>
      <c r="B167" s="15">
        <v>46064.0</v>
      </c>
      <c r="C167" s="16">
        <v>0.5416666666642413</v>
      </c>
      <c r="D167" s="17" t="s">
        <v>111</v>
      </c>
      <c r="T167" s="17" t="s">
        <v>807</v>
      </c>
      <c r="U167" s="17" t="s">
        <v>808</v>
      </c>
      <c r="V167" s="17">
        <v>7.799777981E9</v>
      </c>
      <c r="W167" s="17" t="s">
        <v>117</v>
      </c>
      <c r="AA167" s="17" t="s">
        <v>109</v>
      </c>
      <c r="AU167" s="17" t="s">
        <v>76</v>
      </c>
      <c r="AV167" s="17" t="s">
        <v>271</v>
      </c>
      <c r="AX167" s="15">
        <v>46068.0</v>
      </c>
      <c r="AY167" s="16">
        <v>0.5833333333357587</v>
      </c>
      <c r="AZ167" s="17" t="s">
        <v>164</v>
      </c>
      <c r="BA167" s="17" t="s">
        <v>491</v>
      </c>
      <c r="BR167" s="7" t="str">
        <f t="shared" si="1"/>
        <v>7 spices </v>
      </c>
    </row>
    <row r="168" ht="22.5" customHeight="1">
      <c r="A168" s="14">
        <v>46064.62483813657</v>
      </c>
      <c r="B168" s="15">
        <v>46064.0</v>
      </c>
      <c r="C168" s="16">
        <v>0.6236111111065838</v>
      </c>
      <c r="U168" s="17" t="s">
        <v>809</v>
      </c>
      <c r="V168" s="17">
        <v>6.281845369E9</v>
      </c>
      <c r="W168" s="17" t="s">
        <v>117</v>
      </c>
      <c r="AA168" s="17" t="s">
        <v>109</v>
      </c>
      <c r="AU168" s="17" t="s">
        <v>76</v>
      </c>
      <c r="AV168" s="17" t="s">
        <v>271</v>
      </c>
      <c r="AX168" s="15">
        <v>46065.0</v>
      </c>
      <c r="AY168" s="16">
        <v>0.5833333333357587</v>
      </c>
      <c r="AZ168" s="17" t="s">
        <v>164</v>
      </c>
      <c r="BA168" s="17" t="s">
        <v>458</v>
      </c>
      <c r="BB168" s="17" t="s">
        <v>109</v>
      </c>
      <c r="BR168" s="7" t="str">
        <f t="shared" si="1"/>
        <v/>
      </c>
    </row>
    <row r="169" ht="22.5" customHeight="1">
      <c r="A169" s="14">
        <v>46064.6341962963</v>
      </c>
      <c r="B169" s="15">
        <v>46064.0</v>
      </c>
      <c r="C169" s="16">
        <v>0.5416666666642413</v>
      </c>
      <c r="D169" s="17" t="s">
        <v>91</v>
      </c>
      <c r="E169" s="17" t="s">
        <v>810</v>
      </c>
      <c r="F169" s="17">
        <v>20.0</v>
      </c>
      <c r="G169" s="17">
        <v>200.0</v>
      </c>
      <c r="H169" s="17" t="s">
        <v>117</v>
      </c>
      <c r="J169" s="17" t="s">
        <v>94</v>
      </c>
      <c r="K169" s="17" t="s">
        <v>95</v>
      </c>
      <c r="N169" s="17">
        <v>1.0</v>
      </c>
      <c r="O169" s="17" t="s">
        <v>96</v>
      </c>
      <c r="P169" s="17" t="s">
        <v>109</v>
      </c>
      <c r="Q169" s="17" t="s">
        <v>97</v>
      </c>
      <c r="R169" s="17" t="s">
        <v>109</v>
      </c>
      <c r="S169" s="17" t="s">
        <v>811</v>
      </c>
      <c r="U169" s="17" t="s">
        <v>812</v>
      </c>
      <c r="V169" s="17">
        <v>9.966591281E9</v>
      </c>
      <c r="W169" s="17" t="s">
        <v>813</v>
      </c>
      <c r="AA169" s="17" t="s">
        <v>76</v>
      </c>
      <c r="AS169" s="17" t="s">
        <v>76</v>
      </c>
      <c r="AT169" s="17" t="s">
        <v>814</v>
      </c>
      <c r="AU169" s="17" t="s">
        <v>109</v>
      </c>
      <c r="AZ169" s="17" t="s">
        <v>115</v>
      </c>
      <c r="BA169" s="17" t="s">
        <v>458</v>
      </c>
      <c r="BB169" s="17" t="s">
        <v>76</v>
      </c>
      <c r="BJ169" s="16">
        <v>0.45833333333575865</v>
      </c>
      <c r="BK169" s="16">
        <v>0.9583333333357587</v>
      </c>
      <c r="BM169" s="17" t="s">
        <v>811</v>
      </c>
      <c r="BN169" s="17" t="s">
        <v>815</v>
      </c>
      <c r="BO169" s="19"/>
      <c r="BP169" s="19"/>
      <c r="BQ169" s="19"/>
      <c r="BR169" s="7" t="str">
        <f t="shared" si="1"/>
        <v>Brew and bloom coffee heaven shop</v>
      </c>
    </row>
    <row r="170" ht="22.5" customHeight="1">
      <c r="A170" s="14">
        <v>46064.64426746528</v>
      </c>
      <c r="B170" s="15">
        <v>46064.0</v>
      </c>
      <c r="C170" s="16">
        <v>0.5208333333357587</v>
      </c>
      <c r="D170" s="17" t="s">
        <v>91</v>
      </c>
      <c r="E170" s="17" t="s">
        <v>816</v>
      </c>
      <c r="F170" s="17">
        <v>120.0</v>
      </c>
      <c r="G170" s="17">
        <v>250.0</v>
      </c>
      <c r="H170" s="17" t="s">
        <v>117</v>
      </c>
      <c r="J170" s="17" t="s">
        <v>94</v>
      </c>
      <c r="K170" s="17" t="s">
        <v>134</v>
      </c>
      <c r="N170" s="17">
        <v>1.0</v>
      </c>
      <c r="O170" s="17" t="s">
        <v>96</v>
      </c>
      <c r="P170" s="17" t="s">
        <v>76</v>
      </c>
      <c r="Q170" s="17" t="s">
        <v>97</v>
      </c>
      <c r="R170" s="17" t="s">
        <v>76</v>
      </c>
      <c r="S170" s="17" t="s">
        <v>117</v>
      </c>
      <c r="U170" s="17" t="s">
        <v>817</v>
      </c>
      <c r="V170" s="17">
        <v>9.10044213E9</v>
      </c>
      <c r="W170" s="17" t="s">
        <v>117</v>
      </c>
      <c r="AA170" s="17" t="s">
        <v>109</v>
      </c>
      <c r="AU170" s="17" t="s">
        <v>76</v>
      </c>
      <c r="AV170" s="17" t="s">
        <v>373</v>
      </c>
      <c r="AW170" s="17" t="s">
        <v>818</v>
      </c>
      <c r="AZ170" s="17" t="s">
        <v>287</v>
      </c>
      <c r="BA170" s="17" t="s">
        <v>458</v>
      </c>
      <c r="BB170" s="17" t="s">
        <v>76</v>
      </c>
      <c r="BR170" s="7" t="str">
        <f t="shared" si="1"/>
        <v>Santosh Dhaba</v>
      </c>
    </row>
    <row r="171" ht="22.5" customHeight="1">
      <c r="A171" s="14">
        <v>46064.68525542824</v>
      </c>
      <c r="B171" s="15">
        <v>46064.0</v>
      </c>
      <c r="C171" s="16">
        <v>0.6590277777795563</v>
      </c>
      <c r="D171" s="17" t="s">
        <v>111</v>
      </c>
      <c r="T171" s="17" t="s">
        <v>819</v>
      </c>
      <c r="U171" s="17" t="s">
        <v>820</v>
      </c>
      <c r="V171" s="17">
        <v>9.493041116E9</v>
      </c>
      <c r="W171" s="17" t="s">
        <v>113</v>
      </c>
      <c r="AA171" s="17" t="s">
        <v>109</v>
      </c>
      <c r="AU171" s="17" t="s">
        <v>76</v>
      </c>
      <c r="AV171" s="17" t="s">
        <v>271</v>
      </c>
      <c r="AW171" s="17" t="s">
        <v>821</v>
      </c>
      <c r="AZ171" s="17" t="s">
        <v>243</v>
      </c>
      <c r="BA171" s="17" t="s">
        <v>458</v>
      </c>
      <c r="BB171" s="17" t="s">
        <v>76</v>
      </c>
      <c r="BR171" s="7" t="str">
        <f t="shared" si="1"/>
        <v>Raw bakers</v>
      </c>
    </row>
    <row r="172" ht="22.5" customHeight="1">
      <c r="A172" s="14">
        <v>46064.686916377315</v>
      </c>
      <c r="B172" s="15">
        <v>46064.0</v>
      </c>
      <c r="C172" s="16">
        <v>0.625</v>
      </c>
      <c r="D172" s="17" t="s">
        <v>111</v>
      </c>
      <c r="T172" s="17" t="s">
        <v>822</v>
      </c>
      <c r="U172" s="17" t="s">
        <v>823</v>
      </c>
      <c r="V172" s="17">
        <v>8.32839342E9</v>
      </c>
      <c r="W172" s="17" t="s">
        <v>113</v>
      </c>
      <c r="AA172" s="17" t="s">
        <v>109</v>
      </c>
      <c r="AU172" s="17" t="s">
        <v>76</v>
      </c>
      <c r="AV172" s="17" t="s">
        <v>271</v>
      </c>
      <c r="AW172" s="17" t="s">
        <v>824</v>
      </c>
      <c r="AZ172" s="17" t="s">
        <v>243</v>
      </c>
      <c r="BA172" s="17" t="s">
        <v>458</v>
      </c>
      <c r="BB172" s="17" t="s">
        <v>76</v>
      </c>
      <c r="BR172" s="7" t="str">
        <f t="shared" si="1"/>
        <v>South n spice </v>
      </c>
    </row>
    <row r="173" ht="22.5" customHeight="1">
      <c r="A173" s="14">
        <v>46064.68951606481</v>
      </c>
      <c r="B173" s="15">
        <v>46064.0</v>
      </c>
      <c r="C173" s="16">
        <v>0.625</v>
      </c>
      <c r="U173" s="17" t="s">
        <v>825</v>
      </c>
      <c r="V173" s="17">
        <v>9.145845425E9</v>
      </c>
      <c r="W173" s="17" t="s">
        <v>113</v>
      </c>
      <c r="AA173" s="17" t="s">
        <v>109</v>
      </c>
      <c r="AU173" s="17" t="s">
        <v>76</v>
      </c>
      <c r="AV173" s="17" t="s">
        <v>472</v>
      </c>
      <c r="AW173" s="17" t="s">
        <v>826</v>
      </c>
      <c r="AZ173" s="17" t="s">
        <v>243</v>
      </c>
      <c r="BA173" s="17" t="s">
        <v>458</v>
      </c>
      <c r="BB173" s="17" t="s">
        <v>109</v>
      </c>
      <c r="BR173" s="7" t="str">
        <f t="shared" si="1"/>
        <v/>
      </c>
    </row>
    <row r="174" ht="22.5" customHeight="1">
      <c r="A174" s="14">
        <v>46064.690889930556</v>
      </c>
      <c r="B174" s="15">
        <v>46064.0</v>
      </c>
      <c r="C174" s="16">
        <v>0.625</v>
      </c>
      <c r="U174" s="17" t="s">
        <v>827</v>
      </c>
      <c r="V174" s="17">
        <v>9.000338443E9</v>
      </c>
      <c r="W174" s="17" t="s">
        <v>113</v>
      </c>
      <c r="AA174" s="17" t="s">
        <v>109</v>
      </c>
      <c r="AU174" s="17" t="s">
        <v>76</v>
      </c>
      <c r="AV174" s="17" t="s">
        <v>472</v>
      </c>
      <c r="AW174" s="17" t="s">
        <v>828</v>
      </c>
      <c r="AZ174" s="17" t="s">
        <v>243</v>
      </c>
      <c r="BA174" s="17" t="s">
        <v>458</v>
      </c>
      <c r="BB174" s="17" t="s">
        <v>109</v>
      </c>
      <c r="BR174" s="7" t="str">
        <f t="shared" si="1"/>
        <v/>
      </c>
    </row>
    <row r="175" ht="22.5" customHeight="1">
      <c r="A175" s="14">
        <v>46064.692499375</v>
      </c>
      <c r="B175" s="15">
        <v>46064.0</v>
      </c>
      <c r="C175" s="16">
        <v>0.625</v>
      </c>
      <c r="D175" s="17" t="s">
        <v>111</v>
      </c>
      <c r="T175" s="17" t="s">
        <v>829</v>
      </c>
      <c r="U175" s="17" t="s">
        <v>830</v>
      </c>
      <c r="V175" s="17">
        <v>9.866667E9</v>
      </c>
      <c r="W175" s="17" t="s">
        <v>113</v>
      </c>
      <c r="AA175" s="17" t="s">
        <v>109</v>
      </c>
      <c r="AU175" s="17" t="s">
        <v>76</v>
      </c>
      <c r="AV175" s="17" t="s">
        <v>271</v>
      </c>
      <c r="AW175" s="17" t="s">
        <v>831</v>
      </c>
      <c r="AZ175" s="17" t="s">
        <v>243</v>
      </c>
      <c r="BA175" s="17" t="s">
        <v>458</v>
      </c>
      <c r="BB175" s="17" t="s">
        <v>76</v>
      </c>
      <c r="BR175" s="7" t="str">
        <f t="shared" si="1"/>
        <v>Biryaniwala nd co</v>
      </c>
    </row>
    <row r="176" ht="22.5" customHeight="1">
      <c r="A176" s="14">
        <v>46064.6939630787</v>
      </c>
      <c r="B176" s="15">
        <v>46064.0</v>
      </c>
      <c r="C176" s="16">
        <v>0.6180555555547471</v>
      </c>
      <c r="U176" s="17" t="s">
        <v>832</v>
      </c>
      <c r="V176" s="17">
        <v>9.000211792E9</v>
      </c>
      <c r="W176" s="17" t="s">
        <v>113</v>
      </c>
      <c r="AA176" s="17" t="s">
        <v>109</v>
      </c>
      <c r="AU176" s="17" t="s">
        <v>76</v>
      </c>
      <c r="AV176" s="17" t="s">
        <v>472</v>
      </c>
      <c r="AW176" s="17" t="s">
        <v>833</v>
      </c>
      <c r="AZ176" s="17" t="s">
        <v>243</v>
      </c>
      <c r="BA176" s="17" t="s">
        <v>458</v>
      </c>
      <c r="BB176" s="17" t="s">
        <v>109</v>
      </c>
      <c r="BR176" s="7" t="str">
        <f t="shared" si="1"/>
        <v/>
      </c>
    </row>
    <row r="177" ht="22.5" customHeight="1">
      <c r="A177" s="14">
        <v>46064.69557524305</v>
      </c>
      <c r="B177" s="15">
        <v>46064.0</v>
      </c>
      <c r="C177" s="16">
        <v>0.5666666666656965</v>
      </c>
      <c r="U177" s="17" t="s">
        <v>834</v>
      </c>
      <c r="V177" s="17">
        <v>7.897979742E9</v>
      </c>
      <c r="W177" s="17" t="s">
        <v>113</v>
      </c>
      <c r="AA177" s="17" t="s">
        <v>109</v>
      </c>
      <c r="AU177" s="17" t="s">
        <v>76</v>
      </c>
      <c r="AV177" s="17" t="s">
        <v>472</v>
      </c>
      <c r="AW177" s="17" t="s">
        <v>835</v>
      </c>
      <c r="AZ177" s="17" t="s">
        <v>243</v>
      </c>
      <c r="BA177" s="17" t="s">
        <v>458</v>
      </c>
      <c r="BB177" s="17" t="s">
        <v>109</v>
      </c>
      <c r="BR177" s="7" t="str">
        <f t="shared" si="1"/>
        <v/>
      </c>
    </row>
    <row r="178" ht="22.5" customHeight="1">
      <c r="A178" s="14">
        <v>46064.69684902778</v>
      </c>
      <c r="B178" s="15">
        <v>46064.0</v>
      </c>
      <c r="C178" s="16">
        <v>0.5625</v>
      </c>
      <c r="U178" s="17" t="s">
        <v>836</v>
      </c>
      <c r="V178" s="17">
        <v>8.374447297E9</v>
      </c>
      <c r="W178" s="17" t="s">
        <v>113</v>
      </c>
      <c r="AA178" s="17" t="s">
        <v>109</v>
      </c>
      <c r="AU178" s="17" t="s">
        <v>76</v>
      </c>
      <c r="AV178" s="17" t="s">
        <v>472</v>
      </c>
      <c r="AW178" s="17" t="s">
        <v>837</v>
      </c>
      <c r="AZ178" s="17" t="s">
        <v>243</v>
      </c>
      <c r="BA178" s="17" t="s">
        <v>458</v>
      </c>
      <c r="BB178" s="17" t="s">
        <v>109</v>
      </c>
      <c r="BR178" s="7" t="str">
        <f t="shared" si="1"/>
        <v/>
      </c>
    </row>
    <row r="179" ht="22.5" customHeight="1">
      <c r="A179" s="14">
        <v>46064.69872753472</v>
      </c>
      <c r="B179" s="15">
        <v>46064.0</v>
      </c>
      <c r="C179" s="16">
        <v>0.5625</v>
      </c>
      <c r="U179" s="17" t="s">
        <v>838</v>
      </c>
      <c r="V179" s="17">
        <v>9.246573562E9</v>
      </c>
      <c r="W179" s="17" t="s">
        <v>113</v>
      </c>
      <c r="AA179" s="17" t="s">
        <v>109</v>
      </c>
      <c r="AU179" s="17" t="s">
        <v>76</v>
      </c>
      <c r="AV179" s="17" t="s">
        <v>472</v>
      </c>
      <c r="AW179" s="17" t="s">
        <v>839</v>
      </c>
      <c r="AZ179" s="17" t="s">
        <v>243</v>
      </c>
      <c r="BA179" s="17" t="s">
        <v>458</v>
      </c>
      <c r="BB179" s="17" t="s">
        <v>109</v>
      </c>
      <c r="BR179" s="7" t="str">
        <f t="shared" si="1"/>
        <v/>
      </c>
    </row>
    <row r="180" ht="22.5" customHeight="1">
      <c r="A180" s="14">
        <v>46064.70101158565</v>
      </c>
      <c r="B180" s="15">
        <v>46064.0</v>
      </c>
      <c r="C180" s="16">
        <v>0.6458333333357587</v>
      </c>
      <c r="U180" s="17" t="s">
        <v>840</v>
      </c>
      <c r="V180" s="17">
        <v>9.154408946E9</v>
      </c>
      <c r="W180" s="17" t="s">
        <v>113</v>
      </c>
      <c r="AA180" s="17" t="s">
        <v>109</v>
      </c>
      <c r="AU180" s="17" t="s">
        <v>76</v>
      </c>
      <c r="AV180" s="17" t="s">
        <v>472</v>
      </c>
      <c r="AW180" s="17" t="s">
        <v>841</v>
      </c>
      <c r="AZ180" s="17" t="s">
        <v>243</v>
      </c>
      <c r="BA180" s="17" t="s">
        <v>458</v>
      </c>
      <c r="BB180" s="17" t="s">
        <v>109</v>
      </c>
      <c r="BR180" s="7" t="str">
        <f t="shared" si="1"/>
        <v/>
      </c>
    </row>
    <row r="181" ht="22.5" customHeight="1">
      <c r="A181" s="14">
        <v>46064.7027757176</v>
      </c>
      <c r="B181" s="15">
        <v>46064.0</v>
      </c>
      <c r="C181" s="16">
        <v>0.5416666666642413</v>
      </c>
      <c r="U181" s="17" t="s">
        <v>836</v>
      </c>
      <c r="V181" s="17">
        <v>6.300840049E9</v>
      </c>
      <c r="W181" s="17" t="s">
        <v>113</v>
      </c>
      <c r="AA181" s="17" t="s">
        <v>109</v>
      </c>
      <c r="AU181" s="17" t="s">
        <v>76</v>
      </c>
      <c r="AV181" s="17" t="s">
        <v>472</v>
      </c>
      <c r="AW181" s="17" t="s">
        <v>842</v>
      </c>
      <c r="AZ181" s="17" t="s">
        <v>243</v>
      </c>
      <c r="BA181" s="17" t="s">
        <v>458</v>
      </c>
      <c r="BB181" s="17" t="s">
        <v>109</v>
      </c>
      <c r="BR181" s="7" t="str">
        <f t="shared" si="1"/>
        <v/>
      </c>
    </row>
    <row r="182" ht="22.5" customHeight="1">
      <c r="A182" s="14">
        <v>46064.70554418981</v>
      </c>
      <c r="B182" s="15">
        <v>46064.0</v>
      </c>
      <c r="C182" s="16">
        <v>0.5</v>
      </c>
      <c r="U182" s="17" t="s">
        <v>843</v>
      </c>
      <c r="V182" s="17">
        <v>9.849343059E9</v>
      </c>
      <c r="W182" s="17" t="s">
        <v>113</v>
      </c>
      <c r="AA182" s="17" t="s">
        <v>109</v>
      </c>
      <c r="AU182" s="17" t="s">
        <v>76</v>
      </c>
      <c r="AV182" s="17" t="s">
        <v>472</v>
      </c>
      <c r="AW182" s="17" t="s">
        <v>844</v>
      </c>
      <c r="AZ182" s="17" t="s">
        <v>243</v>
      </c>
      <c r="BA182" s="17" t="s">
        <v>458</v>
      </c>
      <c r="BB182" s="17" t="s">
        <v>109</v>
      </c>
      <c r="BR182" s="7" t="str">
        <f t="shared" si="1"/>
        <v/>
      </c>
    </row>
    <row r="183" ht="22.5" customHeight="1">
      <c r="A183" s="14">
        <v>46064.72473269676</v>
      </c>
      <c r="B183" s="15">
        <v>46064.0</v>
      </c>
      <c r="C183" s="16">
        <v>0.71875</v>
      </c>
      <c r="D183" s="17" t="s">
        <v>91</v>
      </c>
      <c r="E183" s="17" t="s">
        <v>845</v>
      </c>
      <c r="F183" s="17">
        <v>50.0</v>
      </c>
      <c r="G183" s="17">
        <v>120.0</v>
      </c>
      <c r="H183" s="17" t="s">
        <v>117</v>
      </c>
      <c r="J183" s="17" t="s">
        <v>221</v>
      </c>
      <c r="K183" s="17" t="s">
        <v>134</v>
      </c>
      <c r="N183" s="17">
        <v>1.0</v>
      </c>
      <c r="O183" s="17" t="s">
        <v>388</v>
      </c>
      <c r="P183" s="17" t="s">
        <v>76</v>
      </c>
      <c r="Q183" s="17" t="s">
        <v>97</v>
      </c>
      <c r="R183" s="17" t="s">
        <v>76</v>
      </c>
      <c r="S183" s="17" t="s">
        <v>117</v>
      </c>
      <c r="U183" s="17" t="s">
        <v>846</v>
      </c>
      <c r="V183" s="17">
        <v>8.309463956E9</v>
      </c>
      <c r="W183" s="17" t="s">
        <v>117</v>
      </c>
      <c r="AA183" s="17" t="s">
        <v>109</v>
      </c>
      <c r="AU183" s="17" t="s">
        <v>76</v>
      </c>
      <c r="AV183" s="17" t="s">
        <v>271</v>
      </c>
      <c r="AW183" s="17" t="s">
        <v>847</v>
      </c>
      <c r="AX183" s="15">
        <v>46069.0</v>
      </c>
      <c r="AZ183" s="17" t="s">
        <v>287</v>
      </c>
      <c r="BA183" s="17" t="s">
        <v>458</v>
      </c>
      <c r="BB183" s="17" t="s">
        <v>76</v>
      </c>
      <c r="BR183" s="7" t="str">
        <f t="shared" si="1"/>
        <v>Sree vakula kitchen</v>
      </c>
    </row>
    <row r="184" ht="22.5" customHeight="1">
      <c r="A184" s="14">
        <v>46064.72528613426</v>
      </c>
      <c r="B184" s="15">
        <v>46064.0</v>
      </c>
      <c r="C184" s="16">
        <v>0.7138888888875954</v>
      </c>
      <c r="U184" s="17" t="s">
        <v>117</v>
      </c>
      <c r="V184" s="17" t="s">
        <v>117</v>
      </c>
      <c r="W184" s="17" t="s">
        <v>117</v>
      </c>
      <c r="AA184" s="17" t="s">
        <v>109</v>
      </c>
      <c r="AU184" s="17" t="s">
        <v>76</v>
      </c>
      <c r="AV184" s="17" t="s">
        <v>472</v>
      </c>
      <c r="AZ184" s="17" t="s">
        <v>287</v>
      </c>
      <c r="BA184" s="17" t="s">
        <v>458</v>
      </c>
      <c r="BB184" s="17" t="s">
        <v>109</v>
      </c>
      <c r="BR184" s="7" t="str">
        <f t="shared" si="1"/>
        <v/>
      </c>
    </row>
    <row r="185" ht="22.5" customHeight="1">
      <c r="A185" s="14">
        <v>46064.73778997685</v>
      </c>
      <c r="B185" s="15">
        <v>46064.0</v>
      </c>
      <c r="C185" s="16">
        <v>0.625</v>
      </c>
      <c r="D185" s="17" t="s">
        <v>111</v>
      </c>
      <c r="T185" s="17" t="s">
        <v>848</v>
      </c>
      <c r="U185" s="17" t="s">
        <v>849</v>
      </c>
      <c r="V185" s="17">
        <v>9.100886637E9</v>
      </c>
      <c r="W185" s="17" t="s">
        <v>117</v>
      </c>
      <c r="AA185" s="17" t="s">
        <v>109</v>
      </c>
      <c r="AU185" s="17" t="s">
        <v>76</v>
      </c>
      <c r="AV185" s="17" t="s">
        <v>271</v>
      </c>
      <c r="AW185" s="17" t="s">
        <v>850</v>
      </c>
      <c r="AX185" s="15">
        <v>46066.0</v>
      </c>
      <c r="AY185" s="16">
        <v>0.5625</v>
      </c>
      <c r="AZ185" s="17" t="s">
        <v>164</v>
      </c>
      <c r="BA185" s="17" t="s">
        <v>491</v>
      </c>
      <c r="BR185" s="7" t="str">
        <f t="shared" si="1"/>
        <v>mr faddy </v>
      </c>
    </row>
    <row r="186" ht="22.5" customHeight="1">
      <c r="A186" s="14">
        <v>46064.73931047454</v>
      </c>
      <c r="B186" s="15">
        <v>46064.0</v>
      </c>
      <c r="C186" s="16">
        <v>0.6666666666642413</v>
      </c>
      <c r="U186" s="17" t="s">
        <v>851</v>
      </c>
      <c r="V186" s="17">
        <v>9.550001177E9</v>
      </c>
      <c r="W186" s="17" t="s">
        <v>117</v>
      </c>
      <c r="AA186" s="17" t="s">
        <v>109</v>
      </c>
      <c r="AU186" s="17" t="s">
        <v>76</v>
      </c>
      <c r="AV186" s="17" t="s">
        <v>271</v>
      </c>
      <c r="AW186" s="17" t="s">
        <v>852</v>
      </c>
      <c r="AX186" s="15">
        <v>46066.0</v>
      </c>
      <c r="AY186" s="16">
        <v>0.7083333333357587</v>
      </c>
      <c r="AZ186" s="17" t="s">
        <v>164</v>
      </c>
      <c r="BA186" s="17" t="s">
        <v>458</v>
      </c>
      <c r="BB186" s="17" t="s">
        <v>109</v>
      </c>
      <c r="BR186" s="7" t="str">
        <f t="shared" si="1"/>
        <v/>
      </c>
    </row>
    <row r="187" ht="22.5" customHeight="1">
      <c r="A187" s="14">
        <v>46064.74157675926</v>
      </c>
      <c r="B187" s="15">
        <v>46064.0</v>
      </c>
      <c r="C187" s="16">
        <v>0.7083333333357587</v>
      </c>
      <c r="D187" s="17" t="s">
        <v>111</v>
      </c>
      <c r="T187" s="17" t="s">
        <v>853</v>
      </c>
      <c r="U187" s="17" t="s">
        <v>854</v>
      </c>
      <c r="V187" s="17">
        <v>9.346036222E9</v>
      </c>
      <c r="W187" s="17" t="s">
        <v>117</v>
      </c>
      <c r="AA187" s="17" t="s">
        <v>109</v>
      </c>
      <c r="AU187" s="17" t="s">
        <v>76</v>
      </c>
      <c r="AV187" s="17" t="s">
        <v>271</v>
      </c>
      <c r="AW187" s="17" t="s">
        <v>855</v>
      </c>
      <c r="AX187" s="15">
        <v>46066.0</v>
      </c>
      <c r="AY187" s="16">
        <v>0.625</v>
      </c>
      <c r="AZ187" s="17" t="s">
        <v>164</v>
      </c>
      <c r="BA187" s="17" t="s">
        <v>491</v>
      </c>
      <c r="BR187" s="7" t="str">
        <f t="shared" si="1"/>
        <v> gyros doner by nice juice centre </v>
      </c>
    </row>
    <row r="188" ht="22.5" customHeight="1">
      <c r="A188" s="14">
        <v>46064.74722049768</v>
      </c>
      <c r="B188" s="15">
        <v>46064.0</v>
      </c>
      <c r="C188" s="16">
        <v>0.7430555555547471</v>
      </c>
      <c r="D188" s="17" t="s">
        <v>91</v>
      </c>
      <c r="E188" s="17" t="s">
        <v>856</v>
      </c>
      <c r="F188" s="17">
        <v>130.0</v>
      </c>
      <c r="G188" s="17">
        <v>130.0</v>
      </c>
      <c r="H188" s="17" t="s">
        <v>388</v>
      </c>
      <c r="J188" s="17" t="s">
        <v>221</v>
      </c>
      <c r="K188" s="17" t="s">
        <v>118</v>
      </c>
      <c r="N188" s="17">
        <v>1.0</v>
      </c>
      <c r="O188" s="17" t="s">
        <v>388</v>
      </c>
      <c r="P188" s="17" t="s">
        <v>76</v>
      </c>
      <c r="Q188" s="17" t="s">
        <v>97</v>
      </c>
      <c r="R188" s="17" t="s">
        <v>76</v>
      </c>
      <c r="S188" s="17" t="s">
        <v>117</v>
      </c>
      <c r="U188" s="17" t="s">
        <v>857</v>
      </c>
      <c r="V188" s="17">
        <v>8.125583337E9</v>
      </c>
      <c r="W188" s="17" t="s">
        <v>117</v>
      </c>
      <c r="AA188" s="17" t="s">
        <v>109</v>
      </c>
      <c r="AU188" s="17" t="s">
        <v>76</v>
      </c>
      <c r="AV188" s="17" t="s">
        <v>472</v>
      </c>
      <c r="AZ188" s="17" t="s">
        <v>287</v>
      </c>
      <c r="BA188" s="17" t="s">
        <v>458</v>
      </c>
      <c r="BB188" s="17" t="s">
        <v>76</v>
      </c>
      <c r="BR188" s="7" t="str">
        <f t="shared" si="1"/>
        <v>Kohinoor Restaurant </v>
      </c>
    </row>
    <row r="189" ht="22.5" customHeight="1">
      <c r="A189" s="14">
        <v>46064.74727716435</v>
      </c>
      <c r="B189" s="15">
        <v>46064.0</v>
      </c>
      <c r="C189" s="16">
        <v>0.7083333333357587</v>
      </c>
      <c r="D189" s="17" t="s">
        <v>111</v>
      </c>
      <c r="T189" s="17" t="s">
        <v>858</v>
      </c>
      <c r="U189" s="17" t="s">
        <v>859</v>
      </c>
      <c r="V189" s="17" t="s">
        <v>860</v>
      </c>
      <c r="W189" s="17" t="s">
        <v>117</v>
      </c>
      <c r="AA189" s="17" t="s">
        <v>109</v>
      </c>
      <c r="AU189" s="17" t="s">
        <v>76</v>
      </c>
      <c r="AV189" s="17" t="s">
        <v>271</v>
      </c>
      <c r="AW189" s="17" t="s">
        <v>861</v>
      </c>
      <c r="AX189" s="15">
        <v>46066.0</v>
      </c>
      <c r="AY189" s="16">
        <v>0.8333333333357587</v>
      </c>
      <c r="AZ189" s="17" t="s">
        <v>164</v>
      </c>
      <c r="BA189" s="17" t="s">
        <v>491</v>
      </c>
      <c r="BR189" s="7" t="str">
        <f t="shared" si="1"/>
        <v>kabul darbar</v>
      </c>
    </row>
    <row r="190" ht="22.5" customHeight="1">
      <c r="A190" s="14">
        <v>46064.78997099537</v>
      </c>
      <c r="B190" s="15">
        <v>46064.0</v>
      </c>
      <c r="C190" s="16">
        <v>0.7083333333357587</v>
      </c>
      <c r="D190" s="17" t="s">
        <v>91</v>
      </c>
      <c r="E190" s="17" t="s">
        <v>862</v>
      </c>
      <c r="F190" s="17">
        <v>40.0</v>
      </c>
      <c r="G190" s="17">
        <v>200.0</v>
      </c>
      <c r="H190" s="17" t="s">
        <v>863</v>
      </c>
      <c r="I190" s="17">
        <v>10000.0</v>
      </c>
      <c r="J190" s="17" t="s">
        <v>221</v>
      </c>
      <c r="K190" s="17" t="s">
        <v>273</v>
      </c>
      <c r="L190" s="17">
        <v>22.0</v>
      </c>
      <c r="M190" s="17">
        <v>20.0</v>
      </c>
      <c r="N190" s="17">
        <v>1.0</v>
      </c>
      <c r="O190" s="17" t="s">
        <v>96</v>
      </c>
      <c r="P190" s="17" t="s">
        <v>76</v>
      </c>
      <c r="Q190" s="17" t="s">
        <v>97</v>
      </c>
      <c r="R190" s="17" t="s">
        <v>76</v>
      </c>
      <c r="S190" s="17" t="s">
        <v>388</v>
      </c>
      <c r="U190" s="17" t="s">
        <v>864</v>
      </c>
      <c r="V190" s="17" t="s">
        <v>388</v>
      </c>
      <c r="W190" s="17" t="s">
        <v>388</v>
      </c>
      <c r="AA190" s="17" t="s">
        <v>109</v>
      </c>
      <c r="AT190" s="17" t="s">
        <v>586</v>
      </c>
      <c r="AU190" s="17" t="s">
        <v>109</v>
      </c>
      <c r="AV190" s="17" t="s">
        <v>472</v>
      </c>
      <c r="AZ190" s="17" t="s">
        <v>131</v>
      </c>
      <c r="BA190" s="17" t="s">
        <v>458</v>
      </c>
      <c r="BB190" s="17" t="s">
        <v>76</v>
      </c>
      <c r="BL190" s="17">
        <v>40.0</v>
      </c>
      <c r="BN190" s="17" t="s">
        <v>865</v>
      </c>
      <c r="BO190" s="19"/>
      <c r="BP190" s="19"/>
      <c r="BQ190" s="19"/>
      <c r="BR190" s="7" t="str">
        <f t="shared" si="1"/>
        <v>Anu Archana kitchen </v>
      </c>
    </row>
    <row r="191" ht="22.5" customHeight="1">
      <c r="A191" s="14">
        <v>46064.85779109954</v>
      </c>
      <c r="B191" s="15">
        <v>46064.0</v>
      </c>
      <c r="C191" s="16">
        <v>0.8416666666671517</v>
      </c>
      <c r="D191" s="17" t="s">
        <v>91</v>
      </c>
      <c r="E191" s="17" t="s">
        <v>866</v>
      </c>
      <c r="F191" s="17">
        <v>50.0</v>
      </c>
      <c r="G191" s="17">
        <v>250.0</v>
      </c>
      <c r="H191" s="17" t="s">
        <v>184</v>
      </c>
      <c r="I191" s="17">
        <v>10000.0</v>
      </c>
      <c r="J191" s="17" t="s">
        <v>94</v>
      </c>
      <c r="K191" s="17" t="s">
        <v>134</v>
      </c>
      <c r="L191" s="17">
        <v>19.0</v>
      </c>
      <c r="M191" s="17">
        <v>19.0</v>
      </c>
      <c r="N191" s="17">
        <v>1.0</v>
      </c>
      <c r="O191" s="17" t="s">
        <v>96</v>
      </c>
      <c r="P191" s="17" t="s">
        <v>76</v>
      </c>
      <c r="Q191" s="17" t="s">
        <v>97</v>
      </c>
      <c r="R191" s="17" t="s">
        <v>76</v>
      </c>
      <c r="S191" s="18" t="s">
        <v>867</v>
      </c>
      <c r="U191" s="17" t="s">
        <v>868</v>
      </c>
      <c r="V191" s="17">
        <v>8.008623545E9</v>
      </c>
      <c r="W191" s="17" t="s">
        <v>869</v>
      </c>
      <c r="AA191" s="17" t="s">
        <v>76</v>
      </c>
      <c r="AB191" s="17">
        <v>1.3624011000865E13</v>
      </c>
      <c r="AC191" s="18" t="s">
        <v>870</v>
      </c>
      <c r="AD191" s="17" t="s">
        <v>871</v>
      </c>
      <c r="AF191" s="17" t="s">
        <v>872</v>
      </c>
      <c r="AG191" s="18" t="s">
        <v>873</v>
      </c>
      <c r="AH191" s="17" t="s">
        <v>874</v>
      </c>
      <c r="AI191" s="18" t="s">
        <v>875</v>
      </c>
      <c r="AL191" s="17">
        <v>9.24020006428812E14</v>
      </c>
      <c r="AM191" s="17" t="s">
        <v>876</v>
      </c>
      <c r="AN191" s="17" t="s">
        <v>877</v>
      </c>
      <c r="AO191" s="17" t="s">
        <v>868</v>
      </c>
      <c r="AP191" s="17" t="s">
        <v>878</v>
      </c>
      <c r="AQ191" s="17" t="s">
        <v>869</v>
      </c>
      <c r="AS191" s="17" t="s">
        <v>76</v>
      </c>
      <c r="AT191" s="17" t="s">
        <v>193</v>
      </c>
      <c r="AU191" s="17" t="s">
        <v>109</v>
      </c>
      <c r="AZ191" s="17" t="s">
        <v>164</v>
      </c>
      <c r="BA191" s="17" t="s">
        <v>458</v>
      </c>
      <c r="BB191" s="17" t="s">
        <v>76</v>
      </c>
      <c r="BH191" s="17">
        <v>19.0</v>
      </c>
      <c r="BI191" s="17" t="s">
        <v>109</v>
      </c>
      <c r="BJ191" s="16">
        <v>0.47916666666424135</v>
      </c>
      <c r="BK191" s="16">
        <v>0.020833333335758653</v>
      </c>
      <c r="BL191" s="17">
        <v>40.0</v>
      </c>
      <c r="BM191" s="17" t="s">
        <v>879</v>
      </c>
      <c r="BN191" s="17" t="s">
        <v>696</v>
      </c>
      <c r="BO191" s="19"/>
      <c r="BP191" s="19"/>
      <c r="BQ191" s="19"/>
      <c r="BR191" s="7" t="str">
        <f t="shared" si="1"/>
        <v>SUBHAM GRAND MULTI CUISINE FAMILY RESTAURANT</v>
      </c>
    </row>
    <row r="192" ht="22.5" customHeight="1">
      <c r="A192" s="14">
        <v>46064.9044377199</v>
      </c>
      <c r="B192" s="15">
        <v>46053.0</v>
      </c>
      <c r="C192" s="16">
        <v>0.5347222222189885</v>
      </c>
      <c r="E192" s="17" t="s">
        <v>880</v>
      </c>
      <c r="U192" s="17" t="s">
        <v>880</v>
      </c>
      <c r="V192" s="17" t="s">
        <v>113</v>
      </c>
      <c r="W192" s="17" t="s">
        <v>113</v>
      </c>
      <c r="AA192" s="17" t="s">
        <v>109</v>
      </c>
      <c r="AU192" s="17" t="s">
        <v>76</v>
      </c>
      <c r="AV192" s="17" t="s">
        <v>472</v>
      </c>
      <c r="AZ192" s="17" t="s">
        <v>539</v>
      </c>
      <c r="BA192" s="17" t="s">
        <v>458</v>
      </c>
      <c r="BB192" s="17" t="s">
        <v>109</v>
      </c>
      <c r="BR192" s="7" t="str">
        <f t="shared" si="1"/>
        <v>hotel armani</v>
      </c>
    </row>
    <row r="193" ht="22.5" customHeight="1">
      <c r="A193" s="14">
        <v>46064.90525401621</v>
      </c>
      <c r="B193" s="15">
        <v>46053.0</v>
      </c>
      <c r="C193" s="16">
        <v>0.04444444444379769</v>
      </c>
      <c r="U193" s="17" t="s">
        <v>881</v>
      </c>
      <c r="V193" s="17">
        <v>9.393852636E9</v>
      </c>
      <c r="W193" s="17" t="s">
        <v>113</v>
      </c>
      <c r="AA193" s="17" t="s">
        <v>109</v>
      </c>
      <c r="AU193" s="17" t="s">
        <v>76</v>
      </c>
      <c r="AV193" s="17" t="s">
        <v>472</v>
      </c>
      <c r="AZ193" s="17" t="s">
        <v>539</v>
      </c>
      <c r="BA193" s="17" t="s">
        <v>458</v>
      </c>
      <c r="BB193" s="17" t="s">
        <v>109</v>
      </c>
      <c r="BR193" s="7" t="str">
        <f t="shared" si="1"/>
        <v/>
      </c>
    </row>
    <row r="194" ht="22.5" customHeight="1">
      <c r="A194" s="14">
        <v>46064.906623194445</v>
      </c>
      <c r="B194" s="15">
        <v>46053.0</v>
      </c>
      <c r="C194" s="16">
        <v>0.05000000000291038</v>
      </c>
      <c r="D194" s="17" t="s">
        <v>91</v>
      </c>
      <c r="E194" s="17" t="s">
        <v>882</v>
      </c>
      <c r="F194" s="17">
        <v>100.0</v>
      </c>
      <c r="G194" s="17">
        <v>300.0</v>
      </c>
      <c r="H194" s="17" t="s">
        <v>113</v>
      </c>
      <c r="J194" s="17" t="s">
        <v>94</v>
      </c>
      <c r="K194" s="17" t="s">
        <v>134</v>
      </c>
      <c r="N194" s="17">
        <v>5.0</v>
      </c>
      <c r="O194" s="17" t="s">
        <v>96</v>
      </c>
      <c r="P194" s="17" t="s">
        <v>109</v>
      </c>
      <c r="Q194" s="17" t="s">
        <v>97</v>
      </c>
      <c r="R194" s="17" t="s">
        <v>76</v>
      </c>
      <c r="S194" s="17" t="s">
        <v>113</v>
      </c>
      <c r="U194" s="17" t="s">
        <v>882</v>
      </c>
      <c r="V194" s="17">
        <v>9.346197565E9</v>
      </c>
      <c r="W194" s="17" t="s">
        <v>113</v>
      </c>
      <c r="AA194" s="17" t="s">
        <v>109</v>
      </c>
      <c r="AU194" s="17" t="s">
        <v>76</v>
      </c>
      <c r="AV194" s="17" t="s">
        <v>472</v>
      </c>
      <c r="AZ194" s="17" t="s">
        <v>539</v>
      </c>
      <c r="BA194" s="17" t="s">
        <v>458</v>
      </c>
      <c r="BB194" s="17" t="s">
        <v>76</v>
      </c>
      <c r="BN194" s="17" t="s">
        <v>883</v>
      </c>
      <c r="BO194" s="19"/>
      <c r="BP194" s="19"/>
      <c r="BQ194" s="19"/>
      <c r="BR194" s="7" t="str">
        <f t="shared" si="1"/>
        <v>pakisa</v>
      </c>
    </row>
    <row r="195" ht="22.5" customHeight="1">
      <c r="A195" s="14">
        <v>46064.90735900463</v>
      </c>
      <c r="B195" s="15">
        <v>46053.0</v>
      </c>
      <c r="C195" s="16">
        <v>0.06944444444525288</v>
      </c>
      <c r="D195" s="17" t="s">
        <v>111</v>
      </c>
      <c r="T195" s="17" t="s">
        <v>884</v>
      </c>
      <c r="U195" s="17" t="s">
        <v>885</v>
      </c>
      <c r="V195" s="17">
        <v>7.569933996E9</v>
      </c>
      <c r="W195" s="17" t="s">
        <v>113</v>
      </c>
      <c r="AA195" s="17" t="s">
        <v>109</v>
      </c>
      <c r="AU195" s="17" t="s">
        <v>76</v>
      </c>
      <c r="AZ195" s="17" t="s">
        <v>539</v>
      </c>
      <c r="BA195" s="17" t="s">
        <v>458</v>
      </c>
      <c r="BB195" s="17" t="s">
        <v>76</v>
      </c>
      <c r="BR195" s="7" t="str">
        <f t="shared" si="1"/>
        <v>parcel counter</v>
      </c>
    </row>
    <row r="196" ht="22.5" customHeight="1">
      <c r="A196" s="14">
        <v>46064.90872173611</v>
      </c>
      <c r="B196" s="15">
        <v>46053.0</v>
      </c>
      <c r="C196" s="16">
        <v>0.0743055555576575</v>
      </c>
      <c r="D196" s="17" t="s">
        <v>91</v>
      </c>
      <c r="E196" s="17" t="s">
        <v>886</v>
      </c>
      <c r="F196" s="17">
        <v>10.0</v>
      </c>
      <c r="G196" s="17">
        <v>500.0</v>
      </c>
      <c r="H196" s="17" t="s">
        <v>113</v>
      </c>
      <c r="J196" s="17" t="s">
        <v>167</v>
      </c>
      <c r="K196" s="17" t="s">
        <v>134</v>
      </c>
      <c r="N196" s="17">
        <v>1.0</v>
      </c>
      <c r="O196" s="17" t="s">
        <v>96</v>
      </c>
      <c r="P196" s="17" t="s">
        <v>76</v>
      </c>
      <c r="Q196" s="17" t="s">
        <v>97</v>
      </c>
      <c r="R196" s="17" t="s">
        <v>76</v>
      </c>
      <c r="S196" s="17" t="s">
        <v>113</v>
      </c>
      <c r="U196" s="17" t="s">
        <v>887</v>
      </c>
      <c r="V196" s="17">
        <v>8.939369888E9</v>
      </c>
      <c r="W196" s="17" t="s">
        <v>888</v>
      </c>
      <c r="AA196" s="17" t="s">
        <v>109</v>
      </c>
      <c r="AU196" s="17" t="s">
        <v>76</v>
      </c>
      <c r="AV196" s="17" t="s">
        <v>472</v>
      </c>
      <c r="AZ196" s="17" t="s">
        <v>539</v>
      </c>
      <c r="BA196" s="17" t="s">
        <v>458</v>
      </c>
      <c r="BB196" s="17" t="s">
        <v>76</v>
      </c>
      <c r="BN196" s="17" t="s">
        <v>889</v>
      </c>
      <c r="BO196" s="19"/>
      <c r="BP196" s="19"/>
      <c r="BQ196" s="19"/>
      <c r="BR196" s="7" t="str">
        <f t="shared" si="1"/>
        <v>fb bakers</v>
      </c>
    </row>
    <row r="197" ht="22.5" customHeight="1">
      <c r="A197" s="14">
        <v>46064.91016530093</v>
      </c>
      <c r="B197" s="15">
        <v>46053.0</v>
      </c>
      <c r="C197" s="16">
        <v>0.10416666666424135</v>
      </c>
      <c r="D197" s="17" t="s">
        <v>91</v>
      </c>
      <c r="E197" s="17" t="s">
        <v>890</v>
      </c>
      <c r="F197" s="17">
        <v>1.0</v>
      </c>
      <c r="G197" s="17">
        <v>600.0</v>
      </c>
      <c r="H197" s="17" t="s">
        <v>117</v>
      </c>
      <c r="J197" s="17" t="s">
        <v>167</v>
      </c>
      <c r="K197" s="17" t="s">
        <v>134</v>
      </c>
      <c r="N197" s="17">
        <v>1.0</v>
      </c>
      <c r="O197" s="17" t="s">
        <v>96</v>
      </c>
      <c r="P197" s="17" t="s">
        <v>76</v>
      </c>
      <c r="Q197" s="17" t="s">
        <v>97</v>
      </c>
      <c r="R197" s="17" t="s">
        <v>76</v>
      </c>
      <c r="S197" s="17" t="s">
        <v>117</v>
      </c>
      <c r="U197" s="17" t="s">
        <v>891</v>
      </c>
      <c r="V197" s="17">
        <v>9.885199151E9</v>
      </c>
      <c r="W197" s="17" t="s">
        <v>117</v>
      </c>
      <c r="AA197" s="17" t="s">
        <v>109</v>
      </c>
      <c r="AU197" s="17" t="s">
        <v>76</v>
      </c>
      <c r="AV197" s="17" t="s">
        <v>472</v>
      </c>
      <c r="AZ197" s="17" t="s">
        <v>539</v>
      </c>
      <c r="BA197" s="17" t="s">
        <v>458</v>
      </c>
      <c r="BB197" s="17" t="s">
        <v>76</v>
      </c>
      <c r="BN197" s="17" t="s">
        <v>892</v>
      </c>
      <c r="BO197" s="19"/>
      <c r="BP197" s="19"/>
      <c r="BQ197" s="19"/>
      <c r="BR197" s="7" t="str">
        <f t="shared" si="1"/>
        <v>MAHARAJA </v>
      </c>
    </row>
    <row r="198" ht="22.5" customHeight="1">
      <c r="A198" s="14">
        <v>46064.91121744213</v>
      </c>
      <c r="B198" s="15">
        <v>46057.0</v>
      </c>
      <c r="C198" s="16">
        <v>0.4951388888875954</v>
      </c>
      <c r="D198" s="17" t="s">
        <v>111</v>
      </c>
      <c r="T198" s="17" t="s">
        <v>893</v>
      </c>
      <c r="U198" s="17" t="s">
        <v>894</v>
      </c>
      <c r="V198" s="17">
        <v>8.885057806E9</v>
      </c>
      <c r="W198" s="17" t="s">
        <v>117</v>
      </c>
      <c r="AA198" s="17" t="s">
        <v>109</v>
      </c>
      <c r="AU198" s="17" t="s">
        <v>76</v>
      </c>
      <c r="AV198" s="17" t="s">
        <v>88</v>
      </c>
      <c r="AZ198" s="17" t="s">
        <v>539</v>
      </c>
      <c r="BA198" s="17" t="s">
        <v>458</v>
      </c>
      <c r="BB198" s="17" t="s">
        <v>76</v>
      </c>
      <c r="BR198" s="7" t="str">
        <f t="shared" si="1"/>
        <v>ZEESHAN </v>
      </c>
    </row>
    <row r="199" ht="22.5" customHeight="1">
      <c r="A199" s="14">
        <v>46064.912901724536</v>
      </c>
      <c r="B199" s="15">
        <v>46063.0</v>
      </c>
      <c r="C199" s="16">
        <v>0.24583333333430346</v>
      </c>
      <c r="D199" s="17" t="s">
        <v>91</v>
      </c>
      <c r="E199" s="17" t="s">
        <v>895</v>
      </c>
      <c r="F199" s="17">
        <v>25.0</v>
      </c>
      <c r="G199" s="17">
        <v>200.0</v>
      </c>
      <c r="H199" s="17" t="s">
        <v>117</v>
      </c>
      <c r="J199" s="17" t="s">
        <v>221</v>
      </c>
      <c r="K199" s="17" t="s">
        <v>134</v>
      </c>
      <c r="N199" s="17">
        <v>1.0</v>
      </c>
      <c r="O199" s="17" t="s">
        <v>96</v>
      </c>
      <c r="P199" s="17" t="s">
        <v>76</v>
      </c>
      <c r="Q199" s="17" t="s">
        <v>97</v>
      </c>
      <c r="R199" s="17" t="s">
        <v>76</v>
      </c>
      <c r="S199" s="17" t="s">
        <v>117</v>
      </c>
      <c r="U199" s="17" t="s">
        <v>896</v>
      </c>
      <c r="V199" s="17">
        <v>7.013847849E9</v>
      </c>
      <c r="W199" s="17" t="s">
        <v>117</v>
      </c>
      <c r="AA199" s="17" t="s">
        <v>109</v>
      </c>
      <c r="AU199" s="17" t="s">
        <v>76</v>
      </c>
      <c r="AV199" s="17" t="s">
        <v>472</v>
      </c>
      <c r="AZ199" s="17" t="s">
        <v>539</v>
      </c>
      <c r="BA199" s="17" t="s">
        <v>458</v>
      </c>
      <c r="BB199" s="17" t="s">
        <v>76</v>
      </c>
      <c r="BN199" s="17" t="s">
        <v>897</v>
      </c>
      <c r="BO199" s="19"/>
      <c r="BP199" s="19"/>
      <c r="BQ199" s="19"/>
      <c r="BR199" s="7" t="str">
        <f t="shared" si="1"/>
        <v>THATTI IDLY </v>
      </c>
    </row>
    <row r="200" ht="22.5" customHeight="1">
      <c r="A200" s="14">
        <v>46064.97106296296</v>
      </c>
      <c r="B200" s="15">
        <v>46062.0</v>
      </c>
      <c r="C200" s="16">
        <v>0.5</v>
      </c>
      <c r="D200" s="17" t="s">
        <v>111</v>
      </c>
      <c r="T200" s="17" t="s">
        <v>898</v>
      </c>
      <c r="U200" s="17" t="s">
        <v>899</v>
      </c>
      <c r="V200" s="17">
        <v>8.977709421E9</v>
      </c>
      <c r="W200" s="17" t="s">
        <v>900</v>
      </c>
      <c r="AA200" s="17" t="s">
        <v>76</v>
      </c>
      <c r="AB200" s="17">
        <v>2.3625032003822E13</v>
      </c>
      <c r="AC200" s="18" t="s">
        <v>901</v>
      </c>
      <c r="AD200" s="17" t="s">
        <v>902</v>
      </c>
      <c r="AE200" s="18" t="s">
        <v>903</v>
      </c>
      <c r="AF200" s="17" t="s">
        <v>904</v>
      </c>
      <c r="AG200" s="18" t="s">
        <v>905</v>
      </c>
      <c r="AJ200" s="18" t="s">
        <v>906</v>
      </c>
      <c r="AL200" s="17">
        <v>1.11605002567E11</v>
      </c>
      <c r="AM200" s="17" t="s">
        <v>907</v>
      </c>
      <c r="AN200" s="17" t="s">
        <v>908</v>
      </c>
      <c r="AO200" s="17" t="s">
        <v>909</v>
      </c>
      <c r="AR200" s="17" t="s">
        <v>910</v>
      </c>
      <c r="AS200" s="17" t="s">
        <v>76</v>
      </c>
      <c r="AT200" s="17" t="s">
        <v>388</v>
      </c>
      <c r="AU200" s="17" t="s">
        <v>109</v>
      </c>
      <c r="AV200" s="17" t="s">
        <v>114</v>
      </c>
      <c r="AW200" s="17" t="s">
        <v>388</v>
      </c>
      <c r="AX200" s="15">
        <v>46062.0</v>
      </c>
      <c r="AZ200" s="17" t="s">
        <v>151</v>
      </c>
      <c r="BA200" s="17" t="s">
        <v>491</v>
      </c>
      <c r="BH200" s="17">
        <v>17.0</v>
      </c>
      <c r="BJ200" s="16">
        <v>0.20833333333575865</v>
      </c>
      <c r="BK200" s="16">
        <v>0.9583333333357587</v>
      </c>
      <c r="BM200" s="17" t="s">
        <v>911</v>
      </c>
      <c r="BR200" s="7" t="str">
        <f t="shared" si="1"/>
        <v>The good sparrow</v>
      </c>
    </row>
    <row r="201" ht="22.5" customHeight="1">
      <c r="A201" s="14">
        <v>46064.978589583334</v>
      </c>
      <c r="B201" s="15">
        <v>46062.0</v>
      </c>
      <c r="C201" s="16">
        <v>0.5</v>
      </c>
      <c r="D201" s="17" t="s">
        <v>111</v>
      </c>
      <c r="T201" s="17" t="s">
        <v>117</v>
      </c>
      <c r="U201" s="17" t="s">
        <v>912</v>
      </c>
      <c r="V201" s="17">
        <v>8.977709421E9</v>
      </c>
      <c r="W201" s="17" t="s">
        <v>900</v>
      </c>
      <c r="AA201" s="17" t="s">
        <v>76</v>
      </c>
      <c r="AB201" s="17">
        <v>1.362501300113E13</v>
      </c>
      <c r="AC201" s="18" t="s">
        <v>913</v>
      </c>
      <c r="AD201" s="17" t="s">
        <v>902</v>
      </c>
      <c r="AE201" s="18" t="s">
        <v>914</v>
      </c>
      <c r="AF201" s="17" t="s">
        <v>904</v>
      </c>
      <c r="AG201" s="18" t="s">
        <v>915</v>
      </c>
      <c r="AJ201" s="18" t="s">
        <v>916</v>
      </c>
      <c r="AL201" s="17">
        <v>1.11605002567E11</v>
      </c>
      <c r="AM201" s="17" t="s">
        <v>907</v>
      </c>
      <c r="AN201" s="17" t="s">
        <v>908</v>
      </c>
      <c r="AO201" s="17" t="s">
        <v>917</v>
      </c>
      <c r="AR201" s="17" t="s">
        <v>918</v>
      </c>
      <c r="AS201" s="17" t="s">
        <v>76</v>
      </c>
      <c r="AT201" s="17" t="s">
        <v>388</v>
      </c>
      <c r="AU201" s="17" t="s">
        <v>109</v>
      </c>
      <c r="AV201" s="17" t="s">
        <v>114</v>
      </c>
      <c r="AZ201" s="17" t="s">
        <v>151</v>
      </c>
      <c r="BA201" s="17" t="s">
        <v>491</v>
      </c>
      <c r="BH201" s="17">
        <v>17.0</v>
      </c>
      <c r="BJ201" s="16">
        <v>0.20833333333575865</v>
      </c>
      <c r="BK201" s="16">
        <v>0.9583333333357587</v>
      </c>
      <c r="BM201" s="17" t="s">
        <v>919</v>
      </c>
      <c r="BR201" s="7" t="str">
        <f t="shared" si="1"/>
        <v>NA</v>
      </c>
    </row>
    <row r="202" ht="22.5" customHeight="1">
      <c r="A202" s="14">
        <v>46064.979988946754</v>
      </c>
      <c r="B202" s="15">
        <v>46063.0</v>
      </c>
      <c r="C202" s="16">
        <v>0.47916666666424135</v>
      </c>
      <c r="D202" s="17" t="s">
        <v>111</v>
      </c>
      <c r="T202" s="17" t="s">
        <v>920</v>
      </c>
      <c r="U202" s="17" t="s">
        <v>921</v>
      </c>
      <c r="V202" s="17">
        <v>7.028412666E9</v>
      </c>
      <c r="W202" s="17" t="s">
        <v>113</v>
      </c>
      <c r="AA202" s="17" t="s">
        <v>109</v>
      </c>
      <c r="AU202" s="17" t="s">
        <v>76</v>
      </c>
      <c r="AV202" s="17" t="s">
        <v>271</v>
      </c>
      <c r="AW202" s="17" t="s">
        <v>922</v>
      </c>
      <c r="AX202" s="15">
        <v>46066.0</v>
      </c>
      <c r="AY202" s="16">
        <v>0.10416666666424135</v>
      </c>
      <c r="AZ202" s="17" t="s">
        <v>356</v>
      </c>
      <c r="BA202" s="17" t="s">
        <v>491</v>
      </c>
      <c r="BR202" s="7" t="str">
        <f t="shared" si="1"/>
        <v>Bhoojanam Tayyaru</v>
      </c>
    </row>
    <row r="203" ht="22.5" customHeight="1">
      <c r="A203" s="14">
        <v>46064.98176540509</v>
      </c>
      <c r="B203" s="15">
        <v>46064.0</v>
      </c>
      <c r="C203" s="16">
        <v>0.22916666666424135</v>
      </c>
      <c r="D203" s="17" t="s">
        <v>111</v>
      </c>
      <c r="T203" s="17" t="s">
        <v>923</v>
      </c>
      <c r="U203" s="17" t="s">
        <v>577</v>
      </c>
      <c r="V203" s="17">
        <v>9.000143978E9</v>
      </c>
      <c r="W203" s="17" t="s">
        <v>113</v>
      </c>
      <c r="AA203" s="17" t="s">
        <v>109</v>
      </c>
      <c r="AU203" s="17" t="s">
        <v>76</v>
      </c>
      <c r="AV203" s="17" t="s">
        <v>373</v>
      </c>
      <c r="AW203" s="17" t="s">
        <v>924</v>
      </c>
      <c r="AX203" s="15">
        <v>46064.0</v>
      </c>
      <c r="AY203" s="16">
        <v>0.14583333333575865</v>
      </c>
      <c r="AZ203" s="17" t="s">
        <v>356</v>
      </c>
      <c r="BA203" s="17" t="s">
        <v>491</v>
      </c>
      <c r="BR203" s="7" t="str">
        <f t="shared" si="1"/>
        <v>Tadipatri</v>
      </c>
    </row>
    <row r="204" ht="22.5" customHeight="1">
      <c r="A204" s="14">
        <v>46064.98545847222</v>
      </c>
      <c r="B204" s="15">
        <v>46062.0</v>
      </c>
      <c r="C204" s="16">
        <v>0.5</v>
      </c>
      <c r="D204" s="17" t="s">
        <v>925</v>
      </c>
      <c r="T204" s="17" t="s">
        <v>926</v>
      </c>
      <c r="U204" s="17" t="s">
        <v>927</v>
      </c>
      <c r="V204" s="17">
        <v>8.977709421E9</v>
      </c>
      <c r="W204" s="17" t="s">
        <v>928</v>
      </c>
      <c r="AA204" s="17" t="s">
        <v>76</v>
      </c>
      <c r="AB204" s="17">
        <v>1.3625013000865E13</v>
      </c>
      <c r="AC204" s="18" t="s">
        <v>929</v>
      </c>
      <c r="AD204" s="17" t="s">
        <v>902</v>
      </c>
      <c r="AE204" s="18" t="s">
        <v>930</v>
      </c>
      <c r="AF204" s="17" t="s">
        <v>904</v>
      </c>
      <c r="AG204" s="18" t="s">
        <v>931</v>
      </c>
      <c r="AJ204" s="18" t="s">
        <v>932</v>
      </c>
      <c r="AL204" s="17">
        <v>1.11605002567E11</v>
      </c>
      <c r="AM204" s="17" t="s">
        <v>907</v>
      </c>
      <c r="AN204" s="17" t="s">
        <v>908</v>
      </c>
      <c r="AO204" s="17" t="s">
        <v>927</v>
      </c>
      <c r="AP204" s="17">
        <v>8.977709421E9</v>
      </c>
      <c r="AS204" s="17" t="s">
        <v>76</v>
      </c>
      <c r="AT204" s="17" t="s">
        <v>388</v>
      </c>
      <c r="AU204" s="17" t="s">
        <v>109</v>
      </c>
      <c r="AZ204" s="17" t="s">
        <v>151</v>
      </c>
      <c r="BA204" s="17" t="s">
        <v>491</v>
      </c>
      <c r="BH204" s="17">
        <v>17.0</v>
      </c>
      <c r="BM204" s="17" t="s">
        <v>933</v>
      </c>
      <c r="BR204" s="7" t="str">
        <f t="shared" si="1"/>
        <v>N</v>
      </c>
    </row>
    <row r="205" ht="22.5" customHeight="1">
      <c r="A205" s="14">
        <v>46064.99488269676</v>
      </c>
      <c r="B205" s="15">
        <v>46064.0</v>
      </c>
      <c r="C205" s="16">
        <v>0.9166666666642413</v>
      </c>
      <c r="D205" s="17" t="s">
        <v>91</v>
      </c>
      <c r="E205" s="17" t="s">
        <v>934</v>
      </c>
      <c r="F205" s="17">
        <v>150.0</v>
      </c>
      <c r="G205" s="17">
        <v>400.0</v>
      </c>
      <c r="H205" s="17" t="s">
        <v>184</v>
      </c>
      <c r="I205" s="17">
        <v>120000.0</v>
      </c>
      <c r="J205" s="17" t="s">
        <v>167</v>
      </c>
      <c r="K205" s="17" t="s">
        <v>515</v>
      </c>
      <c r="L205" s="17">
        <v>10.0</v>
      </c>
      <c r="M205" s="17">
        <v>15.0</v>
      </c>
      <c r="N205" s="17">
        <v>2.0</v>
      </c>
      <c r="O205" s="17" t="s">
        <v>135</v>
      </c>
      <c r="P205" s="17" t="s">
        <v>76</v>
      </c>
      <c r="Q205" s="17" t="s">
        <v>97</v>
      </c>
      <c r="R205" s="17" t="s">
        <v>76</v>
      </c>
      <c r="S205" s="18" t="s">
        <v>935</v>
      </c>
      <c r="U205" s="17" t="s">
        <v>490</v>
      </c>
      <c r="V205" s="17">
        <v>9.849108337E9</v>
      </c>
      <c r="W205" s="17" t="s">
        <v>117</v>
      </c>
      <c r="AA205" s="17" t="s">
        <v>76</v>
      </c>
      <c r="AB205" s="17">
        <v>1.3623011000278E13</v>
      </c>
      <c r="AC205" s="18" t="s">
        <v>936</v>
      </c>
      <c r="AD205" s="17" t="s">
        <v>937</v>
      </c>
      <c r="AE205" s="18" t="s">
        <v>938</v>
      </c>
      <c r="AF205" s="17" t="s">
        <v>939</v>
      </c>
      <c r="AG205" s="18" t="s">
        <v>940</v>
      </c>
      <c r="AK205" s="18" t="s">
        <v>941</v>
      </c>
      <c r="AL205" s="17">
        <v>5.0200037070989E13</v>
      </c>
      <c r="AM205" s="17" t="s">
        <v>942</v>
      </c>
      <c r="AN205" s="17" t="s">
        <v>301</v>
      </c>
      <c r="AO205" s="17" t="s">
        <v>490</v>
      </c>
      <c r="AP205" s="17">
        <v>9.849108337E9</v>
      </c>
      <c r="AQ205" s="17" t="s">
        <v>117</v>
      </c>
      <c r="AR205" s="17" t="s">
        <v>301</v>
      </c>
      <c r="AS205" s="17" t="s">
        <v>76</v>
      </c>
      <c r="AU205" s="17" t="s">
        <v>76</v>
      </c>
      <c r="AV205" s="17" t="s">
        <v>271</v>
      </c>
      <c r="AW205" s="17" t="s">
        <v>943</v>
      </c>
      <c r="AX205" s="15">
        <v>46069.0</v>
      </c>
      <c r="AY205" s="16">
        <v>0.625</v>
      </c>
      <c r="AZ205" s="17" t="s">
        <v>164</v>
      </c>
      <c r="BA205" s="17" t="s">
        <v>491</v>
      </c>
      <c r="BH205" s="17">
        <v>15.0</v>
      </c>
      <c r="BI205" s="17" t="s">
        <v>109</v>
      </c>
      <c r="BJ205" s="16">
        <v>0.33333333333575865</v>
      </c>
      <c r="BK205" s="16">
        <v>0.9166666666642413</v>
      </c>
      <c r="BL205" s="17">
        <v>300.0</v>
      </c>
      <c r="BM205" s="17" t="s">
        <v>934</v>
      </c>
      <c r="BN205" s="17" t="s">
        <v>696</v>
      </c>
      <c r="BO205" s="19"/>
      <c r="BP205" s="19"/>
      <c r="BQ205" s="19"/>
      <c r="BR205" s="7" t="str">
        <f t="shared" si="1"/>
        <v>LUCKY RESTAURANT [somajiguda]</v>
      </c>
    </row>
    <row r="206" ht="22.5" customHeight="1">
      <c r="A206" s="14">
        <v>46065.187595972224</v>
      </c>
      <c r="B206" s="15">
        <v>46064.0</v>
      </c>
      <c r="C206" s="16">
        <v>0.75</v>
      </c>
      <c r="D206" s="17" t="s">
        <v>91</v>
      </c>
      <c r="E206" s="17" t="s">
        <v>944</v>
      </c>
      <c r="F206" s="17">
        <v>30.0</v>
      </c>
      <c r="G206" s="17">
        <v>200.0</v>
      </c>
      <c r="H206" s="17" t="s">
        <v>611</v>
      </c>
      <c r="I206" s="17">
        <v>10000.0</v>
      </c>
      <c r="J206" s="17" t="s">
        <v>221</v>
      </c>
      <c r="K206" s="17" t="s">
        <v>134</v>
      </c>
      <c r="L206" s="17">
        <v>22.0</v>
      </c>
      <c r="M206" s="17">
        <v>20.0</v>
      </c>
      <c r="N206" s="17">
        <v>1.0</v>
      </c>
      <c r="O206" s="17" t="s">
        <v>96</v>
      </c>
      <c r="P206" s="17" t="s">
        <v>76</v>
      </c>
      <c r="Q206" s="17" t="s">
        <v>97</v>
      </c>
      <c r="R206" s="17" t="s">
        <v>109</v>
      </c>
      <c r="S206" s="17" t="s">
        <v>388</v>
      </c>
      <c r="U206" s="17" t="s">
        <v>945</v>
      </c>
      <c r="V206" s="17">
        <v>9.989071021E9</v>
      </c>
      <c r="W206" s="17" t="s">
        <v>388</v>
      </c>
      <c r="AA206" s="17" t="s">
        <v>109</v>
      </c>
      <c r="AT206" s="17" t="s">
        <v>586</v>
      </c>
      <c r="AU206" s="17" t="s">
        <v>109</v>
      </c>
      <c r="AV206" s="17" t="s">
        <v>472</v>
      </c>
      <c r="AX206" s="15">
        <v>46064.0</v>
      </c>
      <c r="AY206" s="16">
        <v>0.75</v>
      </c>
      <c r="AZ206" s="17" t="s">
        <v>131</v>
      </c>
      <c r="BA206" s="17" t="s">
        <v>458</v>
      </c>
      <c r="BB206" s="17" t="s">
        <v>76</v>
      </c>
      <c r="BL206" s="17">
        <v>30.0</v>
      </c>
      <c r="BN206" s="17" t="s">
        <v>946</v>
      </c>
      <c r="BO206" s="19"/>
      <c r="BP206" s="19"/>
      <c r="BQ206" s="19"/>
      <c r="BR206" s="7" t="str">
        <f t="shared" si="1"/>
        <v>Anu Archan Kitchen</v>
      </c>
    </row>
    <row r="207" ht="22.5" customHeight="1">
      <c r="A207" s="14">
        <v>46065.189906099535</v>
      </c>
      <c r="B207" s="15">
        <v>46064.0</v>
      </c>
      <c r="C207" s="16">
        <v>0.75</v>
      </c>
      <c r="D207" s="17" t="s">
        <v>91</v>
      </c>
      <c r="E207" s="17" t="s">
        <v>947</v>
      </c>
      <c r="F207" s="17">
        <v>30.0</v>
      </c>
      <c r="G207" s="17">
        <v>300.0</v>
      </c>
      <c r="H207" s="17" t="s">
        <v>863</v>
      </c>
      <c r="I207" s="17">
        <v>20000.0</v>
      </c>
      <c r="J207" s="17" t="s">
        <v>221</v>
      </c>
      <c r="K207" s="17" t="s">
        <v>95</v>
      </c>
      <c r="L207" s="17">
        <v>22.0</v>
      </c>
      <c r="M207" s="17">
        <v>20.0</v>
      </c>
      <c r="N207" s="17">
        <v>2.0</v>
      </c>
      <c r="O207" s="17" t="s">
        <v>96</v>
      </c>
      <c r="P207" s="17" t="s">
        <v>76</v>
      </c>
      <c r="Q207" s="17" t="s">
        <v>97</v>
      </c>
      <c r="R207" s="17" t="s">
        <v>109</v>
      </c>
      <c r="S207" s="17" t="s">
        <v>388</v>
      </c>
      <c r="U207" s="17" t="s">
        <v>948</v>
      </c>
      <c r="V207" s="17">
        <v>9.603021048E9</v>
      </c>
      <c r="W207" s="17" t="s">
        <v>388</v>
      </c>
      <c r="AA207" s="17" t="s">
        <v>109</v>
      </c>
      <c r="AU207" s="17" t="s">
        <v>76</v>
      </c>
      <c r="AV207" s="17" t="s">
        <v>271</v>
      </c>
      <c r="AX207" s="15">
        <v>46065.0</v>
      </c>
      <c r="AY207" s="16">
        <v>0.5</v>
      </c>
      <c r="AZ207" s="17" t="s">
        <v>131</v>
      </c>
      <c r="BA207" s="17" t="s">
        <v>458</v>
      </c>
      <c r="BB207" s="17" t="s">
        <v>76</v>
      </c>
      <c r="BL207" s="17">
        <v>40.0</v>
      </c>
      <c r="BN207" s="17" t="s">
        <v>946</v>
      </c>
      <c r="BO207" s="19"/>
      <c r="BP207" s="19"/>
      <c r="BQ207" s="19"/>
      <c r="BR207" s="7" t="str">
        <f t="shared" si="1"/>
        <v>Ma potta Ma istam</v>
      </c>
    </row>
    <row r="208" ht="22.5" customHeight="1">
      <c r="A208" s="14">
        <v>46065.19260886574</v>
      </c>
      <c r="B208" s="15">
        <v>46064.0</v>
      </c>
      <c r="C208" s="16">
        <v>0.5416666666642413</v>
      </c>
      <c r="D208" s="17" t="s">
        <v>91</v>
      </c>
      <c r="E208" s="17" t="s">
        <v>949</v>
      </c>
      <c r="F208" s="17">
        <v>30.0</v>
      </c>
      <c r="G208" s="17">
        <v>250.0</v>
      </c>
      <c r="H208" s="17" t="s">
        <v>863</v>
      </c>
      <c r="I208" s="17">
        <v>15000.0</v>
      </c>
      <c r="J208" s="17" t="s">
        <v>221</v>
      </c>
      <c r="K208" s="17" t="s">
        <v>273</v>
      </c>
      <c r="L208" s="17">
        <v>22.0</v>
      </c>
      <c r="M208" s="17">
        <v>22.0</v>
      </c>
      <c r="N208" s="17">
        <v>2.0</v>
      </c>
      <c r="O208" s="17" t="s">
        <v>135</v>
      </c>
      <c r="P208" s="17" t="s">
        <v>76</v>
      </c>
      <c r="Q208" s="17" t="s">
        <v>97</v>
      </c>
      <c r="R208" s="17" t="s">
        <v>76</v>
      </c>
      <c r="S208" s="17" t="s">
        <v>388</v>
      </c>
      <c r="U208" s="17" t="s">
        <v>950</v>
      </c>
      <c r="V208" s="17">
        <v>9.100172163E9</v>
      </c>
      <c r="W208" s="17" t="s">
        <v>388</v>
      </c>
      <c r="AA208" s="17" t="s">
        <v>109</v>
      </c>
      <c r="AU208" s="17" t="s">
        <v>76</v>
      </c>
      <c r="AV208" s="17" t="s">
        <v>472</v>
      </c>
      <c r="AX208" s="15">
        <v>46065.0</v>
      </c>
      <c r="AY208" s="16">
        <v>0.6666666666642413</v>
      </c>
      <c r="AZ208" s="17" t="s">
        <v>131</v>
      </c>
      <c r="BA208" s="17" t="s">
        <v>458</v>
      </c>
      <c r="BB208" s="17" t="s">
        <v>76</v>
      </c>
      <c r="BL208" s="17">
        <v>40.0</v>
      </c>
      <c r="BN208" s="17" t="s">
        <v>865</v>
      </c>
      <c r="BO208" s="19"/>
      <c r="BP208" s="19"/>
      <c r="BQ208" s="19"/>
      <c r="BR208" s="7" t="str">
        <f t="shared" si="1"/>
        <v>Dragon Tales</v>
      </c>
    </row>
    <row r="209" ht="22.5" customHeight="1">
      <c r="A209" s="14">
        <v>46065.19476912037</v>
      </c>
      <c r="B209" s="15">
        <v>46064.0</v>
      </c>
      <c r="C209" s="16">
        <v>0.6666666666642413</v>
      </c>
      <c r="D209" s="17" t="s">
        <v>91</v>
      </c>
      <c r="E209" s="17" t="s">
        <v>951</v>
      </c>
      <c r="F209" s="17">
        <v>50.0</v>
      </c>
      <c r="G209" s="17">
        <v>500.0</v>
      </c>
      <c r="H209" s="17" t="s">
        <v>388</v>
      </c>
      <c r="I209" s="17">
        <v>50000.0</v>
      </c>
      <c r="J209" s="17" t="s">
        <v>167</v>
      </c>
      <c r="K209" s="17" t="s">
        <v>134</v>
      </c>
      <c r="L209" s="17">
        <v>22.0</v>
      </c>
      <c r="M209" s="17">
        <v>19.0</v>
      </c>
      <c r="N209" s="17">
        <v>2.0</v>
      </c>
      <c r="O209" s="17" t="s">
        <v>96</v>
      </c>
      <c r="P209" s="17" t="s">
        <v>76</v>
      </c>
      <c r="Q209" s="17" t="s">
        <v>97</v>
      </c>
      <c r="R209" s="17" t="s">
        <v>109</v>
      </c>
      <c r="S209" s="17" t="s">
        <v>388</v>
      </c>
      <c r="U209" s="17" t="s">
        <v>952</v>
      </c>
      <c r="V209" s="17">
        <v>8.688995094E9</v>
      </c>
      <c r="W209" s="17" t="s">
        <v>388</v>
      </c>
      <c r="AA209" s="17" t="s">
        <v>109</v>
      </c>
      <c r="AU209" s="17" t="s">
        <v>76</v>
      </c>
      <c r="AV209" s="17" t="s">
        <v>271</v>
      </c>
      <c r="AX209" s="15">
        <v>46065.0</v>
      </c>
      <c r="AY209" s="16">
        <v>0.625</v>
      </c>
      <c r="AZ209" s="17" t="s">
        <v>131</v>
      </c>
      <c r="BA209" s="17" t="s">
        <v>458</v>
      </c>
      <c r="BB209" s="17" t="s">
        <v>76</v>
      </c>
      <c r="BL209" s="17">
        <v>50.0</v>
      </c>
      <c r="BN209" s="17" t="s">
        <v>865</v>
      </c>
      <c r="BO209" s="19"/>
      <c r="BP209" s="19"/>
      <c r="BQ209" s="19"/>
      <c r="BR209" s="7" t="str">
        <f t="shared" si="1"/>
        <v>Aaha</v>
      </c>
    </row>
    <row r="210" ht="22.5" customHeight="1">
      <c r="A210" s="14">
        <v>46065.197357233796</v>
      </c>
      <c r="B210" s="15">
        <v>46064.0</v>
      </c>
      <c r="C210" s="16">
        <v>0.5833333333357587</v>
      </c>
      <c r="D210" s="17" t="s">
        <v>91</v>
      </c>
      <c r="E210" s="17" t="s">
        <v>953</v>
      </c>
      <c r="F210" s="17">
        <v>5.0</v>
      </c>
      <c r="G210" s="17">
        <v>300.0</v>
      </c>
      <c r="H210" s="17" t="s">
        <v>863</v>
      </c>
      <c r="I210" s="17">
        <v>15000.0</v>
      </c>
      <c r="J210" s="17" t="s">
        <v>94</v>
      </c>
      <c r="K210" s="17" t="s">
        <v>515</v>
      </c>
      <c r="L210" s="17">
        <v>22.0</v>
      </c>
      <c r="M210" s="17">
        <v>20.0</v>
      </c>
      <c r="N210" s="17">
        <v>2.0</v>
      </c>
      <c r="O210" s="17" t="s">
        <v>135</v>
      </c>
      <c r="P210" s="17" t="s">
        <v>76</v>
      </c>
      <c r="Q210" s="17" t="s">
        <v>97</v>
      </c>
      <c r="R210" s="17" t="s">
        <v>76</v>
      </c>
      <c r="S210" s="17" t="s">
        <v>388</v>
      </c>
      <c r="U210" s="17" t="s">
        <v>954</v>
      </c>
      <c r="V210" s="17">
        <v>9.704673535E9</v>
      </c>
      <c r="W210" s="17" t="s">
        <v>388</v>
      </c>
      <c r="AA210" s="17" t="s">
        <v>109</v>
      </c>
      <c r="AU210" s="17" t="s">
        <v>76</v>
      </c>
      <c r="AV210" s="17" t="s">
        <v>271</v>
      </c>
      <c r="AX210" s="15">
        <v>46065.0</v>
      </c>
      <c r="AY210" s="16">
        <v>0.5416666666642413</v>
      </c>
      <c r="AZ210" s="17" t="s">
        <v>131</v>
      </c>
      <c r="BA210" s="17" t="s">
        <v>458</v>
      </c>
      <c r="BB210" s="17" t="s">
        <v>76</v>
      </c>
      <c r="BL210" s="17">
        <v>20.0</v>
      </c>
      <c r="BN210" s="17" t="s">
        <v>865</v>
      </c>
      <c r="BO210" s="19"/>
      <c r="BP210" s="19"/>
      <c r="BQ210" s="19"/>
      <c r="BR210" s="7" t="str">
        <f t="shared" si="1"/>
        <v>Viyala vari pindi vantalu</v>
      </c>
    </row>
    <row r="211" ht="22.5" customHeight="1">
      <c r="A211" s="14">
        <v>46065.20009251157</v>
      </c>
      <c r="B211" s="15">
        <v>46064.0</v>
      </c>
      <c r="C211" s="16">
        <v>0.625</v>
      </c>
      <c r="D211" s="17" t="s">
        <v>91</v>
      </c>
      <c r="E211" s="17" t="s">
        <v>955</v>
      </c>
      <c r="F211" s="17">
        <v>40.0</v>
      </c>
      <c r="G211" s="17">
        <v>150.0</v>
      </c>
      <c r="H211" s="17" t="s">
        <v>388</v>
      </c>
      <c r="I211" s="17">
        <v>15000.0</v>
      </c>
      <c r="J211" s="17" t="s">
        <v>221</v>
      </c>
      <c r="K211" s="17" t="s">
        <v>134</v>
      </c>
      <c r="L211" s="17">
        <v>22.0</v>
      </c>
      <c r="M211" s="17">
        <v>20.0</v>
      </c>
      <c r="N211" s="17">
        <v>1.0</v>
      </c>
      <c r="O211" s="17" t="s">
        <v>96</v>
      </c>
      <c r="P211" s="17" t="s">
        <v>76</v>
      </c>
      <c r="Q211" s="17" t="s">
        <v>97</v>
      </c>
      <c r="R211" s="17" t="s">
        <v>109</v>
      </c>
      <c r="S211" s="17" t="s">
        <v>388</v>
      </c>
      <c r="U211" s="17" t="s">
        <v>956</v>
      </c>
      <c r="V211" s="17">
        <v>7.981730116E9</v>
      </c>
      <c r="W211" s="17" t="s">
        <v>957</v>
      </c>
      <c r="AA211" s="17" t="s">
        <v>109</v>
      </c>
      <c r="AU211" s="17" t="s">
        <v>76</v>
      </c>
      <c r="AV211" s="17" t="s">
        <v>114</v>
      </c>
      <c r="AX211" s="15">
        <v>46067.0</v>
      </c>
      <c r="AY211" s="16">
        <v>0.45833333333575865</v>
      </c>
      <c r="AZ211" s="17" t="s">
        <v>131</v>
      </c>
      <c r="BA211" s="17" t="s">
        <v>458</v>
      </c>
      <c r="BB211" s="17" t="s">
        <v>76</v>
      </c>
      <c r="BL211" s="17">
        <v>40.0</v>
      </c>
      <c r="BN211" s="17" t="s">
        <v>865</v>
      </c>
      <c r="BO211" s="19"/>
      <c r="BP211" s="19"/>
      <c r="BQ211" s="19"/>
      <c r="BR211" s="7" t="str">
        <f t="shared" si="1"/>
        <v>Karam Dosa</v>
      </c>
    </row>
    <row r="212" ht="22.5" customHeight="1">
      <c r="A212" s="14">
        <v>46065.20215131945</v>
      </c>
      <c r="B212" s="15">
        <v>46064.0</v>
      </c>
      <c r="C212" s="16">
        <v>0.625</v>
      </c>
      <c r="D212" s="17" t="s">
        <v>91</v>
      </c>
      <c r="E212" s="17" t="s">
        <v>958</v>
      </c>
      <c r="F212" s="17">
        <v>10.0</v>
      </c>
      <c r="G212" s="17">
        <v>200.0</v>
      </c>
      <c r="H212" s="17" t="s">
        <v>863</v>
      </c>
      <c r="I212" s="17">
        <v>5000.0</v>
      </c>
      <c r="J212" s="17" t="s">
        <v>221</v>
      </c>
      <c r="K212" s="17" t="s">
        <v>273</v>
      </c>
      <c r="L212" s="17">
        <v>22.0</v>
      </c>
      <c r="M212" s="17">
        <v>20.0</v>
      </c>
      <c r="N212" s="17">
        <v>1.0</v>
      </c>
      <c r="O212" s="17" t="s">
        <v>96</v>
      </c>
      <c r="P212" s="17" t="s">
        <v>76</v>
      </c>
      <c r="Q212" s="17" t="s">
        <v>97</v>
      </c>
      <c r="R212" s="17" t="s">
        <v>109</v>
      </c>
      <c r="S212" s="17" t="s">
        <v>388</v>
      </c>
      <c r="U212" s="17" t="s">
        <v>245</v>
      </c>
      <c r="V212" s="17">
        <v>8.125526123E9</v>
      </c>
      <c r="W212" s="17" t="s">
        <v>388</v>
      </c>
      <c r="AA212" s="17" t="s">
        <v>109</v>
      </c>
      <c r="AU212" s="17" t="s">
        <v>76</v>
      </c>
      <c r="AV212" s="17" t="s">
        <v>114</v>
      </c>
      <c r="AX212" s="15">
        <v>46065.0</v>
      </c>
      <c r="AY212" s="16">
        <v>0.6666666666642413</v>
      </c>
      <c r="AZ212" s="17" t="s">
        <v>131</v>
      </c>
      <c r="BA212" s="17" t="s">
        <v>458</v>
      </c>
      <c r="BB212" s="17" t="s">
        <v>76</v>
      </c>
      <c r="BL212" s="17">
        <v>20.0</v>
      </c>
      <c r="BN212" s="17" t="s">
        <v>865</v>
      </c>
      <c r="BO212" s="19"/>
      <c r="BP212" s="19"/>
      <c r="BQ212" s="19"/>
      <c r="BR212" s="7" t="str">
        <f t="shared" si="1"/>
        <v>Qubz The shewarma Revolution </v>
      </c>
    </row>
    <row r="213" ht="22.5" customHeight="1">
      <c r="A213" s="14">
        <v>46065.2047925</v>
      </c>
      <c r="B213" s="15">
        <v>46064.0</v>
      </c>
      <c r="C213" s="16">
        <v>0.5416666666642413</v>
      </c>
      <c r="D213" s="17" t="s">
        <v>91</v>
      </c>
      <c r="E213" s="17" t="s">
        <v>959</v>
      </c>
      <c r="F213" s="17">
        <v>10.0</v>
      </c>
      <c r="G213" s="17">
        <v>200.0</v>
      </c>
      <c r="H213" s="17" t="s">
        <v>960</v>
      </c>
      <c r="I213" s="17">
        <v>5000.0</v>
      </c>
      <c r="J213" s="17" t="s">
        <v>221</v>
      </c>
      <c r="K213" s="17" t="s">
        <v>273</v>
      </c>
      <c r="L213" s="17">
        <v>22.0</v>
      </c>
      <c r="M213" s="17">
        <v>20.0</v>
      </c>
      <c r="N213" s="17">
        <v>3.0</v>
      </c>
      <c r="O213" s="17" t="s">
        <v>96</v>
      </c>
      <c r="P213" s="17" t="s">
        <v>76</v>
      </c>
      <c r="Q213" s="17" t="s">
        <v>97</v>
      </c>
      <c r="R213" s="17" t="s">
        <v>109</v>
      </c>
      <c r="S213" s="17" t="s">
        <v>388</v>
      </c>
      <c r="U213" s="17" t="s">
        <v>961</v>
      </c>
      <c r="V213" s="17">
        <v>9.849499208E9</v>
      </c>
      <c r="W213" s="17" t="s">
        <v>388</v>
      </c>
      <c r="AA213" s="17" t="s">
        <v>109</v>
      </c>
      <c r="AU213" s="17" t="s">
        <v>76</v>
      </c>
      <c r="AV213" s="17" t="s">
        <v>373</v>
      </c>
      <c r="AX213" s="15">
        <v>46067.0</v>
      </c>
      <c r="AY213" s="16">
        <v>0.7916666666642413</v>
      </c>
      <c r="AZ213" s="17" t="s">
        <v>131</v>
      </c>
      <c r="BA213" s="17" t="s">
        <v>458</v>
      </c>
      <c r="BB213" s="17" t="s">
        <v>76</v>
      </c>
      <c r="BL213" s="17" t="s">
        <v>388</v>
      </c>
      <c r="BN213" s="17" t="s">
        <v>865</v>
      </c>
      <c r="BO213" s="19"/>
      <c r="BP213" s="19"/>
      <c r="BQ213" s="19"/>
      <c r="BR213" s="7" t="str">
        <f t="shared" si="1"/>
        <v>Ttastryy</v>
      </c>
    </row>
    <row r="214" ht="22.5" customHeight="1">
      <c r="A214" s="14">
        <v>46065.20689563657</v>
      </c>
      <c r="B214" s="15">
        <v>46064.0</v>
      </c>
      <c r="C214" s="16">
        <v>0.625</v>
      </c>
      <c r="D214" s="17" t="s">
        <v>91</v>
      </c>
      <c r="E214" s="17" t="s">
        <v>962</v>
      </c>
      <c r="F214" s="17">
        <v>50.0</v>
      </c>
      <c r="G214" s="17">
        <v>300.0</v>
      </c>
      <c r="H214" s="17" t="s">
        <v>388</v>
      </c>
      <c r="I214" s="17">
        <v>20000.0</v>
      </c>
      <c r="J214" s="17" t="s">
        <v>221</v>
      </c>
      <c r="K214" s="17" t="s">
        <v>134</v>
      </c>
      <c r="L214" s="17">
        <v>22.0</v>
      </c>
      <c r="M214" s="17">
        <v>20.0</v>
      </c>
      <c r="N214" s="17">
        <v>1.0</v>
      </c>
      <c r="O214" s="17" t="s">
        <v>96</v>
      </c>
      <c r="P214" s="17" t="s">
        <v>76</v>
      </c>
      <c r="Q214" s="17" t="s">
        <v>97</v>
      </c>
      <c r="R214" s="17" t="s">
        <v>109</v>
      </c>
      <c r="S214" s="17" t="s">
        <v>388</v>
      </c>
      <c r="U214" s="17" t="s">
        <v>963</v>
      </c>
      <c r="V214" s="17">
        <v>8.801027834E9</v>
      </c>
      <c r="W214" s="17" t="s">
        <v>388</v>
      </c>
      <c r="AA214" s="17" t="s">
        <v>109</v>
      </c>
      <c r="AU214" s="17" t="s">
        <v>76</v>
      </c>
      <c r="AV214" s="17" t="s">
        <v>271</v>
      </c>
      <c r="AX214" s="15">
        <v>46066.0</v>
      </c>
      <c r="AY214" s="16">
        <v>0.5416666666642413</v>
      </c>
      <c r="AZ214" s="17" t="s">
        <v>131</v>
      </c>
      <c r="BA214" s="17" t="s">
        <v>458</v>
      </c>
      <c r="BB214" s="17" t="s">
        <v>76</v>
      </c>
      <c r="BL214" s="17">
        <v>30.0</v>
      </c>
      <c r="BN214" s="17" t="s">
        <v>865</v>
      </c>
      <c r="BO214" s="19"/>
      <c r="BP214" s="19"/>
      <c r="BQ214" s="19"/>
      <c r="BR214" s="7" t="str">
        <f t="shared" si="1"/>
        <v>SHOHRAT</v>
      </c>
    </row>
    <row r="215" ht="22.5" customHeight="1">
      <c r="A215" s="14">
        <v>46065.212084074075</v>
      </c>
      <c r="B215" s="15">
        <v>46064.0</v>
      </c>
      <c r="C215" s="16">
        <v>0.625</v>
      </c>
      <c r="D215" s="17" t="s">
        <v>91</v>
      </c>
      <c r="E215" s="17" t="s">
        <v>964</v>
      </c>
      <c r="F215" s="17">
        <v>20.0</v>
      </c>
      <c r="G215" s="17">
        <v>300.0</v>
      </c>
      <c r="H215" s="17" t="s">
        <v>863</v>
      </c>
      <c r="I215" s="17">
        <v>20000.0</v>
      </c>
      <c r="J215" s="17" t="s">
        <v>94</v>
      </c>
      <c r="K215" s="17" t="s">
        <v>273</v>
      </c>
      <c r="L215" s="17">
        <v>22.0</v>
      </c>
      <c r="M215" s="17">
        <v>15.0</v>
      </c>
      <c r="N215" s="17">
        <v>1.0</v>
      </c>
      <c r="O215" s="17" t="s">
        <v>96</v>
      </c>
      <c r="P215" s="17" t="s">
        <v>76</v>
      </c>
      <c r="Q215" s="17" t="s">
        <v>97</v>
      </c>
      <c r="R215" s="17" t="s">
        <v>109</v>
      </c>
      <c r="S215" s="17" t="s">
        <v>388</v>
      </c>
      <c r="U215" s="17" t="s">
        <v>965</v>
      </c>
      <c r="V215" s="17">
        <v>9.959244406E9</v>
      </c>
      <c r="W215" s="17" t="s">
        <v>388</v>
      </c>
      <c r="AA215" s="17" t="s">
        <v>109</v>
      </c>
      <c r="AU215" s="17" t="s">
        <v>76</v>
      </c>
      <c r="AV215" s="17" t="s">
        <v>373</v>
      </c>
      <c r="AX215" s="15">
        <v>46069.0</v>
      </c>
      <c r="AY215" s="16">
        <v>0.5833333333357587</v>
      </c>
      <c r="AZ215" s="17" t="s">
        <v>131</v>
      </c>
      <c r="BA215" s="17" t="s">
        <v>458</v>
      </c>
      <c r="BB215" s="17" t="s">
        <v>76</v>
      </c>
      <c r="BL215" s="17">
        <v>50.0</v>
      </c>
      <c r="BN215" s="17" t="s">
        <v>865</v>
      </c>
      <c r="BO215" s="19"/>
      <c r="BP215" s="19"/>
      <c r="BQ215" s="19"/>
      <c r="BR215" s="7" t="str">
        <f t="shared" si="1"/>
        <v>Chantabbai Biryani </v>
      </c>
    </row>
    <row r="216" ht="22.5" customHeight="1">
      <c r="A216" s="14">
        <v>46065.21417503472</v>
      </c>
      <c r="B216" s="15">
        <v>46063.0</v>
      </c>
      <c r="C216" s="16">
        <v>0.7083333333357587</v>
      </c>
      <c r="D216" s="17" t="s">
        <v>91</v>
      </c>
      <c r="E216" s="17" t="s">
        <v>734</v>
      </c>
      <c r="F216" s="17">
        <v>20.0</v>
      </c>
      <c r="G216" s="17">
        <v>200.0</v>
      </c>
      <c r="H216" s="17" t="s">
        <v>863</v>
      </c>
      <c r="I216" s="17">
        <v>15000.0</v>
      </c>
      <c r="J216" s="17" t="s">
        <v>221</v>
      </c>
      <c r="K216" s="17" t="s">
        <v>134</v>
      </c>
      <c r="L216" s="17">
        <v>22.0</v>
      </c>
      <c r="M216" s="17">
        <v>22.0</v>
      </c>
      <c r="N216" s="17">
        <v>1.0</v>
      </c>
      <c r="O216" s="17" t="s">
        <v>96</v>
      </c>
      <c r="P216" s="17" t="s">
        <v>76</v>
      </c>
      <c r="Q216" s="17" t="s">
        <v>97</v>
      </c>
      <c r="R216" s="17" t="s">
        <v>109</v>
      </c>
      <c r="S216" s="17" t="s">
        <v>388</v>
      </c>
      <c r="U216" s="17" t="s">
        <v>966</v>
      </c>
      <c r="V216" s="17" t="s">
        <v>967</v>
      </c>
      <c r="W216" s="17" t="s">
        <v>388</v>
      </c>
      <c r="AA216" s="17" t="s">
        <v>109</v>
      </c>
      <c r="AT216" s="17" t="s">
        <v>586</v>
      </c>
      <c r="AU216" s="17" t="s">
        <v>109</v>
      </c>
      <c r="AV216" s="17" t="s">
        <v>586</v>
      </c>
      <c r="AZ216" s="17" t="s">
        <v>131</v>
      </c>
      <c r="BA216" s="17" t="s">
        <v>458</v>
      </c>
      <c r="BB216" s="17" t="s">
        <v>76</v>
      </c>
      <c r="BL216" s="17">
        <v>20.0</v>
      </c>
      <c r="BN216" s="17" t="s">
        <v>865</v>
      </c>
      <c r="BO216" s="19"/>
      <c r="BP216" s="19"/>
      <c r="BQ216" s="19"/>
      <c r="BR216" s="7" t="str">
        <f t="shared" si="1"/>
        <v>Mama Thinu</v>
      </c>
    </row>
    <row r="217" ht="22.5" customHeight="1">
      <c r="A217" s="14">
        <v>46065.21674798611</v>
      </c>
      <c r="B217" s="15">
        <v>46064.0</v>
      </c>
      <c r="C217" s="16">
        <v>0.5416666666642413</v>
      </c>
      <c r="D217" s="17" t="s">
        <v>91</v>
      </c>
      <c r="E217" s="17" t="s">
        <v>968</v>
      </c>
      <c r="F217" s="17">
        <v>30.0</v>
      </c>
      <c r="G217" s="17">
        <v>200.0</v>
      </c>
      <c r="H217" s="17" t="s">
        <v>960</v>
      </c>
      <c r="I217" s="17">
        <v>15000.0</v>
      </c>
      <c r="J217" s="17" t="s">
        <v>221</v>
      </c>
      <c r="K217" s="17" t="s">
        <v>134</v>
      </c>
      <c r="L217" s="17">
        <v>22.0</v>
      </c>
      <c r="M217" s="17">
        <v>19.0</v>
      </c>
      <c r="N217" s="17">
        <v>1.0</v>
      </c>
      <c r="O217" s="17" t="s">
        <v>96</v>
      </c>
      <c r="P217" s="17" t="s">
        <v>76</v>
      </c>
      <c r="Q217" s="17" t="s">
        <v>97</v>
      </c>
      <c r="R217" s="17" t="s">
        <v>109</v>
      </c>
      <c r="S217" s="17" t="s">
        <v>388</v>
      </c>
      <c r="U217" s="17" t="s">
        <v>245</v>
      </c>
      <c r="V217" s="17">
        <v>9.866402028E9</v>
      </c>
      <c r="W217" s="17" t="s">
        <v>388</v>
      </c>
      <c r="AA217" s="17" t="s">
        <v>109</v>
      </c>
      <c r="AU217" s="17" t="s">
        <v>76</v>
      </c>
      <c r="AV217" s="17" t="s">
        <v>373</v>
      </c>
      <c r="AZ217" s="17" t="s">
        <v>131</v>
      </c>
      <c r="BA217" s="17" t="s">
        <v>458</v>
      </c>
      <c r="BB217" s="17" t="s">
        <v>76</v>
      </c>
      <c r="BL217" s="17">
        <v>20.0</v>
      </c>
      <c r="BN217" s="17" t="s">
        <v>865</v>
      </c>
      <c r="BO217" s="19"/>
      <c r="BP217" s="19"/>
      <c r="BQ217" s="19"/>
      <c r="BR217" s="7" t="str">
        <f t="shared" si="1"/>
        <v>Navarasa </v>
      </c>
    </row>
    <row r="218" ht="22.5" customHeight="1">
      <c r="A218" s="14">
        <v>46065.2188919676</v>
      </c>
      <c r="B218" s="15">
        <v>46064.0</v>
      </c>
      <c r="C218" s="16">
        <v>0.6666666666642413</v>
      </c>
      <c r="D218" s="17" t="s">
        <v>91</v>
      </c>
      <c r="E218" s="17" t="s">
        <v>969</v>
      </c>
      <c r="F218" s="17">
        <v>30.0</v>
      </c>
      <c r="G218" s="17">
        <v>200.0</v>
      </c>
      <c r="H218" s="17" t="s">
        <v>863</v>
      </c>
      <c r="I218" s="17">
        <v>40000.0</v>
      </c>
      <c r="J218" s="17" t="s">
        <v>94</v>
      </c>
      <c r="K218" s="17" t="s">
        <v>134</v>
      </c>
      <c r="L218" s="17">
        <v>22.0</v>
      </c>
      <c r="M218" s="17">
        <v>18.0</v>
      </c>
      <c r="N218" s="17">
        <v>1.0</v>
      </c>
      <c r="O218" s="17" t="s">
        <v>96</v>
      </c>
      <c r="P218" s="17" t="s">
        <v>76</v>
      </c>
      <c r="Q218" s="17" t="s">
        <v>97</v>
      </c>
      <c r="R218" s="17" t="s">
        <v>109</v>
      </c>
      <c r="S218" s="17" t="s">
        <v>388</v>
      </c>
      <c r="U218" s="17" t="s">
        <v>970</v>
      </c>
      <c r="V218" s="17">
        <v>8.096999908E9</v>
      </c>
      <c r="W218" s="17" t="s">
        <v>388</v>
      </c>
      <c r="AA218" s="17" t="s">
        <v>109</v>
      </c>
      <c r="AU218" s="17" t="s">
        <v>76</v>
      </c>
      <c r="AV218" s="17" t="s">
        <v>271</v>
      </c>
      <c r="AZ218" s="17" t="s">
        <v>131</v>
      </c>
      <c r="BA218" s="17" t="s">
        <v>458</v>
      </c>
      <c r="BB218" s="17" t="s">
        <v>76</v>
      </c>
      <c r="BL218" s="17">
        <v>150.0</v>
      </c>
      <c r="BN218" s="17" t="s">
        <v>865</v>
      </c>
      <c r="BO218" s="19"/>
      <c r="BP218" s="19"/>
      <c r="BQ218" s="19"/>
      <c r="BR218" s="7" t="str">
        <f t="shared" si="1"/>
        <v>Reddy Brothers </v>
      </c>
    </row>
    <row r="219" ht="22.5" customHeight="1">
      <c r="A219" s="14">
        <v>46065.22081034722</v>
      </c>
      <c r="B219" s="15">
        <v>46063.0</v>
      </c>
      <c r="C219" s="16">
        <v>0.625</v>
      </c>
      <c r="D219" s="17" t="s">
        <v>91</v>
      </c>
      <c r="E219" s="17" t="s">
        <v>971</v>
      </c>
      <c r="F219" s="17">
        <v>5.0</v>
      </c>
      <c r="G219" s="17">
        <v>500.0</v>
      </c>
      <c r="H219" s="17" t="s">
        <v>388</v>
      </c>
      <c r="I219" s="17">
        <v>20000.0</v>
      </c>
      <c r="J219" s="17" t="s">
        <v>221</v>
      </c>
      <c r="K219" s="17" t="s">
        <v>134</v>
      </c>
      <c r="L219" s="17">
        <v>22.0</v>
      </c>
      <c r="M219" s="17">
        <v>20.0</v>
      </c>
      <c r="N219" s="17">
        <v>15.0</v>
      </c>
      <c r="O219" s="17" t="s">
        <v>135</v>
      </c>
      <c r="P219" s="17" t="s">
        <v>76</v>
      </c>
      <c r="Q219" s="17" t="s">
        <v>97</v>
      </c>
      <c r="R219" s="17" t="s">
        <v>76</v>
      </c>
      <c r="S219" s="17" t="s">
        <v>388</v>
      </c>
      <c r="U219" s="17" t="s">
        <v>972</v>
      </c>
      <c r="V219" s="17">
        <v>9.949429494E9</v>
      </c>
      <c r="W219" s="17" t="s">
        <v>388</v>
      </c>
      <c r="AA219" s="17" t="s">
        <v>109</v>
      </c>
      <c r="AU219" s="17" t="s">
        <v>76</v>
      </c>
      <c r="AV219" s="17" t="s">
        <v>271</v>
      </c>
      <c r="AZ219" s="17" t="s">
        <v>131</v>
      </c>
      <c r="BA219" s="17" t="s">
        <v>458</v>
      </c>
      <c r="BB219" s="17" t="s">
        <v>76</v>
      </c>
      <c r="BL219" s="17">
        <v>20.0</v>
      </c>
      <c r="BN219" s="17" t="s">
        <v>865</v>
      </c>
      <c r="BO219" s="19"/>
      <c r="BP219" s="19"/>
      <c r="BQ219" s="19"/>
      <c r="BR219" s="7" t="str">
        <f t="shared" si="1"/>
        <v>Vasireddy swagruha foods </v>
      </c>
    </row>
    <row r="220" ht="22.5" customHeight="1">
      <c r="A220" s="14">
        <v>46065.22282681713</v>
      </c>
      <c r="B220" s="15">
        <v>46063.0</v>
      </c>
      <c r="C220" s="16">
        <v>0.6666666666642413</v>
      </c>
      <c r="D220" s="17" t="s">
        <v>91</v>
      </c>
      <c r="E220" s="17" t="s">
        <v>973</v>
      </c>
      <c r="F220" s="17">
        <v>30.0</v>
      </c>
      <c r="G220" s="17">
        <v>300.0</v>
      </c>
      <c r="H220" s="17" t="s">
        <v>388</v>
      </c>
      <c r="I220" s="17">
        <v>30000.0</v>
      </c>
      <c r="J220" s="17" t="s">
        <v>221</v>
      </c>
      <c r="K220" s="17" t="s">
        <v>134</v>
      </c>
      <c r="L220" s="17">
        <v>22.0</v>
      </c>
      <c r="M220" s="17">
        <v>19.0</v>
      </c>
      <c r="N220" s="17">
        <v>3.0</v>
      </c>
      <c r="O220" s="17" t="s">
        <v>96</v>
      </c>
      <c r="P220" s="17" t="s">
        <v>76</v>
      </c>
      <c r="Q220" s="17" t="s">
        <v>97</v>
      </c>
      <c r="R220" s="17" t="s">
        <v>109</v>
      </c>
      <c r="S220" s="17" t="s">
        <v>388</v>
      </c>
      <c r="U220" s="17" t="s">
        <v>974</v>
      </c>
      <c r="V220" s="17">
        <v>8.985909898E9</v>
      </c>
      <c r="W220" s="17" t="s">
        <v>388</v>
      </c>
      <c r="AA220" s="17" t="s">
        <v>109</v>
      </c>
      <c r="AU220" s="17" t="s">
        <v>76</v>
      </c>
      <c r="AV220" s="17" t="s">
        <v>271</v>
      </c>
      <c r="AZ220" s="17" t="s">
        <v>131</v>
      </c>
      <c r="BA220" s="17" t="s">
        <v>458</v>
      </c>
      <c r="BB220" s="17" t="s">
        <v>76</v>
      </c>
      <c r="BL220" s="17">
        <v>20.0</v>
      </c>
      <c r="BN220" s="17" t="s">
        <v>865</v>
      </c>
      <c r="BO220" s="19"/>
      <c r="BP220" s="19"/>
      <c r="BQ220" s="19"/>
      <c r="BR220" s="7" t="str">
        <f t="shared" si="1"/>
        <v>Mandi king </v>
      </c>
    </row>
    <row r="221" ht="22.5" customHeight="1">
      <c r="A221" s="14">
        <v>46065.22557498842</v>
      </c>
      <c r="B221" s="15">
        <v>46064.0</v>
      </c>
      <c r="C221" s="16">
        <v>0.5416666666642413</v>
      </c>
      <c r="D221" s="17" t="s">
        <v>91</v>
      </c>
      <c r="E221" s="17" t="s">
        <v>975</v>
      </c>
      <c r="F221" s="17">
        <v>3.0</v>
      </c>
      <c r="G221" s="17">
        <v>400.0</v>
      </c>
      <c r="H221" s="17" t="s">
        <v>388</v>
      </c>
      <c r="I221" s="17">
        <v>30000.0</v>
      </c>
      <c r="J221" s="17" t="s">
        <v>94</v>
      </c>
      <c r="K221" s="17" t="s">
        <v>134</v>
      </c>
      <c r="L221" s="17">
        <v>22.0</v>
      </c>
      <c r="M221" s="17">
        <v>18.0</v>
      </c>
      <c r="N221" s="17">
        <v>20.0</v>
      </c>
      <c r="O221" s="17" t="s">
        <v>96</v>
      </c>
      <c r="P221" s="17" t="s">
        <v>76</v>
      </c>
      <c r="Q221" s="17" t="s">
        <v>97</v>
      </c>
      <c r="R221" s="17" t="s">
        <v>109</v>
      </c>
      <c r="S221" s="17" t="s">
        <v>388</v>
      </c>
      <c r="U221" s="17" t="s">
        <v>388</v>
      </c>
      <c r="V221" s="17" t="s">
        <v>388</v>
      </c>
      <c r="W221" s="17" t="s">
        <v>388</v>
      </c>
      <c r="AA221" s="17" t="s">
        <v>109</v>
      </c>
      <c r="AU221" s="17" t="s">
        <v>76</v>
      </c>
      <c r="AV221" s="17" t="s">
        <v>271</v>
      </c>
      <c r="AZ221" s="17" t="s">
        <v>131</v>
      </c>
      <c r="BA221" s="17" t="s">
        <v>458</v>
      </c>
      <c r="BB221" s="17" t="s">
        <v>76</v>
      </c>
      <c r="BL221" s="17">
        <v>200.0</v>
      </c>
      <c r="BN221" s="17" t="s">
        <v>865</v>
      </c>
      <c r="BO221" s="19"/>
      <c r="BP221" s="19"/>
      <c r="BQ221" s="19"/>
      <c r="BR221" s="7" t="str">
        <f t="shared" si="1"/>
        <v>Good Flipping Burgers </v>
      </c>
    </row>
    <row r="222" ht="22.5" customHeight="1">
      <c r="A222" s="14">
        <v>46065.228256539354</v>
      </c>
      <c r="B222" s="15">
        <v>46064.0</v>
      </c>
      <c r="C222" s="16">
        <v>0.625</v>
      </c>
      <c r="D222" s="17" t="s">
        <v>91</v>
      </c>
      <c r="E222" s="17" t="s">
        <v>976</v>
      </c>
      <c r="F222" s="17">
        <v>30.0</v>
      </c>
      <c r="G222" s="17">
        <v>250.0</v>
      </c>
      <c r="H222" s="17" t="s">
        <v>960</v>
      </c>
      <c r="I222" s="17">
        <v>20000.0</v>
      </c>
      <c r="J222" s="17" t="s">
        <v>94</v>
      </c>
      <c r="K222" s="17" t="s">
        <v>134</v>
      </c>
      <c r="L222" s="17">
        <v>22.0</v>
      </c>
      <c r="M222" s="17">
        <v>15.0</v>
      </c>
      <c r="N222" s="17">
        <v>3.0</v>
      </c>
      <c r="O222" s="17" t="s">
        <v>135</v>
      </c>
      <c r="P222" s="17" t="s">
        <v>76</v>
      </c>
      <c r="Q222" s="17" t="s">
        <v>97</v>
      </c>
      <c r="R222" s="17" t="s">
        <v>76</v>
      </c>
      <c r="S222" s="17" t="s">
        <v>388</v>
      </c>
      <c r="U222" s="17" t="s">
        <v>977</v>
      </c>
      <c r="V222" s="17">
        <v>8.886904546E9</v>
      </c>
      <c r="W222" s="17" t="s">
        <v>388</v>
      </c>
      <c r="AA222" s="17" t="s">
        <v>109</v>
      </c>
      <c r="AU222" s="17" t="s">
        <v>76</v>
      </c>
      <c r="AV222" s="17" t="s">
        <v>373</v>
      </c>
      <c r="AZ222" s="17" t="s">
        <v>131</v>
      </c>
      <c r="BA222" s="17" t="s">
        <v>458</v>
      </c>
      <c r="BB222" s="17" t="s">
        <v>76</v>
      </c>
      <c r="BL222" s="17">
        <v>20.0</v>
      </c>
      <c r="BN222" s="17" t="s">
        <v>978</v>
      </c>
      <c r="BO222" s="19"/>
      <c r="BP222" s="19"/>
      <c r="BQ222" s="19"/>
      <c r="BR222" s="7" t="str">
        <f t="shared" si="1"/>
        <v>Girl friend mandi </v>
      </c>
    </row>
    <row r="223" ht="22.5" customHeight="1">
      <c r="A223" s="14">
        <v>46065.23094758102</v>
      </c>
      <c r="B223" s="15">
        <v>46063.0</v>
      </c>
      <c r="C223" s="16">
        <v>0.5833333333357587</v>
      </c>
      <c r="D223" s="17" t="s">
        <v>91</v>
      </c>
      <c r="E223" s="17" t="s">
        <v>979</v>
      </c>
      <c r="F223" s="17">
        <v>20.0</v>
      </c>
      <c r="G223" s="17">
        <v>300.0</v>
      </c>
      <c r="H223" s="17" t="s">
        <v>388</v>
      </c>
      <c r="I223" s="17">
        <v>40000.0</v>
      </c>
      <c r="J223" s="17" t="s">
        <v>94</v>
      </c>
      <c r="K223" s="17" t="s">
        <v>134</v>
      </c>
      <c r="L223" s="17">
        <v>22.0</v>
      </c>
      <c r="M223" s="17">
        <v>19.0</v>
      </c>
      <c r="N223" s="17">
        <v>4.0</v>
      </c>
      <c r="O223" s="17" t="s">
        <v>96</v>
      </c>
      <c r="P223" s="17" t="s">
        <v>76</v>
      </c>
      <c r="Q223" s="17" t="s">
        <v>97</v>
      </c>
      <c r="R223" s="17" t="s">
        <v>76</v>
      </c>
      <c r="S223" s="17" t="s">
        <v>388</v>
      </c>
      <c r="U223" s="17" t="s">
        <v>980</v>
      </c>
      <c r="V223" s="17">
        <v>9.908199083E9</v>
      </c>
      <c r="W223" s="17" t="s">
        <v>388</v>
      </c>
      <c r="AA223" s="17" t="s">
        <v>109</v>
      </c>
      <c r="AU223" s="17" t="s">
        <v>76</v>
      </c>
      <c r="AV223" s="17" t="s">
        <v>271</v>
      </c>
      <c r="AZ223" s="17" t="s">
        <v>131</v>
      </c>
      <c r="BA223" s="17" t="s">
        <v>458</v>
      </c>
      <c r="BB223" s="17" t="s">
        <v>76</v>
      </c>
      <c r="BL223" s="17">
        <v>50.0</v>
      </c>
      <c r="BN223" s="17" t="s">
        <v>981</v>
      </c>
      <c r="BO223" s="19"/>
      <c r="BP223" s="19"/>
      <c r="BQ223" s="19"/>
      <c r="BR223" s="7" t="str">
        <f t="shared" si="1"/>
        <v>Babai Hotel </v>
      </c>
    </row>
    <row r="224" ht="22.5" customHeight="1">
      <c r="A224" s="14">
        <v>46065.23206725695</v>
      </c>
      <c r="B224" s="15">
        <v>46063.0</v>
      </c>
      <c r="C224" s="16">
        <v>0.5416666666642413</v>
      </c>
      <c r="E224" s="17" t="s">
        <v>982</v>
      </c>
      <c r="U224" s="17" t="s">
        <v>983</v>
      </c>
      <c r="V224" s="17">
        <v>9.05981013E9</v>
      </c>
      <c r="W224" s="17" t="s">
        <v>388</v>
      </c>
      <c r="AA224" s="17" t="s">
        <v>109</v>
      </c>
      <c r="AU224" s="17" t="s">
        <v>76</v>
      </c>
      <c r="AV224" s="17" t="s">
        <v>88</v>
      </c>
      <c r="AZ224" s="17" t="s">
        <v>131</v>
      </c>
      <c r="BA224" s="17" t="s">
        <v>458</v>
      </c>
      <c r="BB224" s="17" t="s">
        <v>109</v>
      </c>
      <c r="BR224" s="7" t="str">
        <f t="shared" si="1"/>
        <v>Vela Bites</v>
      </c>
    </row>
    <row r="225" ht="22.5" customHeight="1">
      <c r="A225" s="14">
        <v>46065.23442175926</v>
      </c>
      <c r="B225" s="15">
        <v>46064.0</v>
      </c>
      <c r="C225" s="16">
        <v>0.7083333333357587</v>
      </c>
      <c r="D225" s="17" t="s">
        <v>91</v>
      </c>
      <c r="E225" s="17" t="s">
        <v>984</v>
      </c>
      <c r="F225" s="17">
        <v>100.0</v>
      </c>
      <c r="G225" s="17">
        <v>500.0</v>
      </c>
      <c r="H225" s="17" t="s">
        <v>388</v>
      </c>
      <c r="I225" s="17">
        <v>200000.0</v>
      </c>
      <c r="J225" s="17" t="s">
        <v>94</v>
      </c>
      <c r="K225" s="17" t="s">
        <v>134</v>
      </c>
      <c r="L225" s="17">
        <v>22.0</v>
      </c>
      <c r="M225" s="17">
        <v>16.0</v>
      </c>
      <c r="N225" s="17">
        <v>1.0</v>
      </c>
      <c r="O225" s="17" t="s">
        <v>96</v>
      </c>
      <c r="P225" s="17" t="s">
        <v>76</v>
      </c>
      <c r="Q225" s="17" t="s">
        <v>97</v>
      </c>
      <c r="R225" s="17" t="s">
        <v>76</v>
      </c>
      <c r="S225" s="17" t="s">
        <v>388</v>
      </c>
      <c r="U225" s="17" t="s">
        <v>985</v>
      </c>
      <c r="V225" s="17">
        <v>9.010924E9</v>
      </c>
      <c r="W225" s="17" t="s">
        <v>388</v>
      </c>
      <c r="AA225" s="17" t="s">
        <v>109</v>
      </c>
      <c r="AU225" s="17" t="s">
        <v>76</v>
      </c>
      <c r="AV225" s="17" t="s">
        <v>271</v>
      </c>
      <c r="AZ225" s="17" t="s">
        <v>131</v>
      </c>
      <c r="BA225" s="17" t="s">
        <v>458</v>
      </c>
      <c r="BB225" s="17" t="s">
        <v>76</v>
      </c>
      <c r="BL225" s="17">
        <v>40.0</v>
      </c>
      <c r="BN225" s="17" t="s">
        <v>986</v>
      </c>
      <c r="BO225" s="19"/>
      <c r="BP225" s="19"/>
      <c r="BQ225" s="19"/>
      <c r="BR225" s="7" t="str">
        <f t="shared" si="1"/>
        <v>Hotel inner circle</v>
      </c>
    </row>
    <row r="226" ht="22.5" customHeight="1">
      <c r="A226" s="14">
        <v>46065.236327604165</v>
      </c>
      <c r="B226" s="15">
        <v>46063.0</v>
      </c>
      <c r="C226" s="16">
        <v>0.7083333333357587</v>
      </c>
      <c r="D226" s="17" t="s">
        <v>91</v>
      </c>
      <c r="E226" s="17" t="s">
        <v>987</v>
      </c>
      <c r="F226" s="17">
        <v>30.0</v>
      </c>
      <c r="G226" s="17">
        <v>200.0</v>
      </c>
      <c r="H226" s="17" t="s">
        <v>863</v>
      </c>
      <c r="I226" s="17">
        <v>10000.0</v>
      </c>
      <c r="J226" s="17" t="s">
        <v>221</v>
      </c>
      <c r="K226" s="17" t="s">
        <v>515</v>
      </c>
      <c r="L226" s="17">
        <v>22.0</v>
      </c>
      <c r="M226" s="17">
        <v>20.0</v>
      </c>
      <c r="N226" s="17">
        <v>1.0</v>
      </c>
      <c r="O226" s="17" t="s">
        <v>96</v>
      </c>
      <c r="P226" s="17" t="s">
        <v>76</v>
      </c>
      <c r="Q226" s="17" t="s">
        <v>97</v>
      </c>
      <c r="R226" s="17" t="s">
        <v>76</v>
      </c>
      <c r="S226" s="17" t="s">
        <v>388</v>
      </c>
      <c r="U226" s="17" t="s">
        <v>988</v>
      </c>
      <c r="V226" s="17">
        <v>8.333833299E9</v>
      </c>
      <c r="W226" s="17" t="s">
        <v>388</v>
      </c>
      <c r="AA226" s="17" t="s">
        <v>109</v>
      </c>
      <c r="AT226" s="17" t="s">
        <v>586</v>
      </c>
      <c r="AU226" s="17" t="s">
        <v>109</v>
      </c>
      <c r="AZ226" s="17" t="s">
        <v>131</v>
      </c>
      <c r="BA226" s="17" t="s">
        <v>458</v>
      </c>
      <c r="BB226" s="17" t="s">
        <v>76</v>
      </c>
      <c r="BL226" s="17">
        <v>10.0</v>
      </c>
      <c r="BN226" s="17" t="s">
        <v>981</v>
      </c>
      <c r="BO226" s="19"/>
      <c r="BP226" s="19"/>
      <c r="BQ226" s="19"/>
      <c r="BR226" s="7" t="str">
        <f t="shared" si="1"/>
        <v>Brew Commune and Bistro </v>
      </c>
    </row>
    <row r="227" ht="22.5" customHeight="1">
      <c r="A227" s="14">
        <v>46065.23934291667</v>
      </c>
      <c r="B227" s="15">
        <v>46063.0</v>
      </c>
      <c r="C227" s="16">
        <v>0.625</v>
      </c>
      <c r="D227" s="17" t="s">
        <v>91</v>
      </c>
      <c r="E227" s="17" t="s">
        <v>989</v>
      </c>
      <c r="F227" s="17">
        <v>20.0</v>
      </c>
      <c r="G227" s="17">
        <v>400.0</v>
      </c>
      <c r="H227" s="17" t="s">
        <v>388</v>
      </c>
      <c r="I227" s="17">
        <v>30000.0</v>
      </c>
      <c r="J227" s="17" t="s">
        <v>94</v>
      </c>
      <c r="K227" s="17" t="s">
        <v>134</v>
      </c>
      <c r="L227" s="17">
        <v>22.0</v>
      </c>
      <c r="M227" s="17">
        <v>20.0</v>
      </c>
      <c r="N227" s="17">
        <v>20.0</v>
      </c>
      <c r="O227" s="17" t="s">
        <v>96</v>
      </c>
      <c r="P227" s="17" t="s">
        <v>76</v>
      </c>
      <c r="Q227" s="17" t="s">
        <v>97</v>
      </c>
      <c r="R227" s="17" t="s">
        <v>109</v>
      </c>
      <c r="S227" s="17" t="s">
        <v>388</v>
      </c>
      <c r="U227" s="17" t="s">
        <v>388</v>
      </c>
      <c r="V227" s="17" t="s">
        <v>388</v>
      </c>
      <c r="W227" s="17" t="s">
        <v>388</v>
      </c>
      <c r="AA227" s="17" t="s">
        <v>109</v>
      </c>
      <c r="AU227" s="17" t="s">
        <v>76</v>
      </c>
      <c r="AV227" s="17" t="s">
        <v>271</v>
      </c>
      <c r="AZ227" s="17" t="s">
        <v>131</v>
      </c>
      <c r="BA227" s="17" t="s">
        <v>458</v>
      </c>
      <c r="BB227" s="17" t="s">
        <v>76</v>
      </c>
      <c r="BL227" s="17">
        <v>20.0</v>
      </c>
      <c r="BN227" s="17" t="s">
        <v>981</v>
      </c>
      <c r="BO227" s="19"/>
      <c r="BP227" s="19"/>
      <c r="BQ227" s="19"/>
      <c r="BR227" s="7" t="str">
        <f t="shared" si="1"/>
        <v>Polar bear </v>
      </c>
    </row>
    <row r="228" ht="22.5" customHeight="1">
      <c r="A228" s="14">
        <v>46065.24128587963</v>
      </c>
      <c r="B228" s="15">
        <v>46062.0</v>
      </c>
      <c r="C228" s="16">
        <v>0.625</v>
      </c>
      <c r="D228" s="17" t="s">
        <v>91</v>
      </c>
      <c r="E228" s="17" t="s">
        <v>288</v>
      </c>
      <c r="F228" s="17">
        <v>50.0</v>
      </c>
      <c r="G228" s="17">
        <v>300.0</v>
      </c>
      <c r="H228" s="17" t="s">
        <v>388</v>
      </c>
      <c r="I228" s="17">
        <v>30000.0</v>
      </c>
      <c r="J228" s="17" t="s">
        <v>221</v>
      </c>
      <c r="K228" s="17" t="s">
        <v>134</v>
      </c>
      <c r="L228" s="17">
        <v>22.0</v>
      </c>
      <c r="M228" s="17">
        <v>20.0</v>
      </c>
      <c r="N228" s="17">
        <v>3.0</v>
      </c>
      <c r="O228" s="17" t="s">
        <v>96</v>
      </c>
      <c r="P228" s="17" t="s">
        <v>76</v>
      </c>
      <c r="Q228" s="17" t="s">
        <v>97</v>
      </c>
      <c r="R228" s="17" t="s">
        <v>76</v>
      </c>
      <c r="S228" s="17" t="s">
        <v>388</v>
      </c>
      <c r="U228" s="17" t="s">
        <v>289</v>
      </c>
      <c r="V228" s="17">
        <v>7.799956667E9</v>
      </c>
      <c r="W228" s="17" t="s">
        <v>388</v>
      </c>
      <c r="AA228" s="17" t="s">
        <v>109</v>
      </c>
      <c r="AU228" s="17" t="s">
        <v>76</v>
      </c>
      <c r="AV228" s="17" t="s">
        <v>271</v>
      </c>
      <c r="AZ228" s="17" t="s">
        <v>131</v>
      </c>
      <c r="BA228" s="17" t="s">
        <v>458</v>
      </c>
      <c r="BB228" s="17" t="s">
        <v>76</v>
      </c>
      <c r="BL228" s="17">
        <v>30.0</v>
      </c>
      <c r="BN228" s="17" t="s">
        <v>981</v>
      </c>
      <c r="BO228" s="19"/>
      <c r="BP228" s="19"/>
      <c r="BQ228" s="19"/>
      <c r="BR228" s="7" t="str">
        <f t="shared" si="1"/>
        <v>President Dhaba</v>
      </c>
    </row>
    <row r="229" ht="22.5" customHeight="1">
      <c r="A229" s="14">
        <v>46065.39296046297</v>
      </c>
      <c r="B229" s="15">
        <v>46062.0</v>
      </c>
      <c r="C229" s="16">
        <v>0.75</v>
      </c>
      <c r="D229" s="17" t="s">
        <v>91</v>
      </c>
      <c r="E229" s="17" t="s">
        <v>640</v>
      </c>
      <c r="F229" s="17">
        <v>30.0</v>
      </c>
      <c r="G229" s="17">
        <v>300.0</v>
      </c>
      <c r="H229" s="17" t="s">
        <v>291</v>
      </c>
      <c r="I229" s="17">
        <v>20000.0</v>
      </c>
      <c r="J229" s="17" t="s">
        <v>221</v>
      </c>
      <c r="K229" s="17" t="s">
        <v>273</v>
      </c>
      <c r="L229" s="17">
        <v>22.0</v>
      </c>
      <c r="M229" s="17">
        <v>20.0</v>
      </c>
      <c r="N229" s="17">
        <v>1.0</v>
      </c>
      <c r="O229" s="17" t="s">
        <v>96</v>
      </c>
      <c r="P229" s="17" t="s">
        <v>76</v>
      </c>
      <c r="Q229" s="17" t="s">
        <v>97</v>
      </c>
      <c r="R229" s="17" t="s">
        <v>76</v>
      </c>
      <c r="S229" s="17" t="s">
        <v>113</v>
      </c>
      <c r="U229" s="17" t="s">
        <v>388</v>
      </c>
      <c r="V229" s="17">
        <v>9.908662728E9</v>
      </c>
      <c r="W229" s="17" t="s">
        <v>113</v>
      </c>
      <c r="AA229" s="17" t="s">
        <v>109</v>
      </c>
      <c r="AU229" s="17" t="s">
        <v>76</v>
      </c>
      <c r="AV229" s="17" t="s">
        <v>88</v>
      </c>
      <c r="AX229" s="15">
        <v>46065.0</v>
      </c>
      <c r="AY229" s="16">
        <v>0.7083333333357587</v>
      </c>
      <c r="AZ229" s="17" t="s">
        <v>131</v>
      </c>
      <c r="BA229" s="17" t="s">
        <v>458</v>
      </c>
      <c r="BB229" s="17" t="s">
        <v>76</v>
      </c>
      <c r="BL229" s="17">
        <v>30.0</v>
      </c>
      <c r="BN229" s="17" t="s">
        <v>978</v>
      </c>
      <c r="BO229" s="19"/>
      <c r="BP229" s="19"/>
      <c r="BQ229" s="19"/>
      <c r="BR229" s="7" t="str">
        <f t="shared" si="1"/>
        <v>kush mandi</v>
      </c>
    </row>
    <row r="230" ht="22.5" customHeight="1">
      <c r="A230" s="14">
        <v>46065.39850599537</v>
      </c>
      <c r="B230" s="15">
        <v>46059.0</v>
      </c>
      <c r="C230" s="16">
        <v>0.7083333333357587</v>
      </c>
      <c r="D230" s="17" t="s">
        <v>91</v>
      </c>
      <c r="E230" s="17" t="s">
        <v>990</v>
      </c>
      <c r="F230" s="17">
        <v>30.0</v>
      </c>
      <c r="G230" s="17">
        <v>300.0</v>
      </c>
      <c r="H230" s="17" t="s">
        <v>117</v>
      </c>
      <c r="I230" s="17">
        <v>20000.0</v>
      </c>
      <c r="J230" s="17" t="s">
        <v>94</v>
      </c>
      <c r="K230" s="17" t="s">
        <v>134</v>
      </c>
      <c r="L230" s="17">
        <v>22.0</v>
      </c>
      <c r="M230" s="17">
        <v>22.0</v>
      </c>
      <c r="N230" s="17">
        <v>2.0</v>
      </c>
      <c r="O230" s="17" t="s">
        <v>96</v>
      </c>
      <c r="P230" s="17" t="s">
        <v>76</v>
      </c>
      <c r="Q230" s="17" t="s">
        <v>97</v>
      </c>
      <c r="R230" s="17" t="s">
        <v>76</v>
      </c>
      <c r="S230" s="17" t="s">
        <v>117</v>
      </c>
      <c r="U230" s="17" t="s">
        <v>991</v>
      </c>
      <c r="V230" s="17" t="s">
        <v>117</v>
      </c>
      <c r="W230" s="17" t="s">
        <v>117</v>
      </c>
      <c r="AA230" s="17" t="s">
        <v>109</v>
      </c>
      <c r="AU230" s="17" t="s">
        <v>76</v>
      </c>
      <c r="AV230" s="17" t="s">
        <v>271</v>
      </c>
      <c r="AZ230" s="17" t="s">
        <v>131</v>
      </c>
      <c r="BA230" s="17" t="s">
        <v>458</v>
      </c>
      <c r="BB230" s="17" t="s">
        <v>76</v>
      </c>
      <c r="BL230" s="17">
        <v>20.0</v>
      </c>
      <c r="BN230" s="17" t="s">
        <v>992</v>
      </c>
      <c r="BO230" s="19"/>
      <c r="BP230" s="19"/>
      <c r="BQ230" s="19"/>
      <c r="BR230" s="7" t="str">
        <f t="shared" si="1"/>
        <v>ADHIRATH</v>
      </c>
    </row>
    <row r="231" ht="22.5" customHeight="1">
      <c r="A231" s="14">
        <v>46065.41028403935</v>
      </c>
      <c r="B231" s="15">
        <v>46062.0</v>
      </c>
      <c r="C231" s="16">
        <v>0.5416666666642413</v>
      </c>
      <c r="D231" s="17" t="s">
        <v>111</v>
      </c>
      <c r="T231" s="17" t="s">
        <v>388</v>
      </c>
      <c r="U231" s="17" t="s">
        <v>993</v>
      </c>
      <c r="V231" s="17" t="s">
        <v>994</v>
      </c>
      <c r="W231" s="17" t="s">
        <v>388</v>
      </c>
      <c r="AA231" s="17" t="s">
        <v>76</v>
      </c>
      <c r="AB231" s="17">
        <v>2.3625032007582E13</v>
      </c>
      <c r="AC231" s="18" t="s">
        <v>995</v>
      </c>
      <c r="AD231" s="17" t="s">
        <v>996</v>
      </c>
      <c r="AE231" s="18" t="s">
        <v>997</v>
      </c>
      <c r="AF231" s="17" t="s">
        <v>998</v>
      </c>
      <c r="AG231" s="18" t="s">
        <v>999</v>
      </c>
      <c r="AL231" s="17">
        <v>5.0200018292136E13</v>
      </c>
      <c r="AM231" s="17" t="s">
        <v>1000</v>
      </c>
      <c r="AN231" s="17" t="s">
        <v>1001</v>
      </c>
      <c r="AO231" s="17" t="s">
        <v>1002</v>
      </c>
      <c r="AS231" s="17" t="s">
        <v>76</v>
      </c>
      <c r="AT231" s="17" t="s">
        <v>926</v>
      </c>
      <c r="AU231" s="17" t="s">
        <v>109</v>
      </c>
      <c r="AW231" s="17" t="s">
        <v>388</v>
      </c>
      <c r="AZ231" s="17" t="s">
        <v>151</v>
      </c>
      <c r="BA231" s="17" t="s">
        <v>491</v>
      </c>
      <c r="BH231" s="17">
        <v>17.0</v>
      </c>
      <c r="BI231" s="17" t="s">
        <v>109</v>
      </c>
      <c r="BJ231" s="16">
        <v>0.45833333333575865</v>
      </c>
      <c r="BK231" s="16">
        <v>0.9166666666642413</v>
      </c>
      <c r="BM231" s="17" t="s">
        <v>1003</v>
      </c>
      <c r="BR231" s="7" t="str">
        <f t="shared" si="1"/>
        <v>Na</v>
      </c>
    </row>
    <row r="232" ht="22.5" customHeight="1">
      <c r="A232" s="14">
        <v>46065.410302847224</v>
      </c>
      <c r="B232" s="15">
        <v>46064.0</v>
      </c>
      <c r="C232" s="16">
        <v>0.609722222223354</v>
      </c>
      <c r="D232" s="17" t="s">
        <v>91</v>
      </c>
      <c r="E232" s="17" t="s">
        <v>1004</v>
      </c>
      <c r="F232" s="17">
        <v>1.0</v>
      </c>
      <c r="G232" s="17">
        <v>150.0</v>
      </c>
      <c r="H232" s="17" t="s">
        <v>765</v>
      </c>
      <c r="J232" s="17" t="s">
        <v>221</v>
      </c>
      <c r="K232" s="17" t="s">
        <v>134</v>
      </c>
      <c r="N232" s="17">
        <v>10.0</v>
      </c>
      <c r="O232" s="17" t="s">
        <v>371</v>
      </c>
      <c r="P232" s="17" t="s">
        <v>76</v>
      </c>
      <c r="Q232" s="17" t="s">
        <v>97</v>
      </c>
      <c r="R232" s="17" t="s">
        <v>98</v>
      </c>
      <c r="S232" s="17" t="s">
        <v>1005</v>
      </c>
      <c r="U232" s="17" t="s">
        <v>1006</v>
      </c>
      <c r="V232" s="17" t="s">
        <v>1007</v>
      </c>
      <c r="W232" s="17" t="s">
        <v>1008</v>
      </c>
      <c r="X232" s="17" t="s">
        <v>1009</v>
      </c>
      <c r="AA232" s="17" t="s">
        <v>109</v>
      </c>
      <c r="AU232" s="17" t="s">
        <v>76</v>
      </c>
      <c r="AV232" s="17" t="s">
        <v>271</v>
      </c>
      <c r="AZ232" s="17" t="s">
        <v>182</v>
      </c>
      <c r="BA232" s="17" t="s">
        <v>458</v>
      </c>
      <c r="BB232" s="17" t="s">
        <v>76</v>
      </c>
      <c r="BR232" s="7" t="str">
        <f t="shared" si="1"/>
        <v>Thick shake factory </v>
      </c>
    </row>
    <row r="233" ht="22.5" customHeight="1">
      <c r="A233" s="14">
        <v>46065.4122903588</v>
      </c>
      <c r="B233" s="15">
        <v>46064.0</v>
      </c>
      <c r="C233" s="16">
        <v>0.6152777777751908</v>
      </c>
      <c r="U233" s="17" t="s">
        <v>117</v>
      </c>
      <c r="V233" s="17" t="s">
        <v>117</v>
      </c>
      <c r="W233" s="17" t="s">
        <v>117</v>
      </c>
      <c r="AA233" s="17" t="s">
        <v>109</v>
      </c>
      <c r="AU233" s="17" t="s">
        <v>76</v>
      </c>
      <c r="AV233" s="17" t="s">
        <v>271</v>
      </c>
      <c r="AZ233" s="17" t="s">
        <v>182</v>
      </c>
      <c r="BA233" s="17" t="s">
        <v>458</v>
      </c>
      <c r="BB233" s="17" t="s">
        <v>109</v>
      </c>
      <c r="BR233" s="7" t="str">
        <f t="shared" si="1"/>
        <v/>
      </c>
    </row>
    <row r="234" ht="22.5" customHeight="1">
      <c r="A234" s="14">
        <v>46065.41429726852</v>
      </c>
      <c r="B234" s="15">
        <v>46060.0</v>
      </c>
      <c r="C234" s="16">
        <v>0.9375</v>
      </c>
      <c r="D234" s="17" t="s">
        <v>111</v>
      </c>
      <c r="T234" s="17" t="s">
        <v>388</v>
      </c>
      <c r="U234" s="17" t="s">
        <v>1010</v>
      </c>
      <c r="V234" s="17">
        <v>7.306445599E9</v>
      </c>
      <c r="W234" s="17" t="s">
        <v>388</v>
      </c>
      <c r="AA234" s="17" t="s">
        <v>76</v>
      </c>
      <c r="AB234" s="17">
        <v>2.3626032000604E13</v>
      </c>
      <c r="AC234" s="18" t="s">
        <v>1011</v>
      </c>
      <c r="AD234" s="17" t="s">
        <v>388</v>
      </c>
      <c r="AF234" s="17" t="s">
        <v>1012</v>
      </c>
      <c r="AG234" s="18" t="s">
        <v>1013</v>
      </c>
      <c r="AL234" s="17">
        <v>2.0264673793E10</v>
      </c>
      <c r="AM234" s="17" t="s">
        <v>1014</v>
      </c>
      <c r="AN234" s="17" t="s">
        <v>1015</v>
      </c>
      <c r="AO234" s="17" t="s">
        <v>1016</v>
      </c>
      <c r="AS234" s="17" t="s">
        <v>76</v>
      </c>
      <c r="AT234" s="17" t="s">
        <v>388</v>
      </c>
      <c r="AU234" s="17" t="s">
        <v>109</v>
      </c>
      <c r="AV234" s="17" t="s">
        <v>114</v>
      </c>
      <c r="AZ234" s="17" t="s">
        <v>151</v>
      </c>
      <c r="BA234" s="17" t="s">
        <v>491</v>
      </c>
      <c r="BH234" s="17">
        <v>17.0</v>
      </c>
      <c r="BI234" s="17" t="s">
        <v>109</v>
      </c>
      <c r="BJ234" s="16">
        <v>0.5</v>
      </c>
      <c r="BK234" s="16">
        <v>0.9993055555532919</v>
      </c>
      <c r="BM234" s="17" t="s">
        <v>1017</v>
      </c>
      <c r="BR234" s="7" t="str">
        <f t="shared" si="1"/>
        <v>Na</v>
      </c>
    </row>
    <row r="235" ht="22.5" customHeight="1">
      <c r="A235" s="14">
        <v>46065.42768440972</v>
      </c>
      <c r="B235" s="15">
        <v>46060.0</v>
      </c>
      <c r="C235" s="16">
        <v>0.9166666666642413</v>
      </c>
      <c r="D235" s="17" t="s">
        <v>111</v>
      </c>
      <c r="T235" s="17" t="s">
        <v>388</v>
      </c>
      <c r="U235" s="17" t="s">
        <v>1018</v>
      </c>
      <c r="V235" s="17">
        <v>7.09504025E8</v>
      </c>
      <c r="W235" s="17" t="s">
        <v>1019</v>
      </c>
      <c r="AA235" s="17" t="s">
        <v>76</v>
      </c>
      <c r="AD235" s="17" t="s">
        <v>1020</v>
      </c>
      <c r="AE235" s="18" t="s">
        <v>1021</v>
      </c>
      <c r="AF235" s="17" t="s">
        <v>1022</v>
      </c>
      <c r="AG235" s="18" t="s">
        <v>1023</v>
      </c>
      <c r="AK235" s="18" t="s">
        <v>1024</v>
      </c>
      <c r="AL235" s="17">
        <v>5.0200069149286E13</v>
      </c>
      <c r="AM235" s="17" t="s">
        <v>1025</v>
      </c>
      <c r="AN235" s="17" t="s">
        <v>1026</v>
      </c>
      <c r="AO235" s="17" t="s">
        <v>1027</v>
      </c>
      <c r="AS235" s="17" t="s">
        <v>76</v>
      </c>
      <c r="AT235" s="17" t="s">
        <v>416</v>
      </c>
      <c r="AU235" s="17" t="s">
        <v>109</v>
      </c>
      <c r="AV235" s="17" t="s">
        <v>114</v>
      </c>
      <c r="AZ235" s="17" t="s">
        <v>151</v>
      </c>
      <c r="BA235" s="17" t="s">
        <v>491</v>
      </c>
      <c r="BH235" s="17">
        <v>17.0</v>
      </c>
      <c r="BI235" s="17" t="s">
        <v>109</v>
      </c>
      <c r="BJ235" s="16">
        <v>0.47916666666424135</v>
      </c>
      <c r="BK235" s="16">
        <v>0.9993055555532919</v>
      </c>
      <c r="BM235" s="17" t="s">
        <v>1028</v>
      </c>
      <c r="BR235" s="7" t="str">
        <f t="shared" si="1"/>
        <v>Na</v>
      </c>
    </row>
    <row r="236" ht="22.5" customHeight="1">
      <c r="A236" s="14">
        <v>46065.458589456015</v>
      </c>
      <c r="B236" s="15">
        <v>46064.0</v>
      </c>
      <c r="C236" s="16">
        <v>0.6152777777751908</v>
      </c>
      <c r="U236" s="17" t="s">
        <v>1029</v>
      </c>
      <c r="V236" s="17" t="s">
        <v>1030</v>
      </c>
      <c r="W236" s="17" t="s">
        <v>117</v>
      </c>
      <c r="X236" s="17" t="s">
        <v>117</v>
      </c>
      <c r="Y236" s="17">
        <v>1.0</v>
      </c>
      <c r="AA236" s="17" t="s">
        <v>109</v>
      </c>
      <c r="AU236" s="17" t="s">
        <v>76</v>
      </c>
      <c r="AV236" s="17" t="s">
        <v>271</v>
      </c>
      <c r="AZ236" s="17" t="s">
        <v>182</v>
      </c>
      <c r="BA236" s="17" t="s">
        <v>458</v>
      </c>
      <c r="BB236" s="17" t="s">
        <v>109</v>
      </c>
      <c r="BR236" s="7" t="str">
        <f t="shared" si="1"/>
        <v/>
      </c>
    </row>
    <row r="237" ht="22.5" customHeight="1">
      <c r="A237" s="14">
        <v>46065.46161908565</v>
      </c>
      <c r="B237" s="15">
        <v>46064.0</v>
      </c>
      <c r="C237" s="16">
        <v>0.49791666666715173</v>
      </c>
      <c r="D237" s="17" t="s">
        <v>91</v>
      </c>
      <c r="E237" s="17" t="s">
        <v>1031</v>
      </c>
      <c r="F237" s="17">
        <v>50.0</v>
      </c>
      <c r="G237" s="17">
        <v>400.0</v>
      </c>
      <c r="H237" s="17" t="s">
        <v>117</v>
      </c>
      <c r="J237" s="17" t="s">
        <v>94</v>
      </c>
      <c r="K237" s="17" t="s">
        <v>134</v>
      </c>
      <c r="N237" s="17">
        <v>3.0</v>
      </c>
      <c r="O237" s="17" t="s">
        <v>117</v>
      </c>
      <c r="P237" s="17" t="s">
        <v>76</v>
      </c>
      <c r="Q237" s="17" t="s">
        <v>97</v>
      </c>
      <c r="R237" s="17" t="s">
        <v>98</v>
      </c>
      <c r="S237" s="17" t="s">
        <v>1032</v>
      </c>
      <c r="U237" s="17" t="s">
        <v>1033</v>
      </c>
      <c r="V237" s="17">
        <v>7.396769261E9</v>
      </c>
      <c r="W237" s="17" t="s">
        <v>113</v>
      </c>
      <c r="AA237" s="17" t="s">
        <v>109</v>
      </c>
      <c r="AU237" s="17" t="s">
        <v>76</v>
      </c>
      <c r="AV237" s="17" t="s">
        <v>472</v>
      </c>
      <c r="AW237" s="17" t="s">
        <v>1034</v>
      </c>
      <c r="AZ237" s="17" t="s">
        <v>243</v>
      </c>
      <c r="BA237" s="17" t="s">
        <v>458</v>
      </c>
      <c r="BB237" s="17" t="s">
        <v>76</v>
      </c>
      <c r="BR237" s="7" t="str">
        <f t="shared" si="1"/>
        <v>Palle vindu</v>
      </c>
    </row>
    <row r="238" ht="22.5" customHeight="1">
      <c r="A238" s="14">
        <v>46065.46498435186</v>
      </c>
      <c r="B238" s="15">
        <v>46064.0</v>
      </c>
      <c r="C238" s="16">
        <v>0.515972222223354</v>
      </c>
      <c r="D238" s="17" t="s">
        <v>91</v>
      </c>
      <c r="E238" s="17" t="s">
        <v>1035</v>
      </c>
      <c r="F238" s="17">
        <v>50.0</v>
      </c>
      <c r="G238" s="17">
        <v>500.0</v>
      </c>
      <c r="H238" s="17" t="s">
        <v>113</v>
      </c>
      <c r="J238" s="17" t="s">
        <v>94</v>
      </c>
      <c r="K238" s="17" t="s">
        <v>134</v>
      </c>
      <c r="N238" s="17">
        <v>1.0</v>
      </c>
      <c r="O238" s="17" t="s">
        <v>113</v>
      </c>
      <c r="P238" s="17" t="s">
        <v>76</v>
      </c>
      <c r="Q238" s="17" t="s">
        <v>97</v>
      </c>
      <c r="R238" s="17" t="s">
        <v>98</v>
      </c>
      <c r="S238" s="17" t="s">
        <v>1032</v>
      </c>
      <c r="U238" s="17" t="s">
        <v>1036</v>
      </c>
      <c r="V238" s="17">
        <v>9.849343059E9</v>
      </c>
      <c r="W238" s="17" t="s">
        <v>113</v>
      </c>
      <c r="AA238" s="17" t="s">
        <v>109</v>
      </c>
      <c r="AU238" s="17" t="s">
        <v>76</v>
      </c>
      <c r="AV238" s="17" t="s">
        <v>472</v>
      </c>
      <c r="AZ238" s="17" t="s">
        <v>243</v>
      </c>
      <c r="BA238" s="17" t="s">
        <v>458</v>
      </c>
      <c r="BB238" s="17" t="s">
        <v>76</v>
      </c>
      <c r="BR238" s="7" t="str">
        <f t="shared" si="1"/>
        <v>Suryakantham Military hotel</v>
      </c>
    </row>
    <row r="239" ht="22.5" customHeight="1">
      <c r="A239" s="14">
        <v>46065.4651924537</v>
      </c>
      <c r="B239" s="15">
        <v>46065.0</v>
      </c>
      <c r="C239" s="16">
        <v>0.22916666666424135</v>
      </c>
      <c r="D239" s="17" t="s">
        <v>111</v>
      </c>
      <c r="T239" s="17" t="s">
        <v>1037</v>
      </c>
      <c r="U239" s="17" t="s">
        <v>830</v>
      </c>
      <c r="V239" s="17">
        <v>9.866667E9</v>
      </c>
      <c r="W239" s="17" t="s">
        <v>388</v>
      </c>
      <c r="X239" s="17" t="s">
        <v>113</v>
      </c>
      <c r="Y239" s="17">
        <v>9.866667E9</v>
      </c>
      <c r="Z239" s="17" t="s">
        <v>113</v>
      </c>
      <c r="AA239" s="17" t="s">
        <v>109</v>
      </c>
      <c r="AU239" s="17" t="s">
        <v>76</v>
      </c>
      <c r="AV239" s="17" t="s">
        <v>271</v>
      </c>
      <c r="AW239" s="17" t="s">
        <v>1038</v>
      </c>
      <c r="AX239" s="15">
        <v>46065.0</v>
      </c>
      <c r="AY239" s="16">
        <v>0.25</v>
      </c>
      <c r="AZ239" s="17" t="s">
        <v>356</v>
      </c>
      <c r="BA239" s="17" t="s">
        <v>491</v>
      </c>
      <c r="BR239" s="7" t="str">
        <f t="shared" si="1"/>
        <v>Biryaniwala &amp; CO</v>
      </c>
    </row>
    <row r="240" ht="22.5" customHeight="1">
      <c r="A240" s="14">
        <v>46065.4719146875</v>
      </c>
      <c r="B240" s="15">
        <v>46064.0</v>
      </c>
      <c r="C240" s="16">
        <v>0.53125</v>
      </c>
      <c r="D240" s="17" t="s">
        <v>91</v>
      </c>
      <c r="E240" s="17" t="s">
        <v>1039</v>
      </c>
      <c r="F240" s="17">
        <v>30.0</v>
      </c>
      <c r="G240" s="17">
        <v>300.0</v>
      </c>
      <c r="H240" s="17" t="s">
        <v>113</v>
      </c>
      <c r="J240" s="17" t="s">
        <v>94</v>
      </c>
      <c r="K240" s="17" t="s">
        <v>134</v>
      </c>
      <c r="N240" s="17">
        <v>1.0</v>
      </c>
      <c r="O240" s="17" t="s">
        <v>113</v>
      </c>
      <c r="P240" s="17" t="s">
        <v>76</v>
      </c>
      <c r="Q240" s="17" t="s">
        <v>97</v>
      </c>
      <c r="R240" s="17" t="s">
        <v>98</v>
      </c>
      <c r="S240" s="17" t="s">
        <v>1040</v>
      </c>
      <c r="U240" s="17" t="s">
        <v>1041</v>
      </c>
      <c r="V240" s="17">
        <v>8.438457084E9</v>
      </c>
      <c r="W240" s="17" t="s">
        <v>113</v>
      </c>
      <c r="AA240" s="17" t="s">
        <v>109</v>
      </c>
      <c r="AU240" s="17" t="s">
        <v>76</v>
      </c>
      <c r="AV240" s="17" t="s">
        <v>472</v>
      </c>
      <c r="AW240" s="17" t="s">
        <v>1042</v>
      </c>
      <c r="AZ240" s="17" t="s">
        <v>243</v>
      </c>
      <c r="BA240" s="17" t="s">
        <v>458</v>
      </c>
      <c r="BB240" s="17" t="s">
        <v>76</v>
      </c>
      <c r="BR240" s="7" t="str">
        <f t="shared" si="1"/>
        <v>Kanchi cafe</v>
      </c>
    </row>
    <row r="241" ht="22.5" customHeight="1">
      <c r="A241" s="14">
        <v>46065.47430164352</v>
      </c>
      <c r="B241" s="15">
        <v>46064.0</v>
      </c>
      <c r="C241" s="16">
        <v>0.5479166666627862</v>
      </c>
      <c r="D241" s="17" t="s">
        <v>91</v>
      </c>
      <c r="E241" s="17" t="s">
        <v>1043</v>
      </c>
      <c r="F241" s="17">
        <v>40.0</v>
      </c>
      <c r="G241" s="17">
        <v>500.0</v>
      </c>
      <c r="H241" s="17" t="s">
        <v>113</v>
      </c>
      <c r="J241" s="17" t="s">
        <v>94</v>
      </c>
      <c r="K241" s="17" t="s">
        <v>134</v>
      </c>
      <c r="N241" s="17">
        <v>1.0</v>
      </c>
      <c r="O241" s="17" t="s">
        <v>113</v>
      </c>
      <c r="P241" s="17" t="s">
        <v>76</v>
      </c>
      <c r="Q241" s="17" t="s">
        <v>97</v>
      </c>
      <c r="R241" s="17" t="s">
        <v>98</v>
      </c>
      <c r="S241" s="17" t="s">
        <v>1044</v>
      </c>
      <c r="U241" s="17" t="s">
        <v>782</v>
      </c>
      <c r="V241" s="17">
        <v>9.550402185E9</v>
      </c>
      <c r="W241" s="17" t="s">
        <v>113</v>
      </c>
      <c r="AA241" s="17" t="s">
        <v>109</v>
      </c>
      <c r="AU241" s="17" t="s">
        <v>76</v>
      </c>
      <c r="AV241" s="17" t="s">
        <v>472</v>
      </c>
      <c r="AZ241" s="17" t="s">
        <v>243</v>
      </c>
      <c r="BA241" s="17" t="s">
        <v>458</v>
      </c>
      <c r="BB241" s="17" t="s">
        <v>76</v>
      </c>
      <c r="BR241" s="7" t="str">
        <f t="shared" si="1"/>
        <v>Abu Zayed Bait Al Mandi</v>
      </c>
    </row>
    <row r="242" ht="22.5" customHeight="1">
      <c r="A242" s="14">
        <v>46065.48063668981</v>
      </c>
      <c r="B242" s="15">
        <v>46064.0</v>
      </c>
      <c r="C242" s="16">
        <v>0.5631944444467081</v>
      </c>
      <c r="D242" s="17" t="s">
        <v>91</v>
      </c>
      <c r="E242" s="17" t="s">
        <v>1045</v>
      </c>
      <c r="F242" s="17">
        <v>30.0</v>
      </c>
      <c r="G242" s="17">
        <v>300.0</v>
      </c>
      <c r="H242" s="17" t="s">
        <v>113</v>
      </c>
      <c r="J242" s="17" t="s">
        <v>94</v>
      </c>
      <c r="K242" s="17" t="s">
        <v>134</v>
      </c>
      <c r="N242" s="17">
        <v>1.0</v>
      </c>
      <c r="O242" s="17" t="s">
        <v>113</v>
      </c>
      <c r="P242" s="17" t="s">
        <v>76</v>
      </c>
      <c r="Q242" s="17" t="s">
        <v>97</v>
      </c>
      <c r="R242" s="17" t="s">
        <v>98</v>
      </c>
      <c r="S242" s="18" t="s">
        <v>1046</v>
      </c>
      <c r="U242" s="17" t="s">
        <v>1047</v>
      </c>
      <c r="V242" s="17">
        <v>8.374447297E9</v>
      </c>
      <c r="W242" s="17" t="s">
        <v>113</v>
      </c>
      <c r="AA242" s="17" t="s">
        <v>109</v>
      </c>
      <c r="AU242" s="17" t="s">
        <v>76</v>
      </c>
      <c r="AV242" s="17" t="s">
        <v>271</v>
      </c>
      <c r="AZ242" s="17" t="s">
        <v>243</v>
      </c>
      <c r="BA242" s="17" t="s">
        <v>458</v>
      </c>
      <c r="BB242" s="17" t="s">
        <v>76</v>
      </c>
      <c r="BR242" s="7" t="str">
        <f t="shared" si="1"/>
        <v>The Indian wok</v>
      </c>
    </row>
    <row r="243" ht="22.5" customHeight="1">
      <c r="A243" s="14">
        <v>46065.492431238425</v>
      </c>
      <c r="B243" s="15">
        <v>46063.0</v>
      </c>
      <c r="C243" s="16">
        <v>0.5416666666642413</v>
      </c>
      <c r="D243" s="17" t="s">
        <v>111</v>
      </c>
      <c r="T243" s="17" t="s">
        <v>1048</v>
      </c>
      <c r="U243" s="17" t="s">
        <v>1049</v>
      </c>
      <c r="V243" s="17" t="s">
        <v>1050</v>
      </c>
      <c r="W243" s="17" t="s">
        <v>769</v>
      </c>
      <c r="AA243" s="17" t="s">
        <v>76</v>
      </c>
      <c r="AS243" s="17" t="s">
        <v>109</v>
      </c>
      <c r="AU243" s="17" t="s">
        <v>76</v>
      </c>
      <c r="AV243" s="17" t="s">
        <v>271</v>
      </c>
      <c r="AX243" s="15">
        <v>46065.0</v>
      </c>
      <c r="AY243" s="16">
        <v>0.6666666666642413</v>
      </c>
      <c r="AZ243" s="17" t="s">
        <v>115</v>
      </c>
      <c r="BA243" s="17" t="s">
        <v>458</v>
      </c>
      <c r="BB243" s="17" t="s">
        <v>76</v>
      </c>
      <c r="BM243" s="17" t="s">
        <v>1051</v>
      </c>
      <c r="BP243" s="17" t="s">
        <v>1052</v>
      </c>
      <c r="BR243" s="7" t="str">
        <f t="shared" si="1"/>
        <v>Eat spotEat spot </v>
      </c>
    </row>
    <row r="244" ht="22.5" customHeight="1">
      <c r="A244" s="14">
        <v>46065.494158263886</v>
      </c>
      <c r="B244" s="15">
        <v>46064.0</v>
      </c>
      <c r="C244" s="16">
        <v>0.625</v>
      </c>
      <c r="U244" s="17" t="s">
        <v>1053</v>
      </c>
      <c r="V244" s="17">
        <v>7.702428848E9</v>
      </c>
      <c r="W244" s="17" t="s">
        <v>117</v>
      </c>
      <c r="AA244" s="17" t="s">
        <v>76</v>
      </c>
      <c r="AS244" s="17" t="s">
        <v>109</v>
      </c>
      <c r="AU244" s="17" t="s">
        <v>76</v>
      </c>
      <c r="AV244" s="17" t="s">
        <v>373</v>
      </c>
      <c r="AX244" s="15">
        <v>46065.0</v>
      </c>
      <c r="AY244" s="16">
        <v>0.8333333333357587</v>
      </c>
      <c r="AZ244" s="17" t="s">
        <v>115</v>
      </c>
      <c r="BA244" s="17" t="s">
        <v>458</v>
      </c>
      <c r="BB244" s="17" t="s">
        <v>109</v>
      </c>
      <c r="BM244" s="17" t="s">
        <v>1054</v>
      </c>
      <c r="BP244" s="17" t="s">
        <v>1055</v>
      </c>
      <c r="BR244" s="7" t="str">
        <f t="shared" si="1"/>
        <v>Hari Dosa </v>
      </c>
    </row>
    <row r="245" ht="22.5" customHeight="1">
      <c r="A245" s="14">
        <v>46065.496174444444</v>
      </c>
      <c r="B245" s="15">
        <v>46064.0</v>
      </c>
      <c r="C245" s="16">
        <v>0.7083333333357587</v>
      </c>
      <c r="D245" s="17" t="s">
        <v>111</v>
      </c>
      <c r="T245" s="17" t="s">
        <v>1056</v>
      </c>
      <c r="U245" s="17" t="s">
        <v>1057</v>
      </c>
      <c r="V245" s="17" t="s">
        <v>1058</v>
      </c>
      <c r="W245" s="17" t="s">
        <v>117</v>
      </c>
      <c r="AA245" s="17" t="s">
        <v>76</v>
      </c>
      <c r="AS245" s="17" t="s">
        <v>109</v>
      </c>
      <c r="AU245" s="17" t="s">
        <v>76</v>
      </c>
      <c r="AV245" s="17" t="s">
        <v>271</v>
      </c>
      <c r="AX245" s="15">
        <v>46066.0</v>
      </c>
      <c r="AY245" s="16">
        <v>0.75</v>
      </c>
      <c r="AZ245" s="17" t="s">
        <v>115</v>
      </c>
      <c r="BA245" s="17" t="s">
        <v>458</v>
      </c>
      <c r="BB245" s="17" t="s">
        <v>76</v>
      </c>
      <c r="BM245" s="17" t="s">
        <v>815</v>
      </c>
      <c r="BP245" s="17" t="s">
        <v>1059</v>
      </c>
      <c r="BR245" s="7" t="str">
        <f t="shared" si="1"/>
        <v>Kings biryani adda Kings biryani </v>
      </c>
    </row>
    <row r="246" ht="22.5" customHeight="1">
      <c r="A246" s="14">
        <v>46065.49665696759</v>
      </c>
      <c r="B246" s="15">
        <v>46064.0</v>
      </c>
      <c r="C246" s="16">
        <v>0.45833333333575865</v>
      </c>
      <c r="U246" s="17" t="s">
        <v>1060</v>
      </c>
      <c r="V246" s="17" t="s">
        <v>1061</v>
      </c>
      <c r="W246" s="17" t="s">
        <v>957</v>
      </c>
      <c r="AA246" s="17" t="s">
        <v>109</v>
      </c>
      <c r="AU246" s="17" t="s">
        <v>76</v>
      </c>
      <c r="AV246" s="17" t="s">
        <v>271</v>
      </c>
      <c r="AX246" s="15">
        <v>46065.0</v>
      </c>
      <c r="AY246" s="16">
        <v>0.5833333333357587</v>
      </c>
      <c r="AZ246" s="17" t="s">
        <v>182</v>
      </c>
      <c r="BA246" s="17" t="s">
        <v>458</v>
      </c>
      <c r="BB246" s="17" t="s">
        <v>109</v>
      </c>
      <c r="BP246" s="17" t="s">
        <v>1062</v>
      </c>
      <c r="BR246" s="7" t="str">
        <f t="shared" si="1"/>
        <v>Tipsy Topsy </v>
      </c>
    </row>
    <row r="247" ht="22.5" customHeight="1">
      <c r="A247" s="14">
        <v>46065.531314050924</v>
      </c>
      <c r="B247" s="15">
        <v>46065.0</v>
      </c>
      <c r="C247" s="16">
        <v>0.5291666666671517</v>
      </c>
      <c r="D247" s="17" t="s">
        <v>91</v>
      </c>
      <c r="F247" s="17">
        <v>50.0</v>
      </c>
      <c r="G247" s="17">
        <v>200.0</v>
      </c>
      <c r="H247" s="17" t="s">
        <v>509</v>
      </c>
      <c r="I247" s="17">
        <v>50000.0</v>
      </c>
      <c r="J247" s="17" t="s">
        <v>221</v>
      </c>
      <c r="K247" s="17" t="s">
        <v>95</v>
      </c>
      <c r="L247" s="17">
        <v>28.0</v>
      </c>
      <c r="M247" s="17">
        <v>17.0</v>
      </c>
      <c r="N247" s="17">
        <v>1.0</v>
      </c>
      <c r="O247" s="17" t="s">
        <v>135</v>
      </c>
      <c r="P247" s="17" t="s">
        <v>76</v>
      </c>
      <c r="Q247" s="17" t="s">
        <v>97</v>
      </c>
      <c r="R247" s="17" t="s">
        <v>76</v>
      </c>
      <c r="S247" s="17" t="s">
        <v>1063</v>
      </c>
      <c r="U247" s="17" t="s">
        <v>1064</v>
      </c>
      <c r="V247" s="17">
        <v>7.993930918E9</v>
      </c>
      <c r="W247" s="17" t="s">
        <v>388</v>
      </c>
      <c r="AA247" s="17" t="s">
        <v>109</v>
      </c>
      <c r="AU247" s="17" t="s">
        <v>76</v>
      </c>
      <c r="AV247" s="17" t="s">
        <v>373</v>
      </c>
      <c r="AW247" s="17" t="s">
        <v>388</v>
      </c>
      <c r="AX247" s="15">
        <v>46069.0</v>
      </c>
      <c r="AY247" s="16">
        <v>0.41666666666424135</v>
      </c>
      <c r="AZ247" s="17" t="s">
        <v>151</v>
      </c>
      <c r="BA247" s="17" t="s">
        <v>458</v>
      </c>
      <c r="BB247" s="17" t="s">
        <v>76</v>
      </c>
      <c r="BL247" s="17" t="s">
        <v>594</v>
      </c>
      <c r="BP247" s="17" t="s">
        <v>1065</v>
      </c>
      <c r="BR247" s="7" t="str">
        <f t="shared" si="1"/>
        <v>The turban taste</v>
      </c>
    </row>
    <row r="248" ht="22.5" customHeight="1">
      <c r="A248" s="14">
        <v>46065.538667500005</v>
      </c>
      <c r="B248" s="15">
        <v>46065.0</v>
      </c>
      <c r="C248" s="16">
        <v>0.5368055555591127</v>
      </c>
      <c r="D248" s="17" t="s">
        <v>91</v>
      </c>
      <c r="F248" s="17">
        <v>25.0</v>
      </c>
      <c r="G248" s="17">
        <v>200.0</v>
      </c>
      <c r="H248" s="17" t="s">
        <v>388</v>
      </c>
      <c r="I248" s="17">
        <v>30000.0</v>
      </c>
      <c r="J248" s="17" t="s">
        <v>221</v>
      </c>
      <c r="K248" s="17" t="s">
        <v>95</v>
      </c>
      <c r="M248" s="17">
        <v>17.0</v>
      </c>
      <c r="N248" s="17">
        <v>1.0</v>
      </c>
      <c r="O248" s="17" t="s">
        <v>135</v>
      </c>
      <c r="P248" s="17" t="s">
        <v>76</v>
      </c>
      <c r="Q248" s="17" t="s">
        <v>97</v>
      </c>
      <c r="R248" s="17" t="s">
        <v>76</v>
      </c>
      <c r="S248" s="18" t="s">
        <v>1066</v>
      </c>
      <c r="U248" s="17" t="s">
        <v>1067</v>
      </c>
      <c r="V248" s="17">
        <v>9.849765228E9</v>
      </c>
      <c r="W248" s="17" t="s">
        <v>388</v>
      </c>
      <c r="AA248" s="17" t="s">
        <v>109</v>
      </c>
      <c r="AU248" s="17" t="s">
        <v>76</v>
      </c>
      <c r="AV248" s="17" t="s">
        <v>373</v>
      </c>
      <c r="AX248" s="15">
        <v>46065.0</v>
      </c>
      <c r="AY248" s="16">
        <v>0.5798611111094942</v>
      </c>
      <c r="AZ248" s="17" t="s">
        <v>151</v>
      </c>
      <c r="BA248" s="17" t="s">
        <v>458</v>
      </c>
      <c r="BB248" s="17" t="s">
        <v>76</v>
      </c>
      <c r="BL248" s="17" t="s">
        <v>388</v>
      </c>
      <c r="BP248" s="17" t="s">
        <v>1068</v>
      </c>
      <c r="BR248" s="7" t="str">
        <f t="shared" si="1"/>
        <v>Cake exotica bakers</v>
      </c>
    </row>
    <row r="249" ht="22.5" customHeight="1">
      <c r="A249" s="14">
        <v>46065.54502513889</v>
      </c>
      <c r="B249" s="15">
        <v>46065.0</v>
      </c>
      <c r="C249" s="16">
        <v>0.5437499999970896</v>
      </c>
      <c r="U249" s="17" t="s">
        <v>427</v>
      </c>
      <c r="V249" s="17">
        <v>9.010776408E9</v>
      </c>
      <c r="W249" s="17" t="s">
        <v>388</v>
      </c>
      <c r="AA249" s="17" t="s">
        <v>109</v>
      </c>
      <c r="AU249" s="17" t="s">
        <v>76</v>
      </c>
      <c r="AV249" s="17" t="s">
        <v>472</v>
      </c>
      <c r="AW249" s="17" t="s">
        <v>1069</v>
      </c>
      <c r="AZ249" s="17" t="s">
        <v>243</v>
      </c>
      <c r="BA249" s="17" t="s">
        <v>458</v>
      </c>
      <c r="BB249" s="17" t="s">
        <v>109</v>
      </c>
      <c r="BP249" s="17" t="s">
        <v>1070</v>
      </c>
      <c r="BR249" s="7" t="str">
        <f t="shared" si="1"/>
        <v>Palleturi dosa</v>
      </c>
    </row>
    <row r="250" ht="22.5" customHeight="1">
      <c r="A250" s="14">
        <v>46065.549404652775</v>
      </c>
      <c r="B250" s="15">
        <v>46065.0</v>
      </c>
      <c r="C250" s="16">
        <v>0.5409722222248092</v>
      </c>
      <c r="D250" s="17" t="s">
        <v>111</v>
      </c>
      <c r="T250" s="17" t="s">
        <v>1071</v>
      </c>
      <c r="U250" s="17" t="s">
        <v>1072</v>
      </c>
      <c r="V250" s="17">
        <v>7.981607619E9</v>
      </c>
      <c r="W250" s="17" t="s">
        <v>117</v>
      </c>
      <c r="AA250" s="17" t="s">
        <v>109</v>
      </c>
      <c r="AU250" s="17" t="s">
        <v>76</v>
      </c>
      <c r="AV250" s="17" t="s">
        <v>472</v>
      </c>
      <c r="AZ250" s="17" t="s">
        <v>539</v>
      </c>
      <c r="BA250" s="17" t="s">
        <v>458</v>
      </c>
      <c r="BB250" s="17" t="s">
        <v>76</v>
      </c>
      <c r="BP250" s="17" t="s">
        <v>1073</v>
      </c>
      <c r="BR250" s="7" t="str">
        <f t="shared" si="1"/>
        <v>AI RAHAMN BAKERYAI RAHAMAN BAKERY</v>
      </c>
    </row>
    <row r="251" ht="22.5" customHeight="1">
      <c r="A251" s="14">
        <v>46065.550695162034</v>
      </c>
      <c r="B251" s="15">
        <v>46065.0</v>
      </c>
      <c r="C251" s="16">
        <v>0.5368055555591127</v>
      </c>
      <c r="D251" s="17" t="s">
        <v>91</v>
      </c>
      <c r="F251" s="17">
        <v>25.0</v>
      </c>
      <c r="G251" s="17">
        <v>400.0</v>
      </c>
      <c r="H251" s="17" t="s">
        <v>388</v>
      </c>
      <c r="I251" s="17">
        <v>50.0</v>
      </c>
      <c r="J251" s="17" t="s">
        <v>94</v>
      </c>
      <c r="K251" s="17" t="s">
        <v>134</v>
      </c>
      <c r="N251" s="17">
        <v>2.0</v>
      </c>
      <c r="O251" s="17" t="s">
        <v>371</v>
      </c>
      <c r="P251" s="17" t="s">
        <v>109</v>
      </c>
      <c r="Q251" s="17" t="s">
        <v>97</v>
      </c>
      <c r="R251" s="17" t="s">
        <v>109</v>
      </c>
      <c r="S251" s="17" t="s">
        <v>1074</v>
      </c>
      <c r="U251" s="17" t="s">
        <v>1075</v>
      </c>
      <c r="V251" s="17">
        <v>8.884066682E9</v>
      </c>
      <c r="W251" s="17" t="s">
        <v>388</v>
      </c>
      <c r="X251" s="17" t="s">
        <v>388</v>
      </c>
      <c r="Y251" s="17">
        <v>12.0</v>
      </c>
      <c r="Z251" s="17" t="s">
        <v>388</v>
      </c>
      <c r="AA251" s="17" t="s">
        <v>109</v>
      </c>
      <c r="AU251" s="17" t="s">
        <v>76</v>
      </c>
      <c r="AV251" s="17" t="s">
        <v>472</v>
      </c>
      <c r="AW251" s="17" t="s">
        <v>1076</v>
      </c>
      <c r="AX251" s="15">
        <v>46066.0</v>
      </c>
      <c r="AY251" s="16">
        <v>0.0625</v>
      </c>
      <c r="AZ251" s="17" t="s">
        <v>356</v>
      </c>
      <c r="BA251" s="17" t="s">
        <v>458</v>
      </c>
      <c r="BB251" s="17" t="s">
        <v>76</v>
      </c>
      <c r="BL251" s="17">
        <v>20000.0</v>
      </c>
      <c r="BN251" s="17" t="s">
        <v>1077</v>
      </c>
      <c r="BP251" s="17" t="s">
        <v>1078</v>
      </c>
      <c r="BR251" s="7" t="str">
        <f t="shared" si="1"/>
        <v>AFC</v>
      </c>
    </row>
    <row r="252" ht="22.5" customHeight="1">
      <c r="A252" s="14">
        <v>46065.55725922454</v>
      </c>
      <c r="B252" s="15">
        <v>46065.0</v>
      </c>
      <c r="C252" s="16">
        <v>0.5555555555547471</v>
      </c>
      <c r="U252" s="17" t="s">
        <v>1079</v>
      </c>
      <c r="V252" s="17">
        <v>9.849963003E9</v>
      </c>
      <c r="W252" s="17" t="s">
        <v>388</v>
      </c>
      <c r="AA252" s="17" t="s">
        <v>109</v>
      </c>
      <c r="AU252" s="17" t="s">
        <v>76</v>
      </c>
      <c r="AZ252" s="17" t="s">
        <v>110</v>
      </c>
      <c r="BA252" s="17" t="s">
        <v>458</v>
      </c>
      <c r="BB252" s="17" t="s">
        <v>109</v>
      </c>
      <c r="BP252" s="17" t="s">
        <v>1080</v>
      </c>
      <c r="BR252" s="7" t="str">
        <f t="shared" si="1"/>
        <v>Honey foods Tapeshwaram Kaja</v>
      </c>
    </row>
    <row r="253" ht="22.5" customHeight="1">
      <c r="A253" s="14">
        <v>46065.5636481713</v>
      </c>
      <c r="B253" s="15">
        <v>46065.0</v>
      </c>
      <c r="C253" s="16">
        <v>0.06041666666715173</v>
      </c>
      <c r="D253" s="17" t="s">
        <v>111</v>
      </c>
      <c r="T253" s="17" t="s">
        <v>1081</v>
      </c>
      <c r="U253" s="17" t="s">
        <v>1081</v>
      </c>
      <c r="V253" s="17" t="s">
        <v>117</v>
      </c>
      <c r="W253" s="17" t="s">
        <v>117</v>
      </c>
      <c r="AA253" s="17" t="s">
        <v>109</v>
      </c>
      <c r="AU253" s="17" t="s">
        <v>76</v>
      </c>
      <c r="AV253" s="17" t="s">
        <v>472</v>
      </c>
      <c r="AX253" s="15">
        <v>46065.0</v>
      </c>
      <c r="AY253" s="16">
        <v>0.20833333333575865</v>
      </c>
      <c r="AZ253" s="17" t="s">
        <v>539</v>
      </c>
      <c r="BA253" s="17" t="s">
        <v>458</v>
      </c>
      <c r="BB253" s="17" t="s">
        <v>76</v>
      </c>
      <c r="BP253" s="17" t="s">
        <v>1082</v>
      </c>
      <c r="BR253" s="7" t="str">
        <f t="shared" si="1"/>
        <v>AL BAIK AL BAIK</v>
      </c>
    </row>
    <row r="254" ht="22.5" customHeight="1">
      <c r="A254" s="14">
        <v>46065.57710201389</v>
      </c>
      <c r="B254" s="15">
        <v>46065.0</v>
      </c>
      <c r="C254" s="16">
        <v>0.5729166666642413</v>
      </c>
      <c r="D254" s="17" t="s">
        <v>91</v>
      </c>
      <c r="F254" s="17">
        <v>30.0</v>
      </c>
      <c r="G254" s="17">
        <v>200.0</v>
      </c>
      <c r="H254" s="17" t="s">
        <v>564</v>
      </c>
      <c r="I254" s="17">
        <v>10000.0</v>
      </c>
      <c r="J254" s="17" t="s">
        <v>94</v>
      </c>
      <c r="K254" s="17" t="s">
        <v>95</v>
      </c>
      <c r="L254" s="17">
        <v>20.0</v>
      </c>
      <c r="M254" s="17">
        <v>20.0</v>
      </c>
      <c r="N254" s="17">
        <v>1.0</v>
      </c>
      <c r="O254" s="17" t="s">
        <v>96</v>
      </c>
      <c r="P254" s="17" t="s">
        <v>109</v>
      </c>
      <c r="Q254" s="17" t="s">
        <v>97</v>
      </c>
      <c r="R254" s="17" t="s">
        <v>76</v>
      </c>
      <c r="S254" s="18" t="s">
        <v>1083</v>
      </c>
      <c r="U254" s="17" t="s">
        <v>1084</v>
      </c>
      <c r="V254" s="17">
        <v>8.125125635E9</v>
      </c>
      <c r="W254" s="17" t="s">
        <v>1085</v>
      </c>
      <c r="AA254" s="17" t="s">
        <v>76</v>
      </c>
      <c r="AS254" s="17" t="s">
        <v>76</v>
      </c>
      <c r="AT254" s="17" t="s">
        <v>586</v>
      </c>
      <c r="AU254" s="17" t="s">
        <v>109</v>
      </c>
      <c r="AZ254" s="17" t="s">
        <v>110</v>
      </c>
      <c r="BA254" s="17" t="s">
        <v>458</v>
      </c>
      <c r="BB254" s="17" t="s">
        <v>76</v>
      </c>
      <c r="BL254" s="17" t="s">
        <v>1086</v>
      </c>
      <c r="BM254" s="17" t="s">
        <v>1087</v>
      </c>
      <c r="BN254" s="17" t="s">
        <v>1088</v>
      </c>
      <c r="BP254" s="17" t="s">
        <v>1089</v>
      </c>
      <c r="BR254" s="7" t="str">
        <f t="shared" si="1"/>
        <v>Coffee place </v>
      </c>
    </row>
    <row r="255" ht="22.5" customHeight="1">
      <c r="A255" s="14">
        <v>46065.577992384264</v>
      </c>
      <c r="B255" s="15">
        <v>46065.0</v>
      </c>
      <c r="C255" s="16">
        <v>0.07638888889050577</v>
      </c>
      <c r="D255" s="17" t="s">
        <v>111</v>
      </c>
      <c r="T255" s="17" t="s">
        <v>1090</v>
      </c>
      <c r="U255" s="17" t="s">
        <v>782</v>
      </c>
      <c r="V255" s="17">
        <v>6.28174849E9</v>
      </c>
      <c r="W255" s="17" t="s">
        <v>388</v>
      </c>
      <c r="X255" s="17" t="s">
        <v>388</v>
      </c>
      <c r="Y255" s="17">
        <v>12.0</v>
      </c>
      <c r="Z255" s="17" t="s">
        <v>388</v>
      </c>
      <c r="AA255" s="17" t="s">
        <v>109</v>
      </c>
      <c r="AU255" s="17" t="s">
        <v>76</v>
      </c>
      <c r="AV255" s="17" t="s">
        <v>271</v>
      </c>
      <c r="AW255" s="17" t="s">
        <v>1091</v>
      </c>
      <c r="AX255" s="15">
        <v>46065.0</v>
      </c>
      <c r="AY255" s="16">
        <v>0.3125</v>
      </c>
      <c r="AZ255" s="17" t="s">
        <v>356</v>
      </c>
      <c r="BA255" s="17" t="s">
        <v>458</v>
      </c>
      <c r="BB255" s="17" t="s">
        <v>76</v>
      </c>
      <c r="BP255" s="17" t="s">
        <v>1092</v>
      </c>
      <c r="BR255" s="7" t="str">
        <f t="shared" si="1"/>
        <v>Al - RikaaabAl Rikaab</v>
      </c>
    </row>
    <row r="256" ht="22.5" customHeight="1">
      <c r="A256" s="14">
        <v>46065.578930868054</v>
      </c>
      <c r="B256" s="15">
        <v>46065.0</v>
      </c>
      <c r="C256" s="16">
        <v>0.5625</v>
      </c>
      <c r="D256" s="17" t="s">
        <v>91</v>
      </c>
      <c r="F256" s="17">
        <v>40.0</v>
      </c>
      <c r="G256" s="17">
        <v>1.0</v>
      </c>
      <c r="H256" s="17" t="s">
        <v>117</v>
      </c>
      <c r="I256" s="17">
        <v>30000.0</v>
      </c>
      <c r="J256" s="17" t="s">
        <v>94</v>
      </c>
      <c r="K256" s="17" t="s">
        <v>134</v>
      </c>
      <c r="N256" s="17">
        <v>1.0</v>
      </c>
      <c r="O256" s="17" t="s">
        <v>371</v>
      </c>
      <c r="P256" s="17" t="s">
        <v>76</v>
      </c>
      <c r="Q256" s="17" t="s">
        <v>97</v>
      </c>
      <c r="R256" s="17" t="s">
        <v>76</v>
      </c>
      <c r="S256" s="17" t="s">
        <v>1093</v>
      </c>
      <c r="U256" s="17" t="s">
        <v>1094</v>
      </c>
      <c r="V256" s="17" t="s">
        <v>1095</v>
      </c>
      <c r="W256" s="17" t="s">
        <v>769</v>
      </c>
      <c r="AA256" s="17" t="s">
        <v>109</v>
      </c>
      <c r="AU256" s="17" t="s">
        <v>76</v>
      </c>
      <c r="AV256" s="17" t="s">
        <v>373</v>
      </c>
      <c r="AZ256" s="17" t="s">
        <v>182</v>
      </c>
      <c r="BA256" s="17" t="s">
        <v>458</v>
      </c>
      <c r="BB256" s="17" t="s">
        <v>76</v>
      </c>
      <c r="BL256" s="17">
        <v>40.0</v>
      </c>
      <c r="BP256" s="17" t="s">
        <v>1096</v>
      </c>
      <c r="BR256" s="7" t="str">
        <f t="shared" si="1"/>
        <v>Kalingapatnam </v>
      </c>
    </row>
    <row r="257" ht="22.5" customHeight="1">
      <c r="A257" s="14">
        <v>46065.58022467593</v>
      </c>
      <c r="B257" s="15">
        <v>46065.0</v>
      </c>
      <c r="C257" s="16">
        <v>0.5520833333357587</v>
      </c>
      <c r="U257" s="17" t="s">
        <v>966</v>
      </c>
      <c r="V257" s="17">
        <v>9.000252549E9</v>
      </c>
      <c r="W257" s="17" t="s">
        <v>388</v>
      </c>
      <c r="AA257" s="17" t="s">
        <v>109</v>
      </c>
      <c r="AU257" s="17" t="s">
        <v>76</v>
      </c>
      <c r="AV257" s="17" t="s">
        <v>271</v>
      </c>
      <c r="AW257" s="17" t="s">
        <v>388</v>
      </c>
      <c r="AX257" s="15">
        <v>46066.0</v>
      </c>
      <c r="AY257" s="16">
        <v>0.41666666666424135</v>
      </c>
      <c r="AZ257" s="17" t="s">
        <v>151</v>
      </c>
      <c r="BA257" s="17" t="s">
        <v>458</v>
      </c>
      <c r="BB257" s="17" t="s">
        <v>109</v>
      </c>
      <c r="BP257" s="17" t="s">
        <v>1097</v>
      </c>
      <c r="BR257" s="7" t="str">
        <f t="shared" si="1"/>
        <v>Mayuri Foods</v>
      </c>
    </row>
    <row r="258" ht="22.5" customHeight="1">
      <c r="A258" s="14">
        <v>46065.58113502315</v>
      </c>
      <c r="B258" s="15">
        <v>46065.0</v>
      </c>
      <c r="C258" s="16">
        <v>0.5833333333357587</v>
      </c>
      <c r="U258" s="17" t="s">
        <v>117</v>
      </c>
      <c r="V258" s="17" t="s">
        <v>1098</v>
      </c>
      <c r="W258" s="17" t="s">
        <v>117</v>
      </c>
      <c r="AA258" s="17" t="s">
        <v>76</v>
      </c>
      <c r="AS258" s="17" t="s">
        <v>109</v>
      </c>
      <c r="AU258" s="17" t="s">
        <v>76</v>
      </c>
      <c r="AV258" s="17" t="s">
        <v>1099</v>
      </c>
      <c r="AX258" s="15">
        <v>46065.0</v>
      </c>
      <c r="AY258" s="16">
        <v>0.7083333333357587</v>
      </c>
      <c r="AZ258" s="17" t="s">
        <v>115</v>
      </c>
      <c r="BA258" s="17" t="s">
        <v>458</v>
      </c>
      <c r="BB258" s="17" t="s">
        <v>109</v>
      </c>
      <c r="BM258" s="17" t="s">
        <v>1100</v>
      </c>
      <c r="BP258" s="17" t="s">
        <v>1101</v>
      </c>
      <c r="BR258" s="7" t="str">
        <f t="shared" si="1"/>
        <v>Missamma restaurant </v>
      </c>
    </row>
    <row r="259" ht="22.5" customHeight="1">
      <c r="A259" s="14">
        <v>46065.581217812505</v>
      </c>
      <c r="B259" s="15">
        <v>46065.0</v>
      </c>
      <c r="C259" s="16">
        <v>0.5756944444437977</v>
      </c>
      <c r="D259" s="17" t="s">
        <v>91</v>
      </c>
      <c r="F259" s="17">
        <v>20.0</v>
      </c>
      <c r="G259" s="17">
        <v>1.0</v>
      </c>
      <c r="H259" s="17" t="s">
        <v>117</v>
      </c>
      <c r="J259" s="17" t="s">
        <v>221</v>
      </c>
      <c r="K259" s="17" t="s">
        <v>134</v>
      </c>
      <c r="N259" s="17">
        <v>2.0</v>
      </c>
      <c r="O259" s="17" t="s">
        <v>371</v>
      </c>
      <c r="P259" s="17" t="s">
        <v>76</v>
      </c>
      <c r="Q259" s="17" t="s">
        <v>97</v>
      </c>
      <c r="R259" s="17" t="s">
        <v>98</v>
      </c>
      <c r="S259" s="17" t="s">
        <v>1102</v>
      </c>
      <c r="U259" s="17" t="s">
        <v>1103</v>
      </c>
      <c r="V259" s="17" t="s">
        <v>1104</v>
      </c>
      <c r="W259" s="17" t="s">
        <v>117</v>
      </c>
      <c r="AA259" s="17" t="s">
        <v>109</v>
      </c>
      <c r="AU259" s="17" t="s">
        <v>76</v>
      </c>
      <c r="AV259" s="17" t="s">
        <v>88</v>
      </c>
      <c r="AZ259" s="17" t="s">
        <v>182</v>
      </c>
      <c r="BA259" s="17" t="s">
        <v>458</v>
      </c>
      <c r="BB259" s="17" t="s">
        <v>76</v>
      </c>
      <c r="BL259" s="17">
        <v>20.0</v>
      </c>
      <c r="BP259" s="17" t="s">
        <v>1105</v>
      </c>
      <c r="BR259" s="7" t="str">
        <f t="shared" si="1"/>
        <v>Gatox cafe </v>
      </c>
    </row>
    <row r="260" ht="22.5" customHeight="1">
      <c r="A260" s="14">
        <v>46065.58247273148</v>
      </c>
      <c r="B260" s="15">
        <v>46065.0</v>
      </c>
      <c r="C260" s="16">
        <v>0.5590277777810115</v>
      </c>
      <c r="D260" s="17" t="s">
        <v>91</v>
      </c>
      <c r="F260" s="17">
        <v>100.0</v>
      </c>
      <c r="G260" s="17">
        <v>300.0</v>
      </c>
      <c r="H260" s="17" t="s">
        <v>423</v>
      </c>
      <c r="I260" s="17">
        <v>50000.0</v>
      </c>
      <c r="J260" s="17" t="s">
        <v>94</v>
      </c>
      <c r="K260" s="17" t="s">
        <v>134</v>
      </c>
      <c r="L260" s="17">
        <v>25.0</v>
      </c>
      <c r="M260" s="17">
        <v>17.0</v>
      </c>
      <c r="N260" s="17">
        <v>2.0</v>
      </c>
      <c r="O260" s="17" t="s">
        <v>135</v>
      </c>
      <c r="P260" s="17" t="s">
        <v>76</v>
      </c>
      <c r="Q260" s="17" t="s">
        <v>97</v>
      </c>
      <c r="R260" s="17" t="s">
        <v>76</v>
      </c>
      <c r="S260" s="18" t="s">
        <v>1106</v>
      </c>
      <c r="U260" s="17" t="s">
        <v>1107</v>
      </c>
      <c r="V260" s="17">
        <v>9.3700938E9</v>
      </c>
      <c r="W260" s="17" t="s">
        <v>388</v>
      </c>
      <c r="AA260" s="17" t="s">
        <v>109</v>
      </c>
      <c r="AU260" s="17" t="s">
        <v>76</v>
      </c>
      <c r="AV260" s="17" t="s">
        <v>114</v>
      </c>
      <c r="AW260" s="17" t="s">
        <v>388</v>
      </c>
      <c r="AX260" s="15">
        <v>46071.0</v>
      </c>
      <c r="AY260" s="16">
        <v>0.45833333333575865</v>
      </c>
      <c r="AZ260" s="17" t="s">
        <v>151</v>
      </c>
      <c r="BA260" s="17" t="s">
        <v>458</v>
      </c>
      <c r="BB260" s="17" t="s">
        <v>76</v>
      </c>
      <c r="BL260" s="17">
        <v>50.0</v>
      </c>
      <c r="BN260" s="17" t="s">
        <v>388</v>
      </c>
      <c r="BP260" s="17" t="s">
        <v>1108</v>
      </c>
      <c r="BR260" s="7" t="str">
        <f t="shared" si="1"/>
        <v>Garuda Cafe</v>
      </c>
    </row>
    <row r="261" ht="22.5" customHeight="1">
      <c r="A261" s="14">
        <v>46065.5861950463</v>
      </c>
      <c r="B261" s="15">
        <v>46065.0</v>
      </c>
      <c r="C261" s="16">
        <v>0.5756944444437977</v>
      </c>
      <c r="D261" s="17" t="s">
        <v>111</v>
      </c>
      <c r="T261" s="17" t="s">
        <v>1109</v>
      </c>
      <c r="U261" s="17" t="s">
        <v>1110</v>
      </c>
      <c r="V261" s="17" t="s">
        <v>1111</v>
      </c>
      <c r="W261" s="17" t="s">
        <v>1112</v>
      </c>
      <c r="AA261" s="17" t="s">
        <v>76</v>
      </c>
      <c r="AB261" s="17">
        <v>2.3624032003427E13</v>
      </c>
      <c r="AC261" s="18" t="s">
        <v>1113</v>
      </c>
      <c r="AD261" s="17" t="s">
        <v>1114</v>
      </c>
      <c r="AE261" s="18" t="s">
        <v>1115</v>
      </c>
      <c r="AF261" s="17" t="s">
        <v>1116</v>
      </c>
      <c r="AG261" s="18" t="s">
        <v>1117</v>
      </c>
      <c r="AH261" s="20" t="s">
        <v>1118</v>
      </c>
      <c r="AI261" s="18" t="s">
        <v>1119</v>
      </c>
      <c r="AK261" s="18" t="s">
        <v>1120</v>
      </c>
      <c r="AL261" s="17">
        <v>8.9494399655E10</v>
      </c>
      <c r="AM261" s="17" t="s">
        <v>1121</v>
      </c>
      <c r="AN261" s="17" t="s">
        <v>1122</v>
      </c>
      <c r="AO261" s="17" t="s">
        <v>1110</v>
      </c>
      <c r="AP261" s="17">
        <v>9.494399656E9</v>
      </c>
      <c r="AQ261" s="17" t="s">
        <v>1112</v>
      </c>
      <c r="AS261" s="17" t="s">
        <v>76</v>
      </c>
      <c r="AT261" s="17" t="s">
        <v>1123</v>
      </c>
      <c r="AU261" s="17" t="s">
        <v>109</v>
      </c>
      <c r="AZ261" s="17" t="s">
        <v>243</v>
      </c>
      <c r="BA261" s="17" t="s">
        <v>458</v>
      </c>
      <c r="BB261" s="17" t="s">
        <v>76</v>
      </c>
      <c r="BH261" s="21">
        <v>0.22</v>
      </c>
      <c r="BI261" s="17" t="s">
        <v>109</v>
      </c>
      <c r="BJ261" s="16">
        <v>0.375</v>
      </c>
      <c r="BK261" s="16">
        <v>0.04166666666424135</v>
      </c>
      <c r="BM261" s="17" t="s">
        <v>1124</v>
      </c>
      <c r="BP261" s="17" t="s">
        <v>1125</v>
      </c>
      <c r="BR261" s="7" t="str">
        <f t="shared" si="1"/>
        <v>Sns bake house bakery nd cafe Sns bakehouse bakery and cafe </v>
      </c>
    </row>
    <row r="262" ht="22.5" customHeight="1">
      <c r="A262" s="14">
        <v>46065.58814773148</v>
      </c>
      <c r="B262" s="15">
        <v>46065.0</v>
      </c>
      <c r="C262" s="16">
        <v>0.5763888888905058</v>
      </c>
      <c r="D262" s="17" t="s">
        <v>91</v>
      </c>
      <c r="F262" s="17">
        <v>50.0</v>
      </c>
      <c r="G262" s="17">
        <v>300.0</v>
      </c>
      <c r="H262" s="17" t="s">
        <v>388</v>
      </c>
      <c r="I262" s="17">
        <v>60000.0</v>
      </c>
      <c r="J262" s="17" t="s">
        <v>94</v>
      </c>
      <c r="K262" s="17" t="s">
        <v>134</v>
      </c>
      <c r="L262" s="17">
        <v>25.0</v>
      </c>
      <c r="M262" s="17">
        <v>17.0</v>
      </c>
      <c r="N262" s="17">
        <v>1.0</v>
      </c>
      <c r="O262" s="17" t="s">
        <v>135</v>
      </c>
      <c r="P262" s="17" t="s">
        <v>76</v>
      </c>
      <c r="Q262" s="17" t="s">
        <v>97</v>
      </c>
      <c r="R262" s="17" t="s">
        <v>76</v>
      </c>
      <c r="S262" s="18" t="s">
        <v>1126</v>
      </c>
      <c r="U262" s="17" t="s">
        <v>1127</v>
      </c>
      <c r="V262" s="17">
        <v>9.392458574E9</v>
      </c>
      <c r="W262" s="17" t="s">
        <v>388</v>
      </c>
      <c r="AA262" s="17" t="s">
        <v>76</v>
      </c>
      <c r="AB262" s="17">
        <v>1.3624011001092E13</v>
      </c>
      <c r="AC262" s="18" t="s">
        <v>1128</v>
      </c>
      <c r="AD262" s="17" t="s">
        <v>1129</v>
      </c>
      <c r="AE262" s="18" t="s">
        <v>1130</v>
      </c>
      <c r="AF262" s="17" t="s">
        <v>1131</v>
      </c>
      <c r="AG262" s="18" t="s">
        <v>1132</v>
      </c>
      <c r="AK262" s="18" t="s">
        <v>1133</v>
      </c>
      <c r="AL262" s="17">
        <v>5.020116850493E12</v>
      </c>
      <c r="AM262" s="17" t="s">
        <v>1134</v>
      </c>
      <c r="AN262" s="17" t="s">
        <v>1135</v>
      </c>
      <c r="AO262" s="17" t="s">
        <v>1127</v>
      </c>
      <c r="AS262" s="17" t="s">
        <v>76</v>
      </c>
      <c r="AT262" s="17" t="s">
        <v>388</v>
      </c>
      <c r="AU262" s="17" t="s">
        <v>109</v>
      </c>
      <c r="AZ262" s="17" t="s">
        <v>151</v>
      </c>
      <c r="BA262" s="17" t="s">
        <v>458</v>
      </c>
      <c r="BB262" s="17" t="s">
        <v>76</v>
      </c>
      <c r="BH262" s="17">
        <v>17.0</v>
      </c>
      <c r="BI262" s="17" t="s">
        <v>109</v>
      </c>
      <c r="BJ262" s="16">
        <v>0.41666666666424135</v>
      </c>
      <c r="BK262" s="16">
        <v>0.0</v>
      </c>
      <c r="BL262" s="17">
        <v>50.0</v>
      </c>
      <c r="BM262" s="17" t="s">
        <v>1136</v>
      </c>
      <c r="BP262" s="17" t="s">
        <v>1137</v>
      </c>
      <c r="BR262" s="7" t="str">
        <f t="shared" si="1"/>
        <v>Al Saba cafe</v>
      </c>
    </row>
    <row r="263" ht="22.5" customHeight="1">
      <c r="A263" s="14">
        <v>46065.588479722224</v>
      </c>
      <c r="B263" s="15">
        <v>46065.0</v>
      </c>
      <c r="C263" s="16">
        <v>0.5090277777781012</v>
      </c>
      <c r="U263" s="17" t="s">
        <v>427</v>
      </c>
      <c r="V263" s="17">
        <v>9.010776408E9</v>
      </c>
      <c r="W263" s="17" t="s">
        <v>113</v>
      </c>
      <c r="AA263" s="17" t="s">
        <v>109</v>
      </c>
      <c r="AU263" s="17" t="s">
        <v>76</v>
      </c>
      <c r="AV263" s="17" t="s">
        <v>472</v>
      </c>
      <c r="AW263" s="17" t="s">
        <v>1138</v>
      </c>
      <c r="AZ263" s="17" t="s">
        <v>243</v>
      </c>
      <c r="BA263" s="17" t="s">
        <v>458</v>
      </c>
      <c r="BB263" s="17" t="s">
        <v>109</v>
      </c>
      <c r="BP263" s="17" t="s">
        <v>1070</v>
      </c>
      <c r="BR263" s="7" t="str">
        <f t="shared" si="1"/>
        <v>Palleturi dosa</v>
      </c>
    </row>
    <row r="264" ht="22.5" customHeight="1">
      <c r="A264" s="14">
        <v>46065.590702546295</v>
      </c>
      <c r="B264" s="15">
        <v>46065.0</v>
      </c>
      <c r="C264" s="16">
        <v>0.5104166666642413</v>
      </c>
      <c r="D264" s="17" t="s">
        <v>111</v>
      </c>
      <c r="T264" s="17" t="s">
        <v>1139</v>
      </c>
      <c r="U264" s="17" t="s">
        <v>1140</v>
      </c>
      <c r="V264" s="17">
        <v>9.544186712E9</v>
      </c>
      <c r="W264" s="17" t="s">
        <v>113</v>
      </c>
      <c r="AA264" s="17" t="s">
        <v>109</v>
      </c>
      <c r="AU264" s="17" t="s">
        <v>76</v>
      </c>
      <c r="AV264" s="17" t="s">
        <v>271</v>
      </c>
      <c r="AW264" s="17" t="s">
        <v>1141</v>
      </c>
      <c r="AZ264" s="17" t="s">
        <v>243</v>
      </c>
      <c r="BA264" s="17" t="s">
        <v>458</v>
      </c>
      <c r="BB264" s="17" t="s">
        <v>76</v>
      </c>
      <c r="BP264" s="17" t="s">
        <v>1142</v>
      </c>
      <c r="BR264" s="7" t="str">
        <f t="shared" si="1"/>
        <v>Kochin spicesKochinspices</v>
      </c>
    </row>
    <row r="265" ht="22.5" customHeight="1">
      <c r="A265" s="14">
        <v>46065.59238952547</v>
      </c>
      <c r="B265" s="15">
        <v>46065.0</v>
      </c>
      <c r="C265" s="16">
        <v>0.5111111111109494</v>
      </c>
      <c r="U265" s="17" t="s">
        <v>1143</v>
      </c>
      <c r="V265" s="17">
        <v>7.842474608E9</v>
      </c>
      <c r="W265" s="17" t="s">
        <v>113</v>
      </c>
      <c r="AA265" s="17" t="s">
        <v>109</v>
      </c>
      <c r="AU265" s="17" t="s">
        <v>76</v>
      </c>
      <c r="AV265" s="17" t="s">
        <v>472</v>
      </c>
      <c r="AW265" s="17" t="s">
        <v>1144</v>
      </c>
      <c r="AZ265" s="17" t="s">
        <v>243</v>
      </c>
      <c r="BA265" s="17" t="s">
        <v>458</v>
      </c>
      <c r="BB265" s="17" t="s">
        <v>109</v>
      </c>
      <c r="BP265" s="17" t="s">
        <v>1145</v>
      </c>
      <c r="BR265" s="7" t="str">
        <f t="shared" si="1"/>
        <v>Smoky docky</v>
      </c>
    </row>
    <row r="266" ht="22.5" customHeight="1">
      <c r="A266" s="14">
        <v>46065.592876006944</v>
      </c>
      <c r="B266" s="15">
        <v>46065.0</v>
      </c>
      <c r="C266" s="16">
        <v>0.59375</v>
      </c>
      <c r="D266" s="17" t="s">
        <v>111</v>
      </c>
      <c r="T266" s="17" t="s">
        <v>1146</v>
      </c>
      <c r="U266" s="17" t="s">
        <v>245</v>
      </c>
      <c r="V266" s="17">
        <v>9.398948353E9</v>
      </c>
      <c r="W266" s="17" t="s">
        <v>117</v>
      </c>
      <c r="AA266" s="17" t="s">
        <v>76</v>
      </c>
      <c r="AS266" s="17" t="s">
        <v>109</v>
      </c>
      <c r="AU266" s="17" t="s">
        <v>76</v>
      </c>
      <c r="AV266" s="17" t="s">
        <v>373</v>
      </c>
      <c r="AZ266" s="17" t="s">
        <v>115</v>
      </c>
      <c r="BA266" s="17" t="s">
        <v>458</v>
      </c>
      <c r="BB266" s="17" t="s">
        <v>76</v>
      </c>
      <c r="BM266" s="17" t="s">
        <v>1100</v>
      </c>
      <c r="BP266" s="17" t="s">
        <v>1146</v>
      </c>
      <c r="BR266" s="7" t="str">
        <f t="shared" si="1"/>
        <v>Poruginti chepala pulusu Poruginti chepala pulusu </v>
      </c>
    </row>
    <row r="267" ht="22.5" customHeight="1">
      <c r="A267" s="14">
        <v>46065.59600244213</v>
      </c>
      <c r="B267" s="15">
        <v>46065.0</v>
      </c>
      <c r="C267" s="16">
        <v>0.08333333333575865</v>
      </c>
      <c r="D267" s="17" t="s">
        <v>111</v>
      </c>
      <c r="T267" s="17" t="s">
        <v>1147</v>
      </c>
      <c r="U267" s="17" t="s">
        <v>1148</v>
      </c>
      <c r="V267" s="17">
        <v>7.842474013E9</v>
      </c>
      <c r="W267" s="17" t="s">
        <v>117</v>
      </c>
      <c r="AA267" s="17" t="s">
        <v>109</v>
      </c>
      <c r="AU267" s="17" t="s">
        <v>76</v>
      </c>
      <c r="AV267" s="17" t="s">
        <v>88</v>
      </c>
      <c r="AW267" s="17" t="s">
        <v>1149</v>
      </c>
      <c r="AX267" s="15">
        <v>46069.0</v>
      </c>
      <c r="AY267" s="16">
        <v>0.5</v>
      </c>
      <c r="AZ267" s="17" t="s">
        <v>539</v>
      </c>
      <c r="BA267" s="17" t="s">
        <v>458</v>
      </c>
      <c r="BB267" s="17" t="s">
        <v>76</v>
      </c>
      <c r="BP267" s="17" t="s">
        <v>1150</v>
      </c>
      <c r="BR267" s="7" t="str">
        <f t="shared" si="1"/>
        <v>CAFE UNITED CAFE UNITED</v>
      </c>
    </row>
    <row r="268" ht="22.5" customHeight="1">
      <c r="A268" s="14">
        <v>46065.596099421295</v>
      </c>
      <c r="B268" s="15">
        <v>46065.0</v>
      </c>
      <c r="C268" s="16">
        <v>0.5763888888905058</v>
      </c>
      <c r="D268" s="17" t="s">
        <v>91</v>
      </c>
      <c r="F268" s="17">
        <v>30.0</v>
      </c>
      <c r="G268" s="17">
        <v>150.0</v>
      </c>
      <c r="H268" s="17" t="s">
        <v>388</v>
      </c>
      <c r="I268" s="17">
        <v>25000.0</v>
      </c>
      <c r="J268" s="17" t="s">
        <v>221</v>
      </c>
      <c r="K268" s="17" t="s">
        <v>95</v>
      </c>
      <c r="L268" s="17">
        <v>1.0</v>
      </c>
      <c r="M268" s="17">
        <v>17.0</v>
      </c>
      <c r="N268" s="17">
        <v>1.0</v>
      </c>
      <c r="O268" s="17" t="s">
        <v>135</v>
      </c>
      <c r="P268" s="17" t="s">
        <v>76</v>
      </c>
      <c r="Q268" s="17" t="s">
        <v>97</v>
      </c>
      <c r="R268" s="17" t="s">
        <v>98</v>
      </c>
      <c r="S268" s="18" t="s">
        <v>1151</v>
      </c>
      <c r="U268" s="17" t="s">
        <v>1152</v>
      </c>
      <c r="V268" s="17">
        <v>8.309112838E9</v>
      </c>
      <c r="W268" s="17" t="s">
        <v>388</v>
      </c>
      <c r="AA268" s="17" t="s">
        <v>109</v>
      </c>
      <c r="AU268" s="17" t="s">
        <v>76</v>
      </c>
      <c r="AV268" s="17" t="s">
        <v>373</v>
      </c>
      <c r="AX268" s="15">
        <v>46066.0</v>
      </c>
      <c r="AZ268" s="17" t="s">
        <v>151</v>
      </c>
      <c r="BA268" s="17" t="s">
        <v>458</v>
      </c>
      <c r="BB268" s="17" t="s">
        <v>76</v>
      </c>
      <c r="BL268" s="17" t="s">
        <v>388</v>
      </c>
      <c r="BP268" s="17" t="s">
        <v>1153</v>
      </c>
      <c r="BR268" s="7" t="str">
        <f t="shared" si="1"/>
        <v>1pm to 1am</v>
      </c>
    </row>
    <row r="269" ht="22.5" customHeight="1">
      <c r="A269" s="14">
        <v>46065.59763703703</v>
      </c>
      <c r="B269" s="15">
        <v>46065.0</v>
      </c>
      <c r="C269" s="16">
        <v>0.5972222222189885</v>
      </c>
      <c r="U269" s="17" t="s">
        <v>1154</v>
      </c>
      <c r="V269" s="17">
        <v>8.688077052E9</v>
      </c>
      <c r="W269" s="17" t="s">
        <v>117</v>
      </c>
      <c r="AA269" s="17" t="s">
        <v>109</v>
      </c>
      <c r="AU269" s="17" t="s">
        <v>76</v>
      </c>
      <c r="AV269" s="17" t="s">
        <v>472</v>
      </c>
      <c r="AZ269" s="17" t="s">
        <v>115</v>
      </c>
      <c r="BA269" s="17" t="s">
        <v>458</v>
      </c>
      <c r="BB269" s="17" t="s">
        <v>109</v>
      </c>
      <c r="BP269" s="17" t="s">
        <v>1155</v>
      </c>
      <c r="BR269" s="7" t="str">
        <f t="shared" si="1"/>
        <v>Zamindars cafe</v>
      </c>
    </row>
    <row r="270" ht="22.5" customHeight="1">
      <c r="A270" s="14">
        <v>46065.59784527778</v>
      </c>
      <c r="B270" s="15">
        <v>46065.0</v>
      </c>
      <c r="C270" s="16">
        <v>0.586111111115315</v>
      </c>
      <c r="D270" s="17" t="s">
        <v>91</v>
      </c>
      <c r="F270" s="17">
        <v>100.0</v>
      </c>
      <c r="G270" s="17">
        <v>350.0</v>
      </c>
      <c r="H270" s="17" t="s">
        <v>184</v>
      </c>
      <c r="I270" s="17">
        <v>105000.0</v>
      </c>
      <c r="J270" s="17" t="s">
        <v>94</v>
      </c>
      <c r="K270" s="17" t="s">
        <v>515</v>
      </c>
      <c r="L270" s="17">
        <v>9.0</v>
      </c>
      <c r="M270" s="17">
        <v>12.0</v>
      </c>
      <c r="N270" s="17">
        <v>3.0</v>
      </c>
      <c r="O270" s="17" t="s">
        <v>96</v>
      </c>
      <c r="P270" s="17" t="s">
        <v>76</v>
      </c>
      <c r="Q270" s="17" t="s">
        <v>97</v>
      </c>
      <c r="R270" s="17" t="s">
        <v>109</v>
      </c>
      <c r="S270" s="18" t="s">
        <v>1156</v>
      </c>
      <c r="U270" s="17" t="s">
        <v>1157</v>
      </c>
      <c r="V270" s="17">
        <v>9.346342272E9</v>
      </c>
      <c r="W270" s="17" t="s">
        <v>1158</v>
      </c>
      <c r="AA270" s="17" t="s">
        <v>76</v>
      </c>
      <c r="AB270" s="17">
        <v>1.3618013000561E13</v>
      </c>
      <c r="AC270" s="18" t="s">
        <v>1159</v>
      </c>
      <c r="AD270" s="17" t="s">
        <v>1160</v>
      </c>
      <c r="AE270" s="18" t="s">
        <v>1161</v>
      </c>
      <c r="AF270" s="17" t="s">
        <v>1162</v>
      </c>
      <c r="AG270" s="18" t="s">
        <v>1163</v>
      </c>
      <c r="AK270" s="18" t="s">
        <v>1164</v>
      </c>
      <c r="AL270" s="17">
        <v>9.17020033027897E14</v>
      </c>
      <c r="AM270" s="17" t="s">
        <v>1165</v>
      </c>
      <c r="AN270" s="17" t="s">
        <v>1166</v>
      </c>
      <c r="AO270" s="17" t="s">
        <v>1167</v>
      </c>
      <c r="AP270" s="17">
        <v>9.346342272E9</v>
      </c>
      <c r="AQ270" s="17" t="s">
        <v>1158</v>
      </c>
      <c r="AR270" s="17" t="s">
        <v>1167</v>
      </c>
      <c r="AS270" s="17" t="s">
        <v>76</v>
      </c>
      <c r="AT270" s="17" t="s">
        <v>193</v>
      </c>
      <c r="AU270" s="17" t="s">
        <v>109</v>
      </c>
      <c r="AZ270" s="17" t="s">
        <v>164</v>
      </c>
      <c r="BA270" s="17" t="s">
        <v>491</v>
      </c>
      <c r="BH270" s="17">
        <v>12.0</v>
      </c>
      <c r="BI270" s="17" t="s">
        <v>109</v>
      </c>
      <c r="BJ270" s="16">
        <v>0.47916666666424135</v>
      </c>
      <c r="BK270" s="16">
        <v>0.020833333335758653</v>
      </c>
      <c r="BL270" s="17">
        <v>300.0</v>
      </c>
      <c r="BM270" s="17" t="s">
        <v>1168</v>
      </c>
      <c r="BN270" s="17" t="s">
        <v>992</v>
      </c>
      <c r="BP270" s="17" t="s">
        <v>1169</v>
      </c>
      <c r="BR270" s="7" t="str">
        <f t="shared" si="1"/>
        <v>hitech bawarchi food court </v>
      </c>
    </row>
    <row r="271" ht="22.5" customHeight="1">
      <c r="A271" s="14">
        <v>46065.59791130787</v>
      </c>
      <c r="B271" s="15">
        <v>46065.0</v>
      </c>
      <c r="C271" s="16">
        <v>0.5833333333357587</v>
      </c>
      <c r="U271" s="17" t="s">
        <v>1170</v>
      </c>
      <c r="V271" s="17" t="s">
        <v>1171</v>
      </c>
      <c r="W271" s="17" t="s">
        <v>388</v>
      </c>
      <c r="AA271" s="17" t="s">
        <v>109</v>
      </c>
      <c r="AU271" s="17" t="s">
        <v>76</v>
      </c>
      <c r="AV271" s="17" t="s">
        <v>373</v>
      </c>
      <c r="AX271" s="15">
        <v>46069.0</v>
      </c>
      <c r="AY271" s="16">
        <v>0.41666666666424135</v>
      </c>
      <c r="AZ271" s="17" t="s">
        <v>151</v>
      </c>
      <c r="BA271" s="17" t="s">
        <v>458</v>
      </c>
      <c r="BB271" s="17" t="s">
        <v>109</v>
      </c>
      <c r="BP271" s="17" t="s">
        <v>1172</v>
      </c>
      <c r="BR271" s="7" t="str">
        <f t="shared" si="1"/>
        <v>100N Gourmet shawarma the homly bowls</v>
      </c>
    </row>
    <row r="272" ht="22.5" customHeight="1">
      <c r="A272" s="14">
        <v>46065.59874354167</v>
      </c>
      <c r="B272" s="15">
        <v>46065.0</v>
      </c>
      <c r="C272" s="16">
        <v>0.6194444444408873</v>
      </c>
      <c r="U272" s="17" t="s">
        <v>1173</v>
      </c>
      <c r="V272" s="17" t="s">
        <v>1171</v>
      </c>
      <c r="W272" s="17" t="s">
        <v>388</v>
      </c>
      <c r="AA272" s="17" t="s">
        <v>109</v>
      </c>
      <c r="AU272" s="17" t="s">
        <v>76</v>
      </c>
      <c r="AV272" s="17" t="s">
        <v>373</v>
      </c>
      <c r="AX272" s="15">
        <v>46065.0</v>
      </c>
      <c r="AY272" s="16">
        <v>0.3125</v>
      </c>
      <c r="AZ272" s="17" t="s">
        <v>151</v>
      </c>
      <c r="BA272" s="17" t="s">
        <v>458</v>
      </c>
      <c r="BB272" s="17" t="s">
        <v>109</v>
      </c>
      <c r="BP272" s="17" t="s">
        <v>1174</v>
      </c>
      <c r="BR272" s="7" t="str">
        <f t="shared" si="1"/>
        <v>MMD Restaurant </v>
      </c>
    </row>
    <row r="273" ht="22.5" customHeight="1">
      <c r="A273" s="14">
        <v>46065.608017164355</v>
      </c>
      <c r="B273" s="15">
        <v>46065.0</v>
      </c>
      <c r="C273" s="16">
        <v>0.6041666666642413</v>
      </c>
      <c r="U273" s="17" t="s">
        <v>1175</v>
      </c>
      <c r="V273" s="17">
        <v>7.093051795E9</v>
      </c>
      <c r="W273" s="17" t="s">
        <v>117</v>
      </c>
      <c r="AA273" s="17" t="s">
        <v>109</v>
      </c>
      <c r="AU273" s="17" t="s">
        <v>76</v>
      </c>
      <c r="AV273" s="17" t="s">
        <v>472</v>
      </c>
      <c r="AZ273" s="17" t="s">
        <v>115</v>
      </c>
      <c r="BA273" s="17" t="s">
        <v>458</v>
      </c>
      <c r="BB273" s="17" t="s">
        <v>109</v>
      </c>
      <c r="BP273" s="17" t="s">
        <v>971</v>
      </c>
      <c r="BR273" s="7" t="str">
        <f t="shared" si="1"/>
        <v>Vasireddy swagruha foods </v>
      </c>
    </row>
    <row r="274" ht="22.5" customHeight="1">
      <c r="A274" s="14">
        <v>46065.612093668984</v>
      </c>
      <c r="B274" s="15">
        <v>46065.0</v>
      </c>
      <c r="C274" s="16">
        <v>0.5951388888934162</v>
      </c>
      <c r="U274" s="17" t="s">
        <v>1176</v>
      </c>
      <c r="V274" s="17">
        <v>9.866896332E9</v>
      </c>
      <c r="W274" s="17" t="s">
        <v>113</v>
      </c>
      <c r="AA274" s="17" t="s">
        <v>109</v>
      </c>
      <c r="AU274" s="17" t="s">
        <v>76</v>
      </c>
      <c r="AV274" s="17" t="s">
        <v>472</v>
      </c>
      <c r="AW274" s="17" t="s">
        <v>1177</v>
      </c>
      <c r="AZ274" s="17" t="s">
        <v>243</v>
      </c>
      <c r="BA274" s="17" t="s">
        <v>458</v>
      </c>
      <c r="BB274" s="17" t="s">
        <v>109</v>
      </c>
      <c r="BP274" s="17" t="s">
        <v>1178</v>
      </c>
      <c r="BR274" s="7" t="str">
        <f t="shared" si="1"/>
        <v>Sri vindha tiffins</v>
      </c>
    </row>
    <row r="275" ht="22.5" customHeight="1">
      <c r="A275" s="14">
        <v>46065.61427</v>
      </c>
      <c r="B275" s="15">
        <v>46065.0</v>
      </c>
      <c r="C275" s="16">
        <v>0.6083333333372138</v>
      </c>
      <c r="U275" s="17" t="s">
        <v>1179</v>
      </c>
      <c r="V275" s="17">
        <v>9.000931717E9</v>
      </c>
      <c r="W275" s="17" t="s">
        <v>113</v>
      </c>
      <c r="AA275" s="17" t="s">
        <v>109</v>
      </c>
      <c r="AU275" s="17" t="s">
        <v>76</v>
      </c>
      <c r="AV275" s="17" t="s">
        <v>472</v>
      </c>
      <c r="AW275" s="17" t="s">
        <v>1180</v>
      </c>
      <c r="AZ275" s="17" t="s">
        <v>243</v>
      </c>
      <c r="BA275" s="17" t="s">
        <v>458</v>
      </c>
      <c r="BB275" s="17" t="s">
        <v>109</v>
      </c>
      <c r="BP275" s="17" t="s">
        <v>1181</v>
      </c>
      <c r="BR275" s="7" t="str">
        <f t="shared" si="1"/>
        <v>Hulchal desserts and bakers</v>
      </c>
    </row>
    <row r="276" ht="22.5" customHeight="1">
      <c r="A276" s="14">
        <v>46065.625645520835</v>
      </c>
      <c r="B276" s="15">
        <v>46065.0</v>
      </c>
      <c r="C276" s="16">
        <v>0.625</v>
      </c>
      <c r="U276" s="17" t="s">
        <v>1182</v>
      </c>
      <c r="V276" s="17">
        <v>7.995243674E9</v>
      </c>
      <c r="W276" s="17" t="s">
        <v>117</v>
      </c>
      <c r="AA276" s="17" t="s">
        <v>109</v>
      </c>
      <c r="AU276" s="17" t="s">
        <v>76</v>
      </c>
      <c r="AV276" s="17" t="s">
        <v>472</v>
      </c>
      <c r="AZ276" s="17" t="s">
        <v>115</v>
      </c>
      <c r="BA276" s="17" t="s">
        <v>458</v>
      </c>
      <c r="BB276" s="17" t="s">
        <v>109</v>
      </c>
      <c r="BP276" s="17" t="s">
        <v>1183</v>
      </c>
      <c r="BR276" s="7" t="str">
        <f t="shared" si="1"/>
        <v>Rainbow mandi restaurant </v>
      </c>
    </row>
    <row r="277" ht="22.5" customHeight="1">
      <c r="A277" s="14">
        <v>46065.6325597338</v>
      </c>
      <c r="B277" s="15">
        <v>46065.0</v>
      </c>
      <c r="C277" s="16">
        <v>0.125</v>
      </c>
      <c r="D277" s="17" t="s">
        <v>111</v>
      </c>
      <c r="T277" s="17" t="s">
        <v>1184</v>
      </c>
      <c r="U277" s="17" t="s">
        <v>1185</v>
      </c>
      <c r="V277" s="17">
        <v>7.416826069E9</v>
      </c>
      <c r="W277" s="17" t="s">
        <v>1186</v>
      </c>
      <c r="X277" s="17" t="s">
        <v>388</v>
      </c>
      <c r="Y277" s="17">
        <v>12.0</v>
      </c>
      <c r="Z277" s="17" t="s">
        <v>388</v>
      </c>
      <c r="AA277" s="17" t="s">
        <v>76</v>
      </c>
      <c r="AB277" s="17">
        <v>2.3625030004177E13</v>
      </c>
      <c r="AC277" s="18" t="s">
        <v>1187</v>
      </c>
      <c r="AD277" s="17" t="s">
        <v>388</v>
      </c>
      <c r="AJ277" s="18" t="s">
        <v>1188</v>
      </c>
      <c r="AK277" s="18" t="s">
        <v>1189</v>
      </c>
      <c r="AL277" s="17">
        <v>3.0542010072789E13</v>
      </c>
      <c r="AM277" s="17" t="s">
        <v>1190</v>
      </c>
      <c r="AN277" s="17" t="s">
        <v>1191</v>
      </c>
      <c r="AO277" s="17" t="s">
        <v>1192</v>
      </c>
      <c r="AP277" s="17" t="s">
        <v>1193</v>
      </c>
      <c r="AQ277" s="17" t="s">
        <v>1186</v>
      </c>
      <c r="AS277" s="17" t="s">
        <v>76</v>
      </c>
      <c r="AT277" s="17" t="s">
        <v>181</v>
      </c>
      <c r="AU277" s="17" t="s">
        <v>109</v>
      </c>
      <c r="AW277" s="17" t="s">
        <v>109</v>
      </c>
      <c r="AX277" s="15">
        <v>46065.0</v>
      </c>
      <c r="AZ277" s="17" t="s">
        <v>356</v>
      </c>
      <c r="BA277" s="17" t="s">
        <v>458</v>
      </c>
      <c r="BB277" s="17" t="s">
        <v>76</v>
      </c>
      <c r="BI277" s="17" t="s">
        <v>76</v>
      </c>
      <c r="BJ277" s="16">
        <v>0.5</v>
      </c>
      <c r="BK277" s="16">
        <v>0.47916666666424135</v>
      </c>
      <c r="BM277" s="17" t="s">
        <v>1194</v>
      </c>
      <c r="BP277" s="17" t="s">
        <v>1184</v>
      </c>
      <c r="BR277" s="7" t="str">
        <f t="shared" si="1"/>
        <v>Hotel FarzaanHotel Farzaan</v>
      </c>
    </row>
    <row r="278" ht="22.5" customHeight="1">
      <c r="A278" s="14">
        <v>46065.63261385416</v>
      </c>
      <c r="B278" s="15">
        <v>46065.0</v>
      </c>
      <c r="C278" s="16">
        <v>0.6319444444452529</v>
      </c>
      <c r="U278" s="17" t="s">
        <v>388</v>
      </c>
      <c r="V278" s="17" t="s">
        <v>388</v>
      </c>
      <c r="W278" s="17" t="s">
        <v>388</v>
      </c>
      <c r="AA278" s="17" t="s">
        <v>109</v>
      </c>
      <c r="AU278" s="17" t="s">
        <v>76</v>
      </c>
      <c r="AV278" s="17" t="s">
        <v>472</v>
      </c>
      <c r="AZ278" s="17" t="s">
        <v>110</v>
      </c>
      <c r="BA278" s="17" t="s">
        <v>458</v>
      </c>
      <c r="BB278" s="17" t="s">
        <v>109</v>
      </c>
      <c r="BP278" s="17" t="s">
        <v>1195</v>
      </c>
      <c r="BR278" s="7" t="str">
        <f t="shared" si="1"/>
        <v>Royal Darbar</v>
      </c>
    </row>
    <row r="279" ht="22.5" customHeight="1">
      <c r="A279" s="14">
        <v>46065.638685451384</v>
      </c>
      <c r="B279" s="15">
        <v>46065.0</v>
      </c>
      <c r="C279" s="16">
        <v>0.5416666666642413</v>
      </c>
      <c r="D279" s="17" t="s">
        <v>71</v>
      </c>
      <c r="T279" s="17" t="s">
        <v>1062</v>
      </c>
      <c r="U279" s="17" t="s">
        <v>1060</v>
      </c>
      <c r="V279" s="17" t="s">
        <v>1061</v>
      </c>
      <c r="W279" s="17" t="s">
        <v>1196</v>
      </c>
      <c r="AA279" s="17" t="s">
        <v>109</v>
      </c>
      <c r="AU279" s="17" t="s">
        <v>76</v>
      </c>
      <c r="AV279" s="17" t="s">
        <v>114</v>
      </c>
      <c r="AZ279" s="17" t="s">
        <v>182</v>
      </c>
      <c r="BA279" s="17" t="s">
        <v>491</v>
      </c>
      <c r="BP279" s="17" t="s">
        <v>1062</v>
      </c>
      <c r="BR279" s="7" t="str">
        <f t="shared" si="1"/>
        <v>Tipsy Topsy Tipsy Topsy </v>
      </c>
    </row>
    <row r="280" ht="22.5" customHeight="1">
      <c r="A280" s="14">
        <v>46065.661447453705</v>
      </c>
      <c r="B280" s="15">
        <v>46065.0</v>
      </c>
      <c r="C280" s="16">
        <v>0.5381944444452529</v>
      </c>
      <c r="U280" s="17" t="s">
        <v>1197</v>
      </c>
      <c r="V280" s="17">
        <v>9.849765228E9</v>
      </c>
      <c r="W280" s="17" t="s">
        <v>388</v>
      </c>
      <c r="AA280" s="17" t="s">
        <v>109</v>
      </c>
      <c r="AU280" s="17" t="s">
        <v>76</v>
      </c>
      <c r="AV280" s="17" t="s">
        <v>373</v>
      </c>
      <c r="AX280" s="15">
        <v>46066.0</v>
      </c>
      <c r="AY280" s="16">
        <v>0.625</v>
      </c>
      <c r="AZ280" s="17" t="s">
        <v>151</v>
      </c>
      <c r="BA280" s="17" t="s">
        <v>458</v>
      </c>
      <c r="BB280" s="17" t="s">
        <v>109</v>
      </c>
      <c r="BP280" s="17" t="s">
        <v>1198</v>
      </c>
      <c r="BR280" s="7" t="str">
        <f t="shared" si="1"/>
        <v>Exotica bakers</v>
      </c>
    </row>
    <row r="281" ht="22.5" customHeight="1">
      <c r="A281" s="14">
        <v>46065.66574804398</v>
      </c>
      <c r="B281" s="15">
        <v>46065.0</v>
      </c>
      <c r="C281" s="16">
        <v>0.6388888888905058</v>
      </c>
      <c r="D281" s="17" t="s">
        <v>91</v>
      </c>
      <c r="F281" s="17">
        <v>40.0</v>
      </c>
      <c r="G281" s="17">
        <v>120.0</v>
      </c>
      <c r="H281" s="17" t="s">
        <v>388</v>
      </c>
      <c r="I281" s="17">
        <v>20000.0</v>
      </c>
      <c r="J281" s="17" t="s">
        <v>221</v>
      </c>
      <c r="K281" s="17" t="s">
        <v>95</v>
      </c>
      <c r="L281" s="17">
        <v>1.0</v>
      </c>
      <c r="M281" s="17">
        <v>17.0</v>
      </c>
      <c r="N281" s="17">
        <v>1.0</v>
      </c>
      <c r="O281" s="17" t="s">
        <v>96</v>
      </c>
      <c r="P281" s="17" t="s">
        <v>76</v>
      </c>
      <c r="Q281" s="17" t="s">
        <v>97</v>
      </c>
      <c r="R281" s="17" t="s">
        <v>98</v>
      </c>
      <c r="S281" s="18" t="s">
        <v>1199</v>
      </c>
      <c r="U281" s="17" t="s">
        <v>1200</v>
      </c>
      <c r="V281" s="17">
        <v>8.121749748E9</v>
      </c>
      <c r="W281" s="17" t="s">
        <v>388</v>
      </c>
      <c r="AA281" s="17" t="s">
        <v>76</v>
      </c>
      <c r="AB281" s="17">
        <v>2.3625030001846E13</v>
      </c>
      <c r="AC281" s="18" t="s">
        <v>1201</v>
      </c>
      <c r="AD281" s="17" t="s">
        <v>388</v>
      </c>
      <c r="AF281" s="17" t="s">
        <v>1202</v>
      </c>
      <c r="AG281" s="18" t="s">
        <v>1203</v>
      </c>
      <c r="AL281" s="17">
        <v>1.4730200007249E13</v>
      </c>
      <c r="AM281" s="17" t="s">
        <v>1204</v>
      </c>
      <c r="AN281" s="17" t="s">
        <v>1205</v>
      </c>
      <c r="AO281" s="17" t="s">
        <v>1200</v>
      </c>
      <c r="AS281" s="17" t="s">
        <v>76</v>
      </c>
      <c r="AT281" s="17" t="s">
        <v>388</v>
      </c>
      <c r="AU281" s="17" t="s">
        <v>109</v>
      </c>
      <c r="AZ281" s="17" t="s">
        <v>151</v>
      </c>
      <c r="BA281" s="17" t="s">
        <v>458</v>
      </c>
      <c r="BB281" s="17" t="s">
        <v>76</v>
      </c>
      <c r="BH281" s="17">
        <v>17.0</v>
      </c>
      <c r="BI281" s="17" t="s">
        <v>109</v>
      </c>
      <c r="BJ281" s="16">
        <v>0.45833333333575865</v>
      </c>
      <c r="BK281" s="16">
        <v>0.9583333333357587</v>
      </c>
      <c r="BL281" s="17" t="s">
        <v>388</v>
      </c>
      <c r="BM281" s="17" t="s">
        <v>1206</v>
      </c>
      <c r="BP281" s="17" t="s">
        <v>1207</v>
      </c>
      <c r="BR281" s="7" t="str">
        <f t="shared" si="1"/>
        <v>Padmavathi food court</v>
      </c>
    </row>
    <row r="282" ht="22.5" customHeight="1">
      <c r="A282" s="14">
        <v>46065.6663191088</v>
      </c>
      <c r="B282" s="15">
        <v>46065.0</v>
      </c>
      <c r="C282" s="16">
        <v>0.5833333333357587</v>
      </c>
      <c r="D282" s="17" t="s">
        <v>91</v>
      </c>
      <c r="F282" s="17">
        <v>30.0</v>
      </c>
      <c r="G282" s="17">
        <v>300.0</v>
      </c>
      <c r="H282" s="17" t="s">
        <v>291</v>
      </c>
      <c r="I282" s="17">
        <v>20000.0</v>
      </c>
      <c r="J282" s="17" t="s">
        <v>94</v>
      </c>
      <c r="K282" s="17" t="s">
        <v>134</v>
      </c>
      <c r="L282" s="17">
        <v>22.0</v>
      </c>
      <c r="M282" s="17">
        <v>201.0</v>
      </c>
      <c r="N282" s="17">
        <v>1.0</v>
      </c>
      <c r="O282" s="17" t="s">
        <v>96</v>
      </c>
      <c r="P282" s="17" t="s">
        <v>109</v>
      </c>
      <c r="Q282" s="17" t="s">
        <v>97</v>
      </c>
      <c r="R282" s="17" t="s">
        <v>76</v>
      </c>
      <c r="S282" s="17" t="s">
        <v>113</v>
      </c>
      <c r="U282" s="17" t="s">
        <v>1208</v>
      </c>
      <c r="V282" s="17">
        <v>8.466082222E9</v>
      </c>
      <c r="W282" s="17" t="s">
        <v>1209</v>
      </c>
      <c r="AA282" s="17" t="s">
        <v>76</v>
      </c>
      <c r="AB282" s="17">
        <v>2.3625028004025E13</v>
      </c>
      <c r="AC282" s="18" t="s">
        <v>1210</v>
      </c>
      <c r="AF282" s="17" t="s">
        <v>1211</v>
      </c>
      <c r="AG282" s="18" t="s">
        <v>1212</v>
      </c>
      <c r="AI282" s="18" t="s">
        <v>1213</v>
      </c>
      <c r="AK282" s="18" t="s">
        <v>1214</v>
      </c>
      <c r="AL282" s="17">
        <v>5.871063531E9</v>
      </c>
      <c r="AM282" s="17" t="s">
        <v>1215</v>
      </c>
      <c r="AN282" s="17" t="s">
        <v>1216</v>
      </c>
      <c r="AO282" s="17" t="s">
        <v>1217</v>
      </c>
      <c r="AP282" s="17">
        <v>8.466082222E9</v>
      </c>
      <c r="AQ282" s="17" t="s">
        <v>1218</v>
      </c>
      <c r="AR282" s="17" t="s">
        <v>1219</v>
      </c>
      <c r="AS282" s="17" t="s">
        <v>76</v>
      </c>
      <c r="AT282" s="17" t="s">
        <v>193</v>
      </c>
      <c r="AU282" s="17" t="s">
        <v>109</v>
      </c>
      <c r="AV282" s="17" t="s">
        <v>472</v>
      </c>
      <c r="AZ282" s="17" t="s">
        <v>131</v>
      </c>
      <c r="BA282" s="17" t="s">
        <v>458</v>
      </c>
      <c r="BB282" s="17" t="s">
        <v>76</v>
      </c>
      <c r="BH282" s="17">
        <v>20.0</v>
      </c>
      <c r="BI282" s="17" t="s">
        <v>109</v>
      </c>
      <c r="BJ282" s="16">
        <v>0.33333333333575865</v>
      </c>
      <c r="BK282" s="16">
        <v>0.45833333333575865</v>
      </c>
      <c r="BL282" s="17">
        <v>60.0</v>
      </c>
      <c r="BM282" s="17" t="s">
        <v>1220</v>
      </c>
      <c r="BN282" s="17" t="s">
        <v>758</v>
      </c>
      <c r="BP282" s="17" t="s">
        <v>1221</v>
      </c>
      <c r="BR282" s="7" t="str">
        <f t="shared" si="1"/>
        <v>punjabi Dhaba</v>
      </c>
    </row>
    <row r="283" ht="22.5" customHeight="1">
      <c r="A283" s="14">
        <v>46065.6710355324</v>
      </c>
      <c r="B283" s="15">
        <v>46065.0</v>
      </c>
      <c r="C283" s="16">
        <v>0.65625</v>
      </c>
      <c r="D283" s="17" t="s">
        <v>91</v>
      </c>
      <c r="F283" s="17">
        <v>140.0</v>
      </c>
      <c r="G283" s="17">
        <v>300.0</v>
      </c>
      <c r="H283" s="17" t="s">
        <v>509</v>
      </c>
      <c r="I283" s="17">
        <v>15000.0</v>
      </c>
      <c r="J283" s="17" t="s">
        <v>94</v>
      </c>
      <c r="K283" s="17" t="s">
        <v>515</v>
      </c>
      <c r="M283" s="17">
        <v>20.0</v>
      </c>
      <c r="N283" s="17">
        <v>1.0</v>
      </c>
      <c r="O283" s="17" t="s">
        <v>96</v>
      </c>
      <c r="P283" s="17" t="s">
        <v>76</v>
      </c>
      <c r="Q283" s="17" t="s">
        <v>97</v>
      </c>
      <c r="R283" s="17" t="s">
        <v>76</v>
      </c>
      <c r="S283" s="18" t="s">
        <v>1222</v>
      </c>
      <c r="U283" s="17" t="s">
        <v>1223</v>
      </c>
      <c r="V283" s="17">
        <v>7.729900669E9</v>
      </c>
      <c r="W283" s="17" t="s">
        <v>1224</v>
      </c>
      <c r="AA283" s="17" t="s">
        <v>109</v>
      </c>
      <c r="AU283" s="17" t="s">
        <v>76</v>
      </c>
      <c r="AV283" s="17" t="s">
        <v>114</v>
      </c>
      <c r="AZ283" s="17" t="s">
        <v>110</v>
      </c>
      <c r="BA283" s="17" t="s">
        <v>458</v>
      </c>
      <c r="BB283" s="17" t="s">
        <v>76</v>
      </c>
      <c r="BL283" s="17">
        <v>30.0</v>
      </c>
      <c r="BN283" s="17" t="s">
        <v>1088</v>
      </c>
      <c r="BP283" s="17" t="s">
        <v>1225</v>
      </c>
      <c r="BR283" s="7" t="str">
        <f t="shared" si="1"/>
        <v>Cozmo Cafe </v>
      </c>
    </row>
    <row r="284" ht="22.5" customHeight="1">
      <c r="A284" s="14">
        <v>46065.68364667824</v>
      </c>
      <c r="B284" s="15">
        <v>46065.0</v>
      </c>
      <c r="C284" s="16">
        <v>0.625</v>
      </c>
      <c r="U284" s="17" t="s">
        <v>1226</v>
      </c>
      <c r="V284" s="17">
        <v>9.98550631E9</v>
      </c>
      <c r="W284" s="17" t="s">
        <v>388</v>
      </c>
      <c r="X284" s="17" t="s">
        <v>1227</v>
      </c>
      <c r="Y284" s="17">
        <v>7.660912558E9</v>
      </c>
      <c r="Z284" s="17" t="s">
        <v>388</v>
      </c>
      <c r="AA284" s="17" t="s">
        <v>109</v>
      </c>
      <c r="AU284" s="17" t="s">
        <v>76</v>
      </c>
      <c r="AV284" s="17" t="s">
        <v>88</v>
      </c>
      <c r="AZ284" s="17" t="s">
        <v>131</v>
      </c>
      <c r="BA284" s="17" t="s">
        <v>458</v>
      </c>
      <c r="BB284" s="17" t="s">
        <v>109</v>
      </c>
      <c r="BP284" s="17" t="s">
        <v>1228</v>
      </c>
      <c r="BR284" s="7" t="str">
        <f t="shared" si="1"/>
        <v>Alkapuri Bawarchi Biryani </v>
      </c>
    </row>
    <row r="285" ht="22.5" customHeight="1">
      <c r="A285" s="14">
        <v>46065.690255856476</v>
      </c>
      <c r="B285" s="15">
        <v>46065.0</v>
      </c>
      <c r="C285" s="16">
        <v>0.6041666666642413</v>
      </c>
      <c r="U285" s="17" t="s">
        <v>1229</v>
      </c>
      <c r="V285" s="17">
        <v>9.34603623E8</v>
      </c>
      <c r="W285" s="17" t="s">
        <v>117</v>
      </c>
      <c r="AA285" s="17" t="s">
        <v>109</v>
      </c>
      <c r="AU285" s="17" t="s">
        <v>76</v>
      </c>
      <c r="AV285" s="17" t="s">
        <v>472</v>
      </c>
      <c r="AW285" s="17" t="s">
        <v>1230</v>
      </c>
      <c r="AX285" s="15">
        <v>46069.0</v>
      </c>
      <c r="AY285" s="16">
        <v>0.6041666666642413</v>
      </c>
      <c r="AZ285" s="17" t="s">
        <v>164</v>
      </c>
      <c r="BA285" s="17" t="s">
        <v>458</v>
      </c>
      <c r="BB285" s="17" t="s">
        <v>109</v>
      </c>
      <c r="BP285" s="17" t="s">
        <v>1231</v>
      </c>
      <c r="BR285" s="7" t="str">
        <f t="shared" si="1"/>
        <v>GYRO DONER </v>
      </c>
    </row>
    <row r="286" ht="22.5" customHeight="1">
      <c r="A286" s="14">
        <v>46065.69188712963</v>
      </c>
      <c r="B286" s="15">
        <v>46065.0</v>
      </c>
      <c r="C286" s="16">
        <v>0.648611111115315</v>
      </c>
      <c r="U286" s="17" t="s">
        <v>1232</v>
      </c>
      <c r="V286" s="17" t="s">
        <v>1233</v>
      </c>
      <c r="W286" s="17" t="s">
        <v>117</v>
      </c>
      <c r="AA286" s="17" t="s">
        <v>109</v>
      </c>
      <c r="AT286" s="17" t="s">
        <v>1234</v>
      </c>
      <c r="AU286" s="17" t="s">
        <v>109</v>
      </c>
      <c r="AW286" s="17" t="s">
        <v>1235</v>
      </c>
      <c r="AZ286" s="17" t="s">
        <v>164</v>
      </c>
      <c r="BA286" s="17" t="s">
        <v>458</v>
      </c>
      <c r="BB286" s="17" t="s">
        <v>109</v>
      </c>
      <c r="BP286" s="17" t="s">
        <v>1236</v>
      </c>
      <c r="BR286" s="7" t="str">
        <f t="shared" si="1"/>
        <v>morine bakery</v>
      </c>
    </row>
    <row r="287" ht="22.5" customHeight="1">
      <c r="A287" s="14">
        <v>46065.6979133912</v>
      </c>
      <c r="B287" s="15">
        <v>46065.0</v>
      </c>
      <c r="C287" s="16">
        <v>0.19444444444525288</v>
      </c>
      <c r="D287" s="17" t="s">
        <v>91</v>
      </c>
      <c r="F287" s="17">
        <v>85.0</v>
      </c>
      <c r="G287" s="17">
        <v>300.0</v>
      </c>
      <c r="H287" s="17" t="s">
        <v>509</v>
      </c>
      <c r="I287" s="17">
        <v>6000.0</v>
      </c>
      <c r="J287" s="17" t="s">
        <v>94</v>
      </c>
      <c r="K287" s="17" t="s">
        <v>134</v>
      </c>
      <c r="N287" s="17">
        <v>1.0</v>
      </c>
      <c r="O287" s="17" t="s">
        <v>96</v>
      </c>
      <c r="P287" s="17" t="s">
        <v>109</v>
      </c>
      <c r="Q287" s="17" t="s">
        <v>97</v>
      </c>
      <c r="R287" s="17" t="s">
        <v>109</v>
      </c>
      <c r="S287" s="17" t="s">
        <v>1237</v>
      </c>
      <c r="U287" s="17" t="s">
        <v>1238</v>
      </c>
      <c r="V287" s="17">
        <v>8.125655929E9</v>
      </c>
      <c r="W287" s="17" t="s">
        <v>388</v>
      </c>
      <c r="AA287" s="17" t="s">
        <v>109</v>
      </c>
      <c r="AU287" s="17" t="s">
        <v>76</v>
      </c>
      <c r="AV287" s="17" t="s">
        <v>373</v>
      </c>
      <c r="AX287" s="15">
        <v>46066.0</v>
      </c>
      <c r="AY287" s="16">
        <v>0.10416666666424135</v>
      </c>
      <c r="AZ287" s="17" t="s">
        <v>356</v>
      </c>
      <c r="BA287" s="17" t="s">
        <v>491</v>
      </c>
      <c r="BL287" s="17">
        <v>20.0</v>
      </c>
      <c r="BN287" s="17" t="s">
        <v>1239</v>
      </c>
      <c r="BP287" s="17" t="s">
        <v>1240</v>
      </c>
      <c r="BR287" s="7" t="str">
        <f t="shared" si="1"/>
        <v>Balaji Family Dabha</v>
      </c>
    </row>
    <row r="288" ht="22.5" customHeight="1">
      <c r="A288" s="14">
        <v>46065.71204831019</v>
      </c>
      <c r="B288" s="15">
        <v>46065.0</v>
      </c>
      <c r="C288" s="16">
        <v>0.6979166666642413</v>
      </c>
      <c r="U288" s="17" t="s">
        <v>1241</v>
      </c>
      <c r="V288" s="17">
        <v>9.703471098E9</v>
      </c>
      <c r="W288" s="17" t="s">
        <v>117</v>
      </c>
      <c r="AA288" s="17" t="s">
        <v>109</v>
      </c>
      <c r="AT288" s="17" t="s">
        <v>1242</v>
      </c>
      <c r="AU288" s="17" t="s">
        <v>109</v>
      </c>
      <c r="AV288" s="17" t="s">
        <v>271</v>
      </c>
      <c r="AX288" s="15">
        <v>46069.0</v>
      </c>
      <c r="AY288" s="16">
        <v>0.5208333333357587</v>
      </c>
      <c r="AZ288" s="17" t="s">
        <v>164</v>
      </c>
      <c r="BA288" s="17" t="s">
        <v>458</v>
      </c>
      <c r="BB288" s="17" t="s">
        <v>109</v>
      </c>
      <c r="BP288" s="17" t="s">
        <v>1243</v>
      </c>
      <c r="BR288" s="7" t="str">
        <f t="shared" si="1"/>
        <v>fire and ice bakers </v>
      </c>
    </row>
    <row r="289" ht="22.5" customHeight="1">
      <c r="A289" s="14">
        <v>46065.713594201385</v>
      </c>
      <c r="B289" s="15">
        <v>46065.0</v>
      </c>
      <c r="C289" s="16">
        <v>0.20486111110949423</v>
      </c>
      <c r="U289" s="17" t="s">
        <v>769</v>
      </c>
      <c r="V289" s="17" t="s">
        <v>117</v>
      </c>
      <c r="W289" s="17" t="s">
        <v>117</v>
      </c>
      <c r="X289" s="17" t="s">
        <v>117</v>
      </c>
      <c r="AA289" s="17" t="s">
        <v>109</v>
      </c>
      <c r="AU289" s="17" t="s">
        <v>76</v>
      </c>
      <c r="AV289" s="17" t="s">
        <v>271</v>
      </c>
      <c r="AZ289" s="17" t="s">
        <v>182</v>
      </c>
      <c r="BA289" s="17" t="s">
        <v>458</v>
      </c>
      <c r="BB289" s="17" t="s">
        <v>109</v>
      </c>
      <c r="BP289" s="17" t="s">
        <v>1244</v>
      </c>
      <c r="BR289" s="7" t="str">
        <f t="shared" si="1"/>
        <v>Amrutham</v>
      </c>
    </row>
    <row r="290" ht="22.5" customHeight="1">
      <c r="A290" s="14">
        <v>46065.71485229167</v>
      </c>
      <c r="B290" s="15">
        <v>46065.0</v>
      </c>
      <c r="C290" s="16">
        <v>0.7131944444408873</v>
      </c>
      <c r="U290" s="17" t="s">
        <v>1245</v>
      </c>
      <c r="V290" s="17">
        <v>9.966740877E9</v>
      </c>
      <c r="W290" s="17" t="s">
        <v>117</v>
      </c>
      <c r="AA290" s="17" t="s">
        <v>109</v>
      </c>
      <c r="AU290" s="17" t="s">
        <v>76</v>
      </c>
      <c r="AV290" s="17" t="s">
        <v>472</v>
      </c>
      <c r="AW290" s="17" t="s">
        <v>1246</v>
      </c>
      <c r="AZ290" s="17" t="s">
        <v>164</v>
      </c>
      <c r="BA290" s="17" t="s">
        <v>458</v>
      </c>
      <c r="BB290" s="17" t="s">
        <v>109</v>
      </c>
      <c r="BP290" s="17" t="s">
        <v>1247</v>
      </c>
      <c r="BR290" s="7" t="str">
        <f t="shared" si="1"/>
        <v>surabhi hotel udupi veg </v>
      </c>
    </row>
    <row r="291" ht="22.5" customHeight="1">
      <c r="A291" s="14">
        <v>46065.71571831018</v>
      </c>
      <c r="B291" s="15">
        <v>46065.0</v>
      </c>
      <c r="C291" s="16">
        <v>0.75</v>
      </c>
      <c r="D291" s="17" t="s">
        <v>91</v>
      </c>
      <c r="F291" s="17">
        <v>5.0</v>
      </c>
      <c r="G291" s="17">
        <v>500.0</v>
      </c>
      <c r="H291" s="17" t="s">
        <v>863</v>
      </c>
      <c r="I291" s="17">
        <v>30000.0</v>
      </c>
      <c r="J291" s="17" t="s">
        <v>221</v>
      </c>
      <c r="K291" s="17" t="s">
        <v>134</v>
      </c>
      <c r="L291" s="17">
        <v>22.0</v>
      </c>
      <c r="M291" s="17">
        <v>20.0</v>
      </c>
      <c r="N291" s="17">
        <v>2.0</v>
      </c>
      <c r="O291" s="17" t="s">
        <v>96</v>
      </c>
      <c r="P291" s="17" t="s">
        <v>76</v>
      </c>
      <c r="Q291" s="17" t="s">
        <v>97</v>
      </c>
      <c r="R291" s="17" t="s">
        <v>76</v>
      </c>
      <c r="S291" s="17" t="s">
        <v>388</v>
      </c>
      <c r="U291" s="17" t="s">
        <v>1248</v>
      </c>
      <c r="V291" s="17">
        <v>9.391575027E9</v>
      </c>
      <c r="W291" s="17" t="s">
        <v>388</v>
      </c>
      <c r="AA291" s="17" t="s">
        <v>109</v>
      </c>
      <c r="AU291" s="17" t="s">
        <v>76</v>
      </c>
      <c r="AV291" s="17" t="s">
        <v>472</v>
      </c>
      <c r="AZ291" s="17" t="s">
        <v>131</v>
      </c>
      <c r="BA291" s="17" t="s">
        <v>458</v>
      </c>
      <c r="BB291" s="17" t="s">
        <v>76</v>
      </c>
      <c r="BL291" s="17">
        <v>30.0</v>
      </c>
      <c r="BN291" s="17" t="s">
        <v>865</v>
      </c>
      <c r="BP291" s="17" t="s">
        <v>1249</v>
      </c>
      <c r="BR291" s="7" t="str">
        <f t="shared" si="1"/>
        <v>Shiva Nagi Reddy sweets</v>
      </c>
    </row>
    <row r="292" ht="22.5" customHeight="1">
      <c r="A292" s="14">
        <v>46065.71574015047</v>
      </c>
      <c r="B292" s="15">
        <v>46065.0</v>
      </c>
      <c r="C292" s="16">
        <v>0.7152777777810115</v>
      </c>
      <c r="D292" s="17" t="s">
        <v>91</v>
      </c>
      <c r="F292" s="17">
        <v>60.0</v>
      </c>
      <c r="G292" s="17">
        <v>500.0</v>
      </c>
      <c r="H292" s="17" t="s">
        <v>509</v>
      </c>
      <c r="I292" s="17">
        <v>15000.0</v>
      </c>
      <c r="J292" s="17" t="s">
        <v>167</v>
      </c>
      <c r="K292" s="17" t="s">
        <v>134</v>
      </c>
      <c r="L292" s="17">
        <v>23.0</v>
      </c>
      <c r="M292" s="17">
        <v>18.0</v>
      </c>
      <c r="N292" s="17">
        <v>1.0</v>
      </c>
      <c r="O292" s="17" t="s">
        <v>96</v>
      </c>
      <c r="P292" s="17" t="s">
        <v>76</v>
      </c>
      <c r="Q292" s="17" t="s">
        <v>97</v>
      </c>
      <c r="R292" s="17" t="s">
        <v>109</v>
      </c>
      <c r="S292" s="18" t="s">
        <v>1250</v>
      </c>
      <c r="U292" s="17" t="s">
        <v>1251</v>
      </c>
      <c r="V292" s="17">
        <v>9.100016663E9</v>
      </c>
      <c r="W292" s="17" t="s">
        <v>1252</v>
      </c>
      <c r="AA292" s="17" t="s">
        <v>76</v>
      </c>
      <c r="AB292" s="17">
        <v>1.3625038000099E13</v>
      </c>
      <c r="AC292" s="18" t="s">
        <v>1253</v>
      </c>
      <c r="AD292" s="17" t="s">
        <v>1254</v>
      </c>
      <c r="AE292" s="18" t="s">
        <v>1255</v>
      </c>
      <c r="AS292" s="17" t="s">
        <v>76</v>
      </c>
      <c r="AT292" s="17" t="s">
        <v>586</v>
      </c>
      <c r="AU292" s="17" t="s">
        <v>109</v>
      </c>
      <c r="AZ292" s="17" t="s">
        <v>110</v>
      </c>
      <c r="BA292" s="17" t="s">
        <v>458</v>
      </c>
      <c r="BB292" s="17" t="s">
        <v>76</v>
      </c>
      <c r="BL292" s="17">
        <v>20.0</v>
      </c>
      <c r="BM292" s="17" t="s">
        <v>1256</v>
      </c>
      <c r="BN292" s="17" t="s">
        <v>779</v>
      </c>
      <c r="BP292" s="17" t="s">
        <v>1257</v>
      </c>
      <c r="BR292" s="7" t="str">
        <f t="shared" si="1"/>
        <v>Trinetra Cafe &amp; Restaurant</v>
      </c>
    </row>
    <row r="293" ht="22.5" customHeight="1">
      <c r="A293" s="14">
        <v>46065.718287881944</v>
      </c>
      <c r="B293" s="15">
        <v>46065.0</v>
      </c>
      <c r="C293" s="16">
        <v>0.625</v>
      </c>
      <c r="D293" s="17" t="s">
        <v>91</v>
      </c>
      <c r="F293" s="17">
        <v>34.0</v>
      </c>
      <c r="G293" s="17">
        <v>250.0</v>
      </c>
      <c r="H293" s="17" t="s">
        <v>863</v>
      </c>
      <c r="I293" s="17">
        <v>20000.0</v>
      </c>
      <c r="J293" s="17" t="s">
        <v>221</v>
      </c>
      <c r="K293" s="17" t="s">
        <v>134</v>
      </c>
      <c r="L293" s="17">
        <v>22.0</v>
      </c>
      <c r="M293" s="17">
        <v>20.0</v>
      </c>
      <c r="N293" s="17">
        <v>1.0</v>
      </c>
      <c r="O293" s="17" t="s">
        <v>135</v>
      </c>
      <c r="P293" s="17" t="s">
        <v>76</v>
      </c>
      <c r="Q293" s="17" t="s">
        <v>97</v>
      </c>
      <c r="R293" s="17" t="s">
        <v>76</v>
      </c>
      <c r="S293" s="17" t="s">
        <v>388</v>
      </c>
      <c r="U293" s="17" t="s">
        <v>1258</v>
      </c>
      <c r="V293" s="17">
        <v>7.981956278E9</v>
      </c>
      <c r="W293" s="17" t="s">
        <v>1259</v>
      </c>
      <c r="X293" s="17" t="s">
        <v>1260</v>
      </c>
      <c r="Y293" s="17">
        <v>9.290643848E9</v>
      </c>
      <c r="AA293" s="17" t="s">
        <v>109</v>
      </c>
      <c r="AU293" s="17" t="s">
        <v>76</v>
      </c>
      <c r="AV293" s="17" t="s">
        <v>271</v>
      </c>
      <c r="AZ293" s="17" t="s">
        <v>131</v>
      </c>
      <c r="BA293" s="17" t="s">
        <v>458</v>
      </c>
      <c r="BB293" s="17" t="s">
        <v>76</v>
      </c>
      <c r="BL293" s="17">
        <v>20.0</v>
      </c>
      <c r="BN293" s="17" t="s">
        <v>865</v>
      </c>
      <c r="BP293" s="17" t="s">
        <v>1261</v>
      </c>
      <c r="BR293" s="7" t="str">
        <f t="shared" si="1"/>
        <v>Koduris kitchen </v>
      </c>
    </row>
    <row r="294" ht="22.5" customHeight="1">
      <c r="A294" s="14">
        <v>46065.72022491899</v>
      </c>
      <c r="B294" s="15">
        <v>46065.0</v>
      </c>
      <c r="C294" s="16">
        <v>0.6666666666642413</v>
      </c>
      <c r="D294" s="17" t="s">
        <v>91</v>
      </c>
      <c r="F294" s="17">
        <v>30.0</v>
      </c>
      <c r="G294" s="17">
        <v>150.0</v>
      </c>
      <c r="H294" s="17" t="s">
        <v>388</v>
      </c>
      <c r="I294" s="17">
        <v>30000.0</v>
      </c>
      <c r="J294" s="17" t="s">
        <v>221</v>
      </c>
      <c r="K294" s="17" t="s">
        <v>273</v>
      </c>
      <c r="L294" s="17">
        <v>22.0</v>
      </c>
      <c r="M294" s="17">
        <v>20.0</v>
      </c>
      <c r="N294" s="17">
        <v>1.0</v>
      </c>
      <c r="O294" s="17" t="s">
        <v>96</v>
      </c>
      <c r="P294" s="17" t="s">
        <v>76</v>
      </c>
      <c r="Q294" s="17" t="s">
        <v>97</v>
      </c>
      <c r="R294" s="17" t="s">
        <v>76</v>
      </c>
      <c r="S294" s="17" t="s">
        <v>388</v>
      </c>
      <c r="U294" s="17" t="s">
        <v>1008</v>
      </c>
      <c r="V294" s="20" t="s">
        <v>1262</v>
      </c>
      <c r="W294" s="17" t="s">
        <v>388</v>
      </c>
      <c r="AA294" s="17" t="s">
        <v>109</v>
      </c>
      <c r="AU294" s="17" t="s">
        <v>76</v>
      </c>
      <c r="AV294" s="17" t="s">
        <v>88</v>
      </c>
      <c r="AZ294" s="17" t="s">
        <v>131</v>
      </c>
      <c r="BA294" s="17" t="s">
        <v>458</v>
      </c>
      <c r="BB294" s="17" t="s">
        <v>76</v>
      </c>
      <c r="BL294" s="17">
        <v>50.0</v>
      </c>
      <c r="BN294" s="17" t="s">
        <v>865</v>
      </c>
      <c r="BP294" s="17" t="s">
        <v>1263</v>
      </c>
      <c r="BR294" s="7" t="str">
        <f t="shared" si="1"/>
        <v>Bamma tiffins </v>
      </c>
    </row>
    <row r="295" ht="22.5" customHeight="1">
      <c r="A295" s="14">
        <v>46065.720733194445</v>
      </c>
      <c r="B295" s="15">
        <v>46065.0</v>
      </c>
      <c r="C295" s="16">
        <v>0.211111111115315</v>
      </c>
      <c r="D295" s="17" t="s">
        <v>91</v>
      </c>
      <c r="F295" s="17">
        <v>1.0</v>
      </c>
      <c r="G295" s="17">
        <v>100.0</v>
      </c>
      <c r="H295" s="17" t="s">
        <v>388</v>
      </c>
      <c r="J295" s="17" t="s">
        <v>221</v>
      </c>
      <c r="K295" s="17" t="s">
        <v>95</v>
      </c>
      <c r="N295" s="17">
        <v>1.0</v>
      </c>
      <c r="O295" s="17" t="s">
        <v>1264</v>
      </c>
      <c r="P295" s="17" t="s">
        <v>76</v>
      </c>
      <c r="Q295" s="17" t="s">
        <v>98</v>
      </c>
      <c r="R295" s="17" t="s">
        <v>109</v>
      </c>
      <c r="S295" s="17" t="s">
        <v>1265</v>
      </c>
      <c r="U295" s="17" t="s">
        <v>1266</v>
      </c>
      <c r="V295" s="17" t="s">
        <v>1267</v>
      </c>
      <c r="W295" s="17" t="s">
        <v>388</v>
      </c>
      <c r="AA295" s="17" t="s">
        <v>109</v>
      </c>
      <c r="AU295" s="17" t="s">
        <v>76</v>
      </c>
      <c r="AV295" s="17" t="s">
        <v>373</v>
      </c>
      <c r="AZ295" s="17" t="s">
        <v>182</v>
      </c>
      <c r="BA295" s="17" t="s">
        <v>458</v>
      </c>
      <c r="BB295" s="17" t="s">
        <v>76</v>
      </c>
      <c r="BP295" s="17" t="s">
        <v>1268</v>
      </c>
      <c r="BR295" s="7" t="str">
        <f t="shared" si="1"/>
        <v>Urban Franky </v>
      </c>
    </row>
    <row r="296" ht="22.5" customHeight="1">
      <c r="A296" s="14">
        <v>46065.72349231481</v>
      </c>
      <c r="B296" s="15">
        <v>46065.0</v>
      </c>
      <c r="C296" s="16">
        <v>0.22916666666424135</v>
      </c>
      <c r="U296" s="17" t="s">
        <v>1269</v>
      </c>
      <c r="V296" s="17">
        <v>9.966627E9</v>
      </c>
      <c r="W296" s="17" t="s">
        <v>388</v>
      </c>
      <c r="AA296" s="17" t="s">
        <v>109</v>
      </c>
      <c r="AU296" s="17" t="s">
        <v>76</v>
      </c>
      <c r="AV296" s="17" t="s">
        <v>472</v>
      </c>
      <c r="AZ296" s="17" t="s">
        <v>110</v>
      </c>
      <c r="BA296" s="17" t="s">
        <v>458</v>
      </c>
      <c r="BB296" s="17" t="s">
        <v>109</v>
      </c>
      <c r="BP296" s="17" t="s">
        <v>1270</v>
      </c>
      <c r="BR296" s="7" t="str">
        <f t="shared" si="1"/>
        <v>Raja Rani Ruchulu</v>
      </c>
    </row>
    <row r="297" ht="22.5" customHeight="1">
      <c r="A297" s="14">
        <v>46065.726881979164</v>
      </c>
      <c r="B297" s="15">
        <v>46065.0</v>
      </c>
      <c r="C297" s="16">
        <v>0.6965277777781012</v>
      </c>
      <c r="D297" s="17" t="s">
        <v>111</v>
      </c>
      <c r="T297" s="17" t="s">
        <v>1271</v>
      </c>
      <c r="U297" s="17" t="s">
        <v>1272</v>
      </c>
      <c r="V297" s="17">
        <v>9.959223649E9</v>
      </c>
      <c r="W297" s="17" t="s">
        <v>1273</v>
      </c>
      <c r="AA297" s="17" t="s">
        <v>76</v>
      </c>
      <c r="AB297" s="17">
        <v>2.3625032003903E13</v>
      </c>
      <c r="AC297" s="18" t="s">
        <v>1274</v>
      </c>
      <c r="AD297" s="17" t="s">
        <v>1275</v>
      </c>
      <c r="AE297" s="18" t="s">
        <v>1276</v>
      </c>
      <c r="AF297" s="17" t="s">
        <v>1277</v>
      </c>
      <c r="AG297" s="18" t="s">
        <v>1278</v>
      </c>
      <c r="AH297" s="17" t="s">
        <v>1279</v>
      </c>
      <c r="AI297" s="18" t="s">
        <v>1280</v>
      </c>
      <c r="AK297" s="18" t="s">
        <v>1281</v>
      </c>
      <c r="AL297" s="17">
        <v>3.8920550013E11</v>
      </c>
      <c r="AM297" s="17" t="s">
        <v>1282</v>
      </c>
      <c r="AN297" s="17" t="s">
        <v>146</v>
      </c>
      <c r="AO297" s="17" t="s">
        <v>1283</v>
      </c>
      <c r="AP297" s="17">
        <v>9.959223649E9</v>
      </c>
      <c r="AQ297" s="17" t="s">
        <v>1273</v>
      </c>
      <c r="AR297" s="17" t="s">
        <v>1284</v>
      </c>
      <c r="AS297" s="17" t="s">
        <v>76</v>
      </c>
      <c r="AT297" s="17" t="s">
        <v>593</v>
      </c>
      <c r="AU297" s="17" t="s">
        <v>109</v>
      </c>
      <c r="AZ297" s="17" t="s">
        <v>243</v>
      </c>
      <c r="BA297" s="17" t="s">
        <v>458</v>
      </c>
      <c r="BB297" s="17" t="s">
        <v>76</v>
      </c>
      <c r="BC297" s="17" t="s">
        <v>1285</v>
      </c>
      <c r="BF297" s="17">
        <v>8.979923649E9</v>
      </c>
      <c r="BG297" s="17" t="s">
        <v>1286</v>
      </c>
      <c r="BH297" s="21">
        <v>0.19</v>
      </c>
      <c r="BI297" s="17" t="s">
        <v>109</v>
      </c>
      <c r="BJ297" s="16">
        <v>0.5</v>
      </c>
      <c r="BK297" s="16">
        <v>0.0</v>
      </c>
      <c r="BM297" s="17" t="s">
        <v>1287</v>
      </c>
      <c r="BP297" s="17" t="s">
        <v>1271</v>
      </c>
      <c r="BR297" s="7" t="str">
        <f t="shared" si="1"/>
        <v>Suryakantham Military HotelSuryakantham Military Hotel</v>
      </c>
    </row>
    <row r="298" ht="22.5" customHeight="1">
      <c r="A298" s="14">
        <v>46065.73277048611</v>
      </c>
      <c r="B298" s="15">
        <v>46065.0</v>
      </c>
      <c r="C298" s="16">
        <v>0.22708333333139308</v>
      </c>
      <c r="U298" s="17" t="s">
        <v>1288</v>
      </c>
      <c r="V298" s="17" t="s">
        <v>1289</v>
      </c>
      <c r="W298" s="17" t="s">
        <v>117</v>
      </c>
      <c r="AA298" s="17" t="s">
        <v>109</v>
      </c>
      <c r="AU298" s="17" t="s">
        <v>76</v>
      </c>
      <c r="AV298" s="17" t="s">
        <v>271</v>
      </c>
      <c r="AZ298" s="17" t="s">
        <v>182</v>
      </c>
      <c r="BA298" s="17" t="s">
        <v>458</v>
      </c>
      <c r="BB298" s="17" t="s">
        <v>109</v>
      </c>
      <c r="BP298" s="17" t="s">
        <v>1290</v>
      </c>
      <c r="BR298" s="7" t="str">
        <f t="shared" si="1"/>
        <v>Palle Vindu Dosa </v>
      </c>
    </row>
    <row r="299" ht="22.5" customHeight="1">
      <c r="A299" s="14">
        <v>46065.73468459491</v>
      </c>
      <c r="B299" s="15">
        <v>46065.0</v>
      </c>
      <c r="C299" s="16">
        <v>0.22847222222480923</v>
      </c>
      <c r="U299" s="17" t="s">
        <v>1291</v>
      </c>
      <c r="V299" s="17" t="s">
        <v>1292</v>
      </c>
      <c r="W299" s="17" t="s">
        <v>117</v>
      </c>
      <c r="AA299" s="17" t="s">
        <v>109</v>
      </c>
      <c r="AU299" s="17" t="s">
        <v>76</v>
      </c>
      <c r="AV299" s="17" t="s">
        <v>88</v>
      </c>
      <c r="AZ299" s="17" t="s">
        <v>182</v>
      </c>
      <c r="BA299" s="17" t="s">
        <v>458</v>
      </c>
      <c r="BB299" s="17" t="s">
        <v>109</v>
      </c>
      <c r="BP299" s="17" t="s">
        <v>1293</v>
      </c>
      <c r="BR299" s="7" t="str">
        <f t="shared" si="1"/>
        <v>A1 shawarma bites </v>
      </c>
    </row>
    <row r="300" ht="22.5" customHeight="1">
      <c r="A300" s="14">
        <v>46065.736503657405</v>
      </c>
      <c r="B300" s="15">
        <v>46065.0</v>
      </c>
      <c r="C300" s="16">
        <v>0.6666666666642413</v>
      </c>
      <c r="U300" s="17" t="s">
        <v>1294</v>
      </c>
      <c r="V300" s="17">
        <v>8.80129776E9</v>
      </c>
      <c r="W300" s="17" t="s">
        <v>388</v>
      </c>
      <c r="AA300" s="17" t="s">
        <v>109</v>
      </c>
      <c r="AU300" s="17" t="s">
        <v>76</v>
      </c>
      <c r="AV300" s="17" t="s">
        <v>88</v>
      </c>
      <c r="AX300" s="15">
        <v>46066.0</v>
      </c>
      <c r="AY300" s="16">
        <v>0.45833333333575865</v>
      </c>
      <c r="AZ300" s="17" t="s">
        <v>131</v>
      </c>
      <c r="BA300" s="17" t="s">
        <v>458</v>
      </c>
      <c r="BB300" s="17" t="s">
        <v>109</v>
      </c>
      <c r="BP300" s="17" t="s">
        <v>1295</v>
      </c>
      <c r="BR300" s="7" t="str">
        <f t="shared" si="1"/>
        <v>Yummy Feast</v>
      </c>
    </row>
    <row r="301" ht="22.5" customHeight="1">
      <c r="A301" s="14">
        <v>46065.73955300926</v>
      </c>
      <c r="B301" s="15">
        <v>46065.0</v>
      </c>
      <c r="C301" s="16">
        <v>0.6666666666642413</v>
      </c>
      <c r="D301" s="17" t="s">
        <v>91</v>
      </c>
      <c r="F301" s="17">
        <v>25.0</v>
      </c>
      <c r="G301" s="17">
        <v>300.0</v>
      </c>
      <c r="H301" s="17" t="s">
        <v>863</v>
      </c>
      <c r="I301" s="17">
        <v>20000.0</v>
      </c>
      <c r="J301" s="17" t="s">
        <v>221</v>
      </c>
      <c r="K301" s="17" t="s">
        <v>273</v>
      </c>
      <c r="N301" s="17">
        <v>1.0</v>
      </c>
      <c r="O301" s="17" t="s">
        <v>96</v>
      </c>
      <c r="P301" s="17" t="s">
        <v>76</v>
      </c>
      <c r="Q301" s="17" t="s">
        <v>97</v>
      </c>
      <c r="R301" s="17" t="s">
        <v>109</v>
      </c>
      <c r="S301" s="17" t="s">
        <v>388</v>
      </c>
      <c r="U301" s="17" t="s">
        <v>751</v>
      </c>
      <c r="V301" s="17">
        <v>9.06906404E9</v>
      </c>
      <c r="W301" s="17" t="s">
        <v>388</v>
      </c>
      <c r="AA301" s="17" t="s">
        <v>109</v>
      </c>
      <c r="AU301" s="17" t="s">
        <v>76</v>
      </c>
      <c r="AV301" s="17" t="s">
        <v>271</v>
      </c>
      <c r="AZ301" s="17" t="s">
        <v>131</v>
      </c>
      <c r="BA301" s="17" t="s">
        <v>458</v>
      </c>
      <c r="BB301" s="17" t="s">
        <v>76</v>
      </c>
      <c r="BL301" s="17">
        <v>40.0</v>
      </c>
      <c r="BN301" s="17" t="s">
        <v>865</v>
      </c>
      <c r="BP301" s="17" t="s">
        <v>1296</v>
      </c>
      <c r="BR301" s="7" t="str">
        <f t="shared" si="1"/>
        <v>Hut-K Biryani </v>
      </c>
    </row>
    <row r="302" ht="22.5" customHeight="1">
      <c r="A302" s="14">
        <v>46065.74285347223</v>
      </c>
      <c r="B302" s="15">
        <v>46065.0</v>
      </c>
      <c r="C302" s="16">
        <v>0.2381944444423425</v>
      </c>
      <c r="D302" s="17" t="s">
        <v>91</v>
      </c>
      <c r="F302" s="17">
        <v>1.0</v>
      </c>
      <c r="G302" s="17">
        <v>130.0</v>
      </c>
      <c r="H302" s="17" t="s">
        <v>765</v>
      </c>
      <c r="J302" s="17" t="s">
        <v>221</v>
      </c>
      <c r="K302" s="17" t="s">
        <v>134</v>
      </c>
      <c r="N302" s="17">
        <v>1.0</v>
      </c>
      <c r="O302" s="17" t="s">
        <v>96</v>
      </c>
      <c r="P302" s="17" t="s">
        <v>76</v>
      </c>
      <c r="Q302" s="17" t="s">
        <v>97</v>
      </c>
      <c r="R302" s="17" t="s">
        <v>109</v>
      </c>
      <c r="S302" s="17" t="s">
        <v>1297</v>
      </c>
      <c r="U302" s="17" t="s">
        <v>1298</v>
      </c>
      <c r="V302" s="17" t="s">
        <v>1299</v>
      </c>
      <c r="W302" s="17" t="s">
        <v>388</v>
      </c>
      <c r="AA302" s="17" t="s">
        <v>109</v>
      </c>
      <c r="AU302" s="17" t="s">
        <v>76</v>
      </c>
      <c r="AV302" s="17" t="s">
        <v>271</v>
      </c>
      <c r="AZ302" s="17" t="s">
        <v>182</v>
      </c>
      <c r="BA302" s="17" t="s">
        <v>458</v>
      </c>
      <c r="BB302" s="17" t="s">
        <v>76</v>
      </c>
      <c r="BL302" s="17">
        <v>20.0</v>
      </c>
      <c r="BP302" s="17" t="s">
        <v>1300</v>
      </c>
      <c r="BR302" s="7" t="str">
        <f t="shared" si="1"/>
        <v>Great Britain waffle </v>
      </c>
    </row>
    <row r="303" ht="22.5" customHeight="1">
      <c r="A303" s="14">
        <v>46065.74693033565</v>
      </c>
      <c r="B303" s="15">
        <v>46065.0</v>
      </c>
      <c r="C303" s="16">
        <v>0.75</v>
      </c>
      <c r="D303" s="17" t="s">
        <v>111</v>
      </c>
      <c r="T303" s="17" t="s">
        <v>1301</v>
      </c>
      <c r="U303" s="17" t="s">
        <v>1302</v>
      </c>
      <c r="V303" s="17">
        <v>7.659856207E9</v>
      </c>
      <c r="W303" s="17" t="s">
        <v>769</v>
      </c>
      <c r="AA303" s="17" t="s">
        <v>109</v>
      </c>
      <c r="AU303" s="17" t="s">
        <v>76</v>
      </c>
      <c r="AV303" s="17" t="s">
        <v>271</v>
      </c>
      <c r="AZ303" s="17" t="s">
        <v>115</v>
      </c>
      <c r="BA303" s="17" t="s">
        <v>458</v>
      </c>
      <c r="BB303" s="17" t="s">
        <v>76</v>
      </c>
      <c r="BP303" s="17" t="s">
        <v>1303</v>
      </c>
      <c r="BR303" s="7" t="str">
        <f t="shared" si="1"/>
        <v>Ritvikas kitchenRitvikas kitchen </v>
      </c>
    </row>
    <row r="304" ht="22.5" customHeight="1">
      <c r="A304" s="14">
        <v>46065.75606861111</v>
      </c>
      <c r="B304" s="15">
        <v>46065.0</v>
      </c>
      <c r="C304" s="16">
        <v>0.2548611111124046</v>
      </c>
      <c r="U304" s="17" t="s">
        <v>117</v>
      </c>
      <c r="V304" s="17" t="s">
        <v>1304</v>
      </c>
      <c r="W304" s="17" t="s">
        <v>117</v>
      </c>
      <c r="X304" s="17" t="s">
        <v>117</v>
      </c>
      <c r="AA304" s="17" t="s">
        <v>109</v>
      </c>
      <c r="AU304" s="17" t="s">
        <v>76</v>
      </c>
      <c r="AV304" s="17" t="s">
        <v>271</v>
      </c>
      <c r="AZ304" s="17" t="s">
        <v>182</v>
      </c>
      <c r="BA304" s="17" t="s">
        <v>458</v>
      </c>
      <c r="BB304" s="17" t="s">
        <v>109</v>
      </c>
      <c r="BP304" s="17" t="s">
        <v>1305</v>
      </c>
      <c r="BR304" s="7" t="str">
        <f t="shared" si="1"/>
        <v>Sweet Stories</v>
      </c>
    </row>
    <row r="305" ht="22.5" customHeight="1">
      <c r="A305" s="14">
        <v>46065.75722678241</v>
      </c>
      <c r="B305" s="15">
        <v>46065.0</v>
      </c>
      <c r="C305" s="16">
        <v>0.75</v>
      </c>
      <c r="D305" s="17" t="s">
        <v>111</v>
      </c>
      <c r="T305" s="17" t="s">
        <v>1306</v>
      </c>
      <c r="U305" s="17" t="s">
        <v>1307</v>
      </c>
      <c r="V305" s="17">
        <v>9.536442345E9</v>
      </c>
      <c r="W305" s="17" t="s">
        <v>769</v>
      </c>
      <c r="AA305" s="17" t="s">
        <v>109</v>
      </c>
      <c r="AU305" s="17" t="s">
        <v>76</v>
      </c>
      <c r="AV305" s="17" t="s">
        <v>373</v>
      </c>
      <c r="AX305" s="15">
        <v>46066.0</v>
      </c>
      <c r="AY305" s="16">
        <v>0.47916666666424135</v>
      </c>
      <c r="AZ305" s="17" t="s">
        <v>115</v>
      </c>
      <c r="BA305" s="17" t="s">
        <v>458</v>
      </c>
      <c r="BB305" s="17" t="s">
        <v>76</v>
      </c>
      <c r="BP305" s="17" t="s">
        <v>1308</v>
      </c>
      <c r="BR305" s="7" t="str">
        <f t="shared" si="1"/>
        <v>Naidu gari kunda biryani Naidu gari kunda biryani</v>
      </c>
    </row>
    <row r="306" ht="22.5" customHeight="1">
      <c r="A306" s="14">
        <v>46065.7577889699</v>
      </c>
      <c r="B306" s="15">
        <v>46065.0</v>
      </c>
      <c r="C306" s="16">
        <v>0.25</v>
      </c>
      <c r="U306" s="17" t="s">
        <v>117</v>
      </c>
      <c r="V306" s="17" t="s">
        <v>117</v>
      </c>
      <c r="W306" s="17" t="s">
        <v>117</v>
      </c>
      <c r="AA306" s="17" t="s">
        <v>109</v>
      </c>
      <c r="AU306" s="17" t="s">
        <v>76</v>
      </c>
      <c r="AV306" s="17" t="s">
        <v>472</v>
      </c>
      <c r="AX306" s="15">
        <v>46066.0</v>
      </c>
      <c r="AY306" s="16">
        <v>0.08333333333575865</v>
      </c>
      <c r="AZ306" s="17" t="s">
        <v>182</v>
      </c>
      <c r="BA306" s="17" t="s">
        <v>458</v>
      </c>
      <c r="BB306" s="17" t="s">
        <v>109</v>
      </c>
      <c r="BP306" s="17" t="s">
        <v>1309</v>
      </c>
      <c r="BR306" s="7" t="str">
        <f t="shared" si="1"/>
        <v>Old A1 Restraunt </v>
      </c>
    </row>
    <row r="307" ht="22.5" customHeight="1">
      <c r="A307" s="14">
        <v>46065.7639787963</v>
      </c>
      <c r="B307" s="15">
        <v>46065.0</v>
      </c>
      <c r="C307" s="16">
        <v>0.25</v>
      </c>
      <c r="D307" s="17" t="s">
        <v>111</v>
      </c>
      <c r="T307" s="17" t="s">
        <v>1310</v>
      </c>
      <c r="U307" s="17" t="s">
        <v>597</v>
      </c>
      <c r="V307" s="17">
        <v>9.948505639E9</v>
      </c>
      <c r="W307" s="17" t="s">
        <v>388</v>
      </c>
      <c r="AA307" s="17" t="s">
        <v>109</v>
      </c>
      <c r="AU307" s="17" t="s">
        <v>76</v>
      </c>
      <c r="AV307" s="17" t="s">
        <v>373</v>
      </c>
      <c r="AW307" s="17" t="s">
        <v>1311</v>
      </c>
      <c r="AX307" s="15">
        <v>46066.0</v>
      </c>
      <c r="AY307" s="16">
        <v>0.25</v>
      </c>
      <c r="AZ307" s="17" t="s">
        <v>356</v>
      </c>
      <c r="BA307" s="17" t="s">
        <v>491</v>
      </c>
      <c r="BP307" s="17" t="s">
        <v>1312</v>
      </c>
      <c r="BR307" s="7" t="str">
        <f t="shared" si="1"/>
        <v>Kakatiyya TuffinsKakatiyya tiffins</v>
      </c>
    </row>
    <row r="308" ht="22.5" customHeight="1">
      <c r="A308" s="14">
        <v>46065.7767612037</v>
      </c>
      <c r="B308" s="15">
        <v>46065.0</v>
      </c>
      <c r="C308" s="16">
        <v>0.7708333333357587</v>
      </c>
      <c r="U308" s="17" t="s">
        <v>1313</v>
      </c>
      <c r="V308" s="17" t="s">
        <v>1314</v>
      </c>
      <c r="W308" s="17" t="s">
        <v>769</v>
      </c>
      <c r="AA308" s="17" t="s">
        <v>109</v>
      </c>
      <c r="AU308" s="17" t="s">
        <v>76</v>
      </c>
      <c r="AZ308" s="17" t="s">
        <v>115</v>
      </c>
      <c r="BA308" s="17" t="s">
        <v>458</v>
      </c>
      <c r="BB308" s="17" t="s">
        <v>109</v>
      </c>
      <c r="BP308" s="17" t="s">
        <v>1315</v>
      </c>
      <c r="BR308" s="7" t="str">
        <f t="shared" si="1"/>
        <v>Bahar cafe</v>
      </c>
    </row>
    <row r="309" ht="22.5" customHeight="1">
      <c r="A309" s="14">
        <v>46065.78367534722</v>
      </c>
      <c r="B309" s="15">
        <v>46065.0</v>
      </c>
      <c r="C309" s="16">
        <v>0.7291666666642413</v>
      </c>
      <c r="D309" s="17" t="s">
        <v>111</v>
      </c>
      <c r="T309" s="17" t="s">
        <v>1316</v>
      </c>
      <c r="U309" s="17" t="s">
        <v>1317</v>
      </c>
      <c r="V309" s="17">
        <v>8.12565211E9</v>
      </c>
      <c r="W309" s="17" t="s">
        <v>117</v>
      </c>
      <c r="AA309" s="17" t="s">
        <v>109</v>
      </c>
      <c r="AU309" s="17" t="s">
        <v>76</v>
      </c>
      <c r="AV309" s="17" t="s">
        <v>472</v>
      </c>
      <c r="AW309" s="17" t="s">
        <v>1318</v>
      </c>
      <c r="AX309" s="15">
        <v>46066.0</v>
      </c>
      <c r="AY309" s="16">
        <v>0.625</v>
      </c>
      <c r="AZ309" s="17" t="s">
        <v>164</v>
      </c>
      <c r="BA309" s="17" t="s">
        <v>491</v>
      </c>
      <c r="BP309" s="17" t="s">
        <v>1316</v>
      </c>
      <c r="BR309" s="7" t="str">
        <f t="shared" si="1"/>
        <v>CAFE 555 AND AQEEQ RESTAURANTCAFE 555 AND AQEEQ RESTAURANT</v>
      </c>
    </row>
    <row r="310" ht="22.5" customHeight="1">
      <c r="A310" s="14">
        <v>46065.785473194446</v>
      </c>
      <c r="B310" s="15">
        <v>46065.0</v>
      </c>
      <c r="C310" s="16">
        <v>0.75</v>
      </c>
      <c r="U310" s="17" t="s">
        <v>1319</v>
      </c>
      <c r="V310" s="17">
        <v>9.908602056E9</v>
      </c>
      <c r="W310" s="17" t="s">
        <v>117</v>
      </c>
      <c r="AA310" s="17" t="s">
        <v>109</v>
      </c>
      <c r="AU310" s="17" t="s">
        <v>76</v>
      </c>
      <c r="AV310" s="17" t="s">
        <v>373</v>
      </c>
      <c r="AW310" s="17" t="s">
        <v>1320</v>
      </c>
      <c r="AX310" s="15">
        <v>46065.0</v>
      </c>
      <c r="AY310" s="16">
        <v>0.7083333333357587</v>
      </c>
      <c r="AZ310" s="17" t="s">
        <v>164</v>
      </c>
      <c r="BA310" s="17" t="s">
        <v>458</v>
      </c>
      <c r="BB310" s="17" t="s">
        <v>109</v>
      </c>
      <c r="BP310" s="17" t="s">
        <v>1321</v>
      </c>
      <c r="BR310" s="7" t="str">
        <f t="shared" si="1"/>
        <v>imperial  multicuisine restaurant</v>
      </c>
    </row>
    <row r="311" ht="22.5" customHeight="1">
      <c r="A311" s="14">
        <v>46065.788010833334</v>
      </c>
      <c r="B311" s="15">
        <v>46065.0</v>
      </c>
      <c r="C311" s="16">
        <v>0.7493055555532919</v>
      </c>
      <c r="U311" s="17" t="s">
        <v>1322</v>
      </c>
      <c r="V311" s="17">
        <v>8.121764465E9</v>
      </c>
      <c r="W311" s="17" t="s">
        <v>113</v>
      </c>
      <c r="AA311" s="17" t="s">
        <v>109</v>
      </c>
      <c r="AU311" s="17" t="s">
        <v>76</v>
      </c>
      <c r="AV311" s="17" t="s">
        <v>472</v>
      </c>
      <c r="AW311" s="17" t="s">
        <v>1323</v>
      </c>
      <c r="AZ311" s="17" t="s">
        <v>243</v>
      </c>
      <c r="BA311" s="17" t="s">
        <v>458</v>
      </c>
      <c r="BB311" s="17" t="s">
        <v>109</v>
      </c>
      <c r="BP311" s="17" t="s">
        <v>1324</v>
      </c>
      <c r="BR311" s="7" t="str">
        <f t="shared" si="1"/>
        <v>AN TE RA KITCHEN AND BAR</v>
      </c>
    </row>
    <row r="312" ht="22.5" customHeight="1">
      <c r="A312" s="14">
        <v>46066.480941898146</v>
      </c>
      <c r="B312" s="15">
        <v>46066.0</v>
      </c>
      <c r="C312" s="16">
        <v>0.4770833333313931</v>
      </c>
      <c r="U312" s="17" t="s">
        <v>597</v>
      </c>
      <c r="V312" s="17">
        <v>8.31769626E9</v>
      </c>
      <c r="W312" s="17" t="s">
        <v>117</v>
      </c>
      <c r="AA312" s="17" t="s">
        <v>109</v>
      </c>
      <c r="AU312" s="17" t="s">
        <v>76</v>
      </c>
      <c r="AV312" s="17" t="s">
        <v>373</v>
      </c>
      <c r="AX312" s="15">
        <v>46066.0</v>
      </c>
      <c r="AY312" s="16">
        <v>0.5416666666642413</v>
      </c>
      <c r="AZ312" s="17" t="s">
        <v>287</v>
      </c>
      <c r="BA312" s="17" t="s">
        <v>458</v>
      </c>
      <c r="BB312" s="17" t="s">
        <v>109</v>
      </c>
      <c r="BP312" s="17" t="s">
        <v>1325</v>
      </c>
      <c r="BR312" s="7" t="str">
        <f t="shared" si="1"/>
        <v>Amogha</v>
      </c>
    </row>
    <row r="313" ht="22.5" customHeight="1">
      <c r="A313" s="14">
        <v>46066.486849293986</v>
      </c>
      <c r="B313" s="15">
        <v>46066.0</v>
      </c>
      <c r="C313" s="16">
        <v>0.48541666666278616</v>
      </c>
      <c r="U313" s="17" t="s">
        <v>950</v>
      </c>
      <c r="V313" s="17">
        <v>8.074793426E9</v>
      </c>
      <c r="W313" s="17" t="s">
        <v>388</v>
      </c>
      <c r="AA313" s="17" t="s">
        <v>109</v>
      </c>
      <c r="AU313" s="17" t="s">
        <v>76</v>
      </c>
      <c r="AV313" s="17" t="s">
        <v>472</v>
      </c>
      <c r="AW313" s="17" t="s">
        <v>1326</v>
      </c>
      <c r="AZ313" s="17" t="s">
        <v>243</v>
      </c>
      <c r="BA313" s="17" t="s">
        <v>458</v>
      </c>
      <c r="BB313" s="17" t="s">
        <v>109</v>
      </c>
      <c r="BP313" s="17" t="s">
        <v>1327</v>
      </c>
      <c r="BR313" s="7" t="str">
        <f t="shared" si="1"/>
        <v>Shanghai chef </v>
      </c>
    </row>
    <row r="314" ht="22.5" customHeight="1">
      <c r="A314" s="14">
        <v>46066.50557648148</v>
      </c>
      <c r="B314" s="15">
        <v>46066.0</v>
      </c>
      <c r="C314" s="16">
        <v>0.5020833333328483</v>
      </c>
      <c r="D314" s="17" t="s">
        <v>91</v>
      </c>
      <c r="F314" s="17">
        <v>20.0</v>
      </c>
      <c r="G314" s="17">
        <v>200.0</v>
      </c>
      <c r="H314" s="17" t="s">
        <v>388</v>
      </c>
      <c r="J314" s="17" t="s">
        <v>94</v>
      </c>
      <c r="K314" s="17" t="s">
        <v>134</v>
      </c>
      <c r="N314" s="17">
        <v>48.0</v>
      </c>
      <c r="O314" s="17" t="s">
        <v>388</v>
      </c>
      <c r="P314" s="17" t="s">
        <v>76</v>
      </c>
      <c r="Q314" s="17" t="s">
        <v>97</v>
      </c>
      <c r="R314" s="17" t="s">
        <v>109</v>
      </c>
      <c r="S314" s="17" t="s">
        <v>1328</v>
      </c>
      <c r="U314" s="17" t="s">
        <v>1329</v>
      </c>
      <c r="V314" s="17">
        <v>7.569890018E9</v>
      </c>
      <c r="W314" s="17" t="s">
        <v>388</v>
      </c>
      <c r="AA314" s="17" t="s">
        <v>109</v>
      </c>
      <c r="AT314" s="17" t="s">
        <v>1330</v>
      </c>
      <c r="AU314" s="17" t="s">
        <v>109</v>
      </c>
      <c r="AV314" s="17" t="s">
        <v>472</v>
      </c>
      <c r="AW314" s="17" t="s">
        <v>1331</v>
      </c>
      <c r="AZ314" s="17" t="s">
        <v>243</v>
      </c>
      <c r="BA314" s="17" t="s">
        <v>458</v>
      </c>
      <c r="BB314" s="17" t="s">
        <v>76</v>
      </c>
      <c r="BP314" s="17" t="s">
        <v>1332</v>
      </c>
      <c r="BR314" s="7" t="str">
        <f t="shared" si="1"/>
        <v>Wow momo</v>
      </c>
    </row>
    <row r="315" ht="22.5" customHeight="1">
      <c r="A315" s="14">
        <v>46066.50813307871</v>
      </c>
      <c r="B315" s="15">
        <v>46066.0</v>
      </c>
      <c r="C315" s="16">
        <v>0.5069444444452529</v>
      </c>
      <c r="U315" s="17" t="s">
        <v>1333</v>
      </c>
      <c r="V315" s="17">
        <v>8.179514738E9</v>
      </c>
      <c r="W315" s="17" t="s">
        <v>388</v>
      </c>
      <c r="AA315" s="17" t="s">
        <v>109</v>
      </c>
      <c r="AU315" s="17" t="s">
        <v>76</v>
      </c>
      <c r="AV315" s="17" t="s">
        <v>472</v>
      </c>
      <c r="AW315" s="17" t="s">
        <v>1334</v>
      </c>
      <c r="AZ315" s="17" t="s">
        <v>243</v>
      </c>
      <c r="BA315" s="17" t="s">
        <v>458</v>
      </c>
      <c r="BB315" s="17" t="s">
        <v>109</v>
      </c>
      <c r="BP315" s="17" t="s">
        <v>1335</v>
      </c>
      <c r="BR315" s="7" t="str">
        <f t="shared" si="1"/>
        <v>Gali punjab di </v>
      </c>
    </row>
    <row r="316" ht="22.5" customHeight="1">
      <c r="A316" s="14">
        <v>46066.51533304398</v>
      </c>
      <c r="B316" s="15">
        <v>46066.0</v>
      </c>
      <c r="C316" s="16">
        <v>0.5138888888905058</v>
      </c>
      <c r="U316" s="17" t="s">
        <v>1336</v>
      </c>
      <c r="V316" s="17">
        <v>8.374167037E9</v>
      </c>
      <c r="W316" s="17" t="s">
        <v>388</v>
      </c>
      <c r="AA316" s="17" t="s">
        <v>109</v>
      </c>
      <c r="AU316" s="17" t="s">
        <v>76</v>
      </c>
      <c r="AV316" s="17" t="s">
        <v>472</v>
      </c>
      <c r="AW316" s="17" t="s">
        <v>1337</v>
      </c>
      <c r="AZ316" s="17" t="s">
        <v>243</v>
      </c>
      <c r="BA316" s="17" t="s">
        <v>458</v>
      </c>
      <c r="BB316" s="17" t="s">
        <v>109</v>
      </c>
      <c r="BP316" s="17" t="s">
        <v>1338</v>
      </c>
      <c r="BR316" s="7" t="str">
        <f t="shared" si="1"/>
        <v>Polar bear the ice cream sundae zone </v>
      </c>
    </row>
    <row r="317" ht="22.5" customHeight="1">
      <c r="A317" s="14">
        <v>46066.521204502315</v>
      </c>
      <c r="B317" s="15">
        <v>46066.0</v>
      </c>
      <c r="C317" s="16">
        <v>0.48958333333575865</v>
      </c>
      <c r="D317" s="17" t="s">
        <v>111</v>
      </c>
      <c r="T317" s="17" t="s">
        <v>1339</v>
      </c>
      <c r="U317" s="17" t="s">
        <v>1340</v>
      </c>
      <c r="V317" s="17" t="s">
        <v>117</v>
      </c>
      <c r="W317" s="17" t="s">
        <v>117</v>
      </c>
      <c r="AA317" s="17" t="s">
        <v>109</v>
      </c>
      <c r="AU317" s="17" t="s">
        <v>76</v>
      </c>
      <c r="AV317" s="17" t="s">
        <v>1341</v>
      </c>
      <c r="AZ317" s="17" t="s">
        <v>115</v>
      </c>
      <c r="BA317" s="17" t="s">
        <v>458</v>
      </c>
      <c r="BB317" s="17" t="s">
        <v>76</v>
      </c>
      <c r="BP317" s="17" t="s">
        <v>1339</v>
      </c>
      <c r="BR317" s="7" t="str">
        <f t="shared" si="1"/>
        <v>Meghana non veg parcelsMeghana non veg parcels</v>
      </c>
    </row>
    <row r="318" ht="22.5" customHeight="1">
      <c r="A318" s="14">
        <v>46066.52193325231</v>
      </c>
      <c r="B318" s="15">
        <v>46066.0</v>
      </c>
      <c r="C318" s="16">
        <v>0.5208333333357587</v>
      </c>
      <c r="U318" s="17" t="s">
        <v>1342</v>
      </c>
      <c r="V318" s="17">
        <v>9.652444418E9</v>
      </c>
      <c r="W318" s="17" t="s">
        <v>117</v>
      </c>
      <c r="AA318" s="17" t="s">
        <v>109</v>
      </c>
      <c r="AU318" s="17" t="s">
        <v>76</v>
      </c>
      <c r="AV318" s="17" t="s">
        <v>472</v>
      </c>
      <c r="AZ318" s="17" t="s">
        <v>115</v>
      </c>
      <c r="BA318" s="17" t="s">
        <v>458</v>
      </c>
      <c r="BB318" s="17" t="s">
        <v>109</v>
      </c>
      <c r="BP318" s="17" t="s">
        <v>1343</v>
      </c>
      <c r="BR318" s="7" t="str">
        <f t="shared" si="1"/>
        <v>Satyam foods </v>
      </c>
    </row>
    <row r="319" ht="22.5" customHeight="1">
      <c r="A319" s="14">
        <v>46066.522426180556</v>
      </c>
      <c r="B319" s="15">
        <v>46066.0</v>
      </c>
      <c r="C319" s="16">
        <v>0.5</v>
      </c>
      <c r="D319" s="17" t="s">
        <v>91</v>
      </c>
      <c r="F319" s="17">
        <v>20.0</v>
      </c>
      <c r="G319" s="17">
        <v>209.0</v>
      </c>
      <c r="H319" s="17" t="s">
        <v>388</v>
      </c>
      <c r="I319" s="17">
        <v>30000.0</v>
      </c>
      <c r="J319" s="17" t="s">
        <v>94</v>
      </c>
      <c r="K319" s="17" t="s">
        <v>273</v>
      </c>
      <c r="L319" s="17">
        <v>22.0</v>
      </c>
      <c r="M319" s="17">
        <v>20.0</v>
      </c>
      <c r="N319" s="17">
        <v>1.0</v>
      </c>
      <c r="O319" s="17" t="s">
        <v>96</v>
      </c>
      <c r="P319" s="17" t="s">
        <v>109</v>
      </c>
      <c r="Q319" s="17" t="s">
        <v>97</v>
      </c>
      <c r="R319" s="17" t="s">
        <v>76</v>
      </c>
      <c r="S319" s="17" t="s">
        <v>388</v>
      </c>
      <c r="U319" s="17" t="s">
        <v>245</v>
      </c>
      <c r="V319" s="17">
        <v>9.885215007E9</v>
      </c>
      <c r="W319" s="17" t="s">
        <v>388</v>
      </c>
      <c r="AA319" s="17" t="s">
        <v>109</v>
      </c>
      <c r="AT319" s="17" t="s">
        <v>586</v>
      </c>
      <c r="AU319" s="17" t="s">
        <v>109</v>
      </c>
      <c r="AZ319" s="17" t="s">
        <v>131</v>
      </c>
      <c r="BA319" s="17" t="s">
        <v>458</v>
      </c>
      <c r="BB319" s="17" t="s">
        <v>76</v>
      </c>
      <c r="BL319" s="17">
        <v>300.0</v>
      </c>
      <c r="BN319" s="17" t="s">
        <v>865</v>
      </c>
      <c r="BP319" s="17" t="s">
        <v>1344</v>
      </c>
      <c r="BR319" s="7" t="str">
        <f t="shared" si="1"/>
        <v>Bamma Tiffins </v>
      </c>
    </row>
    <row r="320" ht="22.5" customHeight="1">
      <c r="A320" s="14">
        <v>46066.522741030094</v>
      </c>
      <c r="B320" s="15">
        <v>46066.0</v>
      </c>
      <c r="C320" s="16">
        <v>0.5208333333357587</v>
      </c>
      <c r="D320" s="17" t="s">
        <v>111</v>
      </c>
      <c r="T320" s="17" t="s">
        <v>1345</v>
      </c>
      <c r="U320" s="17" t="s">
        <v>414</v>
      </c>
      <c r="V320" s="17" t="s">
        <v>1346</v>
      </c>
      <c r="W320" s="17" t="s">
        <v>769</v>
      </c>
      <c r="AA320" s="17" t="s">
        <v>109</v>
      </c>
      <c r="AU320" s="17" t="s">
        <v>76</v>
      </c>
      <c r="AV320" s="17" t="s">
        <v>472</v>
      </c>
      <c r="AX320" s="15">
        <v>46066.0</v>
      </c>
      <c r="AY320" s="16">
        <v>0.6666666666642413</v>
      </c>
      <c r="AZ320" s="17" t="s">
        <v>115</v>
      </c>
      <c r="BA320" s="17" t="s">
        <v>458</v>
      </c>
      <c r="BB320" s="17" t="s">
        <v>76</v>
      </c>
      <c r="BP320" s="17" t="s">
        <v>1345</v>
      </c>
      <c r="BR320" s="7" t="str">
        <f t="shared" si="1"/>
        <v>Emerald food house Emerald food house </v>
      </c>
    </row>
    <row r="321" ht="22.5" customHeight="1">
      <c r="A321" s="14">
        <v>46066.52309540509</v>
      </c>
      <c r="B321" s="15">
        <v>46066.0</v>
      </c>
      <c r="C321" s="16">
        <v>0.5215277777751908</v>
      </c>
      <c r="D321" s="17" t="s">
        <v>91</v>
      </c>
      <c r="F321" s="17">
        <v>60.0</v>
      </c>
      <c r="G321" s="17">
        <v>500.0</v>
      </c>
      <c r="H321" s="17" t="s">
        <v>388</v>
      </c>
      <c r="J321" s="17" t="s">
        <v>167</v>
      </c>
      <c r="K321" s="17" t="s">
        <v>134</v>
      </c>
      <c r="N321" s="17">
        <v>1.0</v>
      </c>
      <c r="O321" s="17" t="s">
        <v>388</v>
      </c>
      <c r="P321" s="17" t="s">
        <v>76</v>
      </c>
      <c r="Q321" s="17" t="s">
        <v>97</v>
      </c>
      <c r="R321" s="17" t="s">
        <v>98</v>
      </c>
      <c r="S321" s="17" t="s">
        <v>1347</v>
      </c>
      <c r="U321" s="17" t="s">
        <v>1348</v>
      </c>
      <c r="V321" s="17">
        <v>8.319942382E9</v>
      </c>
      <c r="W321" s="17" t="s">
        <v>388</v>
      </c>
      <c r="AA321" s="17" t="s">
        <v>109</v>
      </c>
      <c r="AU321" s="17" t="s">
        <v>76</v>
      </c>
      <c r="AV321" s="17" t="s">
        <v>472</v>
      </c>
      <c r="AW321" s="17" t="s">
        <v>1349</v>
      </c>
      <c r="AZ321" s="17" t="s">
        <v>243</v>
      </c>
      <c r="BA321" s="17" t="s">
        <v>458</v>
      </c>
      <c r="BB321" s="17" t="s">
        <v>76</v>
      </c>
      <c r="BP321" s="17" t="s">
        <v>1350</v>
      </c>
      <c r="BR321" s="7" t="str">
        <f t="shared" si="1"/>
        <v>Patiala plate </v>
      </c>
    </row>
    <row r="322" ht="22.5" customHeight="1">
      <c r="A322" s="14">
        <v>46066.5236427662</v>
      </c>
      <c r="B322" s="15">
        <v>46066.0</v>
      </c>
      <c r="C322" s="16">
        <v>0.5208333333357587</v>
      </c>
      <c r="D322" s="17" t="s">
        <v>111</v>
      </c>
      <c r="T322" s="17" t="s">
        <v>1351</v>
      </c>
      <c r="U322" s="17" t="s">
        <v>1352</v>
      </c>
      <c r="V322" s="17" t="s">
        <v>1353</v>
      </c>
      <c r="W322" s="17" t="s">
        <v>117</v>
      </c>
      <c r="AA322" s="17" t="s">
        <v>109</v>
      </c>
      <c r="AU322" s="17" t="s">
        <v>76</v>
      </c>
      <c r="AV322" s="17" t="s">
        <v>472</v>
      </c>
      <c r="AZ322" s="17" t="s">
        <v>115</v>
      </c>
      <c r="BA322" s="17" t="s">
        <v>458</v>
      </c>
      <c r="BB322" s="17" t="s">
        <v>76</v>
      </c>
      <c r="BP322" s="17" t="s">
        <v>1351</v>
      </c>
      <c r="BR322" s="7" t="str">
        <f t="shared" si="1"/>
        <v>Lassi and shakesLassi and shakes</v>
      </c>
    </row>
    <row r="323" ht="22.5" customHeight="1">
      <c r="A323" s="14">
        <v>46066.52460871528</v>
      </c>
      <c r="B323" s="15">
        <v>46066.0</v>
      </c>
      <c r="C323" s="16">
        <v>0.5</v>
      </c>
      <c r="U323" s="17" t="s">
        <v>1354</v>
      </c>
      <c r="V323" s="17">
        <v>9.885552731E9</v>
      </c>
      <c r="W323" s="17" t="s">
        <v>117</v>
      </c>
      <c r="AA323" s="17" t="s">
        <v>109</v>
      </c>
      <c r="AU323" s="17" t="s">
        <v>76</v>
      </c>
      <c r="AV323" s="17" t="s">
        <v>373</v>
      </c>
      <c r="AX323" s="15">
        <v>46066.0</v>
      </c>
      <c r="AY323" s="16">
        <v>0.6875</v>
      </c>
      <c r="AZ323" s="17" t="s">
        <v>115</v>
      </c>
      <c r="BA323" s="17" t="s">
        <v>458</v>
      </c>
      <c r="BB323" s="17" t="s">
        <v>109</v>
      </c>
      <c r="BP323" s="17" t="s">
        <v>1355</v>
      </c>
      <c r="BR323" s="7" t="str">
        <f t="shared" si="1"/>
        <v>Hanuman juice point</v>
      </c>
    </row>
    <row r="324" ht="22.5" customHeight="1">
      <c r="A324" s="14">
        <v>46066.526556979166</v>
      </c>
      <c r="B324" s="15">
        <v>46066.0</v>
      </c>
      <c r="C324" s="16">
        <v>0.48958333333575865</v>
      </c>
      <c r="U324" s="17" t="s">
        <v>1356</v>
      </c>
      <c r="V324" s="17">
        <v>9.49477772E9</v>
      </c>
      <c r="W324" s="17" t="s">
        <v>769</v>
      </c>
      <c r="AA324" s="17" t="s">
        <v>109</v>
      </c>
      <c r="AU324" s="17" t="s">
        <v>76</v>
      </c>
      <c r="AV324" s="17" t="s">
        <v>472</v>
      </c>
      <c r="AZ324" s="17" t="s">
        <v>115</v>
      </c>
      <c r="BA324" s="17" t="s">
        <v>458</v>
      </c>
      <c r="BB324" s="17" t="s">
        <v>109</v>
      </c>
      <c r="BP324" s="17" t="s">
        <v>1357</v>
      </c>
      <c r="BR324" s="7" t="str">
        <f t="shared" si="1"/>
        <v>Trigunas kitchen</v>
      </c>
    </row>
    <row r="325" ht="22.5" customHeight="1">
      <c r="A325" s="14">
        <v>46066.53993472223</v>
      </c>
      <c r="B325" s="15">
        <v>46066.0</v>
      </c>
      <c r="C325" s="16">
        <v>0.5381944444452529</v>
      </c>
      <c r="U325" s="17" t="s">
        <v>1358</v>
      </c>
      <c r="V325" s="17">
        <v>6.300802819E9</v>
      </c>
      <c r="W325" s="17" t="s">
        <v>388</v>
      </c>
      <c r="AA325" s="17" t="s">
        <v>109</v>
      </c>
      <c r="AU325" s="17" t="s">
        <v>76</v>
      </c>
      <c r="AV325" s="17" t="s">
        <v>271</v>
      </c>
      <c r="AZ325" s="17" t="s">
        <v>243</v>
      </c>
      <c r="BA325" s="17" t="s">
        <v>458</v>
      </c>
      <c r="BB325" s="17" t="s">
        <v>109</v>
      </c>
      <c r="BP325" s="17" t="s">
        <v>1359</v>
      </c>
      <c r="BR325" s="7" t="str">
        <f t="shared" si="1"/>
        <v>Chaayos</v>
      </c>
    </row>
    <row r="326" ht="22.5" customHeight="1">
      <c r="A326" s="14">
        <v>46066.5430971412</v>
      </c>
      <c r="B326" s="15">
        <v>46066.0</v>
      </c>
      <c r="C326" s="16">
        <v>0.5416666666642413</v>
      </c>
      <c r="U326" s="17" t="s">
        <v>117</v>
      </c>
      <c r="V326" s="17">
        <v>9.381425752E9</v>
      </c>
      <c r="W326" s="17" t="s">
        <v>769</v>
      </c>
      <c r="AA326" s="17" t="s">
        <v>109</v>
      </c>
      <c r="AU326" s="17" t="s">
        <v>76</v>
      </c>
      <c r="AV326" s="17" t="s">
        <v>472</v>
      </c>
      <c r="AZ326" s="17" t="s">
        <v>115</v>
      </c>
      <c r="BA326" s="17" t="s">
        <v>458</v>
      </c>
      <c r="BB326" s="17" t="s">
        <v>109</v>
      </c>
      <c r="BP326" s="17" t="s">
        <v>1360</v>
      </c>
      <c r="BR326" s="7" t="str">
        <f t="shared" si="1"/>
        <v>Raagam foods</v>
      </c>
    </row>
    <row r="327" ht="22.5" customHeight="1">
      <c r="A327" s="14">
        <v>46066.56083524306</v>
      </c>
      <c r="B327" s="15">
        <v>46066.0</v>
      </c>
      <c r="C327" s="16">
        <v>0.5208333333357587</v>
      </c>
      <c r="D327" s="17" t="s">
        <v>91</v>
      </c>
      <c r="F327" s="17">
        <v>250.0</v>
      </c>
      <c r="G327" s="17">
        <v>500.0</v>
      </c>
      <c r="H327" s="17" t="s">
        <v>388</v>
      </c>
      <c r="I327" s="17">
        <v>70000.0</v>
      </c>
      <c r="J327" s="17" t="s">
        <v>167</v>
      </c>
      <c r="K327" s="17" t="s">
        <v>134</v>
      </c>
      <c r="N327" s="17">
        <v>1.0</v>
      </c>
      <c r="O327" s="17" t="s">
        <v>371</v>
      </c>
      <c r="P327" s="17" t="s">
        <v>76</v>
      </c>
      <c r="Q327" s="17" t="s">
        <v>97</v>
      </c>
      <c r="R327" s="17" t="s">
        <v>76</v>
      </c>
      <c r="S327" s="18" t="s">
        <v>1361</v>
      </c>
      <c r="U327" s="17" t="s">
        <v>1362</v>
      </c>
      <c r="V327" s="17" t="s">
        <v>1363</v>
      </c>
      <c r="W327" s="17" t="s">
        <v>1362</v>
      </c>
      <c r="AA327" s="17" t="s">
        <v>109</v>
      </c>
      <c r="AU327" s="17" t="s">
        <v>76</v>
      </c>
      <c r="AV327" s="17" t="s">
        <v>271</v>
      </c>
      <c r="AZ327" s="17" t="s">
        <v>151</v>
      </c>
      <c r="BA327" s="17" t="s">
        <v>491</v>
      </c>
      <c r="BN327" s="17" t="s">
        <v>388</v>
      </c>
      <c r="BP327" s="17" t="s">
        <v>1364</v>
      </c>
      <c r="BR327" s="7" t="str">
        <f t="shared" si="1"/>
        <v>The spicy venue</v>
      </c>
    </row>
    <row r="328" ht="22.5" customHeight="1">
      <c r="A328" s="14">
        <v>46066.56295553241</v>
      </c>
      <c r="B328" s="15">
        <v>46066.0</v>
      </c>
      <c r="C328" s="16">
        <v>0.5416666666642413</v>
      </c>
      <c r="D328" s="17" t="s">
        <v>91</v>
      </c>
      <c r="F328" s="17">
        <v>200.0</v>
      </c>
      <c r="G328" s="17">
        <v>500.0</v>
      </c>
      <c r="H328" s="17" t="s">
        <v>388</v>
      </c>
      <c r="I328" s="17">
        <v>80000.0</v>
      </c>
      <c r="J328" s="17" t="s">
        <v>167</v>
      </c>
      <c r="K328" s="17" t="s">
        <v>134</v>
      </c>
      <c r="N328" s="17">
        <v>1.0</v>
      </c>
      <c r="O328" s="17" t="s">
        <v>96</v>
      </c>
      <c r="P328" s="17" t="s">
        <v>76</v>
      </c>
      <c r="Q328" s="17" t="s">
        <v>97</v>
      </c>
      <c r="R328" s="17" t="s">
        <v>109</v>
      </c>
      <c r="S328" s="18" t="s">
        <v>1365</v>
      </c>
      <c r="U328" s="17" t="s">
        <v>1366</v>
      </c>
      <c r="V328" s="17" t="s">
        <v>1362</v>
      </c>
      <c r="W328" s="17" t="s">
        <v>1362</v>
      </c>
      <c r="AA328" s="17" t="s">
        <v>109</v>
      </c>
      <c r="AU328" s="17" t="s">
        <v>76</v>
      </c>
      <c r="AV328" s="17" t="s">
        <v>373</v>
      </c>
      <c r="AZ328" s="17" t="s">
        <v>151</v>
      </c>
      <c r="BA328" s="17" t="s">
        <v>491</v>
      </c>
      <c r="BL328" s="17">
        <v>100.0</v>
      </c>
      <c r="BP328" s="17" t="s">
        <v>1367</v>
      </c>
      <c r="BR328" s="7" t="str">
        <f t="shared" si="1"/>
        <v>Sri Kanya comfort</v>
      </c>
    </row>
    <row r="329" ht="22.5" customHeight="1">
      <c r="A329" s="14">
        <v>46066.56399614584</v>
      </c>
      <c r="B329" s="15">
        <v>46066.0</v>
      </c>
      <c r="C329" s="16">
        <v>0.47916666666424135</v>
      </c>
      <c r="U329" s="17" t="s">
        <v>1368</v>
      </c>
      <c r="V329" s="17">
        <v>8.519979693E9</v>
      </c>
      <c r="W329" s="17" t="s">
        <v>117</v>
      </c>
      <c r="AA329" s="17" t="s">
        <v>109</v>
      </c>
      <c r="AU329" s="17" t="s">
        <v>76</v>
      </c>
      <c r="AV329" s="17" t="s">
        <v>472</v>
      </c>
      <c r="AW329" s="17" t="s">
        <v>1369</v>
      </c>
      <c r="AX329" s="15">
        <v>46066.0</v>
      </c>
      <c r="AY329" s="16">
        <v>0.6458333333357587</v>
      </c>
      <c r="AZ329" s="17" t="s">
        <v>164</v>
      </c>
      <c r="BA329" s="17" t="s">
        <v>458</v>
      </c>
      <c r="BB329" s="17" t="s">
        <v>109</v>
      </c>
      <c r="BP329" s="17" t="s">
        <v>1370</v>
      </c>
      <c r="BR329" s="7" t="str">
        <f t="shared" si="1"/>
        <v>mayur sweets and dry fruits </v>
      </c>
    </row>
    <row r="330" ht="22.5" customHeight="1">
      <c r="A330" s="14">
        <v>46066.56517428241</v>
      </c>
      <c r="B330" s="15">
        <v>46066.0</v>
      </c>
      <c r="C330" s="16">
        <v>0.48958333333575865</v>
      </c>
      <c r="U330" s="17" t="s">
        <v>1371</v>
      </c>
      <c r="V330" s="17" t="s">
        <v>117</v>
      </c>
      <c r="W330" s="17" t="s">
        <v>117</v>
      </c>
      <c r="AA330" s="17" t="s">
        <v>109</v>
      </c>
      <c r="AT330" s="17" t="s">
        <v>1372</v>
      </c>
      <c r="AU330" s="17" t="s">
        <v>109</v>
      </c>
      <c r="AZ330" s="17" t="s">
        <v>164</v>
      </c>
      <c r="BA330" s="17" t="s">
        <v>458</v>
      </c>
      <c r="BB330" s="17" t="s">
        <v>109</v>
      </c>
      <c r="BP330" s="17" t="s">
        <v>1373</v>
      </c>
      <c r="BR330" s="7" t="str">
        <f t="shared" si="1"/>
        <v> ganesh virat food court</v>
      </c>
    </row>
    <row r="331" ht="22.5" customHeight="1">
      <c r="A331" s="14">
        <v>46066.56550166667</v>
      </c>
      <c r="B331" s="15">
        <v>46066.0</v>
      </c>
      <c r="C331" s="16">
        <v>0.5416666666642413</v>
      </c>
      <c r="D331" s="17" t="s">
        <v>91</v>
      </c>
      <c r="F331" s="17">
        <v>500.0</v>
      </c>
      <c r="G331" s="17">
        <v>500.0</v>
      </c>
      <c r="H331" s="17" t="s">
        <v>388</v>
      </c>
      <c r="I331" s="17">
        <v>80000.0</v>
      </c>
      <c r="J331" s="17" t="s">
        <v>167</v>
      </c>
      <c r="K331" s="17" t="s">
        <v>134</v>
      </c>
      <c r="N331" s="17">
        <v>1.0</v>
      </c>
      <c r="O331" s="17" t="s">
        <v>135</v>
      </c>
      <c r="P331" s="17" t="s">
        <v>76</v>
      </c>
      <c r="Q331" s="17" t="s">
        <v>97</v>
      </c>
      <c r="R331" s="17" t="s">
        <v>76</v>
      </c>
      <c r="S331" s="18" t="s">
        <v>1374</v>
      </c>
      <c r="U331" s="17" t="s">
        <v>1375</v>
      </c>
      <c r="V331" s="17" t="s">
        <v>1362</v>
      </c>
      <c r="W331" s="17" t="s">
        <v>1376</v>
      </c>
      <c r="AA331" s="17" t="s">
        <v>109</v>
      </c>
      <c r="AU331" s="17" t="s">
        <v>76</v>
      </c>
      <c r="AV331" s="17" t="s">
        <v>373</v>
      </c>
      <c r="AZ331" s="17" t="s">
        <v>151</v>
      </c>
      <c r="BA331" s="17" t="s">
        <v>491</v>
      </c>
      <c r="BL331" s="17">
        <v>80.0</v>
      </c>
      <c r="BN331" s="17" t="s">
        <v>388</v>
      </c>
      <c r="BP331" s="17" t="s">
        <v>1377</v>
      </c>
      <c r="BR331" s="7" t="str">
        <f t="shared" si="1"/>
        <v>Itihaas Restaurant and Banquets</v>
      </c>
    </row>
    <row r="332" ht="22.5" customHeight="1">
      <c r="A332" s="14">
        <v>46066.567166319444</v>
      </c>
      <c r="B332" s="15">
        <v>46066.0</v>
      </c>
      <c r="C332" s="16">
        <v>0.5208333333357587</v>
      </c>
      <c r="U332" s="17" t="s">
        <v>1378</v>
      </c>
      <c r="V332" s="17">
        <v>8.712342023E9</v>
      </c>
      <c r="W332" s="17" t="s">
        <v>117</v>
      </c>
      <c r="AA332" s="17" t="s">
        <v>109</v>
      </c>
      <c r="AU332" s="17" t="s">
        <v>76</v>
      </c>
      <c r="AV332" s="17" t="s">
        <v>472</v>
      </c>
      <c r="AW332" s="17" t="s">
        <v>1379</v>
      </c>
      <c r="AX332" s="15">
        <v>46066.0</v>
      </c>
      <c r="AY332" s="16">
        <v>0.8333333333357587</v>
      </c>
      <c r="AZ332" s="17" t="s">
        <v>164</v>
      </c>
      <c r="BA332" s="17" t="s">
        <v>458</v>
      </c>
      <c r="BB332" s="17" t="s">
        <v>109</v>
      </c>
      <c r="BP332" s="17" t="s">
        <v>1380</v>
      </c>
      <c r="BR332" s="7" t="str">
        <f t="shared" si="1"/>
        <v>chai nagri </v>
      </c>
    </row>
    <row r="333" ht="22.5" customHeight="1">
      <c r="A333" s="14">
        <v>46066.56757760417</v>
      </c>
      <c r="B333" s="15">
        <v>46066.0</v>
      </c>
      <c r="C333" s="16">
        <v>0.5</v>
      </c>
      <c r="D333" s="17" t="s">
        <v>91</v>
      </c>
      <c r="F333" s="17">
        <v>200.0</v>
      </c>
      <c r="G333" s="17">
        <v>500.0</v>
      </c>
      <c r="H333" s="17" t="s">
        <v>388</v>
      </c>
      <c r="J333" s="17" t="s">
        <v>167</v>
      </c>
      <c r="K333" s="17" t="s">
        <v>515</v>
      </c>
      <c r="N333" s="17">
        <v>3.0</v>
      </c>
      <c r="O333" s="17" t="s">
        <v>135</v>
      </c>
      <c r="P333" s="17" t="s">
        <v>76</v>
      </c>
      <c r="Q333" s="17" t="s">
        <v>97</v>
      </c>
      <c r="R333" s="17" t="s">
        <v>76</v>
      </c>
      <c r="S333" s="18" t="s">
        <v>1381</v>
      </c>
      <c r="U333" s="17" t="s">
        <v>1366</v>
      </c>
      <c r="V333" s="17" t="s">
        <v>1362</v>
      </c>
      <c r="W333" s="17" t="s">
        <v>1376</v>
      </c>
      <c r="AA333" s="17" t="s">
        <v>109</v>
      </c>
      <c r="AT333" s="17" t="s">
        <v>388</v>
      </c>
      <c r="AU333" s="17" t="s">
        <v>109</v>
      </c>
      <c r="AV333" s="17" t="s">
        <v>472</v>
      </c>
      <c r="AZ333" s="17" t="s">
        <v>151</v>
      </c>
      <c r="BA333" s="17" t="s">
        <v>491</v>
      </c>
      <c r="BP333" s="17" t="s">
        <v>1382</v>
      </c>
      <c r="BR333" s="7" t="str">
        <f t="shared" si="1"/>
        <v>Alanati</v>
      </c>
    </row>
    <row r="334" ht="22.5" customHeight="1">
      <c r="A334" s="14">
        <v>46066.56898287037</v>
      </c>
      <c r="B334" s="15">
        <v>46066.0</v>
      </c>
      <c r="C334" s="16">
        <v>0.5208333333357587</v>
      </c>
      <c r="D334" s="17" t="s">
        <v>91</v>
      </c>
      <c r="F334" s="17">
        <v>150.0</v>
      </c>
      <c r="G334" s="17">
        <v>350.0</v>
      </c>
      <c r="H334" s="17" t="s">
        <v>388</v>
      </c>
      <c r="J334" s="17" t="s">
        <v>167</v>
      </c>
      <c r="K334" s="17" t="s">
        <v>134</v>
      </c>
      <c r="N334" s="17">
        <v>1.0</v>
      </c>
      <c r="O334" s="17" t="s">
        <v>135</v>
      </c>
      <c r="P334" s="17" t="s">
        <v>76</v>
      </c>
      <c r="Q334" s="17" t="s">
        <v>97</v>
      </c>
      <c r="R334" s="17" t="s">
        <v>76</v>
      </c>
      <c r="S334" s="18" t="s">
        <v>1383</v>
      </c>
      <c r="U334" s="17" t="s">
        <v>1362</v>
      </c>
      <c r="V334" s="17" t="s">
        <v>1362</v>
      </c>
      <c r="W334" s="17" t="s">
        <v>1376</v>
      </c>
      <c r="X334" s="17" t="s">
        <v>1376</v>
      </c>
      <c r="AA334" s="17" t="s">
        <v>109</v>
      </c>
      <c r="AU334" s="17" t="s">
        <v>76</v>
      </c>
      <c r="AW334" s="17" t="s">
        <v>388</v>
      </c>
      <c r="AX334" s="15">
        <v>46067.0</v>
      </c>
      <c r="AY334" s="16">
        <v>0.5</v>
      </c>
      <c r="AZ334" s="17" t="s">
        <v>151</v>
      </c>
      <c r="BA334" s="17" t="s">
        <v>491</v>
      </c>
      <c r="BP334" s="17" t="s">
        <v>1384</v>
      </c>
      <c r="BR334" s="7" t="str">
        <f t="shared" si="1"/>
        <v>Gumagumalu </v>
      </c>
    </row>
    <row r="335" ht="22.5" customHeight="1">
      <c r="A335" s="14">
        <v>46066.57080452546</v>
      </c>
      <c r="B335" s="15">
        <v>46066.0</v>
      </c>
      <c r="C335" s="16">
        <v>0.5694444444452529</v>
      </c>
      <c r="U335" s="17" t="s">
        <v>1385</v>
      </c>
      <c r="V335" s="17" t="s">
        <v>388</v>
      </c>
      <c r="W335" s="17" t="s">
        <v>388</v>
      </c>
      <c r="AA335" s="17" t="s">
        <v>109</v>
      </c>
      <c r="AU335" s="17" t="s">
        <v>76</v>
      </c>
      <c r="AV335" s="17" t="s">
        <v>373</v>
      </c>
      <c r="AX335" s="15">
        <v>46068.0</v>
      </c>
      <c r="AY335" s="16">
        <v>0.5</v>
      </c>
      <c r="AZ335" s="17" t="s">
        <v>151</v>
      </c>
      <c r="BA335" s="17" t="s">
        <v>458</v>
      </c>
      <c r="BB335" s="17" t="s">
        <v>109</v>
      </c>
      <c r="BP335" s="17" t="s">
        <v>1386</v>
      </c>
      <c r="BR335" s="7" t="str">
        <f t="shared" si="1"/>
        <v>Chopsticks</v>
      </c>
    </row>
    <row r="336" ht="22.5" customHeight="1">
      <c r="A336" s="14">
        <v>46066.57205916666</v>
      </c>
      <c r="B336" s="15">
        <v>46066.0</v>
      </c>
      <c r="C336" s="16">
        <v>0.5555555555547471</v>
      </c>
      <c r="U336" s="17" t="s">
        <v>834</v>
      </c>
      <c r="V336" s="17" t="s">
        <v>388</v>
      </c>
      <c r="W336" s="17" t="s">
        <v>388</v>
      </c>
      <c r="AA336" s="17" t="s">
        <v>109</v>
      </c>
      <c r="AU336" s="17" t="s">
        <v>76</v>
      </c>
      <c r="AV336" s="17" t="s">
        <v>373</v>
      </c>
      <c r="AX336" s="15">
        <v>46069.0</v>
      </c>
      <c r="AY336" s="16">
        <v>0.5138888888905058</v>
      </c>
      <c r="AZ336" s="17" t="s">
        <v>151</v>
      </c>
      <c r="BA336" s="17" t="s">
        <v>458</v>
      </c>
      <c r="BB336" s="17" t="s">
        <v>109</v>
      </c>
      <c r="BP336" s="17" t="s">
        <v>1387</v>
      </c>
      <c r="BR336" s="7" t="str">
        <f t="shared" si="1"/>
        <v>Parchuri foods</v>
      </c>
    </row>
    <row r="337" ht="22.5" customHeight="1">
      <c r="A337" s="14">
        <v>46066.589988321764</v>
      </c>
      <c r="B337" s="15">
        <v>46066.0</v>
      </c>
      <c r="C337" s="16">
        <v>0.004166666665696539</v>
      </c>
      <c r="D337" s="17" t="s">
        <v>91</v>
      </c>
      <c r="F337" s="17">
        <v>1.0</v>
      </c>
      <c r="G337" s="17">
        <v>50.0</v>
      </c>
      <c r="H337" s="17" t="s">
        <v>109</v>
      </c>
      <c r="I337" s="17">
        <v>14000.0</v>
      </c>
      <c r="J337" s="17" t="s">
        <v>221</v>
      </c>
      <c r="K337" s="17" t="s">
        <v>95</v>
      </c>
      <c r="N337" s="17">
        <v>3.0</v>
      </c>
      <c r="O337" s="17" t="s">
        <v>96</v>
      </c>
      <c r="P337" s="17" t="s">
        <v>109</v>
      </c>
      <c r="Q337" s="17" t="s">
        <v>97</v>
      </c>
      <c r="R337" s="17" t="s">
        <v>76</v>
      </c>
      <c r="S337" s="17" t="s">
        <v>1388</v>
      </c>
      <c r="U337" s="17" t="s">
        <v>1389</v>
      </c>
      <c r="V337" s="17" t="s">
        <v>1390</v>
      </c>
      <c r="W337" s="17" t="s">
        <v>117</v>
      </c>
      <c r="AA337" s="17" t="s">
        <v>109</v>
      </c>
      <c r="AU337" s="17" t="s">
        <v>76</v>
      </c>
      <c r="AV337" s="17" t="s">
        <v>88</v>
      </c>
      <c r="AZ337" s="17" t="s">
        <v>182</v>
      </c>
      <c r="BA337" s="17" t="s">
        <v>458</v>
      </c>
      <c r="BB337" s="17" t="s">
        <v>76</v>
      </c>
      <c r="BP337" s="17" t="s">
        <v>1391</v>
      </c>
      <c r="BR337" s="7" t="str">
        <f t="shared" si="1"/>
        <v>Nakshtra Tiffins </v>
      </c>
    </row>
    <row r="338" ht="22.5" customHeight="1">
      <c r="A338" s="14">
        <v>46066.590791724535</v>
      </c>
      <c r="B338" s="15">
        <v>46066.0</v>
      </c>
      <c r="C338" s="16">
        <v>0.008333333331393078</v>
      </c>
      <c r="U338" s="17" t="s">
        <v>117</v>
      </c>
      <c r="V338" s="17" t="s">
        <v>117</v>
      </c>
      <c r="W338" s="17" t="s">
        <v>117</v>
      </c>
      <c r="AA338" s="17" t="s">
        <v>109</v>
      </c>
      <c r="AU338" s="17" t="s">
        <v>76</v>
      </c>
      <c r="AZ338" s="17" t="s">
        <v>182</v>
      </c>
      <c r="BA338" s="17" t="s">
        <v>458</v>
      </c>
      <c r="BB338" s="17" t="s">
        <v>109</v>
      </c>
      <c r="BP338" s="17" t="s">
        <v>1392</v>
      </c>
      <c r="BR338" s="7" t="str">
        <f t="shared" si="1"/>
        <v>Bakers Town </v>
      </c>
    </row>
    <row r="339" ht="22.5" customHeight="1">
      <c r="A339" s="14">
        <v>46066.5951737963</v>
      </c>
      <c r="B339" s="15">
        <v>46066.0</v>
      </c>
      <c r="C339" s="16">
        <v>0.013194444443797693</v>
      </c>
      <c r="D339" s="17" t="s">
        <v>91</v>
      </c>
      <c r="F339" s="17">
        <v>20.0</v>
      </c>
      <c r="G339" s="17">
        <v>150.0</v>
      </c>
      <c r="H339" s="17" t="s">
        <v>117</v>
      </c>
      <c r="J339" s="17" t="s">
        <v>221</v>
      </c>
      <c r="K339" s="17" t="s">
        <v>134</v>
      </c>
      <c r="N339" s="17">
        <v>1.0</v>
      </c>
      <c r="O339" s="17" t="s">
        <v>371</v>
      </c>
      <c r="P339" s="17" t="s">
        <v>76</v>
      </c>
      <c r="Q339" s="17" t="s">
        <v>97</v>
      </c>
      <c r="R339" s="17" t="s">
        <v>76</v>
      </c>
      <c r="S339" s="17" t="s">
        <v>1393</v>
      </c>
      <c r="U339" s="17" t="s">
        <v>1394</v>
      </c>
      <c r="V339" s="17">
        <v>9.502547468E9</v>
      </c>
      <c r="W339" s="17" t="s">
        <v>117</v>
      </c>
      <c r="AA339" s="17" t="s">
        <v>109</v>
      </c>
      <c r="AU339" s="17" t="s">
        <v>76</v>
      </c>
      <c r="AV339" s="17" t="s">
        <v>88</v>
      </c>
      <c r="AZ339" s="17" t="s">
        <v>182</v>
      </c>
      <c r="BA339" s="17" t="s">
        <v>458</v>
      </c>
      <c r="BB339" s="17" t="s">
        <v>76</v>
      </c>
      <c r="BP339" s="17" t="s">
        <v>1395</v>
      </c>
      <c r="BR339" s="7" t="str">
        <f t="shared" si="1"/>
        <v>Nellore Padmvati Ruchlu </v>
      </c>
    </row>
    <row r="340" ht="22.5" customHeight="1">
      <c r="A340" s="14">
        <v>46066.5990012963</v>
      </c>
      <c r="B340" s="15">
        <v>46066.0</v>
      </c>
      <c r="C340" s="16">
        <v>0.020833333335758653</v>
      </c>
      <c r="U340" s="17" t="s">
        <v>769</v>
      </c>
      <c r="V340" s="17" t="s">
        <v>117</v>
      </c>
      <c r="W340" s="17" t="s">
        <v>117</v>
      </c>
      <c r="AA340" s="17" t="s">
        <v>109</v>
      </c>
      <c r="AU340" s="17" t="s">
        <v>76</v>
      </c>
      <c r="AZ340" s="17" t="s">
        <v>182</v>
      </c>
      <c r="BA340" s="17" t="s">
        <v>458</v>
      </c>
      <c r="BB340" s="17" t="s">
        <v>109</v>
      </c>
      <c r="BP340" s="17" t="s">
        <v>1396</v>
      </c>
      <c r="BR340" s="7" t="str">
        <f t="shared" si="1"/>
        <v>Cake Walkers </v>
      </c>
    </row>
    <row r="341" ht="22.5" customHeight="1">
      <c r="A341" s="14">
        <v>46066.60031366898</v>
      </c>
      <c r="B341" s="15">
        <v>46066.0</v>
      </c>
      <c r="C341" s="16">
        <v>0.5833333333357587</v>
      </c>
      <c r="D341" s="17" t="s">
        <v>91</v>
      </c>
      <c r="F341" s="17">
        <v>40.0</v>
      </c>
      <c r="G341" s="17">
        <v>250.0</v>
      </c>
      <c r="H341" s="17" t="s">
        <v>1397</v>
      </c>
      <c r="I341" s="17">
        <v>5000.0</v>
      </c>
      <c r="J341" s="17" t="s">
        <v>221</v>
      </c>
      <c r="K341" s="17" t="s">
        <v>134</v>
      </c>
      <c r="L341" s="17">
        <v>20.0</v>
      </c>
      <c r="M341" s="17">
        <v>19.0</v>
      </c>
      <c r="N341" s="17">
        <v>1.0</v>
      </c>
      <c r="O341" s="17" t="s">
        <v>96</v>
      </c>
      <c r="P341" s="17" t="s">
        <v>76</v>
      </c>
      <c r="Q341" s="17" t="s">
        <v>97</v>
      </c>
      <c r="R341" s="17" t="s">
        <v>109</v>
      </c>
      <c r="S341" s="17" t="s">
        <v>344</v>
      </c>
      <c r="U341" s="17" t="s">
        <v>1398</v>
      </c>
      <c r="V341" s="17">
        <v>9.177960195E9</v>
      </c>
      <c r="W341" s="17" t="s">
        <v>1399</v>
      </c>
      <c r="AA341" s="17" t="s">
        <v>76</v>
      </c>
      <c r="AS341" s="17" t="s">
        <v>76</v>
      </c>
      <c r="AT341" s="17" t="s">
        <v>1400</v>
      </c>
      <c r="AU341" s="17" t="s">
        <v>109</v>
      </c>
      <c r="AZ341" s="17" t="s">
        <v>110</v>
      </c>
      <c r="BA341" s="17" t="s">
        <v>458</v>
      </c>
      <c r="BB341" s="17" t="s">
        <v>76</v>
      </c>
      <c r="BL341" s="17">
        <v>25.0</v>
      </c>
      <c r="BM341" s="17" t="s">
        <v>1401</v>
      </c>
      <c r="BN341" s="17" t="s">
        <v>779</v>
      </c>
      <c r="BP341" s="17" t="s">
        <v>1401</v>
      </c>
      <c r="BR341" s="7" t="str">
        <f t="shared" si="1"/>
        <v>Mother’s Kitchen</v>
      </c>
    </row>
    <row r="342" ht="22.5" customHeight="1">
      <c r="A342" s="14">
        <v>46066.60215857639</v>
      </c>
      <c r="B342" s="15">
        <v>46066.0</v>
      </c>
      <c r="C342" s="16">
        <v>0.6041666666642413</v>
      </c>
      <c r="D342" s="17" t="s">
        <v>91</v>
      </c>
      <c r="F342" s="17">
        <v>40.0</v>
      </c>
      <c r="G342" s="17">
        <v>200.0</v>
      </c>
      <c r="H342" s="17" t="s">
        <v>1402</v>
      </c>
      <c r="I342" s="17">
        <v>10000.0</v>
      </c>
      <c r="J342" s="17" t="s">
        <v>221</v>
      </c>
      <c r="K342" s="17" t="s">
        <v>95</v>
      </c>
      <c r="L342" s="17">
        <v>19.0</v>
      </c>
      <c r="M342" s="17">
        <v>21.0</v>
      </c>
      <c r="N342" s="17">
        <v>1.0</v>
      </c>
      <c r="O342" s="17" t="s">
        <v>96</v>
      </c>
      <c r="P342" s="17" t="s">
        <v>109</v>
      </c>
      <c r="Q342" s="17" t="s">
        <v>97</v>
      </c>
      <c r="R342" s="17" t="s">
        <v>109</v>
      </c>
      <c r="S342" s="17" t="s">
        <v>344</v>
      </c>
      <c r="U342" s="17" t="s">
        <v>1403</v>
      </c>
      <c r="V342" s="17">
        <v>9.177960195E9</v>
      </c>
      <c r="W342" s="17" t="s">
        <v>1404</v>
      </c>
      <c r="AA342" s="17" t="s">
        <v>76</v>
      </c>
      <c r="AS342" s="17" t="s">
        <v>76</v>
      </c>
      <c r="AT342" s="17" t="s">
        <v>1400</v>
      </c>
      <c r="AU342" s="17" t="s">
        <v>109</v>
      </c>
      <c r="AZ342" s="17" t="s">
        <v>110</v>
      </c>
      <c r="BA342" s="17" t="s">
        <v>458</v>
      </c>
      <c r="BB342" s="17" t="s">
        <v>76</v>
      </c>
      <c r="BL342" s="17">
        <v>35.0</v>
      </c>
      <c r="BM342" s="17" t="s">
        <v>1405</v>
      </c>
      <c r="BN342" s="17" t="s">
        <v>779</v>
      </c>
      <c r="BP342" s="17" t="s">
        <v>1405</v>
      </c>
      <c r="BR342" s="7" t="str">
        <f t="shared" si="1"/>
        <v>Vindhu Maharaj</v>
      </c>
    </row>
    <row r="343" ht="22.5" customHeight="1">
      <c r="A343" s="14">
        <v>46066.6071168287</v>
      </c>
      <c r="B343" s="15">
        <v>46066.0</v>
      </c>
      <c r="C343" s="16">
        <v>0.5659722222189885</v>
      </c>
      <c r="D343" s="17" t="s">
        <v>91</v>
      </c>
      <c r="F343" s="17">
        <v>50.0</v>
      </c>
      <c r="G343" s="17">
        <v>200.0</v>
      </c>
      <c r="H343" s="17" t="s">
        <v>117</v>
      </c>
      <c r="I343" s="17">
        <v>15000.0</v>
      </c>
      <c r="J343" s="17" t="s">
        <v>94</v>
      </c>
      <c r="K343" s="17" t="s">
        <v>273</v>
      </c>
      <c r="N343" s="17">
        <v>1.0</v>
      </c>
      <c r="O343" s="17" t="s">
        <v>135</v>
      </c>
      <c r="P343" s="17" t="s">
        <v>76</v>
      </c>
      <c r="Q343" s="17" t="s">
        <v>97</v>
      </c>
      <c r="R343" s="17" t="s">
        <v>76</v>
      </c>
      <c r="S343" s="18" t="s">
        <v>1406</v>
      </c>
      <c r="U343" s="17" t="s">
        <v>597</v>
      </c>
      <c r="V343" s="17">
        <v>8.31769626E9</v>
      </c>
      <c r="W343" s="17" t="s">
        <v>1407</v>
      </c>
      <c r="AA343" s="17" t="s">
        <v>76</v>
      </c>
      <c r="AS343" s="17" t="s">
        <v>76</v>
      </c>
      <c r="AU343" s="17" t="s">
        <v>76</v>
      </c>
      <c r="AV343" s="17" t="s">
        <v>88</v>
      </c>
      <c r="AW343" s="17" t="s">
        <v>1408</v>
      </c>
      <c r="AZ343" s="17" t="s">
        <v>287</v>
      </c>
      <c r="BA343" s="17" t="s">
        <v>458</v>
      </c>
      <c r="BB343" s="17" t="s">
        <v>76</v>
      </c>
      <c r="BL343" s="17">
        <v>150.0</v>
      </c>
      <c r="BM343" s="17" t="s">
        <v>779</v>
      </c>
      <c r="BP343" s="17" t="s">
        <v>1409</v>
      </c>
      <c r="BR343" s="7" t="str">
        <f t="shared" si="1"/>
        <v>Amogha Cafe and restaurant </v>
      </c>
    </row>
    <row r="344" ht="22.5" customHeight="1">
      <c r="A344" s="14">
        <v>46066.61739185185</v>
      </c>
      <c r="B344" s="15">
        <v>46066.0</v>
      </c>
      <c r="C344" s="16">
        <v>0.5902777777810115</v>
      </c>
      <c r="D344" s="17" t="s">
        <v>91</v>
      </c>
      <c r="F344" s="17">
        <v>40.0</v>
      </c>
      <c r="G344" s="17">
        <v>250.0</v>
      </c>
      <c r="H344" s="17" t="s">
        <v>117</v>
      </c>
      <c r="I344" s="17">
        <v>12000.0</v>
      </c>
      <c r="J344" s="17" t="s">
        <v>94</v>
      </c>
      <c r="K344" s="17" t="s">
        <v>95</v>
      </c>
      <c r="M344" s="17">
        <v>22.0</v>
      </c>
      <c r="N344" s="17">
        <v>1.0</v>
      </c>
      <c r="O344" s="17" t="s">
        <v>96</v>
      </c>
      <c r="P344" s="17" t="s">
        <v>109</v>
      </c>
      <c r="Q344" s="17" t="s">
        <v>97</v>
      </c>
      <c r="R344" s="17" t="s">
        <v>76</v>
      </c>
      <c r="S344" s="18" t="s">
        <v>1410</v>
      </c>
      <c r="U344" s="17" t="s">
        <v>1049</v>
      </c>
      <c r="V344" s="17">
        <v>8.333936696E9</v>
      </c>
      <c r="W344" s="17" t="s">
        <v>113</v>
      </c>
      <c r="AA344" s="17" t="s">
        <v>76</v>
      </c>
      <c r="AC344" s="18" t="s">
        <v>1411</v>
      </c>
      <c r="AS344" s="17" t="s">
        <v>76</v>
      </c>
      <c r="AT344" s="17" t="s">
        <v>586</v>
      </c>
      <c r="AU344" s="17" t="s">
        <v>109</v>
      </c>
      <c r="AZ344" s="17" t="s">
        <v>287</v>
      </c>
      <c r="BA344" s="17" t="s">
        <v>458</v>
      </c>
      <c r="BB344" s="17" t="s">
        <v>76</v>
      </c>
      <c r="BL344" s="17">
        <v>200.0</v>
      </c>
      <c r="BM344" s="17" t="s">
        <v>1412</v>
      </c>
      <c r="BP344" s="17" t="s">
        <v>1413</v>
      </c>
      <c r="BR344" s="7" t="str">
        <f t="shared" si="1"/>
        <v>Sri Aadhaya Delicious </v>
      </c>
    </row>
    <row r="345" ht="22.5" customHeight="1">
      <c r="A345" s="14">
        <v>46066.62391405093</v>
      </c>
      <c r="B345" s="15">
        <v>46066.0</v>
      </c>
      <c r="C345" s="16">
        <v>0.5944444444467081</v>
      </c>
      <c r="U345" s="17" t="s">
        <v>1414</v>
      </c>
      <c r="V345" s="17">
        <v>7.970928335E9</v>
      </c>
      <c r="W345" s="17" t="s">
        <v>117</v>
      </c>
      <c r="AA345" s="17" t="s">
        <v>109</v>
      </c>
      <c r="AU345" s="17" t="s">
        <v>76</v>
      </c>
      <c r="AV345" s="17" t="s">
        <v>472</v>
      </c>
      <c r="AX345" s="15">
        <v>46067.0</v>
      </c>
      <c r="AY345" s="16">
        <v>0.6666666666642413</v>
      </c>
      <c r="AZ345" s="17" t="s">
        <v>287</v>
      </c>
      <c r="BA345" s="17" t="s">
        <v>458</v>
      </c>
      <c r="BB345" s="17" t="s">
        <v>109</v>
      </c>
      <c r="BP345" s="17" t="s">
        <v>1415</v>
      </c>
      <c r="BR345" s="7" t="str">
        <f t="shared" si="1"/>
        <v>Wow! Vadapav</v>
      </c>
    </row>
    <row r="346" ht="22.5" customHeight="1">
      <c r="A346" s="14">
        <v>46066.62590211806</v>
      </c>
      <c r="B346" s="15">
        <v>46066.0</v>
      </c>
      <c r="C346" s="16">
        <v>0.6041666666642413</v>
      </c>
      <c r="U346" s="17" t="s">
        <v>1416</v>
      </c>
      <c r="V346" s="17">
        <v>7.98992243E9</v>
      </c>
      <c r="W346" s="17" t="s">
        <v>117</v>
      </c>
      <c r="AA346" s="17" t="s">
        <v>109</v>
      </c>
      <c r="AU346" s="17" t="s">
        <v>76</v>
      </c>
      <c r="AV346" s="17" t="s">
        <v>472</v>
      </c>
      <c r="AX346" s="15">
        <v>46067.0</v>
      </c>
      <c r="AY346" s="16">
        <v>0.5833333333357587</v>
      </c>
      <c r="AZ346" s="17" t="s">
        <v>287</v>
      </c>
      <c r="BA346" s="17" t="s">
        <v>458</v>
      </c>
      <c r="BB346" s="17" t="s">
        <v>109</v>
      </c>
      <c r="BP346" s="17" t="s">
        <v>1417</v>
      </c>
      <c r="BR346" s="7" t="str">
        <f t="shared" si="1"/>
        <v>Creative Home Baker’s </v>
      </c>
    </row>
    <row r="347" ht="22.5" customHeight="1">
      <c r="A347" s="14">
        <v>46066.62746340278</v>
      </c>
      <c r="B347" s="15">
        <v>46066.0</v>
      </c>
      <c r="C347" s="16">
        <v>0.6180555555547471</v>
      </c>
      <c r="U347" s="17" t="s">
        <v>239</v>
      </c>
      <c r="V347" s="17">
        <v>8.978621009E9</v>
      </c>
      <c r="W347" s="17" t="s">
        <v>117</v>
      </c>
      <c r="AA347" s="17" t="s">
        <v>109</v>
      </c>
      <c r="AU347" s="17" t="s">
        <v>76</v>
      </c>
      <c r="AV347" s="17" t="s">
        <v>472</v>
      </c>
      <c r="AX347" s="15">
        <v>46067.0</v>
      </c>
      <c r="AY347" s="16">
        <v>0.625</v>
      </c>
      <c r="AZ347" s="17" t="s">
        <v>287</v>
      </c>
      <c r="BA347" s="17" t="s">
        <v>458</v>
      </c>
      <c r="BB347" s="17" t="s">
        <v>109</v>
      </c>
      <c r="BP347" s="17" t="s">
        <v>1418</v>
      </c>
      <c r="BR347" s="7" t="str">
        <f t="shared" si="1"/>
        <v>Wrappy</v>
      </c>
    </row>
    <row r="348" ht="22.5" customHeight="1">
      <c r="A348" s="14">
        <v>46066.63846018519</v>
      </c>
      <c r="B348" s="15">
        <v>46066.0</v>
      </c>
      <c r="C348" s="16">
        <v>0.6388888888905058</v>
      </c>
      <c r="U348" s="17" t="s">
        <v>577</v>
      </c>
      <c r="V348" s="17">
        <v>9.246290001E9</v>
      </c>
      <c r="W348" s="17" t="s">
        <v>1419</v>
      </c>
      <c r="AA348" s="17" t="s">
        <v>109</v>
      </c>
      <c r="AU348" s="17" t="s">
        <v>76</v>
      </c>
      <c r="AV348" s="17" t="s">
        <v>373</v>
      </c>
      <c r="AZ348" s="17" t="s">
        <v>110</v>
      </c>
      <c r="BA348" s="17" t="s">
        <v>458</v>
      </c>
      <c r="BB348" s="17" t="s">
        <v>109</v>
      </c>
      <c r="BP348" s="17" t="s">
        <v>1420</v>
      </c>
      <c r="BR348" s="7" t="str">
        <f t="shared" si="1"/>
        <v>Raj Darbar</v>
      </c>
    </row>
    <row r="349" ht="22.5" customHeight="1">
      <c r="A349" s="14">
        <v>46066.65658618056</v>
      </c>
      <c r="B349" s="15">
        <v>46066.0</v>
      </c>
      <c r="C349" s="16">
        <v>0.625</v>
      </c>
      <c r="D349" s="17" t="s">
        <v>91</v>
      </c>
      <c r="F349" s="17">
        <v>40.0</v>
      </c>
      <c r="G349" s="17">
        <v>500.0</v>
      </c>
      <c r="H349" s="17" t="s">
        <v>863</v>
      </c>
      <c r="I349" s="17">
        <v>30000.0</v>
      </c>
      <c r="J349" s="17" t="s">
        <v>94</v>
      </c>
      <c r="K349" s="17" t="s">
        <v>134</v>
      </c>
      <c r="L349" s="17">
        <v>22.0</v>
      </c>
      <c r="M349" s="17">
        <v>20.0</v>
      </c>
      <c r="N349" s="17">
        <v>1.0</v>
      </c>
      <c r="O349" s="17" t="s">
        <v>96</v>
      </c>
      <c r="P349" s="17" t="s">
        <v>76</v>
      </c>
      <c r="Q349" s="17" t="s">
        <v>97</v>
      </c>
      <c r="R349" s="17" t="s">
        <v>76</v>
      </c>
      <c r="S349" s="17" t="s">
        <v>388</v>
      </c>
      <c r="U349" s="17" t="s">
        <v>1421</v>
      </c>
      <c r="V349" s="17">
        <v>8.341366998E9</v>
      </c>
      <c r="W349" s="17" t="s">
        <v>388</v>
      </c>
      <c r="AA349" s="17" t="s">
        <v>109</v>
      </c>
      <c r="AU349" s="17" t="s">
        <v>76</v>
      </c>
      <c r="AV349" s="17" t="s">
        <v>472</v>
      </c>
      <c r="AZ349" s="17" t="s">
        <v>131</v>
      </c>
      <c r="BA349" s="17" t="s">
        <v>458</v>
      </c>
      <c r="BB349" s="17" t="s">
        <v>76</v>
      </c>
      <c r="BL349" s="17">
        <v>30.0</v>
      </c>
      <c r="BN349" s="17" t="s">
        <v>865</v>
      </c>
      <c r="BP349" s="17" t="s">
        <v>1422</v>
      </c>
      <c r="BR349" s="7" t="str">
        <f t="shared" si="1"/>
        <v>Fuel smoke House </v>
      </c>
    </row>
    <row r="350" ht="22.5" customHeight="1">
      <c r="A350" s="14">
        <v>46066.66905668982</v>
      </c>
      <c r="B350" s="15">
        <v>46066.0</v>
      </c>
      <c r="C350" s="16">
        <v>0.024305555554747116</v>
      </c>
      <c r="D350" s="17" t="s">
        <v>91</v>
      </c>
      <c r="F350" s="17">
        <v>1.0</v>
      </c>
      <c r="G350" s="17">
        <v>150.0</v>
      </c>
      <c r="H350" s="17" t="s">
        <v>117</v>
      </c>
      <c r="J350" s="17" t="s">
        <v>221</v>
      </c>
      <c r="K350" s="17" t="s">
        <v>95</v>
      </c>
      <c r="N350" s="17">
        <v>1.0</v>
      </c>
      <c r="O350" s="17" t="s">
        <v>96</v>
      </c>
      <c r="P350" s="17" t="s">
        <v>109</v>
      </c>
      <c r="Q350" s="17" t="s">
        <v>98</v>
      </c>
      <c r="R350" s="17" t="s">
        <v>109</v>
      </c>
      <c r="S350" s="17" t="s">
        <v>865</v>
      </c>
      <c r="U350" s="17" t="s">
        <v>117</v>
      </c>
      <c r="V350" s="17">
        <v>7.396369586E9</v>
      </c>
      <c r="W350" s="17" t="s">
        <v>117</v>
      </c>
      <c r="AA350" s="17" t="s">
        <v>109</v>
      </c>
      <c r="AT350" s="17" t="s">
        <v>109</v>
      </c>
      <c r="AU350" s="17" t="s">
        <v>109</v>
      </c>
      <c r="AZ350" s="17" t="s">
        <v>182</v>
      </c>
      <c r="BA350" s="17" t="s">
        <v>458</v>
      </c>
      <c r="BB350" s="17" t="s">
        <v>76</v>
      </c>
      <c r="BP350" s="17" t="s">
        <v>1423</v>
      </c>
      <c r="BR350" s="7" t="str">
        <f t="shared" si="1"/>
        <v>Sri Krishna</v>
      </c>
    </row>
    <row r="351" ht="22.5" customHeight="1">
      <c r="A351" s="14">
        <v>46066.66998225695</v>
      </c>
      <c r="B351" s="15">
        <v>46066.0</v>
      </c>
      <c r="C351" s="16">
        <v>0.6666666666642413</v>
      </c>
      <c r="D351" s="17" t="s">
        <v>91</v>
      </c>
      <c r="F351" s="17">
        <v>10.0</v>
      </c>
      <c r="G351" s="17">
        <v>300.0</v>
      </c>
      <c r="H351" s="17" t="s">
        <v>388</v>
      </c>
      <c r="I351" s="17">
        <v>30000.0</v>
      </c>
      <c r="J351" s="17" t="s">
        <v>221</v>
      </c>
      <c r="K351" s="17" t="s">
        <v>273</v>
      </c>
      <c r="L351" s="17">
        <v>22.0</v>
      </c>
      <c r="M351" s="17">
        <v>20.0</v>
      </c>
      <c r="N351" s="17">
        <v>2.0</v>
      </c>
      <c r="O351" s="17" t="s">
        <v>96</v>
      </c>
      <c r="P351" s="17" t="s">
        <v>76</v>
      </c>
      <c r="Q351" s="17" t="s">
        <v>97</v>
      </c>
      <c r="R351" s="17" t="s">
        <v>76</v>
      </c>
      <c r="S351" s="17" t="s">
        <v>388</v>
      </c>
      <c r="U351" s="17" t="s">
        <v>388</v>
      </c>
      <c r="V351" s="17">
        <v>9.030474848E9</v>
      </c>
      <c r="W351" s="17" t="s">
        <v>1424</v>
      </c>
      <c r="AA351" s="17" t="s">
        <v>109</v>
      </c>
      <c r="AU351" s="17" t="s">
        <v>76</v>
      </c>
      <c r="AV351" s="17" t="s">
        <v>472</v>
      </c>
      <c r="AZ351" s="17" t="s">
        <v>131</v>
      </c>
      <c r="BA351" s="17" t="s">
        <v>458</v>
      </c>
      <c r="BB351" s="17" t="s">
        <v>76</v>
      </c>
      <c r="BL351" s="17">
        <v>15.0</v>
      </c>
      <c r="BN351" s="17" t="s">
        <v>865</v>
      </c>
      <c r="BP351" s="17" t="s">
        <v>1425</v>
      </c>
      <c r="BR351" s="7" t="str">
        <f t="shared" si="1"/>
        <v>Om sree Sai foods</v>
      </c>
    </row>
    <row r="352" ht="22.5" customHeight="1">
      <c r="A352" s="14">
        <v>46066.6784491088</v>
      </c>
      <c r="B352" s="15">
        <v>46072.0</v>
      </c>
      <c r="C352" s="16">
        <v>0.5833333333357587</v>
      </c>
      <c r="D352" s="17" t="s">
        <v>91</v>
      </c>
      <c r="F352" s="17">
        <v>20.0</v>
      </c>
      <c r="G352" s="17">
        <v>200.0</v>
      </c>
      <c r="H352" s="17" t="s">
        <v>388</v>
      </c>
      <c r="I352" s="17">
        <v>10000.0</v>
      </c>
      <c r="J352" s="17" t="s">
        <v>221</v>
      </c>
      <c r="K352" s="17" t="s">
        <v>1426</v>
      </c>
      <c r="L352" s="17">
        <v>22.0</v>
      </c>
      <c r="M352" s="17">
        <v>19.0</v>
      </c>
      <c r="N352" s="17">
        <v>1.0</v>
      </c>
      <c r="O352" s="17" t="s">
        <v>96</v>
      </c>
      <c r="P352" s="17" t="s">
        <v>76</v>
      </c>
      <c r="Q352" s="17" t="s">
        <v>97</v>
      </c>
      <c r="R352" s="17" t="s">
        <v>109</v>
      </c>
      <c r="S352" s="17" t="s">
        <v>388</v>
      </c>
      <c r="U352" s="17" t="s">
        <v>1427</v>
      </c>
      <c r="V352" s="17">
        <v>7.416812233E9</v>
      </c>
      <c r="W352" s="17" t="s">
        <v>388</v>
      </c>
      <c r="AA352" s="17" t="s">
        <v>109</v>
      </c>
      <c r="AU352" s="17" t="s">
        <v>76</v>
      </c>
      <c r="AV352" s="17" t="s">
        <v>373</v>
      </c>
      <c r="AZ352" s="17" t="s">
        <v>131</v>
      </c>
      <c r="BA352" s="17" t="s">
        <v>458</v>
      </c>
      <c r="BB352" s="17" t="s">
        <v>76</v>
      </c>
      <c r="BL352" s="17">
        <v>20.0</v>
      </c>
      <c r="BN352" s="17" t="s">
        <v>865</v>
      </c>
      <c r="BP352" s="17" t="s">
        <v>1428</v>
      </c>
      <c r="BR352" s="7" t="str">
        <f t="shared" si="1"/>
        <v>Manduva Ruchulu </v>
      </c>
    </row>
    <row r="353" ht="22.5" customHeight="1">
      <c r="A353" s="14">
        <v>46066.68354090278</v>
      </c>
      <c r="B353" s="15">
        <v>46066.0</v>
      </c>
      <c r="C353" s="16">
        <v>0.5833333333357587</v>
      </c>
      <c r="U353" s="17" t="s">
        <v>1429</v>
      </c>
      <c r="V353" s="17">
        <v>9.966321486E9</v>
      </c>
      <c r="W353" s="17" t="s">
        <v>117</v>
      </c>
      <c r="AA353" s="17" t="s">
        <v>109</v>
      </c>
      <c r="AU353" s="17" t="s">
        <v>76</v>
      </c>
      <c r="AW353" s="17" t="s">
        <v>1430</v>
      </c>
      <c r="AX353" s="15">
        <v>46069.0</v>
      </c>
      <c r="AY353" s="16">
        <v>0.45833333333575865</v>
      </c>
      <c r="AZ353" s="17" t="s">
        <v>164</v>
      </c>
      <c r="BA353" s="17" t="s">
        <v>458</v>
      </c>
      <c r="BB353" s="17" t="s">
        <v>109</v>
      </c>
      <c r="BP353" s="17" t="s">
        <v>1431</v>
      </c>
      <c r="BR353" s="7" t="str">
        <f t="shared" si="1"/>
        <v> dadas tiffin and fast food </v>
      </c>
    </row>
    <row r="354" ht="22.5" customHeight="1">
      <c r="A354" s="14">
        <v>46066.68501056713</v>
      </c>
      <c r="B354" s="15">
        <v>46069.0</v>
      </c>
      <c r="C354" s="16">
        <v>0.6041666666642413</v>
      </c>
      <c r="U354" s="17" t="s">
        <v>1432</v>
      </c>
      <c r="V354" s="17">
        <v>9.966740877E9</v>
      </c>
      <c r="W354" s="17" t="s">
        <v>117</v>
      </c>
      <c r="AA354" s="17" t="s">
        <v>109</v>
      </c>
      <c r="AU354" s="17" t="s">
        <v>76</v>
      </c>
      <c r="AW354" s="17" t="s">
        <v>1433</v>
      </c>
      <c r="AX354" s="15">
        <v>46069.0</v>
      </c>
      <c r="AY354" s="16">
        <v>0.45833333333575865</v>
      </c>
      <c r="AZ354" s="17" t="s">
        <v>164</v>
      </c>
      <c r="BA354" s="17" t="s">
        <v>458</v>
      </c>
      <c r="BB354" s="17" t="s">
        <v>109</v>
      </c>
      <c r="BP354" s="17" t="s">
        <v>1434</v>
      </c>
      <c r="BR354" s="7" t="str">
        <f t="shared" si="1"/>
        <v> Hotel shurbhi udpi</v>
      </c>
    </row>
    <row r="355" ht="22.5" customHeight="1">
      <c r="A355" s="14">
        <v>46066.687334675924</v>
      </c>
      <c r="B355" s="15">
        <v>46069.0</v>
      </c>
      <c r="C355" s="16">
        <v>0.625</v>
      </c>
      <c r="U355" s="17" t="s">
        <v>1435</v>
      </c>
      <c r="V355" s="17">
        <v>9.346951279E9</v>
      </c>
      <c r="W355" s="17" t="s">
        <v>117</v>
      </c>
      <c r="AA355" s="17" t="s">
        <v>109</v>
      </c>
      <c r="AU355" s="17" t="s">
        <v>76</v>
      </c>
      <c r="AV355" s="17" t="s">
        <v>114</v>
      </c>
      <c r="AW355" s="17" t="s">
        <v>1436</v>
      </c>
      <c r="AX355" s="15">
        <v>46069.0</v>
      </c>
      <c r="AY355" s="16">
        <v>0.625</v>
      </c>
      <c r="AZ355" s="17" t="s">
        <v>164</v>
      </c>
      <c r="BA355" s="17" t="s">
        <v>458</v>
      </c>
      <c r="BB355" s="17" t="s">
        <v>109</v>
      </c>
      <c r="BP355" s="17" t="s">
        <v>1437</v>
      </c>
      <c r="BR355" s="7" t="str">
        <f t="shared" si="1"/>
        <v>elite delight cafe </v>
      </c>
    </row>
    <row r="356" ht="22.5" customHeight="1">
      <c r="A356" s="14">
        <v>46066.6893075</v>
      </c>
      <c r="B356" s="15">
        <v>46067.0</v>
      </c>
      <c r="C356" s="16">
        <v>0.6666666666642413</v>
      </c>
      <c r="U356" s="17" t="s">
        <v>1438</v>
      </c>
      <c r="V356" s="17">
        <v>8.309678652E9</v>
      </c>
      <c r="W356" s="17" t="s">
        <v>117</v>
      </c>
      <c r="AA356" s="17" t="s">
        <v>109</v>
      </c>
      <c r="AU356" s="17" t="s">
        <v>76</v>
      </c>
      <c r="AV356" s="17" t="s">
        <v>373</v>
      </c>
      <c r="AW356" s="17" t="s">
        <v>1439</v>
      </c>
      <c r="AX356" s="15">
        <v>46066.0</v>
      </c>
      <c r="AY356" s="16">
        <v>0.25</v>
      </c>
      <c r="AZ356" s="17" t="s">
        <v>164</v>
      </c>
      <c r="BA356" s="17" t="s">
        <v>458</v>
      </c>
      <c r="BB356" s="17" t="s">
        <v>109</v>
      </c>
      <c r="BP356" s="17" t="s">
        <v>1440</v>
      </c>
      <c r="BR356" s="7" t="str">
        <f t="shared" si="1"/>
        <v> krishna grand  </v>
      </c>
    </row>
    <row r="357" ht="22.5" customHeight="1">
      <c r="A357" s="14">
        <v>46066.695858969906</v>
      </c>
      <c r="B357" s="15">
        <v>46066.0</v>
      </c>
      <c r="C357" s="16">
        <v>0.10416666666424135</v>
      </c>
      <c r="D357" s="17" t="s">
        <v>91</v>
      </c>
      <c r="F357" s="17">
        <v>90.0</v>
      </c>
      <c r="G357" s="17">
        <v>900.0</v>
      </c>
      <c r="H357" s="17" t="s">
        <v>1441</v>
      </c>
      <c r="J357" s="17" t="s">
        <v>167</v>
      </c>
      <c r="K357" s="17" t="s">
        <v>134</v>
      </c>
      <c r="N357" s="17">
        <v>1.0</v>
      </c>
      <c r="O357" s="17" t="s">
        <v>371</v>
      </c>
      <c r="P357" s="17" t="s">
        <v>76</v>
      </c>
      <c r="Q357" s="17" t="s">
        <v>97</v>
      </c>
      <c r="R357" s="17" t="s">
        <v>109</v>
      </c>
      <c r="S357" s="18" t="s">
        <v>1442</v>
      </c>
      <c r="U357" s="17" t="s">
        <v>1443</v>
      </c>
      <c r="V357" s="17">
        <v>9.989649223E9</v>
      </c>
      <c r="W357" s="17" t="s">
        <v>1444</v>
      </c>
      <c r="AA357" s="17" t="s">
        <v>109</v>
      </c>
      <c r="AU357" s="17" t="s">
        <v>76</v>
      </c>
      <c r="AV357" s="17" t="s">
        <v>271</v>
      </c>
      <c r="AW357" s="17" t="s">
        <v>1091</v>
      </c>
      <c r="AX357" s="15">
        <v>46069.0</v>
      </c>
      <c r="AY357" s="16">
        <v>0.10416666666424135</v>
      </c>
      <c r="AZ357" s="17" t="s">
        <v>356</v>
      </c>
      <c r="BA357" s="17" t="s">
        <v>491</v>
      </c>
      <c r="BN357" s="17" t="s">
        <v>1445</v>
      </c>
      <c r="BP357" s="17" t="s">
        <v>1446</v>
      </c>
      <c r="BR357" s="7" t="str">
        <f t="shared" si="1"/>
        <v>Kadali kitchen</v>
      </c>
    </row>
    <row r="358" ht="22.5" customHeight="1">
      <c r="A358" s="14">
        <v>46066.69774638889</v>
      </c>
      <c r="B358" s="15">
        <v>46066.0</v>
      </c>
      <c r="C358" s="16">
        <v>0.1875</v>
      </c>
      <c r="D358" s="17" t="s">
        <v>111</v>
      </c>
      <c r="T358" s="17" t="s">
        <v>1447</v>
      </c>
      <c r="U358" s="17" t="s">
        <v>1448</v>
      </c>
      <c r="V358" s="17" t="s">
        <v>1449</v>
      </c>
      <c r="W358" s="17" t="s">
        <v>1450</v>
      </c>
      <c r="AA358" s="17" t="s">
        <v>109</v>
      </c>
      <c r="AT358" s="17" t="s">
        <v>76</v>
      </c>
      <c r="AU358" s="17" t="s">
        <v>109</v>
      </c>
      <c r="AV358" s="17" t="s">
        <v>271</v>
      </c>
      <c r="AW358" s="17" t="s">
        <v>1451</v>
      </c>
      <c r="AX358" s="15">
        <v>46066.0</v>
      </c>
      <c r="AY358" s="16">
        <v>0.1875</v>
      </c>
      <c r="AZ358" s="17" t="s">
        <v>356</v>
      </c>
      <c r="BA358" s="17" t="s">
        <v>491</v>
      </c>
      <c r="BP358" s="17" t="s">
        <v>1452</v>
      </c>
      <c r="BR358" s="7" t="str">
        <f t="shared" si="1"/>
        <v>City 555City555</v>
      </c>
    </row>
    <row r="359" ht="22.5" customHeight="1">
      <c r="A359" s="14">
        <v>46066.701507164355</v>
      </c>
      <c r="B359" s="15">
        <v>46066.0</v>
      </c>
      <c r="C359" s="16">
        <v>0.14583333333575865</v>
      </c>
      <c r="D359" s="17" t="s">
        <v>111</v>
      </c>
      <c r="T359" s="17" t="s">
        <v>1453</v>
      </c>
      <c r="U359" s="17" t="s">
        <v>1454</v>
      </c>
      <c r="V359" s="17" t="s">
        <v>1455</v>
      </c>
      <c r="W359" s="17" t="s">
        <v>388</v>
      </c>
      <c r="AA359" s="17" t="s">
        <v>109</v>
      </c>
      <c r="AU359" s="17" t="s">
        <v>76</v>
      </c>
      <c r="AV359" s="17" t="s">
        <v>472</v>
      </c>
      <c r="AW359" s="17" t="s">
        <v>1456</v>
      </c>
      <c r="AX359" s="15">
        <v>46066.0</v>
      </c>
      <c r="AY359" s="16">
        <v>0.10416666666424135</v>
      </c>
      <c r="AZ359" s="17" t="s">
        <v>356</v>
      </c>
      <c r="BA359" s="17" t="s">
        <v>491</v>
      </c>
      <c r="BP359" s="17" t="s">
        <v>1457</v>
      </c>
      <c r="BR359" s="7" t="str">
        <f t="shared" si="1"/>
        <v>Imperative Imperial </v>
      </c>
    </row>
    <row r="360" ht="22.5" customHeight="1">
      <c r="A360" s="14">
        <v>46066.703459236116</v>
      </c>
      <c r="B360" s="15">
        <v>46066.0</v>
      </c>
      <c r="C360" s="16">
        <v>0.47916666666424135</v>
      </c>
      <c r="U360" s="17" t="s">
        <v>1458</v>
      </c>
      <c r="V360" s="17">
        <v>9.248067813E9</v>
      </c>
      <c r="W360" s="17" t="s">
        <v>388</v>
      </c>
      <c r="AA360" s="17" t="s">
        <v>109</v>
      </c>
      <c r="AU360" s="17" t="s">
        <v>76</v>
      </c>
      <c r="AV360" s="17" t="s">
        <v>271</v>
      </c>
      <c r="AW360" s="17" t="s">
        <v>1091</v>
      </c>
      <c r="AX360" s="15">
        <v>46066.0</v>
      </c>
      <c r="AY360" s="16">
        <v>0.47916666666424135</v>
      </c>
      <c r="AZ360" s="17" t="s">
        <v>356</v>
      </c>
      <c r="BA360" s="17" t="s">
        <v>458</v>
      </c>
      <c r="BB360" s="17" t="s">
        <v>109</v>
      </c>
      <c r="BP360" s="17" t="s">
        <v>1459</v>
      </c>
      <c r="BR360" s="7" t="str">
        <f t="shared" si="1"/>
        <v>Dwarak Res</v>
      </c>
    </row>
    <row r="361" ht="22.5" customHeight="1">
      <c r="A361" s="14">
        <v>46066.705858483794</v>
      </c>
      <c r="B361" s="15">
        <v>46066.0</v>
      </c>
      <c r="C361" s="16">
        <v>0.20138888889050577</v>
      </c>
      <c r="D361" s="17" t="s">
        <v>91</v>
      </c>
      <c r="F361" s="17">
        <v>120.0</v>
      </c>
      <c r="G361" s="17">
        <v>500.0</v>
      </c>
      <c r="H361" s="17" t="s">
        <v>509</v>
      </c>
      <c r="J361" s="17" t="s">
        <v>167</v>
      </c>
      <c r="K361" s="17" t="s">
        <v>134</v>
      </c>
      <c r="N361" s="17">
        <v>1.0</v>
      </c>
      <c r="O361" s="17" t="s">
        <v>1264</v>
      </c>
      <c r="P361" s="17" t="s">
        <v>76</v>
      </c>
      <c r="Q361" s="17" t="s">
        <v>97</v>
      </c>
      <c r="R361" s="17" t="s">
        <v>76</v>
      </c>
      <c r="S361" s="17" t="s">
        <v>664</v>
      </c>
      <c r="U361" s="17" t="s">
        <v>1460</v>
      </c>
      <c r="V361" s="17">
        <v>8.886741212E9</v>
      </c>
      <c r="W361" s="17" t="s">
        <v>388</v>
      </c>
      <c r="AA361" s="17" t="s">
        <v>109</v>
      </c>
      <c r="AU361" s="17" t="s">
        <v>76</v>
      </c>
      <c r="AV361" s="17" t="s">
        <v>271</v>
      </c>
      <c r="AZ361" s="17" t="s">
        <v>356</v>
      </c>
      <c r="BA361" s="17" t="s">
        <v>491</v>
      </c>
      <c r="BN361" s="17" t="s">
        <v>1461</v>
      </c>
      <c r="BP361" s="17" t="s">
        <v>1462</v>
      </c>
      <c r="BR361" s="7" t="str">
        <f t="shared" si="1"/>
        <v>Hyderabad wala</v>
      </c>
    </row>
    <row r="362" ht="22.5" customHeight="1">
      <c r="A362" s="14">
        <v>46066.70662498842</v>
      </c>
      <c r="B362" s="15">
        <v>46066.0</v>
      </c>
      <c r="C362" s="16">
        <v>0.15625</v>
      </c>
      <c r="U362" s="17" t="s">
        <v>1463</v>
      </c>
      <c r="V362" s="17">
        <v>9.700389127E9</v>
      </c>
      <c r="W362" s="17" t="s">
        <v>388</v>
      </c>
      <c r="AA362" s="17" t="s">
        <v>109</v>
      </c>
      <c r="AU362" s="17" t="s">
        <v>76</v>
      </c>
      <c r="AV362" s="17" t="s">
        <v>271</v>
      </c>
      <c r="AZ362" s="17" t="s">
        <v>356</v>
      </c>
      <c r="BA362" s="17" t="s">
        <v>458</v>
      </c>
      <c r="BB362" s="17" t="s">
        <v>109</v>
      </c>
      <c r="BP362" s="17" t="s">
        <v>1464</v>
      </c>
      <c r="BR362" s="7" t="str">
        <f t="shared" si="1"/>
        <v>Mana O Salv</v>
      </c>
    </row>
    <row r="363" ht="22.5" customHeight="1">
      <c r="A363" s="14">
        <v>46066.7075162963</v>
      </c>
      <c r="B363" s="15">
        <v>46066.0</v>
      </c>
      <c r="C363" s="16">
        <v>0.47916666666424135</v>
      </c>
      <c r="U363" s="17" t="s">
        <v>1465</v>
      </c>
      <c r="V363" s="17">
        <v>9.912324749E9</v>
      </c>
      <c r="W363" s="17" t="s">
        <v>388</v>
      </c>
      <c r="AA363" s="17" t="s">
        <v>109</v>
      </c>
      <c r="AU363" s="17" t="s">
        <v>76</v>
      </c>
      <c r="AV363" s="17" t="s">
        <v>271</v>
      </c>
      <c r="AX363" s="15">
        <v>46066.0</v>
      </c>
      <c r="AY363" s="16">
        <v>0.27083333333575865</v>
      </c>
      <c r="AZ363" s="17" t="s">
        <v>356</v>
      </c>
      <c r="BA363" s="17" t="s">
        <v>458</v>
      </c>
      <c r="BB363" s="17" t="s">
        <v>109</v>
      </c>
      <c r="BP363" s="17" t="s">
        <v>1466</v>
      </c>
      <c r="BR363" s="7" t="str">
        <f t="shared" si="1"/>
        <v>Sree Balaji Tiffins</v>
      </c>
    </row>
    <row r="364" ht="22.5" customHeight="1">
      <c r="A364" s="14">
        <v>46066.714879652776</v>
      </c>
      <c r="B364" s="15">
        <v>46066.0</v>
      </c>
      <c r="C364" s="16">
        <v>0.6736111111094942</v>
      </c>
      <c r="U364" s="17" t="s">
        <v>117</v>
      </c>
      <c r="V364" s="17" t="s">
        <v>117</v>
      </c>
      <c r="W364" s="17" t="s">
        <v>117</v>
      </c>
      <c r="AA364" s="17" t="s">
        <v>109</v>
      </c>
      <c r="AU364" s="17" t="s">
        <v>76</v>
      </c>
      <c r="AV364" s="17" t="s">
        <v>472</v>
      </c>
      <c r="AX364" s="15">
        <v>46069.0</v>
      </c>
      <c r="AY364" s="16">
        <v>0.6666666666642413</v>
      </c>
      <c r="AZ364" s="17" t="s">
        <v>287</v>
      </c>
      <c r="BA364" s="17" t="s">
        <v>458</v>
      </c>
      <c r="BB364" s="17" t="s">
        <v>109</v>
      </c>
      <c r="BP364" s="17" t="s">
        <v>816</v>
      </c>
      <c r="BR364" s="7" t="str">
        <f t="shared" si="1"/>
        <v>Santosh Dhaba</v>
      </c>
    </row>
    <row r="365" ht="22.5" customHeight="1">
      <c r="A365" s="14">
        <v>46066.71701408565</v>
      </c>
      <c r="B365" s="15">
        <v>46066.0</v>
      </c>
      <c r="C365" s="16">
        <v>0.6743055555562023</v>
      </c>
      <c r="U365" s="17" t="s">
        <v>1467</v>
      </c>
      <c r="V365" s="17">
        <v>9.949992294E9</v>
      </c>
      <c r="W365" s="17" t="s">
        <v>117</v>
      </c>
      <c r="AA365" s="17" t="s">
        <v>109</v>
      </c>
      <c r="AU365" s="17" t="s">
        <v>76</v>
      </c>
      <c r="AV365" s="17" t="s">
        <v>472</v>
      </c>
      <c r="AX365" s="15">
        <v>46069.0</v>
      </c>
      <c r="AY365" s="16">
        <v>0.45833333333575865</v>
      </c>
      <c r="AZ365" s="17" t="s">
        <v>287</v>
      </c>
      <c r="BA365" s="17" t="s">
        <v>458</v>
      </c>
      <c r="BB365" s="17" t="s">
        <v>109</v>
      </c>
      <c r="BP365" s="17" t="s">
        <v>1468</v>
      </c>
      <c r="BR365" s="7" t="str">
        <f t="shared" si="1"/>
        <v>Palnodu Caterers</v>
      </c>
    </row>
    <row r="366" ht="22.5" customHeight="1">
      <c r="A366" s="14">
        <v>46066.7180228588</v>
      </c>
      <c r="B366" s="15">
        <v>46066.0</v>
      </c>
      <c r="C366" s="16">
        <v>0.6819444444408873</v>
      </c>
      <c r="U366" s="17" t="s">
        <v>952</v>
      </c>
      <c r="V366" s="17">
        <v>9.70011819E9</v>
      </c>
      <c r="W366" s="17" t="s">
        <v>117</v>
      </c>
      <c r="AA366" s="17" t="s">
        <v>109</v>
      </c>
      <c r="AU366" s="17" t="s">
        <v>76</v>
      </c>
      <c r="AV366" s="17" t="s">
        <v>472</v>
      </c>
      <c r="AZ366" s="17" t="s">
        <v>287</v>
      </c>
      <c r="BA366" s="17" t="s">
        <v>458</v>
      </c>
      <c r="BB366" s="17" t="s">
        <v>109</v>
      </c>
      <c r="BP366" s="17" t="s">
        <v>1469</v>
      </c>
      <c r="BR366" s="7" t="str">
        <f t="shared" si="1"/>
        <v>The Bombay Chaat</v>
      </c>
    </row>
    <row r="367" ht="22.5" customHeight="1">
      <c r="A367" s="14">
        <v>46066.719074050925</v>
      </c>
      <c r="B367" s="15">
        <v>46066.0</v>
      </c>
      <c r="C367" s="16">
        <v>0.6875</v>
      </c>
      <c r="U367" s="17" t="s">
        <v>1470</v>
      </c>
      <c r="V367" s="17">
        <v>7.386992552E9</v>
      </c>
      <c r="W367" s="17" t="s">
        <v>117</v>
      </c>
      <c r="AA367" s="17" t="s">
        <v>109</v>
      </c>
      <c r="AU367" s="17" t="s">
        <v>76</v>
      </c>
      <c r="AV367" s="17" t="s">
        <v>472</v>
      </c>
      <c r="AZ367" s="17" t="s">
        <v>287</v>
      </c>
      <c r="BA367" s="17" t="s">
        <v>458</v>
      </c>
      <c r="BB367" s="17" t="s">
        <v>109</v>
      </c>
      <c r="BP367" s="17" t="s">
        <v>1471</v>
      </c>
      <c r="BR367" s="7" t="str">
        <f t="shared" si="1"/>
        <v>Sangeeth Kitchen </v>
      </c>
    </row>
    <row r="368" ht="22.5" customHeight="1">
      <c r="A368" s="14">
        <v>46066.72048751157</v>
      </c>
      <c r="B368" s="15">
        <v>46066.0</v>
      </c>
      <c r="C368" s="16">
        <v>0.6895833333328483</v>
      </c>
      <c r="U368" s="17" t="s">
        <v>454</v>
      </c>
      <c r="V368" s="17">
        <v>9.493862863E9</v>
      </c>
      <c r="W368" s="17" t="s">
        <v>117</v>
      </c>
      <c r="AA368" s="17" t="s">
        <v>109</v>
      </c>
      <c r="AU368" s="17" t="s">
        <v>76</v>
      </c>
      <c r="AV368" s="17" t="s">
        <v>472</v>
      </c>
      <c r="AZ368" s="17" t="s">
        <v>287</v>
      </c>
      <c r="BA368" s="17" t="s">
        <v>458</v>
      </c>
      <c r="BB368" s="17" t="s">
        <v>109</v>
      </c>
      <c r="BP368" s="17" t="s">
        <v>1472</v>
      </c>
      <c r="BR368" s="7" t="str">
        <f t="shared" si="1"/>
        <v>Bruvaka Tiffins</v>
      </c>
    </row>
    <row r="369" ht="22.5" customHeight="1">
      <c r="A369" s="14">
        <v>46066.72365126158</v>
      </c>
      <c r="B369" s="15">
        <v>46066.0</v>
      </c>
      <c r="C369" s="16">
        <v>0.6916666666656965</v>
      </c>
      <c r="U369" s="17" t="s">
        <v>846</v>
      </c>
      <c r="V369" s="17">
        <v>9.100396662E9</v>
      </c>
      <c r="W369" s="17" t="s">
        <v>117</v>
      </c>
      <c r="AA369" s="17" t="s">
        <v>109</v>
      </c>
      <c r="AU369" s="17" t="s">
        <v>76</v>
      </c>
      <c r="AV369" s="17" t="s">
        <v>472</v>
      </c>
      <c r="AX369" s="15">
        <v>46069.0</v>
      </c>
      <c r="AZ369" s="17" t="s">
        <v>287</v>
      </c>
      <c r="BA369" s="17" t="s">
        <v>458</v>
      </c>
      <c r="BB369" s="17" t="s">
        <v>109</v>
      </c>
      <c r="BP369" s="17" t="s">
        <v>1473</v>
      </c>
      <c r="BR369" s="7" t="str">
        <f t="shared" si="1"/>
        <v>Sri Raghavendra Cafe</v>
      </c>
    </row>
    <row r="370" ht="22.5" customHeight="1">
      <c r="A370" s="14">
        <v>46066.72458232639</v>
      </c>
      <c r="B370" s="15">
        <v>46066.0</v>
      </c>
      <c r="C370" s="16">
        <v>0.6958333333313931</v>
      </c>
      <c r="U370" s="17" t="s">
        <v>117</v>
      </c>
      <c r="V370" s="17" t="s">
        <v>117</v>
      </c>
      <c r="W370" s="17" t="s">
        <v>388</v>
      </c>
      <c r="AA370" s="17" t="s">
        <v>109</v>
      </c>
      <c r="AU370" s="17" t="s">
        <v>76</v>
      </c>
      <c r="AV370" s="17" t="s">
        <v>472</v>
      </c>
      <c r="AX370" s="15">
        <v>46069.0</v>
      </c>
      <c r="AZ370" s="17" t="s">
        <v>287</v>
      </c>
      <c r="BA370" s="17" t="s">
        <v>458</v>
      </c>
      <c r="BB370" s="17" t="s">
        <v>109</v>
      </c>
      <c r="BP370" s="17" t="s">
        <v>1474</v>
      </c>
      <c r="BR370" s="7" t="str">
        <f t="shared" si="1"/>
        <v>Errababu Pulavos</v>
      </c>
    </row>
    <row r="371" ht="22.5" customHeight="1">
      <c r="A371" s="14">
        <v>46066.726136365745</v>
      </c>
      <c r="B371" s="15">
        <v>46066.0</v>
      </c>
      <c r="C371" s="16">
        <v>0.6993055555576575</v>
      </c>
      <c r="U371" s="17" t="s">
        <v>117</v>
      </c>
      <c r="V371" s="17" t="s">
        <v>117</v>
      </c>
      <c r="W371" s="17" t="s">
        <v>117</v>
      </c>
      <c r="AA371" s="17" t="s">
        <v>109</v>
      </c>
      <c r="AU371" s="17" t="s">
        <v>76</v>
      </c>
      <c r="AV371" s="17" t="s">
        <v>1475</v>
      </c>
      <c r="AZ371" s="17" t="s">
        <v>287</v>
      </c>
      <c r="BA371" s="17" t="s">
        <v>458</v>
      </c>
      <c r="BB371" s="17" t="s">
        <v>109</v>
      </c>
      <c r="BP371" s="17" t="s">
        <v>1476</v>
      </c>
      <c r="BR371" s="7" t="str">
        <f t="shared" si="1"/>
        <v>Chittibabu Biryani </v>
      </c>
    </row>
    <row r="372" ht="22.5" customHeight="1">
      <c r="A372" s="14">
        <v>46066.72692872686</v>
      </c>
      <c r="B372" s="15">
        <v>46066.0</v>
      </c>
      <c r="C372" s="16">
        <v>0.6215277777810115</v>
      </c>
      <c r="D372" s="17" t="s">
        <v>91</v>
      </c>
      <c r="F372" s="17">
        <v>30.0</v>
      </c>
      <c r="G372" s="17">
        <v>130.0</v>
      </c>
      <c r="H372" s="17" t="s">
        <v>388</v>
      </c>
      <c r="I372" s="17">
        <v>25000.0</v>
      </c>
      <c r="J372" s="17" t="s">
        <v>221</v>
      </c>
      <c r="K372" s="17" t="s">
        <v>95</v>
      </c>
      <c r="N372" s="17">
        <v>1.0</v>
      </c>
      <c r="O372" s="17" t="s">
        <v>96</v>
      </c>
      <c r="P372" s="17" t="s">
        <v>76</v>
      </c>
      <c r="Q372" s="17" t="s">
        <v>97</v>
      </c>
      <c r="R372" s="17" t="s">
        <v>76</v>
      </c>
      <c r="S372" s="17" t="s">
        <v>388</v>
      </c>
      <c r="U372" s="17" t="s">
        <v>1477</v>
      </c>
      <c r="V372" s="17">
        <v>9.00002378E8</v>
      </c>
      <c r="W372" s="17" t="s">
        <v>388</v>
      </c>
      <c r="AA372" s="17" t="s">
        <v>76</v>
      </c>
      <c r="AB372" s="17" t="s">
        <v>1478</v>
      </c>
      <c r="AC372" s="18" t="s">
        <v>1479</v>
      </c>
      <c r="AD372" s="17" t="s">
        <v>388</v>
      </c>
      <c r="AF372" s="17" t="s">
        <v>1480</v>
      </c>
      <c r="AG372" s="18" t="s">
        <v>1481</v>
      </c>
      <c r="AL372" s="20" t="s">
        <v>1482</v>
      </c>
      <c r="AM372" s="17" t="s">
        <v>1483</v>
      </c>
      <c r="AN372" s="17" t="s">
        <v>1484</v>
      </c>
      <c r="AS372" s="17" t="s">
        <v>76</v>
      </c>
      <c r="AT372" s="17" t="s">
        <v>388</v>
      </c>
      <c r="AU372" s="17" t="s">
        <v>109</v>
      </c>
      <c r="AZ372" s="17" t="s">
        <v>151</v>
      </c>
      <c r="BA372" s="17" t="s">
        <v>458</v>
      </c>
      <c r="BB372" s="17" t="s">
        <v>76</v>
      </c>
      <c r="BH372" s="17">
        <v>17.0</v>
      </c>
      <c r="BI372" s="17" t="s">
        <v>109</v>
      </c>
      <c r="BJ372" s="16">
        <v>0.45833333333575865</v>
      </c>
      <c r="BK372" s="16">
        <v>0.9583333333357587</v>
      </c>
      <c r="BL372" s="17">
        <v>1.0</v>
      </c>
      <c r="BM372" s="17" t="s">
        <v>1485</v>
      </c>
      <c r="BN372" s="17" t="s">
        <v>388</v>
      </c>
      <c r="BP372" s="17" t="s">
        <v>1486</v>
      </c>
      <c r="BR372" s="7" t="str">
        <f t="shared" si="1"/>
        <v>Sahi nawabs biryani</v>
      </c>
    </row>
    <row r="373" ht="22.5" customHeight="1">
      <c r="A373" s="14">
        <v>46066.72758805555</v>
      </c>
      <c r="B373" s="15">
        <v>46066.0</v>
      </c>
      <c r="C373" s="16">
        <v>0.7048611111094942</v>
      </c>
      <c r="U373" s="17" t="s">
        <v>952</v>
      </c>
      <c r="V373" s="17">
        <v>7.306506572E9</v>
      </c>
      <c r="W373" s="17" t="s">
        <v>117</v>
      </c>
      <c r="AA373" s="17" t="s">
        <v>109</v>
      </c>
      <c r="AU373" s="17" t="s">
        <v>76</v>
      </c>
      <c r="AV373" s="17" t="s">
        <v>472</v>
      </c>
      <c r="AZ373" s="17" t="s">
        <v>287</v>
      </c>
      <c r="BA373" s="17" t="s">
        <v>458</v>
      </c>
      <c r="BB373" s="17" t="s">
        <v>109</v>
      </c>
      <c r="BP373" s="17" t="s">
        <v>1487</v>
      </c>
      <c r="BR373" s="7" t="str">
        <f t="shared" si="1"/>
        <v>Gadu Rajugari Ruchulu</v>
      </c>
    </row>
    <row r="374" ht="22.5" customHeight="1">
      <c r="A374" s="14">
        <v>46066.72860847222</v>
      </c>
      <c r="B374" s="15">
        <v>46066.0</v>
      </c>
      <c r="C374" s="16">
        <v>0.7118055555547471</v>
      </c>
      <c r="U374" s="17" t="s">
        <v>1488</v>
      </c>
      <c r="V374" s="17">
        <v>9.177171107E9</v>
      </c>
      <c r="W374" s="17" t="s">
        <v>117</v>
      </c>
      <c r="AA374" s="17" t="s">
        <v>109</v>
      </c>
      <c r="AU374" s="17" t="s">
        <v>76</v>
      </c>
      <c r="AV374" s="17" t="s">
        <v>472</v>
      </c>
      <c r="AX374" s="15">
        <v>46069.0</v>
      </c>
      <c r="AZ374" s="17" t="s">
        <v>287</v>
      </c>
      <c r="BA374" s="17" t="s">
        <v>458</v>
      </c>
      <c r="BB374" s="17" t="s">
        <v>109</v>
      </c>
      <c r="BP374" s="17" t="s">
        <v>1489</v>
      </c>
      <c r="BR374" s="7" t="str">
        <f t="shared" si="1"/>
        <v>Military Rajanna Hotel</v>
      </c>
    </row>
    <row r="375" ht="22.5" customHeight="1">
      <c r="A375" s="14">
        <v>46066.74107510417</v>
      </c>
      <c r="B375" s="15">
        <v>46066.0</v>
      </c>
      <c r="C375" s="16">
        <v>0.6458333333357587</v>
      </c>
      <c r="D375" s="17" t="s">
        <v>91</v>
      </c>
      <c r="F375" s="17">
        <v>50.0</v>
      </c>
      <c r="G375" s="17">
        <v>200.0</v>
      </c>
      <c r="H375" s="17" t="s">
        <v>1490</v>
      </c>
      <c r="I375" s="17">
        <v>50000.0</v>
      </c>
      <c r="J375" s="17" t="s">
        <v>221</v>
      </c>
      <c r="K375" s="17" t="s">
        <v>515</v>
      </c>
      <c r="L375" s="17">
        <v>30.0</v>
      </c>
      <c r="M375" s="17">
        <v>17.0</v>
      </c>
      <c r="N375" s="17">
        <v>1.0</v>
      </c>
      <c r="O375" s="17" t="s">
        <v>135</v>
      </c>
      <c r="P375" s="17" t="s">
        <v>109</v>
      </c>
      <c r="Q375" s="17" t="s">
        <v>97</v>
      </c>
      <c r="R375" s="17" t="s">
        <v>98</v>
      </c>
      <c r="S375" s="18" t="s">
        <v>1491</v>
      </c>
      <c r="U375" s="17" t="s">
        <v>1492</v>
      </c>
      <c r="V375" s="17" t="s">
        <v>1493</v>
      </c>
      <c r="W375" s="17" t="s">
        <v>388</v>
      </c>
      <c r="AA375" s="17" t="s">
        <v>76</v>
      </c>
      <c r="AB375" s="17">
        <v>2.3625030000684E13</v>
      </c>
      <c r="AC375" s="18" t="s">
        <v>1494</v>
      </c>
      <c r="AF375" s="17" t="s">
        <v>388</v>
      </c>
      <c r="AL375" s="17">
        <v>8.150356795E9</v>
      </c>
      <c r="AM375" s="17" t="s">
        <v>1495</v>
      </c>
      <c r="AN375" s="17" t="s">
        <v>1496</v>
      </c>
      <c r="AO375" s="17" t="s">
        <v>1497</v>
      </c>
      <c r="AS375" s="17" t="s">
        <v>76</v>
      </c>
      <c r="AT375" s="17" t="s">
        <v>388</v>
      </c>
      <c r="AU375" s="17" t="s">
        <v>109</v>
      </c>
      <c r="AZ375" s="17" t="s">
        <v>151</v>
      </c>
      <c r="BA375" s="17" t="s">
        <v>458</v>
      </c>
      <c r="BB375" s="17" t="s">
        <v>76</v>
      </c>
      <c r="BH375" s="17">
        <v>17.0</v>
      </c>
      <c r="BI375" s="17" t="s">
        <v>109</v>
      </c>
      <c r="BJ375" s="16">
        <v>0.5</v>
      </c>
      <c r="BK375" s="16">
        <v>0.9583333333357587</v>
      </c>
      <c r="BL375" s="17">
        <v>50.0</v>
      </c>
      <c r="BM375" s="17" t="s">
        <v>1498</v>
      </c>
      <c r="BP375" s="17" t="s">
        <v>1499</v>
      </c>
      <c r="BR375" s="7" t="str">
        <f t="shared" si="1"/>
        <v>Bulli abbai kodi palav</v>
      </c>
    </row>
    <row r="376" ht="22.5" customHeight="1">
      <c r="A376" s="14">
        <v>46066.7528268287</v>
      </c>
      <c r="B376" s="15">
        <v>46065.0</v>
      </c>
      <c r="C376" s="16">
        <v>0.6458333333357587</v>
      </c>
      <c r="D376" s="17" t="s">
        <v>91</v>
      </c>
      <c r="F376" s="17">
        <v>3.0</v>
      </c>
      <c r="G376" s="17">
        <v>300.0</v>
      </c>
      <c r="H376" s="17" t="s">
        <v>423</v>
      </c>
      <c r="I376" s="17">
        <v>20000.0</v>
      </c>
      <c r="J376" s="17" t="s">
        <v>221</v>
      </c>
      <c r="K376" s="17" t="s">
        <v>273</v>
      </c>
      <c r="L376" s="17">
        <v>30.0</v>
      </c>
      <c r="M376" s="17">
        <v>15.0</v>
      </c>
      <c r="N376" s="17">
        <v>1.0</v>
      </c>
      <c r="O376" s="17" t="s">
        <v>96</v>
      </c>
      <c r="P376" s="17" t="s">
        <v>109</v>
      </c>
      <c r="Q376" s="17" t="s">
        <v>97</v>
      </c>
      <c r="R376" s="17" t="s">
        <v>109</v>
      </c>
      <c r="S376" s="18" t="s">
        <v>1500</v>
      </c>
      <c r="U376" s="17" t="s">
        <v>1501</v>
      </c>
      <c r="V376" s="17">
        <v>9.652222583E9</v>
      </c>
      <c r="W376" s="17" t="s">
        <v>1502</v>
      </c>
      <c r="AA376" s="17" t="s">
        <v>76</v>
      </c>
      <c r="AB376" s="17">
        <v>2.3625030006925E13</v>
      </c>
      <c r="AC376" s="18" t="s">
        <v>1503</v>
      </c>
      <c r="AD376" s="17" t="s">
        <v>388</v>
      </c>
      <c r="AF376" s="17" t="s">
        <v>1504</v>
      </c>
      <c r="AG376" s="18" t="s">
        <v>1505</v>
      </c>
      <c r="AK376" s="18" t="s">
        <v>1506</v>
      </c>
      <c r="AL376" s="17">
        <v>1.47661900001351E14</v>
      </c>
      <c r="AM376" s="17" t="s">
        <v>1507</v>
      </c>
      <c r="AN376" s="17" t="s">
        <v>1508</v>
      </c>
      <c r="AO376" s="17" t="s">
        <v>1501</v>
      </c>
      <c r="AS376" s="17" t="s">
        <v>76</v>
      </c>
      <c r="AT376" s="17" t="s">
        <v>388</v>
      </c>
      <c r="AU376" s="17" t="s">
        <v>109</v>
      </c>
      <c r="AZ376" s="17" t="s">
        <v>151</v>
      </c>
      <c r="BA376" s="17" t="s">
        <v>458</v>
      </c>
      <c r="BB376" s="17" t="s">
        <v>76</v>
      </c>
      <c r="BH376" s="17">
        <v>15.0</v>
      </c>
      <c r="BI376" s="17" t="s">
        <v>109</v>
      </c>
      <c r="BJ376" s="16">
        <v>0.41666666666424135</v>
      </c>
      <c r="BK376" s="16">
        <v>0.9993055555532919</v>
      </c>
      <c r="BL376" s="17" t="s">
        <v>594</v>
      </c>
      <c r="BM376" s="17" t="s">
        <v>1509</v>
      </c>
      <c r="BP376" s="17" t="s">
        <v>1510</v>
      </c>
      <c r="BR376" s="7" t="str">
        <f t="shared" si="1"/>
        <v>Arukha Flavours </v>
      </c>
    </row>
    <row r="377" ht="22.5" customHeight="1">
      <c r="A377" s="14">
        <v>46066.75887733796</v>
      </c>
      <c r="B377" s="15">
        <v>46065.0</v>
      </c>
      <c r="C377" s="16">
        <v>0.6458333333357587</v>
      </c>
      <c r="D377" s="17" t="s">
        <v>111</v>
      </c>
      <c r="T377" s="17" t="s">
        <v>388</v>
      </c>
      <c r="U377" s="17" t="s">
        <v>1501</v>
      </c>
      <c r="V377" s="17" t="s">
        <v>388</v>
      </c>
      <c r="W377" s="17" t="s">
        <v>388</v>
      </c>
      <c r="AA377" s="17" t="s">
        <v>76</v>
      </c>
      <c r="AB377" s="17">
        <v>2.3625030006936E13</v>
      </c>
      <c r="AC377" s="18" t="s">
        <v>1511</v>
      </c>
      <c r="AF377" s="17" t="s">
        <v>1504</v>
      </c>
      <c r="AG377" s="18" t="s">
        <v>1512</v>
      </c>
      <c r="AK377" s="18" t="s">
        <v>1513</v>
      </c>
      <c r="AL377" s="17">
        <v>1.47661900001351E14</v>
      </c>
      <c r="AM377" s="17" t="s">
        <v>1507</v>
      </c>
      <c r="AN377" s="17" t="s">
        <v>1514</v>
      </c>
      <c r="AS377" s="17" t="s">
        <v>76</v>
      </c>
      <c r="AT377" s="17" t="s">
        <v>117</v>
      </c>
      <c r="AU377" s="17" t="s">
        <v>109</v>
      </c>
      <c r="AZ377" s="17" t="s">
        <v>151</v>
      </c>
      <c r="BA377" s="17" t="s">
        <v>458</v>
      </c>
      <c r="BB377" s="17" t="s">
        <v>76</v>
      </c>
      <c r="BH377" s="17">
        <v>15.0</v>
      </c>
      <c r="BI377" s="17" t="s">
        <v>109</v>
      </c>
      <c r="BJ377" s="16">
        <v>0.45833333333575865</v>
      </c>
      <c r="BM377" s="17" t="s">
        <v>1509</v>
      </c>
      <c r="BP377" s="17" t="s">
        <v>1515</v>
      </c>
      <c r="BR377" s="7" t="str">
        <f t="shared" si="1"/>
        <v>Amma chethi RuchuluNa</v>
      </c>
    </row>
    <row r="378" ht="22.5" customHeight="1">
      <c r="A378" s="14">
        <v>46066.76320901621</v>
      </c>
      <c r="B378" s="15">
        <v>46066.0</v>
      </c>
      <c r="C378" s="16">
        <v>0.12569444444670808</v>
      </c>
      <c r="U378" s="17" t="s">
        <v>1516</v>
      </c>
      <c r="V378" s="17" t="s">
        <v>1517</v>
      </c>
      <c r="W378" s="17" t="s">
        <v>117</v>
      </c>
      <c r="X378" s="17" t="s">
        <v>117</v>
      </c>
      <c r="AA378" s="17" t="s">
        <v>109</v>
      </c>
      <c r="AU378" s="17" t="s">
        <v>76</v>
      </c>
      <c r="AV378" s="17" t="s">
        <v>271</v>
      </c>
      <c r="AZ378" s="17" t="s">
        <v>182</v>
      </c>
      <c r="BA378" s="17" t="s">
        <v>458</v>
      </c>
      <c r="BB378" s="17" t="s">
        <v>109</v>
      </c>
      <c r="BP378" s="17" t="s">
        <v>1518</v>
      </c>
      <c r="BR378" s="7" t="str">
        <f t="shared" si="1"/>
        <v>Tara kitchen </v>
      </c>
    </row>
    <row r="379" ht="22.5" customHeight="1">
      <c r="A379" s="14">
        <v>46066.76408688657</v>
      </c>
      <c r="B379" s="15">
        <v>46066.0</v>
      </c>
      <c r="C379" s="16">
        <v>0.16041666666569654</v>
      </c>
      <c r="U379" s="17" t="s">
        <v>117</v>
      </c>
      <c r="V379" s="17" t="s">
        <v>117</v>
      </c>
      <c r="W379" s="17" t="s">
        <v>117</v>
      </c>
      <c r="X379" s="17" t="s">
        <v>117</v>
      </c>
      <c r="AA379" s="17" t="s">
        <v>109</v>
      </c>
      <c r="AU379" s="17" t="s">
        <v>76</v>
      </c>
      <c r="AV379" s="17" t="s">
        <v>271</v>
      </c>
      <c r="AZ379" s="17" t="s">
        <v>182</v>
      </c>
      <c r="BA379" s="17" t="s">
        <v>458</v>
      </c>
      <c r="BB379" s="17" t="s">
        <v>109</v>
      </c>
      <c r="BP379" s="17" t="s">
        <v>1519</v>
      </c>
      <c r="BR379" s="7" t="str">
        <f t="shared" si="1"/>
        <v>Hello Kafe </v>
      </c>
    </row>
    <row r="380" ht="22.5" customHeight="1">
      <c r="A380" s="14">
        <v>46066.7659133912</v>
      </c>
      <c r="B380" s="15">
        <v>46066.0</v>
      </c>
      <c r="C380" s="16">
        <v>0.21527777778101154</v>
      </c>
      <c r="U380" s="17" t="s">
        <v>1520</v>
      </c>
      <c r="V380" s="17" t="s">
        <v>1521</v>
      </c>
      <c r="W380" s="17" t="s">
        <v>117</v>
      </c>
      <c r="AA380" s="17" t="s">
        <v>109</v>
      </c>
      <c r="AU380" s="17" t="s">
        <v>76</v>
      </c>
      <c r="AV380" s="17" t="s">
        <v>271</v>
      </c>
      <c r="AZ380" s="17" t="s">
        <v>182</v>
      </c>
      <c r="BA380" s="17" t="s">
        <v>458</v>
      </c>
      <c r="BB380" s="17" t="s">
        <v>109</v>
      </c>
      <c r="BP380" s="17" t="s">
        <v>1522</v>
      </c>
      <c r="BR380" s="7" t="str">
        <f t="shared" si="1"/>
        <v>Brew Gato</v>
      </c>
    </row>
    <row r="381" ht="22.5" customHeight="1">
      <c r="A381" s="14">
        <v>46066.76947818287</v>
      </c>
      <c r="B381" s="15">
        <v>46065.0</v>
      </c>
      <c r="C381" s="16">
        <v>0.625</v>
      </c>
      <c r="D381" s="17" t="s">
        <v>91</v>
      </c>
      <c r="F381" s="17">
        <v>1.0</v>
      </c>
      <c r="G381" s="17">
        <v>300.0</v>
      </c>
      <c r="H381" s="17" t="s">
        <v>423</v>
      </c>
      <c r="I381" s="17">
        <v>20000.0</v>
      </c>
      <c r="J381" s="17" t="s">
        <v>221</v>
      </c>
      <c r="K381" s="17" t="s">
        <v>273</v>
      </c>
      <c r="N381" s="17">
        <v>1.0</v>
      </c>
      <c r="O381" s="17" t="s">
        <v>96</v>
      </c>
      <c r="P381" s="17" t="s">
        <v>109</v>
      </c>
      <c r="Q381" s="17" t="s">
        <v>97</v>
      </c>
      <c r="R381" s="17" t="s">
        <v>109</v>
      </c>
      <c r="S381" s="17" t="s">
        <v>388</v>
      </c>
      <c r="U381" s="17" t="s">
        <v>1501</v>
      </c>
      <c r="V381" s="17" t="s">
        <v>388</v>
      </c>
      <c r="W381" s="17" t="s">
        <v>113</v>
      </c>
      <c r="AA381" s="17" t="s">
        <v>76</v>
      </c>
      <c r="AB381" s="17">
        <v>2.362503000395E12</v>
      </c>
      <c r="AC381" s="18" t="s">
        <v>1523</v>
      </c>
      <c r="AF381" s="17" t="s">
        <v>1504</v>
      </c>
      <c r="AG381" s="18" t="s">
        <v>1524</v>
      </c>
      <c r="AK381" s="18" t="s">
        <v>1525</v>
      </c>
      <c r="AL381" s="17">
        <v>1.47661900001351E14</v>
      </c>
      <c r="AM381" s="17" t="s">
        <v>1507</v>
      </c>
      <c r="AN381" s="17" t="s">
        <v>1526</v>
      </c>
      <c r="AS381" s="17" t="s">
        <v>76</v>
      </c>
      <c r="AT381" s="17" t="s">
        <v>388</v>
      </c>
      <c r="AU381" s="17" t="s">
        <v>109</v>
      </c>
      <c r="AZ381" s="17" t="s">
        <v>151</v>
      </c>
      <c r="BA381" s="17" t="s">
        <v>458</v>
      </c>
      <c r="BB381" s="17" t="s">
        <v>76</v>
      </c>
      <c r="BH381" s="17">
        <v>15.0</v>
      </c>
      <c r="BI381" s="17" t="s">
        <v>109</v>
      </c>
      <c r="BJ381" s="16">
        <v>0.45833333333575865</v>
      </c>
      <c r="BK381" s="16">
        <v>0.9993055555532919</v>
      </c>
      <c r="BL381" s="17">
        <v>40.0</v>
      </c>
      <c r="BM381" s="17" t="s">
        <v>1509</v>
      </c>
      <c r="BN381" s="17" t="s">
        <v>388</v>
      </c>
      <c r="BP381" s="17" t="s">
        <v>1515</v>
      </c>
      <c r="BR381" s="7" t="str">
        <f t="shared" si="1"/>
        <v>Amma chethi Ruchulu</v>
      </c>
    </row>
    <row r="382" ht="22.5" customHeight="1">
      <c r="A382" s="14">
        <v>46066.79286540509</v>
      </c>
      <c r="B382" s="15">
        <v>46066.0</v>
      </c>
      <c r="C382" s="16">
        <v>0.625</v>
      </c>
      <c r="D382" s="17" t="s">
        <v>111</v>
      </c>
      <c r="T382" s="17" t="s">
        <v>1527</v>
      </c>
      <c r="U382" s="17" t="s">
        <v>1528</v>
      </c>
      <c r="V382" s="17">
        <v>7.066346634E9</v>
      </c>
      <c r="W382" s="17" t="s">
        <v>1529</v>
      </c>
      <c r="AA382" s="17" t="s">
        <v>76</v>
      </c>
      <c r="AS382" s="17" t="s">
        <v>76</v>
      </c>
      <c r="AT382" s="17" t="s">
        <v>1530</v>
      </c>
      <c r="AU382" s="17" t="s">
        <v>109</v>
      </c>
      <c r="AZ382" s="17" t="s">
        <v>115</v>
      </c>
      <c r="BA382" s="17" t="s">
        <v>458</v>
      </c>
      <c r="BB382" s="17" t="s">
        <v>76</v>
      </c>
      <c r="BM382" s="17" t="s">
        <v>1531</v>
      </c>
      <c r="BP382" s="17" t="s">
        <v>1532</v>
      </c>
      <c r="BR382" s="7" t="str">
        <f t="shared" si="1"/>
        <v> Bhimavaram thali Bhimavaram thali </v>
      </c>
    </row>
    <row r="383" ht="22.5" customHeight="1">
      <c r="A383" s="14">
        <v>46066.95462560185</v>
      </c>
      <c r="B383" s="15">
        <v>46066.0</v>
      </c>
      <c r="C383" s="16">
        <v>0.48611111110949423</v>
      </c>
      <c r="D383" s="17" t="s">
        <v>111</v>
      </c>
      <c r="T383" s="17" t="s">
        <v>1533</v>
      </c>
      <c r="U383" s="17" t="s">
        <v>1534</v>
      </c>
      <c r="V383" s="17">
        <v>7.893779377E9</v>
      </c>
      <c r="W383" s="17" t="s">
        <v>113</v>
      </c>
      <c r="AA383" s="17" t="s">
        <v>109</v>
      </c>
      <c r="AU383" s="17" t="s">
        <v>76</v>
      </c>
      <c r="AV383" s="17" t="s">
        <v>271</v>
      </c>
      <c r="AZ383" s="17" t="s">
        <v>539</v>
      </c>
      <c r="BA383" s="17" t="s">
        <v>458</v>
      </c>
      <c r="BB383" s="17" t="s">
        <v>76</v>
      </c>
      <c r="BP383" s="17" t="s">
        <v>1535</v>
      </c>
      <c r="BR383" s="7" t="str">
        <f t="shared" si="1"/>
        <v>badrachalam cafe badrachalam cafe</v>
      </c>
    </row>
    <row r="384" ht="22.5" customHeight="1">
      <c r="A384" s="14">
        <v>46066.9560881713</v>
      </c>
      <c r="B384" s="15">
        <v>46066.0</v>
      </c>
      <c r="C384" s="16">
        <v>0.5124999999970896</v>
      </c>
      <c r="D384" s="17" t="s">
        <v>91</v>
      </c>
      <c r="F384" s="17">
        <v>25.0</v>
      </c>
      <c r="G384" s="17">
        <v>200.0</v>
      </c>
      <c r="H384" s="17" t="s">
        <v>113</v>
      </c>
      <c r="J384" s="17" t="s">
        <v>221</v>
      </c>
      <c r="N384" s="17">
        <v>1.0</v>
      </c>
      <c r="O384" s="17" t="s">
        <v>96</v>
      </c>
      <c r="P384" s="17" t="s">
        <v>109</v>
      </c>
      <c r="Q384" s="17" t="s">
        <v>97</v>
      </c>
      <c r="R384" s="17" t="s">
        <v>76</v>
      </c>
      <c r="S384" s="17" t="s">
        <v>113</v>
      </c>
      <c r="U384" s="17" t="s">
        <v>1536</v>
      </c>
      <c r="V384" s="17">
        <v>9.66644062E9</v>
      </c>
      <c r="W384" s="17" t="s">
        <v>113</v>
      </c>
      <c r="AA384" s="17" t="s">
        <v>109</v>
      </c>
      <c r="AU384" s="17" t="s">
        <v>76</v>
      </c>
      <c r="AV384" s="17" t="s">
        <v>472</v>
      </c>
      <c r="AZ384" s="17" t="s">
        <v>539</v>
      </c>
      <c r="BA384" s="17" t="s">
        <v>458</v>
      </c>
      <c r="BB384" s="17" t="s">
        <v>76</v>
      </c>
      <c r="BN384" s="17" t="s">
        <v>1537</v>
      </c>
      <c r="BP384" s="17" t="s">
        <v>1538</v>
      </c>
      <c r="BR384" s="7" t="str">
        <f t="shared" si="1"/>
        <v>laibas cafe</v>
      </c>
    </row>
    <row r="385" ht="22.5" customHeight="1">
      <c r="A385" s="14">
        <v>46066.95671251157</v>
      </c>
      <c r="B385" s="15" t="s">
        <v>1539</v>
      </c>
      <c r="C385" s="16">
        <v>0.5180555555562023</v>
      </c>
      <c r="U385" s="17" t="s">
        <v>113</v>
      </c>
      <c r="V385" s="17" t="s">
        <v>113</v>
      </c>
      <c r="W385" s="17" t="s">
        <v>113</v>
      </c>
      <c r="AA385" s="17" t="s">
        <v>109</v>
      </c>
      <c r="AU385" s="17" t="s">
        <v>76</v>
      </c>
      <c r="AV385" s="17" t="s">
        <v>472</v>
      </c>
      <c r="AZ385" s="17" t="s">
        <v>539</v>
      </c>
      <c r="BA385" s="17" t="s">
        <v>458</v>
      </c>
      <c r="BB385" s="17" t="s">
        <v>109</v>
      </c>
      <c r="BP385" s="17" t="s">
        <v>1540</v>
      </c>
      <c r="BR385" s="7" t="str">
        <f t="shared" si="1"/>
        <v>rrr mandi</v>
      </c>
    </row>
    <row r="386" ht="22.5" customHeight="1">
      <c r="A386" s="14">
        <v>46066.95761696759</v>
      </c>
      <c r="B386" s="15">
        <v>46066.0</v>
      </c>
      <c r="C386" s="16">
        <v>0.06874999999854481</v>
      </c>
      <c r="D386" s="17" t="s">
        <v>111</v>
      </c>
      <c r="T386" s="17" t="s">
        <v>1541</v>
      </c>
      <c r="U386" s="17" t="s">
        <v>1542</v>
      </c>
      <c r="V386" s="17" t="s">
        <v>113</v>
      </c>
      <c r="W386" s="17" t="s">
        <v>113</v>
      </c>
      <c r="AA386" s="17" t="s">
        <v>109</v>
      </c>
      <c r="AU386" s="17" t="s">
        <v>76</v>
      </c>
      <c r="AV386" s="17" t="s">
        <v>88</v>
      </c>
      <c r="AZ386" s="17" t="s">
        <v>539</v>
      </c>
      <c r="BA386" s="17" t="s">
        <v>458</v>
      </c>
      <c r="BB386" s="17" t="s">
        <v>76</v>
      </c>
      <c r="BP386" s="17" t="s">
        <v>1541</v>
      </c>
      <c r="BR386" s="7" t="str">
        <f t="shared" si="1"/>
        <v>bab al mandibab al mandi</v>
      </c>
    </row>
    <row r="387" ht="22.5" customHeight="1">
      <c r="A387" s="14">
        <v>46066.95822584491</v>
      </c>
      <c r="B387" s="15">
        <v>46066.0</v>
      </c>
      <c r="C387" s="16">
        <v>0.10069444444525288</v>
      </c>
      <c r="U387" s="17" t="s">
        <v>1543</v>
      </c>
      <c r="V387" s="17" t="s">
        <v>1543</v>
      </c>
      <c r="W387" s="17" t="s">
        <v>113</v>
      </c>
      <c r="AA387" s="17" t="s">
        <v>109</v>
      </c>
      <c r="AU387" s="17" t="s">
        <v>76</v>
      </c>
      <c r="AV387" s="17" t="s">
        <v>472</v>
      </c>
      <c r="AZ387" s="17" t="s">
        <v>539</v>
      </c>
      <c r="BA387" s="17" t="s">
        <v>458</v>
      </c>
      <c r="BB387" s="17" t="s">
        <v>109</v>
      </c>
      <c r="BP387" s="17" t="s">
        <v>1544</v>
      </c>
      <c r="BR387" s="7" t="str">
        <f t="shared" si="1"/>
        <v>arabian affairs </v>
      </c>
    </row>
    <row r="388" ht="22.5" customHeight="1">
      <c r="A388" s="14">
        <v>46066.95887591435</v>
      </c>
      <c r="B388" s="15">
        <v>46066.0</v>
      </c>
      <c r="C388" s="16">
        <v>0.11527777777519077</v>
      </c>
      <c r="U388" s="17" t="s">
        <v>113</v>
      </c>
      <c r="V388" s="17" t="s">
        <v>113</v>
      </c>
      <c r="W388" s="17" t="s">
        <v>113</v>
      </c>
      <c r="AA388" s="17" t="s">
        <v>109</v>
      </c>
      <c r="AU388" s="17" t="s">
        <v>76</v>
      </c>
      <c r="AV388" s="17" t="s">
        <v>88</v>
      </c>
      <c r="AZ388" s="17" t="s">
        <v>539</v>
      </c>
      <c r="BA388" s="17" t="s">
        <v>458</v>
      </c>
      <c r="BB388" s="17" t="s">
        <v>109</v>
      </c>
      <c r="BP388" s="17" t="s">
        <v>1545</v>
      </c>
      <c r="BR388" s="7" t="str">
        <f t="shared" si="1"/>
        <v>sreenindhi fast food </v>
      </c>
    </row>
    <row r="389" ht="22.5" customHeight="1">
      <c r="A389" s="14">
        <v>46066.95974396991</v>
      </c>
      <c r="B389" s="15">
        <v>46066.0</v>
      </c>
      <c r="C389" s="16">
        <v>0.117361111115315</v>
      </c>
      <c r="D389" s="17" t="s">
        <v>111</v>
      </c>
      <c r="T389" s="17" t="s">
        <v>1546</v>
      </c>
      <c r="U389" s="17" t="s">
        <v>1547</v>
      </c>
      <c r="V389" s="17">
        <v>9.505255701E9</v>
      </c>
      <c r="W389" s="17" t="s">
        <v>113</v>
      </c>
      <c r="AA389" s="17" t="s">
        <v>109</v>
      </c>
      <c r="AU389" s="17" t="s">
        <v>76</v>
      </c>
      <c r="AZ389" s="17" t="s">
        <v>539</v>
      </c>
      <c r="BA389" s="17" t="s">
        <v>458</v>
      </c>
      <c r="BB389" s="17" t="s">
        <v>76</v>
      </c>
      <c r="BP389" s="17" t="s">
        <v>1548</v>
      </c>
      <c r="BR389" s="7" t="str">
        <f t="shared" si="1"/>
        <v>oven fresh bakery oven fresh bakery</v>
      </c>
    </row>
    <row r="390" ht="22.5" customHeight="1">
      <c r="A390" s="14">
        <v>46066.96089278936</v>
      </c>
      <c r="B390" s="15">
        <v>46066.0</v>
      </c>
      <c r="C390" s="16">
        <v>0.14930555555474712</v>
      </c>
      <c r="D390" s="17" t="s">
        <v>91</v>
      </c>
      <c r="F390" s="17">
        <v>30.0</v>
      </c>
      <c r="G390" s="17">
        <v>300.0</v>
      </c>
      <c r="H390" s="17" t="s">
        <v>113</v>
      </c>
      <c r="J390" s="17" t="s">
        <v>94</v>
      </c>
      <c r="K390" s="17" t="s">
        <v>134</v>
      </c>
      <c r="N390" s="17">
        <v>1.0</v>
      </c>
      <c r="O390" s="17" t="s">
        <v>96</v>
      </c>
      <c r="P390" s="17" t="s">
        <v>109</v>
      </c>
      <c r="Q390" s="17" t="s">
        <v>97</v>
      </c>
      <c r="R390" s="17" t="s">
        <v>76</v>
      </c>
      <c r="S390" s="17" t="s">
        <v>113</v>
      </c>
      <c r="U390" s="17" t="s">
        <v>1549</v>
      </c>
      <c r="V390" s="17">
        <v>8.919193385E9</v>
      </c>
      <c r="W390" s="17" t="s">
        <v>113</v>
      </c>
      <c r="AA390" s="17" t="s">
        <v>109</v>
      </c>
      <c r="AU390" s="17" t="s">
        <v>76</v>
      </c>
      <c r="AV390" s="17" t="s">
        <v>88</v>
      </c>
      <c r="AZ390" s="17" t="s">
        <v>539</v>
      </c>
      <c r="BA390" s="17" t="s">
        <v>458</v>
      </c>
      <c r="BB390" s="17" t="s">
        <v>76</v>
      </c>
      <c r="BN390" s="17" t="s">
        <v>1550</v>
      </c>
      <c r="BP390" s="17" t="s">
        <v>1551</v>
      </c>
      <c r="BR390" s="7" t="str">
        <f t="shared" si="1"/>
        <v>nawabi </v>
      </c>
    </row>
    <row r="391" ht="22.5" customHeight="1">
      <c r="A391" s="14">
        <v>46066.96220260416</v>
      </c>
      <c r="B391" s="15">
        <v>46066.0</v>
      </c>
      <c r="C391" s="16">
        <v>0.1618055555591127</v>
      </c>
      <c r="D391" s="17" t="s">
        <v>91</v>
      </c>
      <c r="F391" s="17">
        <v>35.0</v>
      </c>
      <c r="G391" s="17">
        <v>200.0</v>
      </c>
      <c r="H391" s="17" t="s">
        <v>113</v>
      </c>
      <c r="J391" s="17" t="s">
        <v>94</v>
      </c>
      <c r="K391" s="17" t="s">
        <v>134</v>
      </c>
      <c r="N391" s="17">
        <v>1.0</v>
      </c>
      <c r="O391" s="17" t="s">
        <v>96</v>
      </c>
      <c r="P391" s="17" t="s">
        <v>109</v>
      </c>
      <c r="Q391" s="17" t="s">
        <v>97</v>
      </c>
      <c r="R391" s="17" t="s">
        <v>76</v>
      </c>
      <c r="S391" s="17" t="s">
        <v>113</v>
      </c>
      <c r="U391" s="17" t="s">
        <v>1552</v>
      </c>
      <c r="V391" s="17">
        <v>9.980102334E9</v>
      </c>
      <c r="W391" s="17" t="s">
        <v>113</v>
      </c>
      <c r="AA391" s="17" t="s">
        <v>109</v>
      </c>
      <c r="AU391" s="17" t="s">
        <v>76</v>
      </c>
      <c r="AV391" s="17" t="s">
        <v>88</v>
      </c>
      <c r="AZ391" s="17" t="s">
        <v>539</v>
      </c>
      <c r="BA391" s="17" t="s">
        <v>458</v>
      </c>
      <c r="BB391" s="17" t="s">
        <v>76</v>
      </c>
      <c r="BN391" s="17" t="s">
        <v>1553</v>
      </c>
      <c r="BP391" s="17" t="s">
        <v>1554</v>
      </c>
      <c r="BR391" s="7" t="str">
        <f t="shared" si="1"/>
        <v>tealogy </v>
      </c>
    </row>
    <row r="392" ht="22.5" customHeight="1">
      <c r="A392" s="14">
        <v>46066.963574050926</v>
      </c>
      <c r="B392" s="15">
        <v>46066.0</v>
      </c>
      <c r="C392" s="16">
        <v>0.21944444444670808</v>
      </c>
      <c r="D392" s="17" t="s">
        <v>91</v>
      </c>
      <c r="F392" s="17">
        <v>25.0</v>
      </c>
      <c r="G392" s="17">
        <v>300.0</v>
      </c>
      <c r="H392" s="17" t="s">
        <v>113</v>
      </c>
      <c r="J392" s="17" t="s">
        <v>94</v>
      </c>
      <c r="K392" s="17" t="s">
        <v>134</v>
      </c>
      <c r="N392" s="17">
        <v>2.0</v>
      </c>
      <c r="O392" s="17" t="s">
        <v>96</v>
      </c>
      <c r="P392" s="17" t="s">
        <v>109</v>
      </c>
      <c r="Q392" s="17" t="s">
        <v>97</v>
      </c>
      <c r="R392" s="17" t="s">
        <v>76</v>
      </c>
      <c r="S392" s="17" t="s">
        <v>113</v>
      </c>
      <c r="U392" s="17" t="s">
        <v>1555</v>
      </c>
      <c r="V392" s="17">
        <v>7.780667655E9</v>
      </c>
      <c r="W392" s="17" t="s">
        <v>113</v>
      </c>
      <c r="AA392" s="17" t="s">
        <v>109</v>
      </c>
      <c r="AU392" s="17" t="s">
        <v>76</v>
      </c>
      <c r="AV392" s="17" t="s">
        <v>88</v>
      </c>
      <c r="AZ392" s="17" t="s">
        <v>539</v>
      </c>
      <c r="BA392" s="17" t="s">
        <v>458</v>
      </c>
      <c r="BB392" s="17" t="s">
        <v>76</v>
      </c>
      <c r="BN392" s="17" t="s">
        <v>1556</v>
      </c>
      <c r="BP392" s="17" t="s">
        <v>1557</v>
      </c>
      <c r="BR392" s="7" t="str">
        <f t="shared" si="1"/>
        <v>bawarchi express</v>
      </c>
    </row>
    <row r="393" ht="22.5" customHeight="1">
      <c r="A393" s="14">
        <v>46066.96473666666</v>
      </c>
      <c r="B393" s="15">
        <v>46066.0</v>
      </c>
      <c r="C393" s="16">
        <v>0.22847222222480923</v>
      </c>
      <c r="D393" s="17" t="s">
        <v>111</v>
      </c>
      <c r="T393" s="17" t="s">
        <v>113</v>
      </c>
      <c r="U393" s="17" t="s">
        <v>1558</v>
      </c>
      <c r="V393" s="17">
        <v>9.640166669E9</v>
      </c>
      <c r="W393" s="17" t="s">
        <v>113</v>
      </c>
      <c r="AA393" s="17" t="s">
        <v>109</v>
      </c>
      <c r="AU393" s="17" t="s">
        <v>76</v>
      </c>
      <c r="AV393" s="17" t="s">
        <v>88</v>
      </c>
      <c r="AZ393" s="17" t="s">
        <v>539</v>
      </c>
      <c r="BA393" s="17" t="s">
        <v>458</v>
      </c>
      <c r="BB393" s="17" t="s">
        <v>76</v>
      </c>
      <c r="BP393" s="17" t="s">
        <v>1559</v>
      </c>
      <c r="BR393" s="7" t="str">
        <f t="shared" si="1"/>
        <v>madhura restraunt bar na</v>
      </c>
    </row>
    <row r="394" ht="22.5" customHeight="1">
      <c r="A394" s="14">
        <v>46066.96565253472</v>
      </c>
      <c r="B394" s="15">
        <v>46066.0</v>
      </c>
      <c r="C394" s="16">
        <v>0.23333333333721384</v>
      </c>
      <c r="D394" s="17" t="s">
        <v>111</v>
      </c>
      <c r="T394" s="17" t="s">
        <v>113</v>
      </c>
      <c r="U394" s="17" t="s">
        <v>1560</v>
      </c>
      <c r="V394" s="17">
        <v>9.94907222E9</v>
      </c>
      <c r="W394" s="17" t="s">
        <v>113</v>
      </c>
      <c r="AA394" s="17" t="s">
        <v>109</v>
      </c>
      <c r="AU394" s="17" t="s">
        <v>76</v>
      </c>
      <c r="AV394" s="17" t="s">
        <v>88</v>
      </c>
      <c r="AZ394" s="17" t="s">
        <v>539</v>
      </c>
      <c r="BA394" s="17" t="s">
        <v>458</v>
      </c>
      <c r="BB394" s="17" t="s">
        <v>76</v>
      </c>
      <c r="BP394" s="17" t="s">
        <v>1561</v>
      </c>
      <c r="BR394" s="7" t="str">
        <f t="shared" si="1"/>
        <v>flavours of andhra na</v>
      </c>
    </row>
    <row r="395" ht="22.5" customHeight="1">
      <c r="A395" s="14">
        <v>46066.96668427083</v>
      </c>
      <c r="B395" s="15">
        <v>46066.0</v>
      </c>
      <c r="C395" s="16">
        <v>0.2444444444408873</v>
      </c>
      <c r="D395" s="17" t="s">
        <v>111</v>
      </c>
      <c r="T395" s="17" t="s">
        <v>1562</v>
      </c>
      <c r="U395" s="17" t="s">
        <v>1563</v>
      </c>
      <c r="V395" s="17">
        <v>9.985404412E9</v>
      </c>
      <c r="W395" s="17" t="s">
        <v>113</v>
      </c>
      <c r="AA395" s="17" t="s">
        <v>109</v>
      </c>
      <c r="AU395" s="17" t="s">
        <v>76</v>
      </c>
      <c r="AV395" s="17" t="s">
        <v>472</v>
      </c>
      <c r="AZ395" s="17" t="s">
        <v>539</v>
      </c>
      <c r="BA395" s="17" t="s">
        <v>458</v>
      </c>
      <c r="BB395" s="17" t="s">
        <v>76</v>
      </c>
      <c r="BP395" s="17" t="s">
        <v>1564</v>
      </c>
      <c r="BR395" s="7" t="str">
        <f t="shared" si="1"/>
        <v>gismat jailnza</v>
      </c>
    </row>
    <row r="396" ht="22.5" customHeight="1">
      <c r="A396" s="14">
        <v>46066.97739151621</v>
      </c>
      <c r="B396" s="15">
        <v>46066.0</v>
      </c>
      <c r="C396" s="16">
        <v>0.27083333333575865</v>
      </c>
      <c r="D396" s="17" t="s">
        <v>91</v>
      </c>
      <c r="F396" s="17">
        <v>60.0</v>
      </c>
      <c r="G396" s="17">
        <v>600.0</v>
      </c>
      <c r="H396" s="17" t="s">
        <v>113</v>
      </c>
      <c r="I396" s="17">
        <v>45000.0</v>
      </c>
      <c r="J396" s="17" t="s">
        <v>167</v>
      </c>
      <c r="K396" s="17" t="s">
        <v>118</v>
      </c>
      <c r="N396" s="17">
        <v>1.0</v>
      </c>
      <c r="O396" s="17" t="s">
        <v>96</v>
      </c>
      <c r="P396" s="17" t="s">
        <v>109</v>
      </c>
      <c r="Q396" s="17" t="s">
        <v>97</v>
      </c>
      <c r="R396" s="17" t="s">
        <v>76</v>
      </c>
      <c r="S396" s="17" t="s">
        <v>113</v>
      </c>
      <c r="U396" s="17" t="s">
        <v>1565</v>
      </c>
      <c r="V396" s="17">
        <v>9.91269903E8</v>
      </c>
      <c r="W396" s="17" t="s">
        <v>1566</v>
      </c>
      <c r="AA396" s="17" t="s">
        <v>76</v>
      </c>
      <c r="AB396" s="17" t="s">
        <v>1567</v>
      </c>
      <c r="AC396" s="18" t="s">
        <v>1568</v>
      </c>
      <c r="AF396" s="17" t="s">
        <v>1569</v>
      </c>
      <c r="AG396" s="18" t="s">
        <v>1570</v>
      </c>
      <c r="AH396" s="17" t="s">
        <v>1571</v>
      </c>
      <c r="AI396" s="18" t="s">
        <v>1572</v>
      </c>
      <c r="AJ396" s="18" t="s">
        <v>1573</v>
      </c>
      <c r="AK396" s="18" t="s">
        <v>1574</v>
      </c>
      <c r="AL396" s="17">
        <v>5.020010653571E13</v>
      </c>
      <c r="AM396" s="17" t="s">
        <v>1575</v>
      </c>
      <c r="AN396" s="17" t="s">
        <v>1576</v>
      </c>
      <c r="AS396" s="17" t="s">
        <v>76</v>
      </c>
      <c r="AT396" s="17" t="s">
        <v>1577</v>
      </c>
      <c r="AU396" s="17" t="s">
        <v>109</v>
      </c>
      <c r="AZ396" s="17" t="s">
        <v>539</v>
      </c>
      <c r="BA396" s="17" t="s">
        <v>458</v>
      </c>
      <c r="BB396" s="17" t="s">
        <v>76</v>
      </c>
      <c r="BI396" s="17" t="s">
        <v>76</v>
      </c>
      <c r="BL396" s="17">
        <v>80.0</v>
      </c>
      <c r="BM396" s="17" t="s">
        <v>1578</v>
      </c>
      <c r="BN396" s="17" t="s">
        <v>1550</v>
      </c>
      <c r="BP396" s="17" t="s">
        <v>1579</v>
      </c>
      <c r="BR396" s="7" t="str">
        <f t="shared" si="1"/>
        <v>kaaram the authentic telangana spice kitchen </v>
      </c>
    </row>
    <row r="397" ht="22.5" customHeight="1">
      <c r="A397" s="14">
        <v>46067.71014458333</v>
      </c>
      <c r="B397" s="15">
        <v>46067.0</v>
      </c>
      <c r="C397" s="16">
        <v>0.6631944444452529</v>
      </c>
      <c r="D397" s="17" t="s">
        <v>91</v>
      </c>
      <c r="F397" s="17">
        <v>33.0</v>
      </c>
      <c r="G397" s="17">
        <v>33.0</v>
      </c>
      <c r="H397" s="17">
        <v>33.0</v>
      </c>
      <c r="I397" s="17">
        <v>33.0</v>
      </c>
      <c r="J397" s="17" t="s">
        <v>167</v>
      </c>
      <c r="K397" s="17" t="s">
        <v>118</v>
      </c>
      <c r="L397" s="17">
        <v>33.0</v>
      </c>
      <c r="M397" s="17">
        <v>33.0</v>
      </c>
      <c r="N397" s="17">
        <v>33.0</v>
      </c>
      <c r="O397" s="17" t="s">
        <v>371</v>
      </c>
      <c r="P397" s="17" t="s">
        <v>76</v>
      </c>
      <c r="Q397" s="17" t="s">
        <v>97</v>
      </c>
      <c r="R397" s="17" t="s">
        <v>76</v>
      </c>
      <c r="S397" s="17">
        <v>33.0</v>
      </c>
      <c r="U397" s="17">
        <v>33.0</v>
      </c>
      <c r="V397" s="17">
        <v>33.0</v>
      </c>
      <c r="W397" s="17">
        <v>33.0</v>
      </c>
      <c r="AA397" s="17" t="s">
        <v>109</v>
      </c>
      <c r="AT397" s="17" t="s">
        <v>1580</v>
      </c>
      <c r="AU397" s="17" t="s">
        <v>109</v>
      </c>
      <c r="AV397" s="17" t="s">
        <v>88</v>
      </c>
      <c r="AZ397" s="17" t="s">
        <v>1581</v>
      </c>
      <c r="BA397" s="17" t="s">
        <v>491</v>
      </c>
      <c r="BL397" s="17">
        <v>22.0</v>
      </c>
      <c r="BN397" s="17" t="s">
        <v>1580</v>
      </c>
      <c r="BP397" s="17" t="s">
        <v>1580</v>
      </c>
      <c r="BR397" s="7" t="str">
        <f t="shared" si="1"/>
        <v>Test</v>
      </c>
    </row>
    <row r="398" ht="22.5" customHeight="1">
      <c r="A398" s="14">
        <v>46067.71127166667</v>
      </c>
      <c r="B398" s="15">
        <v>46067.0</v>
      </c>
      <c r="C398" s="16">
        <v>0.19722222222480923</v>
      </c>
      <c r="U398" s="17" t="s">
        <v>1580</v>
      </c>
      <c r="V398" s="17" t="s">
        <v>1580</v>
      </c>
      <c r="W398" s="17" t="s">
        <v>1580</v>
      </c>
      <c r="AA398" s="17" t="s">
        <v>109</v>
      </c>
      <c r="AT398" s="17" t="s">
        <v>1582</v>
      </c>
      <c r="AU398" s="17" t="s">
        <v>109</v>
      </c>
      <c r="AZ398" s="17" t="s">
        <v>1581</v>
      </c>
      <c r="BA398" s="17" t="s">
        <v>458</v>
      </c>
      <c r="BB398" s="17" t="s">
        <v>109</v>
      </c>
      <c r="BP398" s="17" t="s">
        <v>1580</v>
      </c>
      <c r="BR398" s="7" t="str">
        <f t="shared" si="1"/>
        <v>Test</v>
      </c>
    </row>
    <row r="399" ht="22.5" customHeight="1">
      <c r="A399" s="14">
        <v>46067.713141064814</v>
      </c>
      <c r="B399" s="15">
        <v>46067.0</v>
      </c>
      <c r="C399" s="16">
        <v>0.12708333333284827</v>
      </c>
      <c r="D399" s="17" t="s">
        <v>91</v>
      </c>
      <c r="F399" s="17">
        <v>33.0</v>
      </c>
      <c r="G399" s="17">
        <v>33.0</v>
      </c>
      <c r="H399" s="17">
        <v>33.0</v>
      </c>
      <c r="J399" s="17" t="s">
        <v>167</v>
      </c>
      <c r="N399" s="17">
        <v>33.0</v>
      </c>
      <c r="O399" s="17" t="s">
        <v>371</v>
      </c>
      <c r="P399" s="17" t="s">
        <v>109</v>
      </c>
      <c r="Q399" s="17" t="s">
        <v>1583</v>
      </c>
      <c r="R399" s="17" t="s">
        <v>109</v>
      </c>
      <c r="S399" s="17">
        <v>33.0</v>
      </c>
      <c r="U399" s="17" t="s">
        <v>1580</v>
      </c>
      <c r="V399" s="17" t="s">
        <v>1580</v>
      </c>
      <c r="W399" s="17" t="s">
        <v>1580</v>
      </c>
      <c r="AA399" s="17" t="s">
        <v>109</v>
      </c>
      <c r="AT399" s="17" t="s">
        <v>1582</v>
      </c>
      <c r="AU399" s="17" t="s">
        <v>109</v>
      </c>
      <c r="AZ399" s="17" t="s">
        <v>1581</v>
      </c>
      <c r="BA399" s="17" t="s">
        <v>458</v>
      </c>
      <c r="BB399" s="17" t="s">
        <v>76</v>
      </c>
      <c r="BN399" s="17" t="s">
        <v>1580</v>
      </c>
      <c r="BP399" s="17" t="s">
        <v>1580</v>
      </c>
      <c r="BR399" s="7" t="str">
        <f t="shared" si="1"/>
        <v>Test</v>
      </c>
    </row>
    <row r="400" ht="22.5" customHeight="1">
      <c r="A400" s="14">
        <v>46067.83769834491</v>
      </c>
      <c r="B400" s="15">
        <v>46066.0</v>
      </c>
      <c r="C400" s="16">
        <v>0.5625</v>
      </c>
      <c r="D400" s="17" t="s">
        <v>111</v>
      </c>
      <c r="T400" s="17" t="s">
        <v>1584</v>
      </c>
      <c r="U400" s="17" t="s">
        <v>1585</v>
      </c>
      <c r="V400" s="17" t="s">
        <v>1586</v>
      </c>
      <c r="W400" s="17" t="s">
        <v>1587</v>
      </c>
      <c r="AA400" s="17" t="s">
        <v>76</v>
      </c>
      <c r="AB400" s="17">
        <v>1.362401300127E13</v>
      </c>
      <c r="AC400" s="18" t="s">
        <v>1588</v>
      </c>
      <c r="AF400" s="17" t="s">
        <v>1589</v>
      </c>
      <c r="AG400" s="18" t="s">
        <v>1590</v>
      </c>
      <c r="AK400" s="18" t="s">
        <v>1591</v>
      </c>
      <c r="AS400" s="17" t="s">
        <v>76</v>
      </c>
      <c r="AT400" s="17" t="s">
        <v>181</v>
      </c>
      <c r="AU400" s="17" t="s">
        <v>109</v>
      </c>
      <c r="AZ400" s="17" t="s">
        <v>243</v>
      </c>
      <c r="BA400" s="17" t="s">
        <v>458</v>
      </c>
      <c r="BB400" s="17" t="s">
        <v>76</v>
      </c>
      <c r="BH400" s="21">
        <v>0.22</v>
      </c>
      <c r="BI400" s="17" t="s">
        <v>109</v>
      </c>
      <c r="BM400" s="17" t="s">
        <v>1592</v>
      </c>
      <c r="BP400" s="17" t="s">
        <v>1584</v>
      </c>
      <c r="BR400" s="7" t="str">
        <f t="shared" si="1"/>
        <v>Vinni cabin cafe Vinni cabin cafe </v>
      </c>
    </row>
    <row r="401" ht="22.5" customHeight="1">
      <c r="A401" s="14">
        <v>46069.52469583333</v>
      </c>
      <c r="B401" s="15">
        <v>46069.0</v>
      </c>
      <c r="C401" s="16">
        <v>0.5208333333357587</v>
      </c>
      <c r="U401" s="17" t="s">
        <v>1593</v>
      </c>
      <c r="V401" s="17">
        <v>9.000266581E9</v>
      </c>
      <c r="W401" s="17" t="s">
        <v>769</v>
      </c>
      <c r="AA401" s="17" t="s">
        <v>109</v>
      </c>
      <c r="AU401" s="17" t="s">
        <v>76</v>
      </c>
      <c r="AV401" s="17" t="s">
        <v>472</v>
      </c>
      <c r="AX401" s="15">
        <v>46070.0</v>
      </c>
      <c r="AY401" s="16">
        <v>0.41666666666424135</v>
      </c>
      <c r="AZ401" s="17" t="s">
        <v>115</v>
      </c>
      <c r="BA401" s="17" t="s">
        <v>458</v>
      </c>
      <c r="BB401" s="17" t="s">
        <v>109</v>
      </c>
      <c r="BP401" s="17" t="s">
        <v>1594</v>
      </c>
      <c r="BR401" s="7" t="str">
        <f t="shared" si="1"/>
        <v>Indira Darshini tiffins </v>
      </c>
    </row>
    <row r="402" ht="22.5" customHeight="1">
      <c r="A402" s="14">
        <v>46069.55735001157</v>
      </c>
      <c r="B402" s="15">
        <v>46078.0</v>
      </c>
      <c r="C402" s="16">
        <v>0.53125</v>
      </c>
      <c r="D402" s="17" t="s">
        <v>111</v>
      </c>
      <c r="E402" s="17" t="s">
        <v>1595</v>
      </c>
      <c r="K402" s="17" t="s">
        <v>1596</v>
      </c>
      <c r="T402" s="17" t="s">
        <v>1595</v>
      </c>
      <c r="U402" s="17" t="s">
        <v>1597</v>
      </c>
      <c r="V402" s="17" t="s">
        <v>1598</v>
      </c>
      <c r="W402" s="17" t="s">
        <v>117</v>
      </c>
      <c r="AA402" s="17" t="s">
        <v>109</v>
      </c>
      <c r="AT402" s="17" t="s">
        <v>1599</v>
      </c>
      <c r="AU402" s="17" t="s">
        <v>76</v>
      </c>
      <c r="AV402" s="17" t="s">
        <v>472</v>
      </c>
      <c r="AX402" s="15">
        <v>46078.0</v>
      </c>
      <c r="AZ402" s="22" t="s">
        <v>1600</v>
      </c>
      <c r="BA402" s="17" t="s">
        <v>458</v>
      </c>
      <c r="BB402" s="17" t="s">
        <v>76</v>
      </c>
      <c r="BP402" s="17" t="s">
        <v>1595</v>
      </c>
      <c r="BR402" s="7" t="str">
        <f t="shared" si="1"/>
        <v> Aha Dakshin Aha Dakshin Aha Dakshin</v>
      </c>
    </row>
    <row r="403" ht="22.5" customHeight="1">
      <c r="A403" s="14">
        <v>46069.56009792824</v>
      </c>
      <c r="B403" s="15">
        <v>46069.0</v>
      </c>
      <c r="C403" s="16">
        <v>0.53125</v>
      </c>
      <c r="D403" s="17" t="s">
        <v>111</v>
      </c>
      <c r="E403" s="17" t="s">
        <v>1601</v>
      </c>
      <c r="K403" s="17" t="s">
        <v>1596</v>
      </c>
      <c r="T403" s="17" t="s">
        <v>1601</v>
      </c>
      <c r="U403" s="17" t="s">
        <v>1602</v>
      </c>
      <c r="V403" s="17" t="s">
        <v>1603</v>
      </c>
      <c r="W403" s="17" t="s">
        <v>117</v>
      </c>
      <c r="X403" s="17" t="s">
        <v>1604</v>
      </c>
      <c r="Y403" s="17" t="s">
        <v>1605</v>
      </c>
      <c r="AA403" s="17" t="s">
        <v>109</v>
      </c>
      <c r="AT403" s="17" t="s">
        <v>1606</v>
      </c>
      <c r="AU403" s="17" t="s">
        <v>76</v>
      </c>
      <c r="AV403" s="17" t="s">
        <v>472</v>
      </c>
      <c r="AX403" s="23">
        <v>46070.0</v>
      </c>
      <c r="AZ403" s="17" t="s">
        <v>1607</v>
      </c>
      <c r="BA403" s="17" t="s">
        <v>458</v>
      </c>
      <c r="BB403" s="17" t="s">
        <v>76</v>
      </c>
      <c r="BP403" s="17" t="s">
        <v>1601</v>
      </c>
      <c r="BR403" s="7" t="str">
        <f t="shared" si="1"/>
        <v>Burger KingBurger KingBurger King</v>
      </c>
    </row>
    <row r="404" ht="22.5" customHeight="1">
      <c r="A404" s="14">
        <v>46069.57209915509</v>
      </c>
      <c r="B404" s="15">
        <v>46069.0</v>
      </c>
      <c r="C404" s="16">
        <v>0.045833333337213844</v>
      </c>
      <c r="D404" s="17" t="s">
        <v>111</v>
      </c>
      <c r="E404" s="17" t="s">
        <v>1608</v>
      </c>
      <c r="K404" s="17" t="s">
        <v>1596</v>
      </c>
      <c r="T404" s="17" t="s">
        <v>1608</v>
      </c>
      <c r="U404" s="17" t="s">
        <v>1609</v>
      </c>
      <c r="V404" s="17" t="s">
        <v>1610</v>
      </c>
      <c r="W404" s="17" t="s">
        <v>113</v>
      </c>
      <c r="X404" s="17" t="s">
        <v>1611</v>
      </c>
      <c r="AA404" s="17" t="s">
        <v>109</v>
      </c>
      <c r="AT404" s="17" t="s">
        <v>1606</v>
      </c>
      <c r="AU404" s="17" t="s">
        <v>76</v>
      </c>
      <c r="AV404" s="17" t="s">
        <v>472</v>
      </c>
      <c r="AX404" s="23">
        <v>46070.0</v>
      </c>
      <c r="AZ404" s="17" t="s">
        <v>1607</v>
      </c>
      <c r="BA404" s="17" t="s">
        <v>458</v>
      </c>
      <c r="BB404" s="17" t="s">
        <v>76</v>
      </c>
      <c r="BP404" s="17" t="s">
        <v>1608</v>
      </c>
      <c r="BR404" s="7" t="str">
        <f t="shared" si="1"/>
        <v>WOW ChinaWOW ChinaWOW China</v>
      </c>
    </row>
    <row r="405" ht="22.5" customHeight="1">
      <c r="A405" s="14">
        <v>46069.576076620375</v>
      </c>
      <c r="B405" s="15">
        <v>46069.0</v>
      </c>
      <c r="C405" s="16">
        <v>0.05000000000291038</v>
      </c>
      <c r="D405" s="17" t="s">
        <v>111</v>
      </c>
      <c r="E405" s="17" t="s">
        <v>1612</v>
      </c>
      <c r="K405" s="17" t="s">
        <v>1596</v>
      </c>
      <c r="T405" s="17" t="s">
        <v>1612</v>
      </c>
      <c r="U405" s="17" t="s">
        <v>1613</v>
      </c>
      <c r="V405" s="17" t="s">
        <v>1614</v>
      </c>
      <c r="W405" s="17" t="s">
        <v>117</v>
      </c>
      <c r="AA405" s="17" t="s">
        <v>109</v>
      </c>
      <c r="AT405" s="17" t="s">
        <v>1615</v>
      </c>
      <c r="AU405" s="17" t="s">
        <v>76</v>
      </c>
      <c r="AV405" s="17" t="s">
        <v>472</v>
      </c>
      <c r="AX405" s="23">
        <v>46072.0</v>
      </c>
      <c r="AZ405" s="17" t="s">
        <v>1607</v>
      </c>
      <c r="BA405" s="17" t="s">
        <v>458</v>
      </c>
      <c r="BB405" s="17" t="s">
        <v>76</v>
      </c>
      <c r="BP405" s="17" t="s">
        <v>1612</v>
      </c>
      <c r="BR405" s="7" t="str">
        <f t="shared" si="1"/>
        <v>The Thickshake Factory The Thickshake Factory The Thickshake Factory </v>
      </c>
    </row>
    <row r="406" ht="22.5" customHeight="1">
      <c r="A406" s="14">
        <v>46069.577904756945</v>
      </c>
      <c r="B406" s="15">
        <v>46069.0</v>
      </c>
      <c r="C406" s="16">
        <v>0.5097222222248092</v>
      </c>
      <c r="D406" s="17" t="s">
        <v>111</v>
      </c>
      <c r="T406" s="17" t="s">
        <v>1616</v>
      </c>
      <c r="U406" s="17" t="s">
        <v>789</v>
      </c>
      <c r="V406" s="17">
        <v>9.059036521E9</v>
      </c>
      <c r="W406" s="17" t="s">
        <v>117</v>
      </c>
      <c r="AA406" s="17" t="s">
        <v>109</v>
      </c>
      <c r="AU406" s="17" t="s">
        <v>76</v>
      </c>
      <c r="AV406" s="17" t="s">
        <v>373</v>
      </c>
      <c r="AX406" s="15">
        <v>46070.0</v>
      </c>
      <c r="AY406" s="16">
        <v>0.45833333333575865</v>
      </c>
      <c r="AZ406" s="17" t="s">
        <v>287</v>
      </c>
      <c r="BA406" s="17" t="s">
        <v>491</v>
      </c>
      <c r="BP406" s="17" t="s">
        <v>1616</v>
      </c>
      <c r="BR406" s="7" t="str">
        <f t="shared" si="1"/>
        <v>The Spicy Express The Spicy Express </v>
      </c>
    </row>
    <row r="407" ht="22.5" customHeight="1">
      <c r="A407" s="14">
        <v>46069.579397430556</v>
      </c>
      <c r="B407" s="15">
        <v>46069.0</v>
      </c>
      <c r="C407" s="16">
        <v>0.05625000000145519</v>
      </c>
      <c r="D407" s="17" t="s">
        <v>111</v>
      </c>
      <c r="E407" s="17" t="s">
        <v>1617</v>
      </c>
      <c r="K407" s="17" t="s">
        <v>1596</v>
      </c>
      <c r="T407" s="17" t="s">
        <v>1617</v>
      </c>
      <c r="U407" s="17" t="s">
        <v>1618</v>
      </c>
      <c r="V407" s="17" t="s">
        <v>1619</v>
      </c>
      <c r="W407" s="17" t="s">
        <v>117</v>
      </c>
      <c r="AA407" s="17" t="s">
        <v>109</v>
      </c>
      <c r="AT407" s="17" t="s">
        <v>1620</v>
      </c>
      <c r="AU407" s="17" t="s">
        <v>76</v>
      </c>
      <c r="AV407" s="17" t="s">
        <v>472</v>
      </c>
      <c r="AX407" s="23">
        <v>46070.0</v>
      </c>
      <c r="AZ407" s="17" t="s">
        <v>1607</v>
      </c>
      <c r="BA407" s="17" t="s">
        <v>458</v>
      </c>
      <c r="BB407" s="17" t="s">
        <v>76</v>
      </c>
      <c r="BP407" s="17" t="s">
        <v>1617</v>
      </c>
      <c r="BR407" s="7" t="str">
        <f t="shared" si="1"/>
        <v>FrankieFrankieFrankie</v>
      </c>
    </row>
    <row r="408" ht="22.5" customHeight="1">
      <c r="A408" s="14">
        <v>46069.57982021991</v>
      </c>
      <c r="B408" s="15">
        <v>46069.0</v>
      </c>
      <c r="C408" s="16">
        <v>0.5138888888905058</v>
      </c>
      <c r="U408" s="17" t="s">
        <v>1621</v>
      </c>
      <c r="V408" s="17">
        <v>9.912013333E9</v>
      </c>
      <c r="W408" s="17" t="s">
        <v>117</v>
      </c>
      <c r="AA408" s="17" t="s">
        <v>109</v>
      </c>
      <c r="AU408" s="17" t="s">
        <v>76</v>
      </c>
      <c r="AV408" s="17" t="s">
        <v>472</v>
      </c>
      <c r="AZ408" s="17" t="s">
        <v>287</v>
      </c>
      <c r="BA408" s="17" t="s">
        <v>458</v>
      </c>
      <c r="BB408" s="17" t="s">
        <v>109</v>
      </c>
      <c r="BP408" s="17" t="s">
        <v>1622</v>
      </c>
      <c r="BR408" s="7" t="str">
        <f t="shared" si="1"/>
        <v>Venkees kitchen </v>
      </c>
    </row>
    <row r="409" ht="22.5" customHeight="1">
      <c r="A409" s="14">
        <v>46069.580878125</v>
      </c>
      <c r="B409" s="15">
        <v>46069.0</v>
      </c>
      <c r="C409" s="16">
        <v>0.5402777777781012</v>
      </c>
      <c r="U409" s="17" t="s">
        <v>1623</v>
      </c>
      <c r="V409" s="17">
        <v>9.100002909E9</v>
      </c>
      <c r="W409" s="17" t="s">
        <v>117</v>
      </c>
      <c r="AA409" s="17" t="s">
        <v>109</v>
      </c>
      <c r="AU409" s="17" t="s">
        <v>76</v>
      </c>
      <c r="AV409" s="17" t="s">
        <v>1624</v>
      </c>
      <c r="AZ409" s="17" t="s">
        <v>287</v>
      </c>
      <c r="BA409" s="17" t="s">
        <v>458</v>
      </c>
      <c r="BB409" s="17" t="s">
        <v>109</v>
      </c>
      <c r="BP409" s="17" t="s">
        <v>1625</v>
      </c>
      <c r="BR409" s="7" t="str">
        <f t="shared" si="1"/>
        <v>FireWater</v>
      </c>
    </row>
    <row r="410" ht="22.5" customHeight="1">
      <c r="A410" s="14">
        <v>46069.58236773148</v>
      </c>
      <c r="B410" s="15">
        <v>46069.0</v>
      </c>
      <c r="C410" s="16">
        <v>0.5562500000014552</v>
      </c>
      <c r="U410" s="17" t="s">
        <v>846</v>
      </c>
      <c r="V410" s="17">
        <v>8.790606524E9</v>
      </c>
      <c r="W410" s="17" t="s">
        <v>117</v>
      </c>
      <c r="AA410" s="17" t="s">
        <v>109</v>
      </c>
      <c r="AU410" s="17" t="s">
        <v>76</v>
      </c>
      <c r="AV410" s="17" t="s">
        <v>472</v>
      </c>
      <c r="AZ410" s="17" t="s">
        <v>287</v>
      </c>
      <c r="BA410" s="17" t="s">
        <v>458</v>
      </c>
      <c r="BB410" s="17" t="s">
        <v>109</v>
      </c>
      <c r="BP410" s="17" t="s">
        <v>1626</v>
      </c>
      <c r="BR410" s="7" t="str">
        <f t="shared" si="1"/>
        <v>Fuel Box</v>
      </c>
    </row>
    <row r="411" ht="22.5" customHeight="1">
      <c r="A411" s="14">
        <v>46069.634314131945</v>
      </c>
      <c r="B411" s="15">
        <v>46069.0</v>
      </c>
      <c r="C411" s="16">
        <v>0.06874999999854481</v>
      </c>
      <c r="D411" s="17" t="s">
        <v>111</v>
      </c>
      <c r="E411" s="17" t="s">
        <v>1627</v>
      </c>
      <c r="K411" s="17" t="s">
        <v>1596</v>
      </c>
      <c r="T411" s="17" t="s">
        <v>1627</v>
      </c>
      <c r="U411" s="17" t="s">
        <v>1628</v>
      </c>
      <c r="V411" s="17" t="s">
        <v>117</v>
      </c>
      <c r="W411" s="17" t="s">
        <v>117</v>
      </c>
      <c r="AA411" s="17" t="s">
        <v>109</v>
      </c>
      <c r="AT411" s="17" t="s">
        <v>1629</v>
      </c>
      <c r="AU411" s="17" t="s">
        <v>76</v>
      </c>
      <c r="AV411" s="17" t="s">
        <v>472</v>
      </c>
      <c r="AX411" s="23">
        <v>46070.0</v>
      </c>
      <c r="AZ411" s="17" t="s">
        <v>1607</v>
      </c>
      <c r="BA411" s="17" t="s">
        <v>458</v>
      </c>
      <c r="BB411" s="17" t="s">
        <v>76</v>
      </c>
      <c r="BP411" s="17" t="s">
        <v>1627</v>
      </c>
      <c r="BR411" s="7" t="str">
        <f t="shared" si="1"/>
        <v>Khaan SaabKhaan SaabKhaan Saab</v>
      </c>
    </row>
    <row r="412" ht="22.5" customHeight="1">
      <c r="A412" s="14">
        <v>46069.64332644676</v>
      </c>
      <c r="B412" s="15">
        <v>46069.0</v>
      </c>
      <c r="C412" s="16">
        <v>0.0743055555576575</v>
      </c>
      <c r="D412" s="17" t="s">
        <v>111</v>
      </c>
      <c r="E412" s="17" t="s">
        <v>1630</v>
      </c>
      <c r="K412" s="17" t="s">
        <v>1596</v>
      </c>
      <c r="T412" s="17" t="s">
        <v>1630</v>
      </c>
      <c r="U412" s="17" t="s">
        <v>1631</v>
      </c>
      <c r="V412" s="17" t="s">
        <v>1632</v>
      </c>
      <c r="W412" s="17" t="s">
        <v>117</v>
      </c>
      <c r="AA412" s="17" t="s">
        <v>109</v>
      </c>
      <c r="AT412" s="17" t="s">
        <v>1633</v>
      </c>
      <c r="AU412" s="17" t="s">
        <v>76</v>
      </c>
      <c r="AV412" s="17" t="s">
        <v>472</v>
      </c>
      <c r="AX412" s="23">
        <v>46070.0</v>
      </c>
      <c r="AZ412" s="17" t="s">
        <v>1607</v>
      </c>
      <c r="BA412" s="17" t="s">
        <v>458</v>
      </c>
      <c r="BB412" s="17" t="s">
        <v>76</v>
      </c>
      <c r="BP412" s="17" t="s">
        <v>1630</v>
      </c>
      <c r="BR412" s="7" t="str">
        <f t="shared" si="1"/>
        <v>Chai point Chai point Chai point </v>
      </c>
    </row>
    <row r="413" ht="22.5" customHeight="1">
      <c r="A413" s="14">
        <v>46069.671650648146</v>
      </c>
      <c r="B413" s="15">
        <v>46069.0</v>
      </c>
      <c r="C413" s="16">
        <v>0.16527777777810115</v>
      </c>
      <c r="D413" s="17" t="s">
        <v>111</v>
      </c>
      <c r="E413" s="17" t="s">
        <v>1634</v>
      </c>
      <c r="K413" s="17" t="s">
        <v>1596</v>
      </c>
      <c r="T413" s="17" t="s">
        <v>1634</v>
      </c>
      <c r="U413" s="17" t="s">
        <v>1635</v>
      </c>
      <c r="V413" s="17" t="s">
        <v>1636</v>
      </c>
      <c r="W413" s="17" t="s">
        <v>117</v>
      </c>
      <c r="AA413" s="17" t="s">
        <v>109</v>
      </c>
      <c r="AT413" s="17" t="s">
        <v>1637</v>
      </c>
      <c r="AU413" s="17" t="s">
        <v>76</v>
      </c>
      <c r="AV413" s="17" t="s">
        <v>472</v>
      </c>
      <c r="AX413" s="23">
        <v>46072.0</v>
      </c>
      <c r="AZ413" s="17" t="s">
        <v>1607</v>
      </c>
      <c r="BA413" s="17" t="s">
        <v>458</v>
      </c>
      <c r="BB413" s="17" t="s">
        <v>76</v>
      </c>
      <c r="BP413" s="17" t="s">
        <v>1634</v>
      </c>
      <c r="BR413" s="7" t="str">
        <f t="shared" si="1"/>
        <v>Onesta Onesta Onesta </v>
      </c>
    </row>
    <row r="414" ht="22.5" customHeight="1">
      <c r="A414" s="14">
        <v>46069.680037997685</v>
      </c>
      <c r="B414" s="15">
        <v>46069.0</v>
      </c>
      <c r="C414" s="16">
        <v>0.4819444444437977</v>
      </c>
      <c r="U414" s="17" t="s">
        <v>117</v>
      </c>
      <c r="V414" s="17">
        <v>9.381014399E9</v>
      </c>
      <c r="W414" s="17" t="s">
        <v>117</v>
      </c>
      <c r="AA414" s="17" t="s">
        <v>109</v>
      </c>
      <c r="AU414" s="17" t="s">
        <v>76</v>
      </c>
      <c r="AV414" s="17" t="s">
        <v>271</v>
      </c>
      <c r="AZ414" s="17" t="s">
        <v>182</v>
      </c>
      <c r="BA414" s="17" t="s">
        <v>458</v>
      </c>
      <c r="BB414" s="17" t="s">
        <v>109</v>
      </c>
      <c r="BP414" s="17" t="s">
        <v>1638</v>
      </c>
      <c r="BR414" s="7" t="str">
        <f t="shared" si="1"/>
        <v>Sweet Basket</v>
      </c>
    </row>
    <row r="415" ht="22.5" customHeight="1">
      <c r="A415" s="14">
        <v>46069.681835763884</v>
      </c>
      <c r="B415" s="15">
        <v>46069.0</v>
      </c>
      <c r="C415" s="16">
        <v>0.006944444445252884</v>
      </c>
      <c r="U415" s="17" t="s">
        <v>1639</v>
      </c>
      <c r="V415" s="17" t="s">
        <v>1640</v>
      </c>
      <c r="W415" s="17" t="s">
        <v>117</v>
      </c>
      <c r="AA415" s="17" t="s">
        <v>109</v>
      </c>
      <c r="AU415" s="17" t="s">
        <v>76</v>
      </c>
      <c r="AV415" s="17" t="s">
        <v>271</v>
      </c>
      <c r="AZ415" s="17" t="s">
        <v>182</v>
      </c>
      <c r="BA415" s="17" t="s">
        <v>458</v>
      </c>
      <c r="BB415" s="17" t="s">
        <v>109</v>
      </c>
      <c r="BP415" s="17" t="s">
        <v>1641</v>
      </c>
      <c r="BR415" s="7" t="str">
        <f t="shared" si="1"/>
        <v>Agra Sweets </v>
      </c>
    </row>
    <row r="416" ht="22.5" customHeight="1">
      <c r="A416" s="14">
        <v>46069.68738429398</v>
      </c>
      <c r="B416" s="15">
        <v>46069.0</v>
      </c>
      <c r="C416" s="16">
        <v>0.002777777779556345</v>
      </c>
      <c r="U416" s="17" t="s">
        <v>1642</v>
      </c>
      <c r="V416" s="17" t="s">
        <v>1643</v>
      </c>
      <c r="W416" s="17" t="s">
        <v>117</v>
      </c>
      <c r="AA416" s="17" t="s">
        <v>109</v>
      </c>
      <c r="AU416" s="17" t="s">
        <v>76</v>
      </c>
      <c r="AX416" s="15">
        <v>46070.0</v>
      </c>
      <c r="AZ416" s="17" t="s">
        <v>182</v>
      </c>
      <c r="BA416" s="17" t="s">
        <v>458</v>
      </c>
      <c r="BB416" s="17" t="s">
        <v>109</v>
      </c>
      <c r="BP416" s="17" t="s">
        <v>1644</v>
      </c>
      <c r="BR416" s="7" t="str">
        <f t="shared" si="1"/>
        <v>Machili Patnam </v>
      </c>
    </row>
    <row r="417" ht="22.5" customHeight="1">
      <c r="A417" s="14">
        <v>46069.68847085648</v>
      </c>
      <c r="B417" s="15">
        <v>46069.0</v>
      </c>
      <c r="C417" s="16">
        <v>0.006944444445252884</v>
      </c>
      <c r="U417" s="17" t="s">
        <v>1645</v>
      </c>
      <c r="V417" s="17" t="s">
        <v>1646</v>
      </c>
      <c r="W417" s="17" t="s">
        <v>117</v>
      </c>
      <c r="AA417" s="17" t="s">
        <v>109</v>
      </c>
      <c r="AU417" s="17" t="s">
        <v>76</v>
      </c>
      <c r="AV417" s="17" t="s">
        <v>271</v>
      </c>
      <c r="AX417" s="15">
        <v>46070.0</v>
      </c>
      <c r="AZ417" s="17" t="s">
        <v>182</v>
      </c>
      <c r="BA417" s="17" t="s">
        <v>458</v>
      </c>
      <c r="BB417" s="17" t="s">
        <v>109</v>
      </c>
      <c r="BP417" s="17" t="s">
        <v>1647</v>
      </c>
      <c r="BR417" s="7" t="str">
        <f t="shared" si="1"/>
        <v>Big Byte </v>
      </c>
    </row>
    <row r="418" ht="22.5" customHeight="1">
      <c r="A418" s="14">
        <v>46069.68981236111</v>
      </c>
      <c r="B418" s="15">
        <v>46069.0</v>
      </c>
      <c r="C418" s="16">
        <v>0.014583333337213844</v>
      </c>
      <c r="U418" s="17" t="s">
        <v>1648</v>
      </c>
      <c r="V418" s="17" t="s">
        <v>1649</v>
      </c>
      <c r="W418" s="17" t="s">
        <v>117</v>
      </c>
      <c r="AA418" s="17" t="s">
        <v>109</v>
      </c>
      <c r="AU418" s="17" t="s">
        <v>76</v>
      </c>
      <c r="AV418" s="17" t="s">
        <v>271</v>
      </c>
      <c r="AX418" s="15">
        <v>46070.0</v>
      </c>
      <c r="AZ418" s="17" t="s">
        <v>182</v>
      </c>
      <c r="BA418" s="17" t="s">
        <v>458</v>
      </c>
      <c r="BB418" s="17" t="s">
        <v>109</v>
      </c>
      <c r="BP418" s="17" t="s">
        <v>1650</v>
      </c>
      <c r="BR418" s="7" t="str">
        <f t="shared" si="1"/>
        <v>Amy’s cafe </v>
      </c>
    </row>
    <row r="419" ht="22.5" customHeight="1">
      <c r="A419" s="14">
        <v>46069.690605208336</v>
      </c>
      <c r="B419" s="15">
        <v>46069.0</v>
      </c>
      <c r="C419" s="16">
        <v>0.03125</v>
      </c>
      <c r="U419" s="17" t="s">
        <v>117</v>
      </c>
      <c r="V419" s="17" t="s">
        <v>117</v>
      </c>
      <c r="W419" s="17" t="s">
        <v>117</v>
      </c>
      <c r="AA419" s="17" t="s">
        <v>109</v>
      </c>
      <c r="AU419" s="17" t="s">
        <v>76</v>
      </c>
      <c r="AV419" s="17" t="s">
        <v>271</v>
      </c>
      <c r="AZ419" s="17" t="s">
        <v>182</v>
      </c>
      <c r="BA419" s="17" t="s">
        <v>458</v>
      </c>
      <c r="BB419" s="17" t="s">
        <v>109</v>
      </c>
      <c r="BP419" s="17" t="s">
        <v>1651</v>
      </c>
      <c r="BR419" s="7" t="str">
        <f t="shared" si="1"/>
        <v>Tosh e Daan </v>
      </c>
    </row>
    <row r="420" ht="22.5" customHeight="1">
      <c r="A420" s="14">
        <v>46069.69166415509</v>
      </c>
      <c r="B420" s="15">
        <v>46069.0</v>
      </c>
      <c r="C420" s="16">
        <v>0.07222222222480923</v>
      </c>
      <c r="U420" s="17" t="s">
        <v>1652</v>
      </c>
      <c r="V420" s="17" t="s">
        <v>1653</v>
      </c>
      <c r="W420" s="17" t="s">
        <v>117</v>
      </c>
      <c r="AA420" s="17" t="s">
        <v>109</v>
      </c>
      <c r="AU420" s="17" t="s">
        <v>76</v>
      </c>
      <c r="AV420" s="17" t="s">
        <v>271</v>
      </c>
      <c r="AZ420" s="17" t="s">
        <v>182</v>
      </c>
      <c r="BA420" s="17" t="s">
        <v>458</v>
      </c>
      <c r="BB420" s="17" t="s">
        <v>109</v>
      </c>
      <c r="BP420" s="17" t="s">
        <v>1654</v>
      </c>
      <c r="BR420" s="7" t="str">
        <f t="shared" si="1"/>
        <v>Tteok bokki </v>
      </c>
    </row>
    <row r="421" ht="22.5" customHeight="1">
      <c r="A421" s="14">
        <v>46069.69265305555</v>
      </c>
      <c r="B421" s="15">
        <v>46069.0</v>
      </c>
      <c r="C421" s="16">
        <v>0.15555555555329192</v>
      </c>
      <c r="U421" s="17" t="s">
        <v>117</v>
      </c>
      <c r="V421" s="17" t="s">
        <v>117</v>
      </c>
      <c r="W421" s="17" t="s">
        <v>117</v>
      </c>
      <c r="X421" s="17" t="s">
        <v>117</v>
      </c>
      <c r="AA421" s="17" t="s">
        <v>109</v>
      </c>
      <c r="AU421" s="17" t="s">
        <v>76</v>
      </c>
      <c r="AV421" s="17" t="s">
        <v>271</v>
      </c>
      <c r="AZ421" s="17" t="s">
        <v>182</v>
      </c>
      <c r="BA421" s="17" t="s">
        <v>458</v>
      </c>
      <c r="BB421" s="17" t="s">
        <v>109</v>
      </c>
      <c r="BP421" s="17" t="s">
        <v>1655</v>
      </c>
      <c r="BR421" s="7" t="str">
        <f t="shared" si="1"/>
        <v>Bakers Harvest </v>
      </c>
    </row>
    <row r="422" ht="22.5" customHeight="1">
      <c r="A422" s="14">
        <v>46069.70012392361</v>
      </c>
      <c r="B422" s="15">
        <v>46069.0</v>
      </c>
      <c r="C422" s="16">
        <v>0.1875</v>
      </c>
      <c r="D422" s="17" t="s">
        <v>91</v>
      </c>
      <c r="F422" s="17">
        <v>150.0</v>
      </c>
      <c r="G422" s="17">
        <v>270.0</v>
      </c>
      <c r="H422" s="17" t="s">
        <v>388</v>
      </c>
      <c r="J422" s="17" t="s">
        <v>94</v>
      </c>
      <c r="K422" s="17" t="s">
        <v>273</v>
      </c>
      <c r="N422" s="17">
        <v>1.0</v>
      </c>
      <c r="O422" s="17" t="s">
        <v>1264</v>
      </c>
      <c r="P422" s="17" t="s">
        <v>109</v>
      </c>
      <c r="Q422" s="17" t="s">
        <v>97</v>
      </c>
      <c r="R422" s="17" t="s">
        <v>76</v>
      </c>
      <c r="S422" s="17" t="s">
        <v>1237</v>
      </c>
      <c r="U422" s="17" t="s">
        <v>1656</v>
      </c>
      <c r="V422" s="17">
        <v>7.70294282E9</v>
      </c>
      <c r="W422" s="17" t="s">
        <v>388</v>
      </c>
      <c r="AA422" s="17" t="s">
        <v>109</v>
      </c>
      <c r="AU422" s="17" t="s">
        <v>76</v>
      </c>
      <c r="AV422" s="17" t="s">
        <v>271</v>
      </c>
      <c r="AX422" s="15">
        <v>46069.0</v>
      </c>
      <c r="AY422" s="16">
        <v>0.20138888889050577</v>
      </c>
      <c r="AZ422" s="17" t="s">
        <v>356</v>
      </c>
      <c r="BA422" s="17" t="s">
        <v>458</v>
      </c>
      <c r="BB422" s="17" t="s">
        <v>76</v>
      </c>
      <c r="BN422" s="17" t="s">
        <v>1657</v>
      </c>
      <c r="BP422" s="17" t="s">
        <v>1658</v>
      </c>
      <c r="BR422" s="7" t="str">
        <f t="shared" si="1"/>
        <v>Sri Raghavendra Bhavan</v>
      </c>
    </row>
    <row r="423" ht="22.5" customHeight="1">
      <c r="A423" s="14">
        <v>46069.719179733795</v>
      </c>
      <c r="B423" s="15">
        <v>46069.0</v>
      </c>
      <c r="C423" s="16">
        <v>0.7041666666627862</v>
      </c>
      <c r="D423" s="17" t="s">
        <v>91</v>
      </c>
      <c r="F423" s="17">
        <v>60.0</v>
      </c>
      <c r="G423" s="17">
        <v>200.0</v>
      </c>
      <c r="H423" s="17" t="s">
        <v>117</v>
      </c>
      <c r="I423" s="17">
        <v>15000.0</v>
      </c>
      <c r="J423" s="17" t="s">
        <v>94</v>
      </c>
      <c r="K423" s="17" t="s">
        <v>134</v>
      </c>
      <c r="L423" s="17">
        <v>1.0</v>
      </c>
      <c r="M423" s="17">
        <v>22.0</v>
      </c>
      <c r="N423" s="17">
        <v>1.0</v>
      </c>
      <c r="O423" s="17" t="s">
        <v>96</v>
      </c>
      <c r="P423" s="17" t="s">
        <v>109</v>
      </c>
      <c r="Q423" s="17" t="s">
        <v>97</v>
      </c>
      <c r="R423" s="17" t="s">
        <v>76</v>
      </c>
      <c r="S423" s="17" t="s">
        <v>117</v>
      </c>
      <c r="U423" s="17" t="s">
        <v>1659</v>
      </c>
      <c r="V423" s="17">
        <v>8.897351867E9</v>
      </c>
      <c r="W423" s="17" t="s">
        <v>117</v>
      </c>
      <c r="AA423" s="17" t="s">
        <v>76</v>
      </c>
      <c r="AB423" s="17">
        <v>2.3624032004478E13</v>
      </c>
      <c r="AC423" s="18" t="s">
        <v>1660</v>
      </c>
      <c r="AF423" s="17" t="s">
        <v>1661</v>
      </c>
      <c r="AG423" s="18" t="s">
        <v>1662</v>
      </c>
      <c r="AI423" s="18" t="s">
        <v>1663</v>
      </c>
      <c r="AK423" s="18" t="s">
        <v>1664</v>
      </c>
      <c r="AS423" s="17" t="s">
        <v>76</v>
      </c>
      <c r="AT423" s="17" t="s">
        <v>586</v>
      </c>
      <c r="AU423" s="17" t="s">
        <v>109</v>
      </c>
      <c r="AZ423" s="17" t="s">
        <v>287</v>
      </c>
      <c r="BA423" s="17" t="s">
        <v>458</v>
      </c>
      <c r="BB423" s="17" t="s">
        <v>76</v>
      </c>
      <c r="BL423" s="17">
        <v>90.0</v>
      </c>
      <c r="BM423" s="17" t="s">
        <v>1665</v>
      </c>
      <c r="BP423" s="17" t="s">
        <v>1666</v>
      </c>
      <c r="BR423" s="7" t="str">
        <f t="shared" si="1"/>
        <v>Kings Kohinoor Hotels</v>
      </c>
    </row>
    <row r="424" ht="22.5" customHeight="1">
      <c r="A424" s="14">
        <v>46069.72539262731</v>
      </c>
      <c r="B424" s="15">
        <v>46069.0</v>
      </c>
      <c r="C424" s="16">
        <v>0.22291666666569654</v>
      </c>
      <c r="D424" s="17" t="s">
        <v>111</v>
      </c>
      <c r="E424" s="17" t="s">
        <v>1667</v>
      </c>
      <c r="K424" s="17" t="s">
        <v>1596</v>
      </c>
      <c r="T424" s="17" t="s">
        <v>1667</v>
      </c>
      <c r="U424" s="17" t="s">
        <v>1668</v>
      </c>
      <c r="V424" s="17" t="s">
        <v>1669</v>
      </c>
      <c r="W424" s="17" t="s">
        <v>117</v>
      </c>
      <c r="AA424" s="17" t="s">
        <v>109</v>
      </c>
      <c r="AT424" s="17" t="s">
        <v>1670</v>
      </c>
      <c r="AU424" s="17" t="s">
        <v>76</v>
      </c>
      <c r="AV424" s="17" t="s">
        <v>472</v>
      </c>
      <c r="AX424" s="23">
        <v>46070.0</v>
      </c>
      <c r="AZ424" s="17" t="s">
        <v>1607</v>
      </c>
      <c r="BA424" s="17" t="s">
        <v>458</v>
      </c>
      <c r="BB424" s="17" t="s">
        <v>76</v>
      </c>
      <c r="BP424" s="17" t="s">
        <v>1667</v>
      </c>
      <c r="BR424" s="7" t="str">
        <f t="shared" si="1"/>
        <v>7th Heaven &amp; white hart7th Heaven &amp; white hart7th Heaven &amp; white hart</v>
      </c>
    </row>
    <row r="425" ht="22.5" customHeight="1">
      <c r="A425" s="14">
        <v>46069.72867011574</v>
      </c>
      <c r="B425" s="15">
        <v>46069.0</v>
      </c>
      <c r="C425" s="16">
        <v>0.5416666666642413</v>
      </c>
      <c r="D425" s="17" t="s">
        <v>91</v>
      </c>
      <c r="F425" s="17">
        <v>30.0</v>
      </c>
      <c r="G425" s="17">
        <v>270.0</v>
      </c>
      <c r="H425" s="17" t="s">
        <v>863</v>
      </c>
      <c r="I425" s="17">
        <v>30000.0</v>
      </c>
      <c r="J425" s="17" t="s">
        <v>221</v>
      </c>
      <c r="K425" s="17" t="s">
        <v>134</v>
      </c>
      <c r="L425" s="17">
        <v>22.0</v>
      </c>
      <c r="M425" s="17">
        <v>10.0</v>
      </c>
      <c r="N425" s="17">
        <v>1.0</v>
      </c>
      <c r="O425" s="17" t="s">
        <v>96</v>
      </c>
      <c r="P425" s="17" t="s">
        <v>76</v>
      </c>
      <c r="Q425" s="17" t="s">
        <v>97</v>
      </c>
      <c r="R425" s="17" t="s">
        <v>76</v>
      </c>
      <c r="S425" s="17" t="s">
        <v>388</v>
      </c>
      <c r="U425" s="17" t="s">
        <v>1671</v>
      </c>
      <c r="V425" s="17">
        <v>9.985489397E9</v>
      </c>
      <c r="W425" s="17" t="s">
        <v>388</v>
      </c>
      <c r="AA425" s="17" t="s">
        <v>109</v>
      </c>
      <c r="AT425" s="17" t="s">
        <v>388</v>
      </c>
      <c r="AU425" s="17" t="s">
        <v>109</v>
      </c>
      <c r="AZ425" s="17" t="s">
        <v>131</v>
      </c>
      <c r="BA425" s="17" t="s">
        <v>458</v>
      </c>
      <c r="BB425" s="17" t="s">
        <v>76</v>
      </c>
      <c r="BL425" s="17">
        <v>30.0</v>
      </c>
      <c r="BN425" s="17" t="s">
        <v>1672</v>
      </c>
      <c r="BP425" s="17" t="s">
        <v>1673</v>
      </c>
      <c r="BR425" s="7" t="str">
        <f t="shared" si="1"/>
        <v>Swad of Grandma </v>
      </c>
    </row>
    <row r="426" ht="22.5" customHeight="1">
      <c r="A426" s="14">
        <v>46069.72925167824</v>
      </c>
      <c r="B426" s="15">
        <v>46069.0</v>
      </c>
      <c r="C426" s="16">
        <v>0.7256944444452529</v>
      </c>
      <c r="U426" s="17" t="s">
        <v>245</v>
      </c>
      <c r="V426" s="17">
        <v>9.704551666E9</v>
      </c>
      <c r="W426" s="17" t="s">
        <v>113</v>
      </c>
      <c r="AA426" s="17" t="s">
        <v>109</v>
      </c>
      <c r="AU426" s="17" t="s">
        <v>76</v>
      </c>
      <c r="AV426" s="17" t="s">
        <v>472</v>
      </c>
      <c r="AZ426" s="17" t="s">
        <v>243</v>
      </c>
      <c r="BA426" s="17" t="s">
        <v>458</v>
      </c>
      <c r="BB426" s="17" t="s">
        <v>109</v>
      </c>
      <c r="BP426" s="17" t="s">
        <v>1674</v>
      </c>
      <c r="BR426" s="7" t="str">
        <f t="shared" si="1"/>
        <v>Burfi ghar</v>
      </c>
    </row>
    <row r="427" ht="22.5" customHeight="1">
      <c r="A427" s="14">
        <v>46069.72944018518</v>
      </c>
      <c r="B427" s="15">
        <v>46069.0</v>
      </c>
      <c r="C427" s="16">
        <v>0.5</v>
      </c>
      <c r="U427" s="17" t="s">
        <v>1675</v>
      </c>
      <c r="V427" s="17">
        <v>8.897622869E9</v>
      </c>
      <c r="W427" s="17" t="s">
        <v>113</v>
      </c>
      <c r="AA427" s="17" t="s">
        <v>109</v>
      </c>
      <c r="AU427" s="17" t="s">
        <v>76</v>
      </c>
      <c r="AV427" s="17" t="s">
        <v>472</v>
      </c>
      <c r="AX427" s="15">
        <v>46070.0</v>
      </c>
      <c r="AY427" s="16">
        <v>0.7284722222248092</v>
      </c>
      <c r="AZ427" s="17" t="s">
        <v>164</v>
      </c>
      <c r="BA427" s="17" t="s">
        <v>458</v>
      </c>
      <c r="BB427" s="17" t="s">
        <v>109</v>
      </c>
      <c r="BP427" s="17" t="s">
        <v>1676</v>
      </c>
      <c r="BR427" s="7" t="str">
        <f t="shared" si="1"/>
        <v>preeti tiffins</v>
      </c>
    </row>
    <row r="428" ht="22.5" customHeight="1">
      <c r="A428" s="14">
        <v>46069.73130400463</v>
      </c>
      <c r="B428" s="15">
        <v>46069.0</v>
      </c>
      <c r="C428" s="16">
        <v>0.7118055555547471</v>
      </c>
      <c r="D428" s="17" t="s">
        <v>91</v>
      </c>
      <c r="F428" s="17">
        <v>30.0</v>
      </c>
      <c r="G428" s="17">
        <v>300.0</v>
      </c>
      <c r="H428" s="17" t="s">
        <v>113</v>
      </c>
      <c r="J428" s="17" t="s">
        <v>94</v>
      </c>
      <c r="K428" s="17" t="s">
        <v>134</v>
      </c>
      <c r="N428" s="17">
        <v>1.0</v>
      </c>
      <c r="O428" s="17" t="s">
        <v>135</v>
      </c>
      <c r="P428" s="17" t="s">
        <v>76</v>
      </c>
      <c r="Q428" s="17" t="s">
        <v>97</v>
      </c>
      <c r="R428" s="17" t="s">
        <v>98</v>
      </c>
      <c r="S428" s="17" t="s">
        <v>1677</v>
      </c>
      <c r="U428" s="17" t="s">
        <v>113</v>
      </c>
      <c r="V428" s="17">
        <v>9.121399119E9</v>
      </c>
      <c r="W428" s="17" t="s">
        <v>113</v>
      </c>
      <c r="AA428" s="17" t="s">
        <v>109</v>
      </c>
      <c r="AU428" s="17" t="s">
        <v>76</v>
      </c>
      <c r="AV428" s="17" t="s">
        <v>271</v>
      </c>
      <c r="AX428" s="15">
        <v>46078.0</v>
      </c>
      <c r="AZ428" s="17" t="s">
        <v>243</v>
      </c>
      <c r="BA428" s="17" t="s">
        <v>458</v>
      </c>
      <c r="BB428" s="17" t="s">
        <v>76</v>
      </c>
      <c r="BP428" s="17" t="s">
        <v>1678</v>
      </c>
      <c r="BR428" s="7" t="str">
        <f t="shared" si="1"/>
        <v>Andhra canteen</v>
      </c>
    </row>
    <row r="429" ht="22.5" customHeight="1">
      <c r="A429" s="14">
        <v>46069.7317021412</v>
      </c>
      <c r="B429" s="15">
        <v>46070.0</v>
      </c>
      <c r="C429" s="16">
        <v>0.5208333333357587</v>
      </c>
      <c r="D429" s="17" t="s">
        <v>111</v>
      </c>
      <c r="T429" s="17" t="s">
        <v>1679</v>
      </c>
      <c r="U429" s="17" t="s">
        <v>1680</v>
      </c>
      <c r="V429" s="17" t="s">
        <v>1681</v>
      </c>
      <c r="W429" s="17" t="s">
        <v>113</v>
      </c>
      <c r="AA429" s="17" t="s">
        <v>109</v>
      </c>
      <c r="AU429" s="17" t="s">
        <v>76</v>
      </c>
      <c r="AV429" s="17" t="s">
        <v>472</v>
      </c>
      <c r="AX429" s="15">
        <v>46070.0</v>
      </c>
      <c r="AY429" s="16">
        <v>0.5625</v>
      </c>
      <c r="AZ429" s="17" t="s">
        <v>164</v>
      </c>
      <c r="BA429" s="17" t="s">
        <v>491</v>
      </c>
      <c r="BP429" s="17" t="s">
        <v>1682</v>
      </c>
      <c r="BR429" s="7" t="str">
        <f t="shared" si="1"/>
        <v> fire and ice cream  fire and ice  ice cream </v>
      </c>
    </row>
    <row r="430" ht="22.5" customHeight="1">
      <c r="A430" s="14">
        <v>46069.73289615741</v>
      </c>
      <c r="B430" s="15">
        <v>46069.0</v>
      </c>
      <c r="C430" s="16">
        <v>0.7069444444423425</v>
      </c>
      <c r="D430" s="17" t="s">
        <v>111</v>
      </c>
      <c r="T430" s="17" t="s">
        <v>1683</v>
      </c>
      <c r="U430" s="17" t="s">
        <v>1684</v>
      </c>
      <c r="V430" s="17">
        <v>7.036844444E9</v>
      </c>
      <c r="W430" s="17" t="s">
        <v>113</v>
      </c>
      <c r="AA430" s="17" t="s">
        <v>109</v>
      </c>
      <c r="AU430" s="17" t="s">
        <v>76</v>
      </c>
      <c r="AV430" s="17" t="s">
        <v>271</v>
      </c>
      <c r="AZ430" s="17" t="s">
        <v>243</v>
      </c>
      <c r="BA430" s="17" t="s">
        <v>458</v>
      </c>
      <c r="BB430" s="17" t="s">
        <v>76</v>
      </c>
      <c r="BP430" s="17" t="s">
        <v>1685</v>
      </c>
      <c r="BR430" s="7" t="str">
        <f t="shared" si="1"/>
        <v>Bakers HarvestBakers harvest</v>
      </c>
    </row>
    <row r="431" ht="22.5" customHeight="1">
      <c r="A431" s="14">
        <v>46069.73334895833</v>
      </c>
      <c r="B431" s="15">
        <v>46069.0</v>
      </c>
      <c r="C431" s="16">
        <v>0.5625</v>
      </c>
      <c r="U431" s="17" t="s">
        <v>1686</v>
      </c>
      <c r="V431" s="17">
        <v>7.801005204E9</v>
      </c>
      <c r="W431" s="17" t="s">
        <v>117</v>
      </c>
      <c r="AA431" s="17" t="s">
        <v>109</v>
      </c>
      <c r="AU431" s="17" t="s">
        <v>76</v>
      </c>
      <c r="AW431" s="17" t="s">
        <v>1687</v>
      </c>
      <c r="AX431" s="15">
        <v>46070.0</v>
      </c>
      <c r="AY431" s="16">
        <v>0.8333333333357587</v>
      </c>
      <c r="AZ431" s="17" t="s">
        <v>164</v>
      </c>
      <c r="BA431" s="17" t="s">
        <v>458</v>
      </c>
      <c r="BB431" s="17" t="s">
        <v>109</v>
      </c>
      <c r="BP431" s="17" t="s">
        <v>1688</v>
      </c>
      <c r="BR431" s="7" t="str">
        <f t="shared" si="1"/>
        <v>minerva  sweet </v>
      </c>
    </row>
    <row r="432" ht="22.5" customHeight="1">
      <c r="A432" s="14">
        <v>46069.73421108796</v>
      </c>
      <c r="B432" s="15">
        <v>46069.0</v>
      </c>
      <c r="C432" s="16">
        <v>0.6972222222248092</v>
      </c>
      <c r="U432" s="17" t="s">
        <v>1689</v>
      </c>
      <c r="V432" s="17">
        <v>8.328471182E9</v>
      </c>
      <c r="W432" s="17" t="s">
        <v>113</v>
      </c>
      <c r="AA432" s="17" t="s">
        <v>109</v>
      </c>
      <c r="AU432" s="17" t="s">
        <v>76</v>
      </c>
      <c r="AV432" s="17" t="s">
        <v>472</v>
      </c>
      <c r="AZ432" s="17" t="s">
        <v>243</v>
      </c>
      <c r="BA432" s="17" t="s">
        <v>458</v>
      </c>
      <c r="BB432" s="17" t="s">
        <v>109</v>
      </c>
      <c r="BP432" s="17" t="s">
        <v>1690</v>
      </c>
      <c r="BR432" s="7" t="str">
        <f t="shared" si="1"/>
        <v>Kodi kura chitti gaare</v>
      </c>
    </row>
    <row r="433" ht="22.5" customHeight="1">
      <c r="A433" s="14">
        <v>46069.735200208335</v>
      </c>
      <c r="B433" s="15">
        <v>46069.0</v>
      </c>
      <c r="C433" s="16">
        <v>0.6888888888934162</v>
      </c>
      <c r="U433" s="17" t="s">
        <v>846</v>
      </c>
      <c r="V433" s="17">
        <v>9.666746674E9</v>
      </c>
      <c r="W433" s="17" t="s">
        <v>113</v>
      </c>
      <c r="AA433" s="17" t="s">
        <v>109</v>
      </c>
      <c r="AU433" s="17" t="s">
        <v>76</v>
      </c>
      <c r="AV433" s="17" t="s">
        <v>472</v>
      </c>
      <c r="AZ433" s="17" t="s">
        <v>243</v>
      </c>
      <c r="BA433" s="17" t="s">
        <v>458</v>
      </c>
      <c r="BB433" s="17" t="s">
        <v>109</v>
      </c>
      <c r="BP433" s="17" t="s">
        <v>1691</v>
      </c>
      <c r="BR433" s="7" t="str">
        <f t="shared" si="1"/>
        <v>Hope in a cup</v>
      </c>
    </row>
    <row r="434" ht="22.5" customHeight="1">
      <c r="A434" s="14">
        <v>46069.73885443287</v>
      </c>
      <c r="B434" s="15">
        <v>46069.0</v>
      </c>
      <c r="C434" s="16">
        <v>0.7361111111094942</v>
      </c>
      <c r="U434" s="17" t="s">
        <v>117</v>
      </c>
      <c r="V434" s="17" t="s">
        <v>117</v>
      </c>
      <c r="W434" s="17" t="s">
        <v>117</v>
      </c>
      <c r="AA434" s="17" t="s">
        <v>109</v>
      </c>
      <c r="AU434" s="17" t="s">
        <v>76</v>
      </c>
      <c r="AV434" s="17" t="s">
        <v>271</v>
      </c>
      <c r="AZ434" s="17" t="s">
        <v>287</v>
      </c>
      <c r="BA434" s="17" t="s">
        <v>458</v>
      </c>
      <c r="BB434" s="17" t="s">
        <v>109</v>
      </c>
      <c r="BP434" s="17" t="s">
        <v>1692</v>
      </c>
      <c r="BR434" s="7" t="str">
        <f t="shared" si="1"/>
        <v>Deccan Dhaba</v>
      </c>
    </row>
    <row r="435" ht="22.5" customHeight="1">
      <c r="A435" s="14">
        <v>46069.74002945602</v>
      </c>
      <c r="B435" s="15">
        <v>46069.0</v>
      </c>
      <c r="C435" s="16">
        <v>0.6041666666642413</v>
      </c>
      <c r="D435" s="17" t="s">
        <v>91</v>
      </c>
      <c r="F435" s="17">
        <v>30.0</v>
      </c>
      <c r="G435" s="17">
        <v>250.0</v>
      </c>
      <c r="H435" s="17" t="s">
        <v>117</v>
      </c>
      <c r="I435" s="17">
        <v>10000.0</v>
      </c>
      <c r="J435" s="17" t="s">
        <v>94</v>
      </c>
      <c r="K435" s="17" t="s">
        <v>95</v>
      </c>
      <c r="M435" s="17">
        <v>22.0</v>
      </c>
      <c r="N435" s="17">
        <v>1.0</v>
      </c>
      <c r="O435" s="17" t="s">
        <v>96</v>
      </c>
      <c r="P435" s="17" t="s">
        <v>109</v>
      </c>
      <c r="Q435" s="17" t="s">
        <v>97</v>
      </c>
      <c r="R435" s="17" t="s">
        <v>76</v>
      </c>
      <c r="S435" s="17" t="s">
        <v>117</v>
      </c>
      <c r="U435" s="17" t="s">
        <v>1693</v>
      </c>
      <c r="V435" s="17" t="s">
        <v>1694</v>
      </c>
      <c r="W435" s="17" t="s">
        <v>1695</v>
      </c>
      <c r="AA435" s="17" t="s">
        <v>76</v>
      </c>
      <c r="AB435" s="17">
        <v>2.362402800172E13</v>
      </c>
      <c r="AC435" s="18" t="s">
        <v>1696</v>
      </c>
      <c r="AD435" s="17" t="s">
        <v>117</v>
      </c>
      <c r="AF435" s="17" t="s">
        <v>1697</v>
      </c>
      <c r="AG435" s="18" t="s">
        <v>1698</v>
      </c>
      <c r="AS435" s="17" t="s">
        <v>76</v>
      </c>
      <c r="AU435" s="17" t="s">
        <v>76</v>
      </c>
      <c r="AV435" s="17" t="s">
        <v>1699</v>
      </c>
      <c r="AX435" s="15">
        <v>46070.0</v>
      </c>
      <c r="AY435" s="16">
        <v>0.5416666666642413</v>
      </c>
      <c r="AZ435" s="17" t="s">
        <v>164</v>
      </c>
      <c r="BA435" s="17" t="s">
        <v>458</v>
      </c>
      <c r="BB435" s="17" t="s">
        <v>76</v>
      </c>
      <c r="BJ435" s="16">
        <v>0.47916666666424135</v>
      </c>
      <c r="BK435" s="16">
        <v>0.8888888888905058</v>
      </c>
      <c r="BL435" s="17">
        <v>40.0</v>
      </c>
      <c r="BM435" s="17" t="s">
        <v>1700</v>
      </c>
      <c r="BN435" s="17" t="s">
        <v>1701</v>
      </c>
      <c r="BP435" s="17" t="s">
        <v>1702</v>
      </c>
      <c r="BR435" s="7" t="str">
        <f t="shared" si="1"/>
        <v>priyansh fast food </v>
      </c>
    </row>
    <row r="436" ht="22.5" customHeight="1">
      <c r="A436" s="14">
        <v>46069.74674040509</v>
      </c>
      <c r="B436" s="15">
        <v>46069.0</v>
      </c>
      <c r="C436" s="16">
        <v>0.625</v>
      </c>
      <c r="D436" s="17" t="s">
        <v>91</v>
      </c>
      <c r="F436" s="17">
        <v>30.0</v>
      </c>
      <c r="G436" s="17">
        <v>200.0</v>
      </c>
      <c r="H436" s="17" t="s">
        <v>863</v>
      </c>
      <c r="I436" s="17">
        <v>30000.0</v>
      </c>
      <c r="J436" s="17" t="s">
        <v>94</v>
      </c>
      <c r="K436" s="17" t="s">
        <v>134</v>
      </c>
      <c r="L436" s="17">
        <v>22.0</v>
      </c>
      <c r="M436" s="17">
        <v>20.0</v>
      </c>
      <c r="N436" s="17">
        <v>2.0</v>
      </c>
      <c r="O436" s="17" t="s">
        <v>96</v>
      </c>
      <c r="P436" s="17" t="s">
        <v>76</v>
      </c>
      <c r="Q436" s="17" t="s">
        <v>97</v>
      </c>
      <c r="R436" s="17" t="s">
        <v>109</v>
      </c>
      <c r="S436" s="17" t="s">
        <v>388</v>
      </c>
      <c r="U436" s="17" t="s">
        <v>1703</v>
      </c>
      <c r="V436" s="17">
        <v>9.642357335E9</v>
      </c>
      <c r="W436" s="17" t="s">
        <v>388</v>
      </c>
      <c r="AA436" s="17" t="s">
        <v>109</v>
      </c>
      <c r="AU436" s="17" t="s">
        <v>76</v>
      </c>
      <c r="AV436" s="17" t="s">
        <v>271</v>
      </c>
      <c r="AZ436" s="17" t="s">
        <v>131</v>
      </c>
      <c r="BA436" s="17" t="s">
        <v>458</v>
      </c>
      <c r="BB436" s="17" t="s">
        <v>76</v>
      </c>
      <c r="BL436" s="17">
        <v>50.0</v>
      </c>
      <c r="BN436" s="17" t="s">
        <v>1704</v>
      </c>
      <c r="BP436" s="17" t="s">
        <v>1705</v>
      </c>
      <c r="BR436" s="7" t="str">
        <f t="shared" si="1"/>
        <v>Sardarji kitchen </v>
      </c>
    </row>
    <row r="437" ht="22.5" customHeight="1">
      <c r="A437" s="14">
        <v>46069.74876648148</v>
      </c>
      <c r="B437" s="15">
        <v>46069.0</v>
      </c>
      <c r="C437" s="16">
        <v>0.6145833333357587</v>
      </c>
      <c r="D437" s="17" t="s">
        <v>91</v>
      </c>
      <c r="F437" s="17">
        <v>20.0</v>
      </c>
      <c r="G437" s="17">
        <v>300.0</v>
      </c>
      <c r="H437" s="17" t="s">
        <v>117</v>
      </c>
      <c r="I437" s="17">
        <v>12000.0</v>
      </c>
      <c r="J437" s="17" t="s">
        <v>94</v>
      </c>
      <c r="K437" s="17" t="s">
        <v>118</v>
      </c>
      <c r="L437" s="17">
        <v>30.0</v>
      </c>
      <c r="M437" s="17">
        <v>22.0</v>
      </c>
      <c r="N437" s="17">
        <v>1.0</v>
      </c>
      <c r="O437" s="17" t="s">
        <v>96</v>
      </c>
      <c r="P437" s="17" t="s">
        <v>109</v>
      </c>
      <c r="Q437" s="17" t="s">
        <v>97</v>
      </c>
      <c r="R437" s="17" t="s">
        <v>76</v>
      </c>
      <c r="S437" s="18" t="s">
        <v>1706</v>
      </c>
      <c r="U437" s="17" t="s">
        <v>1707</v>
      </c>
      <c r="V437" s="17">
        <v>9.885238434E9</v>
      </c>
      <c r="W437" s="17" t="s">
        <v>117</v>
      </c>
      <c r="AA437" s="17" t="s">
        <v>76</v>
      </c>
      <c r="AB437" s="17">
        <v>2.3621028002247E13</v>
      </c>
      <c r="AC437" s="18" t="s">
        <v>1708</v>
      </c>
      <c r="AD437" s="17" t="s">
        <v>117</v>
      </c>
      <c r="AF437" s="17" t="s">
        <v>1709</v>
      </c>
      <c r="AG437" s="18" t="s">
        <v>1710</v>
      </c>
      <c r="AK437" s="18" t="s">
        <v>1711</v>
      </c>
      <c r="AL437" s="17">
        <v>2.109100059E9</v>
      </c>
      <c r="AM437" s="17" t="s">
        <v>1712</v>
      </c>
      <c r="AN437" s="17" t="s">
        <v>1713</v>
      </c>
      <c r="AO437" s="17" t="s">
        <v>1713</v>
      </c>
      <c r="AR437" s="17" t="s">
        <v>1713</v>
      </c>
      <c r="AS437" s="17" t="s">
        <v>76</v>
      </c>
      <c r="AT437" s="17" t="s">
        <v>193</v>
      </c>
      <c r="AU437" s="17" t="s">
        <v>109</v>
      </c>
      <c r="AZ437" s="17" t="s">
        <v>164</v>
      </c>
      <c r="BA437" s="17" t="s">
        <v>458</v>
      </c>
      <c r="BB437" s="17" t="s">
        <v>76</v>
      </c>
      <c r="BH437" s="17">
        <v>22.0</v>
      </c>
      <c r="BI437" s="17" t="s">
        <v>109</v>
      </c>
      <c r="BJ437" s="16">
        <v>0.47916666666424135</v>
      </c>
      <c r="BK437" s="16">
        <v>0.8541666666642413</v>
      </c>
      <c r="BL437" s="17">
        <v>40.0</v>
      </c>
      <c r="BM437" s="17" t="s">
        <v>1714</v>
      </c>
      <c r="BN437" s="17" t="s">
        <v>1701</v>
      </c>
      <c r="BP437" s="17" t="s">
        <v>1715</v>
      </c>
      <c r="BR437" s="7" t="str">
        <f t="shared" si="1"/>
        <v>mysore bakery </v>
      </c>
    </row>
    <row r="438" ht="22.5" customHeight="1">
      <c r="A438" s="14">
        <v>46069.74886478009</v>
      </c>
      <c r="B438" s="15">
        <v>46069.0</v>
      </c>
      <c r="C438" s="16">
        <v>0.7083333333357587</v>
      </c>
      <c r="D438" s="17" t="s">
        <v>91</v>
      </c>
      <c r="F438" s="17">
        <v>50.0</v>
      </c>
      <c r="G438" s="17">
        <v>300.0</v>
      </c>
      <c r="H438" s="17" t="s">
        <v>388</v>
      </c>
      <c r="I438" s="17">
        <v>40000.0</v>
      </c>
      <c r="J438" s="17" t="s">
        <v>94</v>
      </c>
      <c r="K438" s="17" t="s">
        <v>134</v>
      </c>
      <c r="L438" s="17">
        <v>22.0</v>
      </c>
      <c r="M438" s="17">
        <v>20.0</v>
      </c>
      <c r="N438" s="17">
        <v>1.0</v>
      </c>
      <c r="O438" s="17" t="s">
        <v>96</v>
      </c>
      <c r="P438" s="17" t="s">
        <v>76</v>
      </c>
      <c r="Q438" s="17" t="s">
        <v>97</v>
      </c>
      <c r="R438" s="17" t="s">
        <v>76</v>
      </c>
      <c r="S438" s="17" t="s">
        <v>388</v>
      </c>
      <c r="U438" s="17" t="s">
        <v>1716</v>
      </c>
      <c r="V438" s="17" t="s">
        <v>388</v>
      </c>
      <c r="W438" s="17" t="s">
        <v>388</v>
      </c>
      <c r="AA438" s="17" t="s">
        <v>109</v>
      </c>
      <c r="AU438" s="17" t="s">
        <v>76</v>
      </c>
      <c r="AV438" s="17" t="s">
        <v>271</v>
      </c>
      <c r="AZ438" s="17" t="s">
        <v>131</v>
      </c>
      <c r="BA438" s="17" t="s">
        <v>458</v>
      </c>
      <c r="BB438" s="17" t="s">
        <v>76</v>
      </c>
      <c r="BN438" s="17" t="s">
        <v>1717</v>
      </c>
      <c r="BP438" s="17" t="s">
        <v>1718</v>
      </c>
      <c r="BR438" s="7" t="str">
        <f t="shared" si="1"/>
        <v>Kingston Restaurant </v>
      </c>
    </row>
    <row r="439" ht="22.5" customHeight="1">
      <c r="A439" s="14">
        <v>46069.75117618055</v>
      </c>
      <c r="B439" s="15">
        <v>46069.0</v>
      </c>
      <c r="C439" s="16">
        <v>0.75</v>
      </c>
      <c r="D439" s="17" t="s">
        <v>91</v>
      </c>
      <c r="F439" s="17">
        <v>15.0</v>
      </c>
      <c r="G439" s="17">
        <v>200.0</v>
      </c>
      <c r="H439" s="17" t="s">
        <v>388</v>
      </c>
      <c r="I439" s="17">
        <v>20000.0</v>
      </c>
      <c r="J439" s="17" t="s">
        <v>221</v>
      </c>
      <c r="K439" s="17" t="s">
        <v>134</v>
      </c>
      <c r="L439" s="17">
        <v>22.0</v>
      </c>
      <c r="M439" s="17">
        <v>20.0</v>
      </c>
      <c r="N439" s="17">
        <v>10.0</v>
      </c>
      <c r="O439" s="17" t="s">
        <v>96</v>
      </c>
      <c r="P439" s="17" t="s">
        <v>76</v>
      </c>
      <c r="Q439" s="17" t="s">
        <v>97</v>
      </c>
      <c r="R439" s="17" t="s">
        <v>109</v>
      </c>
      <c r="S439" s="17" t="s">
        <v>388</v>
      </c>
      <c r="U439" s="17" t="s">
        <v>1719</v>
      </c>
      <c r="V439" s="17">
        <v>9.790769073E9</v>
      </c>
      <c r="W439" s="17" t="s">
        <v>388</v>
      </c>
      <c r="AA439" s="17" t="s">
        <v>109</v>
      </c>
      <c r="AU439" s="17" t="s">
        <v>76</v>
      </c>
      <c r="AV439" s="17" t="s">
        <v>271</v>
      </c>
      <c r="AZ439" s="17" t="s">
        <v>131</v>
      </c>
      <c r="BA439" s="17" t="s">
        <v>458</v>
      </c>
      <c r="BB439" s="17" t="s">
        <v>76</v>
      </c>
      <c r="BL439" s="17">
        <v>30.0</v>
      </c>
      <c r="BN439" s="17" t="s">
        <v>1720</v>
      </c>
      <c r="BP439" s="17" t="s">
        <v>1721</v>
      </c>
      <c r="BR439" s="7" t="str">
        <f t="shared" si="1"/>
        <v>Akshaya bhojanam </v>
      </c>
    </row>
    <row r="440" ht="22.5" customHeight="1">
      <c r="A440" s="14">
        <v>46069.75161361111</v>
      </c>
      <c r="B440" s="15">
        <v>46069.0</v>
      </c>
      <c r="C440" s="16">
        <v>0.6458333333357587</v>
      </c>
      <c r="D440" s="17" t="s">
        <v>111</v>
      </c>
      <c r="T440" s="17" t="s">
        <v>1722</v>
      </c>
      <c r="U440" s="17" t="s">
        <v>1723</v>
      </c>
      <c r="V440" s="17" t="s">
        <v>1724</v>
      </c>
      <c r="W440" s="17" t="s">
        <v>1725</v>
      </c>
      <c r="AA440" s="17" t="s">
        <v>109</v>
      </c>
      <c r="AU440" s="17" t="s">
        <v>76</v>
      </c>
      <c r="AV440" s="17" t="s">
        <v>114</v>
      </c>
      <c r="AW440" s="17" t="s">
        <v>1726</v>
      </c>
      <c r="AX440" s="15">
        <v>46070.0</v>
      </c>
      <c r="AY440" s="16">
        <v>0.71875</v>
      </c>
      <c r="AZ440" s="17" t="s">
        <v>164</v>
      </c>
      <c r="BA440" s="17" t="s">
        <v>491</v>
      </c>
      <c r="BP440" s="17" t="s">
        <v>1722</v>
      </c>
      <c r="BR440" s="7" t="str">
        <f t="shared" si="1"/>
        <v>NAWAB CAFETERIANAWAB CAFETERIA</v>
      </c>
    </row>
    <row r="441" ht="22.5" customHeight="1">
      <c r="A441" s="14">
        <v>46069.792287766206</v>
      </c>
      <c r="B441" s="15">
        <v>46069.0</v>
      </c>
      <c r="C441" s="16">
        <v>0.6506944444408873</v>
      </c>
      <c r="U441" s="17" t="s">
        <v>1727</v>
      </c>
      <c r="V441" s="17">
        <v>8.008566191E9</v>
      </c>
      <c r="W441" s="17" t="s">
        <v>113</v>
      </c>
      <c r="AA441" s="17" t="s">
        <v>109</v>
      </c>
      <c r="AT441" s="17" t="s">
        <v>1728</v>
      </c>
      <c r="AU441" s="17" t="s">
        <v>76</v>
      </c>
      <c r="AV441" s="17" t="s">
        <v>472</v>
      </c>
      <c r="AZ441" s="17" t="s">
        <v>243</v>
      </c>
      <c r="BA441" s="17" t="s">
        <v>458</v>
      </c>
      <c r="BB441" s="17" t="s">
        <v>109</v>
      </c>
      <c r="BP441" s="17" t="s">
        <v>1729</v>
      </c>
      <c r="BR441" s="7" t="str">
        <f t="shared" si="1"/>
        <v>Bejjawada junction</v>
      </c>
    </row>
    <row r="442" ht="22.5" customHeight="1">
      <c r="A442" s="14">
        <v>46069.80557376157</v>
      </c>
      <c r="B442" s="15">
        <v>46069.0</v>
      </c>
      <c r="C442" s="16">
        <v>0.75</v>
      </c>
      <c r="D442" s="17" t="s">
        <v>91</v>
      </c>
      <c r="F442" s="17">
        <v>80.0</v>
      </c>
      <c r="G442" s="17">
        <v>800.0</v>
      </c>
      <c r="H442" s="17" t="s">
        <v>1730</v>
      </c>
      <c r="J442" s="17" t="s">
        <v>167</v>
      </c>
      <c r="K442" s="17" t="s">
        <v>134</v>
      </c>
      <c r="N442" s="17">
        <v>3.0</v>
      </c>
      <c r="O442" s="17" t="s">
        <v>371</v>
      </c>
      <c r="P442" s="17" t="s">
        <v>76</v>
      </c>
      <c r="Q442" s="17" t="s">
        <v>97</v>
      </c>
      <c r="R442" s="17" t="s">
        <v>98</v>
      </c>
      <c r="S442" s="18" t="s">
        <v>1731</v>
      </c>
      <c r="T442" s="17" t="s">
        <v>1732</v>
      </c>
      <c r="U442" s="17" t="s">
        <v>1733</v>
      </c>
      <c r="V442" s="17">
        <v>9.985287122E9</v>
      </c>
      <c r="W442" s="17" t="s">
        <v>1734</v>
      </c>
      <c r="AA442" s="17" t="s">
        <v>109</v>
      </c>
      <c r="AT442" s="17" t="s">
        <v>1735</v>
      </c>
      <c r="AU442" s="17" t="s">
        <v>76</v>
      </c>
      <c r="AV442" s="17" t="s">
        <v>472</v>
      </c>
      <c r="AX442" s="23">
        <v>46070.0</v>
      </c>
      <c r="AZ442" s="17" t="s">
        <v>1607</v>
      </c>
      <c r="BA442" s="17" t="s">
        <v>458</v>
      </c>
      <c r="BB442" s="17" t="s">
        <v>76</v>
      </c>
      <c r="BP442" s="17" t="s">
        <v>1732</v>
      </c>
      <c r="BR442" s="7" t="str">
        <f t="shared" si="1"/>
        <v>Hard Rock CafeHard Rock Cafe</v>
      </c>
    </row>
    <row r="443" ht="22.5" customHeight="1">
      <c r="A443" s="14">
        <v>46069.81745959491</v>
      </c>
      <c r="B443" s="15">
        <v>46069.0</v>
      </c>
      <c r="C443" s="16">
        <v>0.5208333333357587</v>
      </c>
      <c r="D443" s="17" t="s">
        <v>111</v>
      </c>
      <c r="T443" s="17" t="s">
        <v>1736</v>
      </c>
      <c r="U443" s="17" t="s">
        <v>1737</v>
      </c>
      <c r="V443" s="17" t="s">
        <v>1738</v>
      </c>
      <c r="W443" s="17" t="s">
        <v>769</v>
      </c>
      <c r="AA443" s="17" t="s">
        <v>109</v>
      </c>
      <c r="AT443" s="17" t="s">
        <v>1739</v>
      </c>
      <c r="AU443" s="17" t="s">
        <v>76</v>
      </c>
      <c r="AV443" s="17" t="s">
        <v>1740</v>
      </c>
      <c r="AX443" s="15">
        <v>46070.0</v>
      </c>
      <c r="AY443" s="16">
        <v>0.5416666666642413</v>
      </c>
      <c r="AZ443" s="17" t="s">
        <v>115</v>
      </c>
      <c r="BA443" s="17" t="s">
        <v>458</v>
      </c>
      <c r="BB443" s="17" t="s">
        <v>76</v>
      </c>
      <c r="BP443" s="17" t="s">
        <v>1736</v>
      </c>
      <c r="BR443" s="7" t="str">
        <f t="shared" si="1"/>
        <v>Deerga Ayushman bhava Deerga Ayushman bhava </v>
      </c>
    </row>
    <row r="444" ht="22.5" customHeight="1">
      <c r="A444" s="14">
        <v>46069.82019097223</v>
      </c>
      <c r="B444" s="15">
        <v>46069.0</v>
      </c>
      <c r="C444" s="16">
        <v>0.7916666666642413</v>
      </c>
      <c r="D444" s="17" t="s">
        <v>111</v>
      </c>
      <c r="T444" s="17" t="s">
        <v>736</v>
      </c>
      <c r="U444" s="17" t="s">
        <v>737</v>
      </c>
      <c r="V444" s="17">
        <v>7.991231238E9</v>
      </c>
      <c r="W444" s="17" t="s">
        <v>769</v>
      </c>
      <c r="AA444" s="17" t="s">
        <v>109</v>
      </c>
      <c r="AT444" s="17" t="s">
        <v>1741</v>
      </c>
      <c r="AU444" s="17" t="s">
        <v>76</v>
      </c>
      <c r="AV444" s="17" t="s">
        <v>1742</v>
      </c>
      <c r="AX444" s="15">
        <v>46070.0</v>
      </c>
      <c r="AY444" s="16">
        <v>0.5416666666642413</v>
      </c>
      <c r="AZ444" s="17" t="s">
        <v>115</v>
      </c>
      <c r="BA444" s="17" t="s">
        <v>491</v>
      </c>
      <c r="BP444" s="17" t="s">
        <v>736</v>
      </c>
      <c r="BR444" s="7" t="str">
        <f t="shared" si="1"/>
        <v>Simply parottas Simply parottas </v>
      </c>
    </row>
    <row r="445" ht="22.5" customHeight="1">
      <c r="A445" s="14">
        <v>46069.82160293982</v>
      </c>
      <c r="B445" s="15">
        <v>46069.0</v>
      </c>
      <c r="C445" s="16">
        <v>0.8125</v>
      </c>
      <c r="D445" s="17" t="s">
        <v>111</v>
      </c>
      <c r="T445" s="17" t="s">
        <v>1743</v>
      </c>
      <c r="U445" s="17" t="s">
        <v>1744</v>
      </c>
      <c r="V445" s="17" t="s">
        <v>1745</v>
      </c>
      <c r="W445" s="17" t="s">
        <v>769</v>
      </c>
      <c r="AA445" s="17" t="s">
        <v>109</v>
      </c>
      <c r="AT445" s="17" t="s">
        <v>1746</v>
      </c>
      <c r="AU445" s="17" t="s">
        <v>76</v>
      </c>
      <c r="AV445" s="17" t="s">
        <v>1747</v>
      </c>
      <c r="AZ445" s="17" t="s">
        <v>115</v>
      </c>
      <c r="BA445" s="17" t="s">
        <v>491</v>
      </c>
      <c r="BP445" s="17" t="s">
        <v>1748</v>
      </c>
      <c r="BR445" s="7" t="str">
        <f t="shared" si="1"/>
        <v>Hari dosaHari dosa </v>
      </c>
    </row>
    <row r="446" ht="22.5" customHeight="1">
      <c r="A446" s="14">
        <v>46069.82362753472</v>
      </c>
      <c r="B446" s="15">
        <v>46069.0</v>
      </c>
      <c r="C446" s="16">
        <v>0.8194444444452529</v>
      </c>
      <c r="D446" s="17" t="s">
        <v>111</v>
      </c>
      <c r="T446" s="17" t="s">
        <v>1101</v>
      </c>
      <c r="U446" s="17" t="s">
        <v>769</v>
      </c>
      <c r="V446" s="17" t="s">
        <v>1098</v>
      </c>
      <c r="W446" s="17" t="s">
        <v>769</v>
      </c>
      <c r="AA446" s="17" t="s">
        <v>109</v>
      </c>
      <c r="AT446" s="17" t="s">
        <v>1749</v>
      </c>
      <c r="AU446" s="17" t="s">
        <v>76</v>
      </c>
      <c r="AV446" s="17" t="s">
        <v>1749</v>
      </c>
      <c r="AZ446" s="17" t="s">
        <v>115</v>
      </c>
      <c r="BA446" s="17" t="s">
        <v>491</v>
      </c>
      <c r="BP446" s="17" t="s">
        <v>1101</v>
      </c>
      <c r="BR446" s="7" t="str">
        <f t="shared" si="1"/>
        <v>Missamma restaurant Missamma restaurant </v>
      </c>
    </row>
    <row r="447" ht="22.5" customHeight="1">
      <c r="A447" s="14">
        <v>46069.825013124995</v>
      </c>
      <c r="B447" s="15">
        <v>46069.0</v>
      </c>
      <c r="C447" s="16">
        <v>0.7916666666642413</v>
      </c>
      <c r="D447" s="17" t="s">
        <v>111</v>
      </c>
      <c r="T447" s="17" t="s">
        <v>1146</v>
      </c>
      <c r="U447" s="17" t="s">
        <v>245</v>
      </c>
      <c r="V447" s="17" t="s">
        <v>1750</v>
      </c>
      <c r="W447" s="17" t="s">
        <v>769</v>
      </c>
      <c r="AA447" s="17" t="s">
        <v>109</v>
      </c>
      <c r="AT447" s="17" t="s">
        <v>1751</v>
      </c>
      <c r="AU447" s="17" t="s">
        <v>76</v>
      </c>
      <c r="AV447" s="17" t="s">
        <v>1752</v>
      </c>
      <c r="AZ447" s="17" t="s">
        <v>115</v>
      </c>
      <c r="BA447" s="17" t="s">
        <v>491</v>
      </c>
      <c r="BP447" s="17" t="s">
        <v>1146</v>
      </c>
      <c r="BR447" s="7" t="str">
        <f t="shared" si="1"/>
        <v>Poruginti chepala pulusu Poruginti chepala pulusu </v>
      </c>
    </row>
    <row r="448" ht="22.5" customHeight="1">
      <c r="A448" s="14">
        <v>46069.82715855324</v>
      </c>
      <c r="B448" s="15">
        <v>46069.0</v>
      </c>
      <c r="C448" s="16">
        <v>0.7916666666642413</v>
      </c>
      <c r="D448" s="17" t="s">
        <v>111</v>
      </c>
      <c r="T448" s="17" t="s">
        <v>1753</v>
      </c>
      <c r="U448" s="17" t="s">
        <v>1754</v>
      </c>
      <c r="V448" s="17">
        <v>7.995243674E9</v>
      </c>
      <c r="W448" s="17" t="s">
        <v>769</v>
      </c>
      <c r="AA448" s="17" t="s">
        <v>109</v>
      </c>
      <c r="AT448" s="17" t="s">
        <v>1755</v>
      </c>
      <c r="AU448" s="17" t="s">
        <v>109</v>
      </c>
      <c r="AV448" s="17" t="s">
        <v>1756</v>
      </c>
      <c r="AZ448" s="17" t="s">
        <v>115</v>
      </c>
      <c r="BA448" s="17" t="s">
        <v>491</v>
      </c>
      <c r="BP448" s="17" t="s">
        <v>1183</v>
      </c>
      <c r="BR448" s="7" t="str">
        <f t="shared" si="1"/>
        <v>Rainbow mandi restaurant Rainbow mandi </v>
      </c>
    </row>
    <row r="449" ht="22.5" customHeight="1">
      <c r="A449" s="14">
        <v>46069.82862090278</v>
      </c>
      <c r="B449" s="15">
        <v>46069.0</v>
      </c>
      <c r="C449" s="16">
        <v>0.8020833333357587</v>
      </c>
      <c r="D449" s="17" t="s">
        <v>111</v>
      </c>
      <c r="T449" s="17" t="s">
        <v>1301</v>
      </c>
      <c r="U449" s="17" t="s">
        <v>1757</v>
      </c>
      <c r="V449" s="17" t="s">
        <v>1758</v>
      </c>
      <c r="W449" s="17" t="s">
        <v>769</v>
      </c>
      <c r="AA449" s="17" t="s">
        <v>109</v>
      </c>
      <c r="AT449" s="17" t="s">
        <v>1759</v>
      </c>
      <c r="AU449" s="17" t="s">
        <v>76</v>
      </c>
      <c r="AV449" s="17" t="s">
        <v>472</v>
      </c>
      <c r="AZ449" s="17" t="s">
        <v>115</v>
      </c>
      <c r="BA449" s="17" t="s">
        <v>491</v>
      </c>
      <c r="BP449" s="17" t="s">
        <v>1303</v>
      </c>
      <c r="BR449" s="7" t="str">
        <f t="shared" si="1"/>
        <v>Ritvikas kitchenRitvikas kitchen </v>
      </c>
    </row>
    <row r="450" ht="22.5" customHeight="1">
      <c r="A450" s="14">
        <v>46069.83342866898</v>
      </c>
      <c r="B450" s="15">
        <v>46069.0</v>
      </c>
      <c r="C450" s="16">
        <v>0.8125</v>
      </c>
      <c r="D450" s="17" t="s">
        <v>111</v>
      </c>
      <c r="T450" s="17" t="s">
        <v>1760</v>
      </c>
      <c r="U450" s="17">
        <v>9.381425752E9</v>
      </c>
      <c r="V450" s="17" t="s">
        <v>769</v>
      </c>
      <c r="W450" s="17" t="s">
        <v>769</v>
      </c>
      <c r="AA450" s="17" t="s">
        <v>109</v>
      </c>
      <c r="AT450" s="17" t="s">
        <v>1761</v>
      </c>
      <c r="AU450" s="17" t="s">
        <v>76</v>
      </c>
      <c r="AV450" s="17" t="s">
        <v>472</v>
      </c>
      <c r="AZ450" s="17" t="s">
        <v>115</v>
      </c>
      <c r="BA450" s="17" t="s">
        <v>491</v>
      </c>
      <c r="BP450" s="17" t="s">
        <v>1760</v>
      </c>
      <c r="BR450" s="7" t="str">
        <f t="shared" si="1"/>
        <v>Raagam foods Raagam foods </v>
      </c>
    </row>
    <row r="451" ht="22.5" customHeight="1">
      <c r="A451" s="14">
        <v>46069.83692306713</v>
      </c>
      <c r="B451" s="15">
        <v>46069.0</v>
      </c>
      <c r="C451" s="16">
        <v>0.7916666666642413</v>
      </c>
      <c r="D451" s="17" t="s">
        <v>111</v>
      </c>
      <c r="T451" s="17" t="s">
        <v>1059</v>
      </c>
      <c r="U451" s="17" t="s">
        <v>846</v>
      </c>
      <c r="V451" s="17" t="s">
        <v>1058</v>
      </c>
      <c r="W451" s="17" t="s">
        <v>769</v>
      </c>
      <c r="AA451" s="17" t="s">
        <v>109</v>
      </c>
      <c r="AT451" s="17" t="s">
        <v>1762</v>
      </c>
      <c r="AU451" s="17" t="s">
        <v>76</v>
      </c>
      <c r="AV451" s="17" t="s">
        <v>1763</v>
      </c>
      <c r="AX451" s="15">
        <v>46070.0</v>
      </c>
      <c r="AY451" s="16">
        <v>0.75</v>
      </c>
      <c r="AZ451" s="17" t="s">
        <v>115</v>
      </c>
      <c r="BA451" s="17" t="s">
        <v>491</v>
      </c>
      <c r="BP451" s="17" t="s">
        <v>1059</v>
      </c>
      <c r="BR451" s="7" t="str">
        <f t="shared" si="1"/>
        <v>Kings biryani adda Kings biryani adda </v>
      </c>
    </row>
    <row r="452" ht="22.5" customHeight="1">
      <c r="A452" s="14">
        <v>46069.838104131944</v>
      </c>
      <c r="B452" s="15">
        <v>46069.0</v>
      </c>
      <c r="C452" s="16">
        <v>0.8159722222189885</v>
      </c>
      <c r="D452" s="17" t="s">
        <v>111</v>
      </c>
      <c r="T452" s="17" t="s">
        <v>1345</v>
      </c>
      <c r="U452" s="17" t="s">
        <v>1764</v>
      </c>
      <c r="V452" s="17" t="s">
        <v>1346</v>
      </c>
      <c r="W452" s="17" t="s">
        <v>769</v>
      </c>
      <c r="AA452" s="17" t="s">
        <v>109</v>
      </c>
      <c r="AT452" s="17" t="s">
        <v>1765</v>
      </c>
      <c r="AU452" s="17" t="s">
        <v>76</v>
      </c>
      <c r="AV452" s="17" t="s">
        <v>1766</v>
      </c>
      <c r="AX452" s="15">
        <v>46070.0</v>
      </c>
      <c r="AY452" s="16">
        <v>0.6666666666642413</v>
      </c>
      <c r="AZ452" s="17" t="s">
        <v>115</v>
      </c>
      <c r="BA452" s="17" t="s">
        <v>491</v>
      </c>
      <c r="BP452" s="17" t="s">
        <v>1345</v>
      </c>
      <c r="BR452" s="7" t="str">
        <f t="shared" si="1"/>
        <v>Emerald food house Emerald food house </v>
      </c>
    </row>
    <row r="453" ht="22.5" customHeight="1">
      <c r="A453" s="14">
        <v>46069.84325392361</v>
      </c>
      <c r="B453" s="15">
        <v>46069.0</v>
      </c>
      <c r="C453" s="16">
        <v>0.47916666666424135</v>
      </c>
      <c r="D453" s="17" t="s">
        <v>111</v>
      </c>
      <c r="T453" s="17" t="s">
        <v>1767</v>
      </c>
      <c r="U453" s="17" t="s">
        <v>1768</v>
      </c>
      <c r="V453" s="17" t="s">
        <v>1769</v>
      </c>
      <c r="W453" s="17" t="s">
        <v>769</v>
      </c>
      <c r="AA453" s="17" t="s">
        <v>109</v>
      </c>
      <c r="AT453" s="17" t="s">
        <v>1770</v>
      </c>
      <c r="AU453" s="17" t="s">
        <v>76</v>
      </c>
      <c r="AV453" s="17" t="s">
        <v>114</v>
      </c>
      <c r="AX453" s="15">
        <v>46070.0</v>
      </c>
      <c r="AY453" s="16">
        <v>0.6666666666642413</v>
      </c>
      <c r="AZ453" s="17" t="s">
        <v>115</v>
      </c>
      <c r="BA453" s="17" t="s">
        <v>491</v>
      </c>
      <c r="BP453" s="17" t="s">
        <v>1767</v>
      </c>
      <c r="BR453" s="7" t="str">
        <f t="shared" si="1"/>
        <v>QubzQubz</v>
      </c>
    </row>
    <row r="454" ht="22.5" customHeight="1">
      <c r="A454" s="14">
        <v>46069.903539293984</v>
      </c>
      <c r="B454" s="15">
        <v>46066.0</v>
      </c>
      <c r="C454" s="16">
        <v>0.13888888889050577</v>
      </c>
      <c r="D454" s="17" t="s">
        <v>91</v>
      </c>
      <c r="F454" s="17">
        <v>100.0</v>
      </c>
      <c r="G454" s="17">
        <v>400.0</v>
      </c>
      <c r="H454" s="17" t="s">
        <v>184</v>
      </c>
      <c r="J454" s="17" t="s">
        <v>167</v>
      </c>
      <c r="K454" s="17" t="s">
        <v>134</v>
      </c>
      <c r="N454" s="17">
        <v>1.0</v>
      </c>
      <c r="O454" s="17" t="s">
        <v>96</v>
      </c>
      <c r="P454" s="17" t="s">
        <v>76</v>
      </c>
      <c r="Q454" s="17" t="s">
        <v>97</v>
      </c>
      <c r="R454" s="17" t="s">
        <v>76</v>
      </c>
      <c r="S454" s="17" t="s">
        <v>117</v>
      </c>
      <c r="U454" s="17" t="s">
        <v>1771</v>
      </c>
      <c r="V454" s="17" t="s">
        <v>1772</v>
      </c>
      <c r="W454" s="17" t="s">
        <v>117</v>
      </c>
      <c r="AA454" s="17" t="s">
        <v>76</v>
      </c>
      <c r="AB454" s="17">
        <v>2.3626034000477E13</v>
      </c>
      <c r="AC454" s="18" t="s">
        <v>1773</v>
      </c>
      <c r="AD454" s="17" t="s">
        <v>1774</v>
      </c>
      <c r="AE454" s="18" t="s">
        <v>1775</v>
      </c>
      <c r="AF454" s="17" t="s">
        <v>1776</v>
      </c>
      <c r="AG454" s="18" t="s">
        <v>1777</v>
      </c>
      <c r="AK454" s="18" t="s">
        <v>1778</v>
      </c>
      <c r="AL454" s="17">
        <v>1.57002000000978E14</v>
      </c>
      <c r="AM454" s="17" t="s">
        <v>1779</v>
      </c>
      <c r="AN454" s="17" t="s">
        <v>1780</v>
      </c>
      <c r="AO454" s="17" t="s">
        <v>1781</v>
      </c>
      <c r="AP454" s="17">
        <v>9.177937307E9</v>
      </c>
      <c r="AS454" s="17" t="s">
        <v>76</v>
      </c>
      <c r="AT454" s="17" t="s">
        <v>1577</v>
      </c>
      <c r="AU454" s="17" t="s">
        <v>109</v>
      </c>
      <c r="AZ454" s="17" t="s">
        <v>539</v>
      </c>
      <c r="BA454" s="17" t="s">
        <v>458</v>
      </c>
      <c r="BB454" s="17" t="s">
        <v>76</v>
      </c>
      <c r="BH454" s="17">
        <v>18.0</v>
      </c>
      <c r="BI454" s="17" t="s">
        <v>76</v>
      </c>
      <c r="BL454" s="17">
        <v>150.0</v>
      </c>
      <c r="BM454" s="17" t="s">
        <v>1782</v>
      </c>
      <c r="BN454" s="17" t="s">
        <v>1783</v>
      </c>
      <c r="BP454" s="17" t="s">
        <v>893</v>
      </c>
      <c r="BR454" s="7" t="str">
        <f t="shared" si="1"/>
        <v>ZEESHAN </v>
      </c>
    </row>
    <row r="455" ht="22.5" customHeight="1">
      <c r="A455" s="14">
        <v>46069.90879284722</v>
      </c>
      <c r="B455" s="15">
        <v>46066.0</v>
      </c>
      <c r="C455" s="16">
        <v>0.20347222222335404</v>
      </c>
      <c r="D455" s="17" t="s">
        <v>91</v>
      </c>
      <c r="F455" s="17">
        <v>100.0</v>
      </c>
      <c r="G455" s="17">
        <v>300.0</v>
      </c>
      <c r="H455" s="17" t="s">
        <v>184</v>
      </c>
      <c r="I455" s="17">
        <v>12000.0</v>
      </c>
      <c r="J455" s="17" t="s">
        <v>94</v>
      </c>
      <c r="K455" s="17" t="s">
        <v>134</v>
      </c>
      <c r="L455" s="17">
        <v>22.0</v>
      </c>
      <c r="N455" s="17">
        <v>1.0</v>
      </c>
      <c r="O455" s="17" t="s">
        <v>96</v>
      </c>
      <c r="P455" s="17" t="s">
        <v>109</v>
      </c>
      <c r="Q455" s="17" t="s">
        <v>97</v>
      </c>
      <c r="R455" s="17" t="s">
        <v>109</v>
      </c>
      <c r="S455" s="17" t="s">
        <v>117</v>
      </c>
      <c r="U455" s="17" t="s">
        <v>1784</v>
      </c>
      <c r="V455" s="17" t="s">
        <v>1785</v>
      </c>
      <c r="W455" s="17" t="s">
        <v>117</v>
      </c>
      <c r="AA455" s="17" t="s">
        <v>76</v>
      </c>
      <c r="AB455" s="17">
        <v>2.3622028000835E13</v>
      </c>
      <c r="AC455" s="18" t="s">
        <v>1786</v>
      </c>
      <c r="AD455" s="17" t="s">
        <v>117</v>
      </c>
      <c r="AF455" s="17" t="s">
        <v>1787</v>
      </c>
      <c r="AG455" s="18" t="s">
        <v>1788</v>
      </c>
      <c r="AH455" s="17" t="s">
        <v>117</v>
      </c>
      <c r="AS455" s="17" t="s">
        <v>76</v>
      </c>
      <c r="AT455" s="17" t="s">
        <v>193</v>
      </c>
      <c r="AU455" s="17" t="s">
        <v>109</v>
      </c>
      <c r="AZ455" s="17" t="s">
        <v>539</v>
      </c>
      <c r="BA455" s="17" t="s">
        <v>458</v>
      </c>
      <c r="BB455" s="17" t="s">
        <v>76</v>
      </c>
      <c r="BH455" s="17">
        <v>22.0</v>
      </c>
      <c r="BI455" s="17" t="s">
        <v>76</v>
      </c>
      <c r="BL455" s="17">
        <v>60.0</v>
      </c>
      <c r="BM455" s="17" t="s">
        <v>1789</v>
      </c>
      <c r="BN455" s="17" t="s">
        <v>1790</v>
      </c>
      <c r="BP455" s="17" t="s">
        <v>1791</v>
      </c>
      <c r="BR455" s="7" t="str">
        <f t="shared" si="1"/>
        <v>SS BAWARCHI</v>
      </c>
    </row>
    <row r="456" ht="22.5" customHeight="1">
      <c r="A456" s="14">
        <v>46069.91082497685</v>
      </c>
      <c r="B456" s="15">
        <v>46069.0</v>
      </c>
      <c r="C456" s="16">
        <v>0.851388888884685</v>
      </c>
      <c r="D456" s="17" t="s">
        <v>91</v>
      </c>
      <c r="F456" s="17">
        <v>60.0</v>
      </c>
      <c r="G456" s="17">
        <v>250.0</v>
      </c>
      <c r="H456" s="17" t="s">
        <v>1792</v>
      </c>
      <c r="I456" s="17">
        <v>25000.0</v>
      </c>
      <c r="J456" s="17" t="s">
        <v>94</v>
      </c>
      <c r="K456" s="17" t="s">
        <v>273</v>
      </c>
      <c r="M456" s="17">
        <v>22.0</v>
      </c>
      <c r="N456" s="17">
        <v>1.0</v>
      </c>
      <c r="O456" s="17" t="s">
        <v>96</v>
      </c>
      <c r="P456" s="17" t="s">
        <v>109</v>
      </c>
      <c r="Q456" s="17" t="s">
        <v>97</v>
      </c>
      <c r="R456" s="17" t="s">
        <v>109</v>
      </c>
      <c r="S456" s="17" t="s">
        <v>117</v>
      </c>
      <c r="U456" s="17" t="s">
        <v>1793</v>
      </c>
      <c r="V456" s="17">
        <v>8.801656811E9</v>
      </c>
      <c r="W456" s="17" t="s">
        <v>1794</v>
      </c>
      <c r="AA456" s="17" t="s">
        <v>76</v>
      </c>
      <c r="AC456" s="18" t="s">
        <v>1795</v>
      </c>
      <c r="AG456" s="18" t="s">
        <v>1796</v>
      </c>
      <c r="AK456" s="18" t="s">
        <v>1797</v>
      </c>
      <c r="AS456" s="17" t="s">
        <v>76</v>
      </c>
      <c r="AT456" s="17" t="s">
        <v>586</v>
      </c>
      <c r="AU456" s="17" t="s">
        <v>109</v>
      </c>
      <c r="AZ456" s="17" t="s">
        <v>287</v>
      </c>
      <c r="BA456" s="17" t="s">
        <v>458</v>
      </c>
      <c r="BB456" s="17" t="s">
        <v>76</v>
      </c>
      <c r="BL456" s="17">
        <v>90.0</v>
      </c>
      <c r="BM456" s="17" t="s">
        <v>779</v>
      </c>
      <c r="BP456" s="17" t="s">
        <v>1798</v>
      </c>
      <c r="BR456" s="7" t="str">
        <f t="shared" si="1"/>
        <v>Al Aadaab Arabian Mandi Restaurant </v>
      </c>
    </row>
    <row r="457" ht="22.5" customHeight="1">
      <c r="A457" s="14">
        <v>46069.92193946759</v>
      </c>
      <c r="B457" s="15">
        <v>46069.0</v>
      </c>
      <c r="C457" s="16">
        <v>0.07291666666424135</v>
      </c>
      <c r="D457" s="17" t="s">
        <v>91</v>
      </c>
      <c r="F457" s="17">
        <v>20.0</v>
      </c>
      <c r="G457" s="17">
        <v>200.0</v>
      </c>
      <c r="H457" s="17" t="s">
        <v>117</v>
      </c>
      <c r="J457" s="17" t="s">
        <v>221</v>
      </c>
      <c r="K457" s="17" t="s">
        <v>134</v>
      </c>
      <c r="N457" s="17">
        <v>1.0</v>
      </c>
      <c r="O457" s="17" t="s">
        <v>96</v>
      </c>
      <c r="P457" s="17" t="s">
        <v>109</v>
      </c>
      <c r="Q457" s="17" t="s">
        <v>97</v>
      </c>
      <c r="R457" s="17" t="s">
        <v>109</v>
      </c>
      <c r="S457" s="17" t="s">
        <v>117</v>
      </c>
      <c r="U457" s="17" t="s">
        <v>1799</v>
      </c>
      <c r="V457" s="17">
        <v>6.2175906581E10</v>
      </c>
      <c r="W457" s="17" t="s">
        <v>1800</v>
      </c>
      <c r="AA457" s="17" t="s">
        <v>76</v>
      </c>
      <c r="AB457" s="17">
        <v>2.362102800316E13</v>
      </c>
      <c r="AC457" s="18" t="s">
        <v>1801</v>
      </c>
      <c r="AF457" s="17" t="s">
        <v>1802</v>
      </c>
      <c r="AG457" s="18" t="s">
        <v>1803</v>
      </c>
      <c r="AS457" s="17" t="s">
        <v>76</v>
      </c>
      <c r="AT457" s="17" t="s">
        <v>1804</v>
      </c>
      <c r="AU457" s="17" t="s">
        <v>109</v>
      </c>
      <c r="AZ457" s="17" t="s">
        <v>539</v>
      </c>
      <c r="BA457" s="17" t="s">
        <v>458</v>
      </c>
      <c r="BB457" s="17" t="s">
        <v>76</v>
      </c>
      <c r="BH457" s="17">
        <v>22.0</v>
      </c>
      <c r="BM457" s="17" t="s">
        <v>1805</v>
      </c>
      <c r="BN457" s="17" t="s">
        <v>1806</v>
      </c>
      <c r="BP457" s="17" t="s">
        <v>1807</v>
      </c>
      <c r="BR457" s="7" t="str">
        <f t="shared" si="1"/>
        <v>SRI RAMANA MAHARSHI FOOD COURT </v>
      </c>
    </row>
    <row r="458" ht="22.5" customHeight="1">
      <c r="A458" s="14">
        <v>46069.92975541667</v>
      </c>
      <c r="B458" s="15">
        <v>46069.0</v>
      </c>
      <c r="C458" s="16">
        <v>0.10416666666424135</v>
      </c>
      <c r="D458" s="17" t="s">
        <v>91</v>
      </c>
      <c r="F458" s="17">
        <v>50.0</v>
      </c>
      <c r="G458" s="17">
        <v>300.0</v>
      </c>
      <c r="H458" s="17" t="s">
        <v>184</v>
      </c>
      <c r="J458" s="17" t="s">
        <v>94</v>
      </c>
      <c r="K458" s="17" t="s">
        <v>134</v>
      </c>
      <c r="N458" s="17">
        <v>1.0</v>
      </c>
      <c r="O458" s="17" t="s">
        <v>96</v>
      </c>
      <c r="P458" s="17" t="s">
        <v>76</v>
      </c>
      <c r="Q458" s="17" t="s">
        <v>97</v>
      </c>
      <c r="R458" s="17" t="s">
        <v>76</v>
      </c>
      <c r="S458" s="17" t="s">
        <v>117</v>
      </c>
      <c r="U458" s="17" t="s">
        <v>1808</v>
      </c>
      <c r="V458" s="17">
        <v>9.980102334E9</v>
      </c>
      <c r="W458" s="17" t="s">
        <v>1809</v>
      </c>
      <c r="AA458" s="17" t="s">
        <v>76</v>
      </c>
      <c r="AB458" s="17">
        <v>2.3626028000182E13</v>
      </c>
      <c r="AC458" s="18" t="s">
        <v>1810</v>
      </c>
      <c r="AD458" s="17" t="s">
        <v>1811</v>
      </c>
      <c r="AE458" s="18" t="s">
        <v>1812</v>
      </c>
      <c r="AF458" s="17" t="s">
        <v>1813</v>
      </c>
      <c r="AG458" s="18" t="s">
        <v>1814</v>
      </c>
      <c r="AH458" s="17" t="s">
        <v>117</v>
      </c>
      <c r="AK458" s="18" t="s">
        <v>1815</v>
      </c>
      <c r="AL458" s="17">
        <v>5.0100460528124E13</v>
      </c>
      <c r="AM458" s="17" t="s">
        <v>1816</v>
      </c>
      <c r="AN458" s="17" t="s">
        <v>1817</v>
      </c>
      <c r="AO458" s="17" t="s">
        <v>1818</v>
      </c>
      <c r="AP458" s="17">
        <v>9.980102334E9</v>
      </c>
      <c r="AQ458" s="17" t="s">
        <v>1819</v>
      </c>
      <c r="AR458" s="17" t="s">
        <v>1820</v>
      </c>
      <c r="AS458" s="17" t="s">
        <v>76</v>
      </c>
      <c r="AT458" s="17" t="s">
        <v>237</v>
      </c>
      <c r="AU458" s="17" t="s">
        <v>76</v>
      </c>
      <c r="AV458" s="17" t="s">
        <v>472</v>
      </c>
      <c r="AZ458" s="17" t="s">
        <v>539</v>
      </c>
      <c r="BA458" s="17" t="s">
        <v>458</v>
      </c>
      <c r="BB458" s="17" t="s">
        <v>76</v>
      </c>
      <c r="BM458" s="17" t="s">
        <v>1821</v>
      </c>
      <c r="BN458" s="17" t="s">
        <v>1790</v>
      </c>
      <c r="BP458" s="17" t="s">
        <v>1822</v>
      </c>
      <c r="BR458" s="7" t="str">
        <f t="shared" si="1"/>
        <v>TEAALOGY</v>
      </c>
    </row>
    <row r="459" ht="22.5" customHeight="1">
      <c r="A459" s="14">
        <v>46069.93413479166</v>
      </c>
      <c r="B459" s="15">
        <v>46069.0</v>
      </c>
      <c r="C459" s="16">
        <v>0.16666666666424135</v>
      </c>
      <c r="D459" s="17" t="s">
        <v>91</v>
      </c>
      <c r="F459" s="17">
        <v>50.0</v>
      </c>
      <c r="G459" s="17">
        <v>500.0</v>
      </c>
      <c r="H459" s="17" t="s">
        <v>291</v>
      </c>
      <c r="J459" s="17" t="s">
        <v>167</v>
      </c>
      <c r="K459" s="17" t="s">
        <v>134</v>
      </c>
      <c r="N459" s="17">
        <v>1.0</v>
      </c>
      <c r="O459" s="17" t="s">
        <v>96</v>
      </c>
      <c r="P459" s="17" t="s">
        <v>109</v>
      </c>
      <c r="Q459" s="17" t="s">
        <v>97</v>
      </c>
      <c r="R459" s="17" t="s">
        <v>109</v>
      </c>
      <c r="S459" s="17" t="s">
        <v>113</v>
      </c>
      <c r="U459" s="17" t="s">
        <v>1823</v>
      </c>
      <c r="V459" s="17">
        <v>8.008115681E9</v>
      </c>
      <c r="W459" s="17" t="s">
        <v>1824</v>
      </c>
      <c r="AA459" s="17" t="s">
        <v>76</v>
      </c>
      <c r="AB459" s="17">
        <v>2.3626028000436E13</v>
      </c>
      <c r="AC459" s="18" t="s">
        <v>1825</v>
      </c>
      <c r="AF459" s="17" t="s">
        <v>1826</v>
      </c>
      <c r="AG459" s="18" t="s">
        <v>1827</v>
      </c>
      <c r="AK459" s="18" t="s">
        <v>1828</v>
      </c>
      <c r="AS459" s="17" t="s">
        <v>76</v>
      </c>
      <c r="AT459" s="17" t="s">
        <v>1829</v>
      </c>
      <c r="AU459" s="17" t="s">
        <v>109</v>
      </c>
      <c r="AZ459" s="17" t="s">
        <v>539</v>
      </c>
      <c r="BA459" s="17" t="s">
        <v>458</v>
      </c>
      <c r="BB459" s="17" t="s">
        <v>76</v>
      </c>
      <c r="BM459" s="17" t="s">
        <v>1830</v>
      </c>
      <c r="BN459" s="17" t="s">
        <v>1831</v>
      </c>
      <c r="BP459" s="17" t="s">
        <v>1832</v>
      </c>
      <c r="BR459" s="7" t="str">
        <f t="shared" si="1"/>
        <v>oak bistro</v>
      </c>
    </row>
    <row r="460" ht="22.5" customHeight="1">
      <c r="A460" s="14">
        <v>46069.93837870371</v>
      </c>
      <c r="B460" s="15">
        <v>46069.0</v>
      </c>
      <c r="C460" s="16">
        <v>0.21736111110658385</v>
      </c>
      <c r="D460" s="17" t="s">
        <v>91</v>
      </c>
      <c r="F460" s="17">
        <v>25.0</v>
      </c>
      <c r="G460" s="17">
        <v>300.0</v>
      </c>
      <c r="H460" s="17" t="s">
        <v>184</v>
      </c>
      <c r="J460" s="17" t="s">
        <v>94</v>
      </c>
      <c r="K460" s="17" t="s">
        <v>134</v>
      </c>
      <c r="N460" s="17">
        <v>1.0</v>
      </c>
      <c r="O460" s="17" t="s">
        <v>96</v>
      </c>
      <c r="P460" s="17" t="s">
        <v>109</v>
      </c>
      <c r="Q460" s="17" t="s">
        <v>97</v>
      </c>
      <c r="R460" s="17" t="s">
        <v>109</v>
      </c>
      <c r="S460" s="17" t="s">
        <v>117</v>
      </c>
      <c r="U460" s="17" t="s">
        <v>1833</v>
      </c>
      <c r="V460" s="17" t="s">
        <v>1834</v>
      </c>
      <c r="W460" s="17" t="s">
        <v>117</v>
      </c>
      <c r="AA460" s="17" t="s">
        <v>76</v>
      </c>
      <c r="AB460" s="17">
        <v>2.3624028001996E13</v>
      </c>
      <c r="AC460" s="18" t="s">
        <v>1835</v>
      </c>
      <c r="AF460" s="17" t="s">
        <v>1836</v>
      </c>
      <c r="AG460" s="18" t="s">
        <v>1837</v>
      </c>
      <c r="AK460" s="18" t="s">
        <v>1838</v>
      </c>
      <c r="AS460" s="17" t="s">
        <v>76</v>
      </c>
      <c r="AT460" s="17" t="s">
        <v>237</v>
      </c>
      <c r="AU460" s="17" t="s">
        <v>109</v>
      </c>
      <c r="AZ460" s="17" t="s">
        <v>539</v>
      </c>
      <c r="BA460" s="17" t="s">
        <v>458</v>
      </c>
      <c r="BB460" s="17" t="s">
        <v>76</v>
      </c>
      <c r="BM460" s="17" t="s">
        <v>1839</v>
      </c>
      <c r="BN460" s="17" t="s">
        <v>1790</v>
      </c>
      <c r="BP460" s="17" t="s">
        <v>1840</v>
      </c>
      <c r="BR460" s="7" t="str">
        <f t="shared" si="1"/>
        <v>SHA SHA SHAWARMA </v>
      </c>
    </row>
    <row r="461" ht="22.5" customHeight="1">
      <c r="A461" s="14">
        <v>46069.94251112269</v>
      </c>
      <c r="B461" s="15">
        <v>46069.0</v>
      </c>
      <c r="C461" s="16">
        <v>0.2624999999970896</v>
      </c>
      <c r="D461" s="17" t="s">
        <v>91</v>
      </c>
      <c r="F461" s="17">
        <v>50.0</v>
      </c>
      <c r="G461" s="17">
        <v>400.0</v>
      </c>
      <c r="H461" s="17" t="s">
        <v>291</v>
      </c>
      <c r="J461" s="17" t="s">
        <v>94</v>
      </c>
      <c r="K461" s="17" t="s">
        <v>134</v>
      </c>
      <c r="N461" s="17">
        <v>1.0</v>
      </c>
      <c r="O461" s="17" t="s">
        <v>96</v>
      </c>
      <c r="P461" s="17" t="s">
        <v>109</v>
      </c>
      <c r="Q461" s="17" t="s">
        <v>97</v>
      </c>
      <c r="R461" s="17" t="s">
        <v>109</v>
      </c>
      <c r="S461" s="17" t="s">
        <v>113</v>
      </c>
      <c r="U461" s="17" t="s">
        <v>1841</v>
      </c>
      <c r="V461" s="17">
        <v>9.505154858E9</v>
      </c>
      <c r="W461" s="17" t="s">
        <v>113</v>
      </c>
      <c r="AA461" s="17" t="s">
        <v>76</v>
      </c>
      <c r="AB461" s="17">
        <v>2.3625028004314E13</v>
      </c>
      <c r="AC461" s="18" t="s">
        <v>1842</v>
      </c>
      <c r="AS461" s="17" t="s">
        <v>76</v>
      </c>
      <c r="AT461" s="17" t="s">
        <v>1843</v>
      </c>
      <c r="AU461" s="17" t="s">
        <v>76</v>
      </c>
      <c r="AZ461" s="17" t="s">
        <v>539</v>
      </c>
      <c r="BA461" s="17" t="s">
        <v>458</v>
      </c>
      <c r="BB461" s="17" t="s">
        <v>76</v>
      </c>
      <c r="BM461" s="17" t="s">
        <v>1844</v>
      </c>
      <c r="BN461" s="17" t="s">
        <v>1550</v>
      </c>
      <c r="BP461" s="17" t="s">
        <v>1845</v>
      </c>
      <c r="BR461" s="7" t="str">
        <f t="shared" si="1"/>
        <v>AROMA BIRYANIS PULAOS   </v>
      </c>
    </row>
    <row r="462" ht="22.5" customHeight="1">
      <c r="A462" s="14">
        <v>46069.94753653935</v>
      </c>
      <c r="B462" s="15">
        <v>46069.0</v>
      </c>
      <c r="C462" s="16">
        <v>0.30208333333575865</v>
      </c>
      <c r="D462" s="17" t="s">
        <v>91</v>
      </c>
      <c r="F462" s="17">
        <v>150.0</v>
      </c>
      <c r="G462" s="17">
        <v>600.0</v>
      </c>
      <c r="H462" s="17" t="s">
        <v>1846</v>
      </c>
      <c r="J462" s="17" t="s">
        <v>167</v>
      </c>
      <c r="K462" s="17" t="s">
        <v>134</v>
      </c>
      <c r="N462" s="17">
        <v>1.0</v>
      </c>
      <c r="O462" s="17" t="s">
        <v>135</v>
      </c>
      <c r="P462" s="17" t="s">
        <v>76</v>
      </c>
      <c r="Q462" s="17" t="s">
        <v>97</v>
      </c>
      <c r="R462" s="17" t="s">
        <v>109</v>
      </c>
      <c r="S462" s="17" t="s">
        <v>113</v>
      </c>
      <c r="U462" s="17" t="s">
        <v>1847</v>
      </c>
      <c r="V462" s="17">
        <v>9.94907222E9</v>
      </c>
      <c r="W462" s="17" t="s">
        <v>113</v>
      </c>
      <c r="AA462" s="17" t="s">
        <v>76</v>
      </c>
      <c r="AB462" s="17">
        <v>1.362501000016E13</v>
      </c>
      <c r="AC462" s="18" t="s">
        <v>1848</v>
      </c>
      <c r="AD462" s="17" t="s">
        <v>1849</v>
      </c>
      <c r="AE462" s="18" t="s">
        <v>1850</v>
      </c>
      <c r="AF462" s="17" t="s">
        <v>1851</v>
      </c>
      <c r="AG462" s="18" t="s">
        <v>1852</v>
      </c>
      <c r="AK462" s="18" t="s">
        <v>1853</v>
      </c>
      <c r="AS462" s="17" t="s">
        <v>76</v>
      </c>
      <c r="AT462" s="17" t="s">
        <v>193</v>
      </c>
      <c r="AU462" s="17" t="s">
        <v>109</v>
      </c>
      <c r="AZ462" s="17" t="s">
        <v>539</v>
      </c>
      <c r="BA462" s="17" t="s">
        <v>458</v>
      </c>
      <c r="BB462" s="17" t="s">
        <v>76</v>
      </c>
      <c r="BM462" s="17" t="s">
        <v>1854</v>
      </c>
      <c r="BN462" s="17" t="s">
        <v>1550</v>
      </c>
      <c r="BP462" s="17" t="s">
        <v>1855</v>
      </c>
      <c r="BR462" s="7" t="str">
        <f t="shared" si="1"/>
        <v>flavours of andhra</v>
      </c>
    </row>
    <row r="463" ht="22.5" customHeight="1">
      <c r="A463" s="14">
        <v>46070.37538278935</v>
      </c>
      <c r="B463" s="15">
        <v>46070.0</v>
      </c>
      <c r="C463" s="16">
        <v>0.22916666666424135</v>
      </c>
      <c r="D463" s="17" t="s">
        <v>91</v>
      </c>
      <c r="F463" s="17">
        <v>80.0</v>
      </c>
      <c r="G463" s="17">
        <v>800.0</v>
      </c>
      <c r="H463" s="17" t="s">
        <v>611</v>
      </c>
      <c r="J463" s="17" t="s">
        <v>167</v>
      </c>
      <c r="K463" s="17" t="s">
        <v>134</v>
      </c>
      <c r="N463" s="17">
        <v>1.0</v>
      </c>
      <c r="O463" s="17" t="s">
        <v>96</v>
      </c>
      <c r="P463" s="17" t="s">
        <v>76</v>
      </c>
      <c r="Q463" s="17" t="s">
        <v>97</v>
      </c>
      <c r="R463" s="17" t="s">
        <v>109</v>
      </c>
      <c r="S463" s="18" t="s">
        <v>1856</v>
      </c>
      <c r="U463" s="17" t="s">
        <v>1857</v>
      </c>
      <c r="V463" s="17" t="s">
        <v>1858</v>
      </c>
      <c r="W463" s="17" t="s">
        <v>113</v>
      </c>
      <c r="AA463" s="17" t="s">
        <v>109</v>
      </c>
      <c r="AT463" s="17" t="s">
        <v>113</v>
      </c>
      <c r="AU463" s="17" t="s">
        <v>109</v>
      </c>
      <c r="AZ463" s="17" t="s">
        <v>356</v>
      </c>
      <c r="BA463" s="17" t="s">
        <v>491</v>
      </c>
      <c r="BN463" s="17" t="s">
        <v>1859</v>
      </c>
      <c r="BP463" s="17" t="s">
        <v>1860</v>
      </c>
      <c r="BR463" s="7" t="str">
        <f t="shared" si="1"/>
        <v>Daily Rituals</v>
      </c>
    </row>
    <row r="464" ht="22.5" customHeight="1">
      <c r="A464" s="14">
        <v>46070.38492488426</v>
      </c>
      <c r="B464" s="15">
        <v>46070.0</v>
      </c>
      <c r="C464" s="16">
        <v>0.27083333333575865</v>
      </c>
      <c r="D464" s="17" t="s">
        <v>91</v>
      </c>
      <c r="F464" s="17">
        <v>80.0</v>
      </c>
      <c r="G464" s="17">
        <v>900.0</v>
      </c>
      <c r="H464" s="17" t="s">
        <v>611</v>
      </c>
      <c r="J464" s="17" t="s">
        <v>167</v>
      </c>
      <c r="K464" s="17" t="s">
        <v>134</v>
      </c>
      <c r="N464" s="17">
        <v>1.0</v>
      </c>
      <c r="O464" s="17" t="s">
        <v>96</v>
      </c>
      <c r="P464" s="17" t="s">
        <v>76</v>
      </c>
      <c r="Q464" s="17" t="s">
        <v>97</v>
      </c>
      <c r="R464" s="17" t="s">
        <v>76</v>
      </c>
      <c r="S464" s="17" t="s">
        <v>664</v>
      </c>
      <c r="U464" s="17" t="s">
        <v>1501</v>
      </c>
      <c r="V464" s="17" t="s">
        <v>1861</v>
      </c>
      <c r="W464" s="17" t="s">
        <v>388</v>
      </c>
      <c r="AA464" s="17" t="s">
        <v>109</v>
      </c>
      <c r="AT464" s="17" t="s">
        <v>388</v>
      </c>
      <c r="AU464" s="17" t="s">
        <v>76</v>
      </c>
      <c r="AV464" s="17" t="s">
        <v>271</v>
      </c>
      <c r="AX464" s="15">
        <v>46072.0</v>
      </c>
      <c r="AY464" s="16">
        <v>0.10416666666424135</v>
      </c>
      <c r="AZ464" s="17" t="s">
        <v>356</v>
      </c>
      <c r="BA464" s="17" t="s">
        <v>458</v>
      </c>
      <c r="BB464" s="17" t="s">
        <v>76</v>
      </c>
      <c r="BN464" s="17" t="s">
        <v>1445</v>
      </c>
      <c r="BP464" s="17" t="s">
        <v>1862</v>
      </c>
      <c r="BR464" s="7" t="str">
        <f t="shared" si="1"/>
        <v>Tiffins and more</v>
      </c>
    </row>
    <row r="465" ht="22.5" customHeight="1">
      <c r="A465" s="14">
        <v>46070.38691260417</v>
      </c>
      <c r="B465" s="15">
        <v>46070.0</v>
      </c>
      <c r="C465" s="16">
        <v>0.1875</v>
      </c>
      <c r="D465" s="17" t="s">
        <v>91</v>
      </c>
      <c r="F465" s="17">
        <v>120.0</v>
      </c>
      <c r="G465" s="17">
        <v>500.0</v>
      </c>
      <c r="H465" s="17" t="s">
        <v>611</v>
      </c>
      <c r="J465" s="17" t="s">
        <v>94</v>
      </c>
      <c r="K465" s="17" t="s">
        <v>134</v>
      </c>
      <c r="N465" s="17">
        <v>1.0</v>
      </c>
      <c r="O465" s="17" t="s">
        <v>96</v>
      </c>
      <c r="P465" s="17" t="s">
        <v>76</v>
      </c>
      <c r="Q465" s="17" t="s">
        <v>97</v>
      </c>
      <c r="R465" s="17" t="s">
        <v>109</v>
      </c>
      <c r="S465" s="17" t="s">
        <v>664</v>
      </c>
      <c r="U465" s="17" t="s">
        <v>1863</v>
      </c>
      <c r="V465" s="17" t="s">
        <v>388</v>
      </c>
      <c r="W465" s="17" t="s">
        <v>388</v>
      </c>
      <c r="AA465" s="17" t="s">
        <v>109</v>
      </c>
      <c r="AT465" s="17" t="s">
        <v>388</v>
      </c>
      <c r="AU465" s="17" t="s">
        <v>109</v>
      </c>
      <c r="AZ465" s="17" t="s">
        <v>356</v>
      </c>
      <c r="BA465" s="17" t="s">
        <v>458</v>
      </c>
      <c r="BB465" s="17" t="s">
        <v>76</v>
      </c>
      <c r="BN465" s="17" t="s">
        <v>1657</v>
      </c>
      <c r="BP465" s="17" t="s">
        <v>1864</v>
      </c>
      <c r="BR465" s="7" t="str">
        <f t="shared" si="1"/>
        <v>Dwaraka Restuarant </v>
      </c>
    </row>
    <row r="466" ht="22.5" customHeight="1">
      <c r="A466" s="14">
        <v>46070.389255671296</v>
      </c>
      <c r="B466" s="15">
        <v>46069.0</v>
      </c>
      <c r="C466" s="16">
        <v>0.10416666666424135</v>
      </c>
      <c r="D466" s="17" t="s">
        <v>91</v>
      </c>
      <c r="F466" s="17">
        <v>120.0</v>
      </c>
      <c r="G466" s="17">
        <v>270.0</v>
      </c>
      <c r="H466" s="17" t="s">
        <v>388</v>
      </c>
      <c r="J466" s="17" t="s">
        <v>94</v>
      </c>
      <c r="K466" s="17" t="s">
        <v>134</v>
      </c>
      <c r="N466" s="17">
        <v>1.0</v>
      </c>
      <c r="O466" s="17" t="s">
        <v>96</v>
      </c>
      <c r="P466" s="17" t="s">
        <v>76</v>
      </c>
      <c r="Q466" s="17" t="s">
        <v>97</v>
      </c>
      <c r="R466" s="17" t="s">
        <v>76</v>
      </c>
      <c r="S466" s="17" t="s">
        <v>664</v>
      </c>
      <c r="U466" s="17" t="s">
        <v>1865</v>
      </c>
      <c r="V466" s="17">
        <v>7.70294282E9</v>
      </c>
      <c r="W466" s="17" t="s">
        <v>388</v>
      </c>
      <c r="AA466" s="17" t="s">
        <v>109</v>
      </c>
      <c r="AT466" s="17" t="s">
        <v>388</v>
      </c>
      <c r="AU466" s="17" t="s">
        <v>76</v>
      </c>
      <c r="AV466" s="17" t="s">
        <v>472</v>
      </c>
      <c r="AW466" s="17" t="s">
        <v>1866</v>
      </c>
      <c r="AX466" s="15">
        <v>46069.0</v>
      </c>
      <c r="AY466" s="16">
        <v>0.10416666666424135</v>
      </c>
      <c r="AZ466" s="17" t="s">
        <v>356</v>
      </c>
      <c r="BA466" s="17" t="s">
        <v>458</v>
      </c>
      <c r="BB466" s="17" t="s">
        <v>76</v>
      </c>
      <c r="BN466" s="17" t="s">
        <v>1657</v>
      </c>
      <c r="BP466" s="17" t="s">
        <v>1658</v>
      </c>
      <c r="BR466" s="7" t="str">
        <f t="shared" si="1"/>
        <v>Sri Raghavendra Bhavan</v>
      </c>
    </row>
    <row r="467" ht="22.5" customHeight="1">
      <c r="A467" s="14">
        <v>46070.40557092593</v>
      </c>
      <c r="B467" s="15">
        <v>46069.0</v>
      </c>
      <c r="C467" s="16">
        <v>0.6520833333343035</v>
      </c>
      <c r="D467" s="17" t="s">
        <v>111</v>
      </c>
      <c r="T467" s="17" t="s">
        <v>1867</v>
      </c>
      <c r="U467" s="17" t="s">
        <v>1868</v>
      </c>
      <c r="V467" s="17">
        <v>8.096987009E9</v>
      </c>
      <c r="W467" s="17" t="s">
        <v>113</v>
      </c>
      <c r="AA467" s="17" t="s">
        <v>109</v>
      </c>
      <c r="AT467" s="17" t="s">
        <v>1869</v>
      </c>
      <c r="AU467" s="17" t="s">
        <v>76</v>
      </c>
      <c r="AV467" s="17" t="s">
        <v>271</v>
      </c>
      <c r="AZ467" s="17" t="s">
        <v>243</v>
      </c>
      <c r="BA467" s="17" t="s">
        <v>458</v>
      </c>
      <c r="BB467" s="17" t="s">
        <v>76</v>
      </c>
      <c r="BP467" s="17" t="s">
        <v>1870</v>
      </c>
      <c r="BR467" s="7" t="str">
        <f t="shared" si="1"/>
        <v>special 9Special 9</v>
      </c>
    </row>
    <row r="468" ht="22.5" customHeight="1">
      <c r="A468" s="14">
        <v>46070.406607384255</v>
      </c>
      <c r="B468" s="15">
        <v>46069.0</v>
      </c>
      <c r="C468" s="16">
        <v>0.47916666666424135</v>
      </c>
      <c r="U468" s="17" t="s">
        <v>113</v>
      </c>
      <c r="V468" s="17" t="s">
        <v>1871</v>
      </c>
      <c r="W468" s="17" t="s">
        <v>113</v>
      </c>
      <c r="AA468" s="17" t="s">
        <v>109</v>
      </c>
      <c r="AT468" s="17" t="s">
        <v>1872</v>
      </c>
      <c r="AU468" s="17" t="s">
        <v>76</v>
      </c>
      <c r="AV468" s="17" t="s">
        <v>472</v>
      </c>
      <c r="AZ468" s="17" t="s">
        <v>243</v>
      </c>
      <c r="BA468" s="17" t="s">
        <v>458</v>
      </c>
      <c r="BB468" s="17" t="s">
        <v>109</v>
      </c>
      <c r="BP468" s="17" t="s">
        <v>1871</v>
      </c>
      <c r="BR468" s="7" t="str">
        <f t="shared" si="1"/>
        <v>Saharsh udipi</v>
      </c>
    </row>
    <row r="469" ht="22.5" customHeight="1">
      <c r="A469" s="14">
        <v>46070.407937094904</v>
      </c>
      <c r="B469" s="15">
        <v>46069.0</v>
      </c>
      <c r="C469" s="16">
        <v>0.6041666666642413</v>
      </c>
      <c r="U469" s="17" t="s">
        <v>113</v>
      </c>
      <c r="V469" s="17">
        <v>9.182628576E9</v>
      </c>
      <c r="W469" s="17" t="s">
        <v>113</v>
      </c>
      <c r="AA469" s="17" t="s">
        <v>109</v>
      </c>
      <c r="AT469" s="17" t="s">
        <v>1873</v>
      </c>
      <c r="AU469" s="17" t="s">
        <v>76</v>
      </c>
      <c r="AV469" s="17" t="s">
        <v>472</v>
      </c>
      <c r="AZ469" s="17" t="s">
        <v>243</v>
      </c>
      <c r="BA469" s="17" t="s">
        <v>458</v>
      </c>
      <c r="BB469" s="17" t="s">
        <v>109</v>
      </c>
      <c r="BP469" s="17" t="s">
        <v>1874</v>
      </c>
      <c r="BR469" s="7" t="str">
        <f t="shared" si="1"/>
        <v>My bowl</v>
      </c>
    </row>
    <row r="470" ht="22.5" customHeight="1">
      <c r="A470" s="14">
        <v>46070.40997847222</v>
      </c>
      <c r="B470" s="15">
        <v>46069.0</v>
      </c>
      <c r="C470" s="16">
        <v>0.6666666666642413</v>
      </c>
      <c r="D470" s="17" t="s">
        <v>111</v>
      </c>
      <c r="T470" s="17" t="s">
        <v>1875</v>
      </c>
      <c r="U470" s="17" t="s">
        <v>1876</v>
      </c>
      <c r="V470" s="17">
        <v>7.331139799E9</v>
      </c>
      <c r="W470" s="17" t="s">
        <v>113</v>
      </c>
      <c r="AA470" s="17" t="s">
        <v>109</v>
      </c>
      <c r="AT470" s="17" t="s">
        <v>181</v>
      </c>
      <c r="AU470" s="17" t="s">
        <v>109</v>
      </c>
      <c r="AZ470" s="17" t="s">
        <v>243</v>
      </c>
      <c r="BA470" s="17" t="s">
        <v>458</v>
      </c>
      <c r="BB470" s="17" t="s">
        <v>76</v>
      </c>
      <c r="BP470" s="17" t="s">
        <v>1877</v>
      </c>
      <c r="BR470" s="7" t="str">
        <f t="shared" si="1"/>
        <v>Palapitta ruchuluPala pitta ruchulu</v>
      </c>
    </row>
    <row r="471" ht="22.5" customHeight="1">
      <c r="A471" s="14">
        <v>46070.412617939815</v>
      </c>
      <c r="B471" s="15">
        <v>46069.0</v>
      </c>
      <c r="C471" s="16">
        <v>0.6666666666642413</v>
      </c>
      <c r="D471" s="17" t="s">
        <v>111</v>
      </c>
      <c r="T471" s="17" t="s">
        <v>1878</v>
      </c>
      <c r="U471" s="17" t="s">
        <v>1879</v>
      </c>
      <c r="V471" s="17">
        <v>9.00046444E9</v>
      </c>
      <c r="W471" s="17" t="s">
        <v>113</v>
      </c>
      <c r="AA471" s="17" t="s">
        <v>109</v>
      </c>
      <c r="AT471" s="17" t="s">
        <v>181</v>
      </c>
      <c r="AU471" s="17" t="s">
        <v>109</v>
      </c>
      <c r="AZ471" s="17" t="s">
        <v>243</v>
      </c>
      <c r="BA471" s="17" t="s">
        <v>458</v>
      </c>
      <c r="BB471" s="17" t="s">
        <v>76</v>
      </c>
      <c r="BP471" s="17" t="s">
        <v>1878</v>
      </c>
      <c r="BR471" s="7" t="str">
        <f t="shared" si="1"/>
        <v>Patnam ruchuluPatnam ruchulu</v>
      </c>
    </row>
    <row r="472" ht="22.5" customHeight="1">
      <c r="A472" s="14">
        <v>46070.41376255787</v>
      </c>
      <c r="B472" s="15">
        <v>46069.0</v>
      </c>
      <c r="C472" s="16">
        <v>0.5833333333357587</v>
      </c>
      <c r="U472" s="17" t="s">
        <v>1689</v>
      </c>
      <c r="V472" s="17">
        <v>8.328471182E9</v>
      </c>
      <c r="W472" s="17" t="s">
        <v>113</v>
      </c>
      <c r="AA472" s="17" t="s">
        <v>109</v>
      </c>
      <c r="AT472" s="17" t="s">
        <v>1880</v>
      </c>
      <c r="AU472" s="17" t="s">
        <v>76</v>
      </c>
      <c r="AV472" s="17" t="s">
        <v>472</v>
      </c>
      <c r="AZ472" s="17" t="s">
        <v>243</v>
      </c>
      <c r="BA472" s="17" t="s">
        <v>458</v>
      </c>
      <c r="BB472" s="17" t="s">
        <v>109</v>
      </c>
      <c r="BP472" s="17" t="s">
        <v>1881</v>
      </c>
      <c r="BR472" s="7" t="str">
        <f t="shared" si="1"/>
        <v>Kodi kura chitti gare</v>
      </c>
    </row>
    <row r="473" ht="22.5" customHeight="1">
      <c r="A473" s="14">
        <v>46070.41590928241</v>
      </c>
      <c r="B473" s="15">
        <v>46069.0</v>
      </c>
      <c r="C473" s="16">
        <v>0.625</v>
      </c>
      <c r="U473" s="17" t="s">
        <v>1882</v>
      </c>
      <c r="V473" s="17">
        <v>9.676367127E9</v>
      </c>
      <c r="W473" s="17" t="s">
        <v>113</v>
      </c>
      <c r="AA473" s="17" t="s">
        <v>109</v>
      </c>
      <c r="AT473" s="17" t="s">
        <v>1883</v>
      </c>
      <c r="AU473" s="17" t="s">
        <v>76</v>
      </c>
      <c r="AV473" s="17" t="s">
        <v>472</v>
      </c>
      <c r="AZ473" s="17" t="s">
        <v>243</v>
      </c>
      <c r="BA473" s="17" t="s">
        <v>458</v>
      </c>
      <c r="BB473" s="17" t="s">
        <v>109</v>
      </c>
      <c r="BP473" s="17" t="s">
        <v>1691</v>
      </c>
      <c r="BR473" s="7" t="str">
        <f t="shared" si="1"/>
        <v>Hope in a cup</v>
      </c>
    </row>
    <row r="474" ht="22.5" customHeight="1">
      <c r="A474" s="14">
        <v>46070.41788987268</v>
      </c>
      <c r="B474" s="15">
        <v>46069.0</v>
      </c>
      <c r="C474" s="16">
        <v>0.625</v>
      </c>
      <c r="U474" s="17" t="s">
        <v>1884</v>
      </c>
      <c r="V474" s="17">
        <v>9.154993447E9</v>
      </c>
      <c r="W474" s="17" t="s">
        <v>113</v>
      </c>
      <c r="AA474" s="17" t="s">
        <v>109</v>
      </c>
      <c r="AT474" s="17" t="s">
        <v>1885</v>
      </c>
      <c r="AU474" s="17" t="s">
        <v>76</v>
      </c>
      <c r="AV474" s="17" t="s">
        <v>472</v>
      </c>
      <c r="AZ474" s="17" t="s">
        <v>243</v>
      </c>
      <c r="BA474" s="17" t="s">
        <v>458</v>
      </c>
      <c r="BB474" s="17" t="s">
        <v>109</v>
      </c>
      <c r="BP474" s="17" t="s">
        <v>1886</v>
      </c>
      <c r="BR474" s="7" t="str">
        <f t="shared" si="1"/>
        <v>Shawarma burger</v>
      </c>
    </row>
    <row r="475" ht="22.5" customHeight="1">
      <c r="A475" s="14">
        <v>46070.41902274305</v>
      </c>
      <c r="B475" s="15">
        <v>46069.0</v>
      </c>
      <c r="C475" s="16">
        <v>0.5416666666642413</v>
      </c>
      <c r="U475" s="17" t="s">
        <v>1887</v>
      </c>
      <c r="V475" s="17">
        <v>9.84900012E9</v>
      </c>
      <c r="W475" s="17" t="s">
        <v>113</v>
      </c>
      <c r="AA475" s="17" t="s">
        <v>109</v>
      </c>
      <c r="AT475" s="17" t="s">
        <v>1872</v>
      </c>
      <c r="AU475" s="17" t="s">
        <v>76</v>
      </c>
      <c r="AV475" s="17" t="s">
        <v>472</v>
      </c>
      <c r="AZ475" s="17" t="s">
        <v>243</v>
      </c>
      <c r="BA475" s="17" t="s">
        <v>458</v>
      </c>
      <c r="BB475" s="17" t="s">
        <v>109</v>
      </c>
      <c r="BP475" s="17" t="s">
        <v>1888</v>
      </c>
      <c r="BR475" s="7" t="str">
        <f t="shared" si="1"/>
        <v>Cafe Ikigai</v>
      </c>
    </row>
    <row r="476" ht="22.5" customHeight="1">
      <c r="A476" s="14">
        <v>46070.42039303241</v>
      </c>
      <c r="B476" s="15">
        <v>46069.0</v>
      </c>
      <c r="C476" s="16">
        <v>0.5</v>
      </c>
      <c r="U476" s="17" t="s">
        <v>113</v>
      </c>
      <c r="V476" s="17" t="s">
        <v>113</v>
      </c>
      <c r="W476" s="17" t="s">
        <v>113</v>
      </c>
      <c r="AA476" s="17" t="s">
        <v>109</v>
      </c>
      <c r="AT476" s="17" t="s">
        <v>1889</v>
      </c>
      <c r="AU476" s="17" t="s">
        <v>76</v>
      </c>
      <c r="AV476" s="17" t="s">
        <v>472</v>
      </c>
      <c r="AZ476" s="17" t="s">
        <v>243</v>
      </c>
      <c r="BA476" s="17" t="s">
        <v>458</v>
      </c>
      <c r="BB476" s="17" t="s">
        <v>109</v>
      </c>
      <c r="BP476" s="17" t="s">
        <v>1890</v>
      </c>
      <c r="BR476" s="7" t="str">
        <f t="shared" si="1"/>
        <v>Barbeque nation</v>
      </c>
    </row>
    <row r="477" ht="22.5" customHeight="1">
      <c r="A477" s="14">
        <v>46070.42510129629</v>
      </c>
      <c r="B477" s="15">
        <v>46069.0</v>
      </c>
      <c r="C477" s="16">
        <v>0.5416666666642413</v>
      </c>
      <c r="U477" s="17" t="s">
        <v>1891</v>
      </c>
      <c r="V477" s="17">
        <v>9.640290237E9</v>
      </c>
      <c r="W477" s="17" t="s">
        <v>113</v>
      </c>
      <c r="AA477" s="17" t="s">
        <v>109</v>
      </c>
      <c r="AT477" s="17" t="s">
        <v>1892</v>
      </c>
      <c r="AU477" s="17" t="s">
        <v>76</v>
      </c>
      <c r="AV477" s="17" t="s">
        <v>472</v>
      </c>
      <c r="AZ477" s="17" t="s">
        <v>243</v>
      </c>
      <c r="BA477" s="17" t="s">
        <v>458</v>
      </c>
      <c r="BB477" s="17" t="s">
        <v>109</v>
      </c>
      <c r="BP477" s="17" t="s">
        <v>1893</v>
      </c>
      <c r="BR477" s="24" t="str">
        <f t="shared" si="1"/>
        <v>DID LI Arabian kitchen</v>
      </c>
    </row>
    <row r="478" ht="22.5" customHeight="1">
      <c r="A478" s="14">
        <v>46070.4267878588</v>
      </c>
      <c r="B478" s="15">
        <v>46069.0</v>
      </c>
      <c r="C478" s="16">
        <v>0.5</v>
      </c>
      <c r="U478" s="17" t="s">
        <v>1727</v>
      </c>
      <c r="V478" s="17">
        <v>8.008566191E9</v>
      </c>
      <c r="W478" s="17" t="s">
        <v>113</v>
      </c>
      <c r="AA478" s="17" t="s">
        <v>109</v>
      </c>
      <c r="AT478" s="17" t="s">
        <v>1894</v>
      </c>
      <c r="AU478" s="17" t="s">
        <v>76</v>
      </c>
      <c r="AV478" s="17" t="s">
        <v>472</v>
      </c>
      <c r="AZ478" s="17" t="s">
        <v>243</v>
      </c>
      <c r="BA478" s="17" t="s">
        <v>458</v>
      </c>
      <c r="BB478" s="17" t="s">
        <v>109</v>
      </c>
      <c r="BP478" s="17" t="s">
        <v>1895</v>
      </c>
      <c r="BR478" s="24" t="str">
        <f t="shared" si="1"/>
        <v>Bejawada junction</v>
      </c>
    </row>
    <row r="479" ht="22.5" customHeight="1">
      <c r="A479" s="14">
        <v>46070.4282002199</v>
      </c>
      <c r="B479" s="15">
        <v>46069.0</v>
      </c>
      <c r="C479" s="16">
        <v>0.45833333333575865</v>
      </c>
      <c r="U479" s="17" t="s">
        <v>113</v>
      </c>
      <c r="V479" s="17">
        <v>9.552323334E9</v>
      </c>
      <c r="W479" s="17" t="s">
        <v>113</v>
      </c>
      <c r="AA479" s="17" t="s">
        <v>109</v>
      </c>
      <c r="AT479" s="17" t="s">
        <v>1896</v>
      </c>
      <c r="AU479" s="17" t="s">
        <v>76</v>
      </c>
      <c r="AV479" s="17" t="s">
        <v>472</v>
      </c>
      <c r="AZ479" s="17" t="s">
        <v>243</v>
      </c>
      <c r="BA479" s="17" t="s">
        <v>458</v>
      </c>
      <c r="BB479" s="17" t="s">
        <v>109</v>
      </c>
      <c r="BP479" s="17" t="s">
        <v>1897</v>
      </c>
      <c r="BR479" s="24" t="str">
        <f t="shared" si="1"/>
        <v>Tadipathri biryani</v>
      </c>
    </row>
    <row r="480" ht="22.5" customHeight="1">
      <c r="A480" s="14">
        <v>46070.429537881944</v>
      </c>
      <c r="B480" s="15">
        <v>46069.0</v>
      </c>
      <c r="C480" s="16">
        <v>0.45833333333575865</v>
      </c>
      <c r="D480" s="17" t="s">
        <v>111</v>
      </c>
      <c r="T480" s="17" t="s">
        <v>1898</v>
      </c>
      <c r="U480" s="17" t="s">
        <v>1899</v>
      </c>
      <c r="V480" s="17">
        <v>7.680947465E9</v>
      </c>
      <c r="W480" s="17" t="s">
        <v>113</v>
      </c>
      <c r="AA480" s="17" t="s">
        <v>109</v>
      </c>
      <c r="AT480" s="17" t="s">
        <v>1900</v>
      </c>
      <c r="AU480" s="17" t="s">
        <v>76</v>
      </c>
      <c r="AV480" s="17" t="s">
        <v>271</v>
      </c>
      <c r="AZ480" s="17" t="s">
        <v>243</v>
      </c>
      <c r="BA480" s="17" t="s">
        <v>458</v>
      </c>
      <c r="BB480" s="17" t="s">
        <v>76</v>
      </c>
      <c r="BP480" s="17" t="s">
        <v>1898</v>
      </c>
      <c r="BR480" s="24" t="str">
        <f t="shared" si="1"/>
        <v>PandagaPandaga</v>
      </c>
    </row>
    <row r="481" ht="22.5" customHeight="1">
      <c r="A481" s="14">
        <v>46070.43218125</v>
      </c>
      <c r="B481" s="15">
        <v>46069.0</v>
      </c>
      <c r="C481" s="16">
        <v>0.5416666666642413</v>
      </c>
      <c r="D481" s="17" t="s">
        <v>111</v>
      </c>
      <c r="T481" s="17" t="s">
        <v>1901</v>
      </c>
      <c r="U481" s="17" t="s">
        <v>1902</v>
      </c>
      <c r="V481" s="17">
        <v>7.075376903E9</v>
      </c>
      <c r="W481" s="17" t="s">
        <v>113</v>
      </c>
      <c r="AA481" s="17" t="s">
        <v>109</v>
      </c>
      <c r="AT481" s="17" t="s">
        <v>1903</v>
      </c>
      <c r="AU481" s="17" t="s">
        <v>76</v>
      </c>
      <c r="AV481" s="17" t="s">
        <v>271</v>
      </c>
      <c r="AZ481" s="17" t="s">
        <v>243</v>
      </c>
      <c r="BA481" s="17" t="s">
        <v>458</v>
      </c>
      <c r="BB481" s="17" t="s">
        <v>76</v>
      </c>
      <c r="BP481" s="17" t="s">
        <v>1901</v>
      </c>
      <c r="BR481" s="24" t="str">
        <f t="shared" si="1"/>
        <v>SorseSorse</v>
      </c>
    </row>
    <row r="482" ht="22.5" customHeight="1">
      <c r="A482" s="14">
        <v>46070.45509008101</v>
      </c>
      <c r="B482" s="15">
        <v>46070.0</v>
      </c>
      <c r="C482" s="16">
        <v>0.42708333333575865</v>
      </c>
      <c r="D482" s="17" t="s">
        <v>91</v>
      </c>
      <c r="F482" s="17">
        <v>30.0</v>
      </c>
      <c r="G482" s="17">
        <v>250.0</v>
      </c>
      <c r="H482" s="17" t="s">
        <v>1904</v>
      </c>
      <c r="I482" s="17">
        <v>500000.0</v>
      </c>
      <c r="J482" s="17" t="s">
        <v>94</v>
      </c>
      <c r="K482" s="17" t="s">
        <v>134</v>
      </c>
      <c r="N482" s="17">
        <v>18.0</v>
      </c>
      <c r="O482" s="17" t="s">
        <v>1905</v>
      </c>
      <c r="P482" s="17" t="s">
        <v>76</v>
      </c>
      <c r="Q482" s="17" t="s">
        <v>97</v>
      </c>
      <c r="R482" s="17" t="s">
        <v>98</v>
      </c>
      <c r="S482" s="17" t="s">
        <v>1906</v>
      </c>
      <c r="U482" s="17" t="s">
        <v>1907</v>
      </c>
      <c r="V482" s="17">
        <v>9.700815352E9</v>
      </c>
      <c r="W482" s="17" t="s">
        <v>1908</v>
      </c>
      <c r="AA482" s="17" t="s">
        <v>109</v>
      </c>
      <c r="AT482" s="17" t="s">
        <v>1909</v>
      </c>
      <c r="AU482" s="17" t="s">
        <v>76</v>
      </c>
      <c r="AV482" s="17" t="s">
        <v>373</v>
      </c>
      <c r="AZ482" s="17" t="s">
        <v>1910</v>
      </c>
      <c r="BA482" s="17" t="s">
        <v>491</v>
      </c>
      <c r="BL482" s="17" t="s">
        <v>1911</v>
      </c>
      <c r="BP482" s="17" t="s">
        <v>1912</v>
      </c>
      <c r="BR482" s="24" t="str">
        <f t="shared" si="1"/>
        <v>Udupi restaurant</v>
      </c>
    </row>
    <row r="483" ht="22.5" customHeight="1">
      <c r="A483" s="14">
        <v>46070.50967600694</v>
      </c>
      <c r="B483" s="15">
        <v>46069.0</v>
      </c>
      <c r="C483" s="16">
        <v>0.5451388888905058</v>
      </c>
      <c r="D483" s="17" t="s">
        <v>91</v>
      </c>
      <c r="F483" s="17">
        <v>98.0</v>
      </c>
      <c r="G483" s="17">
        <v>600.0</v>
      </c>
      <c r="H483" s="17" t="s">
        <v>388</v>
      </c>
      <c r="I483" s="17">
        <v>7200.0</v>
      </c>
      <c r="J483" s="17" t="s">
        <v>167</v>
      </c>
      <c r="K483" s="17" t="s">
        <v>515</v>
      </c>
      <c r="N483" s="17">
        <v>52.0</v>
      </c>
      <c r="O483" s="17" t="s">
        <v>371</v>
      </c>
      <c r="P483" s="17" t="s">
        <v>76</v>
      </c>
      <c r="Q483" s="17" t="s">
        <v>97</v>
      </c>
      <c r="R483" s="17" t="s">
        <v>109</v>
      </c>
      <c r="S483" s="18" t="s">
        <v>1913</v>
      </c>
      <c r="U483" s="17" t="s">
        <v>1914</v>
      </c>
      <c r="V483" s="17">
        <v>9.818808004E9</v>
      </c>
      <c r="W483" s="17" t="s">
        <v>117</v>
      </c>
      <c r="X483" s="17" t="s">
        <v>1915</v>
      </c>
      <c r="Y483" s="17">
        <v>9.281054033E9</v>
      </c>
      <c r="Z483" s="17" t="s">
        <v>117</v>
      </c>
      <c r="AA483" s="17" t="s">
        <v>109</v>
      </c>
      <c r="AT483" s="17" t="s">
        <v>1916</v>
      </c>
      <c r="AU483" s="17" t="s">
        <v>76</v>
      </c>
      <c r="AV483" s="17" t="s">
        <v>373</v>
      </c>
      <c r="AW483" s="17" t="s">
        <v>1917</v>
      </c>
      <c r="AX483" s="15">
        <v>46071.0</v>
      </c>
      <c r="AY483" s="16">
        <v>0.75</v>
      </c>
      <c r="AZ483" s="17" t="s">
        <v>1581</v>
      </c>
      <c r="BA483" s="17" t="s">
        <v>458</v>
      </c>
      <c r="BB483" s="17" t="s">
        <v>76</v>
      </c>
      <c r="BL483" s="17">
        <v>10.0</v>
      </c>
      <c r="BN483" s="17" t="s">
        <v>1918</v>
      </c>
      <c r="BP483" s="17" t="s">
        <v>1919</v>
      </c>
      <c r="BR483" s="24" t="str">
        <f t="shared" si="1"/>
        <v>Cafe Delhi Heights</v>
      </c>
    </row>
    <row r="484" ht="22.5" customHeight="1">
      <c r="A484" s="14">
        <v>46070.51643856481</v>
      </c>
      <c r="B484" s="15">
        <v>46069.0</v>
      </c>
      <c r="C484" s="16">
        <v>0.5416666666642413</v>
      </c>
      <c r="D484" s="17" t="s">
        <v>91</v>
      </c>
      <c r="F484" s="17">
        <v>150.0</v>
      </c>
      <c r="G484" s="17">
        <v>650.0</v>
      </c>
      <c r="H484" s="17" t="s">
        <v>388</v>
      </c>
      <c r="I484" s="17">
        <v>500000.0</v>
      </c>
      <c r="J484" s="17" t="s">
        <v>167</v>
      </c>
      <c r="K484" s="17" t="s">
        <v>515</v>
      </c>
      <c r="N484" s="17">
        <v>7.0</v>
      </c>
      <c r="O484" s="17" t="s">
        <v>371</v>
      </c>
      <c r="P484" s="17" t="s">
        <v>76</v>
      </c>
      <c r="Q484" s="17" t="s">
        <v>97</v>
      </c>
      <c r="R484" s="17" t="s">
        <v>109</v>
      </c>
      <c r="S484" s="18" t="s">
        <v>1920</v>
      </c>
      <c r="U484" s="17" t="s">
        <v>1921</v>
      </c>
      <c r="V484" s="17">
        <v>7.893734731E9</v>
      </c>
      <c r="W484" s="17" t="s">
        <v>388</v>
      </c>
      <c r="AA484" s="17" t="s">
        <v>109</v>
      </c>
      <c r="AT484" s="17" t="s">
        <v>1922</v>
      </c>
      <c r="AU484" s="17" t="s">
        <v>76</v>
      </c>
      <c r="AV484" s="17" t="s">
        <v>472</v>
      </c>
      <c r="AW484" s="17" t="s">
        <v>1923</v>
      </c>
      <c r="AX484" s="15">
        <v>46070.0</v>
      </c>
      <c r="AY484" s="16">
        <v>0.7083333333357587</v>
      </c>
      <c r="AZ484" s="17" t="s">
        <v>1581</v>
      </c>
      <c r="BA484" s="17" t="s">
        <v>458</v>
      </c>
      <c r="BB484" s="17" t="s">
        <v>76</v>
      </c>
      <c r="BN484" s="17" t="s">
        <v>1924</v>
      </c>
      <c r="BP484" s="17" t="s">
        <v>1925</v>
      </c>
      <c r="BR484" s="24" t="str">
        <f t="shared" si="1"/>
        <v>Chutnety's</v>
      </c>
    </row>
    <row r="485" ht="22.5" customHeight="1">
      <c r="A485" s="14">
        <v>46070.517335254626</v>
      </c>
      <c r="B485" s="15">
        <v>46069.0</v>
      </c>
      <c r="C485" s="16">
        <v>0.5416666666642413</v>
      </c>
      <c r="U485" s="17" t="s">
        <v>1926</v>
      </c>
      <c r="V485" s="17">
        <v>1.860266001E10</v>
      </c>
      <c r="W485" s="17" t="s">
        <v>117</v>
      </c>
      <c r="AA485" s="17" t="s">
        <v>109</v>
      </c>
      <c r="AT485" s="17" t="s">
        <v>1927</v>
      </c>
      <c r="AU485" s="17" t="s">
        <v>76</v>
      </c>
      <c r="AV485" s="17" t="s">
        <v>472</v>
      </c>
      <c r="AW485" s="17" t="s">
        <v>1928</v>
      </c>
      <c r="AX485" s="15">
        <v>46071.0</v>
      </c>
      <c r="AY485" s="16">
        <v>0.5</v>
      </c>
      <c r="AZ485" s="17" t="s">
        <v>1581</v>
      </c>
      <c r="BA485" s="17" t="s">
        <v>458</v>
      </c>
      <c r="BB485" s="17" t="s">
        <v>109</v>
      </c>
      <c r="BP485" s="17" t="s">
        <v>1929</v>
      </c>
      <c r="BR485" s="24" t="str">
        <f t="shared" si="1"/>
        <v>Starbucks</v>
      </c>
    </row>
    <row r="486" ht="22.5" customHeight="1">
      <c r="A486" s="14">
        <v>46070.5213578125</v>
      </c>
      <c r="B486" s="15">
        <v>46069.0</v>
      </c>
      <c r="C486" s="16">
        <v>0.5416666666642413</v>
      </c>
      <c r="D486" s="17" t="s">
        <v>91</v>
      </c>
      <c r="F486" s="17">
        <v>1.0</v>
      </c>
      <c r="G486" s="17">
        <v>250.0</v>
      </c>
      <c r="H486" s="17" t="s">
        <v>611</v>
      </c>
      <c r="I486" s="17">
        <v>2500.0</v>
      </c>
      <c r="J486" s="17" t="s">
        <v>94</v>
      </c>
      <c r="K486" s="17" t="s">
        <v>134</v>
      </c>
      <c r="L486" s="17">
        <v>1.0</v>
      </c>
      <c r="N486" s="17">
        <v>10.0</v>
      </c>
      <c r="O486" s="17" t="s">
        <v>371</v>
      </c>
      <c r="P486" s="17" t="s">
        <v>76</v>
      </c>
      <c r="Q486" s="17" t="s">
        <v>97</v>
      </c>
      <c r="R486" s="17" t="s">
        <v>109</v>
      </c>
      <c r="S486" s="18" t="s">
        <v>1930</v>
      </c>
      <c r="U486" s="17" t="s">
        <v>1931</v>
      </c>
      <c r="V486" s="17">
        <v>6.381622735E9</v>
      </c>
      <c r="W486" s="17" t="s">
        <v>388</v>
      </c>
      <c r="X486" s="17" t="s">
        <v>1932</v>
      </c>
      <c r="Y486" s="17">
        <v>9.097949702E9</v>
      </c>
      <c r="Z486" s="17" t="s">
        <v>388</v>
      </c>
      <c r="AA486" s="17" t="s">
        <v>109</v>
      </c>
      <c r="AT486" s="17" t="s">
        <v>1933</v>
      </c>
      <c r="AU486" s="17" t="s">
        <v>76</v>
      </c>
      <c r="AV486" s="17" t="s">
        <v>472</v>
      </c>
      <c r="AW486" s="17" t="s">
        <v>1934</v>
      </c>
      <c r="AX486" s="15">
        <v>46071.0</v>
      </c>
      <c r="AY486" s="16">
        <v>0.45833333333575865</v>
      </c>
      <c r="AZ486" s="17" t="s">
        <v>1581</v>
      </c>
      <c r="BA486" s="17" t="s">
        <v>458</v>
      </c>
      <c r="BB486" s="17" t="s">
        <v>76</v>
      </c>
      <c r="BL486" s="17">
        <v>10.0</v>
      </c>
      <c r="BN486" s="17" t="s">
        <v>1924</v>
      </c>
      <c r="BP486" s="17" t="s">
        <v>1935</v>
      </c>
      <c r="BR486" s="24" t="str">
        <f t="shared" si="1"/>
        <v>Wisphot</v>
      </c>
    </row>
    <row r="487" ht="22.5" customHeight="1">
      <c r="A487" s="14">
        <v>46070.52392443287</v>
      </c>
      <c r="B487" s="15">
        <v>46069.0</v>
      </c>
      <c r="C487" s="16">
        <v>0.5833333333357587</v>
      </c>
      <c r="D487" s="17" t="s">
        <v>91</v>
      </c>
      <c r="F487" s="17">
        <v>140.0</v>
      </c>
      <c r="G487" s="17">
        <v>1500.0</v>
      </c>
      <c r="H487" s="17" t="s">
        <v>117</v>
      </c>
      <c r="I487" s="17">
        <v>1.0</v>
      </c>
      <c r="J487" s="17" t="s">
        <v>167</v>
      </c>
      <c r="K487" s="17" t="s">
        <v>134</v>
      </c>
      <c r="L487" s="17">
        <v>1.0</v>
      </c>
      <c r="N487" s="17">
        <v>2.0</v>
      </c>
      <c r="O487" s="17" t="s">
        <v>371</v>
      </c>
      <c r="P487" s="17" t="s">
        <v>76</v>
      </c>
      <c r="Q487" s="17" t="s">
        <v>97</v>
      </c>
      <c r="R487" s="17" t="s">
        <v>76</v>
      </c>
      <c r="S487" s="18" t="s">
        <v>1936</v>
      </c>
      <c r="U487" s="17" t="s">
        <v>1937</v>
      </c>
      <c r="V487" s="17">
        <v>7.030998709E9</v>
      </c>
      <c r="W487" s="17" t="s">
        <v>117</v>
      </c>
      <c r="X487" s="17" t="s">
        <v>1938</v>
      </c>
      <c r="Y487" s="17">
        <v>9.832874225E9</v>
      </c>
      <c r="AA487" s="17" t="s">
        <v>109</v>
      </c>
      <c r="AT487" s="17" t="s">
        <v>1939</v>
      </c>
      <c r="AU487" s="17" t="s">
        <v>76</v>
      </c>
      <c r="AV487" s="17" t="s">
        <v>472</v>
      </c>
      <c r="AW487" s="17" t="s">
        <v>1939</v>
      </c>
      <c r="AX487" s="15">
        <v>46071.0</v>
      </c>
      <c r="AY487" s="16">
        <v>0.7083333333357587</v>
      </c>
      <c r="AZ487" s="17" t="s">
        <v>1581</v>
      </c>
      <c r="BA487" s="17" t="s">
        <v>458</v>
      </c>
      <c r="BB487" s="17" t="s">
        <v>76</v>
      </c>
      <c r="BL487" s="17" t="s">
        <v>117</v>
      </c>
      <c r="BN487" s="17" t="s">
        <v>1924</v>
      </c>
      <c r="BP487" s="17" t="s">
        <v>1940</v>
      </c>
      <c r="BR487" s="24" t="str">
        <f t="shared" si="1"/>
        <v>Foo</v>
      </c>
    </row>
    <row r="488" ht="22.5" customHeight="1">
      <c r="A488" s="14">
        <v>46070.52626594907</v>
      </c>
      <c r="B488" s="15">
        <v>46069.0</v>
      </c>
      <c r="C488" s="16">
        <v>0.5833333333357587</v>
      </c>
      <c r="D488" s="17" t="s">
        <v>91</v>
      </c>
      <c r="F488" s="17">
        <v>1.0</v>
      </c>
      <c r="G488" s="17">
        <v>400.0</v>
      </c>
      <c r="H488" s="17" t="s">
        <v>1941</v>
      </c>
      <c r="I488" s="17">
        <v>120000.0</v>
      </c>
      <c r="J488" s="17" t="s">
        <v>167</v>
      </c>
      <c r="K488" s="17" t="s">
        <v>134</v>
      </c>
      <c r="N488" s="17">
        <v>5.0</v>
      </c>
      <c r="O488" s="17" t="s">
        <v>371</v>
      </c>
      <c r="P488" s="17" t="s">
        <v>76</v>
      </c>
      <c r="Q488" s="17" t="s">
        <v>97</v>
      </c>
      <c r="R488" s="17" t="s">
        <v>76</v>
      </c>
      <c r="S488" s="18" t="s">
        <v>1942</v>
      </c>
      <c r="U488" s="17" t="s">
        <v>1943</v>
      </c>
      <c r="V488" s="17">
        <v>9.663743265E9</v>
      </c>
      <c r="W488" s="17" t="s">
        <v>117</v>
      </c>
      <c r="X488" s="17" t="s">
        <v>1944</v>
      </c>
      <c r="AA488" s="17" t="s">
        <v>109</v>
      </c>
      <c r="AT488" s="17" t="s">
        <v>1945</v>
      </c>
      <c r="AU488" s="17" t="s">
        <v>76</v>
      </c>
      <c r="AV488" s="17" t="s">
        <v>472</v>
      </c>
      <c r="AW488" s="17" t="s">
        <v>1945</v>
      </c>
      <c r="AX488" s="15">
        <v>46071.0</v>
      </c>
      <c r="AY488" s="16">
        <v>0.5833333333357587</v>
      </c>
      <c r="AZ488" s="17" t="s">
        <v>1581</v>
      </c>
      <c r="BA488" s="17" t="s">
        <v>458</v>
      </c>
      <c r="BB488" s="17" t="s">
        <v>76</v>
      </c>
      <c r="BL488" s="17">
        <v>200.0</v>
      </c>
      <c r="BN488" s="17" t="s">
        <v>1924</v>
      </c>
      <c r="BP488" s="17" t="s">
        <v>1946</v>
      </c>
      <c r="BR488" s="24" t="str">
        <f t="shared" si="1"/>
        <v>Popoyes</v>
      </c>
    </row>
    <row r="489" ht="22.5" customHeight="1">
      <c r="A489" s="14">
        <v>46070.52900244213</v>
      </c>
      <c r="B489" s="15">
        <v>46069.0</v>
      </c>
      <c r="C489" s="16">
        <v>0.5416666666642413</v>
      </c>
      <c r="D489" s="17" t="s">
        <v>91</v>
      </c>
      <c r="F489" s="17">
        <v>1.0</v>
      </c>
      <c r="G489" s="17">
        <v>350.0</v>
      </c>
      <c r="H489" s="17" t="s">
        <v>1947</v>
      </c>
      <c r="I489" s="17">
        <v>1000.0</v>
      </c>
      <c r="J489" s="17" t="s">
        <v>94</v>
      </c>
      <c r="K489" s="17" t="s">
        <v>134</v>
      </c>
      <c r="N489" s="17">
        <v>1.0</v>
      </c>
      <c r="O489" s="17" t="s">
        <v>371</v>
      </c>
      <c r="P489" s="17" t="s">
        <v>76</v>
      </c>
      <c r="Q489" s="17" t="s">
        <v>97</v>
      </c>
      <c r="R489" s="17" t="s">
        <v>76</v>
      </c>
      <c r="S489" s="17" t="s">
        <v>1948</v>
      </c>
      <c r="U489" s="17" t="s">
        <v>1949</v>
      </c>
      <c r="V489" s="17">
        <v>7.905152075E9</v>
      </c>
      <c r="W489" s="17" t="s">
        <v>117</v>
      </c>
      <c r="X489" s="17" t="s">
        <v>1950</v>
      </c>
      <c r="Y489" s="17">
        <v>9.79481482E9</v>
      </c>
      <c r="Z489" s="17" t="s">
        <v>117</v>
      </c>
      <c r="AA489" s="17" t="s">
        <v>109</v>
      </c>
      <c r="AT489" s="17" t="s">
        <v>1951</v>
      </c>
      <c r="AU489" s="17" t="s">
        <v>76</v>
      </c>
      <c r="AV489" s="17" t="s">
        <v>472</v>
      </c>
      <c r="AW489" s="17" t="s">
        <v>1952</v>
      </c>
      <c r="AX489" s="15">
        <v>46071.0</v>
      </c>
      <c r="AY489" s="16">
        <v>0.5416666666642413</v>
      </c>
      <c r="AZ489" s="17" t="s">
        <v>1581</v>
      </c>
      <c r="BA489" s="17" t="s">
        <v>458</v>
      </c>
      <c r="BB489" s="17" t="s">
        <v>76</v>
      </c>
      <c r="BL489" s="17">
        <v>3.0</v>
      </c>
      <c r="BN489" s="17" t="s">
        <v>1924</v>
      </c>
      <c r="BP489" s="17" t="s">
        <v>1953</v>
      </c>
      <c r="BR489" s="24" t="str">
        <f t="shared" si="1"/>
        <v>Mad about China +  Indian Tadka</v>
      </c>
    </row>
    <row r="490" ht="22.5" customHeight="1">
      <c r="A490" s="14">
        <v>46070.531394907404</v>
      </c>
      <c r="B490" s="15">
        <v>46069.0</v>
      </c>
      <c r="C490" s="16">
        <v>0.5833333333357587</v>
      </c>
      <c r="D490" s="17" t="s">
        <v>91</v>
      </c>
      <c r="F490" s="17">
        <v>1.0</v>
      </c>
      <c r="G490" s="17">
        <v>250.0</v>
      </c>
      <c r="H490" s="17" t="s">
        <v>117</v>
      </c>
      <c r="I490" s="17">
        <v>10000.0</v>
      </c>
      <c r="J490" s="17" t="s">
        <v>94</v>
      </c>
      <c r="K490" s="17" t="s">
        <v>134</v>
      </c>
      <c r="N490" s="17">
        <v>4.0</v>
      </c>
      <c r="O490" s="17" t="s">
        <v>371</v>
      </c>
      <c r="P490" s="17" t="s">
        <v>76</v>
      </c>
      <c r="Q490" s="17" t="s">
        <v>97</v>
      </c>
      <c r="R490" s="17" t="s">
        <v>76</v>
      </c>
      <c r="S490" s="18" t="s">
        <v>1954</v>
      </c>
      <c r="U490" s="17" t="s">
        <v>1955</v>
      </c>
      <c r="V490" s="17">
        <v>9.959615992E9</v>
      </c>
      <c r="W490" s="17" t="s">
        <v>117</v>
      </c>
      <c r="X490" s="17" t="s">
        <v>1956</v>
      </c>
      <c r="Y490" s="17">
        <v>9.515868969E9</v>
      </c>
      <c r="Z490" s="17" t="s">
        <v>117</v>
      </c>
      <c r="AA490" s="17" t="s">
        <v>109</v>
      </c>
      <c r="AT490" s="17" t="s">
        <v>1957</v>
      </c>
      <c r="AU490" s="17" t="s">
        <v>76</v>
      </c>
      <c r="AV490" s="17" t="s">
        <v>472</v>
      </c>
      <c r="AW490" s="17" t="s">
        <v>1958</v>
      </c>
      <c r="AX490" s="15">
        <v>46071.0</v>
      </c>
      <c r="AY490" s="16">
        <v>0.5416666666642413</v>
      </c>
      <c r="AZ490" s="17" t="s">
        <v>1581</v>
      </c>
      <c r="BA490" s="17" t="s">
        <v>458</v>
      </c>
      <c r="BB490" s="17" t="s">
        <v>76</v>
      </c>
      <c r="BL490" s="17">
        <v>35.0</v>
      </c>
      <c r="BN490" s="17" t="s">
        <v>1924</v>
      </c>
      <c r="BP490" s="17" t="s">
        <v>1959</v>
      </c>
      <c r="BR490" s="24" t="str">
        <f t="shared" si="1"/>
        <v>Keventers</v>
      </c>
    </row>
    <row r="491" ht="22.5" customHeight="1">
      <c r="A491" s="14">
        <v>46070.53427655093</v>
      </c>
      <c r="B491" s="15">
        <v>46069.0</v>
      </c>
      <c r="C491" s="16">
        <v>0.5833333333357587</v>
      </c>
      <c r="D491" s="17" t="s">
        <v>91</v>
      </c>
      <c r="F491" s="17">
        <v>1.0</v>
      </c>
      <c r="G491" s="17">
        <v>300.0</v>
      </c>
      <c r="H491" s="17" t="s">
        <v>117</v>
      </c>
      <c r="I491" s="17">
        <v>90000.0</v>
      </c>
      <c r="J491" s="17" t="s">
        <v>167</v>
      </c>
      <c r="K491" s="17" t="s">
        <v>134</v>
      </c>
      <c r="N491" s="17">
        <v>33.0</v>
      </c>
      <c r="O491" s="17" t="s">
        <v>371</v>
      </c>
      <c r="P491" s="17" t="s">
        <v>76</v>
      </c>
      <c r="Q491" s="17" t="s">
        <v>97</v>
      </c>
      <c r="R491" s="17" t="s">
        <v>76</v>
      </c>
      <c r="S491" s="18" t="s">
        <v>1960</v>
      </c>
      <c r="U491" s="17" t="s">
        <v>1961</v>
      </c>
      <c r="V491" s="17">
        <v>7.002773847E9</v>
      </c>
      <c r="W491" s="17" t="s">
        <v>117</v>
      </c>
      <c r="X491" s="17" t="s">
        <v>1962</v>
      </c>
      <c r="AA491" s="17" t="s">
        <v>109</v>
      </c>
      <c r="AT491" s="17" t="s">
        <v>1963</v>
      </c>
      <c r="AU491" s="17" t="s">
        <v>76</v>
      </c>
      <c r="AV491" s="17" t="s">
        <v>472</v>
      </c>
      <c r="AW491" s="17" t="s">
        <v>1964</v>
      </c>
      <c r="AX491" s="15">
        <v>46071.0</v>
      </c>
      <c r="AY491" s="16">
        <v>0.5416666666642413</v>
      </c>
      <c r="AZ491" s="17" t="s">
        <v>1581</v>
      </c>
      <c r="BA491" s="17" t="s">
        <v>458</v>
      </c>
      <c r="BB491" s="17" t="s">
        <v>76</v>
      </c>
      <c r="BL491" s="17">
        <v>300.0</v>
      </c>
      <c r="BN491" s="17" t="s">
        <v>1924</v>
      </c>
      <c r="BP491" s="17" t="s">
        <v>1965</v>
      </c>
      <c r="BR491" s="24" t="str">
        <f t="shared" si="1"/>
        <v>California Burrito</v>
      </c>
    </row>
    <row r="492" ht="22.5" customHeight="1">
      <c r="A492" s="14">
        <v>46070.53738548611</v>
      </c>
      <c r="B492" s="15">
        <v>46069.0</v>
      </c>
      <c r="C492" s="16">
        <v>0.5416666666642413</v>
      </c>
      <c r="D492" s="17" t="s">
        <v>91</v>
      </c>
      <c r="F492" s="17">
        <v>1.0</v>
      </c>
      <c r="G492" s="17">
        <v>500.0</v>
      </c>
      <c r="H492" s="17" t="s">
        <v>117</v>
      </c>
      <c r="I492" s="17">
        <v>1.0</v>
      </c>
      <c r="J492" s="17" t="s">
        <v>167</v>
      </c>
      <c r="K492" s="17" t="s">
        <v>134</v>
      </c>
      <c r="N492" s="17">
        <v>30.0</v>
      </c>
      <c r="O492" s="17" t="s">
        <v>371</v>
      </c>
      <c r="P492" s="17" t="s">
        <v>76</v>
      </c>
      <c r="Q492" s="17" t="s">
        <v>97</v>
      </c>
      <c r="R492" s="17" t="s">
        <v>76</v>
      </c>
      <c r="S492" s="18" t="s">
        <v>1966</v>
      </c>
      <c r="U492" s="17" t="s">
        <v>1967</v>
      </c>
      <c r="V492" s="17">
        <v>9.398596919E9</v>
      </c>
      <c r="W492" s="17" t="s">
        <v>117</v>
      </c>
      <c r="X492" s="17" t="s">
        <v>1968</v>
      </c>
      <c r="Y492" s="17">
        <v>7.416690785E9</v>
      </c>
      <c r="Z492" s="17" t="s">
        <v>117</v>
      </c>
      <c r="AA492" s="17" t="s">
        <v>109</v>
      </c>
      <c r="AT492" s="17" t="s">
        <v>1969</v>
      </c>
      <c r="AU492" s="17" t="s">
        <v>76</v>
      </c>
      <c r="AV492" s="17" t="s">
        <v>472</v>
      </c>
      <c r="AW492" s="17" t="s">
        <v>1970</v>
      </c>
      <c r="AX492" s="15">
        <v>46071.0</v>
      </c>
      <c r="AY492" s="16">
        <v>0.5833333333357587</v>
      </c>
      <c r="AZ492" s="17" t="s">
        <v>1581</v>
      </c>
      <c r="BA492" s="17" t="s">
        <v>458</v>
      </c>
      <c r="BB492" s="17" t="s">
        <v>76</v>
      </c>
      <c r="BL492" s="17">
        <v>1.0</v>
      </c>
      <c r="BN492" s="17" t="s">
        <v>1924</v>
      </c>
      <c r="BP492" s="17" t="s">
        <v>1971</v>
      </c>
      <c r="BR492" s="24" t="str">
        <f t="shared" si="1"/>
        <v>KFC Inorbit Mall</v>
      </c>
    </row>
    <row r="493" ht="22.5" customHeight="1">
      <c r="A493" s="14">
        <v>46070.541669467595</v>
      </c>
      <c r="B493" s="15">
        <v>46069.0</v>
      </c>
      <c r="C493" s="16">
        <v>0.5833333333357587</v>
      </c>
      <c r="D493" s="17" t="s">
        <v>91</v>
      </c>
      <c r="F493" s="17">
        <v>1.0</v>
      </c>
      <c r="G493" s="17">
        <v>600.0</v>
      </c>
      <c r="H493" s="17" t="s">
        <v>611</v>
      </c>
      <c r="I493" s="17">
        <v>24000.0</v>
      </c>
      <c r="J493" s="17" t="s">
        <v>167</v>
      </c>
      <c r="K493" s="17" t="s">
        <v>134</v>
      </c>
      <c r="N493" s="17">
        <v>9.0</v>
      </c>
      <c r="O493" s="17" t="s">
        <v>371</v>
      </c>
      <c r="P493" s="17" t="s">
        <v>76</v>
      </c>
      <c r="Q493" s="17" t="s">
        <v>97</v>
      </c>
      <c r="R493" s="17" t="s">
        <v>76</v>
      </c>
      <c r="S493" s="18" t="s">
        <v>1972</v>
      </c>
      <c r="U493" s="17" t="s">
        <v>1973</v>
      </c>
      <c r="V493" s="17">
        <v>8.374972864E9</v>
      </c>
      <c r="W493" s="17" t="s">
        <v>117</v>
      </c>
      <c r="AA493" s="17" t="s">
        <v>109</v>
      </c>
      <c r="AT493" s="17" t="s">
        <v>1974</v>
      </c>
      <c r="AU493" s="17" t="s">
        <v>76</v>
      </c>
      <c r="AV493" s="17" t="s">
        <v>472</v>
      </c>
      <c r="AW493" s="17" t="s">
        <v>1974</v>
      </c>
      <c r="AX493" s="15">
        <v>46071.0</v>
      </c>
      <c r="AY493" s="16">
        <v>0.5833333333357587</v>
      </c>
      <c r="AZ493" s="17" t="s">
        <v>1581</v>
      </c>
      <c r="BA493" s="17" t="s">
        <v>458</v>
      </c>
      <c r="BB493" s="17" t="s">
        <v>76</v>
      </c>
      <c r="BL493" s="17">
        <v>40.0</v>
      </c>
      <c r="BN493" s="17" t="s">
        <v>1924</v>
      </c>
      <c r="BP493" s="17" t="s">
        <v>687</v>
      </c>
      <c r="BR493" s="24" t="str">
        <f t="shared" si="1"/>
        <v>Gabru Di Chaap</v>
      </c>
    </row>
    <row r="494" ht="22.5" customHeight="1">
      <c r="A494" s="14">
        <v>46070.544514629626</v>
      </c>
      <c r="B494" s="15">
        <v>46069.0</v>
      </c>
      <c r="C494" s="16">
        <v>0.5416666666642413</v>
      </c>
      <c r="D494" s="17" t="s">
        <v>91</v>
      </c>
      <c r="F494" s="17">
        <v>1.0</v>
      </c>
      <c r="G494" s="17">
        <v>150.0</v>
      </c>
      <c r="H494" s="17" t="s">
        <v>611</v>
      </c>
      <c r="J494" s="17" t="s">
        <v>221</v>
      </c>
      <c r="K494" s="17" t="s">
        <v>1975</v>
      </c>
      <c r="N494" s="17">
        <v>1.0</v>
      </c>
      <c r="O494" s="17" t="s">
        <v>371</v>
      </c>
      <c r="P494" s="17" t="s">
        <v>76</v>
      </c>
      <c r="Q494" s="17" t="s">
        <v>97</v>
      </c>
      <c r="R494" s="17" t="s">
        <v>76</v>
      </c>
      <c r="S494" s="18" t="s">
        <v>1976</v>
      </c>
      <c r="U494" s="17" t="s">
        <v>1977</v>
      </c>
      <c r="V494" s="17">
        <v>9.494405373E9</v>
      </c>
      <c r="W494" s="17" t="s">
        <v>1978</v>
      </c>
      <c r="AA494" s="17" t="s">
        <v>109</v>
      </c>
      <c r="AT494" s="17" t="s">
        <v>1979</v>
      </c>
      <c r="AU494" s="17" t="s">
        <v>76</v>
      </c>
      <c r="AV494" s="17" t="s">
        <v>472</v>
      </c>
      <c r="AW494" s="17" t="s">
        <v>1980</v>
      </c>
      <c r="AX494" s="15">
        <v>46071.0</v>
      </c>
      <c r="AY494" s="16">
        <v>0.4736111111124046</v>
      </c>
      <c r="AZ494" s="17" t="s">
        <v>1581</v>
      </c>
      <c r="BA494" s="17" t="s">
        <v>458</v>
      </c>
      <c r="BB494" s="17" t="s">
        <v>76</v>
      </c>
      <c r="BL494" s="17">
        <v>0.0</v>
      </c>
      <c r="BN494" s="17" t="s">
        <v>1924</v>
      </c>
      <c r="BP494" s="17" t="s">
        <v>1981</v>
      </c>
      <c r="BR494" s="24" t="str">
        <f t="shared" si="1"/>
        <v>Pluto (Soda)</v>
      </c>
    </row>
    <row r="495" ht="22.5" customHeight="1">
      <c r="A495" s="14">
        <v>46070.54694104167</v>
      </c>
      <c r="B495" s="15">
        <v>46069.0</v>
      </c>
      <c r="C495" s="16">
        <v>0.5416666666642413</v>
      </c>
      <c r="D495" s="17" t="s">
        <v>91</v>
      </c>
      <c r="F495" s="17">
        <v>1.0</v>
      </c>
      <c r="G495" s="17">
        <v>300.0</v>
      </c>
      <c r="H495" s="17" t="s">
        <v>1982</v>
      </c>
      <c r="I495" s="17">
        <v>6000.0</v>
      </c>
      <c r="J495" s="17" t="s">
        <v>94</v>
      </c>
      <c r="K495" s="17" t="s">
        <v>134</v>
      </c>
      <c r="N495" s="17">
        <v>3.0</v>
      </c>
      <c r="O495" s="17" t="s">
        <v>371</v>
      </c>
      <c r="P495" s="17" t="s">
        <v>76</v>
      </c>
      <c r="Q495" s="17" t="s">
        <v>97</v>
      </c>
      <c r="R495" s="17" t="s">
        <v>76</v>
      </c>
      <c r="S495" s="18" t="s">
        <v>1983</v>
      </c>
      <c r="U495" s="17" t="s">
        <v>1984</v>
      </c>
      <c r="V495" s="17">
        <v>8.639535389E9</v>
      </c>
      <c r="W495" s="17" t="s">
        <v>388</v>
      </c>
      <c r="X495" s="17" t="s">
        <v>1985</v>
      </c>
      <c r="Y495" s="17">
        <v>6.290172851E9</v>
      </c>
      <c r="AA495" s="17" t="s">
        <v>109</v>
      </c>
      <c r="AT495" s="17" t="s">
        <v>1986</v>
      </c>
      <c r="AU495" s="17" t="s">
        <v>76</v>
      </c>
      <c r="AV495" s="17" t="s">
        <v>472</v>
      </c>
      <c r="AW495" s="17" t="s">
        <v>1986</v>
      </c>
      <c r="AX495" s="15">
        <v>46071.0</v>
      </c>
      <c r="AY495" s="16">
        <v>0.5</v>
      </c>
      <c r="AZ495" s="17" t="s">
        <v>1581</v>
      </c>
      <c r="BA495" s="17" t="s">
        <v>458</v>
      </c>
      <c r="BB495" s="17" t="s">
        <v>76</v>
      </c>
      <c r="BL495" s="17">
        <v>25.0</v>
      </c>
      <c r="BN495" s="17" t="s">
        <v>1924</v>
      </c>
      <c r="BP495" s="17" t="s">
        <v>1987</v>
      </c>
      <c r="BR495" s="24" t="str">
        <f t="shared" si="1"/>
        <v>The Yellow Straw</v>
      </c>
    </row>
    <row r="496" ht="22.5" customHeight="1">
      <c r="A496" s="14">
        <v>46070.54897209491</v>
      </c>
      <c r="B496" s="15">
        <v>46069.0</v>
      </c>
      <c r="C496" s="16">
        <v>0.5833333333357587</v>
      </c>
      <c r="D496" s="17" t="s">
        <v>91</v>
      </c>
      <c r="F496" s="17">
        <v>130.0</v>
      </c>
      <c r="G496" s="17">
        <v>1200.0</v>
      </c>
      <c r="H496" s="17" t="s">
        <v>117</v>
      </c>
      <c r="J496" s="17" t="s">
        <v>167</v>
      </c>
      <c r="K496" s="17" t="s">
        <v>134</v>
      </c>
      <c r="N496" s="17">
        <v>1.0</v>
      </c>
      <c r="O496" s="17" t="s">
        <v>371</v>
      </c>
      <c r="P496" s="17" t="s">
        <v>76</v>
      </c>
      <c r="Q496" s="17" t="s">
        <v>97</v>
      </c>
      <c r="R496" s="17" t="s">
        <v>76</v>
      </c>
      <c r="S496" s="18" t="s">
        <v>1988</v>
      </c>
      <c r="U496" s="17" t="s">
        <v>1989</v>
      </c>
      <c r="V496" s="17">
        <v>7.093369917E9</v>
      </c>
      <c r="W496" s="17" t="s">
        <v>388</v>
      </c>
      <c r="X496" s="17" t="s">
        <v>1990</v>
      </c>
      <c r="AA496" s="17" t="s">
        <v>109</v>
      </c>
      <c r="AT496" s="17" t="s">
        <v>1991</v>
      </c>
      <c r="AU496" s="17" t="s">
        <v>76</v>
      </c>
      <c r="AV496" s="17" t="s">
        <v>472</v>
      </c>
      <c r="AW496" s="17" t="s">
        <v>1991</v>
      </c>
      <c r="AX496" s="15">
        <v>46071.0</v>
      </c>
      <c r="AY496" s="16">
        <v>0.5</v>
      </c>
      <c r="AZ496" s="17" t="s">
        <v>1581</v>
      </c>
      <c r="BA496" s="17" t="s">
        <v>458</v>
      </c>
      <c r="BB496" s="17" t="s">
        <v>76</v>
      </c>
      <c r="BN496" s="17" t="s">
        <v>1924</v>
      </c>
      <c r="BP496" s="17" t="s">
        <v>1992</v>
      </c>
      <c r="BR496" s="24" t="str">
        <f t="shared" si="1"/>
        <v>AM AHA</v>
      </c>
    </row>
    <row r="497" ht="22.5" customHeight="1">
      <c r="A497" s="14">
        <v>46070.5524103125</v>
      </c>
      <c r="B497" s="15">
        <v>46069.0</v>
      </c>
      <c r="C497" s="16">
        <v>0.5</v>
      </c>
      <c r="D497" s="17" t="s">
        <v>91</v>
      </c>
      <c r="F497" s="17">
        <v>700.0</v>
      </c>
      <c r="G497" s="17">
        <v>550.0</v>
      </c>
      <c r="H497" s="17" t="s">
        <v>1993</v>
      </c>
      <c r="J497" s="17" t="s">
        <v>167</v>
      </c>
      <c r="K497" s="17" t="s">
        <v>134</v>
      </c>
      <c r="N497" s="17">
        <v>1.0</v>
      </c>
      <c r="O497" s="17" t="s">
        <v>371</v>
      </c>
      <c r="P497" s="17" t="s">
        <v>76</v>
      </c>
      <c r="Q497" s="17" t="s">
        <v>97</v>
      </c>
      <c r="R497" s="17" t="s">
        <v>76</v>
      </c>
      <c r="S497" s="18" t="s">
        <v>1994</v>
      </c>
      <c r="U497" s="17" t="s">
        <v>1995</v>
      </c>
      <c r="V497" s="17">
        <v>7.731019977E9</v>
      </c>
      <c r="W497" s="17" t="s">
        <v>117</v>
      </c>
      <c r="X497" s="17" t="s">
        <v>1996</v>
      </c>
      <c r="Y497" s="17">
        <v>7.731019988E9</v>
      </c>
      <c r="AA497" s="17" t="s">
        <v>109</v>
      </c>
      <c r="AT497" s="17" t="s">
        <v>1997</v>
      </c>
      <c r="AU497" s="17" t="s">
        <v>76</v>
      </c>
      <c r="AV497" s="17" t="s">
        <v>472</v>
      </c>
      <c r="AW497" s="17" t="s">
        <v>1998</v>
      </c>
      <c r="AX497" s="15">
        <v>46071.0</v>
      </c>
      <c r="AY497" s="16">
        <v>0.6666666666642413</v>
      </c>
      <c r="AZ497" s="17" t="s">
        <v>1581</v>
      </c>
      <c r="BA497" s="17" t="s">
        <v>458</v>
      </c>
      <c r="BB497" s="17" t="s">
        <v>76</v>
      </c>
      <c r="BN497" s="17" t="s">
        <v>1924</v>
      </c>
      <c r="BP497" s="17" t="s">
        <v>1999</v>
      </c>
      <c r="BR497" s="24" t="str">
        <f t="shared" si="1"/>
        <v>Amnesia Sky Bar</v>
      </c>
    </row>
    <row r="498" ht="22.5" customHeight="1">
      <c r="A498" s="14">
        <v>46070.5564897338</v>
      </c>
      <c r="B498" s="15">
        <v>46069.0</v>
      </c>
      <c r="C498" s="16">
        <v>0.5833333333357587</v>
      </c>
      <c r="D498" s="17" t="s">
        <v>91</v>
      </c>
      <c r="F498" s="17">
        <v>150.0</v>
      </c>
      <c r="G498" s="17">
        <v>1200.0</v>
      </c>
      <c r="H498" s="17" t="s">
        <v>2000</v>
      </c>
      <c r="J498" s="17" t="s">
        <v>167</v>
      </c>
      <c r="K498" s="17" t="s">
        <v>134</v>
      </c>
      <c r="N498" s="17">
        <v>14.0</v>
      </c>
      <c r="O498" s="17" t="s">
        <v>371</v>
      </c>
      <c r="P498" s="17" t="s">
        <v>76</v>
      </c>
      <c r="Q498" s="17" t="s">
        <v>97</v>
      </c>
      <c r="R498" s="17" t="s">
        <v>76</v>
      </c>
      <c r="S498" s="17" t="s">
        <v>2001</v>
      </c>
      <c r="U498" s="17" t="s">
        <v>2002</v>
      </c>
      <c r="V498" s="17">
        <v>9.907958581E9</v>
      </c>
      <c r="W498" s="17" t="s">
        <v>117</v>
      </c>
      <c r="X498" s="17" t="s">
        <v>2003</v>
      </c>
      <c r="Y498" s="17">
        <v>9.121165812E9</v>
      </c>
      <c r="AA498" s="17" t="s">
        <v>109</v>
      </c>
      <c r="AT498" s="17" t="s">
        <v>2004</v>
      </c>
      <c r="AU498" s="17" t="s">
        <v>76</v>
      </c>
      <c r="AV498" s="17" t="s">
        <v>472</v>
      </c>
      <c r="AW498" s="17" t="s">
        <v>2005</v>
      </c>
      <c r="AX498" s="15">
        <v>46071.0</v>
      </c>
      <c r="AY498" s="16">
        <v>0.5833333333357587</v>
      </c>
      <c r="AZ498" s="17" t="s">
        <v>1581</v>
      </c>
      <c r="BA498" s="17" t="s">
        <v>458</v>
      </c>
      <c r="BB498" s="17" t="s">
        <v>76</v>
      </c>
      <c r="BN498" s="17" t="s">
        <v>1924</v>
      </c>
      <c r="BP498" s="17" t="s">
        <v>2006</v>
      </c>
      <c r="BR498" s="24" t="str">
        <f t="shared" si="1"/>
        <v>Absolute Barbeque</v>
      </c>
    </row>
    <row r="499" ht="22.5" customHeight="1">
      <c r="A499" s="14">
        <v>46070.56085337963</v>
      </c>
      <c r="B499" s="15">
        <v>46069.0</v>
      </c>
      <c r="C499" s="16">
        <v>0.5833333333357587</v>
      </c>
      <c r="D499" s="17" t="s">
        <v>91</v>
      </c>
      <c r="F499" s="17">
        <v>230.0</v>
      </c>
      <c r="G499" s="17">
        <v>1500.0</v>
      </c>
      <c r="H499" s="17" t="s">
        <v>388</v>
      </c>
      <c r="J499" s="17" t="s">
        <v>167</v>
      </c>
      <c r="K499" s="17" t="s">
        <v>95</v>
      </c>
      <c r="N499" s="17">
        <v>19.0</v>
      </c>
      <c r="O499" s="17" t="s">
        <v>371</v>
      </c>
      <c r="P499" s="17" t="s">
        <v>76</v>
      </c>
      <c r="Q499" s="17" t="s">
        <v>97</v>
      </c>
      <c r="R499" s="17" t="s">
        <v>76</v>
      </c>
      <c r="S499" s="18" t="s">
        <v>2007</v>
      </c>
      <c r="U499" s="17" t="s">
        <v>2008</v>
      </c>
      <c r="V499" s="17">
        <v>9.867122223E9</v>
      </c>
      <c r="W499" s="17" t="s">
        <v>2009</v>
      </c>
      <c r="X499" s="17" t="s">
        <v>2010</v>
      </c>
      <c r="Y499" s="17">
        <v>8.099420329E9</v>
      </c>
      <c r="AA499" s="17" t="s">
        <v>109</v>
      </c>
      <c r="AT499" s="17" t="s">
        <v>2011</v>
      </c>
      <c r="AU499" s="17" t="s">
        <v>76</v>
      </c>
      <c r="AV499" s="17" t="s">
        <v>472</v>
      </c>
      <c r="AW499" s="17" t="s">
        <v>2012</v>
      </c>
      <c r="AX499" s="15">
        <v>46071.0</v>
      </c>
      <c r="AY499" s="16">
        <v>0.5833333333357587</v>
      </c>
      <c r="AZ499" s="17" t="s">
        <v>1581</v>
      </c>
      <c r="BA499" s="17" t="s">
        <v>458</v>
      </c>
      <c r="BB499" s="17" t="s">
        <v>76</v>
      </c>
      <c r="BN499" s="17" t="s">
        <v>1924</v>
      </c>
      <c r="BP499" s="17" t="s">
        <v>2013</v>
      </c>
      <c r="BR499" s="24" t="str">
        <f t="shared" si="1"/>
        <v>Game Palacio</v>
      </c>
    </row>
    <row r="500" ht="22.5" customHeight="1">
      <c r="A500" s="14">
        <v>46070.56642959491</v>
      </c>
      <c r="B500" s="15">
        <v>46070.0</v>
      </c>
      <c r="C500" s="16">
        <v>0.5145833333372138</v>
      </c>
      <c r="D500" s="17" t="s">
        <v>91</v>
      </c>
      <c r="F500" s="17">
        <v>60.0</v>
      </c>
      <c r="G500" s="17">
        <v>500.0</v>
      </c>
      <c r="H500" s="17" t="s">
        <v>117</v>
      </c>
      <c r="J500" s="17" t="s">
        <v>167</v>
      </c>
      <c r="N500" s="17">
        <v>1.0</v>
      </c>
      <c r="O500" s="17" t="s">
        <v>96</v>
      </c>
      <c r="P500" s="17" t="s">
        <v>76</v>
      </c>
      <c r="Q500" s="17" t="s">
        <v>97</v>
      </c>
      <c r="R500" s="17" t="s">
        <v>98</v>
      </c>
      <c r="S500" s="17" t="s">
        <v>2014</v>
      </c>
      <c r="T500" s="17" t="s">
        <v>2015</v>
      </c>
      <c r="U500" s="17" t="s">
        <v>2016</v>
      </c>
      <c r="V500" s="17">
        <v>8.668045147E9</v>
      </c>
      <c r="W500" s="17" t="s">
        <v>2017</v>
      </c>
      <c r="AA500" s="17" t="s">
        <v>109</v>
      </c>
      <c r="AT500" s="17" t="s">
        <v>2018</v>
      </c>
      <c r="AU500" s="17" t="s">
        <v>76</v>
      </c>
      <c r="AV500" s="17" t="s">
        <v>472</v>
      </c>
      <c r="AZ500" s="17" t="s">
        <v>1607</v>
      </c>
      <c r="BA500" s="17" t="s">
        <v>458</v>
      </c>
      <c r="BB500" s="17" t="s">
        <v>76</v>
      </c>
      <c r="BN500" s="17" t="s">
        <v>2015</v>
      </c>
      <c r="BP500" s="17" t="s">
        <v>2015</v>
      </c>
      <c r="BR500" s="24" t="str">
        <f t="shared" si="1"/>
        <v>HaldiramsHaldirams</v>
      </c>
    </row>
    <row r="501" ht="22.5" customHeight="1">
      <c r="A501" s="14">
        <v>46070.5739958912</v>
      </c>
      <c r="B501" s="15">
        <v>46070.0</v>
      </c>
      <c r="C501" s="16">
        <v>0.5194444444423425</v>
      </c>
      <c r="D501" s="17" t="s">
        <v>91</v>
      </c>
      <c r="F501" s="17">
        <v>40.0</v>
      </c>
      <c r="G501" s="17">
        <v>450.0</v>
      </c>
      <c r="H501" s="17" t="s">
        <v>117</v>
      </c>
      <c r="J501" s="17" t="s">
        <v>167</v>
      </c>
      <c r="N501" s="17">
        <v>1.0</v>
      </c>
      <c r="O501" s="17" t="s">
        <v>96</v>
      </c>
      <c r="P501" s="17" t="s">
        <v>76</v>
      </c>
      <c r="Q501" s="17" t="s">
        <v>97</v>
      </c>
      <c r="R501" s="17" t="s">
        <v>76</v>
      </c>
      <c r="S501" s="17" t="s">
        <v>2014</v>
      </c>
      <c r="T501" s="17" t="s">
        <v>2019</v>
      </c>
      <c r="U501" s="17" t="s">
        <v>566</v>
      </c>
      <c r="V501" s="17">
        <v>9.967535945E9</v>
      </c>
      <c r="W501" s="17" t="s">
        <v>117</v>
      </c>
      <c r="AA501" s="17" t="s">
        <v>109</v>
      </c>
      <c r="AT501" s="17" t="s">
        <v>2020</v>
      </c>
      <c r="AU501" s="17" t="s">
        <v>76</v>
      </c>
      <c r="AV501" s="17" t="s">
        <v>472</v>
      </c>
      <c r="AZ501" s="17" t="s">
        <v>1607</v>
      </c>
      <c r="BA501" s="17" t="s">
        <v>458</v>
      </c>
      <c r="BB501" s="17" t="s">
        <v>76</v>
      </c>
      <c r="BN501" s="17" t="s">
        <v>2019</v>
      </c>
      <c r="BP501" s="17" t="s">
        <v>2019</v>
      </c>
      <c r="BR501" s="24" t="str">
        <f t="shared" si="1"/>
        <v>Almond HouseAlmond House</v>
      </c>
    </row>
    <row r="502" ht="22.5" customHeight="1">
      <c r="A502" s="14">
        <v>46070.58790017361</v>
      </c>
      <c r="B502" s="15">
        <v>46070.0</v>
      </c>
      <c r="C502" s="16">
        <v>0.5243055555547471</v>
      </c>
      <c r="D502" s="17" t="s">
        <v>91</v>
      </c>
      <c r="F502" s="17">
        <v>40.0</v>
      </c>
      <c r="G502" s="17">
        <v>500.0</v>
      </c>
      <c r="H502" s="17" t="s">
        <v>117</v>
      </c>
      <c r="J502" s="17" t="s">
        <v>167</v>
      </c>
      <c r="N502" s="17">
        <v>1.0</v>
      </c>
      <c r="O502" s="17" t="s">
        <v>96</v>
      </c>
      <c r="P502" s="17" t="s">
        <v>76</v>
      </c>
      <c r="Q502" s="17" t="s">
        <v>97</v>
      </c>
      <c r="R502" s="17" t="s">
        <v>76</v>
      </c>
      <c r="S502" s="17" t="s">
        <v>2014</v>
      </c>
      <c r="T502" s="17" t="s">
        <v>2021</v>
      </c>
      <c r="U502" s="17" t="s">
        <v>2022</v>
      </c>
      <c r="V502" s="17">
        <v>9.100009426E9</v>
      </c>
      <c r="W502" s="17" t="s">
        <v>117</v>
      </c>
      <c r="AA502" s="17" t="s">
        <v>109</v>
      </c>
      <c r="AT502" s="17" t="s">
        <v>2023</v>
      </c>
      <c r="AU502" s="17" t="s">
        <v>76</v>
      </c>
      <c r="AV502" s="17" t="s">
        <v>472</v>
      </c>
      <c r="AZ502" s="17" t="s">
        <v>1607</v>
      </c>
      <c r="BA502" s="17" t="s">
        <v>458</v>
      </c>
      <c r="BB502" s="17" t="s">
        <v>76</v>
      </c>
      <c r="BN502" s="17" t="s">
        <v>2021</v>
      </c>
      <c r="BP502" s="17" t="s">
        <v>2021</v>
      </c>
      <c r="BR502" s="24" t="str">
        <f t="shared" si="1"/>
        <v>MezbaanMezbaan</v>
      </c>
    </row>
    <row r="503" ht="22.5" customHeight="1">
      <c r="A503" s="14">
        <v>46070.61945371528</v>
      </c>
      <c r="B503" s="15">
        <v>46070.0</v>
      </c>
      <c r="C503" s="16">
        <v>0.5409722222248092</v>
      </c>
      <c r="D503" s="17" t="s">
        <v>91</v>
      </c>
      <c r="F503" s="17">
        <v>50.0</v>
      </c>
      <c r="G503" s="17">
        <v>300.0</v>
      </c>
      <c r="H503" s="17" t="s">
        <v>117</v>
      </c>
      <c r="J503" s="17" t="s">
        <v>94</v>
      </c>
      <c r="N503" s="17">
        <v>3.0</v>
      </c>
      <c r="O503" s="17" t="s">
        <v>96</v>
      </c>
      <c r="P503" s="17" t="s">
        <v>76</v>
      </c>
      <c r="Q503" s="17" t="s">
        <v>97</v>
      </c>
      <c r="R503" s="17" t="s">
        <v>76</v>
      </c>
      <c r="S503" s="17" t="s">
        <v>2014</v>
      </c>
      <c r="T503" s="17" t="s">
        <v>2024</v>
      </c>
      <c r="U503" s="17" t="s">
        <v>2025</v>
      </c>
      <c r="V503" s="17" t="s">
        <v>2026</v>
      </c>
      <c r="W503" s="17" t="s">
        <v>117</v>
      </c>
      <c r="AA503" s="17" t="s">
        <v>109</v>
      </c>
      <c r="AT503" s="17" t="s">
        <v>2027</v>
      </c>
      <c r="AU503" s="17" t="s">
        <v>76</v>
      </c>
      <c r="AV503" s="17" t="s">
        <v>472</v>
      </c>
      <c r="AZ503" s="17" t="s">
        <v>1607</v>
      </c>
      <c r="BA503" s="17" t="s">
        <v>458</v>
      </c>
      <c r="BB503" s="17" t="s">
        <v>76</v>
      </c>
      <c r="BN503" s="17" t="s">
        <v>2024</v>
      </c>
      <c r="BP503" s="17" t="s">
        <v>2024</v>
      </c>
      <c r="BR503" s="24" t="str">
        <f t="shared" si="1"/>
        <v>PeshawarPeshawar</v>
      </c>
    </row>
    <row r="504" ht="22.5" customHeight="1">
      <c r="A504" s="14">
        <v>46070.636044375</v>
      </c>
      <c r="B504" s="15">
        <v>46070.0</v>
      </c>
      <c r="C504" s="16">
        <v>0.05138888888905058</v>
      </c>
      <c r="D504" s="17" t="s">
        <v>91</v>
      </c>
      <c r="F504" s="17">
        <v>12.0</v>
      </c>
      <c r="G504" s="17">
        <v>350.0</v>
      </c>
      <c r="H504" s="17" t="s">
        <v>117</v>
      </c>
      <c r="J504" s="17" t="s">
        <v>94</v>
      </c>
      <c r="N504" s="17">
        <v>7.0</v>
      </c>
      <c r="O504" s="17" t="s">
        <v>96</v>
      </c>
      <c r="P504" s="17" t="s">
        <v>76</v>
      </c>
      <c r="Q504" s="17" t="s">
        <v>97</v>
      </c>
      <c r="R504" s="17" t="s">
        <v>98</v>
      </c>
      <c r="S504" s="17" t="s">
        <v>2014</v>
      </c>
      <c r="T504" s="17" t="s">
        <v>2028</v>
      </c>
      <c r="U504" s="17" t="s">
        <v>2029</v>
      </c>
      <c r="V504" s="17">
        <v>8.07474285E9</v>
      </c>
      <c r="W504" s="17" t="s">
        <v>117</v>
      </c>
      <c r="AA504" s="17" t="s">
        <v>109</v>
      </c>
      <c r="AT504" s="17" t="s">
        <v>2030</v>
      </c>
      <c r="AU504" s="17" t="s">
        <v>76</v>
      </c>
      <c r="AV504" s="17" t="s">
        <v>472</v>
      </c>
      <c r="AZ504" s="17" t="s">
        <v>1607</v>
      </c>
      <c r="BA504" s="17" t="s">
        <v>458</v>
      </c>
      <c r="BB504" s="17" t="s">
        <v>76</v>
      </c>
      <c r="BN504" s="17" t="s">
        <v>2031</v>
      </c>
      <c r="BP504" s="17" t="s">
        <v>2031</v>
      </c>
      <c r="BR504" s="24" t="str">
        <f t="shared" si="1"/>
        <v>Organic creameryOrganic Creamery</v>
      </c>
    </row>
    <row r="505" ht="22.5" customHeight="1">
      <c r="A505" s="14">
        <v>46070.63609494213</v>
      </c>
      <c r="B505" s="15">
        <v>46070.0</v>
      </c>
      <c r="C505" s="16">
        <v>0.5180555555562023</v>
      </c>
      <c r="U505" s="17" t="s">
        <v>2032</v>
      </c>
      <c r="V505" s="17">
        <v>8.319637722E9</v>
      </c>
      <c r="W505" s="17" t="s">
        <v>117</v>
      </c>
      <c r="AA505" s="17" t="s">
        <v>109</v>
      </c>
      <c r="AT505" s="17" t="s">
        <v>2033</v>
      </c>
      <c r="AU505" s="17" t="s">
        <v>76</v>
      </c>
      <c r="AV505" s="17" t="s">
        <v>271</v>
      </c>
      <c r="AW505" s="17" t="s">
        <v>2034</v>
      </c>
      <c r="AZ505" s="17" t="s">
        <v>287</v>
      </c>
      <c r="BA505" s="17" t="s">
        <v>458</v>
      </c>
      <c r="BB505" s="17" t="s">
        <v>109</v>
      </c>
      <c r="BP505" s="17" t="s">
        <v>2035</v>
      </c>
      <c r="BR505" s="24" t="str">
        <f t="shared" si="1"/>
        <v>Murugans Cofee</v>
      </c>
    </row>
    <row r="506" ht="22.5" customHeight="1">
      <c r="A506" s="14">
        <v>46070.64014105324</v>
      </c>
      <c r="B506" s="15">
        <v>46070.0</v>
      </c>
      <c r="C506" s="16">
        <v>0.5208333333357587</v>
      </c>
      <c r="U506" s="17" t="s">
        <v>1501</v>
      </c>
      <c r="V506" s="17">
        <v>8.919506757E9</v>
      </c>
      <c r="W506" s="17" t="s">
        <v>117</v>
      </c>
      <c r="AA506" s="17" t="s">
        <v>109</v>
      </c>
      <c r="AT506" s="17" t="s">
        <v>2036</v>
      </c>
      <c r="AU506" s="17" t="s">
        <v>76</v>
      </c>
      <c r="AV506" s="17" t="s">
        <v>472</v>
      </c>
      <c r="AZ506" s="17" t="s">
        <v>287</v>
      </c>
      <c r="BA506" s="17" t="s">
        <v>458</v>
      </c>
      <c r="BB506" s="17" t="s">
        <v>109</v>
      </c>
      <c r="BP506" s="17" t="s">
        <v>2037</v>
      </c>
      <c r="BR506" s="24" t="str">
        <f t="shared" si="1"/>
        <v>House of Taste</v>
      </c>
    </row>
    <row r="507" ht="22.5" customHeight="1">
      <c r="A507" s="14">
        <v>46070.64079810186</v>
      </c>
      <c r="B507" s="15">
        <v>46070.0</v>
      </c>
      <c r="C507" s="16">
        <v>0.057638888887595385</v>
      </c>
      <c r="D507" s="17" t="s">
        <v>91</v>
      </c>
      <c r="F507" s="17">
        <v>48.0</v>
      </c>
      <c r="G507" s="17">
        <v>300.0</v>
      </c>
      <c r="H507" s="17" t="s">
        <v>117</v>
      </c>
      <c r="J507" s="17" t="s">
        <v>94</v>
      </c>
      <c r="N507" s="17">
        <v>1.0</v>
      </c>
      <c r="O507" s="17" t="s">
        <v>96</v>
      </c>
      <c r="P507" s="17" t="s">
        <v>76</v>
      </c>
      <c r="Q507" s="17" t="s">
        <v>97</v>
      </c>
      <c r="R507" s="17" t="s">
        <v>98</v>
      </c>
      <c r="S507" s="17" t="s">
        <v>2014</v>
      </c>
      <c r="T507" s="17" t="s">
        <v>2038</v>
      </c>
      <c r="U507" s="17" t="s">
        <v>2039</v>
      </c>
      <c r="V507" s="17">
        <v>9.147716232E9</v>
      </c>
      <c r="W507" s="17" t="s">
        <v>117</v>
      </c>
      <c r="AA507" s="17" t="s">
        <v>109</v>
      </c>
      <c r="AT507" s="17" t="s">
        <v>2040</v>
      </c>
      <c r="AU507" s="17" t="s">
        <v>76</v>
      </c>
      <c r="AV507" s="17" t="s">
        <v>472</v>
      </c>
      <c r="AZ507" s="17" t="s">
        <v>1607</v>
      </c>
      <c r="BA507" s="17" t="s">
        <v>458</v>
      </c>
      <c r="BB507" s="17" t="s">
        <v>76</v>
      </c>
      <c r="BN507" s="17" t="s">
        <v>2041</v>
      </c>
      <c r="BP507" s="17" t="s">
        <v>2041</v>
      </c>
      <c r="BR507" s="24" t="str">
        <f t="shared" si="1"/>
        <v>Shanghai flavours of chinaShanghai Flavours of China</v>
      </c>
    </row>
    <row r="508" ht="22.5" customHeight="1">
      <c r="A508" s="14">
        <v>46070.641899027774</v>
      </c>
      <c r="B508" s="15">
        <v>46070.0</v>
      </c>
      <c r="C508" s="16">
        <v>0.5243055555547471</v>
      </c>
      <c r="U508" s="17" t="s">
        <v>1107</v>
      </c>
      <c r="V508" s="17">
        <v>8.297190571E9</v>
      </c>
      <c r="W508" s="17" t="s">
        <v>117</v>
      </c>
      <c r="AA508" s="17" t="s">
        <v>109</v>
      </c>
      <c r="AT508" s="17" t="s">
        <v>2042</v>
      </c>
      <c r="AU508" s="17" t="s">
        <v>76</v>
      </c>
      <c r="AV508" s="17" t="s">
        <v>472</v>
      </c>
      <c r="AZ508" s="17" t="s">
        <v>287</v>
      </c>
      <c r="BA508" s="17" t="s">
        <v>458</v>
      </c>
      <c r="BB508" s="17" t="s">
        <v>109</v>
      </c>
      <c r="BP508" s="17" t="s">
        <v>2043</v>
      </c>
      <c r="BR508" s="24" t="str">
        <f t="shared" si="1"/>
        <v>VR Tiffins</v>
      </c>
    </row>
    <row r="509" ht="22.5" customHeight="1">
      <c r="A509" s="14">
        <v>46070.64305298611</v>
      </c>
      <c r="B509" s="15">
        <v>46070.0</v>
      </c>
      <c r="C509" s="16">
        <v>0.5506944444423425</v>
      </c>
      <c r="U509" s="17" t="s">
        <v>2044</v>
      </c>
      <c r="V509" s="17">
        <v>9.615550066E9</v>
      </c>
      <c r="W509" s="17" t="s">
        <v>117</v>
      </c>
      <c r="AA509" s="17" t="s">
        <v>109</v>
      </c>
      <c r="AT509" s="17" t="s">
        <v>111</v>
      </c>
      <c r="AU509" s="17" t="s">
        <v>76</v>
      </c>
      <c r="AV509" s="17" t="s">
        <v>472</v>
      </c>
      <c r="AZ509" s="17" t="s">
        <v>287</v>
      </c>
      <c r="BA509" s="17" t="s">
        <v>458</v>
      </c>
      <c r="BB509" s="17" t="s">
        <v>109</v>
      </c>
      <c r="BP509" s="17" t="s">
        <v>2045</v>
      </c>
      <c r="BR509" s="24" t="str">
        <f t="shared" si="1"/>
        <v>Slice and Sauce </v>
      </c>
    </row>
    <row r="510" ht="22.5" customHeight="1">
      <c r="A510" s="14">
        <v>46070.64353909722</v>
      </c>
      <c r="B510" s="15">
        <v>46070.0</v>
      </c>
      <c r="C510" s="16">
        <v>0.05833333333430346</v>
      </c>
      <c r="D510" s="17" t="s">
        <v>91</v>
      </c>
      <c r="F510" s="17">
        <v>1.0</v>
      </c>
      <c r="G510" s="17">
        <v>500.0</v>
      </c>
      <c r="H510" s="17" t="s">
        <v>117</v>
      </c>
      <c r="J510" s="17" t="s">
        <v>167</v>
      </c>
      <c r="N510" s="17">
        <v>1.0</v>
      </c>
      <c r="O510" s="17" t="s">
        <v>96</v>
      </c>
      <c r="P510" s="17" t="s">
        <v>76</v>
      </c>
      <c r="Q510" s="17" t="s">
        <v>97</v>
      </c>
      <c r="R510" s="17" t="s">
        <v>98</v>
      </c>
      <c r="S510" s="17" t="s">
        <v>2014</v>
      </c>
      <c r="T510" s="17" t="s">
        <v>2046</v>
      </c>
      <c r="U510" s="17" t="s">
        <v>2047</v>
      </c>
      <c r="V510" s="17">
        <v>7.032888705E9</v>
      </c>
      <c r="W510" s="17" t="s">
        <v>2048</v>
      </c>
      <c r="AA510" s="17" t="s">
        <v>109</v>
      </c>
      <c r="AT510" s="17" t="s">
        <v>2049</v>
      </c>
      <c r="AU510" s="17" t="s">
        <v>76</v>
      </c>
      <c r="AV510" s="17" t="s">
        <v>472</v>
      </c>
      <c r="AZ510" s="17" t="s">
        <v>1607</v>
      </c>
      <c r="BA510" s="17" t="s">
        <v>458</v>
      </c>
      <c r="BB510" s="17" t="s">
        <v>76</v>
      </c>
      <c r="BN510" s="17" t="s">
        <v>2046</v>
      </c>
      <c r="BP510" s="17" t="s">
        <v>2046</v>
      </c>
      <c r="BR510" s="24" t="str">
        <f t="shared" si="1"/>
        <v>Karachi BakeryKarachi Bakery</v>
      </c>
    </row>
    <row r="511" ht="22.5" customHeight="1">
      <c r="A511" s="14">
        <v>46070.64406371528</v>
      </c>
      <c r="B511" s="15">
        <v>46070.0</v>
      </c>
      <c r="C511" s="16">
        <v>0.5555555555547471</v>
      </c>
      <c r="U511" s="17" t="s">
        <v>2050</v>
      </c>
      <c r="V511" s="17">
        <v>6.303602919E9</v>
      </c>
      <c r="W511" s="17" t="s">
        <v>117</v>
      </c>
      <c r="AA511" s="17" t="s">
        <v>109</v>
      </c>
      <c r="AT511" s="17" t="s">
        <v>2051</v>
      </c>
      <c r="AU511" s="17" t="s">
        <v>109</v>
      </c>
      <c r="AZ511" s="17" t="s">
        <v>287</v>
      </c>
      <c r="BA511" s="17" t="s">
        <v>458</v>
      </c>
      <c r="BB511" s="17" t="s">
        <v>109</v>
      </c>
      <c r="BP511" s="17" t="s">
        <v>2052</v>
      </c>
      <c r="BR511" s="24" t="str">
        <f t="shared" si="1"/>
        <v>Laksmi Duga Andhra Ruchulu</v>
      </c>
    </row>
    <row r="512" ht="22.5" customHeight="1">
      <c r="A512" s="14">
        <v>46070.64507385417</v>
      </c>
      <c r="B512" s="15">
        <v>46070.0</v>
      </c>
      <c r="C512" s="16">
        <v>0.5875000000014552</v>
      </c>
      <c r="U512" s="17" t="s">
        <v>117</v>
      </c>
      <c r="V512" s="17" t="s">
        <v>388</v>
      </c>
      <c r="W512" s="17" t="s">
        <v>388</v>
      </c>
      <c r="AA512" s="17" t="s">
        <v>109</v>
      </c>
      <c r="AT512" s="17" t="s">
        <v>2053</v>
      </c>
      <c r="AU512" s="17" t="s">
        <v>109</v>
      </c>
      <c r="AZ512" s="17" t="s">
        <v>287</v>
      </c>
      <c r="BA512" s="17" t="s">
        <v>458</v>
      </c>
      <c r="BB512" s="17" t="s">
        <v>109</v>
      </c>
      <c r="BP512" s="17" t="s">
        <v>2054</v>
      </c>
      <c r="BR512" s="24" t="str">
        <f t="shared" si="1"/>
        <v>Theme Cafe</v>
      </c>
    </row>
    <row r="513" ht="22.5" customHeight="1">
      <c r="A513" s="14">
        <v>46070.727416064816</v>
      </c>
      <c r="B513" s="15">
        <v>46070.0</v>
      </c>
      <c r="C513" s="16">
        <v>0.6916666666656965</v>
      </c>
      <c r="U513" s="17" t="s">
        <v>2055</v>
      </c>
      <c r="V513" s="17">
        <v>9.030066247E9</v>
      </c>
      <c r="W513" s="17" t="s">
        <v>388</v>
      </c>
      <c r="AA513" s="17" t="s">
        <v>109</v>
      </c>
      <c r="AT513" s="17" t="s">
        <v>2056</v>
      </c>
      <c r="AU513" s="17" t="s">
        <v>76</v>
      </c>
      <c r="AV513" s="17" t="s">
        <v>472</v>
      </c>
      <c r="AZ513" s="17" t="s">
        <v>287</v>
      </c>
      <c r="BA513" s="17" t="s">
        <v>458</v>
      </c>
      <c r="BB513" s="17" t="s">
        <v>109</v>
      </c>
      <c r="BP513" s="17" t="s">
        <v>2057</v>
      </c>
      <c r="BR513" s="24" t="str">
        <f t="shared" si="1"/>
        <v>Baskin Robbins</v>
      </c>
    </row>
    <row r="514" ht="22.5" customHeight="1">
      <c r="A514" s="14">
        <v>46070.728418680555</v>
      </c>
      <c r="B514" s="15">
        <v>46070.0</v>
      </c>
      <c r="C514" s="16">
        <v>0.6944444444452529</v>
      </c>
      <c r="U514" s="17" t="s">
        <v>2058</v>
      </c>
      <c r="V514" s="17">
        <v>9.38138984E9</v>
      </c>
      <c r="W514" s="17" t="s">
        <v>117</v>
      </c>
      <c r="AA514" s="17" t="s">
        <v>109</v>
      </c>
      <c r="AT514" s="17" t="s">
        <v>2059</v>
      </c>
      <c r="AU514" s="17" t="s">
        <v>76</v>
      </c>
      <c r="AV514" s="17" t="s">
        <v>472</v>
      </c>
      <c r="AX514" s="15">
        <v>46071.0</v>
      </c>
      <c r="AZ514" s="17" t="s">
        <v>287</v>
      </c>
      <c r="BA514" s="17" t="s">
        <v>458</v>
      </c>
      <c r="BB514" s="17" t="s">
        <v>109</v>
      </c>
      <c r="BP514" s="17" t="s">
        <v>2060</v>
      </c>
      <c r="BR514" s="24" t="str">
        <f t="shared" si="1"/>
        <v>Pizza Mania</v>
      </c>
    </row>
    <row r="515" ht="22.5" customHeight="1">
      <c r="A515" s="14">
        <v>46070.72933821759</v>
      </c>
      <c r="B515" s="15">
        <v>46070.0</v>
      </c>
      <c r="C515" s="16">
        <v>0.702777777776646</v>
      </c>
      <c r="U515" s="17" t="s">
        <v>1107</v>
      </c>
      <c r="V515" s="17">
        <v>9.59359399E8</v>
      </c>
      <c r="W515" s="17" t="s">
        <v>388</v>
      </c>
      <c r="AA515" s="17" t="s">
        <v>109</v>
      </c>
      <c r="AT515" s="17" t="s">
        <v>2061</v>
      </c>
      <c r="AU515" s="17" t="s">
        <v>109</v>
      </c>
      <c r="AZ515" s="17" t="s">
        <v>287</v>
      </c>
      <c r="BA515" s="17" t="s">
        <v>458</v>
      </c>
      <c r="BB515" s="17" t="s">
        <v>109</v>
      </c>
      <c r="BP515" s="17" t="s">
        <v>2062</v>
      </c>
      <c r="BR515" s="24" t="str">
        <f t="shared" si="1"/>
        <v>Andhra House</v>
      </c>
    </row>
    <row r="516" ht="22.5" customHeight="1">
      <c r="A516" s="14">
        <v>46070.72996709491</v>
      </c>
      <c r="B516" s="15">
        <v>46070.0</v>
      </c>
      <c r="C516" s="16">
        <v>0.7048611111094942</v>
      </c>
      <c r="U516" s="17" t="s">
        <v>388</v>
      </c>
      <c r="V516" s="17" t="s">
        <v>388</v>
      </c>
      <c r="W516" s="17" t="s">
        <v>388</v>
      </c>
      <c r="AA516" s="17" t="s">
        <v>109</v>
      </c>
      <c r="AT516" s="17" t="s">
        <v>841</v>
      </c>
      <c r="AU516" s="17" t="s">
        <v>76</v>
      </c>
      <c r="AV516" s="17" t="s">
        <v>472</v>
      </c>
      <c r="AZ516" s="17" t="s">
        <v>287</v>
      </c>
      <c r="BA516" s="17" t="s">
        <v>458</v>
      </c>
      <c r="BB516" s="17" t="s">
        <v>109</v>
      </c>
      <c r="BP516" s="17" t="s">
        <v>2063</v>
      </c>
      <c r="BR516" s="24" t="str">
        <f t="shared" si="1"/>
        <v>Maska Chaska</v>
      </c>
    </row>
    <row r="517" ht="22.5" customHeight="1">
      <c r="A517" s="14">
        <v>46070.73086761574</v>
      </c>
      <c r="B517" s="15">
        <v>46070.0</v>
      </c>
      <c r="C517" s="16">
        <v>0.7069444444423425</v>
      </c>
      <c r="U517" s="17" t="s">
        <v>289</v>
      </c>
      <c r="V517" s="17">
        <v>8.247047507E9</v>
      </c>
      <c r="W517" s="17" t="s">
        <v>388</v>
      </c>
      <c r="AA517" s="17" t="s">
        <v>109</v>
      </c>
      <c r="AT517" s="17" t="s">
        <v>2064</v>
      </c>
      <c r="AU517" s="17" t="s">
        <v>76</v>
      </c>
      <c r="AV517" s="17" t="s">
        <v>472</v>
      </c>
      <c r="AZ517" s="17" t="s">
        <v>287</v>
      </c>
      <c r="BA517" s="17" t="s">
        <v>458</v>
      </c>
      <c r="BB517" s="17" t="s">
        <v>109</v>
      </c>
      <c r="BP517" s="17" t="s">
        <v>2065</v>
      </c>
      <c r="BR517" s="24" t="str">
        <f t="shared" si="1"/>
        <v>Bimvaram Bulodu</v>
      </c>
    </row>
    <row r="518" ht="22.5" customHeight="1">
      <c r="A518" s="14">
        <v>46070.73197565972</v>
      </c>
      <c r="B518" s="15">
        <v>46070.0</v>
      </c>
      <c r="C518" s="16">
        <v>0.7118055555547471</v>
      </c>
      <c r="U518" s="17" t="s">
        <v>2066</v>
      </c>
      <c r="V518" s="17">
        <v>9.700119173E9</v>
      </c>
      <c r="W518" s="17" t="s">
        <v>388</v>
      </c>
      <c r="AA518" s="17" t="s">
        <v>109</v>
      </c>
      <c r="AT518" s="17" t="s">
        <v>2059</v>
      </c>
      <c r="AU518" s="17" t="s">
        <v>76</v>
      </c>
      <c r="AV518" s="17" t="s">
        <v>472</v>
      </c>
      <c r="AX518" s="15">
        <v>46071.0</v>
      </c>
      <c r="AY518" s="16">
        <v>0.7083333333357587</v>
      </c>
      <c r="AZ518" s="17" t="s">
        <v>287</v>
      </c>
      <c r="BA518" s="17" t="s">
        <v>458</v>
      </c>
      <c r="BB518" s="17" t="s">
        <v>109</v>
      </c>
      <c r="BP518" s="17" t="s">
        <v>2067</v>
      </c>
      <c r="BR518" s="24" t="str">
        <f t="shared" si="1"/>
        <v>Ahara Avaham</v>
      </c>
    </row>
    <row r="519" ht="22.5" customHeight="1">
      <c r="A519" s="14">
        <v>46070.75079097222</v>
      </c>
      <c r="B519" s="15">
        <v>46070.0</v>
      </c>
      <c r="C519" s="16">
        <v>0.47916666666424135</v>
      </c>
      <c r="D519" s="17" t="s">
        <v>91</v>
      </c>
      <c r="F519" s="17">
        <v>30.0</v>
      </c>
      <c r="G519" s="17">
        <v>250.0</v>
      </c>
      <c r="H519" s="17" t="s">
        <v>423</v>
      </c>
      <c r="J519" s="17" t="s">
        <v>94</v>
      </c>
      <c r="K519" s="17" t="s">
        <v>134</v>
      </c>
      <c r="N519" s="17">
        <v>8.0</v>
      </c>
      <c r="O519" s="17" t="s">
        <v>135</v>
      </c>
      <c r="P519" s="17" t="s">
        <v>109</v>
      </c>
      <c r="Q519" s="17" t="s">
        <v>97</v>
      </c>
      <c r="R519" s="17" t="s">
        <v>98</v>
      </c>
      <c r="S519" s="17" t="s">
        <v>2068</v>
      </c>
      <c r="U519" s="17" t="s">
        <v>245</v>
      </c>
      <c r="V519" s="17">
        <v>9.704551666E9</v>
      </c>
      <c r="W519" s="17" t="s">
        <v>117</v>
      </c>
      <c r="AA519" s="17" t="s">
        <v>109</v>
      </c>
      <c r="AT519" s="17" t="s">
        <v>2069</v>
      </c>
      <c r="AU519" s="17" t="s">
        <v>76</v>
      </c>
      <c r="AV519" s="17" t="s">
        <v>114</v>
      </c>
      <c r="AZ519" s="17" t="s">
        <v>1910</v>
      </c>
      <c r="BA519" s="17" t="s">
        <v>491</v>
      </c>
      <c r="BL519" s="17" t="s">
        <v>2070</v>
      </c>
      <c r="BP519" s="17" t="s">
        <v>2071</v>
      </c>
      <c r="BR519" s="24" t="str">
        <f t="shared" si="1"/>
        <v>Burfighar</v>
      </c>
    </row>
    <row r="520" ht="22.5" customHeight="1">
      <c r="A520" s="14">
        <v>46070.75114833334</v>
      </c>
      <c r="B520" s="15">
        <v>46070.0</v>
      </c>
      <c r="C520" s="16">
        <v>0.7083333333357587</v>
      </c>
      <c r="D520" s="17" t="s">
        <v>91</v>
      </c>
      <c r="F520" s="17">
        <v>10.0</v>
      </c>
      <c r="G520" s="17">
        <v>200.0</v>
      </c>
      <c r="H520" s="17" t="s">
        <v>863</v>
      </c>
      <c r="I520" s="17">
        <v>20000.0</v>
      </c>
      <c r="J520" s="17" t="s">
        <v>221</v>
      </c>
      <c r="K520" s="17" t="s">
        <v>515</v>
      </c>
      <c r="L520" s="17">
        <v>22.0</v>
      </c>
      <c r="M520" s="17">
        <v>20.0</v>
      </c>
      <c r="N520" s="17">
        <v>1.0</v>
      </c>
      <c r="O520" s="17" t="s">
        <v>96</v>
      </c>
      <c r="P520" s="17" t="s">
        <v>76</v>
      </c>
      <c r="Q520" s="17" t="s">
        <v>97</v>
      </c>
      <c r="R520" s="17" t="s">
        <v>109</v>
      </c>
      <c r="S520" s="17" t="s">
        <v>388</v>
      </c>
      <c r="U520" s="17" t="s">
        <v>2072</v>
      </c>
      <c r="V520" s="17">
        <v>8.12521E9</v>
      </c>
      <c r="W520" s="17" t="s">
        <v>388</v>
      </c>
      <c r="AA520" s="17" t="s">
        <v>109</v>
      </c>
      <c r="AT520" s="17" t="s">
        <v>388</v>
      </c>
      <c r="AU520" s="17" t="s">
        <v>76</v>
      </c>
      <c r="AV520" s="17" t="s">
        <v>88</v>
      </c>
      <c r="AZ520" s="17" t="s">
        <v>131</v>
      </c>
      <c r="BA520" s="17" t="s">
        <v>458</v>
      </c>
      <c r="BB520" s="17" t="s">
        <v>76</v>
      </c>
      <c r="BL520" s="17">
        <v>40.0</v>
      </c>
      <c r="BN520" s="17" t="s">
        <v>865</v>
      </c>
      <c r="BP520" s="17" t="s">
        <v>2073</v>
      </c>
      <c r="BR520" s="24" t="str">
        <f t="shared" si="1"/>
        <v>Punjabi paratha House </v>
      </c>
    </row>
    <row r="521" ht="22.5" customHeight="1">
      <c r="A521" s="14">
        <v>46070.75351383102</v>
      </c>
      <c r="B521" s="15">
        <v>46070.0</v>
      </c>
      <c r="C521" s="16">
        <v>0.6666666666642413</v>
      </c>
      <c r="D521" s="17" t="s">
        <v>91</v>
      </c>
      <c r="F521" s="17">
        <v>30.0</v>
      </c>
      <c r="G521" s="17">
        <v>200.0</v>
      </c>
      <c r="H521" s="17" t="s">
        <v>388</v>
      </c>
      <c r="I521" s="17">
        <v>20000.0</v>
      </c>
      <c r="J521" s="17" t="s">
        <v>221</v>
      </c>
      <c r="K521" s="17" t="s">
        <v>2074</v>
      </c>
      <c r="L521" s="17">
        <v>22.0</v>
      </c>
      <c r="M521" s="17">
        <v>20.0</v>
      </c>
      <c r="N521" s="17">
        <v>1.0</v>
      </c>
      <c r="O521" s="17" t="s">
        <v>96</v>
      </c>
      <c r="P521" s="17" t="s">
        <v>109</v>
      </c>
      <c r="Q521" s="17" t="s">
        <v>97</v>
      </c>
      <c r="R521" s="17" t="s">
        <v>109</v>
      </c>
      <c r="S521" s="17" t="s">
        <v>388</v>
      </c>
      <c r="U521" s="17" t="s">
        <v>388</v>
      </c>
      <c r="V521" s="17">
        <v>9.494567064E9</v>
      </c>
      <c r="W521" s="17" t="s">
        <v>388</v>
      </c>
      <c r="AA521" s="17" t="s">
        <v>109</v>
      </c>
      <c r="AT521" s="17" t="s">
        <v>388</v>
      </c>
      <c r="AU521" s="17" t="s">
        <v>76</v>
      </c>
      <c r="AV521" s="17" t="s">
        <v>472</v>
      </c>
      <c r="AZ521" s="17" t="s">
        <v>131</v>
      </c>
      <c r="BA521" s="17" t="s">
        <v>458</v>
      </c>
      <c r="BB521" s="17" t="s">
        <v>76</v>
      </c>
      <c r="BL521" s="17" t="s">
        <v>2075</v>
      </c>
      <c r="BN521" s="17" t="s">
        <v>865</v>
      </c>
      <c r="BP521" s="17" t="s">
        <v>2076</v>
      </c>
      <c r="BR521" s="24" t="str">
        <f t="shared" si="1"/>
        <v>Cherrys Restaurant </v>
      </c>
    </row>
    <row r="522" ht="22.5" customHeight="1">
      <c r="A522" s="14">
        <v>46070.75569252315</v>
      </c>
      <c r="B522" s="15">
        <v>46070.0</v>
      </c>
      <c r="C522" s="16">
        <v>0.20833333333575865</v>
      </c>
      <c r="D522" s="17" t="s">
        <v>91</v>
      </c>
      <c r="F522" s="17">
        <v>5.0</v>
      </c>
      <c r="G522" s="17">
        <v>250.0</v>
      </c>
      <c r="H522" s="17" t="s">
        <v>117</v>
      </c>
      <c r="J522" s="17" t="s">
        <v>94</v>
      </c>
      <c r="K522" s="17" t="s">
        <v>134</v>
      </c>
      <c r="N522" s="17">
        <v>1.0</v>
      </c>
      <c r="O522" s="17" t="s">
        <v>371</v>
      </c>
      <c r="P522" s="17" t="s">
        <v>109</v>
      </c>
      <c r="Q522" s="17" t="s">
        <v>97</v>
      </c>
      <c r="R522" s="17" t="s">
        <v>98</v>
      </c>
      <c r="S522" s="18" t="s">
        <v>2077</v>
      </c>
      <c r="U522" s="17" t="s">
        <v>2078</v>
      </c>
      <c r="V522" s="17">
        <v>7.00424097E9</v>
      </c>
      <c r="W522" s="17" t="s">
        <v>117</v>
      </c>
      <c r="AA522" s="17" t="s">
        <v>109</v>
      </c>
      <c r="AT522" s="17" t="s">
        <v>2079</v>
      </c>
      <c r="AU522" s="17" t="s">
        <v>76</v>
      </c>
      <c r="AV522" s="17" t="s">
        <v>114</v>
      </c>
      <c r="AZ522" s="17" t="s">
        <v>1910</v>
      </c>
      <c r="BA522" s="17" t="s">
        <v>458</v>
      </c>
      <c r="BB522" s="17" t="s">
        <v>76</v>
      </c>
      <c r="BP522" s="17" t="s">
        <v>2080</v>
      </c>
      <c r="BR522" s="24" t="str">
        <f t="shared" si="1"/>
        <v>IFC- Indian favourite Chef</v>
      </c>
    </row>
    <row r="523" ht="22.5" customHeight="1">
      <c r="A523" s="14">
        <v>46070.75618795139</v>
      </c>
      <c r="B523" s="15">
        <v>46070.0</v>
      </c>
      <c r="C523" s="16">
        <v>0.75</v>
      </c>
      <c r="D523" s="17" t="s">
        <v>91</v>
      </c>
      <c r="F523" s="17">
        <v>30.0</v>
      </c>
      <c r="G523" s="17">
        <v>200.0</v>
      </c>
      <c r="H523" s="17" t="s">
        <v>388</v>
      </c>
      <c r="I523" s="17">
        <v>20000.0</v>
      </c>
      <c r="J523" s="17" t="s">
        <v>221</v>
      </c>
      <c r="K523" s="17" t="s">
        <v>118</v>
      </c>
      <c r="L523" s="17">
        <v>22.0</v>
      </c>
      <c r="M523" s="17">
        <v>22.0</v>
      </c>
      <c r="N523" s="17">
        <v>1.0</v>
      </c>
      <c r="O523" s="17" t="s">
        <v>96</v>
      </c>
      <c r="P523" s="17" t="s">
        <v>109</v>
      </c>
      <c r="Q523" s="17" t="s">
        <v>97</v>
      </c>
      <c r="R523" s="17" t="s">
        <v>109</v>
      </c>
      <c r="S523" s="17" t="s">
        <v>388</v>
      </c>
      <c r="U523" s="17" t="s">
        <v>1294</v>
      </c>
      <c r="V523" s="17">
        <v>8.80129776E9</v>
      </c>
      <c r="W523" s="17" t="s">
        <v>388</v>
      </c>
      <c r="AA523" s="17" t="s">
        <v>109</v>
      </c>
      <c r="AT523" s="17" t="s">
        <v>586</v>
      </c>
      <c r="AU523" s="17" t="s">
        <v>109</v>
      </c>
      <c r="AZ523" s="17" t="s">
        <v>131</v>
      </c>
      <c r="BA523" s="17" t="s">
        <v>458</v>
      </c>
      <c r="BB523" s="17" t="s">
        <v>76</v>
      </c>
      <c r="BL523" s="17">
        <v>10.0</v>
      </c>
      <c r="BN523" s="17" t="s">
        <v>865</v>
      </c>
      <c r="BP523" s="17" t="s">
        <v>2081</v>
      </c>
      <c r="BR523" s="24" t="str">
        <f t="shared" si="1"/>
        <v>My Biriyani </v>
      </c>
    </row>
    <row r="524" ht="22.5" customHeight="1">
      <c r="A524" s="14">
        <v>46070.75820956018</v>
      </c>
      <c r="B524" s="15">
        <v>46070.0</v>
      </c>
      <c r="C524" s="16">
        <v>0.625</v>
      </c>
      <c r="D524" s="17" t="s">
        <v>91</v>
      </c>
      <c r="F524" s="17">
        <v>40.0</v>
      </c>
      <c r="G524" s="17">
        <v>200.0</v>
      </c>
      <c r="H524" s="17" t="s">
        <v>863</v>
      </c>
      <c r="I524" s="17">
        <v>40000.0</v>
      </c>
      <c r="J524" s="17" t="s">
        <v>94</v>
      </c>
      <c r="K524" s="17" t="s">
        <v>134</v>
      </c>
      <c r="L524" s="17">
        <v>22.0</v>
      </c>
      <c r="M524" s="17">
        <v>20.0</v>
      </c>
      <c r="N524" s="17">
        <v>3.0</v>
      </c>
      <c r="O524" s="17" t="s">
        <v>135</v>
      </c>
      <c r="P524" s="17" t="s">
        <v>109</v>
      </c>
      <c r="Q524" s="17" t="s">
        <v>97</v>
      </c>
      <c r="R524" s="17" t="s">
        <v>109</v>
      </c>
      <c r="S524" s="17" t="s">
        <v>388</v>
      </c>
      <c r="U524" s="17" t="s">
        <v>2082</v>
      </c>
      <c r="V524" s="17">
        <v>9.642114111E9</v>
      </c>
      <c r="W524" s="17" t="s">
        <v>388</v>
      </c>
      <c r="AA524" s="17" t="s">
        <v>109</v>
      </c>
      <c r="AT524" s="17" t="s">
        <v>388</v>
      </c>
      <c r="AU524" s="17" t="s">
        <v>76</v>
      </c>
      <c r="AV524" s="17" t="s">
        <v>373</v>
      </c>
      <c r="AZ524" s="17" t="s">
        <v>131</v>
      </c>
      <c r="BA524" s="17" t="s">
        <v>458</v>
      </c>
      <c r="BB524" s="17" t="s">
        <v>76</v>
      </c>
      <c r="BL524" s="17" t="s">
        <v>2083</v>
      </c>
      <c r="BN524" s="17" t="s">
        <v>865</v>
      </c>
      <c r="BP524" s="17" t="s">
        <v>979</v>
      </c>
      <c r="BR524" s="24" t="str">
        <f t="shared" si="1"/>
        <v>Babai Hotel </v>
      </c>
    </row>
    <row r="525" ht="22.5" customHeight="1">
      <c r="A525" s="14">
        <v>46070.76011150463</v>
      </c>
      <c r="B525" s="15">
        <v>46069.0</v>
      </c>
      <c r="C525" s="16">
        <v>0.625</v>
      </c>
      <c r="D525" s="17" t="s">
        <v>111</v>
      </c>
      <c r="T525" s="17" t="s">
        <v>2084</v>
      </c>
      <c r="U525" s="17" t="s">
        <v>2085</v>
      </c>
      <c r="V525" s="17">
        <v>8.309163739E9</v>
      </c>
      <c r="W525" s="17" t="s">
        <v>113</v>
      </c>
      <c r="AA525" s="17" t="s">
        <v>109</v>
      </c>
      <c r="AT525" s="17" t="s">
        <v>2086</v>
      </c>
      <c r="AU525" s="17" t="s">
        <v>76</v>
      </c>
      <c r="AV525" s="17" t="s">
        <v>271</v>
      </c>
      <c r="AZ525" s="17" t="s">
        <v>243</v>
      </c>
      <c r="BA525" s="17" t="s">
        <v>458</v>
      </c>
      <c r="BB525" s="17" t="s">
        <v>76</v>
      </c>
      <c r="BP525" s="17" t="s">
        <v>2084</v>
      </c>
      <c r="BR525" s="24" t="str">
        <f t="shared" si="1"/>
        <v>NarthanashalaNarthanashala</v>
      </c>
    </row>
    <row r="526" ht="22.5" customHeight="1">
      <c r="A526" s="14">
        <v>46070.76194150463</v>
      </c>
      <c r="B526" s="15">
        <v>46070.0</v>
      </c>
      <c r="C526" s="16">
        <v>0.16666666666424135</v>
      </c>
      <c r="D526" s="17" t="s">
        <v>91</v>
      </c>
      <c r="F526" s="17">
        <v>30.0</v>
      </c>
      <c r="G526" s="17">
        <v>300.0</v>
      </c>
      <c r="H526" s="17" t="s">
        <v>117</v>
      </c>
      <c r="J526" s="17" t="s">
        <v>94</v>
      </c>
      <c r="K526" s="17" t="s">
        <v>95</v>
      </c>
      <c r="N526" s="17">
        <v>1.0</v>
      </c>
      <c r="O526" s="17" t="s">
        <v>371</v>
      </c>
      <c r="P526" s="17" t="s">
        <v>109</v>
      </c>
      <c r="Q526" s="17" t="s">
        <v>97</v>
      </c>
      <c r="R526" s="17" t="s">
        <v>98</v>
      </c>
      <c r="S526" s="18" t="s">
        <v>2087</v>
      </c>
      <c r="U526" s="17" t="s">
        <v>245</v>
      </c>
      <c r="V526" s="17" t="s">
        <v>2088</v>
      </c>
      <c r="W526" s="17" t="s">
        <v>117</v>
      </c>
      <c r="AA526" s="17" t="s">
        <v>109</v>
      </c>
      <c r="AT526" s="17" t="s">
        <v>2089</v>
      </c>
      <c r="AU526" s="17" t="s">
        <v>76</v>
      </c>
      <c r="AV526" s="17" t="s">
        <v>114</v>
      </c>
      <c r="AZ526" s="17" t="s">
        <v>1910</v>
      </c>
      <c r="BA526" s="17" t="s">
        <v>458</v>
      </c>
      <c r="BB526" s="17" t="s">
        <v>76</v>
      </c>
      <c r="BP526" s="17" t="s">
        <v>2090</v>
      </c>
      <c r="BR526" s="24" t="str">
        <f t="shared" si="1"/>
        <v>Southern Fusion</v>
      </c>
    </row>
    <row r="527" ht="22.5" customHeight="1">
      <c r="A527" s="14">
        <v>46070.76291453704</v>
      </c>
      <c r="B527" s="15">
        <v>46070.0</v>
      </c>
      <c r="C527" s="16">
        <v>0.5833333333357587</v>
      </c>
      <c r="D527" s="17" t="s">
        <v>111</v>
      </c>
      <c r="T527" s="17" t="s">
        <v>2091</v>
      </c>
      <c r="U527" s="17" t="s">
        <v>2092</v>
      </c>
      <c r="V527" s="17">
        <v>8.341901102E9</v>
      </c>
      <c r="W527" s="17" t="s">
        <v>113</v>
      </c>
      <c r="AA527" s="17" t="s">
        <v>109</v>
      </c>
      <c r="AT527" s="17" t="s">
        <v>2093</v>
      </c>
      <c r="AU527" s="17" t="s">
        <v>76</v>
      </c>
      <c r="AV527" s="17" t="s">
        <v>88</v>
      </c>
      <c r="AZ527" s="17" t="s">
        <v>243</v>
      </c>
      <c r="BA527" s="17" t="s">
        <v>458</v>
      </c>
      <c r="BB527" s="17" t="s">
        <v>76</v>
      </c>
      <c r="BP527" s="17" t="s">
        <v>2091</v>
      </c>
      <c r="BR527" s="24" t="str">
        <f t="shared" si="1"/>
        <v>Spicy hutSpicy hut</v>
      </c>
    </row>
    <row r="528" ht="22.5" customHeight="1">
      <c r="A528" s="14">
        <v>46071.40395085648</v>
      </c>
      <c r="B528" s="15">
        <v>46070.0</v>
      </c>
      <c r="C528" s="16">
        <v>0.609722222223354</v>
      </c>
      <c r="D528" s="17" t="s">
        <v>91</v>
      </c>
      <c r="F528" s="17">
        <v>80.0</v>
      </c>
      <c r="G528" s="17">
        <v>250.0</v>
      </c>
      <c r="H528" s="17" t="s">
        <v>113</v>
      </c>
      <c r="I528" s="17">
        <v>15000.0</v>
      </c>
      <c r="J528" s="17" t="s">
        <v>94</v>
      </c>
      <c r="K528" s="17" t="s">
        <v>95</v>
      </c>
      <c r="M528" s="17">
        <v>22.0</v>
      </c>
      <c r="N528" s="17">
        <v>1.0</v>
      </c>
      <c r="O528" s="17" t="s">
        <v>135</v>
      </c>
      <c r="P528" s="17" t="s">
        <v>109</v>
      </c>
      <c r="Q528" s="17" t="s">
        <v>97</v>
      </c>
      <c r="R528" s="17" t="s">
        <v>109</v>
      </c>
      <c r="S528" s="17" t="s">
        <v>117</v>
      </c>
      <c r="U528" s="17" t="s">
        <v>2094</v>
      </c>
      <c r="V528" s="17">
        <v>6.281737216E9</v>
      </c>
      <c r="W528" s="17" t="s">
        <v>117</v>
      </c>
      <c r="AA528" s="17" t="s">
        <v>76</v>
      </c>
      <c r="AB528" s="17">
        <v>2.3625032003808E13</v>
      </c>
      <c r="AC528" s="18" t="s">
        <v>2095</v>
      </c>
      <c r="AF528" s="17" t="s">
        <v>2096</v>
      </c>
      <c r="AG528" s="18" t="s">
        <v>2097</v>
      </c>
      <c r="AS528" s="17" t="s">
        <v>76</v>
      </c>
      <c r="AT528" s="17" t="s">
        <v>181</v>
      </c>
      <c r="AU528" s="17" t="s">
        <v>109</v>
      </c>
      <c r="AZ528" s="17" t="s">
        <v>287</v>
      </c>
      <c r="BA528" s="17" t="s">
        <v>458</v>
      </c>
      <c r="BB528" s="17" t="s">
        <v>76</v>
      </c>
      <c r="BL528" s="17">
        <v>150.0</v>
      </c>
      <c r="BM528" s="17" t="s">
        <v>2098</v>
      </c>
      <c r="BP528" s="17" t="s">
        <v>2099</v>
      </c>
      <c r="BR528" s="24" t="str">
        <f t="shared" si="1"/>
        <v>SS Live Kitchen</v>
      </c>
    </row>
    <row r="529" ht="22.5" customHeight="1">
      <c r="A529" s="14">
        <v>46071.40444996528</v>
      </c>
      <c r="B529" s="15">
        <v>46070.0</v>
      </c>
      <c r="C529" s="16">
        <v>0.625</v>
      </c>
      <c r="U529" s="17" t="s">
        <v>113</v>
      </c>
      <c r="V529" s="17" t="s">
        <v>113</v>
      </c>
      <c r="W529" s="17" t="s">
        <v>113</v>
      </c>
      <c r="AA529" s="17" t="s">
        <v>109</v>
      </c>
      <c r="AT529" s="17" t="s">
        <v>2100</v>
      </c>
      <c r="AU529" s="17" t="s">
        <v>109</v>
      </c>
      <c r="AZ529" s="17" t="s">
        <v>243</v>
      </c>
      <c r="BA529" s="17" t="s">
        <v>458</v>
      </c>
      <c r="BB529" s="17" t="s">
        <v>109</v>
      </c>
      <c r="BP529" s="17" t="s">
        <v>2101</v>
      </c>
      <c r="BR529" s="24" t="str">
        <f t="shared" si="1"/>
        <v>The bake factory</v>
      </c>
    </row>
    <row r="530" ht="22.5" customHeight="1">
      <c r="A530" s="14">
        <v>46071.4068443287</v>
      </c>
      <c r="B530" s="15">
        <v>46070.0</v>
      </c>
      <c r="C530" s="16">
        <v>0.625</v>
      </c>
      <c r="D530" s="17" t="s">
        <v>91</v>
      </c>
      <c r="F530" s="17">
        <v>50.0</v>
      </c>
      <c r="G530" s="17">
        <v>400.0</v>
      </c>
      <c r="H530" s="17" t="s">
        <v>113</v>
      </c>
      <c r="J530" s="17" t="s">
        <v>167</v>
      </c>
      <c r="K530" s="17" t="s">
        <v>118</v>
      </c>
      <c r="N530" s="17">
        <v>1.0</v>
      </c>
      <c r="O530" s="17" t="s">
        <v>135</v>
      </c>
      <c r="P530" s="17" t="s">
        <v>76</v>
      </c>
      <c r="Q530" s="17" t="s">
        <v>97</v>
      </c>
      <c r="R530" s="17" t="s">
        <v>98</v>
      </c>
      <c r="S530" s="17" t="s">
        <v>2102</v>
      </c>
      <c r="U530" s="17" t="s">
        <v>2103</v>
      </c>
      <c r="V530" s="17">
        <v>7.33099147E9</v>
      </c>
      <c r="W530" s="17" t="s">
        <v>113</v>
      </c>
      <c r="AA530" s="17" t="s">
        <v>109</v>
      </c>
      <c r="AT530" s="17" t="s">
        <v>2104</v>
      </c>
      <c r="AU530" s="17" t="s">
        <v>76</v>
      </c>
      <c r="AV530" s="17" t="s">
        <v>271</v>
      </c>
      <c r="AZ530" s="17" t="s">
        <v>243</v>
      </c>
      <c r="BA530" s="17" t="s">
        <v>458</v>
      </c>
      <c r="BB530" s="17" t="s">
        <v>76</v>
      </c>
      <c r="BP530" s="17" t="s">
        <v>2105</v>
      </c>
      <c r="BR530" s="24" t="str">
        <f t="shared" si="1"/>
        <v>Mayabazar</v>
      </c>
    </row>
    <row r="531" ht="22.5" customHeight="1">
      <c r="A531" s="14">
        <v>46071.40913236111</v>
      </c>
      <c r="B531" s="15">
        <v>46070.0</v>
      </c>
      <c r="C531" s="16">
        <v>0.5</v>
      </c>
      <c r="U531" s="17" t="s">
        <v>2106</v>
      </c>
      <c r="V531" s="17">
        <v>9.393895558E9</v>
      </c>
      <c r="W531" s="17" t="s">
        <v>113</v>
      </c>
      <c r="AA531" s="17" t="s">
        <v>109</v>
      </c>
      <c r="AT531" s="17" t="s">
        <v>2107</v>
      </c>
      <c r="AU531" s="17" t="s">
        <v>76</v>
      </c>
      <c r="AV531" s="17" t="s">
        <v>472</v>
      </c>
      <c r="AZ531" s="17" t="s">
        <v>243</v>
      </c>
      <c r="BA531" s="17" t="s">
        <v>458</v>
      </c>
      <c r="BB531" s="17" t="s">
        <v>109</v>
      </c>
      <c r="BP531" s="17" t="s">
        <v>2108</v>
      </c>
      <c r="BR531" s="24" t="str">
        <f t="shared" si="1"/>
        <v>Maheswari balaji family dhabha </v>
      </c>
    </row>
    <row r="532" ht="22.5" customHeight="1">
      <c r="A532" s="14">
        <v>46071.41019795139</v>
      </c>
      <c r="B532" s="15">
        <v>46070.0</v>
      </c>
      <c r="C532" s="16">
        <v>0.5416666666642413</v>
      </c>
      <c r="U532" s="17" t="s">
        <v>2109</v>
      </c>
      <c r="V532" s="17">
        <v>9.441469962E9</v>
      </c>
      <c r="W532" s="17" t="s">
        <v>113</v>
      </c>
      <c r="AA532" s="17" t="s">
        <v>109</v>
      </c>
      <c r="AT532" s="17" t="s">
        <v>2107</v>
      </c>
      <c r="AU532" s="17" t="s">
        <v>76</v>
      </c>
      <c r="AV532" s="17" t="s">
        <v>472</v>
      </c>
      <c r="AZ532" s="17" t="s">
        <v>243</v>
      </c>
      <c r="BA532" s="17" t="s">
        <v>458</v>
      </c>
      <c r="BB532" s="17" t="s">
        <v>109</v>
      </c>
      <c r="BP532" s="17" t="s">
        <v>2110</v>
      </c>
      <c r="BR532" s="24" t="str">
        <f t="shared" si="1"/>
        <v>Kings Restaurant and bar </v>
      </c>
    </row>
    <row r="533" ht="22.5" customHeight="1">
      <c r="A533" s="14">
        <v>46071.41231349537</v>
      </c>
      <c r="B533" s="15">
        <v>46070.0</v>
      </c>
      <c r="C533" s="16">
        <v>0.5347222222189885</v>
      </c>
      <c r="D533" s="17" t="s">
        <v>91</v>
      </c>
      <c r="F533" s="17">
        <v>30.0</v>
      </c>
      <c r="G533" s="17">
        <v>150.0</v>
      </c>
      <c r="H533" s="17" t="s">
        <v>117</v>
      </c>
      <c r="J533" s="17" t="s">
        <v>221</v>
      </c>
      <c r="K533" s="17" t="s">
        <v>273</v>
      </c>
      <c r="M533" s="17">
        <v>22.0</v>
      </c>
      <c r="N533" s="17">
        <v>1.0</v>
      </c>
      <c r="O533" s="17" t="s">
        <v>96</v>
      </c>
      <c r="P533" s="17" t="s">
        <v>109</v>
      </c>
      <c r="Q533" s="17" t="s">
        <v>97</v>
      </c>
      <c r="R533" s="17" t="s">
        <v>109</v>
      </c>
      <c r="S533" s="17" t="s">
        <v>117</v>
      </c>
      <c r="U533" s="17" t="s">
        <v>2111</v>
      </c>
      <c r="V533" s="17">
        <v>8.3747595E8</v>
      </c>
      <c r="W533" s="17" t="s">
        <v>888</v>
      </c>
      <c r="AA533" s="17" t="s">
        <v>76</v>
      </c>
      <c r="AB533" s="17">
        <v>2.362503200192E13</v>
      </c>
      <c r="AC533" s="18" t="s">
        <v>2112</v>
      </c>
      <c r="AS533" s="17" t="s">
        <v>76</v>
      </c>
      <c r="AT533" s="17" t="s">
        <v>2113</v>
      </c>
      <c r="AU533" s="17" t="s">
        <v>76</v>
      </c>
      <c r="AV533" s="17" t="s">
        <v>88</v>
      </c>
      <c r="AZ533" s="17" t="s">
        <v>287</v>
      </c>
      <c r="BA533" s="17" t="s">
        <v>458</v>
      </c>
      <c r="BB533" s="17" t="s">
        <v>76</v>
      </c>
      <c r="BM533" s="17" t="s">
        <v>2114</v>
      </c>
      <c r="BP533" s="17" t="s">
        <v>2115</v>
      </c>
      <c r="BR533" s="24" t="str">
        <f t="shared" si="1"/>
        <v>RR Food Court</v>
      </c>
    </row>
    <row r="534" ht="22.5" customHeight="1">
      <c r="A534" s="14">
        <v>46071.41263266203</v>
      </c>
      <c r="B534" s="15">
        <v>46070.0</v>
      </c>
      <c r="C534" s="16">
        <v>0.5833333333357587</v>
      </c>
      <c r="U534" s="17" t="s">
        <v>2116</v>
      </c>
      <c r="V534" s="17">
        <v>9.154819482E9</v>
      </c>
      <c r="W534" s="17" t="s">
        <v>113</v>
      </c>
      <c r="AA534" s="17" t="s">
        <v>109</v>
      </c>
      <c r="AT534" s="17" t="s">
        <v>2117</v>
      </c>
      <c r="AU534" s="17" t="s">
        <v>76</v>
      </c>
      <c r="AV534" s="17" t="s">
        <v>472</v>
      </c>
      <c r="AZ534" s="17" t="s">
        <v>243</v>
      </c>
      <c r="BA534" s="17" t="s">
        <v>458</v>
      </c>
      <c r="BB534" s="17" t="s">
        <v>109</v>
      </c>
      <c r="BP534" s="17" t="s">
        <v>2118</v>
      </c>
      <c r="BR534" s="24" t="str">
        <f t="shared" si="1"/>
        <v>KS Bakers</v>
      </c>
    </row>
    <row r="535" ht="22.5" customHeight="1">
      <c r="A535" s="14">
        <v>46071.41544787037</v>
      </c>
      <c r="B535" s="15">
        <v>46070.0</v>
      </c>
      <c r="C535" s="16">
        <v>0.5416666666642413</v>
      </c>
      <c r="D535" s="17" t="s">
        <v>111</v>
      </c>
      <c r="T535" s="17" t="s">
        <v>2119</v>
      </c>
      <c r="U535" s="17" t="s">
        <v>113</v>
      </c>
      <c r="V535" s="17" t="s">
        <v>113</v>
      </c>
      <c r="W535" s="17" t="s">
        <v>113</v>
      </c>
      <c r="AA535" s="17" t="s">
        <v>109</v>
      </c>
      <c r="AT535" s="17" t="s">
        <v>2120</v>
      </c>
      <c r="AU535" s="17" t="s">
        <v>76</v>
      </c>
      <c r="AV535" s="17" t="s">
        <v>271</v>
      </c>
      <c r="AZ535" s="17" t="s">
        <v>243</v>
      </c>
      <c r="BA535" s="17" t="s">
        <v>458</v>
      </c>
      <c r="BB535" s="17" t="s">
        <v>76</v>
      </c>
      <c r="BP535" s="17" t="s">
        <v>2119</v>
      </c>
      <c r="BR535" s="24" t="str">
        <f t="shared" si="1"/>
        <v>Fb bakersFb bakers</v>
      </c>
    </row>
    <row r="536" ht="22.5" customHeight="1">
      <c r="A536" s="14">
        <v>46071.41652642361</v>
      </c>
      <c r="B536" s="15">
        <v>46070.0</v>
      </c>
      <c r="C536" s="16">
        <v>0.5749999999970896</v>
      </c>
      <c r="D536" s="17" t="s">
        <v>91</v>
      </c>
      <c r="F536" s="17">
        <v>30.0</v>
      </c>
      <c r="G536" s="17">
        <v>250.0</v>
      </c>
      <c r="H536" s="17" t="s">
        <v>117</v>
      </c>
      <c r="J536" s="17" t="s">
        <v>94</v>
      </c>
      <c r="K536" s="17" t="s">
        <v>95</v>
      </c>
      <c r="M536" s="17">
        <v>22.0</v>
      </c>
      <c r="N536" s="17">
        <v>1.0</v>
      </c>
      <c r="O536" s="17" t="s">
        <v>96</v>
      </c>
      <c r="P536" s="17" t="s">
        <v>109</v>
      </c>
      <c r="Q536" s="17" t="s">
        <v>97</v>
      </c>
      <c r="R536" s="17" t="s">
        <v>109</v>
      </c>
      <c r="S536" s="17" t="s">
        <v>117</v>
      </c>
      <c r="U536" s="17" t="s">
        <v>2121</v>
      </c>
      <c r="V536" s="17">
        <v>9.000027744E9</v>
      </c>
      <c r="W536" s="17" t="s">
        <v>113</v>
      </c>
      <c r="AA536" s="17" t="s">
        <v>76</v>
      </c>
      <c r="AB536" s="17">
        <v>2.3621032002292E13</v>
      </c>
      <c r="AC536" s="18" t="s">
        <v>2122</v>
      </c>
      <c r="AG536" s="18" t="s">
        <v>2123</v>
      </c>
      <c r="AK536" s="18" t="s">
        <v>2124</v>
      </c>
      <c r="AS536" s="17" t="s">
        <v>76</v>
      </c>
      <c r="AT536" s="17" t="s">
        <v>181</v>
      </c>
      <c r="AU536" s="17" t="s">
        <v>109</v>
      </c>
      <c r="AZ536" s="17" t="s">
        <v>287</v>
      </c>
      <c r="BA536" s="17" t="s">
        <v>458</v>
      </c>
      <c r="BB536" s="17" t="s">
        <v>76</v>
      </c>
      <c r="BM536" s="17" t="s">
        <v>1088</v>
      </c>
      <c r="BP536" s="17" t="s">
        <v>2125</v>
      </c>
      <c r="BR536" s="24" t="str">
        <f t="shared" si="1"/>
        <v>Tulja Bhavani Hotel</v>
      </c>
    </row>
    <row r="537" ht="22.5" customHeight="1">
      <c r="A537" s="14">
        <v>46071.416938587965</v>
      </c>
      <c r="B537" s="15">
        <v>46070.0</v>
      </c>
      <c r="C537" s="16">
        <v>0.5416666666642413</v>
      </c>
      <c r="D537" s="17" t="s">
        <v>111</v>
      </c>
      <c r="T537" s="17" t="s">
        <v>2126</v>
      </c>
      <c r="U537" s="17" t="s">
        <v>2127</v>
      </c>
      <c r="V537" s="17">
        <v>7.330661433E9</v>
      </c>
      <c r="W537" s="17" t="s">
        <v>113</v>
      </c>
      <c r="AA537" s="17" t="s">
        <v>109</v>
      </c>
      <c r="AT537" s="17" t="s">
        <v>2128</v>
      </c>
      <c r="AU537" s="17" t="s">
        <v>76</v>
      </c>
      <c r="AV537" s="17" t="s">
        <v>271</v>
      </c>
      <c r="AZ537" s="17" t="s">
        <v>243</v>
      </c>
      <c r="BA537" s="17" t="s">
        <v>458</v>
      </c>
      <c r="BB537" s="17" t="s">
        <v>76</v>
      </c>
      <c r="BP537" s="17" t="s">
        <v>2126</v>
      </c>
      <c r="BR537" s="24" t="str">
        <f t="shared" si="1"/>
        <v>Sri subham food court Sri subham food court </v>
      </c>
    </row>
    <row r="538" ht="22.5" customHeight="1">
      <c r="A538" s="14">
        <v>46071.4220394213</v>
      </c>
      <c r="B538" s="15">
        <v>46070.0</v>
      </c>
      <c r="C538" s="16">
        <v>0.5416666666642413</v>
      </c>
      <c r="U538" s="17" t="s">
        <v>113</v>
      </c>
      <c r="V538" s="17">
        <v>9.393895558E9</v>
      </c>
      <c r="W538" s="17" t="s">
        <v>113</v>
      </c>
      <c r="AA538" s="17" t="s">
        <v>109</v>
      </c>
      <c r="AT538" s="17" t="s">
        <v>2129</v>
      </c>
      <c r="AU538" s="17" t="s">
        <v>76</v>
      </c>
      <c r="AV538" s="17" t="s">
        <v>472</v>
      </c>
      <c r="AZ538" s="17" t="s">
        <v>243</v>
      </c>
      <c r="BA538" s="17" t="s">
        <v>458</v>
      </c>
      <c r="BB538" s="17" t="s">
        <v>109</v>
      </c>
      <c r="BP538" s="17" t="s">
        <v>2130</v>
      </c>
      <c r="BR538" s="24" t="str">
        <f t="shared" si="1"/>
        <v>Bichareddy</v>
      </c>
    </row>
    <row r="539" ht="22.5" customHeight="1">
      <c r="A539" s="14">
        <v>46071.4235181713</v>
      </c>
      <c r="B539" s="15">
        <v>46070.0</v>
      </c>
      <c r="C539" s="16">
        <v>0.7291666666642413</v>
      </c>
      <c r="D539" s="17" t="s">
        <v>111</v>
      </c>
      <c r="T539" s="17" t="s">
        <v>2131</v>
      </c>
      <c r="U539" s="17" t="s">
        <v>2132</v>
      </c>
      <c r="V539" s="17">
        <v>9.491064999E9</v>
      </c>
      <c r="W539" s="17" t="s">
        <v>113</v>
      </c>
      <c r="AA539" s="17" t="s">
        <v>109</v>
      </c>
      <c r="AT539" s="17" t="s">
        <v>181</v>
      </c>
      <c r="AU539" s="17" t="s">
        <v>76</v>
      </c>
      <c r="AV539" s="17" t="s">
        <v>88</v>
      </c>
      <c r="AZ539" s="17" t="s">
        <v>243</v>
      </c>
      <c r="BA539" s="17" t="s">
        <v>458</v>
      </c>
      <c r="BB539" s="17" t="s">
        <v>76</v>
      </c>
      <c r="BP539" s="17" t="s">
        <v>2131</v>
      </c>
      <c r="BR539" s="24" t="str">
        <f t="shared" si="1"/>
        <v>Lassi shopLassi shop</v>
      </c>
    </row>
    <row r="540" ht="22.5" customHeight="1">
      <c r="A540" s="14">
        <v>46071.42492493056</v>
      </c>
      <c r="B540" s="15">
        <v>46070.0</v>
      </c>
      <c r="C540" s="16">
        <v>0.5</v>
      </c>
      <c r="U540" s="17" t="s">
        <v>245</v>
      </c>
      <c r="V540" s="17">
        <v>9.08338532E8</v>
      </c>
      <c r="W540" s="17" t="s">
        <v>113</v>
      </c>
      <c r="AA540" s="17" t="s">
        <v>109</v>
      </c>
      <c r="AT540" s="17" t="s">
        <v>2133</v>
      </c>
      <c r="AU540" s="17" t="s">
        <v>76</v>
      </c>
      <c r="AV540" s="17" t="s">
        <v>472</v>
      </c>
      <c r="AZ540" s="17" t="s">
        <v>243</v>
      </c>
      <c r="BA540" s="17" t="s">
        <v>458</v>
      </c>
      <c r="BB540" s="17" t="s">
        <v>109</v>
      </c>
      <c r="BP540" s="17" t="s">
        <v>2134</v>
      </c>
      <c r="BR540" s="24" t="str">
        <f t="shared" si="1"/>
        <v>Peni icecandy</v>
      </c>
    </row>
    <row r="541" ht="22.5" customHeight="1">
      <c r="A541" s="14">
        <v>46071.42681512731</v>
      </c>
      <c r="B541" s="15">
        <v>46070.0</v>
      </c>
      <c r="C541" s="16">
        <v>0.625</v>
      </c>
      <c r="D541" s="17" t="s">
        <v>91</v>
      </c>
      <c r="F541" s="17">
        <v>15.0</v>
      </c>
      <c r="G541" s="17">
        <v>300.0</v>
      </c>
      <c r="H541" s="17" t="s">
        <v>113</v>
      </c>
      <c r="J541" s="17" t="s">
        <v>94</v>
      </c>
      <c r="K541" s="17" t="s">
        <v>134</v>
      </c>
      <c r="N541" s="17">
        <v>5.0</v>
      </c>
      <c r="O541" s="17" t="s">
        <v>135</v>
      </c>
      <c r="P541" s="17" t="s">
        <v>76</v>
      </c>
      <c r="Q541" s="17" t="s">
        <v>97</v>
      </c>
      <c r="R541" s="17" t="s">
        <v>98</v>
      </c>
      <c r="S541" s="17" t="s">
        <v>2135</v>
      </c>
      <c r="U541" s="17" t="s">
        <v>2136</v>
      </c>
      <c r="V541" s="17">
        <v>9.66666921E9</v>
      </c>
      <c r="W541" s="17" t="s">
        <v>113</v>
      </c>
      <c r="AA541" s="17" t="s">
        <v>109</v>
      </c>
      <c r="AT541" s="17" t="s">
        <v>2137</v>
      </c>
      <c r="AU541" s="17" t="s">
        <v>76</v>
      </c>
      <c r="AV541" s="17" t="s">
        <v>472</v>
      </c>
      <c r="AZ541" s="17" t="s">
        <v>243</v>
      </c>
      <c r="BA541" s="17" t="s">
        <v>458</v>
      </c>
      <c r="BB541" s="17" t="s">
        <v>76</v>
      </c>
      <c r="BP541" s="17" t="s">
        <v>2138</v>
      </c>
      <c r="BR541" s="24" t="str">
        <f t="shared" si="1"/>
        <v>Just bake</v>
      </c>
    </row>
    <row r="542" ht="22.5" customHeight="1">
      <c r="A542" s="14">
        <v>46071.42816173611</v>
      </c>
      <c r="B542" s="15">
        <v>46070.0</v>
      </c>
      <c r="C542" s="16">
        <v>0.5208333333357587</v>
      </c>
      <c r="U542" s="17" t="s">
        <v>2111</v>
      </c>
      <c r="V542" s="17">
        <v>9.553399599E9</v>
      </c>
      <c r="W542" s="17" t="s">
        <v>113</v>
      </c>
      <c r="AA542" s="17" t="s">
        <v>109</v>
      </c>
      <c r="AT542" s="17" t="s">
        <v>2139</v>
      </c>
      <c r="AU542" s="17" t="s">
        <v>76</v>
      </c>
      <c r="AV542" s="17" t="s">
        <v>271</v>
      </c>
      <c r="AZ542" s="17" t="s">
        <v>243</v>
      </c>
      <c r="BA542" s="17" t="s">
        <v>458</v>
      </c>
      <c r="BB542" s="17" t="s">
        <v>109</v>
      </c>
      <c r="BP542" s="17" t="s">
        <v>2140</v>
      </c>
      <c r="BR542" s="24" t="str">
        <f t="shared" si="1"/>
        <v>Sandwichsquare </v>
      </c>
    </row>
    <row r="543" ht="22.5" customHeight="1">
      <c r="A543" s="14">
        <v>46071.42928549768</v>
      </c>
      <c r="B543" s="15">
        <v>46070.0</v>
      </c>
      <c r="C543" s="16">
        <v>0.53125</v>
      </c>
      <c r="U543" s="17" t="s">
        <v>2141</v>
      </c>
      <c r="V543" s="17">
        <v>8.858725032E9</v>
      </c>
      <c r="W543" s="17" t="s">
        <v>113</v>
      </c>
      <c r="AA543" s="17" t="s">
        <v>109</v>
      </c>
      <c r="AT543" s="17" t="s">
        <v>2142</v>
      </c>
      <c r="AU543" s="17" t="s">
        <v>76</v>
      </c>
      <c r="AV543" s="17" t="s">
        <v>472</v>
      </c>
      <c r="AZ543" s="17" t="s">
        <v>243</v>
      </c>
      <c r="BA543" s="17" t="s">
        <v>458</v>
      </c>
      <c r="BB543" s="17" t="s">
        <v>109</v>
      </c>
      <c r="BP543" s="17" t="s">
        <v>2143</v>
      </c>
      <c r="BR543" s="24" t="str">
        <f t="shared" si="1"/>
        <v>Mojo Pizza</v>
      </c>
    </row>
    <row r="544" ht="22.5" customHeight="1">
      <c r="A544" s="14">
        <v>46071.43200398148</v>
      </c>
      <c r="B544" s="15">
        <v>46070.0</v>
      </c>
      <c r="C544" s="16">
        <v>0.625</v>
      </c>
      <c r="U544" s="17" t="s">
        <v>113</v>
      </c>
      <c r="V544" s="17" t="s">
        <v>113</v>
      </c>
      <c r="W544" s="17" t="s">
        <v>113</v>
      </c>
      <c r="AA544" s="17" t="s">
        <v>109</v>
      </c>
      <c r="AT544" s="17" t="s">
        <v>2144</v>
      </c>
      <c r="AU544" s="17" t="s">
        <v>76</v>
      </c>
      <c r="AV544" s="17" t="s">
        <v>472</v>
      </c>
      <c r="AZ544" s="17" t="s">
        <v>243</v>
      </c>
      <c r="BA544" s="17" t="s">
        <v>458</v>
      </c>
      <c r="BB544" s="17" t="s">
        <v>109</v>
      </c>
      <c r="BP544" s="17" t="s">
        <v>2145</v>
      </c>
      <c r="BR544" s="24" t="str">
        <f t="shared" si="1"/>
        <v>Authenetic kunda biryanis</v>
      </c>
    </row>
    <row r="545" ht="22.5" customHeight="1">
      <c r="A545" s="14">
        <v>46071.433817893514</v>
      </c>
      <c r="B545" s="15">
        <v>46070.0</v>
      </c>
      <c r="C545" s="16">
        <v>0.5625</v>
      </c>
      <c r="D545" s="17" t="s">
        <v>111</v>
      </c>
      <c r="T545" s="17" t="s">
        <v>2146</v>
      </c>
      <c r="U545" s="17" t="s">
        <v>2147</v>
      </c>
      <c r="V545" s="17">
        <v>8.977945506E9</v>
      </c>
      <c r="W545" s="17" t="s">
        <v>113</v>
      </c>
      <c r="AA545" s="17" t="s">
        <v>109</v>
      </c>
      <c r="AT545" s="17" t="s">
        <v>181</v>
      </c>
      <c r="AU545" s="17" t="s">
        <v>76</v>
      </c>
      <c r="AV545" s="17" t="s">
        <v>88</v>
      </c>
      <c r="AZ545" s="17" t="s">
        <v>243</v>
      </c>
      <c r="BA545" s="17" t="s">
        <v>458</v>
      </c>
      <c r="BB545" s="17" t="s">
        <v>76</v>
      </c>
      <c r="BP545" s="17" t="s">
        <v>2146</v>
      </c>
      <c r="BR545" s="24" t="str">
        <f t="shared" si="1"/>
        <v>Times food courttTimes food courtt</v>
      </c>
    </row>
    <row r="546" ht="22.5" customHeight="1">
      <c r="A546" s="14">
        <v>46071.43499164352</v>
      </c>
      <c r="B546" s="15">
        <v>46070.0</v>
      </c>
      <c r="C546" s="16">
        <v>0.6666666666642413</v>
      </c>
      <c r="U546" s="17" t="s">
        <v>113</v>
      </c>
      <c r="V546" s="17" t="s">
        <v>113</v>
      </c>
      <c r="W546" s="17" t="s">
        <v>113</v>
      </c>
      <c r="AA546" s="17" t="s">
        <v>109</v>
      </c>
      <c r="AT546" s="17" t="s">
        <v>2148</v>
      </c>
      <c r="AU546" s="17" t="s">
        <v>76</v>
      </c>
      <c r="AV546" s="17" t="s">
        <v>472</v>
      </c>
      <c r="AZ546" s="17" t="s">
        <v>243</v>
      </c>
      <c r="BA546" s="17" t="s">
        <v>458</v>
      </c>
      <c r="BB546" s="17" t="s">
        <v>109</v>
      </c>
      <c r="BP546" s="17" t="s">
        <v>2149</v>
      </c>
      <c r="BR546" s="24" t="str">
        <f t="shared" si="1"/>
        <v>Vrindhavan kitchen</v>
      </c>
    </row>
    <row r="547" ht="22.5" customHeight="1">
      <c r="A547" s="14">
        <v>46071.436670509254</v>
      </c>
      <c r="B547" s="15">
        <v>46070.0</v>
      </c>
      <c r="C547" s="16">
        <v>0.6666666666642413</v>
      </c>
      <c r="D547" s="17" t="s">
        <v>111</v>
      </c>
      <c r="T547" s="17" t="s">
        <v>2150</v>
      </c>
      <c r="U547" s="17" t="s">
        <v>1868</v>
      </c>
      <c r="V547" s="17">
        <v>9.000360723E9</v>
      </c>
      <c r="W547" s="17" t="s">
        <v>113</v>
      </c>
      <c r="AA547" s="17" t="s">
        <v>109</v>
      </c>
      <c r="AT547" s="17" t="s">
        <v>2151</v>
      </c>
      <c r="AU547" s="17" t="s">
        <v>76</v>
      </c>
      <c r="AV547" s="17" t="s">
        <v>271</v>
      </c>
      <c r="AZ547" s="17" t="s">
        <v>243</v>
      </c>
      <c r="BA547" s="17" t="s">
        <v>458</v>
      </c>
      <c r="BB547" s="17" t="s">
        <v>76</v>
      </c>
      <c r="BP547" s="17" t="s">
        <v>2150</v>
      </c>
      <c r="BR547" s="24" t="str">
        <f t="shared" si="1"/>
        <v>Kulcha kulchaKulcha kulcha</v>
      </c>
    </row>
    <row r="548" ht="22.5" customHeight="1">
      <c r="A548" s="14">
        <v>46071.437867395834</v>
      </c>
      <c r="B548" s="15">
        <v>46070.0</v>
      </c>
      <c r="C548" s="16">
        <v>0.6875</v>
      </c>
      <c r="U548" s="17" t="s">
        <v>1868</v>
      </c>
      <c r="V548" s="17">
        <v>9.000360723E9</v>
      </c>
      <c r="W548" s="17" t="s">
        <v>113</v>
      </c>
      <c r="AA548" s="17" t="s">
        <v>109</v>
      </c>
      <c r="AT548" s="17" t="s">
        <v>2152</v>
      </c>
      <c r="AU548" s="17" t="s">
        <v>76</v>
      </c>
      <c r="AV548" s="17" t="s">
        <v>271</v>
      </c>
      <c r="AZ548" s="17" t="s">
        <v>243</v>
      </c>
      <c r="BA548" s="17" t="s">
        <v>458</v>
      </c>
      <c r="BB548" s="17" t="s">
        <v>109</v>
      </c>
      <c r="BP548" s="17" t="s">
        <v>2153</v>
      </c>
      <c r="BR548" s="24" t="str">
        <f t="shared" si="1"/>
        <v>The red box</v>
      </c>
    </row>
    <row r="549" ht="22.5" customHeight="1">
      <c r="A549" s="14">
        <v>46071.4390434838</v>
      </c>
      <c r="B549" s="15">
        <v>46070.0</v>
      </c>
      <c r="C549" s="16">
        <v>0.6666666666642413</v>
      </c>
      <c r="U549" s="17" t="s">
        <v>2154</v>
      </c>
      <c r="V549" s="17">
        <v>9.233549583E9</v>
      </c>
      <c r="W549" s="17" t="s">
        <v>113</v>
      </c>
      <c r="AA549" s="17" t="s">
        <v>109</v>
      </c>
      <c r="AT549" s="17" t="s">
        <v>2107</v>
      </c>
      <c r="AU549" s="17" t="s">
        <v>76</v>
      </c>
      <c r="AV549" s="17" t="s">
        <v>472</v>
      </c>
      <c r="AZ549" s="17" t="s">
        <v>243</v>
      </c>
      <c r="BA549" s="17" t="s">
        <v>458</v>
      </c>
      <c r="BB549" s="17" t="s">
        <v>109</v>
      </c>
      <c r="BP549" s="17" t="s">
        <v>2155</v>
      </c>
      <c r="BR549" s="24" t="str">
        <f t="shared" si="1"/>
        <v>Claysutra pottery</v>
      </c>
    </row>
    <row r="550" ht="22.5" customHeight="1">
      <c r="A550" s="14">
        <v>46071.44007063657</v>
      </c>
      <c r="B550" s="15">
        <v>46070.0</v>
      </c>
      <c r="C550" s="16">
        <v>0.6666666666642413</v>
      </c>
      <c r="U550" s="17" t="s">
        <v>2156</v>
      </c>
      <c r="V550" s="17">
        <v>8.106842929E9</v>
      </c>
      <c r="W550" s="17" t="s">
        <v>113</v>
      </c>
      <c r="AA550" s="17" t="s">
        <v>109</v>
      </c>
      <c r="AT550" s="17" t="s">
        <v>2157</v>
      </c>
      <c r="AU550" s="17" t="s">
        <v>76</v>
      </c>
      <c r="AV550" s="17" t="s">
        <v>472</v>
      </c>
      <c r="AZ550" s="17" t="s">
        <v>243</v>
      </c>
      <c r="BA550" s="17" t="s">
        <v>458</v>
      </c>
      <c r="BB550" s="17" t="s">
        <v>109</v>
      </c>
      <c r="BP550" s="17" t="s">
        <v>2158</v>
      </c>
      <c r="BR550" s="24" t="str">
        <f t="shared" si="1"/>
        <v>Livora cafe nd kitchen</v>
      </c>
    </row>
    <row r="551" ht="22.5" customHeight="1">
      <c r="A551" s="14">
        <v>46071.441258437495</v>
      </c>
      <c r="B551" s="15">
        <v>46070.0</v>
      </c>
      <c r="C551" s="16">
        <v>0.7083333333357587</v>
      </c>
      <c r="D551" s="17" t="s">
        <v>111</v>
      </c>
      <c r="T551" s="17" t="s">
        <v>2159</v>
      </c>
      <c r="U551" s="17" t="s">
        <v>245</v>
      </c>
      <c r="V551" s="17" t="s">
        <v>2088</v>
      </c>
      <c r="W551" s="17" t="s">
        <v>113</v>
      </c>
      <c r="AA551" s="17" t="s">
        <v>109</v>
      </c>
      <c r="AT551" s="17" t="s">
        <v>2160</v>
      </c>
      <c r="AU551" s="17" t="s">
        <v>76</v>
      </c>
      <c r="AV551" s="17" t="s">
        <v>271</v>
      </c>
      <c r="AZ551" s="17" t="s">
        <v>243</v>
      </c>
      <c r="BA551" s="17" t="s">
        <v>458</v>
      </c>
      <c r="BB551" s="17" t="s">
        <v>76</v>
      </c>
      <c r="BP551" s="17" t="s">
        <v>2159</v>
      </c>
      <c r="BR551" s="24" t="str">
        <f t="shared" si="1"/>
        <v>Southern fusionSouthern fusion</v>
      </c>
    </row>
    <row r="552" ht="22.5" customHeight="1">
      <c r="A552" s="14">
        <v>46071.442211284724</v>
      </c>
      <c r="B552" s="15">
        <v>46070.0</v>
      </c>
      <c r="C552" s="16">
        <v>0.7152777777810115</v>
      </c>
      <c r="D552" s="17" t="s">
        <v>111</v>
      </c>
      <c r="T552" s="17" t="s">
        <v>2161</v>
      </c>
      <c r="U552" s="17" t="s">
        <v>113</v>
      </c>
      <c r="V552" s="17" t="s">
        <v>2162</v>
      </c>
      <c r="W552" s="17" t="s">
        <v>113</v>
      </c>
      <c r="AA552" s="17" t="s">
        <v>109</v>
      </c>
      <c r="AT552" s="17" t="s">
        <v>2163</v>
      </c>
      <c r="AU552" s="17" t="s">
        <v>76</v>
      </c>
      <c r="AV552" s="17" t="s">
        <v>88</v>
      </c>
      <c r="AZ552" s="17" t="s">
        <v>243</v>
      </c>
      <c r="BA552" s="17" t="s">
        <v>458</v>
      </c>
      <c r="BB552" s="17" t="s">
        <v>76</v>
      </c>
      <c r="BP552" s="17" t="s">
        <v>2161</v>
      </c>
      <c r="BR552" s="24" t="str">
        <f t="shared" si="1"/>
        <v>IFC INDIAN FAV CHEFIFC INDIAN FAV CHEF</v>
      </c>
    </row>
    <row r="553" ht="22.5" customHeight="1">
      <c r="A553" s="14">
        <v>46071.45669204861</v>
      </c>
      <c r="B553" s="15">
        <v>46066.0</v>
      </c>
      <c r="C553" s="16">
        <v>0.04166666666424135</v>
      </c>
      <c r="U553" s="17" t="s">
        <v>2164</v>
      </c>
      <c r="V553" s="17">
        <v>9.493989362E9</v>
      </c>
      <c r="W553" s="17" t="s">
        <v>2165</v>
      </c>
      <c r="AA553" s="17" t="s">
        <v>76</v>
      </c>
      <c r="AB553" s="17">
        <v>2.3625030000684E13</v>
      </c>
      <c r="AC553" s="18" t="s">
        <v>2166</v>
      </c>
      <c r="AL553" s="17" t="s">
        <v>2167</v>
      </c>
      <c r="AM553" s="17" t="s">
        <v>2168</v>
      </c>
      <c r="AN553" s="17" t="s">
        <v>2169</v>
      </c>
      <c r="AO553" s="17" t="s">
        <v>2170</v>
      </c>
      <c r="AS553" s="17" t="s">
        <v>76</v>
      </c>
      <c r="AT553" s="17" t="s">
        <v>388</v>
      </c>
      <c r="AU553" s="17" t="s">
        <v>109</v>
      </c>
      <c r="AZ553" s="17" t="s">
        <v>151</v>
      </c>
      <c r="BA553" s="17" t="s">
        <v>458</v>
      </c>
      <c r="BB553" s="17" t="s">
        <v>109</v>
      </c>
      <c r="BH553" s="17">
        <v>17.0</v>
      </c>
      <c r="BJ553" s="16">
        <v>0.5</v>
      </c>
      <c r="BK553" s="16">
        <v>0.0</v>
      </c>
      <c r="BM553" s="17" t="s">
        <v>2171</v>
      </c>
      <c r="BP553" s="17" t="s">
        <v>1496</v>
      </c>
      <c r="BR553" s="24" t="str">
        <f t="shared" si="1"/>
        <v>Bulli abbai kodi palau</v>
      </c>
    </row>
    <row r="554" ht="22.5" customHeight="1">
      <c r="A554" s="14">
        <v>46071.46057368055</v>
      </c>
      <c r="B554" s="15">
        <v>46067.0</v>
      </c>
      <c r="C554" s="16">
        <v>0.577777777776646</v>
      </c>
      <c r="D554" s="17" t="s">
        <v>111</v>
      </c>
      <c r="T554" s="17" t="s">
        <v>388</v>
      </c>
      <c r="U554" s="17" t="s">
        <v>2172</v>
      </c>
      <c r="V554" s="17">
        <v>9.700553599E9</v>
      </c>
      <c r="W554" s="17" t="s">
        <v>2173</v>
      </c>
      <c r="AA554" s="17" t="s">
        <v>76</v>
      </c>
      <c r="AB554" s="17">
        <v>2.3625030005784E13</v>
      </c>
      <c r="AC554" s="18" t="s">
        <v>2174</v>
      </c>
      <c r="AL554" s="17" t="s">
        <v>2175</v>
      </c>
      <c r="AM554" s="17" t="s">
        <v>2176</v>
      </c>
      <c r="AN554" s="17" t="s">
        <v>2177</v>
      </c>
      <c r="AS554" s="17" t="s">
        <v>76</v>
      </c>
      <c r="AT554" s="17" t="s">
        <v>388</v>
      </c>
      <c r="AU554" s="17" t="s">
        <v>109</v>
      </c>
      <c r="AZ554" s="17" t="s">
        <v>151</v>
      </c>
      <c r="BA554" s="17" t="s">
        <v>458</v>
      </c>
      <c r="BB554" s="17" t="s">
        <v>76</v>
      </c>
      <c r="BH554" s="17">
        <v>18.0</v>
      </c>
      <c r="BI554" s="17" t="s">
        <v>76</v>
      </c>
      <c r="BJ554" s="16">
        <v>0.45833333333575865</v>
      </c>
      <c r="BK554" s="16">
        <v>0.4444444444452529</v>
      </c>
      <c r="BM554" s="17" t="s">
        <v>2178</v>
      </c>
      <c r="BP554" s="17" t="s">
        <v>2179</v>
      </c>
      <c r="BR554" s="24" t="str">
        <f t="shared" si="1"/>
        <v>Brands of Bhimavaram (bob)Na</v>
      </c>
    </row>
    <row r="555" ht="22.5" customHeight="1">
      <c r="A555" s="14">
        <v>46071.464103935185</v>
      </c>
      <c r="B555" s="15">
        <v>46067.0</v>
      </c>
      <c r="C555" s="16">
        <v>0.5763888888905058</v>
      </c>
      <c r="D555" s="17" t="s">
        <v>111</v>
      </c>
      <c r="T555" s="17" t="s">
        <v>388</v>
      </c>
      <c r="U555" s="17" t="s">
        <v>414</v>
      </c>
      <c r="V555" s="17" t="s">
        <v>2180</v>
      </c>
      <c r="W555" s="17" t="s">
        <v>2181</v>
      </c>
      <c r="AA555" s="17" t="s">
        <v>76</v>
      </c>
      <c r="AL555" s="17" t="s">
        <v>2182</v>
      </c>
      <c r="AM555" s="17" t="s">
        <v>2183</v>
      </c>
      <c r="AN555" s="17" t="s">
        <v>2184</v>
      </c>
      <c r="AS555" s="17" t="s">
        <v>76</v>
      </c>
      <c r="AT555" s="17" t="s">
        <v>388</v>
      </c>
      <c r="AU555" s="17" t="s">
        <v>109</v>
      </c>
      <c r="AZ555" s="17" t="s">
        <v>151</v>
      </c>
      <c r="BA555" s="17" t="s">
        <v>458</v>
      </c>
      <c r="BB555" s="17" t="s">
        <v>76</v>
      </c>
      <c r="BH555" s="21">
        <v>0.15</v>
      </c>
      <c r="BJ555" s="16">
        <v>0.29166666666424135</v>
      </c>
      <c r="BK555" s="16">
        <v>0.9993055555532919</v>
      </c>
      <c r="BM555" s="17" t="s">
        <v>2185</v>
      </c>
      <c r="BP555" s="17" t="s">
        <v>2186</v>
      </c>
      <c r="BR555" s="24" t="str">
        <f t="shared" si="1"/>
        <v>Ahara KitchensNa</v>
      </c>
    </row>
    <row r="556" ht="22.5" customHeight="1">
      <c r="A556" s="14">
        <v>46071.48431452546</v>
      </c>
      <c r="B556" s="15">
        <v>46071.0</v>
      </c>
      <c r="C556" s="16">
        <v>0.4798611111109494</v>
      </c>
      <c r="D556" s="17" t="s">
        <v>91</v>
      </c>
      <c r="F556" s="17">
        <v>120.0</v>
      </c>
      <c r="G556" s="17">
        <v>1200.0</v>
      </c>
      <c r="H556" s="17" t="s">
        <v>2187</v>
      </c>
      <c r="I556" s="17">
        <v>100000.0</v>
      </c>
      <c r="J556" s="17" t="s">
        <v>167</v>
      </c>
      <c r="K556" s="17" t="s">
        <v>134</v>
      </c>
      <c r="N556" s="17">
        <v>4.0</v>
      </c>
      <c r="O556" s="17" t="s">
        <v>371</v>
      </c>
      <c r="P556" s="17" t="s">
        <v>76</v>
      </c>
      <c r="Q556" s="17" t="s">
        <v>97</v>
      </c>
      <c r="R556" s="17" t="s">
        <v>76</v>
      </c>
      <c r="S556" s="18" t="s">
        <v>2188</v>
      </c>
      <c r="T556" s="17" t="s">
        <v>2189</v>
      </c>
      <c r="U556" s="17" t="s">
        <v>2190</v>
      </c>
      <c r="V556" s="17" t="s">
        <v>2191</v>
      </c>
      <c r="W556" s="17" t="s">
        <v>2192</v>
      </c>
      <c r="AA556" s="17" t="s">
        <v>109</v>
      </c>
      <c r="AT556" s="17" t="s">
        <v>1735</v>
      </c>
      <c r="AU556" s="17" t="s">
        <v>76</v>
      </c>
      <c r="AV556" s="17" t="s">
        <v>472</v>
      </c>
      <c r="AZ556" s="17" t="s">
        <v>1607</v>
      </c>
      <c r="BA556" s="17" t="s">
        <v>458</v>
      </c>
      <c r="BB556" s="17" t="s">
        <v>76</v>
      </c>
      <c r="BL556" s="17">
        <v>85.0</v>
      </c>
      <c r="BN556" s="17" t="s">
        <v>2193</v>
      </c>
      <c r="BP556" s="17" t="s">
        <v>2193</v>
      </c>
      <c r="BR556" s="24" t="str">
        <f t="shared" si="1"/>
        <v>Le Meridien HyderabadLe Meridian</v>
      </c>
    </row>
    <row r="557" ht="22.5" customHeight="1">
      <c r="A557" s="14">
        <v>46071.501042118056</v>
      </c>
      <c r="B557" s="15">
        <v>46071.0</v>
      </c>
      <c r="C557" s="16">
        <v>0.48263888889050577</v>
      </c>
      <c r="D557" s="17" t="s">
        <v>111</v>
      </c>
      <c r="T557" s="17" t="s">
        <v>2046</v>
      </c>
      <c r="U557" s="17" t="s">
        <v>2047</v>
      </c>
      <c r="V557" s="17" t="s">
        <v>2194</v>
      </c>
      <c r="W557" s="17" t="s">
        <v>2195</v>
      </c>
      <c r="AA557" s="17" t="s">
        <v>109</v>
      </c>
      <c r="AT557" s="17" t="s">
        <v>2196</v>
      </c>
      <c r="AU557" s="17" t="s">
        <v>76</v>
      </c>
      <c r="AV557" s="17" t="s">
        <v>373</v>
      </c>
      <c r="AZ557" s="17" t="s">
        <v>1607</v>
      </c>
      <c r="BA557" s="17" t="s">
        <v>491</v>
      </c>
      <c r="BP557" s="17" t="s">
        <v>2046</v>
      </c>
      <c r="BR557" s="24" t="str">
        <f t="shared" si="1"/>
        <v>Karachi BakeryKarachi Bakery</v>
      </c>
    </row>
    <row r="558" ht="22.5" customHeight="1">
      <c r="A558" s="14">
        <v>46071.55522238426</v>
      </c>
      <c r="B558" s="15">
        <v>46071.0</v>
      </c>
      <c r="C558" s="16">
        <v>0.5534722222218988</v>
      </c>
      <c r="D558" s="17" t="s">
        <v>111</v>
      </c>
      <c r="T558" s="17" t="s">
        <v>1601</v>
      </c>
      <c r="U558" s="17" t="s">
        <v>1604</v>
      </c>
      <c r="V558" s="17" t="s">
        <v>1605</v>
      </c>
      <c r="W558" s="17" t="s">
        <v>2197</v>
      </c>
      <c r="AA558" s="17" t="s">
        <v>109</v>
      </c>
      <c r="AT558" s="17" t="s">
        <v>2198</v>
      </c>
      <c r="AU558" s="17" t="s">
        <v>76</v>
      </c>
      <c r="AV558" s="17" t="s">
        <v>472</v>
      </c>
      <c r="AW558" s="17" t="s">
        <v>2199</v>
      </c>
      <c r="AZ558" s="17" t="s">
        <v>1607</v>
      </c>
      <c r="BA558" s="17" t="s">
        <v>491</v>
      </c>
      <c r="BP558" s="17" t="s">
        <v>1601</v>
      </c>
      <c r="BR558" s="24" t="str">
        <f t="shared" si="1"/>
        <v>Burger KingBurger King</v>
      </c>
    </row>
    <row r="559" ht="22.5" customHeight="1">
      <c r="A559" s="14">
        <v>46071.64045814815</v>
      </c>
      <c r="B559" s="15">
        <v>46071.0</v>
      </c>
      <c r="C559" s="16">
        <v>0.625</v>
      </c>
      <c r="D559" s="17" t="s">
        <v>91</v>
      </c>
      <c r="F559" s="17">
        <v>10.0</v>
      </c>
      <c r="G559" s="17">
        <v>350.0</v>
      </c>
      <c r="H559" s="17" t="s">
        <v>117</v>
      </c>
      <c r="J559" s="17" t="s">
        <v>94</v>
      </c>
      <c r="K559" s="17" t="s">
        <v>134</v>
      </c>
      <c r="N559" s="17">
        <v>1.0</v>
      </c>
      <c r="O559" s="17" t="s">
        <v>96</v>
      </c>
      <c r="P559" s="17" t="s">
        <v>76</v>
      </c>
      <c r="Q559" s="17" t="s">
        <v>97</v>
      </c>
      <c r="R559" s="17" t="s">
        <v>76</v>
      </c>
      <c r="S559" s="18" t="s">
        <v>2200</v>
      </c>
      <c r="T559" s="17" t="s">
        <v>2201</v>
      </c>
      <c r="U559" s="17" t="s">
        <v>2202</v>
      </c>
      <c r="V559" s="17">
        <v>7.416022022E9</v>
      </c>
      <c r="W559" s="17" t="s">
        <v>2203</v>
      </c>
      <c r="AA559" s="17" t="s">
        <v>109</v>
      </c>
      <c r="AT559" s="17" t="s">
        <v>1606</v>
      </c>
      <c r="AU559" s="17" t="s">
        <v>76</v>
      </c>
      <c r="AV559" s="17" t="s">
        <v>472</v>
      </c>
      <c r="AW559" s="17" t="s">
        <v>2204</v>
      </c>
      <c r="AZ559" s="17" t="s">
        <v>1607</v>
      </c>
      <c r="BA559" s="17" t="s">
        <v>458</v>
      </c>
      <c r="BB559" s="17" t="s">
        <v>76</v>
      </c>
      <c r="BN559" s="17" t="s">
        <v>2201</v>
      </c>
      <c r="BP559" s="17" t="s">
        <v>2201</v>
      </c>
      <c r="BR559" s="24" t="str">
        <f t="shared" si="1"/>
        <v>Sweets DudeSweets Dude</v>
      </c>
    </row>
    <row r="560" ht="22.5" customHeight="1">
      <c r="A560" s="14">
        <v>46071.64873439815</v>
      </c>
      <c r="B560" s="15">
        <v>46071.0</v>
      </c>
      <c r="C560" s="16">
        <v>0.6423611111094942</v>
      </c>
      <c r="D560" s="17" t="s">
        <v>91</v>
      </c>
      <c r="F560" s="17">
        <v>200.0</v>
      </c>
      <c r="G560" s="17">
        <v>3000.0</v>
      </c>
      <c r="H560" s="17" t="s">
        <v>2187</v>
      </c>
      <c r="J560" s="17" t="s">
        <v>167</v>
      </c>
      <c r="K560" s="17" t="s">
        <v>134</v>
      </c>
      <c r="N560" s="17">
        <v>1.0</v>
      </c>
      <c r="O560" s="17" t="s">
        <v>371</v>
      </c>
      <c r="P560" s="17" t="s">
        <v>76</v>
      </c>
      <c r="Q560" s="17" t="s">
        <v>97</v>
      </c>
      <c r="R560" s="17" t="s">
        <v>76</v>
      </c>
      <c r="S560" s="17" t="s">
        <v>2014</v>
      </c>
      <c r="T560" s="17" t="s">
        <v>2205</v>
      </c>
      <c r="U560" s="17" t="s">
        <v>2206</v>
      </c>
      <c r="V560" s="17" t="s">
        <v>2207</v>
      </c>
      <c r="W560" s="17" t="s">
        <v>2208</v>
      </c>
      <c r="AA560" s="17" t="s">
        <v>109</v>
      </c>
      <c r="AT560" s="17" t="s">
        <v>1606</v>
      </c>
      <c r="AU560" s="17" t="s">
        <v>76</v>
      </c>
      <c r="AV560" s="17" t="s">
        <v>472</v>
      </c>
      <c r="AW560" s="17" t="s">
        <v>2204</v>
      </c>
      <c r="AZ560" s="17" t="s">
        <v>1607</v>
      </c>
      <c r="BA560" s="17" t="s">
        <v>458</v>
      </c>
      <c r="BB560" s="17" t="s">
        <v>76</v>
      </c>
      <c r="BN560" s="17" t="s">
        <v>2209</v>
      </c>
      <c r="BP560" s="17" t="s">
        <v>2209</v>
      </c>
      <c r="BR560" s="24" t="str">
        <f t="shared" si="1"/>
        <v>ACCORAccor</v>
      </c>
    </row>
    <row r="561" ht="22.5" customHeight="1">
      <c r="A561" s="14">
        <v>46071.65198525463</v>
      </c>
      <c r="B561" s="15">
        <v>46071.0</v>
      </c>
      <c r="C561" s="16">
        <v>0.6493055555547471</v>
      </c>
      <c r="D561" s="17" t="s">
        <v>111</v>
      </c>
      <c r="T561" s="17" t="s">
        <v>2019</v>
      </c>
      <c r="U561" s="17" t="s">
        <v>2210</v>
      </c>
      <c r="V561" s="17">
        <v>9.967535945E9</v>
      </c>
      <c r="W561" s="17" t="s">
        <v>2211</v>
      </c>
      <c r="AA561" s="17" t="s">
        <v>109</v>
      </c>
      <c r="AT561" s="17" t="s">
        <v>2212</v>
      </c>
      <c r="AU561" s="17" t="s">
        <v>76</v>
      </c>
      <c r="AV561" s="17" t="s">
        <v>2213</v>
      </c>
      <c r="AZ561" s="17" t="s">
        <v>1607</v>
      </c>
      <c r="BA561" s="17" t="s">
        <v>491</v>
      </c>
      <c r="BP561" s="17" t="s">
        <v>2019</v>
      </c>
      <c r="BR561" s="24" t="str">
        <f t="shared" si="1"/>
        <v>Almond HouseAlmond House</v>
      </c>
    </row>
    <row r="562" ht="22.5" customHeight="1">
      <c r="A562" s="14">
        <v>46071.66584081019</v>
      </c>
      <c r="B562" s="15">
        <v>46067.0</v>
      </c>
      <c r="C562" s="16">
        <v>0.47916666666424135</v>
      </c>
      <c r="D562" s="17" t="s">
        <v>91</v>
      </c>
      <c r="F562" s="17">
        <v>50.0</v>
      </c>
      <c r="G562" s="17">
        <v>200.0</v>
      </c>
      <c r="H562" s="17" t="s">
        <v>388</v>
      </c>
      <c r="I562" s="17">
        <v>50000.0</v>
      </c>
      <c r="J562" s="17" t="s">
        <v>221</v>
      </c>
      <c r="N562" s="17">
        <v>1.0</v>
      </c>
      <c r="O562" s="17" t="s">
        <v>96</v>
      </c>
      <c r="P562" s="17" t="s">
        <v>76</v>
      </c>
      <c r="Q562" s="17" t="s">
        <v>97</v>
      </c>
      <c r="R562" s="17" t="s">
        <v>76</v>
      </c>
      <c r="S562" s="17" t="s">
        <v>2214</v>
      </c>
      <c r="U562" s="17" t="s">
        <v>2215</v>
      </c>
      <c r="V562" s="17">
        <v>7.799208404E9</v>
      </c>
      <c r="W562" s="17" t="s">
        <v>2216</v>
      </c>
      <c r="AA562" s="17" t="s">
        <v>76</v>
      </c>
      <c r="AB562" s="17">
        <v>1.362401100025E13</v>
      </c>
      <c r="AD562" s="17" t="s">
        <v>388</v>
      </c>
      <c r="AF562" s="17" t="s">
        <v>388</v>
      </c>
      <c r="AL562" s="17" t="s">
        <v>2217</v>
      </c>
      <c r="AM562" s="17" t="s">
        <v>2218</v>
      </c>
      <c r="AN562" s="17" t="s">
        <v>2219</v>
      </c>
      <c r="AS562" s="17" t="s">
        <v>76</v>
      </c>
      <c r="AT562" s="17" t="s">
        <v>388</v>
      </c>
      <c r="AU562" s="17" t="s">
        <v>109</v>
      </c>
      <c r="AZ562" s="17" t="s">
        <v>151</v>
      </c>
      <c r="BA562" s="17" t="s">
        <v>458</v>
      </c>
      <c r="BB562" s="17" t="s">
        <v>76</v>
      </c>
      <c r="BH562" s="17">
        <v>17.0</v>
      </c>
      <c r="BI562" s="17" t="s">
        <v>76</v>
      </c>
      <c r="BJ562" s="16">
        <v>0.29166666666424135</v>
      </c>
      <c r="BK562" s="16">
        <v>0.9993055555532919</v>
      </c>
      <c r="BM562" s="17" t="s">
        <v>2220</v>
      </c>
      <c r="BP562" s="17" t="s">
        <v>2219</v>
      </c>
      <c r="BR562" s="24" t="str">
        <f t="shared" si="1"/>
        <v>Sri Sai Rama tiffins</v>
      </c>
    </row>
    <row r="563" ht="22.5" customHeight="1">
      <c r="A563" s="14">
        <v>46071.677124525464</v>
      </c>
      <c r="B563" s="15">
        <v>46067.0</v>
      </c>
      <c r="C563" s="16">
        <v>0.45833333333575865</v>
      </c>
      <c r="D563" s="17" t="s">
        <v>91</v>
      </c>
      <c r="F563" s="17">
        <v>25.0</v>
      </c>
      <c r="G563" s="17">
        <v>180.0</v>
      </c>
      <c r="H563" s="17" t="s">
        <v>388</v>
      </c>
      <c r="I563" s="17">
        <v>40000.0</v>
      </c>
      <c r="J563" s="17" t="s">
        <v>221</v>
      </c>
      <c r="N563" s="17">
        <v>1.0</v>
      </c>
      <c r="O563" s="17" t="s">
        <v>96</v>
      </c>
      <c r="P563" s="17" t="s">
        <v>109</v>
      </c>
      <c r="Q563" s="17" t="s">
        <v>97</v>
      </c>
      <c r="R563" s="17" t="s">
        <v>76</v>
      </c>
      <c r="S563" s="18" t="s">
        <v>2221</v>
      </c>
      <c r="U563" s="17" t="s">
        <v>2222</v>
      </c>
      <c r="V563" s="17" t="s">
        <v>2223</v>
      </c>
      <c r="W563" s="17" t="s">
        <v>2224</v>
      </c>
      <c r="AA563" s="17" t="s">
        <v>76</v>
      </c>
      <c r="AB563" s="17">
        <v>236.0</v>
      </c>
      <c r="AC563" s="18" t="s">
        <v>2225</v>
      </c>
      <c r="AF563" s="17" t="s">
        <v>2226</v>
      </c>
      <c r="AG563" s="18" t="s">
        <v>2227</v>
      </c>
      <c r="AK563" s="18" t="s">
        <v>2228</v>
      </c>
      <c r="AL563" s="17" t="s">
        <v>2229</v>
      </c>
      <c r="AM563" s="17" t="s">
        <v>2230</v>
      </c>
      <c r="AN563" s="17" t="s">
        <v>2231</v>
      </c>
      <c r="AS563" s="17" t="s">
        <v>76</v>
      </c>
      <c r="AT563" s="17" t="s">
        <v>388</v>
      </c>
      <c r="AU563" s="17" t="s">
        <v>109</v>
      </c>
      <c r="AZ563" s="17" t="s">
        <v>151</v>
      </c>
      <c r="BA563" s="17" t="s">
        <v>458</v>
      </c>
      <c r="BB563" s="17" t="s">
        <v>76</v>
      </c>
      <c r="BH563" s="17">
        <v>17.0</v>
      </c>
      <c r="BI563" s="17" t="s">
        <v>109</v>
      </c>
      <c r="BJ563" s="16">
        <v>0.45833333333575865</v>
      </c>
      <c r="BK563" s="16">
        <v>0.9791666666642413</v>
      </c>
      <c r="BM563" s="17" t="s">
        <v>2232</v>
      </c>
      <c r="BP563" s="17" t="s">
        <v>2233</v>
      </c>
      <c r="BR563" s="24" t="str">
        <f t="shared" si="1"/>
        <v>Sri varahi sampradaya vindhu </v>
      </c>
    </row>
    <row r="564" ht="22.5" customHeight="1">
      <c r="A564" s="14">
        <v>46071.69932907408</v>
      </c>
      <c r="B564" s="15">
        <v>46071.0</v>
      </c>
      <c r="C564" s="16">
        <v>0.6979166666642413</v>
      </c>
      <c r="D564" s="17" t="s">
        <v>111</v>
      </c>
      <c r="T564" s="17" t="s">
        <v>1608</v>
      </c>
      <c r="U564" s="17" t="s">
        <v>1609</v>
      </c>
      <c r="V564" s="17" t="s">
        <v>1610</v>
      </c>
      <c r="W564" s="17" t="s">
        <v>117</v>
      </c>
      <c r="AA564" s="17" t="s">
        <v>109</v>
      </c>
      <c r="AT564" s="17" t="s">
        <v>2234</v>
      </c>
      <c r="AU564" s="17" t="s">
        <v>76</v>
      </c>
      <c r="AV564" s="17" t="s">
        <v>2213</v>
      </c>
      <c r="AW564" s="17" t="s">
        <v>2213</v>
      </c>
      <c r="AX564" s="15">
        <v>46076.0</v>
      </c>
      <c r="AZ564" s="17" t="s">
        <v>1607</v>
      </c>
      <c r="BA564" s="17" t="s">
        <v>491</v>
      </c>
      <c r="BP564" s="17" t="s">
        <v>1608</v>
      </c>
      <c r="BR564" s="24" t="str">
        <f t="shared" si="1"/>
        <v>WOW ChinaWOW China</v>
      </c>
    </row>
    <row r="565" ht="22.5" customHeight="1">
      <c r="A565" s="14">
        <v>46071.72415005787</v>
      </c>
      <c r="B565" s="15">
        <v>46071.0</v>
      </c>
      <c r="C565" s="16">
        <v>0.71875</v>
      </c>
      <c r="D565" s="17" t="s">
        <v>91</v>
      </c>
      <c r="F565" s="17">
        <v>1.0</v>
      </c>
      <c r="G565" s="17">
        <v>300.0</v>
      </c>
      <c r="H565" s="17" t="s">
        <v>117</v>
      </c>
      <c r="J565" s="17" t="s">
        <v>94</v>
      </c>
      <c r="K565" s="17" t="s">
        <v>95</v>
      </c>
      <c r="N565" s="17">
        <v>3.0</v>
      </c>
      <c r="O565" s="17" t="s">
        <v>371</v>
      </c>
      <c r="P565" s="17" t="s">
        <v>76</v>
      </c>
      <c r="Q565" s="17" t="s">
        <v>97</v>
      </c>
      <c r="R565" s="17" t="s">
        <v>98</v>
      </c>
      <c r="S565" s="18" t="s">
        <v>2235</v>
      </c>
      <c r="T565" s="17" t="s">
        <v>2236</v>
      </c>
      <c r="U565" s="17" t="s">
        <v>2237</v>
      </c>
      <c r="V565" s="17">
        <v>9.400053063E9</v>
      </c>
      <c r="W565" s="17" t="s">
        <v>2238</v>
      </c>
      <c r="AA565" s="17" t="s">
        <v>109</v>
      </c>
      <c r="AT565" s="17" t="s">
        <v>2198</v>
      </c>
      <c r="AU565" s="17" t="s">
        <v>76</v>
      </c>
      <c r="AV565" s="17" t="s">
        <v>472</v>
      </c>
      <c r="AZ565" s="17" t="s">
        <v>1607</v>
      </c>
      <c r="BA565" s="17" t="s">
        <v>458</v>
      </c>
      <c r="BB565" s="17" t="s">
        <v>76</v>
      </c>
      <c r="BN565" s="17" t="s">
        <v>2236</v>
      </c>
      <c r="BP565" s="17" t="s">
        <v>2236</v>
      </c>
      <c r="BR565" s="24" t="str">
        <f t="shared" si="1"/>
        <v>Kunafa BakeKunafa Bake</v>
      </c>
    </row>
    <row r="566" ht="22.5" customHeight="1">
      <c r="A566" s="14">
        <v>46071.72861064815</v>
      </c>
      <c r="B566" s="15">
        <v>46071.0</v>
      </c>
      <c r="C566" s="16">
        <v>0.7277777777781012</v>
      </c>
      <c r="D566" s="17" t="s">
        <v>111</v>
      </c>
      <c r="T566" s="17" t="s">
        <v>1617</v>
      </c>
      <c r="U566" s="17" t="s">
        <v>2239</v>
      </c>
      <c r="V566" s="17" t="s">
        <v>1619</v>
      </c>
      <c r="W566" s="17" t="s">
        <v>117</v>
      </c>
      <c r="AA566" s="17" t="s">
        <v>109</v>
      </c>
      <c r="AT566" s="17" t="s">
        <v>2240</v>
      </c>
      <c r="AU566" s="17" t="s">
        <v>76</v>
      </c>
      <c r="AV566" s="17" t="s">
        <v>373</v>
      </c>
      <c r="AZ566" s="17" t="s">
        <v>1607</v>
      </c>
      <c r="BA566" s="17" t="s">
        <v>491</v>
      </c>
      <c r="BP566" s="17" t="s">
        <v>1617</v>
      </c>
      <c r="BR566" s="24" t="str">
        <f t="shared" si="1"/>
        <v>FrankieFrankie</v>
      </c>
    </row>
    <row r="567" ht="22.5" customHeight="1">
      <c r="A567" s="14">
        <v>46071.76467989583</v>
      </c>
      <c r="B567" s="15">
        <v>46071.0</v>
      </c>
      <c r="C567" s="16">
        <v>0.7631944444437977</v>
      </c>
      <c r="D567" s="17" t="s">
        <v>111</v>
      </c>
      <c r="T567" s="17" t="s">
        <v>2241</v>
      </c>
      <c r="U567" s="17" t="s">
        <v>2242</v>
      </c>
      <c r="V567" s="17" t="s">
        <v>2243</v>
      </c>
      <c r="W567" s="17" t="s">
        <v>117</v>
      </c>
      <c r="AA567" s="17" t="s">
        <v>109</v>
      </c>
      <c r="AT567" s="17" t="s">
        <v>2244</v>
      </c>
      <c r="AU567" s="17" t="s">
        <v>76</v>
      </c>
      <c r="AV567" s="17" t="s">
        <v>472</v>
      </c>
      <c r="AX567" s="15">
        <v>46072.0</v>
      </c>
      <c r="AZ567" s="17" t="s">
        <v>1607</v>
      </c>
      <c r="BA567" s="17" t="s">
        <v>491</v>
      </c>
      <c r="BP567" s="17" t="s">
        <v>2241</v>
      </c>
      <c r="BR567" s="24" t="str">
        <f t="shared" si="1"/>
        <v>Chai PointChai Point</v>
      </c>
    </row>
    <row r="568" ht="22.5" customHeight="1">
      <c r="A568" s="14">
        <v>46071.7709775463</v>
      </c>
      <c r="B568" s="15">
        <v>46071.0</v>
      </c>
      <c r="C568" s="16">
        <v>0.7694444444423425</v>
      </c>
      <c r="D568" s="17" t="s">
        <v>111</v>
      </c>
      <c r="T568" s="17" t="s">
        <v>1667</v>
      </c>
      <c r="U568" s="17" t="s">
        <v>1668</v>
      </c>
      <c r="V568" s="17" t="s">
        <v>1669</v>
      </c>
      <c r="W568" s="17" t="s">
        <v>2245</v>
      </c>
      <c r="AA568" s="17" t="s">
        <v>109</v>
      </c>
      <c r="AT568" s="17" t="s">
        <v>2246</v>
      </c>
      <c r="AU568" s="17" t="s">
        <v>76</v>
      </c>
      <c r="AV568" s="17" t="s">
        <v>472</v>
      </c>
      <c r="AZ568" s="17" t="s">
        <v>1607</v>
      </c>
      <c r="BA568" s="17" t="s">
        <v>491</v>
      </c>
      <c r="BP568" s="17" t="s">
        <v>1667</v>
      </c>
      <c r="BR568" s="24" t="str">
        <f t="shared" si="1"/>
        <v>7th Heaven &amp; white hart7th Heaven &amp; white hart</v>
      </c>
    </row>
    <row r="569" ht="22.5" customHeight="1">
      <c r="A569" s="14">
        <v>46071.77905229166</v>
      </c>
      <c r="B569" s="15">
        <v>46071.0</v>
      </c>
      <c r="C569" s="16">
        <v>0.7708333333357587</v>
      </c>
      <c r="D569" s="17" t="s">
        <v>111</v>
      </c>
      <c r="T569" s="17" t="s">
        <v>1732</v>
      </c>
      <c r="U569" s="17" t="s">
        <v>1733</v>
      </c>
      <c r="V569" s="17">
        <v>9.985287122E9</v>
      </c>
      <c r="W569" s="17" t="s">
        <v>1734</v>
      </c>
      <c r="AA569" s="17" t="s">
        <v>109</v>
      </c>
      <c r="AT569" s="17" t="s">
        <v>2247</v>
      </c>
      <c r="AU569" s="17" t="s">
        <v>76</v>
      </c>
      <c r="AV569" s="17" t="s">
        <v>373</v>
      </c>
      <c r="AZ569" s="17" t="s">
        <v>1607</v>
      </c>
      <c r="BA569" s="17" t="s">
        <v>491</v>
      </c>
      <c r="BP569" s="17" t="s">
        <v>1732</v>
      </c>
      <c r="BR569" s="24" t="str">
        <f t="shared" si="1"/>
        <v>Hard Rock CafeHard Rock Cafe</v>
      </c>
    </row>
    <row r="570" ht="22.5" customHeight="1">
      <c r="A570" s="14">
        <v>46071.780905844906</v>
      </c>
      <c r="B570" s="15">
        <v>46071.0</v>
      </c>
      <c r="C570" s="16">
        <v>0.7798611111065838</v>
      </c>
      <c r="D570" s="17" t="s">
        <v>111</v>
      </c>
      <c r="T570" s="17" t="s">
        <v>2248</v>
      </c>
      <c r="U570" s="17" t="s">
        <v>2016</v>
      </c>
      <c r="V570" s="17">
        <v>8.668045147E9</v>
      </c>
      <c r="W570" s="17" t="s">
        <v>2017</v>
      </c>
      <c r="AA570" s="17" t="s">
        <v>109</v>
      </c>
      <c r="AT570" s="17" t="s">
        <v>2249</v>
      </c>
      <c r="AU570" s="17" t="s">
        <v>76</v>
      </c>
      <c r="AV570" s="17" t="s">
        <v>373</v>
      </c>
      <c r="AZ570" s="17" t="s">
        <v>1607</v>
      </c>
      <c r="BA570" s="17" t="s">
        <v>491</v>
      </c>
      <c r="BP570" s="17" t="s">
        <v>2248</v>
      </c>
      <c r="BR570" s="24" t="str">
        <f t="shared" si="1"/>
        <v>HaldiramHaldiram</v>
      </c>
    </row>
    <row r="571" ht="22.5" customHeight="1">
      <c r="A571" s="14">
        <v>46071.784776747685</v>
      </c>
      <c r="B571" s="15">
        <v>46071.0</v>
      </c>
      <c r="C571" s="16">
        <v>0.7840277777795563</v>
      </c>
      <c r="D571" s="17" t="s">
        <v>111</v>
      </c>
      <c r="T571" s="17" t="s">
        <v>2024</v>
      </c>
      <c r="U571" s="17" t="s">
        <v>2025</v>
      </c>
      <c r="V571" s="17" t="s">
        <v>2026</v>
      </c>
      <c r="W571" s="17" t="s">
        <v>117</v>
      </c>
      <c r="AA571" s="17" t="s">
        <v>109</v>
      </c>
      <c r="AT571" s="17" t="s">
        <v>2198</v>
      </c>
      <c r="AU571" s="17" t="s">
        <v>76</v>
      </c>
      <c r="AV571" s="17" t="s">
        <v>373</v>
      </c>
      <c r="AZ571" s="17" t="s">
        <v>1607</v>
      </c>
      <c r="BA571" s="17" t="s">
        <v>491</v>
      </c>
      <c r="BP571" s="17" t="s">
        <v>2024</v>
      </c>
      <c r="BR571" s="24" t="str">
        <f t="shared" si="1"/>
        <v>PeshawarPeshawar</v>
      </c>
    </row>
    <row r="572" ht="22.5" customHeight="1">
      <c r="A572" s="14">
        <v>46071.803759305556</v>
      </c>
      <c r="B572" s="15">
        <v>46071.0</v>
      </c>
      <c r="C572" s="16">
        <v>0.8020833333357587</v>
      </c>
      <c r="D572" s="17" t="s">
        <v>111</v>
      </c>
      <c r="T572" s="17" t="s">
        <v>2028</v>
      </c>
      <c r="U572" s="17" t="s">
        <v>2250</v>
      </c>
      <c r="V572" s="17">
        <v>8.07474285E9</v>
      </c>
      <c r="W572" s="17" t="s">
        <v>117</v>
      </c>
      <c r="AA572" s="17" t="s">
        <v>109</v>
      </c>
      <c r="AT572" s="17" t="s">
        <v>2251</v>
      </c>
      <c r="AU572" s="17" t="s">
        <v>76</v>
      </c>
      <c r="AV572" s="17" t="s">
        <v>472</v>
      </c>
      <c r="AX572" s="15">
        <v>46072.0</v>
      </c>
      <c r="AZ572" s="17" t="s">
        <v>1607</v>
      </c>
      <c r="BA572" s="17" t="s">
        <v>491</v>
      </c>
      <c r="BP572" s="17" t="s">
        <v>2028</v>
      </c>
      <c r="BR572" s="24" t="str">
        <f t="shared" si="1"/>
        <v>Organic CreameryOrganic Creamery</v>
      </c>
    </row>
    <row r="573" ht="22.5" customHeight="1">
      <c r="A573" s="14">
        <v>46071.80597613426</v>
      </c>
      <c r="B573" s="15">
        <v>46071.0</v>
      </c>
      <c r="C573" s="16">
        <v>0.7083333333357587</v>
      </c>
      <c r="D573" s="17" t="s">
        <v>91</v>
      </c>
      <c r="F573" s="17">
        <v>1.0</v>
      </c>
      <c r="G573" s="17">
        <v>300.0</v>
      </c>
      <c r="H573" s="17" t="s">
        <v>2252</v>
      </c>
      <c r="I573" s="17">
        <v>50000.0</v>
      </c>
      <c r="J573" s="17" t="s">
        <v>94</v>
      </c>
      <c r="K573" s="17" t="s">
        <v>134</v>
      </c>
      <c r="N573" s="17">
        <v>1.0</v>
      </c>
      <c r="O573" s="17" t="s">
        <v>96</v>
      </c>
      <c r="P573" s="17" t="s">
        <v>76</v>
      </c>
      <c r="Q573" s="17" t="s">
        <v>97</v>
      </c>
      <c r="R573" s="17" t="s">
        <v>76</v>
      </c>
      <c r="S573" s="17" t="s">
        <v>2253</v>
      </c>
      <c r="U573" s="17" t="s">
        <v>952</v>
      </c>
      <c r="V573" s="17">
        <v>9.500619904E9</v>
      </c>
      <c r="W573" s="17" t="s">
        <v>388</v>
      </c>
      <c r="AA573" s="17" t="s">
        <v>109</v>
      </c>
      <c r="AT573" s="17" t="s">
        <v>2254</v>
      </c>
      <c r="AU573" s="17" t="s">
        <v>76</v>
      </c>
      <c r="AV573" s="17" t="s">
        <v>472</v>
      </c>
      <c r="AW573" s="17" t="s">
        <v>2255</v>
      </c>
      <c r="AX573" s="15">
        <v>46071.0</v>
      </c>
      <c r="AY573" s="16">
        <v>0.5</v>
      </c>
      <c r="AZ573" s="17" t="s">
        <v>1581</v>
      </c>
      <c r="BA573" s="17" t="s">
        <v>458</v>
      </c>
      <c r="BB573" s="17" t="s">
        <v>76</v>
      </c>
      <c r="BL573" s="17">
        <v>2.0</v>
      </c>
      <c r="BN573" s="17" t="s">
        <v>1924</v>
      </c>
      <c r="BP573" s="17" t="s">
        <v>2256</v>
      </c>
      <c r="BR573" s="24" t="str">
        <f t="shared" si="1"/>
        <v>Hakka Station</v>
      </c>
    </row>
    <row r="574" ht="22.5" customHeight="1">
      <c r="A574" s="14">
        <v>46071.809721944446</v>
      </c>
      <c r="B574" s="15">
        <v>46071.0</v>
      </c>
      <c r="C574" s="16">
        <v>0.7083333333357587</v>
      </c>
      <c r="D574" s="17" t="s">
        <v>91</v>
      </c>
      <c r="F574" s="17">
        <v>1.0</v>
      </c>
      <c r="G574" s="17">
        <v>1.0</v>
      </c>
      <c r="H574" s="17">
        <v>1.0</v>
      </c>
      <c r="I574" s="17">
        <v>1.0</v>
      </c>
      <c r="J574" s="17" t="s">
        <v>2257</v>
      </c>
      <c r="K574" s="17" t="s">
        <v>95</v>
      </c>
      <c r="N574" s="17">
        <v>1.0</v>
      </c>
      <c r="O574" s="17" t="s">
        <v>2257</v>
      </c>
      <c r="P574" s="17" t="s">
        <v>109</v>
      </c>
      <c r="Q574" s="17" t="s">
        <v>98</v>
      </c>
      <c r="R574" s="17" t="s">
        <v>98</v>
      </c>
      <c r="S574" s="17" t="s">
        <v>117</v>
      </c>
      <c r="U574" s="17" t="s">
        <v>2258</v>
      </c>
      <c r="V574" s="17">
        <v>9.247100786E9</v>
      </c>
      <c r="W574" s="17" t="s">
        <v>117</v>
      </c>
      <c r="AA574" s="17" t="s">
        <v>109</v>
      </c>
      <c r="AT574" s="17" t="s">
        <v>2259</v>
      </c>
      <c r="AU574" s="17" t="s">
        <v>76</v>
      </c>
      <c r="AV574" s="17" t="s">
        <v>472</v>
      </c>
      <c r="AW574" s="17" t="s">
        <v>2260</v>
      </c>
      <c r="AX574" s="15">
        <v>46077.0</v>
      </c>
      <c r="AY574" s="16">
        <v>0.5</v>
      </c>
      <c r="AZ574" s="17" t="s">
        <v>1581</v>
      </c>
      <c r="BA574" s="17" t="s">
        <v>458</v>
      </c>
      <c r="BB574" s="17" t="s">
        <v>76</v>
      </c>
      <c r="BN574" s="17" t="s">
        <v>2261</v>
      </c>
      <c r="BP574" s="17" t="s">
        <v>2262</v>
      </c>
      <c r="BR574" s="24" t="str">
        <f t="shared" si="1"/>
        <v>Sattva Food Court</v>
      </c>
    </row>
    <row r="575" ht="22.5" customHeight="1">
      <c r="A575" s="14">
        <v>46071.81852241898</v>
      </c>
      <c r="B575" s="15">
        <v>46071.0</v>
      </c>
      <c r="C575" s="16">
        <v>0.7291666666642413</v>
      </c>
      <c r="D575" s="17" t="s">
        <v>91</v>
      </c>
      <c r="F575" s="17">
        <v>273.0</v>
      </c>
      <c r="G575" s="17">
        <v>500.0</v>
      </c>
      <c r="H575" s="17" t="s">
        <v>117</v>
      </c>
      <c r="J575" s="17" t="s">
        <v>167</v>
      </c>
      <c r="K575" s="17" t="s">
        <v>134</v>
      </c>
      <c r="N575" s="17">
        <v>3.0</v>
      </c>
      <c r="O575" s="17" t="s">
        <v>371</v>
      </c>
      <c r="P575" s="17" t="s">
        <v>76</v>
      </c>
      <c r="Q575" s="17" t="s">
        <v>97</v>
      </c>
      <c r="R575" s="17" t="s">
        <v>76</v>
      </c>
      <c r="S575" s="17" t="s">
        <v>2263</v>
      </c>
      <c r="U575" s="17" t="s">
        <v>2264</v>
      </c>
      <c r="V575" s="17">
        <v>9.493304525E9</v>
      </c>
      <c r="W575" s="17" t="s">
        <v>117</v>
      </c>
      <c r="X575" s="17" t="s">
        <v>2265</v>
      </c>
      <c r="Y575" s="17">
        <v>9.010023567E9</v>
      </c>
      <c r="AA575" s="17" t="s">
        <v>109</v>
      </c>
      <c r="AT575" s="17" t="s">
        <v>2266</v>
      </c>
      <c r="AU575" s="17" t="s">
        <v>76</v>
      </c>
      <c r="AV575" s="17" t="s">
        <v>472</v>
      </c>
      <c r="AW575" s="17" t="s">
        <v>117</v>
      </c>
      <c r="AX575" s="15">
        <v>46074.0</v>
      </c>
      <c r="AY575" s="16">
        <v>0.7083333333357587</v>
      </c>
      <c r="AZ575" s="17" t="s">
        <v>1581</v>
      </c>
      <c r="BA575" s="17" t="s">
        <v>458</v>
      </c>
      <c r="BB575" s="17" t="s">
        <v>76</v>
      </c>
      <c r="BL575" s="17">
        <v>25.0</v>
      </c>
      <c r="BN575" s="17" t="s">
        <v>1924</v>
      </c>
      <c r="BP575" s="17" t="s">
        <v>2267</v>
      </c>
      <c r="BR575" s="24" t="str">
        <f t="shared" si="1"/>
        <v>Raasta</v>
      </c>
    </row>
    <row r="576" ht="22.5" customHeight="1">
      <c r="A576" s="14">
        <v>46071.82237486111</v>
      </c>
      <c r="B576" s="15">
        <v>46071.0</v>
      </c>
      <c r="C576" s="16">
        <v>0.75</v>
      </c>
      <c r="D576" s="17" t="s">
        <v>91</v>
      </c>
      <c r="F576" s="17">
        <v>34.0</v>
      </c>
      <c r="G576" s="17">
        <v>800.0</v>
      </c>
      <c r="H576" s="17" t="s">
        <v>117</v>
      </c>
      <c r="J576" s="17" t="s">
        <v>167</v>
      </c>
      <c r="K576" s="17" t="s">
        <v>134</v>
      </c>
      <c r="N576" s="17">
        <v>2.0</v>
      </c>
      <c r="O576" s="17" t="s">
        <v>371</v>
      </c>
      <c r="P576" s="17" t="s">
        <v>76</v>
      </c>
      <c r="Q576" s="17" t="s">
        <v>97</v>
      </c>
      <c r="R576" s="17" t="s">
        <v>76</v>
      </c>
      <c r="S576" s="17" t="s">
        <v>2268</v>
      </c>
      <c r="U576" s="17" t="s">
        <v>2269</v>
      </c>
      <c r="V576" s="17">
        <v>9.840561868E9</v>
      </c>
      <c r="W576" s="17" t="s">
        <v>117</v>
      </c>
      <c r="X576" s="17" t="s">
        <v>2270</v>
      </c>
      <c r="Y576" s="17">
        <v>9.57334519E9</v>
      </c>
      <c r="Z576" s="17" t="s">
        <v>117</v>
      </c>
      <c r="AA576" s="17" t="s">
        <v>109</v>
      </c>
      <c r="AT576" s="17" t="s">
        <v>2271</v>
      </c>
      <c r="AU576" s="17" t="s">
        <v>76</v>
      </c>
      <c r="AV576" s="17" t="s">
        <v>472</v>
      </c>
      <c r="AX576" s="15">
        <v>46072.0</v>
      </c>
      <c r="AY576" s="16">
        <v>0.5</v>
      </c>
      <c r="AZ576" s="17" t="s">
        <v>1581</v>
      </c>
      <c r="BA576" s="17" t="s">
        <v>458</v>
      </c>
      <c r="BB576" s="17" t="s">
        <v>76</v>
      </c>
      <c r="BL576" s="17">
        <v>15.0</v>
      </c>
      <c r="BN576" s="17" t="s">
        <v>1924</v>
      </c>
      <c r="BP576" s="17" t="s">
        <v>2272</v>
      </c>
      <c r="BR576" s="24" t="str">
        <f t="shared" si="1"/>
        <v>Flurry</v>
      </c>
    </row>
    <row r="577" ht="22.5" customHeight="1">
      <c r="A577" s="14">
        <v>46071.82577708333</v>
      </c>
      <c r="B577" s="15">
        <v>46071.0</v>
      </c>
      <c r="C577" s="16">
        <v>0.75</v>
      </c>
      <c r="D577" s="17" t="s">
        <v>91</v>
      </c>
      <c r="F577" s="17">
        <v>112.0</v>
      </c>
      <c r="G577" s="17">
        <v>800.0</v>
      </c>
      <c r="H577" s="17" t="s">
        <v>117</v>
      </c>
      <c r="J577" s="17" t="s">
        <v>167</v>
      </c>
      <c r="K577" s="17" t="s">
        <v>134</v>
      </c>
      <c r="N577" s="17">
        <v>2.0</v>
      </c>
      <c r="O577" s="17" t="s">
        <v>371</v>
      </c>
      <c r="P577" s="17" t="s">
        <v>76</v>
      </c>
      <c r="Q577" s="17" t="s">
        <v>97</v>
      </c>
      <c r="R577" s="17" t="s">
        <v>76</v>
      </c>
      <c r="S577" s="17" t="s">
        <v>2273</v>
      </c>
      <c r="U577" s="17" t="s">
        <v>2274</v>
      </c>
      <c r="V577" s="17">
        <v>9.63747578E9</v>
      </c>
      <c r="W577" s="17" t="s">
        <v>117</v>
      </c>
      <c r="AA577" s="17" t="s">
        <v>109</v>
      </c>
      <c r="AT577" s="17" t="s">
        <v>2275</v>
      </c>
      <c r="AU577" s="17" t="s">
        <v>76</v>
      </c>
      <c r="AV577" s="17" t="s">
        <v>472</v>
      </c>
      <c r="AW577" s="17" t="s">
        <v>2276</v>
      </c>
      <c r="AX577" s="15">
        <v>46073.0</v>
      </c>
      <c r="AY577" s="16">
        <v>0.5</v>
      </c>
      <c r="AZ577" s="17" t="s">
        <v>1581</v>
      </c>
      <c r="BA577" s="17" t="s">
        <v>458</v>
      </c>
      <c r="BB577" s="17" t="s">
        <v>76</v>
      </c>
      <c r="BN577" s="17" t="s">
        <v>2277</v>
      </c>
      <c r="BP577" s="17" t="s">
        <v>2278</v>
      </c>
      <c r="BR577" s="24" t="str">
        <f t="shared" si="1"/>
        <v>Cream Centre</v>
      </c>
    </row>
    <row r="578" ht="22.5" customHeight="1">
      <c r="A578" s="14">
        <v>46071.82783738426</v>
      </c>
      <c r="B578" s="15">
        <v>46071.0</v>
      </c>
      <c r="C578" s="16">
        <v>0.6875</v>
      </c>
      <c r="U578" s="17" t="s">
        <v>2279</v>
      </c>
      <c r="V578" s="17">
        <v>8.712248966E9</v>
      </c>
      <c r="W578" s="17" t="s">
        <v>117</v>
      </c>
      <c r="X578" s="17" t="s">
        <v>2280</v>
      </c>
      <c r="AA578" s="17" t="s">
        <v>109</v>
      </c>
      <c r="AT578" s="17" t="s">
        <v>2281</v>
      </c>
      <c r="AU578" s="17" t="s">
        <v>76</v>
      </c>
      <c r="AV578" s="17" t="s">
        <v>472</v>
      </c>
      <c r="AW578" s="17" t="s">
        <v>2282</v>
      </c>
      <c r="AX578" s="15">
        <v>46072.0</v>
      </c>
      <c r="AY578" s="16">
        <v>0.5</v>
      </c>
      <c r="AZ578" s="17" t="s">
        <v>1581</v>
      </c>
      <c r="BA578" s="17" t="s">
        <v>458</v>
      </c>
      <c r="BB578" s="17" t="s">
        <v>109</v>
      </c>
      <c r="BP578" s="17" t="s">
        <v>682</v>
      </c>
      <c r="BR578" s="24" t="str">
        <f t="shared" si="1"/>
        <v>Toscano</v>
      </c>
    </row>
    <row r="579" ht="22.5" customHeight="1">
      <c r="A579" s="14">
        <v>46071.83333674769</v>
      </c>
      <c r="B579" s="15">
        <v>46071.0</v>
      </c>
      <c r="C579" s="16">
        <v>0.7708333333357587</v>
      </c>
      <c r="D579" s="17" t="s">
        <v>91</v>
      </c>
      <c r="F579" s="17">
        <v>200.0</v>
      </c>
      <c r="G579" s="17">
        <v>800.0</v>
      </c>
      <c r="H579" s="17" t="s">
        <v>117</v>
      </c>
      <c r="J579" s="17" t="s">
        <v>167</v>
      </c>
      <c r="K579" s="17" t="s">
        <v>95</v>
      </c>
      <c r="N579" s="17">
        <v>1.0</v>
      </c>
      <c r="O579" s="17" t="s">
        <v>371</v>
      </c>
      <c r="P579" s="17" t="s">
        <v>76</v>
      </c>
      <c r="Q579" s="17" t="s">
        <v>97</v>
      </c>
      <c r="R579" s="17" t="s">
        <v>76</v>
      </c>
      <c r="S579" s="17" t="s">
        <v>2283</v>
      </c>
      <c r="U579" s="17" t="s">
        <v>2284</v>
      </c>
      <c r="V579" s="17">
        <v>9.053247967E9</v>
      </c>
      <c r="W579" s="17" t="s">
        <v>2285</v>
      </c>
      <c r="AA579" s="17" t="s">
        <v>109</v>
      </c>
      <c r="AT579" s="17" t="s">
        <v>2286</v>
      </c>
      <c r="AU579" s="17" t="s">
        <v>109</v>
      </c>
      <c r="AW579" s="17" t="s">
        <v>2287</v>
      </c>
      <c r="AZ579" s="17" t="s">
        <v>1581</v>
      </c>
      <c r="BA579" s="17" t="s">
        <v>458</v>
      </c>
      <c r="BB579" s="17" t="s">
        <v>76</v>
      </c>
      <c r="BN579" s="17" t="s">
        <v>1924</v>
      </c>
      <c r="BP579" s="17" t="s">
        <v>2288</v>
      </c>
      <c r="BR579" s="24" t="str">
        <f t="shared" si="1"/>
        <v>Whisky Samba</v>
      </c>
    </row>
    <row r="580" ht="22.5" customHeight="1">
      <c r="A580" s="14">
        <v>46071.90632417824</v>
      </c>
      <c r="B580" s="15">
        <v>46069.0</v>
      </c>
      <c r="C580" s="16">
        <v>0.3680555555547471</v>
      </c>
      <c r="D580" s="17" t="s">
        <v>91</v>
      </c>
      <c r="F580" s="17">
        <v>100.0</v>
      </c>
      <c r="G580" s="17">
        <v>200.0</v>
      </c>
      <c r="H580" s="17" t="s">
        <v>388</v>
      </c>
      <c r="I580" s="17">
        <v>20000.0</v>
      </c>
      <c r="J580" s="17" t="s">
        <v>221</v>
      </c>
      <c r="N580" s="17">
        <v>1.0</v>
      </c>
      <c r="O580" s="17" t="s">
        <v>96</v>
      </c>
      <c r="P580" s="17" t="s">
        <v>109</v>
      </c>
      <c r="Q580" s="17" t="s">
        <v>97</v>
      </c>
      <c r="R580" s="17" t="s">
        <v>98</v>
      </c>
      <c r="S580" s="17" t="s">
        <v>2289</v>
      </c>
      <c r="U580" s="17" t="s">
        <v>2290</v>
      </c>
      <c r="V580" s="17">
        <v>8.897928087E9</v>
      </c>
      <c r="W580" s="17" t="s">
        <v>2291</v>
      </c>
      <c r="AA580" s="17" t="s">
        <v>76</v>
      </c>
      <c r="AC580" s="18" t="s">
        <v>2292</v>
      </c>
      <c r="AF580" s="17" t="s">
        <v>2293</v>
      </c>
      <c r="AG580" s="18" t="s">
        <v>2294</v>
      </c>
      <c r="AM580" s="17" t="s">
        <v>2295</v>
      </c>
      <c r="AN580" s="17" t="s">
        <v>2296</v>
      </c>
      <c r="AS580" s="17" t="s">
        <v>76</v>
      </c>
      <c r="AT580" s="17" t="s">
        <v>388</v>
      </c>
      <c r="AU580" s="17" t="s">
        <v>109</v>
      </c>
      <c r="AZ580" s="17" t="s">
        <v>151</v>
      </c>
      <c r="BA580" s="17" t="s">
        <v>491</v>
      </c>
      <c r="BH580" s="17">
        <v>17.0</v>
      </c>
      <c r="BL580" s="17">
        <v>5.0</v>
      </c>
      <c r="BM580" s="17" t="s">
        <v>2297</v>
      </c>
      <c r="BP580" s="17" t="s">
        <v>2298</v>
      </c>
      <c r="BR580" s="24" t="str">
        <f t="shared" si="1"/>
        <v>Moms recipe </v>
      </c>
    </row>
    <row r="581" ht="22.5" customHeight="1">
      <c r="A581" s="14">
        <v>46071.91380243056</v>
      </c>
      <c r="B581" s="15">
        <v>46069.0</v>
      </c>
      <c r="C581" s="16">
        <v>0.37222222222044365</v>
      </c>
      <c r="D581" s="17" t="s">
        <v>91</v>
      </c>
      <c r="F581" s="17">
        <v>100.0</v>
      </c>
      <c r="G581" s="17">
        <v>250.0</v>
      </c>
      <c r="H581" s="17" t="s">
        <v>388</v>
      </c>
      <c r="I581" s="17">
        <v>25000.0</v>
      </c>
      <c r="J581" s="17" t="s">
        <v>221</v>
      </c>
      <c r="N581" s="17">
        <v>1.0</v>
      </c>
      <c r="O581" s="17" t="s">
        <v>96</v>
      </c>
      <c r="P581" s="17" t="s">
        <v>109</v>
      </c>
      <c r="Q581" s="17" t="s">
        <v>97</v>
      </c>
      <c r="R581" s="17" t="s">
        <v>98</v>
      </c>
      <c r="S581" s="18" t="s">
        <v>2299</v>
      </c>
      <c r="U581" s="17" t="s">
        <v>2300</v>
      </c>
      <c r="V581" s="17" t="s">
        <v>2301</v>
      </c>
      <c r="W581" s="17" t="s">
        <v>2302</v>
      </c>
      <c r="AA581" s="17" t="s">
        <v>76</v>
      </c>
      <c r="AC581" s="18" t="s">
        <v>2303</v>
      </c>
      <c r="AD581" s="17" t="s">
        <v>388</v>
      </c>
      <c r="AF581" s="17" t="s">
        <v>2304</v>
      </c>
      <c r="AG581" s="18" t="s">
        <v>2305</v>
      </c>
      <c r="AK581" s="18" t="s">
        <v>2306</v>
      </c>
      <c r="AL581" s="17" t="s">
        <v>2307</v>
      </c>
      <c r="AM581" s="17" t="s">
        <v>2308</v>
      </c>
      <c r="AN581" s="17" t="s">
        <v>2309</v>
      </c>
      <c r="AS581" s="17" t="s">
        <v>76</v>
      </c>
      <c r="AT581" s="17" t="s">
        <v>388</v>
      </c>
      <c r="AU581" s="17" t="s">
        <v>109</v>
      </c>
      <c r="AV581" s="17" t="s">
        <v>472</v>
      </c>
      <c r="AZ581" s="17" t="s">
        <v>151</v>
      </c>
      <c r="BA581" s="17" t="s">
        <v>491</v>
      </c>
      <c r="BH581" s="17">
        <v>17.0</v>
      </c>
      <c r="BI581" s="17" t="s">
        <v>109</v>
      </c>
      <c r="BJ581" s="16">
        <v>0.375</v>
      </c>
      <c r="BK581" s="16">
        <v>0.9993055555532919</v>
      </c>
      <c r="BM581" s="17" t="s">
        <v>2310</v>
      </c>
      <c r="BP581" s="17" t="s">
        <v>2311</v>
      </c>
      <c r="BR581" s="24" t="str">
        <f t="shared" si="1"/>
        <v>Samastha Tiffins</v>
      </c>
    </row>
    <row r="582" ht="22.5" customHeight="1">
      <c r="A582" s="14">
        <v>46071.91947903935</v>
      </c>
      <c r="B582" s="15">
        <v>46069.0</v>
      </c>
      <c r="C582" s="16">
        <v>0.45833333333575865</v>
      </c>
      <c r="D582" s="17" t="s">
        <v>91</v>
      </c>
      <c r="F582" s="17">
        <v>80.0</v>
      </c>
      <c r="G582" s="17">
        <v>300.0</v>
      </c>
      <c r="H582" s="17" t="s">
        <v>388</v>
      </c>
      <c r="I582" s="17">
        <v>60000.0</v>
      </c>
      <c r="J582" s="17" t="s">
        <v>221</v>
      </c>
      <c r="K582" s="17" t="s">
        <v>134</v>
      </c>
      <c r="M582" s="17">
        <v>17.0</v>
      </c>
      <c r="N582" s="17">
        <v>1.0</v>
      </c>
      <c r="O582" s="17" t="s">
        <v>96</v>
      </c>
      <c r="P582" s="17" t="s">
        <v>109</v>
      </c>
      <c r="Q582" s="17" t="s">
        <v>97</v>
      </c>
      <c r="R582" s="17" t="s">
        <v>76</v>
      </c>
      <c r="S582" s="18" t="s">
        <v>2312</v>
      </c>
      <c r="U582" s="17" t="s">
        <v>2313</v>
      </c>
      <c r="V582" s="17" t="s">
        <v>2314</v>
      </c>
      <c r="W582" s="17" t="s">
        <v>2315</v>
      </c>
      <c r="AA582" s="17" t="s">
        <v>76</v>
      </c>
      <c r="AB582" s="17">
        <v>2.3626030000081E13</v>
      </c>
      <c r="AC582" s="18" t="s">
        <v>2316</v>
      </c>
      <c r="AD582" s="17" t="s">
        <v>388</v>
      </c>
      <c r="AF582" s="17" t="s">
        <v>2317</v>
      </c>
      <c r="AG582" s="18" t="s">
        <v>2318</v>
      </c>
      <c r="AJ582" s="18" t="s">
        <v>2319</v>
      </c>
      <c r="AK582" s="18" t="s">
        <v>2320</v>
      </c>
      <c r="AL582" s="17" t="s">
        <v>2321</v>
      </c>
      <c r="AM582" s="17" t="s">
        <v>2322</v>
      </c>
      <c r="AN582" s="17" t="s">
        <v>2323</v>
      </c>
      <c r="AS582" s="17" t="s">
        <v>76</v>
      </c>
      <c r="AT582" s="17" t="s">
        <v>388</v>
      </c>
      <c r="AU582" s="17" t="s">
        <v>109</v>
      </c>
      <c r="AZ582" s="17" t="s">
        <v>151</v>
      </c>
      <c r="BA582" s="17" t="s">
        <v>491</v>
      </c>
      <c r="BH582" s="17">
        <v>17.0</v>
      </c>
      <c r="BJ582" s="16">
        <v>0.45833333333575865</v>
      </c>
      <c r="BK582" s="16">
        <v>0.9993055555532919</v>
      </c>
      <c r="BM582" s="17" t="s">
        <v>2324</v>
      </c>
      <c r="BP582" s="17" t="s">
        <v>2325</v>
      </c>
      <c r="BR582" s="24" t="str">
        <f t="shared" si="1"/>
        <v>Yousiffain kalyani biryani </v>
      </c>
    </row>
    <row r="583" ht="22.5" customHeight="1">
      <c r="A583" s="14">
        <v>46071.927388564814</v>
      </c>
      <c r="B583" s="15">
        <v>46069.0</v>
      </c>
      <c r="C583" s="16">
        <v>0.5</v>
      </c>
      <c r="D583" s="17" t="s">
        <v>91</v>
      </c>
      <c r="F583" s="17">
        <v>20.0</v>
      </c>
      <c r="G583" s="17">
        <v>180.0</v>
      </c>
      <c r="H583" s="17" t="s">
        <v>388</v>
      </c>
      <c r="I583" s="17">
        <v>20000.0</v>
      </c>
      <c r="J583" s="17" t="s">
        <v>221</v>
      </c>
      <c r="N583" s="17">
        <v>1.0</v>
      </c>
      <c r="O583" s="17" t="s">
        <v>96</v>
      </c>
      <c r="P583" s="17" t="s">
        <v>109</v>
      </c>
      <c r="Q583" s="17" t="s">
        <v>97</v>
      </c>
      <c r="R583" s="17" t="s">
        <v>109</v>
      </c>
      <c r="S583" s="18" t="s">
        <v>2326</v>
      </c>
      <c r="U583" s="17" t="s">
        <v>2327</v>
      </c>
      <c r="V583" s="17">
        <v>8.801925991E9</v>
      </c>
      <c r="W583" s="17" t="s">
        <v>2328</v>
      </c>
      <c r="AA583" s="17" t="s">
        <v>76</v>
      </c>
      <c r="AB583" s="17">
        <v>2.3623030000703E13</v>
      </c>
      <c r="AC583" s="18" t="s">
        <v>2329</v>
      </c>
      <c r="AD583" s="17" t="s">
        <v>388</v>
      </c>
      <c r="AF583" s="17" t="s">
        <v>2330</v>
      </c>
      <c r="AG583" s="18" t="s">
        <v>2331</v>
      </c>
      <c r="AK583" s="18" t="s">
        <v>2332</v>
      </c>
      <c r="AL583" s="17" t="s">
        <v>2333</v>
      </c>
      <c r="AM583" s="17" t="s">
        <v>2334</v>
      </c>
      <c r="AN583" s="17" t="s">
        <v>2335</v>
      </c>
      <c r="AS583" s="17" t="s">
        <v>76</v>
      </c>
      <c r="AT583" s="17" t="s">
        <v>388</v>
      </c>
      <c r="AU583" s="17" t="s">
        <v>109</v>
      </c>
      <c r="AV583" s="17" t="s">
        <v>472</v>
      </c>
      <c r="AZ583" s="17" t="s">
        <v>151</v>
      </c>
      <c r="BA583" s="17" t="s">
        <v>458</v>
      </c>
      <c r="BB583" s="17" t="s">
        <v>76</v>
      </c>
      <c r="BH583" s="17">
        <v>20.0</v>
      </c>
      <c r="BI583" s="17" t="s">
        <v>76</v>
      </c>
      <c r="BJ583" s="16">
        <v>0.45833333333575865</v>
      </c>
      <c r="BK583" s="16">
        <v>0.5</v>
      </c>
      <c r="BM583" s="17" t="s">
        <v>2336</v>
      </c>
      <c r="BP583" s="17" t="s">
        <v>2337</v>
      </c>
      <c r="BR583" s="24" t="str">
        <f t="shared" si="1"/>
        <v>Iq shawarma</v>
      </c>
    </row>
    <row r="584" ht="22.5" customHeight="1">
      <c r="A584" s="14">
        <v>46071.943487384255</v>
      </c>
      <c r="B584" s="15">
        <v>46069.0</v>
      </c>
      <c r="C584" s="16">
        <v>0.515972222223354</v>
      </c>
      <c r="D584" s="17" t="s">
        <v>91</v>
      </c>
      <c r="F584" s="17">
        <v>50.0</v>
      </c>
      <c r="G584" s="17">
        <v>200.0</v>
      </c>
      <c r="H584" s="17" t="s">
        <v>388</v>
      </c>
      <c r="I584" s="17">
        <v>40000.0</v>
      </c>
      <c r="J584" s="17" t="s">
        <v>221</v>
      </c>
      <c r="K584" s="17" t="s">
        <v>134</v>
      </c>
      <c r="L584" s="17">
        <v>30.0</v>
      </c>
      <c r="N584" s="17">
        <v>1.0</v>
      </c>
      <c r="O584" s="17" t="s">
        <v>96</v>
      </c>
      <c r="P584" s="17" t="s">
        <v>109</v>
      </c>
      <c r="Q584" s="17" t="s">
        <v>97</v>
      </c>
      <c r="R584" s="17" t="s">
        <v>98</v>
      </c>
      <c r="S584" s="18" t="s">
        <v>2338</v>
      </c>
      <c r="U584" s="17" t="s">
        <v>2339</v>
      </c>
      <c r="V584" s="17" t="s">
        <v>2340</v>
      </c>
      <c r="W584" s="17" t="s">
        <v>2341</v>
      </c>
      <c r="AA584" s="17" t="s">
        <v>76</v>
      </c>
      <c r="AB584" s="17">
        <v>2.3626030000759E13</v>
      </c>
      <c r="AC584" s="18" t="s">
        <v>2342</v>
      </c>
      <c r="AF584" s="17" t="s">
        <v>2343</v>
      </c>
      <c r="AG584" s="18" t="s">
        <v>2344</v>
      </c>
      <c r="AJ584" s="18" t="s">
        <v>2345</v>
      </c>
      <c r="AK584" s="18" t="s">
        <v>2346</v>
      </c>
      <c r="AL584" s="17" t="s">
        <v>2347</v>
      </c>
      <c r="AM584" s="17" t="s">
        <v>2348</v>
      </c>
      <c r="AN584" s="17" t="s">
        <v>2349</v>
      </c>
      <c r="AS584" s="17" t="s">
        <v>76</v>
      </c>
      <c r="AT584" s="17" t="s">
        <v>388</v>
      </c>
      <c r="AU584" s="17" t="s">
        <v>109</v>
      </c>
      <c r="AZ584" s="17" t="s">
        <v>151</v>
      </c>
      <c r="BA584" s="17" t="s">
        <v>458</v>
      </c>
      <c r="BB584" s="17" t="s">
        <v>76</v>
      </c>
      <c r="BH584" s="17">
        <v>22.0</v>
      </c>
      <c r="BJ584" s="16">
        <v>0.41666666666424135</v>
      </c>
      <c r="BK584" s="16">
        <v>0.9993055555532919</v>
      </c>
      <c r="BL584" s="17">
        <v>50.0</v>
      </c>
      <c r="BM584" s="17" t="s">
        <v>2350</v>
      </c>
      <c r="BN584" s="17" t="s">
        <v>388</v>
      </c>
      <c r="BP584" s="17" t="s">
        <v>2351</v>
      </c>
      <c r="BR584" s="24" t="str">
        <f t="shared" si="1"/>
        <v>Zamana shawarma</v>
      </c>
    </row>
    <row r="585" ht="22.5" customHeight="1">
      <c r="A585" s="14">
        <v>46071.95079577546</v>
      </c>
      <c r="B585" s="15">
        <v>46069.0</v>
      </c>
      <c r="C585" s="16">
        <v>0.5</v>
      </c>
      <c r="D585" s="17" t="s">
        <v>91</v>
      </c>
      <c r="F585" s="17">
        <v>150.0</v>
      </c>
      <c r="G585" s="17">
        <v>2000.0</v>
      </c>
      <c r="H585" s="17" t="s">
        <v>423</v>
      </c>
      <c r="I585" s="17">
        <v>80000.0</v>
      </c>
      <c r="J585" s="17" t="s">
        <v>167</v>
      </c>
      <c r="K585" s="17" t="s">
        <v>134</v>
      </c>
      <c r="L585" s="17">
        <v>28.0</v>
      </c>
      <c r="N585" s="17">
        <v>1.0</v>
      </c>
      <c r="O585" s="17" t="s">
        <v>96</v>
      </c>
      <c r="P585" s="17" t="s">
        <v>76</v>
      </c>
      <c r="Q585" s="17" t="s">
        <v>97</v>
      </c>
      <c r="R585" s="17" t="s">
        <v>76</v>
      </c>
      <c r="S585" s="18" t="s">
        <v>2352</v>
      </c>
      <c r="U585" s="17" t="s">
        <v>2353</v>
      </c>
      <c r="V585" s="17" t="s">
        <v>2354</v>
      </c>
      <c r="W585" s="17" t="s">
        <v>2355</v>
      </c>
      <c r="AA585" s="17" t="s">
        <v>76</v>
      </c>
      <c r="AB585" s="17">
        <v>1.3623011001549E13</v>
      </c>
      <c r="AC585" s="18" t="s">
        <v>2356</v>
      </c>
      <c r="AD585" s="17" t="s">
        <v>2357</v>
      </c>
      <c r="AE585" s="18" t="s">
        <v>2358</v>
      </c>
      <c r="AF585" s="17" t="s">
        <v>2359</v>
      </c>
      <c r="AG585" s="18" t="s">
        <v>2360</v>
      </c>
      <c r="AK585" s="18" t="s">
        <v>2361</v>
      </c>
      <c r="AL585" s="17" t="s">
        <v>2362</v>
      </c>
      <c r="AM585" s="17" t="s">
        <v>2363</v>
      </c>
      <c r="AN585" s="17" t="s">
        <v>2364</v>
      </c>
      <c r="AS585" s="17" t="s">
        <v>76</v>
      </c>
      <c r="AT585" s="17" t="s">
        <v>388</v>
      </c>
      <c r="AU585" s="17" t="s">
        <v>109</v>
      </c>
      <c r="AZ585" s="17" t="s">
        <v>151</v>
      </c>
      <c r="BA585" s="17" t="s">
        <v>458</v>
      </c>
      <c r="BB585" s="17" t="s">
        <v>76</v>
      </c>
      <c r="BH585" s="17">
        <v>17.0</v>
      </c>
      <c r="BI585" s="17" t="s">
        <v>76</v>
      </c>
      <c r="BJ585" s="16">
        <v>0.45833333333575865</v>
      </c>
      <c r="BK585" s="16">
        <v>0.9993055555532919</v>
      </c>
      <c r="BL585" s="17">
        <v>70.0</v>
      </c>
      <c r="BM585" s="17" t="s">
        <v>2365</v>
      </c>
      <c r="BP585" s="17" t="s">
        <v>2364</v>
      </c>
      <c r="BR585" s="24" t="str">
        <f t="shared" si="1"/>
        <v>Santhakam ruchulu</v>
      </c>
    </row>
    <row r="586" ht="22.5" customHeight="1">
      <c r="A586" s="14">
        <v>46071.95545342592</v>
      </c>
      <c r="B586" s="15">
        <v>46070.0</v>
      </c>
      <c r="C586" s="16">
        <v>0.4375</v>
      </c>
      <c r="D586" s="17" t="s">
        <v>91</v>
      </c>
      <c r="F586" s="17">
        <v>50.0</v>
      </c>
      <c r="G586" s="17">
        <v>300.0</v>
      </c>
      <c r="H586" s="17" t="s">
        <v>388</v>
      </c>
      <c r="I586" s="17">
        <v>25000.0</v>
      </c>
      <c r="J586" s="17" t="s">
        <v>94</v>
      </c>
      <c r="K586" s="17" t="s">
        <v>118</v>
      </c>
      <c r="N586" s="17">
        <v>1.0</v>
      </c>
      <c r="O586" s="17" t="s">
        <v>96</v>
      </c>
      <c r="P586" s="17" t="s">
        <v>109</v>
      </c>
      <c r="Q586" s="17" t="s">
        <v>97</v>
      </c>
      <c r="R586" s="17" t="s">
        <v>109</v>
      </c>
      <c r="S586" s="18" t="s">
        <v>2366</v>
      </c>
      <c r="U586" s="17" t="s">
        <v>2367</v>
      </c>
      <c r="V586" s="17" t="s">
        <v>2368</v>
      </c>
      <c r="W586" s="17" t="s">
        <v>2369</v>
      </c>
      <c r="AA586" s="17" t="s">
        <v>76</v>
      </c>
      <c r="AB586" s="17">
        <v>2.3625030000123E13</v>
      </c>
      <c r="AC586" s="18" t="s">
        <v>2370</v>
      </c>
      <c r="AF586" s="17" t="s">
        <v>2371</v>
      </c>
      <c r="AG586" s="18" t="s">
        <v>2372</v>
      </c>
      <c r="AL586" s="17" t="s">
        <v>2373</v>
      </c>
      <c r="AM586" s="17" t="s">
        <v>2374</v>
      </c>
      <c r="AN586" s="17" t="s">
        <v>2375</v>
      </c>
      <c r="AS586" s="17" t="s">
        <v>76</v>
      </c>
      <c r="AT586" s="17" t="s">
        <v>388</v>
      </c>
      <c r="AU586" s="17" t="s">
        <v>109</v>
      </c>
      <c r="AZ586" s="17" t="s">
        <v>151</v>
      </c>
      <c r="BA586" s="17" t="s">
        <v>458</v>
      </c>
      <c r="BB586" s="17" t="s">
        <v>76</v>
      </c>
      <c r="BH586" s="17">
        <v>18.0</v>
      </c>
      <c r="BI586" s="17" t="s">
        <v>76</v>
      </c>
      <c r="BJ586" s="16">
        <v>0.5</v>
      </c>
      <c r="BK586" s="16">
        <v>0.9993055555532919</v>
      </c>
      <c r="BL586" s="17">
        <v>40.0</v>
      </c>
      <c r="BM586" s="17" t="s">
        <v>2376</v>
      </c>
      <c r="BP586" s="17" t="s">
        <v>2377</v>
      </c>
      <c r="BR586" s="24" t="str">
        <f t="shared" si="1"/>
        <v>Blend and roast cafe</v>
      </c>
    </row>
    <row r="587" ht="22.5" customHeight="1">
      <c r="A587" s="14">
        <v>46071.961203969906</v>
      </c>
      <c r="B587" s="15">
        <v>46070.0</v>
      </c>
      <c r="C587" s="16">
        <v>0.6458333333357587</v>
      </c>
      <c r="D587" s="17" t="s">
        <v>91</v>
      </c>
      <c r="F587" s="20" t="s">
        <v>2378</v>
      </c>
      <c r="G587" s="17">
        <v>180.0</v>
      </c>
      <c r="H587" s="17" t="s">
        <v>388</v>
      </c>
      <c r="I587" s="17">
        <v>20000.0</v>
      </c>
      <c r="J587" s="17" t="s">
        <v>221</v>
      </c>
      <c r="K587" s="17" t="s">
        <v>134</v>
      </c>
      <c r="N587" s="17">
        <v>1.0</v>
      </c>
      <c r="O587" s="17" t="s">
        <v>96</v>
      </c>
      <c r="P587" s="17" t="s">
        <v>109</v>
      </c>
      <c r="Q587" s="17" t="s">
        <v>97</v>
      </c>
      <c r="R587" s="17" t="s">
        <v>98</v>
      </c>
      <c r="S587" s="18" t="s">
        <v>2379</v>
      </c>
      <c r="U587" s="17" t="s">
        <v>2380</v>
      </c>
      <c r="V587" s="17">
        <v>9.573462351E9</v>
      </c>
      <c r="W587" s="17" t="s">
        <v>2381</v>
      </c>
      <c r="AA587" s="17" t="s">
        <v>76</v>
      </c>
      <c r="AB587" s="17">
        <v>2.3625030005242E13</v>
      </c>
      <c r="AC587" s="18" t="s">
        <v>2382</v>
      </c>
      <c r="AF587" s="17" t="s">
        <v>2383</v>
      </c>
      <c r="AG587" s="18" t="s">
        <v>2384</v>
      </c>
      <c r="AL587" s="17">
        <v>3.99760777E9</v>
      </c>
      <c r="AM587" s="17" t="s">
        <v>2385</v>
      </c>
      <c r="AN587" s="17" t="s">
        <v>2386</v>
      </c>
      <c r="AS587" s="17" t="s">
        <v>76</v>
      </c>
      <c r="AT587" s="17" t="s">
        <v>388</v>
      </c>
      <c r="AU587" s="17" t="s">
        <v>109</v>
      </c>
      <c r="AZ587" s="17" t="s">
        <v>151</v>
      </c>
      <c r="BA587" s="17" t="s">
        <v>458</v>
      </c>
      <c r="BB587" s="17" t="s">
        <v>76</v>
      </c>
      <c r="BH587" s="17">
        <v>22.0</v>
      </c>
      <c r="BI587" s="17" t="s">
        <v>109</v>
      </c>
      <c r="BJ587" s="16">
        <v>0.29166666666424135</v>
      </c>
      <c r="BK587" s="16">
        <v>0.9583333333357587</v>
      </c>
      <c r="BL587" s="17">
        <v>40.0</v>
      </c>
      <c r="BM587" s="17" t="s">
        <v>2387</v>
      </c>
      <c r="BP587" s="17" t="s">
        <v>2388</v>
      </c>
      <c r="BR587" s="24" t="str">
        <f t="shared" si="1"/>
        <v>Mahreens kitchen </v>
      </c>
    </row>
    <row r="588" ht="22.5" customHeight="1">
      <c r="A588" s="14">
        <v>46071.966343125</v>
      </c>
      <c r="B588" s="15">
        <v>46070.0</v>
      </c>
      <c r="C588" s="16">
        <v>0.4375</v>
      </c>
      <c r="D588" s="17" t="s">
        <v>91</v>
      </c>
      <c r="F588" s="17">
        <v>1.0</v>
      </c>
      <c r="G588" s="17">
        <v>400.0</v>
      </c>
      <c r="H588" s="17" t="s">
        <v>388</v>
      </c>
      <c r="I588" s="17">
        <v>40000.0</v>
      </c>
      <c r="J588" s="17" t="s">
        <v>94</v>
      </c>
      <c r="K588" s="17" t="s">
        <v>515</v>
      </c>
      <c r="L588" s="17">
        <v>25.0</v>
      </c>
      <c r="M588" s="17">
        <v>17.0</v>
      </c>
      <c r="N588" s="17">
        <v>1.0</v>
      </c>
      <c r="O588" s="17" t="s">
        <v>96</v>
      </c>
      <c r="P588" s="17" t="s">
        <v>109</v>
      </c>
      <c r="Q588" s="17" t="s">
        <v>97</v>
      </c>
      <c r="R588" s="17" t="s">
        <v>109</v>
      </c>
      <c r="S588" s="17" t="s">
        <v>2389</v>
      </c>
      <c r="U588" s="17" t="s">
        <v>2390</v>
      </c>
      <c r="V588" s="17" t="s">
        <v>2391</v>
      </c>
      <c r="W588" s="17" t="s">
        <v>2392</v>
      </c>
      <c r="AA588" s="17" t="s">
        <v>76</v>
      </c>
      <c r="AB588" s="17">
        <v>2.3621030000064E13</v>
      </c>
      <c r="AC588" s="18" t="s">
        <v>2393</v>
      </c>
      <c r="AF588" s="17" t="s">
        <v>2394</v>
      </c>
      <c r="AG588" s="18" t="s">
        <v>2395</v>
      </c>
      <c r="AK588" s="18" t="s">
        <v>2396</v>
      </c>
      <c r="AL588" s="17" t="s">
        <v>2397</v>
      </c>
      <c r="AM588" s="17" t="s">
        <v>2398</v>
      </c>
      <c r="AN588" s="17" t="s">
        <v>2399</v>
      </c>
      <c r="AO588" s="17" t="s">
        <v>2400</v>
      </c>
      <c r="AS588" s="17" t="s">
        <v>76</v>
      </c>
      <c r="AT588" s="17" t="s">
        <v>388</v>
      </c>
      <c r="AU588" s="17" t="s">
        <v>109</v>
      </c>
      <c r="AZ588" s="17" t="s">
        <v>151</v>
      </c>
      <c r="BA588" s="17" t="s">
        <v>458</v>
      </c>
      <c r="BB588" s="17" t="s">
        <v>76</v>
      </c>
      <c r="BH588" s="17">
        <v>17.0</v>
      </c>
      <c r="BJ588" s="16">
        <v>0.45833333333575865</v>
      </c>
      <c r="BK588" s="16">
        <v>0.9993055555532919</v>
      </c>
      <c r="BL588" s="17">
        <v>60.0</v>
      </c>
      <c r="BM588" s="17" t="s">
        <v>2401</v>
      </c>
      <c r="BN588" s="17" t="s">
        <v>388</v>
      </c>
      <c r="BP588" s="17" t="s">
        <v>2402</v>
      </c>
      <c r="BR588" s="24" t="str">
        <f t="shared" si="1"/>
        <v>Chicken shawarma hut</v>
      </c>
    </row>
    <row r="589" ht="22.5" customHeight="1">
      <c r="A589" s="14">
        <v>46072.42366222222</v>
      </c>
      <c r="B589" s="15">
        <v>46071.0</v>
      </c>
      <c r="C589" s="16">
        <v>0.75</v>
      </c>
      <c r="D589" s="17" t="s">
        <v>91</v>
      </c>
      <c r="F589" s="17">
        <v>15.0</v>
      </c>
      <c r="G589" s="17">
        <v>400.0</v>
      </c>
      <c r="H589" s="17" t="s">
        <v>388</v>
      </c>
      <c r="J589" s="17" t="s">
        <v>167</v>
      </c>
      <c r="K589" s="17" t="s">
        <v>134</v>
      </c>
      <c r="N589" s="17">
        <v>2.0</v>
      </c>
      <c r="O589" s="17" t="s">
        <v>371</v>
      </c>
      <c r="P589" s="17" t="s">
        <v>76</v>
      </c>
      <c r="Q589" s="17" t="s">
        <v>97</v>
      </c>
      <c r="R589" s="17" t="s">
        <v>76</v>
      </c>
      <c r="S589" s="17" t="s">
        <v>2403</v>
      </c>
      <c r="U589" s="17" t="s">
        <v>2404</v>
      </c>
      <c r="V589" s="17">
        <v>8.97874752E9</v>
      </c>
      <c r="W589" s="17" t="s">
        <v>117</v>
      </c>
      <c r="AA589" s="17" t="s">
        <v>109</v>
      </c>
      <c r="AT589" s="17" t="s">
        <v>2405</v>
      </c>
      <c r="AU589" s="17" t="s">
        <v>76</v>
      </c>
      <c r="AV589" s="17" t="s">
        <v>472</v>
      </c>
      <c r="AW589" s="17" t="s">
        <v>2406</v>
      </c>
      <c r="AX589" s="15">
        <v>46072.0</v>
      </c>
      <c r="AY589" s="16">
        <v>0.5</v>
      </c>
      <c r="AZ589" s="17" t="s">
        <v>1581</v>
      </c>
      <c r="BA589" s="17" t="s">
        <v>458</v>
      </c>
      <c r="BB589" s="17" t="s">
        <v>76</v>
      </c>
      <c r="BN589" s="17" t="s">
        <v>1924</v>
      </c>
      <c r="BP589" s="17" t="s">
        <v>2407</v>
      </c>
      <c r="BR589" s="24" t="str">
        <f t="shared" si="1"/>
        <v>Manam Chocolate</v>
      </c>
    </row>
    <row r="590" ht="22.5" customHeight="1">
      <c r="A590" s="14">
        <v>46072.425026620374</v>
      </c>
      <c r="B590" s="15">
        <v>46071.0</v>
      </c>
      <c r="C590" s="16">
        <v>0.7708333333357587</v>
      </c>
      <c r="U590" s="17" t="s">
        <v>2408</v>
      </c>
      <c r="V590" s="17">
        <v>9.16724049E9</v>
      </c>
      <c r="W590" s="17" t="s">
        <v>117</v>
      </c>
      <c r="AA590" s="17" t="s">
        <v>109</v>
      </c>
      <c r="AT590" s="17" t="s">
        <v>2409</v>
      </c>
      <c r="AU590" s="17" t="s">
        <v>76</v>
      </c>
      <c r="AV590" s="17" t="s">
        <v>472</v>
      </c>
      <c r="AW590" s="17" t="s">
        <v>2410</v>
      </c>
      <c r="AX590" s="15">
        <v>46072.0</v>
      </c>
      <c r="AY590" s="16">
        <v>0.5</v>
      </c>
      <c r="AZ590" s="17" t="s">
        <v>1581</v>
      </c>
      <c r="BA590" s="17" t="s">
        <v>458</v>
      </c>
      <c r="BB590" s="17" t="s">
        <v>109</v>
      </c>
      <c r="BP590" s="17" t="s">
        <v>2411</v>
      </c>
      <c r="BR590" s="24" t="str">
        <f t="shared" si="1"/>
        <v>Sabko</v>
      </c>
    </row>
    <row r="591" ht="22.5" customHeight="1">
      <c r="A591" s="14">
        <v>46072.750387210646</v>
      </c>
      <c r="B591" s="15">
        <v>46072.0</v>
      </c>
      <c r="C591" s="16">
        <v>0.5138888888905058</v>
      </c>
      <c r="D591" s="17" t="s">
        <v>91</v>
      </c>
      <c r="F591" s="17">
        <v>50.0</v>
      </c>
      <c r="G591" s="17">
        <v>180.0</v>
      </c>
      <c r="H591" s="17" t="s">
        <v>388</v>
      </c>
      <c r="I591" s="17">
        <v>15000.0</v>
      </c>
      <c r="J591" s="17" t="s">
        <v>221</v>
      </c>
      <c r="K591" s="17" t="s">
        <v>134</v>
      </c>
      <c r="N591" s="17">
        <v>1.0</v>
      </c>
      <c r="O591" s="17" t="s">
        <v>96</v>
      </c>
      <c r="P591" s="17" t="s">
        <v>109</v>
      </c>
      <c r="Q591" s="17" t="s">
        <v>97</v>
      </c>
      <c r="R591" s="17" t="s">
        <v>109</v>
      </c>
      <c r="S591" s="18" t="s">
        <v>2412</v>
      </c>
      <c r="U591" s="17" t="s">
        <v>2413</v>
      </c>
      <c r="V591" s="17" t="s">
        <v>2414</v>
      </c>
      <c r="W591" s="17" t="s">
        <v>388</v>
      </c>
      <c r="AA591" s="17" t="s">
        <v>76</v>
      </c>
      <c r="AB591" s="17">
        <v>2.362503200736E13</v>
      </c>
      <c r="AC591" s="18" t="s">
        <v>2415</v>
      </c>
      <c r="AF591" s="17" t="s">
        <v>2416</v>
      </c>
      <c r="AG591" s="18" t="s">
        <v>2417</v>
      </c>
      <c r="AJ591" s="18" t="s">
        <v>2418</v>
      </c>
      <c r="AL591" s="17" t="s">
        <v>2419</v>
      </c>
      <c r="AM591" s="17" t="s">
        <v>2420</v>
      </c>
      <c r="AN591" s="17" t="s">
        <v>2421</v>
      </c>
      <c r="AS591" s="17" t="s">
        <v>76</v>
      </c>
      <c r="AT591" s="17" t="s">
        <v>388</v>
      </c>
      <c r="AU591" s="17" t="s">
        <v>109</v>
      </c>
      <c r="AZ591" s="17" t="s">
        <v>151</v>
      </c>
      <c r="BA591" s="17" t="s">
        <v>458</v>
      </c>
      <c r="BB591" s="17" t="s">
        <v>76</v>
      </c>
      <c r="BH591" s="17">
        <v>23.0</v>
      </c>
      <c r="BI591" s="17" t="s">
        <v>76</v>
      </c>
      <c r="BL591" s="17">
        <v>30.0</v>
      </c>
      <c r="BM591" s="17" t="s">
        <v>2422</v>
      </c>
      <c r="BP591" s="17" t="s">
        <v>2423</v>
      </c>
      <c r="BR591" s="24" t="str">
        <f t="shared" si="1"/>
        <v>Chinese express </v>
      </c>
    </row>
    <row r="592" ht="22.5" customHeight="1">
      <c r="A592" s="14">
        <v>46072.75585422454</v>
      </c>
      <c r="B592" s="15">
        <v>46072.0</v>
      </c>
      <c r="C592" s="16">
        <v>0.5</v>
      </c>
      <c r="D592" s="17" t="s">
        <v>91</v>
      </c>
      <c r="F592" s="17">
        <v>50.0</v>
      </c>
      <c r="G592" s="17">
        <v>180.0</v>
      </c>
      <c r="H592" s="17" t="s">
        <v>388</v>
      </c>
      <c r="I592" s="17">
        <v>20000.0</v>
      </c>
      <c r="J592" s="17" t="s">
        <v>221</v>
      </c>
      <c r="K592" s="17" t="s">
        <v>134</v>
      </c>
      <c r="N592" s="17">
        <v>1.0</v>
      </c>
      <c r="O592" s="17" t="s">
        <v>96</v>
      </c>
      <c r="P592" s="17" t="s">
        <v>109</v>
      </c>
      <c r="Q592" s="17" t="s">
        <v>97</v>
      </c>
      <c r="R592" s="17" t="s">
        <v>109</v>
      </c>
      <c r="S592" s="18" t="s">
        <v>2424</v>
      </c>
      <c r="U592" s="17" t="s">
        <v>2425</v>
      </c>
      <c r="V592" s="17">
        <v>9.390077903E9</v>
      </c>
      <c r="W592" s="17" t="s">
        <v>388</v>
      </c>
      <c r="AA592" s="17" t="s">
        <v>76</v>
      </c>
      <c r="AB592" s="17" t="s">
        <v>2426</v>
      </c>
      <c r="AC592" s="18" t="s">
        <v>2427</v>
      </c>
      <c r="AF592" s="17" t="s">
        <v>2428</v>
      </c>
      <c r="AG592" s="18" t="s">
        <v>2429</v>
      </c>
      <c r="AJ592" s="18" t="s">
        <v>2430</v>
      </c>
      <c r="AK592" s="18" t="s">
        <v>2431</v>
      </c>
      <c r="AL592" s="17" t="s">
        <v>2432</v>
      </c>
      <c r="AM592" s="17" t="s">
        <v>2433</v>
      </c>
      <c r="AN592" s="17" t="s">
        <v>2434</v>
      </c>
      <c r="AS592" s="17" t="s">
        <v>76</v>
      </c>
      <c r="AT592" s="17" t="s">
        <v>388</v>
      </c>
      <c r="AU592" s="17" t="s">
        <v>109</v>
      </c>
      <c r="AZ592" s="17" t="s">
        <v>151</v>
      </c>
      <c r="BA592" s="17" t="s">
        <v>458</v>
      </c>
      <c r="BB592" s="17" t="s">
        <v>76</v>
      </c>
      <c r="BH592" s="17">
        <v>26.0</v>
      </c>
      <c r="BJ592" s="16">
        <v>0.5416666666642413</v>
      </c>
      <c r="BK592" s="16">
        <v>0.9993055555532919</v>
      </c>
      <c r="BM592" s="17" t="s">
        <v>2435</v>
      </c>
      <c r="BP592" s="17" t="s">
        <v>2436</v>
      </c>
      <c r="BR592" s="24" t="str">
        <f t="shared" si="1"/>
        <v>Ichirakai Rameen house</v>
      </c>
    </row>
    <row r="593" ht="22.5" customHeight="1">
      <c r="A593" s="14">
        <v>46072.75911626157</v>
      </c>
      <c r="B593" s="15">
        <v>46072.0</v>
      </c>
      <c r="C593" s="16">
        <v>0.5</v>
      </c>
      <c r="D593" s="17" t="s">
        <v>91</v>
      </c>
      <c r="F593" s="17">
        <v>90.0</v>
      </c>
      <c r="G593" s="17">
        <v>400.0</v>
      </c>
      <c r="H593" s="17" t="s">
        <v>423</v>
      </c>
      <c r="I593" s="17">
        <v>50000.0</v>
      </c>
      <c r="J593" s="17" t="s">
        <v>94</v>
      </c>
      <c r="K593" s="17" t="s">
        <v>118</v>
      </c>
      <c r="N593" s="17">
        <v>2.0</v>
      </c>
      <c r="O593" s="17" t="s">
        <v>96</v>
      </c>
      <c r="P593" s="17" t="s">
        <v>109</v>
      </c>
      <c r="Q593" s="17" t="s">
        <v>97</v>
      </c>
      <c r="R593" s="17" t="s">
        <v>98</v>
      </c>
      <c r="S593" s="18" t="s">
        <v>2437</v>
      </c>
      <c r="U593" s="17" t="s">
        <v>2438</v>
      </c>
      <c r="V593" s="17" t="s">
        <v>2439</v>
      </c>
      <c r="W593" s="17" t="s">
        <v>2440</v>
      </c>
      <c r="AA593" s="17" t="s">
        <v>76</v>
      </c>
      <c r="AB593" s="17">
        <v>1.3625013000918E13</v>
      </c>
      <c r="AC593" s="18" t="s">
        <v>2441</v>
      </c>
      <c r="AF593" s="17" t="s">
        <v>2442</v>
      </c>
      <c r="AG593" s="18" t="s">
        <v>2443</v>
      </c>
      <c r="AL593" s="17" t="s">
        <v>2444</v>
      </c>
      <c r="AM593" s="17" t="s">
        <v>2445</v>
      </c>
      <c r="AN593" s="17" t="s">
        <v>2446</v>
      </c>
      <c r="AS593" s="17" t="s">
        <v>76</v>
      </c>
      <c r="AT593" s="17" t="s">
        <v>388</v>
      </c>
      <c r="AU593" s="17" t="s">
        <v>109</v>
      </c>
      <c r="AZ593" s="17" t="s">
        <v>151</v>
      </c>
      <c r="BA593" s="17" t="s">
        <v>458</v>
      </c>
      <c r="BB593" s="17" t="s">
        <v>76</v>
      </c>
      <c r="BH593" s="17">
        <v>15.0</v>
      </c>
      <c r="BI593" s="17" t="s">
        <v>76</v>
      </c>
      <c r="BJ593" s="16">
        <v>0.45833333333575865</v>
      </c>
      <c r="BK593" s="16">
        <v>0.9993055555532919</v>
      </c>
      <c r="BL593" s="17">
        <v>60.0</v>
      </c>
      <c r="BM593" s="17" t="s">
        <v>2447</v>
      </c>
      <c r="BN593" s="17" t="s">
        <v>388</v>
      </c>
      <c r="BP593" s="17" t="s">
        <v>2448</v>
      </c>
      <c r="BR593" s="24" t="str">
        <f t="shared" si="1"/>
        <v>Rao gari military hotel</v>
      </c>
    </row>
    <row r="594" ht="22.5" customHeight="1">
      <c r="A594" s="14">
        <v>46072.76318693287</v>
      </c>
      <c r="B594" s="15">
        <v>46072.0</v>
      </c>
      <c r="C594" s="16">
        <v>0.5451388888905058</v>
      </c>
      <c r="D594" s="17" t="s">
        <v>91</v>
      </c>
      <c r="F594" s="17">
        <v>100.0</v>
      </c>
      <c r="G594" s="17">
        <v>400.0</v>
      </c>
      <c r="H594" s="17" t="s">
        <v>423</v>
      </c>
      <c r="I594" s="17">
        <v>50000.0</v>
      </c>
      <c r="J594" s="17" t="s">
        <v>94</v>
      </c>
      <c r="K594" s="17" t="s">
        <v>134</v>
      </c>
      <c r="N594" s="17">
        <v>2.0</v>
      </c>
      <c r="O594" s="17" t="s">
        <v>96</v>
      </c>
      <c r="P594" s="17" t="s">
        <v>109</v>
      </c>
      <c r="Q594" s="17" t="s">
        <v>97</v>
      </c>
      <c r="R594" s="17" t="s">
        <v>109</v>
      </c>
      <c r="S594" s="18" t="s">
        <v>2449</v>
      </c>
      <c r="U594" s="17" t="s">
        <v>2450</v>
      </c>
      <c r="V594" s="17">
        <v>7.406466642E9</v>
      </c>
      <c r="W594" s="17" t="s">
        <v>2451</v>
      </c>
      <c r="AA594" s="17" t="s">
        <v>76</v>
      </c>
      <c r="AB594" s="17">
        <v>2.3625032008581E13</v>
      </c>
      <c r="AC594" s="18" t="s">
        <v>2452</v>
      </c>
      <c r="AF594" s="17" t="s">
        <v>2453</v>
      </c>
      <c r="AG594" s="18" t="s">
        <v>2454</v>
      </c>
      <c r="AL594" s="17" t="s">
        <v>2455</v>
      </c>
      <c r="AM594" s="17" t="s">
        <v>2456</v>
      </c>
      <c r="AN594" s="17" t="s">
        <v>2456</v>
      </c>
      <c r="AO594" s="17" t="s">
        <v>1057</v>
      </c>
      <c r="AS594" s="17" t="s">
        <v>76</v>
      </c>
      <c r="AT594" s="17" t="s">
        <v>388</v>
      </c>
      <c r="AU594" s="17" t="s">
        <v>109</v>
      </c>
      <c r="AZ594" s="17" t="s">
        <v>151</v>
      </c>
      <c r="BA594" s="17" t="s">
        <v>458</v>
      </c>
      <c r="BB594" s="17" t="s">
        <v>76</v>
      </c>
      <c r="BH594" s="17">
        <v>15.0</v>
      </c>
      <c r="BI594" s="17" t="s">
        <v>76</v>
      </c>
      <c r="BJ594" s="16">
        <v>0.5</v>
      </c>
      <c r="BK594" s="16">
        <v>0.9583333333357587</v>
      </c>
      <c r="BL594" s="17" t="s">
        <v>512</v>
      </c>
      <c r="BM594" s="17" t="s">
        <v>2457</v>
      </c>
      <c r="BP594" s="17" t="s">
        <v>2448</v>
      </c>
      <c r="BR594" s="24" t="str">
        <f t="shared" si="1"/>
        <v>Rao gari military hotel</v>
      </c>
    </row>
    <row r="595" ht="22.5" customHeight="1">
      <c r="A595" s="14">
        <v>46072.769554583334</v>
      </c>
      <c r="B595" s="15">
        <v>46072.0</v>
      </c>
      <c r="C595" s="16">
        <v>0.41666666666424135</v>
      </c>
      <c r="D595" s="17" t="s">
        <v>91</v>
      </c>
      <c r="F595" s="17">
        <v>50.0</v>
      </c>
      <c r="G595" s="17">
        <v>180.0</v>
      </c>
      <c r="H595" s="17" t="s">
        <v>388</v>
      </c>
      <c r="I595" s="17">
        <v>2000.0</v>
      </c>
      <c r="J595" s="17" t="s">
        <v>221</v>
      </c>
      <c r="K595" s="17" t="s">
        <v>95</v>
      </c>
      <c r="N595" s="17">
        <v>2.0</v>
      </c>
      <c r="O595" s="17" t="s">
        <v>96</v>
      </c>
      <c r="P595" s="17" t="s">
        <v>109</v>
      </c>
      <c r="Q595" s="17" t="s">
        <v>97</v>
      </c>
      <c r="R595" s="17" t="s">
        <v>109</v>
      </c>
      <c r="S595" s="17" t="s">
        <v>2458</v>
      </c>
      <c r="U595" s="17" t="s">
        <v>2459</v>
      </c>
      <c r="V595" s="17" t="s">
        <v>2460</v>
      </c>
      <c r="W595" s="17" t="s">
        <v>388</v>
      </c>
      <c r="AA595" s="17" t="s">
        <v>76</v>
      </c>
      <c r="AB595" s="17" t="s">
        <v>2461</v>
      </c>
      <c r="AC595" s="18" t="s">
        <v>2462</v>
      </c>
      <c r="AF595" s="17" t="s">
        <v>2463</v>
      </c>
      <c r="AG595" s="18" t="s">
        <v>2464</v>
      </c>
      <c r="AL595" s="17" t="s">
        <v>2465</v>
      </c>
      <c r="AM595" s="17" t="s">
        <v>2466</v>
      </c>
      <c r="AN595" s="17" t="s">
        <v>2467</v>
      </c>
      <c r="AS595" s="17" t="s">
        <v>76</v>
      </c>
      <c r="AT595" s="17" t="s">
        <v>388</v>
      </c>
      <c r="AU595" s="17" t="s">
        <v>109</v>
      </c>
      <c r="AZ595" s="17" t="s">
        <v>151</v>
      </c>
      <c r="BA595" s="17" t="s">
        <v>458</v>
      </c>
      <c r="BB595" s="17" t="s">
        <v>76</v>
      </c>
      <c r="BH595" s="17">
        <v>23.0</v>
      </c>
      <c r="BI595" s="17" t="s">
        <v>109</v>
      </c>
      <c r="BJ595" s="16">
        <v>0.29166666666424135</v>
      </c>
      <c r="BK595" s="16">
        <v>0.9993055555532919</v>
      </c>
      <c r="BL595" s="17" t="s">
        <v>388</v>
      </c>
      <c r="BM595" s="17" t="s">
        <v>2468</v>
      </c>
      <c r="BP595" s="17" t="s">
        <v>2469</v>
      </c>
      <c r="BR595" s="24" t="str">
        <f t="shared" si="1"/>
        <v>Kamakshi tiffins</v>
      </c>
    </row>
    <row r="596" ht="22.5" customHeight="1">
      <c r="A596" s="14">
        <v>46072.7733125</v>
      </c>
      <c r="B596" s="15">
        <v>46072.0</v>
      </c>
      <c r="C596" s="16">
        <v>0.41666666666424135</v>
      </c>
      <c r="D596" s="17" t="s">
        <v>91</v>
      </c>
      <c r="F596" s="17">
        <v>50.0</v>
      </c>
      <c r="G596" s="17">
        <v>180.0</v>
      </c>
      <c r="H596" s="17" t="s">
        <v>388</v>
      </c>
      <c r="I596" s="17">
        <v>20000.0</v>
      </c>
      <c r="J596" s="17" t="s">
        <v>221</v>
      </c>
      <c r="K596" s="17" t="s">
        <v>95</v>
      </c>
      <c r="N596" s="17">
        <v>2.0</v>
      </c>
      <c r="O596" s="17" t="s">
        <v>96</v>
      </c>
      <c r="P596" s="17" t="s">
        <v>109</v>
      </c>
      <c r="Q596" s="17" t="s">
        <v>97</v>
      </c>
      <c r="R596" s="17" t="s">
        <v>109</v>
      </c>
      <c r="S596" s="17" t="s">
        <v>2458</v>
      </c>
      <c r="U596" s="17" t="s">
        <v>2470</v>
      </c>
      <c r="V596" s="17" t="s">
        <v>2460</v>
      </c>
      <c r="W596" s="17" t="s">
        <v>388</v>
      </c>
      <c r="AA596" s="17" t="s">
        <v>76</v>
      </c>
      <c r="AB596" s="17" t="s">
        <v>2461</v>
      </c>
      <c r="AC596" s="18" t="s">
        <v>2471</v>
      </c>
      <c r="AF596" s="17" t="s">
        <v>2463</v>
      </c>
      <c r="AG596" s="18" t="s">
        <v>2472</v>
      </c>
      <c r="AL596" s="17" t="s">
        <v>2465</v>
      </c>
      <c r="AM596" s="17" t="s">
        <v>2473</v>
      </c>
      <c r="AN596" s="17" t="s">
        <v>2459</v>
      </c>
      <c r="AS596" s="17" t="s">
        <v>76</v>
      </c>
      <c r="AT596" s="17" t="s">
        <v>388</v>
      </c>
      <c r="AU596" s="17" t="s">
        <v>109</v>
      </c>
      <c r="AZ596" s="17" t="s">
        <v>151</v>
      </c>
      <c r="BA596" s="17" t="s">
        <v>458</v>
      </c>
      <c r="BB596" s="17" t="s">
        <v>76</v>
      </c>
      <c r="BH596" s="17">
        <v>23.0</v>
      </c>
      <c r="BI596" s="17" t="s">
        <v>109</v>
      </c>
      <c r="BJ596" s="16">
        <v>0.29166666666424135</v>
      </c>
      <c r="BK596" s="16">
        <v>0.9993055555532919</v>
      </c>
      <c r="BM596" s="17" t="s">
        <v>2474</v>
      </c>
      <c r="BN596" s="17" t="s">
        <v>388</v>
      </c>
      <c r="BP596" s="17" t="s">
        <v>2475</v>
      </c>
      <c r="BR596" s="24" t="str">
        <f t="shared" si="1"/>
        <v>Kamakshi snakes meals and curries</v>
      </c>
    </row>
    <row r="597" ht="22.5" customHeight="1">
      <c r="A597" s="14">
        <v>46072.77794140046</v>
      </c>
      <c r="B597" s="15">
        <v>46072.0</v>
      </c>
      <c r="C597" s="16">
        <v>0.41666666666424135</v>
      </c>
      <c r="D597" s="17" t="s">
        <v>91</v>
      </c>
      <c r="F597" s="17">
        <v>50.0</v>
      </c>
      <c r="G597" s="17">
        <v>200.0</v>
      </c>
      <c r="H597" s="17" t="s">
        <v>388</v>
      </c>
      <c r="I597" s="17">
        <v>20000.0</v>
      </c>
      <c r="J597" s="17" t="s">
        <v>221</v>
      </c>
      <c r="K597" s="17" t="s">
        <v>95</v>
      </c>
      <c r="N597" s="17">
        <v>1.0</v>
      </c>
      <c r="O597" s="17" t="s">
        <v>135</v>
      </c>
      <c r="P597" s="17" t="s">
        <v>109</v>
      </c>
      <c r="Q597" s="17" t="s">
        <v>97</v>
      </c>
      <c r="R597" s="17" t="s">
        <v>109</v>
      </c>
      <c r="S597" s="18" t="s">
        <v>2476</v>
      </c>
      <c r="U597" s="17" t="s">
        <v>2477</v>
      </c>
      <c r="V597" s="17" t="s">
        <v>2478</v>
      </c>
      <c r="W597" s="17" t="s">
        <v>2479</v>
      </c>
      <c r="AA597" s="17" t="s">
        <v>76</v>
      </c>
      <c r="AB597" s="17">
        <v>2.3625032007245E13</v>
      </c>
      <c r="AC597" s="18" t="s">
        <v>2480</v>
      </c>
      <c r="AF597" s="17" t="s">
        <v>2481</v>
      </c>
      <c r="AG597" s="18" t="s">
        <v>2482</v>
      </c>
      <c r="AJ597" s="18" t="s">
        <v>2483</v>
      </c>
      <c r="AK597" s="18" t="s">
        <v>2484</v>
      </c>
      <c r="AL597" s="17" t="s">
        <v>2485</v>
      </c>
      <c r="AM597" s="17" t="s">
        <v>2486</v>
      </c>
      <c r="AN597" s="17" t="s">
        <v>2487</v>
      </c>
      <c r="AS597" s="17" t="s">
        <v>76</v>
      </c>
      <c r="AT597" s="17" t="s">
        <v>388</v>
      </c>
      <c r="AU597" s="17" t="s">
        <v>109</v>
      </c>
      <c r="AZ597" s="17" t="s">
        <v>151</v>
      </c>
      <c r="BA597" s="17" t="s">
        <v>458</v>
      </c>
      <c r="BB597" s="17" t="s">
        <v>76</v>
      </c>
      <c r="BH597" s="17">
        <v>17.0</v>
      </c>
      <c r="BI597" s="17" t="s">
        <v>76</v>
      </c>
      <c r="BJ597" s="16">
        <v>0.5</v>
      </c>
      <c r="BK597" s="16">
        <v>0.9993055555532919</v>
      </c>
      <c r="BM597" s="17" t="s">
        <v>2488</v>
      </c>
      <c r="BP597" s="17" t="s">
        <v>2489</v>
      </c>
      <c r="BR597" s="24" t="str">
        <f t="shared" si="1"/>
        <v>Royal odisha daba</v>
      </c>
    </row>
    <row r="598" ht="22.5" customHeight="1">
      <c r="A598" s="14">
        <v>46072.819530925924</v>
      </c>
      <c r="B598" s="15">
        <v>46072.0</v>
      </c>
      <c r="C598" s="16">
        <v>0.5833333333357587</v>
      </c>
      <c r="U598" s="17" t="s">
        <v>113</v>
      </c>
      <c r="V598" s="17">
        <v>7.660889977E9</v>
      </c>
      <c r="W598" s="17" t="s">
        <v>113</v>
      </c>
      <c r="AA598" s="17" t="s">
        <v>109</v>
      </c>
      <c r="AT598" s="17" t="s">
        <v>2490</v>
      </c>
      <c r="AU598" s="17" t="s">
        <v>76</v>
      </c>
      <c r="AZ598" s="17" t="s">
        <v>243</v>
      </c>
      <c r="BA598" s="17" t="s">
        <v>458</v>
      </c>
      <c r="BB598" s="17" t="s">
        <v>109</v>
      </c>
      <c r="BP598" s="17" t="s">
        <v>2491</v>
      </c>
      <c r="BR598" s="24" t="str">
        <f t="shared" si="1"/>
        <v>Shasha shandaar shawarma</v>
      </c>
    </row>
    <row r="599" ht="22.5" customHeight="1">
      <c r="A599" s="14">
        <v>46072.82178574074</v>
      </c>
      <c r="B599" s="15">
        <v>46072.0</v>
      </c>
      <c r="C599" s="16">
        <v>0.5833333333357587</v>
      </c>
      <c r="D599" s="17" t="s">
        <v>91</v>
      </c>
      <c r="F599" s="17">
        <v>50.0</v>
      </c>
      <c r="G599" s="17">
        <v>1000.0</v>
      </c>
      <c r="H599" s="17" t="s">
        <v>117</v>
      </c>
      <c r="J599" s="17" t="s">
        <v>167</v>
      </c>
      <c r="K599" s="17" t="s">
        <v>134</v>
      </c>
      <c r="N599" s="17">
        <v>3.0</v>
      </c>
      <c r="O599" s="17" t="s">
        <v>135</v>
      </c>
      <c r="P599" s="17" t="s">
        <v>76</v>
      </c>
      <c r="Q599" s="17" t="s">
        <v>97</v>
      </c>
      <c r="R599" s="17" t="s">
        <v>98</v>
      </c>
      <c r="S599" s="17" t="s">
        <v>2492</v>
      </c>
      <c r="U599" s="17" t="s">
        <v>1887</v>
      </c>
      <c r="V599" s="17">
        <v>9.133711711E9</v>
      </c>
      <c r="W599" s="17" t="s">
        <v>113</v>
      </c>
      <c r="AA599" s="17" t="s">
        <v>109</v>
      </c>
      <c r="AT599" s="17" t="s">
        <v>2493</v>
      </c>
      <c r="AU599" s="17" t="s">
        <v>76</v>
      </c>
      <c r="AV599" s="17" t="s">
        <v>472</v>
      </c>
      <c r="AZ599" s="17" t="s">
        <v>243</v>
      </c>
      <c r="BA599" s="17" t="s">
        <v>458</v>
      </c>
      <c r="BB599" s="17" t="s">
        <v>76</v>
      </c>
      <c r="BP599" s="17" t="s">
        <v>2494</v>
      </c>
      <c r="BR599" s="24" t="str">
        <f t="shared" si="1"/>
        <v>Palle vindhu</v>
      </c>
    </row>
    <row r="600" ht="22.5" customHeight="1">
      <c r="A600" s="14">
        <v>46072.82343392361</v>
      </c>
      <c r="B600" s="15">
        <v>46072.0</v>
      </c>
      <c r="C600" s="16">
        <v>0.625</v>
      </c>
      <c r="U600" s="17" t="s">
        <v>2495</v>
      </c>
      <c r="V600" s="17">
        <v>8.317528467E9</v>
      </c>
      <c r="W600" s="17" t="s">
        <v>113</v>
      </c>
      <c r="AA600" s="17" t="s">
        <v>109</v>
      </c>
      <c r="AT600" s="17" t="s">
        <v>2496</v>
      </c>
      <c r="AU600" s="17" t="s">
        <v>76</v>
      </c>
      <c r="AV600" s="17" t="s">
        <v>472</v>
      </c>
      <c r="AZ600" s="17" t="s">
        <v>243</v>
      </c>
      <c r="BA600" s="17" t="s">
        <v>458</v>
      </c>
      <c r="BB600" s="17" t="s">
        <v>109</v>
      </c>
      <c r="BP600" s="17" t="s">
        <v>2497</v>
      </c>
      <c r="BR600" s="24" t="str">
        <f t="shared" si="1"/>
        <v>Malabaris</v>
      </c>
    </row>
    <row r="601" ht="22.5" customHeight="1">
      <c r="A601" s="14">
        <v>46072.825393125</v>
      </c>
      <c r="B601" s="15">
        <v>46072.0</v>
      </c>
      <c r="C601" s="16">
        <v>0.6666666666642413</v>
      </c>
      <c r="U601" s="17" t="s">
        <v>2498</v>
      </c>
      <c r="V601" s="17">
        <v>8.0742365E9</v>
      </c>
      <c r="W601" s="17" t="s">
        <v>113</v>
      </c>
      <c r="AA601" s="17" t="s">
        <v>109</v>
      </c>
      <c r="AT601" s="17" t="s">
        <v>2499</v>
      </c>
      <c r="AU601" s="17" t="s">
        <v>76</v>
      </c>
      <c r="AV601" s="17" t="s">
        <v>472</v>
      </c>
      <c r="AZ601" s="17" t="s">
        <v>243</v>
      </c>
      <c r="BA601" s="17" t="s">
        <v>458</v>
      </c>
      <c r="BB601" s="17" t="s">
        <v>109</v>
      </c>
      <c r="BP601" s="17" t="s">
        <v>2500</v>
      </c>
      <c r="BR601" s="24" t="str">
        <f t="shared" si="1"/>
        <v>Zara hi fi restaurent</v>
      </c>
    </row>
    <row r="602" ht="22.5" customHeight="1">
      <c r="A602" s="14">
        <v>46072.827408287034</v>
      </c>
      <c r="B602" s="15">
        <v>46072.0</v>
      </c>
      <c r="C602" s="16">
        <v>0.5208333333357587</v>
      </c>
      <c r="D602" s="17" t="s">
        <v>111</v>
      </c>
      <c r="T602" s="17" t="s">
        <v>2501</v>
      </c>
      <c r="U602" s="17" t="s">
        <v>1868</v>
      </c>
      <c r="V602" s="17">
        <v>7.981900413E9</v>
      </c>
      <c r="W602" s="17" t="s">
        <v>113</v>
      </c>
      <c r="AA602" s="17" t="s">
        <v>109</v>
      </c>
      <c r="AT602" s="17" t="s">
        <v>2502</v>
      </c>
      <c r="AU602" s="17" t="s">
        <v>76</v>
      </c>
      <c r="AV602" s="17" t="s">
        <v>271</v>
      </c>
      <c r="AZ602" s="17" t="s">
        <v>243</v>
      </c>
      <c r="BA602" s="17" t="s">
        <v>458</v>
      </c>
      <c r="BB602" s="17" t="s">
        <v>76</v>
      </c>
      <c r="BP602" s="17" t="s">
        <v>2501</v>
      </c>
      <c r="BR602" s="24" t="str">
        <f t="shared" si="1"/>
        <v>Sankala bakerySankala bakery</v>
      </c>
    </row>
    <row r="603" ht="22.5" customHeight="1">
      <c r="A603" s="14">
        <v>46072.82908174768</v>
      </c>
      <c r="B603" s="15">
        <v>46072.0</v>
      </c>
      <c r="C603" s="16">
        <v>0.5416666666642413</v>
      </c>
      <c r="D603" s="17" t="s">
        <v>91</v>
      </c>
      <c r="F603" s="17">
        <v>50.0</v>
      </c>
      <c r="G603" s="17">
        <v>300.0</v>
      </c>
      <c r="H603" s="17" t="s">
        <v>113</v>
      </c>
      <c r="J603" s="17" t="s">
        <v>94</v>
      </c>
      <c r="K603" s="17" t="s">
        <v>134</v>
      </c>
      <c r="N603" s="17">
        <v>1.0</v>
      </c>
      <c r="O603" s="17" t="s">
        <v>96</v>
      </c>
      <c r="P603" s="17" t="s">
        <v>76</v>
      </c>
      <c r="Q603" s="17" t="s">
        <v>97</v>
      </c>
      <c r="R603" s="17" t="s">
        <v>98</v>
      </c>
      <c r="S603" s="17" t="s">
        <v>2503</v>
      </c>
      <c r="U603" s="17" t="s">
        <v>2504</v>
      </c>
      <c r="V603" s="17">
        <v>9.989547754E9</v>
      </c>
      <c r="W603" s="17" t="s">
        <v>113</v>
      </c>
      <c r="AA603" s="17" t="s">
        <v>109</v>
      </c>
      <c r="AT603" s="17" t="s">
        <v>2505</v>
      </c>
      <c r="AU603" s="17" t="s">
        <v>76</v>
      </c>
      <c r="AV603" s="17" t="s">
        <v>472</v>
      </c>
      <c r="AZ603" s="17" t="s">
        <v>243</v>
      </c>
      <c r="BA603" s="17" t="s">
        <v>458</v>
      </c>
      <c r="BB603" s="17" t="s">
        <v>76</v>
      </c>
      <c r="BP603" s="17" t="s">
        <v>2506</v>
      </c>
      <c r="BR603" s="24" t="str">
        <f t="shared" si="1"/>
        <v>Babai ruchi mess nd biryani</v>
      </c>
    </row>
    <row r="604" ht="22.5" customHeight="1">
      <c r="A604" s="14">
        <v>46072.829962696764</v>
      </c>
      <c r="B604" s="15">
        <v>46072.0</v>
      </c>
      <c r="C604" s="16">
        <v>0.5208333333357587</v>
      </c>
      <c r="D604" s="17" t="s">
        <v>111</v>
      </c>
      <c r="T604" s="17" t="s">
        <v>2507</v>
      </c>
      <c r="U604" s="17" t="s">
        <v>2508</v>
      </c>
      <c r="V604" s="17">
        <v>8.341901102E9</v>
      </c>
      <c r="W604" s="17" t="s">
        <v>113</v>
      </c>
      <c r="AA604" s="17" t="s">
        <v>109</v>
      </c>
      <c r="AT604" s="17" t="s">
        <v>193</v>
      </c>
      <c r="AU604" s="17" t="s">
        <v>109</v>
      </c>
      <c r="AZ604" s="17" t="s">
        <v>243</v>
      </c>
      <c r="BA604" s="17" t="s">
        <v>458</v>
      </c>
      <c r="BB604" s="17" t="s">
        <v>76</v>
      </c>
      <c r="BP604" s="17" t="s">
        <v>2507</v>
      </c>
      <c r="BR604" s="24" t="str">
        <f t="shared" si="1"/>
        <v>Spicy food courtSpicy food court</v>
      </c>
    </row>
    <row r="605" ht="22.5" customHeight="1">
      <c r="A605" s="14">
        <v>46072.83216847222</v>
      </c>
      <c r="B605" s="15">
        <v>46072.0</v>
      </c>
      <c r="C605" s="16">
        <v>0.5069444444452529</v>
      </c>
      <c r="U605" s="17" t="s">
        <v>117</v>
      </c>
      <c r="V605" s="17">
        <v>7.032362999E9</v>
      </c>
      <c r="W605" s="17" t="s">
        <v>117</v>
      </c>
      <c r="AA605" s="17" t="s">
        <v>109</v>
      </c>
      <c r="AT605" s="17" t="s">
        <v>2509</v>
      </c>
      <c r="AU605" s="17" t="s">
        <v>76</v>
      </c>
      <c r="AV605" s="17" t="s">
        <v>472</v>
      </c>
      <c r="AZ605" s="17" t="s">
        <v>243</v>
      </c>
      <c r="BA605" s="17" t="s">
        <v>458</v>
      </c>
      <c r="BB605" s="17" t="s">
        <v>109</v>
      </c>
      <c r="BP605" s="17" t="s">
        <v>2510</v>
      </c>
      <c r="BR605" s="24" t="str">
        <f t="shared" si="1"/>
        <v>Tass Spice hut</v>
      </c>
    </row>
    <row r="606" ht="22.5" customHeight="1">
      <c r="A606" s="14">
        <v>46072.834103726855</v>
      </c>
      <c r="B606" s="15">
        <v>46072.0</v>
      </c>
      <c r="C606" s="16">
        <v>0.5069444444452529</v>
      </c>
      <c r="U606" s="17" t="s">
        <v>113</v>
      </c>
      <c r="V606" s="17">
        <v>9.154051768E9</v>
      </c>
      <c r="W606" s="17" t="s">
        <v>113</v>
      </c>
      <c r="AA606" s="17" t="s">
        <v>109</v>
      </c>
      <c r="AT606" s="17" t="s">
        <v>2511</v>
      </c>
      <c r="AU606" s="17" t="s">
        <v>76</v>
      </c>
      <c r="AV606" s="17" t="s">
        <v>472</v>
      </c>
      <c r="AZ606" s="17" t="s">
        <v>243</v>
      </c>
      <c r="BA606" s="17" t="s">
        <v>458</v>
      </c>
      <c r="BB606" s="17" t="s">
        <v>109</v>
      </c>
      <c r="BP606" s="17" t="s">
        <v>2512</v>
      </c>
      <c r="BR606" s="24" t="str">
        <f t="shared" si="1"/>
        <v>Midhunam</v>
      </c>
    </row>
    <row r="607" ht="22.5" customHeight="1">
      <c r="A607" s="14">
        <v>46072.83577413195</v>
      </c>
      <c r="B607" s="15">
        <v>46072.0</v>
      </c>
      <c r="C607" s="16">
        <v>0.5416666666642413</v>
      </c>
      <c r="D607" s="17" t="s">
        <v>111</v>
      </c>
      <c r="T607" s="17" t="s">
        <v>2513</v>
      </c>
      <c r="U607" s="17" t="s">
        <v>2513</v>
      </c>
      <c r="V607" s="17">
        <v>7.075777491E9</v>
      </c>
      <c r="W607" s="17" t="s">
        <v>113</v>
      </c>
      <c r="AA607" s="17" t="s">
        <v>109</v>
      </c>
      <c r="AT607" s="17" t="s">
        <v>2514</v>
      </c>
      <c r="AU607" s="17" t="s">
        <v>76</v>
      </c>
      <c r="AV607" s="17" t="s">
        <v>271</v>
      </c>
      <c r="AZ607" s="17" t="s">
        <v>243</v>
      </c>
      <c r="BA607" s="17" t="s">
        <v>458</v>
      </c>
      <c r="BB607" s="17" t="s">
        <v>76</v>
      </c>
      <c r="BP607" s="17" t="s">
        <v>2513</v>
      </c>
      <c r="BR607" s="24" t="str">
        <f t="shared" si="1"/>
        <v>Rayalaseema spiceRayalaseema spice</v>
      </c>
    </row>
    <row r="608" ht="22.5" customHeight="1">
      <c r="A608" s="14">
        <v>46072.83762634259</v>
      </c>
      <c r="B608" s="15">
        <v>46072.0</v>
      </c>
      <c r="C608" s="16">
        <v>0.5</v>
      </c>
      <c r="U608" s="17" t="s">
        <v>577</v>
      </c>
      <c r="V608" s="17">
        <v>6.302764631E9</v>
      </c>
      <c r="W608" s="17" t="s">
        <v>113</v>
      </c>
      <c r="AA608" s="17" t="s">
        <v>109</v>
      </c>
      <c r="AT608" s="17" t="s">
        <v>2515</v>
      </c>
      <c r="AU608" s="17" t="s">
        <v>76</v>
      </c>
      <c r="AV608" s="17" t="s">
        <v>271</v>
      </c>
      <c r="AZ608" s="17" t="s">
        <v>243</v>
      </c>
      <c r="BA608" s="17" t="s">
        <v>458</v>
      </c>
      <c r="BB608" s="17" t="s">
        <v>109</v>
      </c>
      <c r="BP608" s="17" t="s">
        <v>2516</v>
      </c>
      <c r="BR608" s="24" t="str">
        <f t="shared" si="1"/>
        <v>BTO PIZZA WINGS SALAD</v>
      </c>
    </row>
    <row r="609" ht="22.5" customHeight="1">
      <c r="A609" s="14">
        <v>46072.89215989583</v>
      </c>
      <c r="B609" s="15">
        <v>46071.0</v>
      </c>
      <c r="C609" s="16">
        <v>0.49652777778101154</v>
      </c>
      <c r="D609" s="17" t="s">
        <v>111</v>
      </c>
      <c r="T609" s="17" t="s">
        <v>788</v>
      </c>
      <c r="U609" s="17" t="s">
        <v>2517</v>
      </c>
      <c r="V609" s="17">
        <v>9.059036521E9</v>
      </c>
      <c r="W609" s="17" t="s">
        <v>117</v>
      </c>
      <c r="AA609" s="17" t="s">
        <v>76</v>
      </c>
      <c r="AB609" s="17">
        <v>2.3625032008726E13</v>
      </c>
      <c r="AC609" s="18" t="s">
        <v>2518</v>
      </c>
      <c r="AS609" s="17" t="s">
        <v>76</v>
      </c>
      <c r="AT609" s="17" t="s">
        <v>2519</v>
      </c>
      <c r="AU609" s="17" t="s">
        <v>76</v>
      </c>
      <c r="AV609" s="17" t="s">
        <v>88</v>
      </c>
      <c r="AZ609" s="17" t="s">
        <v>287</v>
      </c>
      <c r="BA609" s="17" t="s">
        <v>458</v>
      </c>
      <c r="BB609" s="17" t="s">
        <v>76</v>
      </c>
      <c r="BM609" s="17" t="s">
        <v>779</v>
      </c>
      <c r="BP609" s="17" t="s">
        <v>788</v>
      </c>
      <c r="BR609" s="24" t="str">
        <f t="shared" si="1"/>
        <v>Spicy Express Spicy Express </v>
      </c>
    </row>
    <row r="610" ht="22.5" customHeight="1">
      <c r="A610" s="14">
        <v>46072.89784070602</v>
      </c>
      <c r="B610" s="15">
        <v>46071.0</v>
      </c>
      <c r="C610" s="16">
        <v>0.648611111115315</v>
      </c>
      <c r="D610" s="17" t="s">
        <v>91</v>
      </c>
      <c r="F610" s="17">
        <v>30.0</v>
      </c>
      <c r="G610" s="17">
        <v>200.0</v>
      </c>
      <c r="H610" s="17" t="s">
        <v>117</v>
      </c>
      <c r="I610" s="17">
        <v>15000.0</v>
      </c>
      <c r="J610" s="17" t="s">
        <v>94</v>
      </c>
      <c r="K610" s="17" t="s">
        <v>118</v>
      </c>
      <c r="M610" s="17">
        <v>22.0</v>
      </c>
      <c r="N610" s="17">
        <v>1.0</v>
      </c>
      <c r="O610" s="17" t="s">
        <v>135</v>
      </c>
      <c r="P610" s="17" t="s">
        <v>109</v>
      </c>
      <c r="Q610" s="17" t="s">
        <v>97</v>
      </c>
      <c r="R610" s="17" t="s">
        <v>109</v>
      </c>
      <c r="S610" s="17" t="s">
        <v>117</v>
      </c>
      <c r="U610" s="17" t="s">
        <v>2520</v>
      </c>
      <c r="V610" s="17">
        <v>8.639337298E9</v>
      </c>
      <c r="W610" s="17" t="s">
        <v>117</v>
      </c>
      <c r="AA610" s="17" t="s">
        <v>76</v>
      </c>
      <c r="AB610" s="17">
        <v>2.3625032008245E13</v>
      </c>
      <c r="AC610" s="18" t="s">
        <v>2521</v>
      </c>
      <c r="AG610" s="18" t="s">
        <v>2522</v>
      </c>
      <c r="AJ610" s="18" t="s">
        <v>2523</v>
      </c>
      <c r="AS610" s="17" t="s">
        <v>76</v>
      </c>
      <c r="AT610" s="17" t="s">
        <v>2524</v>
      </c>
      <c r="AU610" s="17" t="s">
        <v>76</v>
      </c>
      <c r="AZ610" s="17" t="s">
        <v>287</v>
      </c>
      <c r="BA610" s="17" t="s">
        <v>458</v>
      </c>
      <c r="BB610" s="17" t="s">
        <v>76</v>
      </c>
      <c r="BM610" s="17" t="s">
        <v>2525</v>
      </c>
      <c r="BP610" s="17" t="s">
        <v>2526</v>
      </c>
      <c r="BR610" s="24" t="str">
        <f t="shared" si="1"/>
        <v>Rooster Chicken </v>
      </c>
    </row>
    <row r="611" ht="22.5" customHeight="1">
      <c r="A611" s="14">
        <v>46072.90073896991</v>
      </c>
      <c r="B611" s="15">
        <v>46071.0</v>
      </c>
      <c r="C611" s="16">
        <v>0.6493055555547471</v>
      </c>
      <c r="D611" s="17" t="s">
        <v>91</v>
      </c>
      <c r="F611" s="17">
        <v>30.0</v>
      </c>
      <c r="G611" s="17">
        <v>200.0</v>
      </c>
      <c r="H611" s="17" t="s">
        <v>117</v>
      </c>
      <c r="J611" s="17" t="s">
        <v>94</v>
      </c>
      <c r="K611" s="17" t="s">
        <v>118</v>
      </c>
      <c r="M611" s="17">
        <v>22.0</v>
      </c>
      <c r="N611" s="17">
        <v>1.0</v>
      </c>
      <c r="O611" s="17" t="s">
        <v>135</v>
      </c>
      <c r="P611" s="17" t="s">
        <v>109</v>
      </c>
      <c r="Q611" s="17" t="s">
        <v>97</v>
      </c>
      <c r="R611" s="17" t="s">
        <v>109</v>
      </c>
      <c r="S611" s="17" t="s">
        <v>117</v>
      </c>
      <c r="U611" s="17" t="s">
        <v>2520</v>
      </c>
      <c r="V611" s="17">
        <v>8.639337298E9</v>
      </c>
      <c r="W611" s="17" t="s">
        <v>117</v>
      </c>
      <c r="AA611" s="17" t="s">
        <v>76</v>
      </c>
      <c r="AB611" s="17">
        <v>2.3625032007243E13</v>
      </c>
      <c r="AC611" s="18" t="s">
        <v>2527</v>
      </c>
      <c r="AG611" s="18" t="s">
        <v>2528</v>
      </c>
      <c r="AS611" s="17" t="s">
        <v>76</v>
      </c>
      <c r="AT611" s="17" t="s">
        <v>2529</v>
      </c>
      <c r="AU611" s="17" t="s">
        <v>76</v>
      </c>
      <c r="AZ611" s="17" t="s">
        <v>287</v>
      </c>
      <c r="BA611" s="17" t="s">
        <v>458</v>
      </c>
      <c r="BB611" s="17" t="s">
        <v>76</v>
      </c>
      <c r="BM611" s="17" t="s">
        <v>2525</v>
      </c>
      <c r="BP611" s="17" t="s">
        <v>2530</v>
      </c>
      <c r="BR611" s="24" t="str">
        <f t="shared" si="1"/>
        <v>Dragon Kitchen </v>
      </c>
    </row>
    <row r="612" ht="22.5" customHeight="1">
      <c r="A612" s="14">
        <v>46072.9031558912</v>
      </c>
      <c r="B612" s="15">
        <v>46071.0</v>
      </c>
      <c r="C612" s="16">
        <v>0.6916666666656965</v>
      </c>
      <c r="U612" s="17" t="s">
        <v>2058</v>
      </c>
      <c r="V612" s="17">
        <v>9.39138984E9</v>
      </c>
      <c r="W612" s="17" t="s">
        <v>117</v>
      </c>
      <c r="AA612" s="17" t="s">
        <v>109</v>
      </c>
      <c r="AT612" s="17" t="s">
        <v>2531</v>
      </c>
      <c r="AU612" s="17" t="s">
        <v>76</v>
      </c>
      <c r="AV612" s="17" t="s">
        <v>88</v>
      </c>
      <c r="AZ612" s="17" t="s">
        <v>287</v>
      </c>
      <c r="BA612" s="17" t="s">
        <v>458</v>
      </c>
      <c r="BB612" s="17" t="s">
        <v>109</v>
      </c>
      <c r="BP612" s="17" t="s">
        <v>2060</v>
      </c>
      <c r="BR612" s="24" t="str">
        <f t="shared" si="1"/>
        <v>Pizza Mania</v>
      </c>
    </row>
    <row r="613" ht="22.5" customHeight="1">
      <c r="A613" s="14">
        <v>46072.90578622685</v>
      </c>
      <c r="B613" s="15">
        <v>46072.0</v>
      </c>
      <c r="C613" s="16">
        <v>0.5833333333357587</v>
      </c>
      <c r="D613" s="17" t="s">
        <v>91</v>
      </c>
      <c r="F613" s="17">
        <v>30.0</v>
      </c>
      <c r="G613" s="17">
        <v>200.0</v>
      </c>
      <c r="H613" s="17" t="s">
        <v>117</v>
      </c>
      <c r="J613" s="17" t="s">
        <v>94</v>
      </c>
      <c r="K613" s="17" t="s">
        <v>95</v>
      </c>
      <c r="M613" s="17">
        <v>22.0</v>
      </c>
      <c r="N613" s="17">
        <v>1.0</v>
      </c>
      <c r="O613" s="17" t="s">
        <v>96</v>
      </c>
      <c r="P613" s="17" t="s">
        <v>109</v>
      </c>
      <c r="Q613" s="17" t="s">
        <v>97</v>
      </c>
      <c r="R613" s="17" t="s">
        <v>109</v>
      </c>
      <c r="S613" s="17" t="s">
        <v>117</v>
      </c>
      <c r="U613" s="17" t="s">
        <v>2532</v>
      </c>
      <c r="V613" s="17">
        <v>9.885869143E9</v>
      </c>
      <c r="W613" s="17" t="s">
        <v>117</v>
      </c>
      <c r="AA613" s="17" t="s">
        <v>76</v>
      </c>
      <c r="AC613" s="18" t="s">
        <v>2533</v>
      </c>
      <c r="AG613" s="18" t="s">
        <v>2534</v>
      </c>
      <c r="AK613" s="18" t="s">
        <v>2535</v>
      </c>
      <c r="AS613" s="17" t="s">
        <v>76</v>
      </c>
      <c r="AT613" s="17" t="s">
        <v>2536</v>
      </c>
      <c r="AU613" s="17" t="s">
        <v>109</v>
      </c>
      <c r="AZ613" s="17" t="s">
        <v>287</v>
      </c>
      <c r="BA613" s="17" t="s">
        <v>458</v>
      </c>
      <c r="BB613" s="17" t="s">
        <v>76</v>
      </c>
      <c r="BM613" s="17" t="s">
        <v>779</v>
      </c>
      <c r="BP613" s="17" t="s">
        <v>2537</v>
      </c>
      <c r="BR613" s="24" t="str">
        <f t="shared" si="1"/>
        <v>Slice and Bytes </v>
      </c>
    </row>
    <row r="614" ht="22.5" customHeight="1">
      <c r="A614" s="14">
        <v>46072.909799710644</v>
      </c>
      <c r="B614" s="15">
        <v>46072.0</v>
      </c>
      <c r="C614" s="16">
        <v>0.625</v>
      </c>
      <c r="D614" s="17" t="s">
        <v>91</v>
      </c>
      <c r="F614" s="17">
        <v>40.0</v>
      </c>
      <c r="G614" s="17">
        <v>200.0</v>
      </c>
      <c r="H614" s="17" t="s">
        <v>388</v>
      </c>
      <c r="J614" s="17" t="s">
        <v>94</v>
      </c>
      <c r="K614" s="17" t="s">
        <v>95</v>
      </c>
      <c r="M614" s="17">
        <v>22.0</v>
      </c>
      <c r="N614" s="17">
        <v>1.0</v>
      </c>
      <c r="O614" s="17" t="s">
        <v>96</v>
      </c>
      <c r="P614" s="17" t="s">
        <v>109</v>
      </c>
      <c r="Q614" s="17" t="s">
        <v>97</v>
      </c>
      <c r="R614" s="17" t="s">
        <v>109</v>
      </c>
      <c r="S614" s="17" t="s">
        <v>117</v>
      </c>
      <c r="U614" s="17" t="s">
        <v>2538</v>
      </c>
      <c r="V614" s="17">
        <v>8.143603999E9</v>
      </c>
      <c r="W614" s="17" t="s">
        <v>117</v>
      </c>
      <c r="AA614" s="17" t="s">
        <v>76</v>
      </c>
      <c r="AC614" s="18" t="s">
        <v>2539</v>
      </c>
      <c r="AG614" s="18" t="s">
        <v>2540</v>
      </c>
      <c r="AJ614" s="18" t="s">
        <v>2541</v>
      </c>
      <c r="AK614" s="18" t="s">
        <v>2542</v>
      </c>
      <c r="AS614" s="17" t="s">
        <v>76</v>
      </c>
      <c r="AT614" s="17" t="s">
        <v>586</v>
      </c>
      <c r="AU614" s="17" t="s">
        <v>109</v>
      </c>
      <c r="AZ614" s="17" t="s">
        <v>287</v>
      </c>
      <c r="BA614" s="17" t="s">
        <v>458</v>
      </c>
      <c r="BB614" s="17" t="s">
        <v>76</v>
      </c>
      <c r="BM614" s="17" t="s">
        <v>779</v>
      </c>
      <c r="BP614" s="17" t="s">
        <v>2543</v>
      </c>
      <c r="BR614" s="24" t="str">
        <f t="shared" si="1"/>
        <v>Ayaansh Food Court</v>
      </c>
    </row>
    <row r="615" ht="22.5" customHeight="1">
      <c r="A615" s="14">
        <v>46072.91157834491</v>
      </c>
      <c r="B615" s="15">
        <v>46072.0</v>
      </c>
      <c r="C615" s="16">
        <v>0.6388888888905058</v>
      </c>
      <c r="D615" s="17" t="s">
        <v>91</v>
      </c>
      <c r="F615" s="17">
        <v>1.0</v>
      </c>
      <c r="G615" s="17">
        <v>200.0</v>
      </c>
      <c r="H615" s="17" t="s">
        <v>117</v>
      </c>
      <c r="J615" s="17" t="s">
        <v>221</v>
      </c>
      <c r="K615" s="17" t="s">
        <v>95</v>
      </c>
      <c r="M615" s="17">
        <v>22.0</v>
      </c>
      <c r="N615" s="17">
        <v>1.0</v>
      </c>
      <c r="O615" s="17" t="s">
        <v>96</v>
      </c>
      <c r="P615" s="17" t="s">
        <v>109</v>
      </c>
      <c r="Q615" s="17" t="s">
        <v>97</v>
      </c>
      <c r="R615" s="17" t="s">
        <v>109</v>
      </c>
      <c r="S615" s="17" t="s">
        <v>117</v>
      </c>
      <c r="U615" s="17" t="s">
        <v>2538</v>
      </c>
      <c r="V615" s="17">
        <v>8.143603999E9</v>
      </c>
      <c r="W615" s="17" t="s">
        <v>117</v>
      </c>
      <c r="AA615" s="17" t="s">
        <v>76</v>
      </c>
      <c r="AG615" s="18" t="s">
        <v>2544</v>
      </c>
      <c r="AS615" s="17" t="s">
        <v>76</v>
      </c>
      <c r="AT615" s="17" t="s">
        <v>2531</v>
      </c>
      <c r="AU615" s="17" t="s">
        <v>76</v>
      </c>
      <c r="AV615" s="17" t="s">
        <v>88</v>
      </c>
      <c r="AZ615" s="17" t="s">
        <v>287</v>
      </c>
      <c r="BA615" s="17" t="s">
        <v>458</v>
      </c>
      <c r="BB615" s="17" t="s">
        <v>76</v>
      </c>
      <c r="BM615" s="17" t="s">
        <v>779</v>
      </c>
      <c r="BP615" s="17" t="s">
        <v>2545</v>
      </c>
      <c r="BR615" s="24" t="str">
        <f t="shared" si="1"/>
        <v>Red Bucket Biryani </v>
      </c>
    </row>
    <row r="616" ht="22.5" customHeight="1">
      <c r="A616" s="14">
        <v>46072.91507333334</v>
      </c>
      <c r="B616" s="15">
        <v>46072.0</v>
      </c>
      <c r="C616" s="16">
        <v>0.7222222222189885</v>
      </c>
      <c r="D616" s="17" t="s">
        <v>91</v>
      </c>
      <c r="F616" s="17">
        <v>60.0</v>
      </c>
      <c r="G616" s="17">
        <v>200.0</v>
      </c>
      <c r="H616" s="17" t="s">
        <v>117</v>
      </c>
      <c r="J616" s="17" t="s">
        <v>221</v>
      </c>
      <c r="K616" s="17" t="s">
        <v>95</v>
      </c>
      <c r="M616" s="17">
        <v>22.0</v>
      </c>
      <c r="N616" s="17">
        <v>1.0</v>
      </c>
      <c r="O616" s="17" t="s">
        <v>96</v>
      </c>
      <c r="P616" s="17" t="s">
        <v>76</v>
      </c>
      <c r="Q616" s="17" t="s">
        <v>97</v>
      </c>
      <c r="R616" s="17" t="s">
        <v>109</v>
      </c>
      <c r="S616" s="17" t="s">
        <v>117</v>
      </c>
      <c r="U616" s="17" t="s">
        <v>2546</v>
      </c>
      <c r="V616" s="17">
        <v>6.30477213E9</v>
      </c>
      <c r="W616" s="17" t="s">
        <v>388</v>
      </c>
      <c r="AA616" s="17" t="s">
        <v>76</v>
      </c>
      <c r="AC616" s="18" t="s">
        <v>2547</v>
      </c>
      <c r="AE616" s="18" t="s">
        <v>2548</v>
      </c>
      <c r="AG616" s="18" t="s">
        <v>2549</v>
      </c>
      <c r="AS616" s="17" t="s">
        <v>76</v>
      </c>
      <c r="AT616" s="17" t="s">
        <v>2550</v>
      </c>
      <c r="AU616" s="17" t="s">
        <v>109</v>
      </c>
      <c r="AZ616" s="17" t="s">
        <v>287</v>
      </c>
      <c r="BA616" s="17" t="s">
        <v>458</v>
      </c>
      <c r="BB616" s="17" t="s">
        <v>76</v>
      </c>
      <c r="BM616" s="17" t="s">
        <v>2551</v>
      </c>
      <c r="BP616" s="17" t="s">
        <v>2552</v>
      </c>
      <c r="BR616" s="24" t="str">
        <f t="shared" si="1"/>
        <v>Ahara Aahvanam</v>
      </c>
    </row>
    <row r="617" ht="22.5" customHeight="1">
      <c r="A617" s="14">
        <v>46072.917467175925</v>
      </c>
      <c r="B617" s="15">
        <v>46072.0</v>
      </c>
      <c r="C617" s="16">
        <v>0.6868055555532919</v>
      </c>
      <c r="D617" s="17" t="s">
        <v>91</v>
      </c>
      <c r="F617" s="17">
        <v>1.0</v>
      </c>
      <c r="G617" s="17">
        <v>250.0</v>
      </c>
      <c r="H617" s="17" t="s">
        <v>2553</v>
      </c>
      <c r="J617" s="17" t="s">
        <v>94</v>
      </c>
      <c r="K617" s="17" t="s">
        <v>134</v>
      </c>
      <c r="M617" s="17">
        <v>22.0</v>
      </c>
      <c r="N617" s="17">
        <v>1.0</v>
      </c>
      <c r="O617" s="17" t="s">
        <v>96</v>
      </c>
      <c r="P617" s="17" t="s">
        <v>109</v>
      </c>
      <c r="Q617" s="17" t="s">
        <v>97</v>
      </c>
      <c r="R617" s="17" t="s">
        <v>76</v>
      </c>
      <c r="S617" s="17" t="s">
        <v>117</v>
      </c>
      <c r="U617" s="17" t="s">
        <v>2554</v>
      </c>
      <c r="V617" s="17">
        <v>7.702484488E9</v>
      </c>
      <c r="W617" s="17" t="s">
        <v>117</v>
      </c>
      <c r="AA617" s="17" t="s">
        <v>76</v>
      </c>
      <c r="AC617" s="18" t="s">
        <v>2555</v>
      </c>
      <c r="AG617" s="18" t="s">
        <v>2556</v>
      </c>
      <c r="AI617" s="18" t="s">
        <v>2557</v>
      </c>
      <c r="AS617" s="17" t="s">
        <v>76</v>
      </c>
      <c r="AT617" s="17" t="s">
        <v>2536</v>
      </c>
      <c r="AU617" s="17" t="s">
        <v>109</v>
      </c>
      <c r="AZ617" s="17" t="s">
        <v>287</v>
      </c>
      <c r="BA617" s="17" t="s">
        <v>458</v>
      </c>
      <c r="BB617" s="17" t="s">
        <v>76</v>
      </c>
      <c r="BM617" s="17" t="s">
        <v>779</v>
      </c>
      <c r="BP617" s="17" t="s">
        <v>2558</v>
      </c>
      <c r="BR617" s="24" t="str">
        <f t="shared" si="1"/>
        <v>Annam Parabrahma</v>
      </c>
    </row>
    <row r="618" ht="22.5" customHeight="1">
      <c r="A618" s="14">
        <v>46072.965591064814</v>
      </c>
      <c r="B618" s="15">
        <v>46066.0</v>
      </c>
      <c r="C618" s="16">
        <v>0.10416666666424135</v>
      </c>
      <c r="D618" s="17" t="s">
        <v>91</v>
      </c>
      <c r="F618" s="17">
        <v>50.0</v>
      </c>
      <c r="G618" s="17">
        <v>3009.0</v>
      </c>
      <c r="H618" s="17" t="s">
        <v>291</v>
      </c>
      <c r="I618" s="17">
        <v>120000.0</v>
      </c>
      <c r="J618" s="17" t="s">
        <v>94</v>
      </c>
      <c r="K618" s="17" t="s">
        <v>118</v>
      </c>
      <c r="L618" s="17">
        <v>9.0</v>
      </c>
      <c r="M618" s="17">
        <v>12.0</v>
      </c>
      <c r="N618" s="17">
        <v>3.0</v>
      </c>
      <c r="O618" s="17" t="s">
        <v>135</v>
      </c>
      <c r="P618" s="17" t="s">
        <v>76</v>
      </c>
      <c r="Q618" s="17" t="s">
        <v>97</v>
      </c>
      <c r="R618" s="17" t="s">
        <v>76</v>
      </c>
      <c r="S618" s="18" t="s">
        <v>2559</v>
      </c>
      <c r="U618" s="17" t="s">
        <v>2560</v>
      </c>
      <c r="V618" s="17">
        <v>9.3938748E9</v>
      </c>
      <c r="W618" s="17" t="s">
        <v>117</v>
      </c>
      <c r="AA618" s="17" t="s">
        <v>109</v>
      </c>
      <c r="AT618" s="17" t="s">
        <v>2561</v>
      </c>
      <c r="AU618" s="17" t="s">
        <v>76</v>
      </c>
      <c r="AV618" s="17" t="s">
        <v>472</v>
      </c>
      <c r="AX618" s="15">
        <v>46073.0</v>
      </c>
      <c r="AY618" s="16">
        <v>0.48958333333575865</v>
      </c>
      <c r="AZ618" s="17" t="s">
        <v>164</v>
      </c>
      <c r="BA618" s="17" t="s">
        <v>491</v>
      </c>
      <c r="BL618" s="17">
        <v>300.0</v>
      </c>
      <c r="BN618" s="17" t="s">
        <v>2562</v>
      </c>
      <c r="BP618" s="17" t="s">
        <v>2563</v>
      </c>
      <c r="BR618" s="24" t="str">
        <f t="shared" si="1"/>
        <v>HITECH BAWARCHI FOOD ZONE</v>
      </c>
    </row>
    <row r="619" ht="22.5" customHeight="1">
      <c r="A619" s="14">
        <v>46072.9668280787</v>
      </c>
      <c r="B619" s="15">
        <v>46071.0</v>
      </c>
      <c r="C619" s="16">
        <v>0.5208333333357587</v>
      </c>
      <c r="U619" s="17" t="s">
        <v>2564</v>
      </c>
      <c r="V619" s="17">
        <v>9.5535255E9</v>
      </c>
      <c r="W619" s="17" t="s">
        <v>117</v>
      </c>
      <c r="AA619" s="17" t="s">
        <v>109</v>
      </c>
      <c r="AT619" s="17" t="s">
        <v>2561</v>
      </c>
      <c r="AU619" s="17" t="s">
        <v>76</v>
      </c>
      <c r="AV619" s="17" t="s">
        <v>472</v>
      </c>
      <c r="AX619" s="15">
        <v>46073.0</v>
      </c>
      <c r="AY619" s="16">
        <v>0.47916666666424135</v>
      </c>
      <c r="AZ619" s="17" t="s">
        <v>164</v>
      </c>
      <c r="BA619" s="17" t="s">
        <v>458</v>
      </c>
      <c r="BB619" s="17" t="s">
        <v>109</v>
      </c>
      <c r="BP619" s="17" t="s">
        <v>2565</v>
      </c>
      <c r="BR619" s="24" t="str">
        <f t="shared" si="1"/>
        <v>SURABHI HOTEL</v>
      </c>
    </row>
    <row r="620" ht="22.5" customHeight="1">
      <c r="A620" s="14">
        <v>46072.96872337963</v>
      </c>
      <c r="B620" s="15">
        <v>46071.0</v>
      </c>
      <c r="C620" s="16">
        <v>0.5486111111094942</v>
      </c>
      <c r="U620" s="17" t="s">
        <v>2566</v>
      </c>
      <c r="V620" s="17">
        <v>9.640241237E9</v>
      </c>
      <c r="W620" s="17" t="s">
        <v>117</v>
      </c>
      <c r="AA620" s="17" t="s">
        <v>109</v>
      </c>
      <c r="AT620" s="17" t="s">
        <v>2561</v>
      </c>
      <c r="AU620" s="17" t="s">
        <v>76</v>
      </c>
      <c r="AV620" s="17" t="s">
        <v>472</v>
      </c>
      <c r="AX620" s="15">
        <v>46073.0</v>
      </c>
      <c r="AY620" s="16">
        <v>0.6145833333357587</v>
      </c>
      <c r="AZ620" s="17" t="s">
        <v>164</v>
      </c>
      <c r="BA620" s="17" t="s">
        <v>458</v>
      </c>
      <c r="BB620" s="17" t="s">
        <v>109</v>
      </c>
      <c r="BP620" s="17" t="s">
        <v>2567</v>
      </c>
      <c r="BR620" s="24" t="str">
        <f t="shared" si="1"/>
        <v>USTAADS HYDERABADI ZAIQA</v>
      </c>
    </row>
    <row r="621" ht="22.5" customHeight="1">
      <c r="A621" s="14">
        <v>46072.97013583333</v>
      </c>
      <c r="B621" s="15">
        <v>46071.0</v>
      </c>
      <c r="C621" s="16">
        <v>0.59375</v>
      </c>
      <c r="U621" s="17" t="s">
        <v>2568</v>
      </c>
      <c r="V621" s="17" t="s">
        <v>117</v>
      </c>
      <c r="W621" s="17" t="s">
        <v>117</v>
      </c>
      <c r="AA621" s="17" t="s">
        <v>109</v>
      </c>
      <c r="AT621" s="17" t="s">
        <v>2561</v>
      </c>
      <c r="AU621" s="17" t="s">
        <v>76</v>
      </c>
      <c r="AV621" s="17" t="s">
        <v>472</v>
      </c>
      <c r="AX621" s="15">
        <v>46073.0</v>
      </c>
      <c r="AY621" s="16">
        <v>0.7013888888905058</v>
      </c>
      <c r="AZ621" s="17" t="s">
        <v>164</v>
      </c>
      <c r="BA621" s="17" t="s">
        <v>458</v>
      </c>
      <c r="BB621" s="17" t="s">
        <v>109</v>
      </c>
      <c r="BP621" s="17" t="s">
        <v>2569</v>
      </c>
      <c r="BR621" s="24" t="str">
        <f t="shared" si="1"/>
        <v>GRANDSONS BADEMIYAN KEBAB AND RESTAURANT</v>
      </c>
    </row>
    <row r="622" ht="22.5" customHeight="1">
      <c r="A622" s="14">
        <v>46072.977889421294</v>
      </c>
      <c r="B622" s="15">
        <v>46071.0</v>
      </c>
      <c r="C622" s="16">
        <v>0.617361111115315</v>
      </c>
      <c r="U622" s="17" t="s">
        <v>2570</v>
      </c>
      <c r="V622" s="17">
        <v>9.247109555E9</v>
      </c>
      <c r="W622" s="17" t="s">
        <v>117</v>
      </c>
      <c r="AA622" s="17" t="s">
        <v>76</v>
      </c>
      <c r="AB622" s="17">
        <v>2.3625030003863E13</v>
      </c>
      <c r="AC622" s="18" t="s">
        <v>2571</v>
      </c>
      <c r="AD622" s="17" t="s">
        <v>117</v>
      </c>
      <c r="AF622" s="17" t="s">
        <v>2572</v>
      </c>
      <c r="AG622" s="18" t="s">
        <v>2573</v>
      </c>
      <c r="AK622" s="18" t="s">
        <v>2574</v>
      </c>
      <c r="AL622" s="17">
        <v>9.9980112182519E13</v>
      </c>
      <c r="AN622" s="17" t="s">
        <v>2575</v>
      </c>
      <c r="AO622" s="17" t="s">
        <v>2575</v>
      </c>
      <c r="AP622" s="17">
        <v>9.247109555E9</v>
      </c>
      <c r="AR622" s="17" t="s">
        <v>2576</v>
      </c>
      <c r="AS622" s="17" t="s">
        <v>76</v>
      </c>
      <c r="AT622" s="17" t="s">
        <v>2577</v>
      </c>
      <c r="AU622" s="17" t="s">
        <v>76</v>
      </c>
      <c r="AV622" s="17" t="s">
        <v>88</v>
      </c>
      <c r="AX622" s="15">
        <v>46073.0</v>
      </c>
      <c r="AY622" s="16">
        <v>0.625</v>
      </c>
      <c r="AZ622" s="17" t="s">
        <v>164</v>
      </c>
      <c r="BA622" s="17" t="s">
        <v>458</v>
      </c>
      <c r="BB622" s="17" t="s">
        <v>109</v>
      </c>
      <c r="BH622" s="17">
        <v>22.0</v>
      </c>
      <c r="BI622" s="17" t="s">
        <v>109</v>
      </c>
      <c r="BJ622" s="16">
        <v>0.47916666666424135</v>
      </c>
      <c r="BK622" s="16">
        <v>0.9166666666642413</v>
      </c>
      <c r="BM622" s="17" t="s">
        <v>2576</v>
      </c>
      <c r="BP622" s="17" t="s">
        <v>2578</v>
      </c>
      <c r="BR622" s="24" t="str">
        <f t="shared" si="1"/>
        <v>AAHARA FOOD COURT</v>
      </c>
    </row>
    <row r="623" ht="22.5" customHeight="1">
      <c r="A623" s="14">
        <v>46072.97983674769</v>
      </c>
      <c r="B623" s="15">
        <v>46071.0</v>
      </c>
      <c r="C623" s="16">
        <v>0.6458333333357587</v>
      </c>
      <c r="U623" s="17" t="s">
        <v>2579</v>
      </c>
      <c r="V623" s="17">
        <v>8.617755298E9</v>
      </c>
      <c r="W623" s="17" t="s">
        <v>117</v>
      </c>
      <c r="AA623" s="17" t="s">
        <v>109</v>
      </c>
      <c r="AT623" s="17" t="s">
        <v>2561</v>
      </c>
      <c r="AU623" s="17" t="s">
        <v>76</v>
      </c>
      <c r="AV623" s="17" t="s">
        <v>472</v>
      </c>
      <c r="AX623" s="15">
        <v>46073.0</v>
      </c>
      <c r="AY623" s="16">
        <v>0.75</v>
      </c>
      <c r="AZ623" s="17" t="s">
        <v>164</v>
      </c>
      <c r="BA623" s="17" t="s">
        <v>458</v>
      </c>
      <c r="BB623" s="17" t="s">
        <v>109</v>
      </c>
      <c r="BP623" s="17" t="s">
        <v>2580</v>
      </c>
      <c r="BR623" s="24" t="str">
        <f t="shared" si="1"/>
        <v>GULF BAKERS</v>
      </c>
    </row>
    <row r="624" ht="22.5" customHeight="1">
      <c r="A624" s="14">
        <v>46072.983958819445</v>
      </c>
      <c r="B624" s="15">
        <v>46071.0</v>
      </c>
      <c r="C624" s="16">
        <v>0.7083333333357587</v>
      </c>
      <c r="D624" s="17" t="s">
        <v>111</v>
      </c>
      <c r="T624" s="17" t="s">
        <v>2581</v>
      </c>
      <c r="U624" s="17" t="s">
        <v>2582</v>
      </c>
      <c r="V624" s="17">
        <v>8.096631022E9</v>
      </c>
      <c r="W624" s="17" t="s">
        <v>117</v>
      </c>
      <c r="AA624" s="17" t="s">
        <v>76</v>
      </c>
      <c r="AB624" s="17" t="s">
        <v>117</v>
      </c>
      <c r="AD624" s="17" t="s">
        <v>117</v>
      </c>
      <c r="AF624" s="17" t="s">
        <v>117</v>
      </c>
      <c r="AL624" s="17" t="s">
        <v>117</v>
      </c>
      <c r="AS624" s="17" t="s">
        <v>76</v>
      </c>
      <c r="AT624" s="17" t="s">
        <v>2583</v>
      </c>
      <c r="AU624" s="17" t="s">
        <v>76</v>
      </c>
      <c r="AV624" s="17" t="s">
        <v>88</v>
      </c>
      <c r="AW624" s="17" t="s">
        <v>2584</v>
      </c>
      <c r="AX624" s="15">
        <v>46073.0</v>
      </c>
      <c r="AY624" s="16">
        <v>0.6041666666642413</v>
      </c>
      <c r="AZ624" s="17" t="s">
        <v>164</v>
      </c>
      <c r="BA624" s="17" t="s">
        <v>458</v>
      </c>
      <c r="BB624" s="17" t="s">
        <v>76</v>
      </c>
      <c r="BH624" s="17">
        <v>22.0</v>
      </c>
      <c r="BI624" s="17" t="s">
        <v>109</v>
      </c>
      <c r="BJ624" s="16">
        <v>0.47916666666424135</v>
      </c>
      <c r="BK624" s="16">
        <v>0.9375</v>
      </c>
      <c r="BM624" s="17" t="s">
        <v>117</v>
      </c>
      <c r="BP624" s="17" t="s">
        <v>2581</v>
      </c>
      <c r="BR624" s="24" t="str">
        <f t="shared" si="1"/>
        <v>JAI BHAVANI AK FOOD COURTJAI BHAVANI AK FOOD COURT</v>
      </c>
    </row>
    <row r="625" ht="22.5" customHeight="1">
      <c r="A625" s="14">
        <v>46072.98822738426</v>
      </c>
      <c r="B625" s="15">
        <v>46071.0</v>
      </c>
      <c r="C625" s="16">
        <v>0.7222222222189885</v>
      </c>
      <c r="D625" s="17" t="s">
        <v>91</v>
      </c>
      <c r="F625" s="17">
        <v>50.0</v>
      </c>
      <c r="G625" s="17">
        <v>500.0</v>
      </c>
      <c r="H625" s="17" t="s">
        <v>184</v>
      </c>
      <c r="I625" s="17">
        <v>75000.0</v>
      </c>
      <c r="J625" s="17" t="s">
        <v>167</v>
      </c>
      <c r="K625" s="17" t="s">
        <v>118</v>
      </c>
      <c r="L625" s="17">
        <v>17.0</v>
      </c>
      <c r="M625" s="17">
        <v>22.0</v>
      </c>
      <c r="N625" s="17">
        <v>4.0</v>
      </c>
      <c r="O625" s="17" t="s">
        <v>135</v>
      </c>
      <c r="P625" s="17" t="s">
        <v>76</v>
      </c>
      <c r="Q625" s="17" t="s">
        <v>97</v>
      </c>
      <c r="R625" s="17" t="s">
        <v>76</v>
      </c>
      <c r="S625" s="17" t="s">
        <v>2585</v>
      </c>
      <c r="U625" s="17" t="s">
        <v>2586</v>
      </c>
      <c r="V625" s="17">
        <v>7.207477577E9</v>
      </c>
      <c r="W625" s="17" t="s">
        <v>117</v>
      </c>
      <c r="AA625" s="17" t="s">
        <v>109</v>
      </c>
      <c r="AT625" s="17" t="s">
        <v>193</v>
      </c>
      <c r="AU625" s="17" t="s">
        <v>76</v>
      </c>
      <c r="AV625" s="17" t="s">
        <v>88</v>
      </c>
      <c r="AW625" s="17" t="s">
        <v>2587</v>
      </c>
      <c r="AX625" s="15">
        <v>46076.0</v>
      </c>
      <c r="AY625" s="16">
        <v>0.6145833333357587</v>
      </c>
      <c r="AZ625" s="17" t="s">
        <v>164</v>
      </c>
      <c r="BA625" s="17" t="s">
        <v>458</v>
      </c>
      <c r="BB625" s="17" t="s">
        <v>76</v>
      </c>
      <c r="BL625" s="17">
        <v>150.0</v>
      </c>
      <c r="BN625" s="17" t="s">
        <v>2588</v>
      </c>
      <c r="BP625" s="17" t="s">
        <v>2589</v>
      </c>
      <c r="BR625" s="24" t="str">
        <f t="shared" si="1"/>
        <v>SANGAM DHABA</v>
      </c>
    </row>
    <row r="626" ht="22.5" customHeight="1">
      <c r="A626" s="14">
        <v>46072.99200864583</v>
      </c>
      <c r="B626" s="15">
        <v>46071.0</v>
      </c>
      <c r="C626" s="16">
        <v>0.78125</v>
      </c>
      <c r="D626" s="17" t="s">
        <v>91</v>
      </c>
      <c r="F626" s="17">
        <v>60.0</v>
      </c>
      <c r="G626" s="17">
        <v>300.0</v>
      </c>
      <c r="H626" s="17" t="s">
        <v>184</v>
      </c>
      <c r="I626" s="17">
        <v>12000.0</v>
      </c>
      <c r="J626" s="17" t="s">
        <v>94</v>
      </c>
      <c r="K626" s="17" t="s">
        <v>118</v>
      </c>
      <c r="L626" s="17">
        <v>17.0</v>
      </c>
      <c r="M626" s="17">
        <v>22.0</v>
      </c>
      <c r="N626" s="17">
        <v>1.0</v>
      </c>
      <c r="O626" s="17" t="s">
        <v>96</v>
      </c>
      <c r="P626" s="17" t="s">
        <v>76</v>
      </c>
      <c r="Q626" s="17" t="s">
        <v>97</v>
      </c>
      <c r="R626" s="17" t="s">
        <v>76</v>
      </c>
      <c r="S626" s="17" t="s">
        <v>2590</v>
      </c>
      <c r="U626" s="17" t="s">
        <v>2591</v>
      </c>
      <c r="V626" s="17">
        <v>9.542781785E9</v>
      </c>
      <c r="W626" s="17" t="s">
        <v>117</v>
      </c>
      <c r="AA626" s="17" t="s">
        <v>109</v>
      </c>
      <c r="AT626" s="17" t="s">
        <v>193</v>
      </c>
      <c r="AU626" s="17" t="s">
        <v>76</v>
      </c>
      <c r="AV626" s="17" t="s">
        <v>88</v>
      </c>
      <c r="AX626" s="15">
        <v>46076.0</v>
      </c>
      <c r="AY626" s="16">
        <v>0.6666666666642413</v>
      </c>
      <c r="AZ626" s="17" t="s">
        <v>164</v>
      </c>
      <c r="BA626" s="17" t="s">
        <v>458</v>
      </c>
      <c r="BB626" s="17" t="s">
        <v>76</v>
      </c>
      <c r="BL626" s="17">
        <v>40.0</v>
      </c>
      <c r="BN626" s="17" t="s">
        <v>2592</v>
      </c>
      <c r="BP626" s="17" t="s">
        <v>2593</v>
      </c>
      <c r="BR626" s="24" t="str">
        <f t="shared" si="1"/>
        <v>ASTRIO RESTAURANT</v>
      </c>
    </row>
    <row r="627" ht="22.5" customHeight="1">
      <c r="A627" s="14">
        <v>46072.993785729166</v>
      </c>
      <c r="B627" s="15">
        <v>46072.0</v>
      </c>
      <c r="C627" s="16">
        <v>0.5208333333357587</v>
      </c>
      <c r="U627" s="17" t="s">
        <v>2594</v>
      </c>
      <c r="V627" s="17">
        <v>6.300043595E9</v>
      </c>
      <c r="W627" s="17" t="s">
        <v>117</v>
      </c>
      <c r="AA627" s="17" t="s">
        <v>109</v>
      </c>
      <c r="AT627" s="17" t="s">
        <v>2561</v>
      </c>
      <c r="AU627" s="17" t="s">
        <v>76</v>
      </c>
      <c r="AV627" s="17" t="s">
        <v>472</v>
      </c>
      <c r="AW627" s="17" t="s">
        <v>2595</v>
      </c>
      <c r="AX627" s="15">
        <v>46073.0</v>
      </c>
      <c r="AY627" s="16">
        <v>0.6875</v>
      </c>
      <c r="AZ627" s="17" t="s">
        <v>164</v>
      </c>
      <c r="BA627" s="17" t="s">
        <v>458</v>
      </c>
      <c r="BB627" s="17" t="s">
        <v>109</v>
      </c>
      <c r="BP627" s="17" t="s">
        <v>2596</v>
      </c>
      <c r="BR627" s="24" t="str">
        <f t="shared" si="1"/>
        <v>SK MUNNA RESTAURANT</v>
      </c>
    </row>
    <row r="628" ht="22.5" customHeight="1">
      <c r="A628" s="14">
        <v>46072.99556275463</v>
      </c>
      <c r="B628" s="15">
        <v>46072.0</v>
      </c>
      <c r="C628" s="16">
        <v>0.5416666666642413</v>
      </c>
      <c r="U628" s="17" t="s">
        <v>2597</v>
      </c>
      <c r="V628" s="17">
        <v>8.099941233E9</v>
      </c>
      <c r="W628" s="17" t="s">
        <v>117</v>
      </c>
      <c r="AA628" s="17" t="s">
        <v>109</v>
      </c>
      <c r="AT628" s="17" t="s">
        <v>2561</v>
      </c>
      <c r="AU628" s="17" t="s">
        <v>76</v>
      </c>
      <c r="AV628" s="17" t="s">
        <v>472</v>
      </c>
      <c r="AW628" s="17" t="s">
        <v>2598</v>
      </c>
      <c r="AX628" s="15">
        <v>46073.0</v>
      </c>
      <c r="AY628" s="16">
        <v>0.9166666666642413</v>
      </c>
      <c r="AZ628" s="17" t="s">
        <v>164</v>
      </c>
      <c r="BA628" s="17" t="s">
        <v>458</v>
      </c>
      <c r="BB628" s="17" t="s">
        <v>109</v>
      </c>
      <c r="BP628" s="17" t="s">
        <v>2599</v>
      </c>
      <c r="BR628" s="24" t="str">
        <f t="shared" si="1"/>
        <v>DWARAKA MULTICUISINE RESTAURANT</v>
      </c>
    </row>
    <row r="629" ht="22.5" customHeight="1">
      <c r="A629" s="14">
        <v>46072.99783836806</v>
      </c>
      <c r="B629" s="15">
        <v>46072.0</v>
      </c>
      <c r="C629" s="16">
        <v>0.5625</v>
      </c>
      <c r="U629" s="17" t="s">
        <v>2600</v>
      </c>
      <c r="V629" s="17">
        <v>8.074223013E9</v>
      </c>
      <c r="W629" s="17" t="s">
        <v>117</v>
      </c>
      <c r="AA629" s="17" t="s">
        <v>109</v>
      </c>
      <c r="AT629" s="17" t="s">
        <v>2561</v>
      </c>
      <c r="AU629" s="17" t="s">
        <v>76</v>
      </c>
      <c r="AV629" s="17" t="s">
        <v>472</v>
      </c>
      <c r="AW629" s="17" t="s">
        <v>2601</v>
      </c>
      <c r="AX629" s="15">
        <v>46073.0</v>
      </c>
      <c r="AY629" s="16">
        <v>0.7083333333357587</v>
      </c>
      <c r="AZ629" s="17" t="s">
        <v>164</v>
      </c>
      <c r="BA629" s="17" t="s">
        <v>458</v>
      </c>
      <c r="BB629" s="17" t="s">
        <v>109</v>
      </c>
      <c r="BP629" s="17" t="s">
        <v>2602</v>
      </c>
      <c r="BR629" s="24" t="str">
        <f t="shared" si="1"/>
        <v>HYDERABAD SHAHI RESTAURANT</v>
      </c>
    </row>
    <row r="630" ht="22.5" customHeight="1">
      <c r="A630" s="14">
        <v>46073.00739961806</v>
      </c>
      <c r="B630" s="15">
        <v>46072.0</v>
      </c>
      <c r="C630" s="16">
        <v>0.6041666666642413</v>
      </c>
      <c r="D630" s="17" t="s">
        <v>91</v>
      </c>
      <c r="F630" s="17">
        <v>50.0</v>
      </c>
      <c r="G630" s="17">
        <v>250.0</v>
      </c>
      <c r="H630" s="17" t="s">
        <v>117</v>
      </c>
      <c r="I630" s="17">
        <v>37500.0</v>
      </c>
      <c r="J630" s="17" t="s">
        <v>94</v>
      </c>
      <c r="K630" s="17" t="s">
        <v>273</v>
      </c>
      <c r="M630" s="17">
        <v>22.0</v>
      </c>
      <c r="N630" s="17">
        <v>1.0</v>
      </c>
      <c r="O630" s="17" t="s">
        <v>96</v>
      </c>
      <c r="P630" s="17" t="s">
        <v>76</v>
      </c>
      <c r="Q630" s="17" t="s">
        <v>97</v>
      </c>
      <c r="R630" s="17" t="s">
        <v>76</v>
      </c>
      <c r="S630" s="17" t="s">
        <v>117</v>
      </c>
      <c r="U630" s="17" t="s">
        <v>2603</v>
      </c>
      <c r="V630" s="17">
        <v>7.981933914E9</v>
      </c>
      <c r="W630" s="17" t="s">
        <v>117</v>
      </c>
      <c r="AA630" s="17" t="s">
        <v>76</v>
      </c>
      <c r="AB630" s="17">
        <v>2.3622032002896E13</v>
      </c>
      <c r="AC630" s="18" t="s">
        <v>2604</v>
      </c>
      <c r="AD630" s="17" t="s">
        <v>117</v>
      </c>
      <c r="AF630" s="17" t="s">
        <v>2605</v>
      </c>
      <c r="AG630" s="18" t="s">
        <v>2606</v>
      </c>
      <c r="AJ630" s="18" t="s">
        <v>2607</v>
      </c>
      <c r="AK630" s="18" t="s">
        <v>2608</v>
      </c>
      <c r="AL630" s="17">
        <v>1.0225700253E10</v>
      </c>
      <c r="AM630" s="17" t="s">
        <v>2609</v>
      </c>
      <c r="AN630" s="17" t="s">
        <v>2610</v>
      </c>
      <c r="AO630" s="17" t="s">
        <v>2603</v>
      </c>
      <c r="AP630" s="17">
        <v>7.981933914E9</v>
      </c>
      <c r="AQ630" s="17" t="s">
        <v>117</v>
      </c>
      <c r="AR630" s="17" t="s">
        <v>2611</v>
      </c>
      <c r="AS630" s="17" t="s">
        <v>76</v>
      </c>
      <c r="AT630" s="17" t="s">
        <v>193</v>
      </c>
      <c r="AU630" s="17" t="s">
        <v>76</v>
      </c>
      <c r="AV630" s="17" t="s">
        <v>88</v>
      </c>
      <c r="AW630" s="17" t="s">
        <v>2612</v>
      </c>
      <c r="AX630" s="15">
        <v>46073.0</v>
      </c>
      <c r="AY630" s="16">
        <v>0.75</v>
      </c>
      <c r="AZ630" s="17" t="s">
        <v>164</v>
      </c>
      <c r="BA630" s="17" t="s">
        <v>458</v>
      </c>
      <c r="BB630" s="17" t="s">
        <v>76</v>
      </c>
      <c r="BH630" s="17">
        <v>22.0</v>
      </c>
      <c r="BI630" s="17" t="s">
        <v>109</v>
      </c>
      <c r="BJ630" s="16">
        <v>0.47916666666424135</v>
      </c>
      <c r="BK630" s="16">
        <v>0.9375</v>
      </c>
      <c r="BL630" s="17">
        <v>150.0</v>
      </c>
      <c r="BM630" s="17" t="s">
        <v>2613</v>
      </c>
      <c r="BN630" s="17" t="s">
        <v>1701</v>
      </c>
      <c r="BP630" s="17" t="s">
        <v>2613</v>
      </c>
      <c r="BR630" s="24" t="str">
        <f t="shared" si="1"/>
        <v>NAIDUS FOOD COURT</v>
      </c>
    </row>
    <row r="631" ht="22.5" customHeight="1">
      <c r="A631" s="14">
        <v>46073.313180439814</v>
      </c>
      <c r="B631" s="15">
        <v>46070.0</v>
      </c>
      <c r="C631" s="16">
        <v>0.5208333333357587</v>
      </c>
      <c r="U631" s="17" t="s">
        <v>2614</v>
      </c>
      <c r="V631" s="17">
        <v>9.603123374E9</v>
      </c>
      <c r="W631" s="17" t="s">
        <v>769</v>
      </c>
      <c r="AA631" s="17" t="s">
        <v>109</v>
      </c>
      <c r="AT631" s="17" t="s">
        <v>2615</v>
      </c>
      <c r="AU631" s="17" t="s">
        <v>76</v>
      </c>
      <c r="AV631" s="17" t="s">
        <v>472</v>
      </c>
      <c r="AZ631" s="17" t="s">
        <v>115</v>
      </c>
      <c r="BA631" s="17" t="s">
        <v>458</v>
      </c>
      <c r="BB631" s="17" t="s">
        <v>109</v>
      </c>
      <c r="BP631" s="17" t="s">
        <v>2616</v>
      </c>
      <c r="BR631" s="24" t="str">
        <f t="shared" si="1"/>
        <v>Dine o china</v>
      </c>
    </row>
    <row r="632" ht="22.5" customHeight="1">
      <c r="A632" s="14">
        <v>46073.3153800463</v>
      </c>
      <c r="B632" s="15">
        <v>46070.0</v>
      </c>
      <c r="C632" s="16">
        <v>0.53125</v>
      </c>
      <c r="D632" s="17" t="s">
        <v>111</v>
      </c>
      <c r="T632" s="17" t="s">
        <v>2617</v>
      </c>
      <c r="U632" s="17" t="s">
        <v>2618</v>
      </c>
      <c r="V632" s="17">
        <v>6300.0</v>
      </c>
      <c r="W632" s="17" t="s">
        <v>769</v>
      </c>
      <c r="AA632" s="17" t="s">
        <v>109</v>
      </c>
      <c r="AT632" s="17" t="s">
        <v>2619</v>
      </c>
      <c r="AU632" s="17" t="s">
        <v>76</v>
      </c>
      <c r="AV632" s="17" t="s">
        <v>2620</v>
      </c>
      <c r="AZ632" s="17" t="s">
        <v>115</v>
      </c>
      <c r="BA632" s="17" t="s">
        <v>458</v>
      </c>
      <c r="BB632" s="17" t="s">
        <v>76</v>
      </c>
      <c r="BP632" s="17" t="s">
        <v>2617</v>
      </c>
      <c r="BR632" s="24" t="str">
        <f t="shared" si="1"/>
        <v>Arya tiffinsArya tiffins</v>
      </c>
    </row>
    <row r="633" ht="22.5" customHeight="1">
      <c r="A633" s="14">
        <v>46073.31687642361</v>
      </c>
      <c r="B633" s="15">
        <v>46070.0</v>
      </c>
      <c r="C633" s="16">
        <v>0.04166666666424135</v>
      </c>
      <c r="U633" s="17" t="s">
        <v>2621</v>
      </c>
      <c r="V633" s="17">
        <v>8.143117473E9</v>
      </c>
      <c r="W633" s="17" t="s">
        <v>769</v>
      </c>
      <c r="AA633" s="17" t="s">
        <v>109</v>
      </c>
      <c r="AT633" s="17" t="s">
        <v>2622</v>
      </c>
      <c r="AU633" s="17" t="s">
        <v>76</v>
      </c>
      <c r="AV633" s="17" t="s">
        <v>472</v>
      </c>
      <c r="AZ633" s="17" t="s">
        <v>115</v>
      </c>
      <c r="BA633" s="17" t="s">
        <v>458</v>
      </c>
      <c r="BB633" s="17" t="s">
        <v>109</v>
      </c>
      <c r="BP633" s="17" t="s">
        <v>2623</v>
      </c>
      <c r="BR633" s="24" t="str">
        <f t="shared" si="1"/>
        <v>Subway</v>
      </c>
    </row>
    <row r="634" ht="22.5" customHeight="1">
      <c r="A634" s="14">
        <v>46073.31843454861</v>
      </c>
      <c r="B634" s="15">
        <v>46070.0</v>
      </c>
      <c r="C634" s="16">
        <v>0.5416666666642413</v>
      </c>
      <c r="U634" s="17" t="s">
        <v>2624</v>
      </c>
      <c r="V634" s="17">
        <v>9.247499482E9</v>
      </c>
      <c r="W634" s="17" t="s">
        <v>769</v>
      </c>
      <c r="AA634" s="17" t="s">
        <v>109</v>
      </c>
      <c r="AT634" s="17" t="s">
        <v>2625</v>
      </c>
      <c r="AU634" s="17" t="s">
        <v>109</v>
      </c>
      <c r="AZ634" s="17" t="s">
        <v>115</v>
      </c>
      <c r="BA634" s="17" t="s">
        <v>458</v>
      </c>
      <c r="BB634" s="17" t="s">
        <v>109</v>
      </c>
      <c r="BP634" s="17" t="s">
        <v>2626</v>
      </c>
      <c r="BR634" s="24" t="str">
        <f t="shared" si="1"/>
        <v>Waffles N More</v>
      </c>
    </row>
    <row r="635" ht="22.5" customHeight="1">
      <c r="A635" s="14">
        <v>46073.319830162036</v>
      </c>
      <c r="B635" s="15">
        <v>46070.0</v>
      </c>
      <c r="C635" s="16">
        <v>0.5416666666642413</v>
      </c>
      <c r="D635" s="17" t="s">
        <v>111</v>
      </c>
      <c r="T635" s="17" t="s">
        <v>2627</v>
      </c>
      <c r="U635" s="17" t="s">
        <v>2628</v>
      </c>
      <c r="V635" s="17">
        <v>9.959838242E9</v>
      </c>
      <c r="W635" s="17" t="s">
        <v>769</v>
      </c>
      <c r="AA635" s="17" t="s">
        <v>109</v>
      </c>
      <c r="AT635" s="17" t="s">
        <v>2629</v>
      </c>
      <c r="AU635" s="17" t="s">
        <v>76</v>
      </c>
      <c r="AV635" s="17" t="s">
        <v>114</v>
      </c>
      <c r="AX635" s="15">
        <v>46073.0</v>
      </c>
      <c r="AY635" s="16">
        <v>0.5208333333357587</v>
      </c>
      <c r="AZ635" s="17" t="s">
        <v>115</v>
      </c>
      <c r="BA635" s="17" t="s">
        <v>458</v>
      </c>
      <c r="BB635" s="17" t="s">
        <v>76</v>
      </c>
      <c r="BP635" s="17" t="s">
        <v>2627</v>
      </c>
      <c r="BR635" s="24" t="str">
        <f t="shared" si="1"/>
        <v>Sai Ram tiffins Sai Ram tiffins </v>
      </c>
    </row>
    <row r="636" ht="22.5" customHeight="1">
      <c r="A636" s="14">
        <v>46073.321077465276</v>
      </c>
      <c r="B636" s="15">
        <v>46070.0</v>
      </c>
      <c r="C636" s="16">
        <v>0.5833333333357587</v>
      </c>
      <c r="U636" s="17" t="s">
        <v>2630</v>
      </c>
      <c r="V636" s="17">
        <v>6.307547076E9</v>
      </c>
      <c r="W636" s="17" t="s">
        <v>769</v>
      </c>
      <c r="AA636" s="17" t="s">
        <v>109</v>
      </c>
      <c r="AT636" s="17" t="s">
        <v>2631</v>
      </c>
      <c r="AU636" s="17" t="s">
        <v>76</v>
      </c>
      <c r="AV636" s="17" t="s">
        <v>472</v>
      </c>
      <c r="AX636" s="15">
        <v>46073.0</v>
      </c>
      <c r="AY636" s="16">
        <v>0.5416666666642413</v>
      </c>
      <c r="AZ636" s="17" t="s">
        <v>115</v>
      </c>
      <c r="BA636" s="17" t="s">
        <v>458</v>
      </c>
      <c r="BB636" s="17" t="s">
        <v>109</v>
      </c>
      <c r="BP636" s="17" t="s">
        <v>2632</v>
      </c>
      <c r="BR636" s="24" t="str">
        <f t="shared" si="1"/>
        <v>Nosh bistro </v>
      </c>
    </row>
    <row r="637" ht="22.5" customHeight="1">
      <c r="A637" s="14">
        <v>46073.32232886574</v>
      </c>
      <c r="B637" s="15">
        <v>46070.0</v>
      </c>
      <c r="C637" s="16">
        <v>0.5416666666642413</v>
      </c>
      <c r="D637" s="17" t="s">
        <v>111</v>
      </c>
      <c r="T637" s="17" t="s">
        <v>2633</v>
      </c>
      <c r="U637" s="17" t="s">
        <v>239</v>
      </c>
      <c r="V637" s="17">
        <v>8.074010978E9</v>
      </c>
      <c r="W637" s="17" t="s">
        <v>769</v>
      </c>
      <c r="AA637" s="17" t="s">
        <v>109</v>
      </c>
      <c r="AT637" s="17" t="s">
        <v>2634</v>
      </c>
      <c r="AU637" s="17" t="s">
        <v>109</v>
      </c>
      <c r="AZ637" s="17" t="s">
        <v>115</v>
      </c>
      <c r="BA637" s="17" t="s">
        <v>458</v>
      </c>
      <c r="BB637" s="17" t="s">
        <v>76</v>
      </c>
      <c r="BP637" s="17" t="s">
        <v>2633</v>
      </c>
      <c r="BR637" s="24" t="str">
        <f t="shared" si="1"/>
        <v>Vasudo dhaba Vasudo dhaba </v>
      </c>
    </row>
    <row r="638" ht="22.5" customHeight="1">
      <c r="A638" s="14">
        <v>46073.323662083334</v>
      </c>
      <c r="B638" s="15">
        <v>46070.0</v>
      </c>
      <c r="C638" s="16">
        <v>0.5833333333357587</v>
      </c>
      <c r="U638" s="17" t="s">
        <v>2635</v>
      </c>
      <c r="V638" s="17">
        <v>6.281968245E9</v>
      </c>
      <c r="W638" s="17" t="s">
        <v>769</v>
      </c>
      <c r="AA638" s="17" t="s">
        <v>109</v>
      </c>
      <c r="AT638" s="17" t="s">
        <v>2636</v>
      </c>
      <c r="AU638" s="17" t="s">
        <v>76</v>
      </c>
      <c r="AV638" s="17" t="s">
        <v>472</v>
      </c>
      <c r="AX638" s="15">
        <v>46077.0</v>
      </c>
      <c r="AZ638" s="17" t="s">
        <v>115</v>
      </c>
      <c r="BA638" s="17" t="s">
        <v>458</v>
      </c>
      <c r="BB638" s="17" t="s">
        <v>109</v>
      </c>
      <c r="BP638" s="17" t="s">
        <v>2637</v>
      </c>
      <c r="BR638" s="24" t="str">
        <f t="shared" si="1"/>
        <v>La chai de</v>
      </c>
    </row>
    <row r="639" ht="22.5" customHeight="1">
      <c r="A639" s="14">
        <v>46073.32525475694</v>
      </c>
      <c r="B639" s="15">
        <v>46070.0</v>
      </c>
      <c r="C639" s="16">
        <v>0.5833333333357587</v>
      </c>
      <c r="D639" s="17" t="s">
        <v>111</v>
      </c>
      <c r="T639" s="17" t="s">
        <v>2638</v>
      </c>
      <c r="U639" s="17" t="s">
        <v>2639</v>
      </c>
      <c r="V639" s="17">
        <v>9.15422602E9</v>
      </c>
      <c r="W639" s="17" t="s">
        <v>769</v>
      </c>
      <c r="AA639" s="17" t="s">
        <v>109</v>
      </c>
      <c r="AT639" s="17" t="s">
        <v>2640</v>
      </c>
      <c r="AU639" s="17" t="s">
        <v>76</v>
      </c>
      <c r="AZ639" s="17" t="s">
        <v>115</v>
      </c>
      <c r="BA639" s="17" t="s">
        <v>458</v>
      </c>
      <c r="BB639" s="17" t="s">
        <v>76</v>
      </c>
      <c r="BP639" s="17" t="s">
        <v>2641</v>
      </c>
      <c r="BR639" s="24" t="str">
        <f t="shared" si="1"/>
        <v>Delhi ke famous nagpalsDelhi ke famous nagpals </v>
      </c>
    </row>
    <row r="640" ht="22.5" customHeight="1">
      <c r="A640" s="14">
        <v>46073.326404004634</v>
      </c>
      <c r="B640" s="15">
        <v>46070.0</v>
      </c>
      <c r="C640" s="16">
        <v>0.5833333333357587</v>
      </c>
      <c r="U640" s="17" t="s">
        <v>2642</v>
      </c>
      <c r="V640" s="17">
        <v>7.841881125E9</v>
      </c>
      <c r="W640" s="17" t="s">
        <v>769</v>
      </c>
      <c r="AA640" s="17" t="s">
        <v>109</v>
      </c>
      <c r="AT640" s="17" t="s">
        <v>2643</v>
      </c>
      <c r="AU640" s="17" t="s">
        <v>76</v>
      </c>
      <c r="AZ640" s="17" t="s">
        <v>115</v>
      </c>
      <c r="BA640" s="17" t="s">
        <v>458</v>
      </c>
      <c r="BB640" s="17" t="s">
        <v>109</v>
      </c>
      <c r="BP640" s="17" t="s">
        <v>2644</v>
      </c>
      <c r="BR640" s="24" t="str">
        <f t="shared" si="1"/>
        <v>Aamantran</v>
      </c>
    </row>
    <row r="641" ht="22.5" customHeight="1">
      <c r="A641" s="14">
        <v>46073.3291683912</v>
      </c>
      <c r="B641" s="15">
        <v>46070.0</v>
      </c>
      <c r="C641" s="16">
        <v>0.625</v>
      </c>
      <c r="U641" s="17" t="s">
        <v>2645</v>
      </c>
      <c r="V641" s="17">
        <v>9.39181173E9</v>
      </c>
      <c r="W641" s="17" t="s">
        <v>769</v>
      </c>
      <c r="AA641" s="17" t="s">
        <v>109</v>
      </c>
      <c r="AT641" s="17" t="s">
        <v>2646</v>
      </c>
      <c r="AU641" s="17" t="s">
        <v>76</v>
      </c>
      <c r="AZ641" s="17" t="s">
        <v>115</v>
      </c>
      <c r="BA641" s="17" t="s">
        <v>458</v>
      </c>
      <c r="BB641" s="17" t="s">
        <v>109</v>
      </c>
      <c r="BP641" s="17" t="s">
        <v>2647</v>
      </c>
      <c r="BR641" s="24" t="str">
        <f t="shared" si="1"/>
        <v>Udupi tiffins veg</v>
      </c>
    </row>
    <row r="642" ht="22.5" customHeight="1">
      <c r="A642" s="14">
        <v>46073.3319555787</v>
      </c>
      <c r="B642" s="15">
        <v>46070.0</v>
      </c>
      <c r="C642" s="16">
        <v>0.6666666666642413</v>
      </c>
      <c r="U642" s="17" t="s">
        <v>1465</v>
      </c>
      <c r="V642" s="17">
        <v>9.00000965E9</v>
      </c>
      <c r="W642" s="17" t="s">
        <v>769</v>
      </c>
      <c r="AA642" s="17" t="s">
        <v>109</v>
      </c>
      <c r="AT642" s="17" t="s">
        <v>2648</v>
      </c>
      <c r="AU642" s="17" t="s">
        <v>76</v>
      </c>
      <c r="AZ642" s="17" t="s">
        <v>115</v>
      </c>
      <c r="BA642" s="17" t="s">
        <v>458</v>
      </c>
      <c r="BB642" s="17" t="s">
        <v>109</v>
      </c>
      <c r="BP642" s="17" t="s">
        <v>2649</v>
      </c>
      <c r="BR642" s="24" t="str">
        <f t="shared" si="1"/>
        <v>Street darbar </v>
      </c>
    </row>
    <row r="643" ht="22.5" customHeight="1">
      <c r="A643" s="14">
        <v>46073.33333997685</v>
      </c>
      <c r="B643" s="15">
        <v>46072.0</v>
      </c>
      <c r="C643" s="16">
        <v>0.7083333333357587</v>
      </c>
      <c r="D643" s="17" t="s">
        <v>91</v>
      </c>
      <c r="F643" s="17">
        <v>15.0</v>
      </c>
      <c r="G643" s="17">
        <v>200.0</v>
      </c>
      <c r="H643" s="17" t="s">
        <v>388</v>
      </c>
      <c r="I643" s="17">
        <v>10000.0</v>
      </c>
      <c r="J643" s="17" t="s">
        <v>221</v>
      </c>
      <c r="K643" s="17" t="s">
        <v>118</v>
      </c>
      <c r="L643" s="17">
        <v>22.0</v>
      </c>
      <c r="M643" s="17">
        <v>19.0</v>
      </c>
      <c r="N643" s="17">
        <v>1.0</v>
      </c>
      <c r="O643" s="17" t="s">
        <v>96</v>
      </c>
      <c r="P643" s="17" t="s">
        <v>109</v>
      </c>
      <c r="Q643" s="17" t="s">
        <v>97</v>
      </c>
      <c r="R643" s="17" t="s">
        <v>76</v>
      </c>
      <c r="S643" s="17" t="s">
        <v>2650</v>
      </c>
      <c r="U643" s="17" t="s">
        <v>2085</v>
      </c>
      <c r="V643" s="17">
        <v>9.059457021E9</v>
      </c>
      <c r="W643" s="17" t="s">
        <v>2651</v>
      </c>
      <c r="AA643" s="17" t="s">
        <v>109</v>
      </c>
      <c r="AT643" s="17" t="s">
        <v>586</v>
      </c>
      <c r="AU643" s="17" t="s">
        <v>109</v>
      </c>
      <c r="AV643" s="17" t="s">
        <v>472</v>
      </c>
      <c r="AZ643" s="17" t="s">
        <v>131</v>
      </c>
      <c r="BA643" s="17" t="s">
        <v>458</v>
      </c>
      <c r="BB643" s="17" t="s">
        <v>76</v>
      </c>
      <c r="BL643" s="17">
        <v>40.0</v>
      </c>
      <c r="BN643" s="17" t="s">
        <v>865</v>
      </c>
      <c r="BP643" s="17" t="s">
        <v>2652</v>
      </c>
      <c r="BR643" s="24" t="str">
        <f t="shared" si="1"/>
        <v>BBQ Bites </v>
      </c>
    </row>
    <row r="644" ht="22.5" customHeight="1">
      <c r="A644" s="14">
        <v>46073.33520902778</v>
      </c>
      <c r="B644" s="15">
        <v>46072.0</v>
      </c>
      <c r="C644" s="16">
        <v>0.7916666666642413</v>
      </c>
      <c r="D644" s="17" t="s">
        <v>91</v>
      </c>
      <c r="F644" s="17">
        <v>40.0</v>
      </c>
      <c r="G644" s="17">
        <v>200.0</v>
      </c>
      <c r="H644" s="17" t="s">
        <v>388</v>
      </c>
      <c r="I644" s="17">
        <v>30000.0</v>
      </c>
      <c r="J644" s="17" t="s">
        <v>221</v>
      </c>
      <c r="K644" s="17" t="s">
        <v>134</v>
      </c>
      <c r="L644" s="17">
        <v>22.0</v>
      </c>
      <c r="M644" s="17">
        <v>20.0</v>
      </c>
      <c r="N644" s="17">
        <v>3.0</v>
      </c>
      <c r="O644" s="17" t="s">
        <v>96</v>
      </c>
      <c r="P644" s="17" t="s">
        <v>76</v>
      </c>
      <c r="Q644" s="17" t="s">
        <v>97</v>
      </c>
      <c r="R644" s="17" t="s">
        <v>76</v>
      </c>
      <c r="S644" s="17" t="s">
        <v>388</v>
      </c>
      <c r="U644" s="17" t="s">
        <v>1107</v>
      </c>
      <c r="V644" s="17" t="s">
        <v>388</v>
      </c>
      <c r="W644" s="17" t="s">
        <v>388</v>
      </c>
      <c r="AA644" s="17" t="s">
        <v>109</v>
      </c>
      <c r="AT644" s="17" t="s">
        <v>388</v>
      </c>
      <c r="AU644" s="17" t="s">
        <v>76</v>
      </c>
      <c r="AV644" s="17" t="s">
        <v>271</v>
      </c>
      <c r="AZ644" s="17" t="s">
        <v>131</v>
      </c>
      <c r="BA644" s="17" t="s">
        <v>458</v>
      </c>
      <c r="BB644" s="17" t="s">
        <v>76</v>
      </c>
      <c r="BL644" s="17" t="s">
        <v>2083</v>
      </c>
      <c r="BN644" s="17" t="s">
        <v>865</v>
      </c>
      <c r="BP644" s="17" t="s">
        <v>2653</v>
      </c>
      <c r="BR644" s="24" t="str">
        <f t="shared" si="1"/>
        <v>Shiridi sai tiffins meals and snacks</v>
      </c>
    </row>
    <row r="645" ht="22.5" customHeight="1">
      <c r="A645" s="14">
        <v>46073.341199421295</v>
      </c>
      <c r="B645" s="15">
        <v>46070.0</v>
      </c>
      <c r="C645" s="16">
        <v>0.5833333333357587</v>
      </c>
      <c r="U645" s="17" t="s">
        <v>2654</v>
      </c>
      <c r="V645" s="17">
        <v>7.995719834E9</v>
      </c>
      <c r="W645" s="17" t="s">
        <v>769</v>
      </c>
      <c r="AA645" s="17" t="s">
        <v>109</v>
      </c>
      <c r="AT645" s="17" t="s">
        <v>2655</v>
      </c>
      <c r="AU645" s="17" t="s">
        <v>76</v>
      </c>
      <c r="AZ645" s="17" t="s">
        <v>115</v>
      </c>
      <c r="BA645" s="17" t="s">
        <v>458</v>
      </c>
      <c r="BB645" s="17" t="s">
        <v>109</v>
      </c>
      <c r="BP645" s="17" t="s">
        <v>2656</v>
      </c>
      <c r="BR645" s="24" t="str">
        <f t="shared" si="1"/>
        <v>Grand bawarchi hotel </v>
      </c>
    </row>
    <row r="646" ht="22.5" customHeight="1">
      <c r="A646" s="14">
        <v>46073.34341217593</v>
      </c>
      <c r="B646" s="15">
        <v>46072.0</v>
      </c>
      <c r="C646" s="16">
        <v>0.7916666666642413</v>
      </c>
      <c r="U646" s="17" t="s">
        <v>2657</v>
      </c>
      <c r="V646" s="17">
        <v>9.642274228E9</v>
      </c>
      <c r="W646" s="17" t="s">
        <v>769</v>
      </c>
      <c r="AA646" s="17" t="s">
        <v>109</v>
      </c>
      <c r="AT646" s="17" t="s">
        <v>2658</v>
      </c>
      <c r="AU646" s="17" t="s">
        <v>76</v>
      </c>
      <c r="AZ646" s="17" t="s">
        <v>115</v>
      </c>
      <c r="BA646" s="17" t="s">
        <v>458</v>
      </c>
      <c r="BB646" s="17" t="s">
        <v>109</v>
      </c>
      <c r="BP646" s="17" t="s">
        <v>2659</v>
      </c>
      <c r="BR646" s="24" t="str">
        <f t="shared" si="1"/>
        <v>Pakka telangana </v>
      </c>
    </row>
    <row r="647" ht="22.5" customHeight="1">
      <c r="A647" s="14">
        <v>46073.34554761574</v>
      </c>
      <c r="B647" s="15">
        <v>46072.0</v>
      </c>
      <c r="C647" s="16">
        <v>0.75</v>
      </c>
      <c r="D647" s="17" t="s">
        <v>111</v>
      </c>
      <c r="T647" s="17" t="s">
        <v>2660</v>
      </c>
      <c r="U647" s="17" t="s">
        <v>2661</v>
      </c>
      <c r="V647" s="17">
        <v>9.84970953E8</v>
      </c>
      <c r="W647" s="17" t="s">
        <v>769</v>
      </c>
      <c r="AA647" s="17" t="s">
        <v>109</v>
      </c>
      <c r="AT647" s="17" t="s">
        <v>2662</v>
      </c>
      <c r="AU647" s="17" t="s">
        <v>76</v>
      </c>
      <c r="AZ647" s="17" t="s">
        <v>115</v>
      </c>
      <c r="BA647" s="17" t="s">
        <v>458</v>
      </c>
      <c r="BB647" s="17" t="s">
        <v>76</v>
      </c>
      <c r="BP647" s="17" t="s">
        <v>2660</v>
      </c>
      <c r="BR647" s="24" t="str">
        <f t="shared" si="1"/>
        <v>PersisPersis</v>
      </c>
    </row>
    <row r="648" ht="22.5" customHeight="1">
      <c r="A648" s="14">
        <v>46073.34750923611</v>
      </c>
      <c r="B648" s="15">
        <v>46071.0</v>
      </c>
      <c r="C648" s="16">
        <v>0.7083333333357587</v>
      </c>
      <c r="U648" s="17" t="s">
        <v>2663</v>
      </c>
      <c r="V648" s="17">
        <v>8.91904832E9</v>
      </c>
      <c r="W648" s="17" t="s">
        <v>769</v>
      </c>
      <c r="AA648" s="17" t="s">
        <v>109</v>
      </c>
      <c r="AT648" s="17" t="s">
        <v>2664</v>
      </c>
      <c r="AU648" s="17" t="s">
        <v>76</v>
      </c>
      <c r="AZ648" s="17" t="s">
        <v>115</v>
      </c>
      <c r="BA648" s="17" t="s">
        <v>458</v>
      </c>
      <c r="BB648" s="17" t="s">
        <v>109</v>
      </c>
      <c r="BP648" s="17" t="s">
        <v>2665</v>
      </c>
      <c r="BR648" s="24" t="str">
        <f t="shared" si="1"/>
        <v>Bhattad ki idly</v>
      </c>
    </row>
    <row r="649" ht="22.5" customHeight="1">
      <c r="A649" s="14">
        <v>46073.34833688657</v>
      </c>
      <c r="B649" s="15">
        <v>46071.0</v>
      </c>
      <c r="C649" s="16">
        <v>0.7083333333357587</v>
      </c>
      <c r="U649" s="17" t="s">
        <v>769</v>
      </c>
      <c r="V649" s="17" t="s">
        <v>769</v>
      </c>
      <c r="W649" s="17" t="s">
        <v>769</v>
      </c>
      <c r="AA649" s="17" t="s">
        <v>109</v>
      </c>
      <c r="AT649" s="17" t="s">
        <v>2666</v>
      </c>
      <c r="AU649" s="17" t="s">
        <v>76</v>
      </c>
      <c r="AZ649" s="17" t="s">
        <v>115</v>
      </c>
      <c r="BA649" s="17" t="s">
        <v>458</v>
      </c>
      <c r="BB649" s="17" t="s">
        <v>109</v>
      </c>
      <c r="BP649" s="17" t="s">
        <v>2667</v>
      </c>
      <c r="BR649" s="24" t="str">
        <f t="shared" si="1"/>
        <v>Woodfire pizza </v>
      </c>
    </row>
    <row r="650" ht="22.5" customHeight="1">
      <c r="A650" s="14">
        <v>46073.35168821759</v>
      </c>
      <c r="B650" s="15">
        <v>46072.0</v>
      </c>
      <c r="C650" s="16">
        <v>0.625</v>
      </c>
      <c r="D650" s="17" t="s">
        <v>111</v>
      </c>
      <c r="T650" s="17" t="s">
        <v>2668</v>
      </c>
      <c r="U650" s="17" t="s">
        <v>2669</v>
      </c>
      <c r="V650" s="17">
        <v>9.9518525E9</v>
      </c>
      <c r="W650" s="17" t="s">
        <v>769</v>
      </c>
      <c r="AA650" s="17" t="s">
        <v>109</v>
      </c>
      <c r="AT650" s="17" t="s">
        <v>2670</v>
      </c>
      <c r="AU650" s="17" t="s">
        <v>76</v>
      </c>
      <c r="AV650" s="17" t="s">
        <v>114</v>
      </c>
      <c r="AX650" s="15">
        <v>46076.0</v>
      </c>
      <c r="AY650" s="16">
        <v>0.625</v>
      </c>
      <c r="AZ650" s="17" t="s">
        <v>115</v>
      </c>
      <c r="BA650" s="17" t="s">
        <v>458</v>
      </c>
      <c r="BB650" s="17" t="s">
        <v>76</v>
      </c>
      <c r="BP650" s="17" t="s">
        <v>2668</v>
      </c>
      <c r="BR650" s="24" t="str">
        <f t="shared" si="1"/>
        <v>Athidis kitchen Athidis kitchen </v>
      </c>
    </row>
    <row r="651" ht="22.5" customHeight="1">
      <c r="A651" s="14">
        <v>46073.38904196759</v>
      </c>
      <c r="B651" s="15">
        <v>46072.0</v>
      </c>
      <c r="C651" s="16">
        <v>0.6666666666642413</v>
      </c>
      <c r="D651" s="17" t="s">
        <v>91</v>
      </c>
      <c r="F651" s="17">
        <v>40.0</v>
      </c>
      <c r="G651" s="17">
        <v>300.0</v>
      </c>
      <c r="H651" s="17" t="s">
        <v>291</v>
      </c>
      <c r="I651" s="17">
        <v>20000.0</v>
      </c>
      <c r="J651" s="17" t="s">
        <v>221</v>
      </c>
      <c r="K651" s="17" t="s">
        <v>134</v>
      </c>
      <c r="L651" s="17">
        <v>22.0</v>
      </c>
      <c r="M651" s="17">
        <v>19.0</v>
      </c>
      <c r="N651" s="17">
        <v>4.0</v>
      </c>
      <c r="O651" s="17" t="s">
        <v>135</v>
      </c>
      <c r="P651" s="17" t="s">
        <v>76</v>
      </c>
      <c r="Q651" s="17" t="s">
        <v>97</v>
      </c>
      <c r="R651" s="17" t="s">
        <v>76</v>
      </c>
      <c r="S651" s="18" t="s">
        <v>2671</v>
      </c>
      <c r="U651" s="17" t="s">
        <v>2672</v>
      </c>
      <c r="V651" s="17" t="s">
        <v>113</v>
      </c>
      <c r="W651" s="17" t="s">
        <v>113</v>
      </c>
      <c r="X651" s="17" t="s">
        <v>2673</v>
      </c>
      <c r="AA651" s="17" t="s">
        <v>109</v>
      </c>
      <c r="AT651" s="17" t="s">
        <v>2674</v>
      </c>
      <c r="AU651" s="17" t="s">
        <v>76</v>
      </c>
      <c r="AV651" s="17" t="s">
        <v>271</v>
      </c>
      <c r="AZ651" s="17" t="s">
        <v>131</v>
      </c>
      <c r="BA651" s="17" t="s">
        <v>458</v>
      </c>
      <c r="BB651" s="17" t="s">
        <v>76</v>
      </c>
      <c r="BL651" s="17">
        <v>30.0</v>
      </c>
      <c r="BN651" s="17" t="s">
        <v>946</v>
      </c>
      <c r="BP651" s="17" t="s">
        <v>2675</v>
      </c>
      <c r="BR651" s="24" t="str">
        <f t="shared" si="1"/>
        <v>Malabar kitchen</v>
      </c>
    </row>
    <row r="652" ht="22.5" customHeight="1">
      <c r="A652" s="14">
        <v>46073.39520619213</v>
      </c>
      <c r="B652" s="15">
        <v>46072.0</v>
      </c>
      <c r="C652" s="16">
        <v>0.6041666666642413</v>
      </c>
      <c r="D652" s="17" t="s">
        <v>111</v>
      </c>
      <c r="T652" s="17" t="s">
        <v>2676</v>
      </c>
      <c r="U652" s="17" t="s">
        <v>2677</v>
      </c>
      <c r="V652" s="17">
        <v>6.300840049E9</v>
      </c>
      <c r="W652" s="17" t="s">
        <v>113</v>
      </c>
      <c r="AA652" s="17" t="s">
        <v>76</v>
      </c>
      <c r="AB652" s="17">
        <v>2.3624032003115E13</v>
      </c>
      <c r="AC652" s="18" t="s">
        <v>2678</v>
      </c>
      <c r="AD652" s="17" t="s">
        <v>113</v>
      </c>
      <c r="AF652" s="17" t="s">
        <v>2679</v>
      </c>
      <c r="AG652" s="18" t="s">
        <v>2680</v>
      </c>
      <c r="AJ652" s="18" t="s">
        <v>2681</v>
      </c>
      <c r="AK652" s="18" t="s">
        <v>2682</v>
      </c>
      <c r="AL652" s="17">
        <v>1.01220051002355E14</v>
      </c>
      <c r="AM652" s="17" t="s">
        <v>2683</v>
      </c>
      <c r="AN652" s="17" t="s">
        <v>2684</v>
      </c>
      <c r="AS652" s="17" t="s">
        <v>76</v>
      </c>
      <c r="AT652" s="17" t="s">
        <v>2685</v>
      </c>
      <c r="AU652" s="17" t="s">
        <v>109</v>
      </c>
      <c r="AZ652" s="17" t="s">
        <v>243</v>
      </c>
      <c r="BA652" s="17" t="s">
        <v>458</v>
      </c>
      <c r="BB652" s="17" t="s">
        <v>76</v>
      </c>
      <c r="BH652" s="17">
        <v>22.0</v>
      </c>
      <c r="BM652" s="17" t="s">
        <v>2686</v>
      </c>
      <c r="BP652" s="17" t="s">
        <v>2676</v>
      </c>
      <c r="BR652" s="24" t="str">
        <f t="shared" si="1"/>
        <v>Punjabi chaskaPunjabi chaska</v>
      </c>
    </row>
    <row r="653" ht="22.5" customHeight="1">
      <c r="A653" s="14">
        <v>46073.398546261575</v>
      </c>
      <c r="B653" s="15">
        <v>46072.0</v>
      </c>
      <c r="C653" s="16">
        <v>0.625</v>
      </c>
      <c r="D653" s="17" t="s">
        <v>91</v>
      </c>
      <c r="F653" s="17">
        <v>40.0</v>
      </c>
      <c r="G653" s="17">
        <v>300.0</v>
      </c>
      <c r="H653" s="17" t="s">
        <v>291</v>
      </c>
      <c r="I653" s="17">
        <v>30000.0</v>
      </c>
      <c r="J653" s="17" t="s">
        <v>94</v>
      </c>
      <c r="K653" s="17" t="s">
        <v>134</v>
      </c>
      <c r="L653" s="17">
        <v>22.0</v>
      </c>
      <c r="M653" s="17">
        <v>20.0</v>
      </c>
      <c r="N653" s="17">
        <v>3.0</v>
      </c>
      <c r="O653" s="17" t="s">
        <v>96</v>
      </c>
      <c r="P653" s="17" t="s">
        <v>76</v>
      </c>
      <c r="Q653" s="17" t="s">
        <v>97</v>
      </c>
      <c r="R653" s="17" t="s">
        <v>109</v>
      </c>
      <c r="S653" s="18" t="s">
        <v>2687</v>
      </c>
      <c r="U653" s="17" t="s">
        <v>2688</v>
      </c>
      <c r="V653" s="17" t="s">
        <v>113</v>
      </c>
      <c r="W653" s="17" t="s">
        <v>113</v>
      </c>
      <c r="AA653" s="17" t="s">
        <v>109</v>
      </c>
      <c r="AT653" s="17" t="s">
        <v>2689</v>
      </c>
      <c r="AU653" s="17" t="s">
        <v>76</v>
      </c>
      <c r="AV653" s="17" t="s">
        <v>271</v>
      </c>
      <c r="AZ653" s="17" t="s">
        <v>131</v>
      </c>
      <c r="BA653" s="17" t="s">
        <v>458</v>
      </c>
      <c r="BB653" s="17" t="s">
        <v>76</v>
      </c>
      <c r="BL653" s="17">
        <v>45.0</v>
      </c>
      <c r="BN653" s="17" t="s">
        <v>2690</v>
      </c>
      <c r="BP653" s="17" t="s">
        <v>2691</v>
      </c>
      <c r="BR653" s="24" t="str">
        <f t="shared" si="1"/>
        <v>Yum Yum Tree</v>
      </c>
    </row>
    <row r="654" ht="22.5" customHeight="1">
      <c r="A654" s="14">
        <v>46073.405783090275</v>
      </c>
      <c r="B654" s="15">
        <v>46072.0</v>
      </c>
      <c r="C654" s="16">
        <v>0.5208333333357587</v>
      </c>
      <c r="D654" s="17" t="s">
        <v>111</v>
      </c>
      <c r="T654" s="17" t="s">
        <v>2507</v>
      </c>
      <c r="U654" s="17" t="s">
        <v>2508</v>
      </c>
      <c r="V654" s="17">
        <v>8.341901102E9</v>
      </c>
      <c r="W654" s="17" t="s">
        <v>117</v>
      </c>
      <c r="AA654" s="17" t="s">
        <v>76</v>
      </c>
      <c r="AB654" s="17">
        <v>2.3624032004909E13</v>
      </c>
      <c r="AC654" s="18" t="s">
        <v>2692</v>
      </c>
      <c r="AD654" s="17" t="s">
        <v>113</v>
      </c>
      <c r="AF654" s="17" t="s">
        <v>2693</v>
      </c>
      <c r="AG654" s="18" t="s">
        <v>2694</v>
      </c>
      <c r="AK654" s="18" t="s">
        <v>2695</v>
      </c>
      <c r="AS654" s="17" t="s">
        <v>76</v>
      </c>
      <c r="AT654" s="17" t="s">
        <v>193</v>
      </c>
      <c r="AU654" s="17" t="s">
        <v>109</v>
      </c>
      <c r="AZ654" s="17" t="s">
        <v>243</v>
      </c>
      <c r="BA654" s="17" t="s">
        <v>458</v>
      </c>
      <c r="BB654" s="17" t="s">
        <v>76</v>
      </c>
      <c r="BH654" s="17">
        <v>22.0</v>
      </c>
      <c r="BM654" s="17" t="s">
        <v>113</v>
      </c>
      <c r="BP654" s="17" t="s">
        <v>2507</v>
      </c>
      <c r="BR654" s="24" t="str">
        <f t="shared" si="1"/>
        <v>Spicy food courtSpicy food court</v>
      </c>
    </row>
    <row r="655" ht="22.5" customHeight="1">
      <c r="A655" s="14">
        <v>46073.40753278935</v>
      </c>
      <c r="B655" s="15">
        <v>46072.0</v>
      </c>
      <c r="C655" s="16">
        <v>0.75</v>
      </c>
      <c r="D655" s="17" t="s">
        <v>91</v>
      </c>
      <c r="F655" s="17">
        <v>15.0</v>
      </c>
      <c r="G655" s="17">
        <v>200.0</v>
      </c>
      <c r="H655" s="17" t="s">
        <v>113</v>
      </c>
      <c r="I655" s="17">
        <v>15000.0</v>
      </c>
      <c r="J655" s="17" t="s">
        <v>221</v>
      </c>
      <c r="K655" s="17" t="s">
        <v>134</v>
      </c>
      <c r="L655" s="17">
        <v>22.0</v>
      </c>
      <c r="M655" s="17">
        <v>20.0</v>
      </c>
      <c r="N655" s="17">
        <v>2.0</v>
      </c>
      <c r="O655" s="17" t="s">
        <v>96</v>
      </c>
      <c r="P655" s="17" t="s">
        <v>76</v>
      </c>
      <c r="Q655" s="17" t="s">
        <v>97</v>
      </c>
      <c r="R655" s="17" t="s">
        <v>76</v>
      </c>
      <c r="S655" s="17" t="s">
        <v>113</v>
      </c>
      <c r="U655" s="17" t="s">
        <v>2696</v>
      </c>
      <c r="V655" s="17">
        <v>9.010089099E9</v>
      </c>
      <c r="W655" s="17" t="s">
        <v>113</v>
      </c>
      <c r="AA655" s="17" t="s">
        <v>109</v>
      </c>
      <c r="AT655" s="17" t="s">
        <v>2697</v>
      </c>
      <c r="AU655" s="17" t="s">
        <v>76</v>
      </c>
      <c r="AV655" s="17" t="s">
        <v>88</v>
      </c>
      <c r="AW655" s="17" t="s">
        <v>113</v>
      </c>
      <c r="AX655" s="15">
        <v>46071.0</v>
      </c>
      <c r="AY655" s="16">
        <v>0.625</v>
      </c>
      <c r="AZ655" s="17" t="s">
        <v>131</v>
      </c>
      <c r="BA655" s="17" t="s">
        <v>458</v>
      </c>
      <c r="BB655" s="17" t="s">
        <v>76</v>
      </c>
      <c r="BL655" s="17">
        <v>30.0</v>
      </c>
      <c r="BN655" s="17" t="s">
        <v>758</v>
      </c>
      <c r="BP655" s="17" t="s">
        <v>2698</v>
      </c>
      <c r="BR655" s="24" t="str">
        <f t="shared" si="1"/>
        <v>Cherry Restaurent</v>
      </c>
    </row>
    <row r="656" ht="22.5" customHeight="1">
      <c r="A656" s="14">
        <v>46073.41443765046</v>
      </c>
      <c r="B656" s="15">
        <v>46072.0</v>
      </c>
      <c r="C656" s="16">
        <v>0.75</v>
      </c>
      <c r="D656" s="17" t="s">
        <v>91</v>
      </c>
      <c r="F656" s="17">
        <v>50.0</v>
      </c>
      <c r="G656" s="17">
        <v>350.0</v>
      </c>
      <c r="H656" s="17" t="s">
        <v>117</v>
      </c>
      <c r="I656" s="17">
        <v>19250.0</v>
      </c>
      <c r="J656" s="17" t="s">
        <v>94</v>
      </c>
      <c r="K656" s="17" t="s">
        <v>95</v>
      </c>
      <c r="M656" s="17">
        <v>22.0</v>
      </c>
      <c r="N656" s="17">
        <v>1.0</v>
      </c>
      <c r="O656" s="17" t="s">
        <v>371</v>
      </c>
      <c r="P656" s="17" t="s">
        <v>109</v>
      </c>
      <c r="Q656" s="17" t="s">
        <v>97</v>
      </c>
      <c r="R656" s="17" t="s">
        <v>109</v>
      </c>
      <c r="S656" s="17" t="s">
        <v>2699</v>
      </c>
      <c r="U656" s="17" t="s">
        <v>2700</v>
      </c>
      <c r="V656" s="17">
        <v>7.730072371E9</v>
      </c>
      <c r="W656" s="17" t="s">
        <v>2701</v>
      </c>
      <c r="AA656" s="17" t="s">
        <v>76</v>
      </c>
      <c r="AB656" s="17">
        <v>2.3626030000551E13</v>
      </c>
      <c r="AC656" s="18" t="s">
        <v>2702</v>
      </c>
      <c r="AD656" s="17" t="s">
        <v>117</v>
      </c>
      <c r="AF656" s="17" t="s">
        <v>2703</v>
      </c>
      <c r="AG656" s="18" t="s">
        <v>2704</v>
      </c>
      <c r="AH656" s="17" t="s">
        <v>117</v>
      </c>
      <c r="AO656" s="17" t="s">
        <v>2700</v>
      </c>
      <c r="AP656" s="17" t="s">
        <v>2705</v>
      </c>
      <c r="AQ656" s="17" t="s">
        <v>2701</v>
      </c>
      <c r="AR656" s="17" t="s">
        <v>2700</v>
      </c>
      <c r="AS656" s="17" t="s">
        <v>76</v>
      </c>
      <c r="AT656" s="17" t="s">
        <v>193</v>
      </c>
      <c r="AU656" s="17" t="s">
        <v>76</v>
      </c>
      <c r="AV656" s="17" t="s">
        <v>373</v>
      </c>
      <c r="AX656" s="15">
        <v>46076.0</v>
      </c>
      <c r="AY656" s="16">
        <v>0.7083333333357587</v>
      </c>
      <c r="AZ656" s="17" t="s">
        <v>164</v>
      </c>
      <c r="BA656" s="17" t="s">
        <v>458</v>
      </c>
      <c r="BB656" s="17" t="s">
        <v>76</v>
      </c>
      <c r="BH656" s="17">
        <v>22.0</v>
      </c>
      <c r="BI656" s="17" t="s">
        <v>109</v>
      </c>
      <c r="BJ656" s="16">
        <v>0.5</v>
      </c>
      <c r="BK656" s="16">
        <v>0.9166666666642413</v>
      </c>
      <c r="BL656" s="17">
        <v>55.0</v>
      </c>
      <c r="BM656" s="17" t="s">
        <v>2706</v>
      </c>
      <c r="BN656" s="17" t="s">
        <v>2707</v>
      </c>
      <c r="BP656" s="17" t="s">
        <v>2708</v>
      </c>
      <c r="BR656" s="24" t="str">
        <f t="shared" si="1"/>
        <v>ASIAN PAN HOUSE AND RESTAURANT</v>
      </c>
    </row>
    <row r="657" ht="22.5" customHeight="1">
      <c r="A657" s="14">
        <v>46073.41720280093</v>
      </c>
      <c r="B657" s="15">
        <v>46072.0</v>
      </c>
      <c r="C657" s="16">
        <v>0.75</v>
      </c>
      <c r="D657" s="17" t="s">
        <v>111</v>
      </c>
      <c r="T657" s="17" t="s">
        <v>2709</v>
      </c>
      <c r="U657" s="17" t="s">
        <v>2710</v>
      </c>
      <c r="V657" s="17">
        <v>8.897622869E9</v>
      </c>
      <c r="W657" s="17" t="s">
        <v>117</v>
      </c>
      <c r="AA657" s="17" t="s">
        <v>109</v>
      </c>
      <c r="AT657" s="17" t="s">
        <v>193</v>
      </c>
      <c r="AU657" s="17" t="s">
        <v>76</v>
      </c>
      <c r="AV657" s="17" t="s">
        <v>114</v>
      </c>
      <c r="AX657" s="15">
        <v>46073.0</v>
      </c>
      <c r="AY657" s="16">
        <v>0.7083333333357587</v>
      </c>
      <c r="AZ657" s="17" t="s">
        <v>164</v>
      </c>
      <c r="BA657" s="17" t="s">
        <v>458</v>
      </c>
      <c r="BB657" s="17" t="s">
        <v>76</v>
      </c>
      <c r="BP657" s="17" t="s">
        <v>2711</v>
      </c>
      <c r="BR657" s="24" t="str">
        <f t="shared" si="1"/>
        <v>PREETI TIFFINSPREETI TIFFINS </v>
      </c>
    </row>
    <row r="658" ht="22.5" customHeight="1">
      <c r="A658" s="14">
        <v>46073.41805289352</v>
      </c>
      <c r="B658" s="15">
        <v>46071.0</v>
      </c>
      <c r="C658" s="16">
        <v>0.6666666666642413</v>
      </c>
      <c r="U658" s="17" t="s">
        <v>1528</v>
      </c>
      <c r="V658" s="17">
        <v>8.019347999E9</v>
      </c>
      <c r="W658" s="17" t="s">
        <v>117</v>
      </c>
      <c r="AA658" s="17" t="s">
        <v>109</v>
      </c>
      <c r="AT658" s="17" t="s">
        <v>2712</v>
      </c>
      <c r="AU658" s="17" t="s">
        <v>76</v>
      </c>
      <c r="AV658" s="17" t="s">
        <v>472</v>
      </c>
      <c r="AZ658" s="17" t="s">
        <v>243</v>
      </c>
      <c r="BA658" s="17" t="s">
        <v>458</v>
      </c>
      <c r="BB658" s="17" t="s">
        <v>109</v>
      </c>
      <c r="BP658" s="17" t="s">
        <v>2713</v>
      </c>
      <c r="BR658" s="24" t="str">
        <f t="shared" si="1"/>
        <v>The chocolate room</v>
      </c>
    </row>
    <row r="659" ht="22.5" customHeight="1">
      <c r="A659" s="14">
        <v>46073.4262794213</v>
      </c>
      <c r="B659" s="15">
        <v>46071.0</v>
      </c>
      <c r="C659" s="16">
        <v>0.625</v>
      </c>
      <c r="U659" s="17" t="s">
        <v>1528</v>
      </c>
      <c r="V659" s="17">
        <v>8.019347999E9</v>
      </c>
      <c r="W659" s="17" t="s">
        <v>113</v>
      </c>
      <c r="AA659" s="17" t="s">
        <v>109</v>
      </c>
      <c r="AT659" s="17" t="s">
        <v>111</v>
      </c>
      <c r="AU659" s="17" t="s">
        <v>76</v>
      </c>
      <c r="AV659" s="17" t="s">
        <v>472</v>
      </c>
      <c r="AZ659" s="17" t="s">
        <v>243</v>
      </c>
      <c r="BA659" s="17" t="s">
        <v>458</v>
      </c>
      <c r="BB659" s="17" t="s">
        <v>109</v>
      </c>
      <c r="BP659" s="17" t="s">
        <v>2713</v>
      </c>
      <c r="BR659" s="24" t="str">
        <f t="shared" si="1"/>
        <v>The chocolate room</v>
      </c>
    </row>
    <row r="660" ht="22.5" customHeight="1">
      <c r="A660" s="14">
        <v>46073.42793438658</v>
      </c>
      <c r="B660" s="15">
        <v>46071.0</v>
      </c>
      <c r="C660" s="16">
        <v>0.5416666666642413</v>
      </c>
      <c r="D660" s="17" t="s">
        <v>111</v>
      </c>
      <c r="T660" s="17" t="s">
        <v>2150</v>
      </c>
      <c r="U660" s="17" t="s">
        <v>2714</v>
      </c>
      <c r="V660" s="17">
        <v>9.030000622E9</v>
      </c>
      <c r="W660" s="17" t="s">
        <v>113</v>
      </c>
      <c r="AA660" s="17" t="s">
        <v>109</v>
      </c>
      <c r="AT660" s="17" t="s">
        <v>2715</v>
      </c>
      <c r="AU660" s="17" t="s">
        <v>76</v>
      </c>
      <c r="AV660" s="17" t="s">
        <v>271</v>
      </c>
      <c r="AX660" s="15">
        <v>46073.0</v>
      </c>
      <c r="AZ660" s="17" t="s">
        <v>243</v>
      </c>
      <c r="BA660" s="17" t="s">
        <v>458</v>
      </c>
      <c r="BB660" s="17" t="s">
        <v>76</v>
      </c>
      <c r="BP660" s="17" t="s">
        <v>2150</v>
      </c>
      <c r="BR660" s="24" t="str">
        <f t="shared" si="1"/>
        <v>Kulcha kulchaKulcha kulcha</v>
      </c>
    </row>
    <row r="661" ht="22.5" customHeight="1">
      <c r="A661" s="14">
        <v>46073.42970975694</v>
      </c>
      <c r="B661" s="15">
        <v>46071.0</v>
      </c>
      <c r="C661" s="16">
        <v>0.5833333333357587</v>
      </c>
      <c r="U661" s="17" t="s">
        <v>2716</v>
      </c>
      <c r="V661" s="17">
        <v>9.701959365E9</v>
      </c>
      <c r="W661" s="17" t="s">
        <v>113</v>
      </c>
      <c r="AA661" s="17" t="s">
        <v>109</v>
      </c>
      <c r="AT661" s="17" t="s">
        <v>842</v>
      </c>
      <c r="AU661" s="17" t="s">
        <v>76</v>
      </c>
      <c r="AV661" s="17" t="s">
        <v>271</v>
      </c>
      <c r="AZ661" s="17" t="s">
        <v>243</v>
      </c>
      <c r="BA661" s="17" t="s">
        <v>458</v>
      </c>
      <c r="BB661" s="17" t="s">
        <v>109</v>
      </c>
      <c r="BP661" s="17" t="s">
        <v>2717</v>
      </c>
      <c r="BR661" s="24" t="str">
        <f t="shared" si="1"/>
        <v>Kafika</v>
      </c>
    </row>
    <row r="662" ht="22.5" customHeight="1">
      <c r="A662" s="14">
        <v>46073.53630511574</v>
      </c>
      <c r="B662" s="15">
        <v>46073.0</v>
      </c>
      <c r="C662" s="16">
        <v>0.04166666666424135</v>
      </c>
      <c r="U662" s="17" t="s">
        <v>2718</v>
      </c>
      <c r="V662" s="17">
        <v>9.00023939392E11</v>
      </c>
      <c r="W662" s="17" t="s">
        <v>2719</v>
      </c>
      <c r="Z662" s="17" t="s">
        <v>2720</v>
      </c>
      <c r="AA662" s="17" t="s">
        <v>109</v>
      </c>
      <c r="AT662" s="17" t="s">
        <v>388</v>
      </c>
      <c r="AU662" s="17" t="s">
        <v>76</v>
      </c>
      <c r="AV662" s="17" t="s">
        <v>472</v>
      </c>
      <c r="AZ662" s="17" t="s">
        <v>1910</v>
      </c>
      <c r="BA662" s="17" t="s">
        <v>458</v>
      </c>
      <c r="BB662" s="17" t="s">
        <v>109</v>
      </c>
      <c r="BP662" s="17" t="s">
        <v>288</v>
      </c>
      <c r="BR662" s="24" t="str">
        <f t="shared" si="1"/>
        <v>President Dhaba</v>
      </c>
    </row>
    <row r="663" ht="22.5" customHeight="1">
      <c r="A663" s="14">
        <v>46073.537313333334</v>
      </c>
      <c r="B663" s="15">
        <v>46073.0</v>
      </c>
      <c r="C663" s="16">
        <v>0.04166666666424135</v>
      </c>
      <c r="U663" s="17">
        <v>9.000239392E9</v>
      </c>
      <c r="V663" s="17" t="s">
        <v>2718</v>
      </c>
      <c r="W663" s="17" t="s">
        <v>2721</v>
      </c>
      <c r="AA663" s="17" t="s">
        <v>109</v>
      </c>
      <c r="AT663" s="17" t="s">
        <v>388</v>
      </c>
      <c r="AU663" s="17" t="s">
        <v>76</v>
      </c>
      <c r="AV663" s="17" t="s">
        <v>472</v>
      </c>
      <c r="AZ663" s="17" t="s">
        <v>1910</v>
      </c>
      <c r="BA663" s="17" t="s">
        <v>458</v>
      </c>
      <c r="BB663" s="17" t="s">
        <v>109</v>
      </c>
      <c r="BP663" s="17" t="s">
        <v>2722</v>
      </c>
      <c r="BR663" s="24" t="str">
        <f t="shared" si="1"/>
        <v>Krishnapatnam</v>
      </c>
    </row>
    <row r="664" ht="22.5" customHeight="1">
      <c r="A664" s="14">
        <v>46073.542708622685</v>
      </c>
      <c r="B664" s="15">
        <v>46073.0</v>
      </c>
      <c r="C664" s="16">
        <v>0.04166666666424135</v>
      </c>
      <c r="U664" s="17" t="s">
        <v>2723</v>
      </c>
      <c r="V664" s="17">
        <v>7.058580596E9</v>
      </c>
      <c r="W664" s="17" t="s">
        <v>2724</v>
      </c>
      <c r="AA664" s="17" t="s">
        <v>109</v>
      </c>
      <c r="AT664" s="17" t="s">
        <v>2725</v>
      </c>
      <c r="AU664" s="17" t="s">
        <v>76</v>
      </c>
      <c r="AV664" s="17" t="s">
        <v>472</v>
      </c>
      <c r="AZ664" s="17" t="s">
        <v>1910</v>
      </c>
      <c r="BA664" s="17" t="s">
        <v>458</v>
      </c>
      <c r="BB664" s="17" t="s">
        <v>109</v>
      </c>
      <c r="BP664" s="17" t="s">
        <v>2726</v>
      </c>
      <c r="BR664" s="24" t="str">
        <f t="shared" si="1"/>
        <v>Myfroyoland </v>
      </c>
    </row>
    <row r="665" ht="22.5" customHeight="1">
      <c r="A665" s="14">
        <v>46073.54430974537</v>
      </c>
      <c r="B665" s="15">
        <v>46073.0</v>
      </c>
      <c r="C665" s="16">
        <v>0.5</v>
      </c>
      <c r="D665" s="17" t="s">
        <v>91</v>
      </c>
      <c r="F665" s="17">
        <v>20.0</v>
      </c>
      <c r="G665" s="17">
        <v>250.0</v>
      </c>
      <c r="H665" s="17" t="s">
        <v>388</v>
      </c>
      <c r="J665" s="17" t="s">
        <v>94</v>
      </c>
      <c r="N665" s="17">
        <v>1.0</v>
      </c>
      <c r="O665" s="17" t="s">
        <v>96</v>
      </c>
      <c r="P665" s="17" t="s">
        <v>76</v>
      </c>
      <c r="Q665" s="17" t="s">
        <v>97</v>
      </c>
      <c r="R665" s="17" t="s">
        <v>98</v>
      </c>
      <c r="S665" s="17" t="s">
        <v>388</v>
      </c>
      <c r="U665" s="17" t="s">
        <v>388</v>
      </c>
      <c r="V665" s="17" t="s">
        <v>388</v>
      </c>
      <c r="W665" s="17" t="s">
        <v>388</v>
      </c>
      <c r="AA665" s="17" t="s">
        <v>109</v>
      </c>
      <c r="AT665" s="17" t="s">
        <v>2727</v>
      </c>
      <c r="AU665" s="17" t="s">
        <v>109</v>
      </c>
      <c r="AZ665" s="17" t="s">
        <v>243</v>
      </c>
      <c r="BA665" s="17" t="s">
        <v>458</v>
      </c>
      <c r="BB665" s="17" t="s">
        <v>76</v>
      </c>
      <c r="BN665" s="17" t="s">
        <v>113</v>
      </c>
      <c r="BP665" s="17" t="s">
        <v>2728</v>
      </c>
      <c r="BR665" s="24" t="str">
        <f t="shared" si="1"/>
        <v>Bhai ki chai </v>
      </c>
    </row>
    <row r="666" ht="22.5" customHeight="1">
      <c r="A666" s="14">
        <v>46073.5470981713</v>
      </c>
      <c r="B666" s="15">
        <v>46073.0</v>
      </c>
      <c r="C666" s="16">
        <v>0.5208333333357587</v>
      </c>
      <c r="D666" s="17" t="s">
        <v>91</v>
      </c>
      <c r="F666" s="17">
        <v>20.0</v>
      </c>
      <c r="G666" s="17">
        <v>150.0</v>
      </c>
      <c r="H666" s="17" t="s">
        <v>388</v>
      </c>
      <c r="J666" s="17" t="s">
        <v>221</v>
      </c>
      <c r="N666" s="17">
        <v>1.0</v>
      </c>
      <c r="O666" s="17" t="s">
        <v>135</v>
      </c>
      <c r="P666" s="17" t="s">
        <v>76</v>
      </c>
      <c r="Q666" s="17" t="s">
        <v>97</v>
      </c>
      <c r="R666" s="17" t="s">
        <v>98</v>
      </c>
      <c r="S666" s="17" t="s">
        <v>388</v>
      </c>
      <c r="U666" s="17" t="s">
        <v>388</v>
      </c>
      <c r="V666" s="17" t="s">
        <v>388</v>
      </c>
      <c r="W666" s="17" t="s">
        <v>388</v>
      </c>
      <c r="AA666" s="17" t="s">
        <v>109</v>
      </c>
      <c r="AT666" s="17" t="s">
        <v>2729</v>
      </c>
      <c r="AU666" s="17" t="s">
        <v>109</v>
      </c>
      <c r="AZ666" s="17" t="s">
        <v>243</v>
      </c>
      <c r="BA666" s="17" t="s">
        <v>458</v>
      </c>
      <c r="BB666" s="17" t="s">
        <v>76</v>
      </c>
      <c r="BP666" s="17" t="s">
        <v>2730</v>
      </c>
      <c r="BR666" s="24" t="str">
        <f t="shared" si="1"/>
        <v> Chai chaska</v>
      </c>
    </row>
    <row r="667" ht="22.5" customHeight="1">
      <c r="A667" s="14">
        <v>46073.55230038194</v>
      </c>
      <c r="B667" s="15">
        <v>46073.0</v>
      </c>
      <c r="C667" s="16">
        <v>0.05208333333575865</v>
      </c>
      <c r="U667" s="17" t="s">
        <v>2731</v>
      </c>
      <c r="V667" s="17">
        <v>9.154323333E9</v>
      </c>
      <c r="W667" s="17" t="s">
        <v>2732</v>
      </c>
      <c r="AA667" s="17" t="s">
        <v>109</v>
      </c>
      <c r="AT667" s="17" t="s">
        <v>2725</v>
      </c>
      <c r="AU667" s="17" t="s">
        <v>76</v>
      </c>
      <c r="AV667" s="17" t="s">
        <v>472</v>
      </c>
      <c r="AZ667" s="17" t="s">
        <v>1910</v>
      </c>
      <c r="BA667" s="17" t="s">
        <v>458</v>
      </c>
      <c r="BB667" s="17" t="s">
        <v>109</v>
      </c>
      <c r="BP667" s="17" t="s">
        <v>2733</v>
      </c>
      <c r="BR667" s="24" t="str">
        <f t="shared" si="1"/>
        <v>Nath Kitchen</v>
      </c>
    </row>
    <row r="668" ht="22.5" customHeight="1">
      <c r="A668" s="14">
        <v>46073.55302946759</v>
      </c>
      <c r="B668" s="15">
        <v>46073.0</v>
      </c>
      <c r="C668" s="16">
        <v>0.055555555554747116</v>
      </c>
      <c r="U668" s="17" t="s">
        <v>1385</v>
      </c>
      <c r="V668" s="20" t="s">
        <v>2734</v>
      </c>
      <c r="W668" s="17" t="s">
        <v>2735</v>
      </c>
      <c r="AA668" s="17" t="s">
        <v>109</v>
      </c>
      <c r="AT668" s="17" t="s">
        <v>2725</v>
      </c>
      <c r="AU668" s="17" t="s">
        <v>76</v>
      </c>
      <c r="AV668" s="17" t="s">
        <v>472</v>
      </c>
      <c r="AZ668" s="17" t="s">
        <v>1910</v>
      </c>
      <c r="BA668" s="17" t="s">
        <v>458</v>
      </c>
      <c r="BB668" s="17" t="s">
        <v>109</v>
      </c>
      <c r="BP668" s="17" t="s">
        <v>2736</v>
      </c>
      <c r="BR668" s="24" t="str">
        <f t="shared" si="1"/>
        <v>Palamgiri kitchen </v>
      </c>
    </row>
    <row r="669" ht="22.5" customHeight="1">
      <c r="A669" s="14">
        <v>46073.57534927083</v>
      </c>
      <c r="B669" s="15">
        <v>46073.0</v>
      </c>
      <c r="C669" s="16">
        <v>0.0743055555576575</v>
      </c>
      <c r="U669" s="17" t="s">
        <v>2737</v>
      </c>
      <c r="V669" s="17">
        <v>9.381789995E9</v>
      </c>
      <c r="W669" s="17" t="s">
        <v>388</v>
      </c>
      <c r="X669" s="17" t="s">
        <v>2738</v>
      </c>
      <c r="Y669" s="17">
        <v>9.50277777E9</v>
      </c>
      <c r="AA669" s="17" t="s">
        <v>109</v>
      </c>
      <c r="AT669" s="17" t="s">
        <v>2725</v>
      </c>
      <c r="AU669" s="17" t="s">
        <v>76</v>
      </c>
      <c r="AV669" s="17" t="s">
        <v>472</v>
      </c>
      <c r="AZ669" s="17" t="s">
        <v>1910</v>
      </c>
      <c r="BA669" s="17" t="s">
        <v>458</v>
      </c>
      <c r="BB669" s="17" t="s">
        <v>109</v>
      </c>
      <c r="BP669" s="17" t="s">
        <v>2739</v>
      </c>
      <c r="BR669" s="24" t="str">
        <f t="shared" si="1"/>
        <v>Van lavino</v>
      </c>
    </row>
    <row r="670" ht="22.5" customHeight="1">
      <c r="A670" s="14">
        <v>46073.64061811342</v>
      </c>
      <c r="B670" s="15">
        <v>46073.0</v>
      </c>
      <c r="C670" s="16">
        <v>0.07291666666424135</v>
      </c>
      <c r="U670" s="17" t="s">
        <v>957</v>
      </c>
      <c r="V670" s="17" t="s">
        <v>388</v>
      </c>
      <c r="W670" s="17" t="s">
        <v>388</v>
      </c>
      <c r="AA670" s="17" t="s">
        <v>109</v>
      </c>
      <c r="AT670" s="17" t="s">
        <v>2740</v>
      </c>
      <c r="AU670" s="17" t="s">
        <v>76</v>
      </c>
      <c r="AV670" s="17" t="s">
        <v>472</v>
      </c>
      <c r="AZ670" s="17" t="s">
        <v>1910</v>
      </c>
      <c r="BA670" s="17" t="s">
        <v>458</v>
      </c>
      <c r="BB670" s="17" t="s">
        <v>109</v>
      </c>
      <c r="BP670" s="17" t="s">
        <v>2019</v>
      </c>
      <c r="BR670" s="24" t="str">
        <f t="shared" si="1"/>
        <v>Almond House</v>
      </c>
    </row>
    <row r="671" ht="22.5" customHeight="1">
      <c r="A671" s="14">
        <v>46073.641715844904</v>
      </c>
      <c r="B671" s="15">
        <v>46073.0</v>
      </c>
      <c r="C671" s="16">
        <v>0.09375</v>
      </c>
      <c r="U671" s="17" t="s">
        <v>2741</v>
      </c>
      <c r="V671" s="17">
        <v>9.79412788E9</v>
      </c>
      <c r="W671" s="17" t="s">
        <v>388</v>
      </c>
      <c r="AA671" s="17" t="s">
        <v>109</v>
      </c>
      <c r="AT671" s="17" t="s">
        <v>2742</v>
      </c>
      <c r="AU671" s="17" t="s">
        <v>76</v>
      </c>
      <c r="AV671" s="17" t="s">
        <v>472</v>
      </c>
      <c r="AZ671" s="17" t="s">
        <v>1910</v>
      </c>
      <c r="BA671" s="17" t="s">
        <v>458</v>
      </c>
      <c r="BB671" s="17" t="s">
        <v>109</v>
      </c>
      <c r="BP671" s="17" t="s">
        <v>2743</v>
      </c>
      <c r="BR671" s="24" t="str">
        <f t="shared" si="1"/>
        <v>Telegu Jublii hills</v>
      </c>
    </row>
    <row r="672" ht="22.5" customHeight="1">
      <c r="A672" s="14">
        <v>46073.65318677083</v>
      </c>
      <c r="B672" s="15">
        <v>46073.0</v>
      </c>
      <c r="C672" s="16">
        <v>0.10416666666424135</v>
      </c>
      <c r="U672" s="17" t="s">
        <v>388</v>
      </c>
      <c r="V672" s="17" t="s">
        <v>388</v>
      </c>
      <c r="W672" s="17" t="s">
        <v>388</v>
      </c>
      <c r="AA672" s="17" t="s">
        <v>109</v>
      </c>
      <c r="AT672" s="17" t="s">
        <v>2744</v>
      </c>
      <c r="AU672" s="17" t="s">
        <v>76</v>
      </c>
      <c r="AV672" s="17" t="s">
        <v>472</v>
      </c>
      <c r="AZ672" s="17" t="s">
        <v>1910</v>
      </c>
      <c r="BA672" s="17" t="s">
        <v>458</v>
      </c>
      <c r="BB672" s="17" t="s">
        <v>109</v>
      </c>
      <c r="BP672" s="17" t="s">
        <v>2745</v>
      </c>
      <c r="BR672" s="24" t="str">
        <f t="shared" si="1"/>
        <v>Thyme and Whisk</v>
      </c>
    </row>
    <row r="673" ht="22.5" customHeight="1">
      <c r="A673" s="14">
        <v>46073.659601747684</v>
      </c>
      <c r="B673" s="15">
        <v>46073.0</v>
      </c>
      <c r="C673" s="16">
        <v>0.14583333333575865</v>
      </c>
      <c r="D673" s="17" t="s">
        <v>91</v>
      </c>
      <c r="F673" s="17">
        <v>200.0</v>
      </c>
      <c r="G673" s="17">
        <v>500.0</v>
      </c>
      <c r="H673" s="17" t="s">
        <v>423</v>
      </c>
      <c r="J673" s="17" t="s">
        <v>167</v>
      </c>
      <c r="N673" s="17">
        <v>1.0</v>
      </c>
      <c r="O673" s="17" t="s">
        <v>135</v>
      </c>
      <c r="P673" s="17" t="s">
        <v>76</v>
      </c>
      <c r="Q673" s="17" t="s">
        <v>97</v>
      </c>
      <c r="R673" s="17" t="s">
        <v>76</v>
      </c>
      <c r="S673" s="18" t="s">
        <v>2746</v>
      </c>
      <c r="U673" s="17" t="s">
        <v>2747</v>
      </c>
      <c r="V673" s="17">
        <v>8.37457252E9</v>
      </c>
      <c r="W673" s="17" t="s">
        <v>388</v>
      </c>
      <c r="X673" s="17" t="s">
        <v>2748</v>
      </c>
      <c r="Y673" s="17">
        <v>9.390442627E9</v>
      </c>
      <c r="AA673" s="17" t="s">
        <v>109</v>
      </c>
      <c r="AT673" s="17" t="s">
        <v>2749</v>
      </c>
      <c r="AU673" s="17" t="s">
        <v>76</v>
      </c>
      <c r="AV673" s="17" t="s">
        <v>472</v>
      </c>
      <c r="AZ673" s="17" t="s">
        <v>1910</v>
      </c>
      <c r="BA673" s="17" t="s">
        <v>458</v>
      </c>
      <c r="BB673" s="17" t="s">
        <v>76</v>
      </c>
      <c r="BP673" s="17" t="s">
        <v>2750</v>
      </c>
      <c r="BR673" s="24" t="str">
        <f t="shared" si="1"/>
        <v>Naughty Kudi</v>
      </c>
    </row>
    <row r="674" ht="22.5" customHeight="1">
      <c r="A674" s="14">
        <v>46073.66215916666</v>
      </c>
      <c r="B674" s="15">
        <v>46073.0</v>
      </c>
      <c r="C674" s="16">
        <v>0.15972222221898846</v>
      </c>
      <c r="D674" s="17" t="s">
        <v>91</v>
      </c>
      <c r="F674" s="17">
        <v>100.0</v>
      </c>
      <c r="G674" s="17">
        <v>500.0</v>
      </c>
      <c r="H674" s="17" t="s">
        <v>388</v>
      </c>
      <c r="I674" s="17">
        <v>50000.0</v>
      </c>
      <c r="J674" s="17" t="s">
        <v>167</v>
      </c>
      <c r="N674" s="17">
        <v>1.0</v>
      </c>
      <c r="O674" s="17" t="s">
        <v>135</v>
      </c>
      <c r="P674" s="17" t="s">
        <v>76</v>
      </c>
      <c r="Q674" s="17" t="s">
        <v>97</v>
      </c>
      <c r="R674" s="17" t="s">
        <v>98</v>
      </c>
      <c r="S674" s="18" t="s">
        <v>2746</v>
      </c>
      <c r="U674" s="17" t="s">
        <v>2751</v>
      </c>
      <c r="V674" s="17">
        <v>9.583618255E9</v>
      </c>
      <c r="W674" s="17" t="s">
        <v>388</v>
      </c>
      <c r="AA674" s="17" t="s">
        <v>109</v>
      </c>
      <c r="AT674" s="17" t="s">
        <v>2752</v>
      </c>
      <c r="AU674" s="17" t="s">
        <v>109</v>
      </c>
      <c r="AV674" s="17" t="s">
        <v>472</v>
      </c>
      <c r="AZ674" s="17" t="s">
        <v>1910</v>
      </c>
      <c r="BA674" s="17" t="s">
        <v>458</v>
      </c>
      <c r="BB674" s="17" t="s">
        <v>76</v>
      </c>
      <c r="BP674" s="17" t="s">
        <v>2753</v>
      </c>
      <c r="BR674" s="24" t="str">
        <f t="shared" si="1"/>
        <v>Insomnia night club</v>
      </c>
    </row>
    <row r="675" ht="22.5" customHeight="1">
      <c r="A675" s="14">
        <v>46073.7288053125</v>
      </c>
      <c r="B675" s="15">
        <v>46073.0</v>
      </c>
      <c r="C675" s="16">
        <v>0.5416666666642413</v>
      </c>
      <c r="D675" s="17" t="s">
        <v>111</v>
      </c>
      <c r="T675" s="17" t="s">
        <v>2754</v>
      </c>
      <c r="U675" s="17" t="s">
        <v>1152</v>
      </c>
      <c r="V675" s="17">
        <v>9.515736223E9</v>
      </c>
      <c r="W675" s="17" t="s">
        <v>769</v>
      </c>
      <c r="AA675" s="17" t="s">
        <v>109</v>
      </c>
      <c r="AT675" s="17" t="s">
        <v>2755</v>
      </c>
      <c r="AU675" s="17" t="s">
        <v>76</v>
      </c>
      <c r="AZ675" s="17" t="s">
        <v>115</v>
      </c>
      <c r="BA675" s="17" t="s">
        <v>458</v>
      </c>
      <c r="BB675" s="17" t="s">
        <v>76</v>
      </c>
      <c r="BP675" s="17" t="s">
        <v>2756</v>
      </c>
      <c r="BR675" s="24" t="str">
        <f t="shared" si="1"/>
        <v>Aha ruchuluAha ruchulu </v>
      </c>
    </row>
    <row r="676" ht="22.5" customHeight="1">
      <c r="A676" s="14">
        <v>46073.72977240741</v>
      </c>
      <c r="B676" s="15">
        <v>46073.0</v>
      </c>
      <c r="C676" s="16">
        <v>0.6666666666642413</v>
      </c>
      <c r="U676" s="17" t="s">
        <v>2757</v>
      </c>
      <c r="V676" s="17">
        <v>9.000939335E9</v>
      </c>
      <c r="W676" s="17" t="s">
        <v>769</v>
      </c>
      <c r="AA676" s="17" t="s">
        <v>109</v>
      </c>
      <c r="AT676" s="17" t="s">
        <v>2758</v>
      </c>
      <c r="AU676" s="17" t="s">
        <v>76</v>
      </c>
      <c r="AZ676" s="17" t="s">
        <v>115</v>
      </c>
      <c r="BA676" s="17" t="s">
        <v>458</v>
      </c>
      <c r="BB676" s="17" t="s">
        <v>109</v>
      </c>
      <c r="BP676" s="17" t="s">
        <v>2759</v>
      </c>
      <c r="BR676" s="24" t="str">
        <f t="shared" si="1"/>
        <v>Al saba</v>
      </c>
    </row>
    <row r="677" ht="22.5" customHeight="1">
      <c r="A677" s="14">
        <v>46073.73065459491</v>
      </c>
      <c r="B677" s="15">
        <v>46073.0</v>
      </c>
      <c r="C677" s="16">
        <v>0.6875</v>
      </c>
      <c r="U677" s="17" t="s">
        <v>2760</v>
      </c>
      <c r="V677" s="17">
        <v>9.642302809E9</v>
      </c>
      <c r="W677" s="17" t="s">
        <v>769</v>
      </c>
      <c r="AA677" s="17" t="s">
        <v>109</v>
      </c>
      <c r="AT677" s="17" t="s">
        <v>2761</v>
      </c>
      <c r="AU677" s="17" t="s">
        <v>76</v>
      </c>
      <c r="AZ677" s="17" t="s">
        <v>115</v>
      </c>
      <c r="BA677" s="17" t="s">
        <v>458</v>
      </c>
      <c r="BB677" s="17" t="s">
        <v>109</v>
      </c>
      <c r="BP677" s="17" t="s">
        <v>2762</v>
      </c>
      <c r="BR677" s="24" t="str">
        <f t="shared" si="1"/>
        <v>Arabian Mandi </v>
      </c>
    </row>
    <row r="678" ht="22.5" customHeight="1">
      <c r="A678" s="14">
        <v>46073.730887129626</v>
      </c>
      <c r="B678" s="15">
        <v>46073.0</v>
      </c>
      <c r="C678" s="16">
        <v>0.5625</v>
      </c>
      <c r="D678" s="17" t="s">
        <v>111</v>
      </c>
      <c r="T678" s="17" t="s">
        <v>2763</v>
      </c>
      <c r="U678" s="17" t="s">
        <v>2764</v>
      </c>
      <c r="V678" s="17">
        <v>7.396928999E9</v>
      </c>
      <c r="W678" s="17" t="s">
        <v>388</v>
      </c>
      <c r="AA678" s="17" t="s">
        <v>109</v>
      </c>
      <c r="AT678" s="17" t="s">
        <v>2765</v>
      </c>
      <c r="AU678" s="17" t="s">
        <v>76</v>
      </c>
      <c r="AV678" s="17" t="s">
        <v>472</v>
      </c>
      <c r="AZ678" s="17" t="s">
        <v>243</v>
      </c>
      <c r="BA678" s="17" t="s">
        <v>458</v>
      </c>
      <c r="BB678" s="17" t="s">
        <v>76</v>
      </c>
      <c r="BP678" s="17" t="s">
        <v>2766</v>
      </c>
      <c r="BR678" s="24" t="str">
        <f t="shared" si="1"/>
        <v>Hotel swaruchiHotel surichi</v>
      </c>
    </row>
    <row r="679" ht="22.5" customHeight="1">
      <c r="A679" s="14">
        <v>46073.735874247686</v>
      </c>
      <c r="B679" s="15">
        <v>46073.0</v>
      </c>
      <c r="C679" s="16">
        <v>0.5833333333357587</v>
      </c>
      <c r="D679" s="17" t="s">
        <v>91</v>
      </c>
      <c r="F679" s="17">
        <v>20.0</v>
      </c>
      <c r="G679" s="17">
        <v>200.0</v>
      </c>
      <c r="H679" s="17" t="s">
        <v>388</v>
      </c>
      <c r="J679" s="17" t="s">
        <v>221</v>
      </c>
      <c r="N679" s="17">
        <v>1.0</v>
      </c>
      <c r="O679" s="17" t="s">
        <v>96</v>
      </c>
      <c r="P679" s="17" t="s">
        <v>109</v>
      </c>
      <c r="Q679" s="17" t="s">
        <v>97</v>
      </c>
      <c r="R679" s="17" t="s">
        <v>98</v>
      </c>
      <c r="S679" s="17" t="s">
        <v>388</v>
      </c>
      <c r="U679" s="17" t="s">
        <v>2767</v>
      </c>
      <c r="V679" s="17" t="s">
        <v>2768</v>
      </c>
      <c r="W679" s="17" t="s">
        <v>2769</v>
      </c>
      <c r="AA679" s="17" t="s">
        <v>109</v>
      </c>
      <c r="AT679" s="17" t="s">
        <v>2725</v>
      </c>
      <c r="AU679" s="17" t="s">
        <v>76</v>
      </c>
      <c r="AV679" s="17" t="s">
        <v>472</v>
      </c>
      <c r="AZ679" s="17" t="s">
        <v>243</v>
      </c>
      <c r="BA679" s="17" t="s">
        <v>458</v>
      </c>
      <c r="BB679" s="17" t="s">
        <v>76</v>
      </c>
      <c r="BP679" s="17" t="s">
        <v>2770</v>
      </c>
      <c r="BR679" s="24" t="str">
        <f t="shared" si="1"/>
        <v>Bhimavaram ruchulu</v>
      </c>
    </row>
    <row r="680" ht="22.5" customHeight="1">
      <c r="A680" s="14">
        <v>46073.73811550926</v>
      </c>
      <c r="B680" s="15">
        <v>46073.0</v>
      </c>
      <c r="C680" s="16">
        <v>0.5833333333357587</v>
      </c>
      <c r="D680" s="17" t="s">
        <v>111</v>
      </c>
      <c r="T680" s="17" t="s">
        <v>2771</v>
      </c>
      <c r="U680" s="17" t="s">
        <v>2772</v>
      </c>
      <c r="V680" s="17">
        <v>6.30097803E9</v>
      </c>
      <c r="W680" s="17" t="s">
        <v>388</v>
      </c>
      <c r="AA680" s="17" t="s">
        <v>109</v>
      </c>
      <c r="AT680" s="17" t="s">
        <v>2773</v>
      </c>
      <c r="AU680" s="17" t="s">
        <v>76</v>
      </c>
      <c r="AV680" s="17" t="s">
        <v>472</v>
      </c>
      <c r="AZ680" s="17" t="s">
        <v>243</v>
      </c>
      <c r="BA680" s="17" t="s">
        <v>458</v>
      </c>
      <c r="BB680" s="17" t="s">
        <v>76</v>
      </c>
      <c r="BP680" s="17" t="s">
        <v>2771</v>
      </c>
      <c r="BR680" s="24" t="str">
        <f t="shared" si="1"/>
        <v>Godavari ruchuluGodavari ruchulu</v>
      </c>
    </row>
    <row r="681" ht="22.5" customHeight="1">
      <c r="A681" s="14">
        <v>46073.74038351852</v>
      </c>
      <c r="B681" s="15">
        <v>46073.0</v>
      </c>
      <c r="C681" s="16">
        <v>0.625</v>
      </c>
      <c r="U681" s="17" t="s">
        <v>717</v>
      </c>
      <c r="V681" s="17">
        <v>9.948562177E9</v>
      </c>
      <c r="W681" s="17" t="s">
        <v>388</v>
      </c>
      <c r="AA681" s="17" t="s">
        <v>109</v>
      </c>
      <c r="AT681" s="17" t="s">
        <v>2774</v>
      </c>
      <c r="AU681" s="17" t="s">
        <v>76</v>
      </c>
      <c r="AV681" s="17" t="s">
        <v>472</v>
      </c>
      <c r="AZ681" s="17" t="s">
        <v>243</v>
      </c>
      <c r="BA681" s="17" t="s">
        <v>458</v>
      </c>
      <c r="BB681" s="17" t="s">
        <v>109</v>
      </c>
      <c r="BP681" s="17" t="s">
        <v>2775</v>
      </c>
      <c r="BR681" s="24" t="str">
        <f t="shared" si="1"/>
        <v>Sirisha fast food </v>
      </c>
    </row>
    <row r="682" ht="22.5" customHeight="1">
      <c r="A682" s="14">
        <v>46073.74182890046</v>
      </c>
      <c r="B682" s="15">
        <v>46073.0</v>
      </c>
      <c r="C682" s="16">
        <v>0.625</v>
      </c>
      <c r="U682" s="17" t="s">
        <v>2776</v>
      </c>
      <c r="V682" s="17">
        <v>8.142488588E9</v>
      </c>
      <c r="W682" s="17" t="s">
        <v>388</v>
      </c>
      <c r="AA682" s="17" t="s">
        <v>109</v>
      </c>
      <c r="AT682" s="17" t="s">
        <v>2777</v>
      </c>
      <c r="AU682" s="17" t="s">
        <v>76</v>
      </c>
      <c r="AV682" s="17" t="s">
        <v>472</v>
      </c>
      <c r="AZ682" s="17" t="s">
        <v>243</v>
      </c>
      <c r="BA682" s="17" t="s">
        <v>458</v>
      </c>
      <c r="BB682" s="17" t="s">
        <v>109</v>
      </c>
      <c r="BP682" s="17" t="s">
        <v>2778</v>
      </c>
      <c r="BR682" s="24" t="str">
        <f t="shared" si="1"/>
        <v>Sankar villas tiffins</v>
      </c>
    </row>
    <row r="683" ht="22.5" customHeight="1">
      <c r="A683" s="14">
        <v>46073.74302465278</v>
      </c>
      <c r="B683" s="15">
        <v>46073.0</v>
      </c>
      <c r="C683" s="16">
        <v>0.625</v>
      </c>
      <c r="U683" s="17" t="s">
        <v>239</v>
      </c>
      <c r="V683" s="17">
        <v>8.096301302E9</v>
      </c>
      <c r="W683" s="17" t="s">
        <v>388</v>
      </c>
      <c r="AA683" s="17" t="s">
        <v>109</v>
      </c>
      <c r="AT683" s="17" t="s">
        <v>2779</v>
      </c>
      <c r="AU683" s="17" t="s">
        <v>76</v>
      </c>
      <c r="AV683" s="17" t="s">
        <v>472</v>
      </c>
      <c r="AZ683" s="17" t="s">
        <v>243</v>
      </c>
      <c r="BA683" s="17" t="s">
        <v>458</v>
      </c>
      <c r="BB683" s="17" t="s">
        <v>109</v>
      </c>
      <c r="BP683" s="17" t="s">
        <v>2780</v>
      </c>
      <c r="BR683" s="24" t="str">
        <f t="shared" si="1"/>
        <v>Venkateswara foods</v>
      </c>
    </row>
    <row r="684" ht="22.5" customHeight="1">
      <c r="A684" s="14">
        <v>46073.745105821756</v>
      </c>
      <c r="B684" s="15">
        <v>46073.0</v>
      </c>
      <c r="C684" s="16">
        <v>0.625</v>
      </c>
      <c r="D684" s="17" t="s">
        <v>91</v>
      </c>
      <c r="F684" s="17">
        <v>20.0</v>
      </c>
      <c r="G684" s="17">
        <v>300.0</v>
      </c>
      <c r="H684" s="17" t="s">
        <v>388</v>
      </c>
      <c r="J684" s="17" t="s">
        <v>94</v>
      </c>
      <c r="N684" s="17">
        <v>1.0</v>
      </c>
      <c r="O684" s="17" t="s">
        <v>135</v>
      </c>
      <c r="P684" s="17" t="s">
        <v>76</v>
      </c>
      <c r="Q684" s="17" t="s">
        <v>97</v>
      </c>
      <c r="R684" s="17" t="s">
        <v>98</v>
      </c>
      <c r="S684" s="17" t="s">
        <v>388</v>
      </c>
      <c r="U684" s="17" t="s">
        <v>2781</v>
      </c>
      <c r="V684" s="17">
        <v>7.893787203E9</v>
      </c>
      <c r="W684" s="17" t="s">
        <v>2782</v>
      </c>
      <c r="AA684" s="17" t="s">
        <v>109</v>
      </c>
      <c r="AT684" s="17" t="s">
        <v>2783</v>
      </c>
      <c r="AU684" s="17" t="s">
        <v>76</v>
      </c>
      <c r="AV684" s="17" t="s">
        <v>271</v>
      </c>
      <c r="AZ684" s="17" t="s">
        <v>243</v>
      </c>
      <c r="BA684" s="17" t="s">
        <v>458</v>
      </c>
      <c r="BB684" s="17" t="s">
        <v>76</v>
      </c>
      <c r="BP684" s="17" t="s">
        <v>2784</v>
      </c>
      <c r="BR684" s="24" t="str">
        <f t="shared" si="1"/>
        <v>Zaiqa 11</v>
      </c>
    </row>
    <row r="685" ht="22.5" customHeight="1">
      <c r="A685" s="14">
        <v>46073.747948993056</v>
      </c>
      <c r="B685" s="15">
        <v>46073.0</v>
      </c>
      <c r="C685" s="16">
        <v>0.6666666666642413</v>
      </c>
      <c r="U685" s="17" t="s">
        <v>963</v>
      </c>
      <c r="V685" s="17" t="s">
        <v>388</v>
      </c>
      <c r="W685" s="17" t="s">
        <v>388</v>
      </c>
      <c r="AA685" s="17" t="s">
        <v>109</v>
      </c>
      <c r="AT685" s="17" t="s">
        <v>2785</v>
      </c>
      <c r="AU685" s="17" t="s">
        <v>76</v>
      </c>
      <c r="AV685" s="17" t="s">
        <v>472</v>
      </c>
      <c r="AZ685" s="17" t="s">
        <v>243</v>
      </c>
      <c r="BA685" s="17" t="s">
        <v>458</v>
      </c>
      <c r="BB685" s="17" t="s">
        <v>109</v>
      </c>
      <c r="BP685" s="17" t="s">
        <v>2786</v>
      </c>
      <c r="BR685" s="24" t="str">
        <f t="shared" si="1"/>
        <v>Kadak house </v>
      </c>
    </row>
    <row r="686" ht="22.5" customHeight="1">
      <c r="A686" s="14">
        <v>46073.76848097223</v>
      </c>
      <c r="B686" s="15">
        <v>46071.0</v>
      </c>
      <c r="C686" s="16">
        <v>0.5</v>
      </c>
      <c r="U686" s="17" t="s">
        <v>952</v>
      </c>
      <c r="V686" s="17">
        <v>9.550955064E9</v>
      </c>
      <c r="W686" s="17" t="s">
        <v>388</v>
      </c>
      <c r="AA686" s="17" t="s">
        <v>109</v>
      </c>
      <c r="AT686" s="17" t="s">
        <v>2787</v>
      </c>
      <c r="AU686" s="17" t="s">
        <v>76</v>
      </c>
      <c r="AV686" s="17" t="s">
        <v>271</v>
      </c>
      <c r="AX686" s="15">
        <v>46076.0</v>
      </c>
      <c r="AZ686" s="17" t="s">
        <v>287</v>
      </c>
      <c r="BA686" s="17" t="s">
        <v>458</v>
      </c>
      <c r="BB686" s="17" t="s">
        <v>109</v>
      </c>
      <c r="BP686" s="17" t="s">
        <v>2788</v>
      </c>
      <c r="BR686" s="24" t="str">
        <f t="shared" si="1"/>
        <v>Eruvaaka </v>
      </c>
    </row>
    <row r="687" ht="22.5" customHeight="1">
      <c r="A687" s="14">
        <v>46073.769679363424</v>
      </c>
      <c r="B687" s="15">
        <v>46073.0</v>
      </c>
      <c r="C687" s="16">
        <v>0.5208333333357587</v>
      </c>
      <c r="U687" s="17" t="s">
        <v>2789</v>
      </c>
      <c r="V687" s="17">
        <v>8.897389987E9</v>
      </c>
      <c r="W687" s="17" t="s">
        <v>388</v>
      </c>
      <c r="AA687" s="17" t="s">
        <v>109</v>
      </c>
      <c r="AT687" s="17" t="s">
        <v>2790</v>
      </c>
      <c r="AU687" s="17" t="s">
        <v>76</v>
      </c>
      <c r="AV687" s="17" t="s">
        <v>271</v>
      </c>
      <c r="AX687" s="15">
        <v>46076.0</v>
      </c>
      <c r="AZ687" s="17" t="s">
        <v>287</v>
      </c>
      <c r="BA687" s="17" t="s">
        <v>458</v>
      </c>
      <c r="BB687" s="17" t="s">
        <v>109</v>
      </c>
      <c r="BP687" s="17" t="s">
        <v>2791</v>
      </c>
      <c r="BR687" s="24" t="str">
        <f t="shared" si="1"/>
        <v>RR Orisha Dhaba</v>
      </c>
    </row>
    <row r="688" ht="22.5" customHeight="1">
      <c r="A688" s="14">
        <v>46073.77215844908</v>
      </c>
      <c r="B688" s="15">
        <v>46073.0</v>
      </c>
      <c r="C688" s="16">
        <v>0.5347222222189885</v>
      </c>
      <c r="D688" s="17" t="s">
        <v>91</v>
      </c>
      <c r="F688" s="17">
        <v>30.0</v>
      </c>
      <c r="G688" s="17">
        <v>250.0</v>
      </c>
      <c r="H688" s="17" t="s">
        <v>388</v>
      </c>
      <c r="J688" s="17" t="s">
        <v>94</v>
      </c>
      <c r="M688" s="17">
        <v>22.0</v>
      </c>
      <c r="N688" s="17">
        <v>1.0</v>
      </c>
      <c r="O688" s="17" t="s">
        <v>135</v>
      </c>
      <c r="P688" s="17" t="s">
        <v>109</v>
      </c>
      <c r="Q688" s="17" t="s">
        <v>97</v>
      </c>
      <c r="R688" s="17" t="s">
        <v>109</v>
      </c>
      <c r="S688" s="17" t="s">
        <v>388</v>
      </c>
      <c r="U688" s="17" t="s">
        <v>2792</v>
      </c>
      <c r="V688" s="17">
        <v>8.121340883E9</v>
      </c>
      <c r="W688" s="17" t="s">
        <v>388</v>
      </c>
      <c r="AA688" s="17" t="s">
        <v>76</v>
      </c>
      <c r="AC688" s="18" t="s">
        <v>2793</v>
      </c>
      <c r="AG688" s="18" t="s">
        <v>2794</v>
      </c>
      <c r="AS688" s="17" t="s">
        <v>76</v>
      </c>
      <c r="AT688" s="17" t="s">
        <v>2795</v>
      </c>
      <c r="AU688" s="17" t="s">
        <v>109</v>
      </c>
      <c r="AZ688" s="17" t="s">
        <v>287</v>
      </c>
      <c r="BA688" s="17" t="s">
        <v>458</v>
      </c>
      <c r="BB688" s="17" t="s">
        <v>76</v>
      </c>
      <c r="BM688" s="17" t="s">
        <v>2796</v>
      </c>
      <c r="BP688" s="17" t="s">
        <v>2797</v>
      </c>
      <c r="BR688" s="24" t="str">
        <f t="shared" si="1"/>
        <v>Raju Gari Bhimavaram Biryani</v>
      </c>
    </row>
    <row r="689" ht="22.5" customHeight="1">
      <c r="A689" s="14">
        <v>46073.77510212963</v>
      </c>
      <c r="B689" s="15">
        <v>46073.0</v>
      </c>
      <c r="C689" s="16">
        <v>0.6875</v>
      </c>
      <c r="D689" s="17" t="s">
        <v>91</v>
      </c>
      <c r="F689" s="17">
        <v>20.0</v>
      </c>
      <c r="G689" s="17">
        <v>150.0</v>
      </c>
      <c r="H689" s="17" t="s">
        <v>117</v>
      </c>
      <c r="J689" s="17" t="s">
        <v>221</v>
      </c>
      <c r="K689" s="17" t="s">
        <v>95</v>
      </c>
      <c r="M689" s="17">
        <v>22.0</v>
      </c>
      <c r="N689" s="17">
        <v>1.0</v>
      </c>
      <c r="O689" s="17" t="s">
        <v>96</v>
      </c>
      <c r="P689" s="17" t="s">
        <v>109</v>
      </c>
      <c r="Q689" s="17" t="s">
        <v>97</v>
      </c>
      <c r="R689" s="17" t="s">
        <v>109</v>
      </c>
      <c r="S689" s="17" t="s">
        <v>113</v>
      </c>
      <c r="U689" s="17" t="s">
        <v>2798</v>
      </c>
      <c r="V689" s="17">
        <v>7.020226949E9</v>
      </c>
      <c r="W689" s="17" t="s">
        <v>117</v>
      </c>
      <c r="AA689" s="17" t="s">
        <v>76</v>
      </c>
      <c r="AC689" s="18" t="s">
        <v>2799</v>
      </c>
      <c r="AS689" s="17" t="s">
        <v>76</v>
      </c>
      <c r="AT689" s="17" t="s">
        <v>2800</v>
      </c>
      <c r="AU689" s="17" t="s">
        <v>76</v>
      </c>
      <c r="AV689" s="17" t="s">
        <v>88</v>
      </c>
      <c r="AZ689" s="17" t="s">
        <v>287</v>
      </c>
      <c r="BA689" s="17" t="s">
        <v>458</v>
      </c>
      <c r="BB689" s="17" t="s">
        <v>76</v>
      </c>
      <c r="BM689" s="17" t="s">
        <v>1088</v>
      </c>
      <c r="BP689" s="17" t="s">
        <v>2801</v>
      </c>
      <c r="BR689" s="24" t="str">
        <f t="shared" si="1"/>
        <v>Sai Mumbai Famous</v>
      </c>
    </row>
    <row r="690" ht="22.5" customHeight="1">
      <c r="A690" s="14">
        <v>46073.788770196756</v>
      </c>
      <c r="B690" s="15">
        <v>46073.0</v>
      </c>
      <c r="C690" s="16">
        <v>0.375</v>
      </c>
      <c r="D690" s="17" t="s">
        <v>91</v>
      </c>
      <c r="F690" s="17">
        <v>50.0</v>
      </c>
      <c r="G690" s="17">
        <v>200.0</v>
      </c>
      <c r="H690" s="17" t="s">
        <v>388</v>
      </c>
      <c r="I690" s="17">
        <v>20000.0</v>
      </c>
      <c r="J690" s="17" t="s">
        <v>221</v>
      </c>
      <c r="K690" s="17" t="s">
        <v>95</v>
      </c>
      <c r="N690" s="17">
        <v>4.0</v>
      </c>
      <c r="O690" s="17" t="s">
        <v>96</v>
      </c>
      <c r="P690" s="17" t="s">
        <v>109</v>
      </c>
      <c r="Q690" s="17" t="s">
        <v>97</v>
      </c>
      <c r="R690" s="17" t="s">
        <v>109</v>
      </c>
      <c r="S690" s="18" t="s">
        <v>2802</v>
      </c>
      <c r="U690" s="17" t="s">
        <v>2803</v>
      </c>
      <c r="V690" s="17">
        <v>9.49473281E8</v>
      </c>
      <c r="W690" s="17" t="s">
        <v>388</v>
      </c>
      <c r="AA690" s="17" t="s">
        <v>76</v>
      </c>
      <c r="AC690" s="18" t="s">
        <v>2804</v>
      </c>
      <c r="AG690" s="18" t="s">
        <v>2805</v>
      </c>
      <c r="AL690" s="20" t="s">
        <v>2806</v>
      </c>
      <c r="AM690" s="17" t="s">
        <v>2807</v>
      </c>
      <c r="AN690" s="17" t="s">
        <v>2808</v>
      </c>
      <c r="AO690" s="17" t="s">
        <v>2809</v>
      </c>
      <c r="AP690" s="17">
        <v>9.494739281E9</v>
      </c>
      <c r="AS690" s="17" t="s">
        <v>76</v>
      </c>
      <c r="AT690" s="17" t="s">
        <v>2536</v>
      </c>
      <c r="AU690" s="17" t="s">
        <v>109</v>
      </c>
      <c r="AZ690" s="17" t="s">
        <v>151</v>
      </c>
      <c r="BA690" s="17" t="s">
        <v>458</v>
      </c>
      <c r="BB690" s="17" t="s">
        <v>76</v>
      </c>
      <c r="BH690" s="17">
        <v>23.0</v>
      </c>
      <c r="BI690" s="17" t="s">
        <v>76</v>
      </c>
      <c r="BL690" s="17" t="s">
        <v>388</v>
      </c>
      <c r="BM690" s="17" t="s">
        <v>2810</v>
      </c>
      <c r="BN690" s="17" t="s">
        <v>2811</v>
      </c>
      <c r="BP690" s="17" t="s">
        <v>2812</v>
      </c>
      <c r="BR690" s="24" t="str">
        <f t="shared" si="1"/>
        <v>Sravanthi tiffins</v>
      </c>
    </row>
    <row r="691" ht="22.5" customHeight="1">
      <c r="A691" s="14">
        <v>46073.789173599536</v>
      </c>
      <c r="B691" s="15">
        <v>46073.0</v>
      </c>
      <c r="C691" s="16">
        <v>0.7083333333357587</v>
      </c>
      <c r="U691" s="17" t="s">
        <v>2813</v>
      </c>
      <c r="V691" s="17" t="s">
        <v>2814</v>
      </c>
      <c r="W691" s="17" t="s">
        <v>113</v>
      </c>
      <c r="AA691" s="17" t="s">
        <v>109</v>
      </c>
      <c r="AT691" s="17" t="s">
        <v>586</v>
      </c>
      <c r="AU691" s="17" t="s">
        <v>109</v>
      </c>
      <c r="AZ691" s="17" t="s">
        <v>131</v>
      </c>
      <c r="BA691" s="17" t="s">
        <v>458</v>
      </c>
      <c r="BB691" s="17" t="s">
        <v>109</v>
      </c>
      <c r="BP691" s="17" t="s">
        <v>2815</v>
      </c>
      <c r="BR691" s="24" t="str">
        <f t="shared" si="1"/>
        <v>Orugallu Ruchulu </v>
      </c>
    </row>
    <row r="692" ht="22.5" customHeight="1">
      <c r="A692" s="14">
        <v>46073.79346847222</v>
      </c>
      <c r="B692" s="15">
        <v>46073.0</v>
      </c>
      <c r="C692" s="16">
        <v>0.6666666666642413</v>
      </c>
      <c r="D692" s="17" t="s">
        <v>91</v>
      </c>
      <c r="F692" s="17">
        <v>30.0</v>
      </c>
      <c r="G692" s="17">
        <v>300.0</v>
      </c>
      <c r="H692" s="17" t="s">
        <v>863</v>
      </c>
      <c r="I692" s="17">
        <v>50000.0</v>
      </c>
      <c r="J692" s="17" t="s">
        <v>94</v>
      </c>
      <c r="K692" s="17" t="s">
        <v>134</v>
      </c>
      <c r="L692" s="17">
        <v>22.0</v>
      </c>
      <c r="M692" s="17">
        <v>18.0</v>
      </c>
      <c r="N692" s="17">
        <v>6.0</v>
      </c>
      <c r="O692" s="17" t="s">
        <v>96</v>
      </c>
      <c r="P692" s="17" t="s">
        <v>76</v>
      </c>
      <c r="Q692" s="17" t="s">
        <v>97</v>
      </c>
      <c r="R692" s="17" t="s">
        <v>76</v>
      </c>
      <c r="S692" s="17" t="s">
        <v>388</v>
      </c>
      <c r="U692" s="17" t="s">
        <v>2816</v>
      </c>
      <c r="V692" s="17">
        <v>9.705995817E9</v>
      </c>
      <c r="W692" s="17" t="s">
        <v>388</v>
      </c>
      <c r="AA692" s="17" t="s">
        <v>109</v>
      </c>
      <c r="AT692" s="17" t="s">
        <v>388</v>
      </c>
      <c r="AU692" s="17" t="s">
        <v>76</v>
      </c>
      <c r="AV692" s="17" t="s">
        <v>271</v>
      </c>
      <c r="AZ692" s="17" t="s">
        <v>131</v>
      </c>
      <c r="BA692" s="17" t="s">
        <v>458</v>
      </c>
      <c r="BB692" s="17" t="s">
        <v>76</v>
      </c>
      <c r="BL692" s="17">
        <v>100.0</v>
      </c>
      <c r="BN692" s="17" t="s">
        <v>865</v>
      </c>
      <c r="BP692" s="17" t="s">
        <v>2817</v>
      </c>
      <c r="BR692" s="24" t="str">
        <f t="shared" si="1"/>
        <v>Sattibabu Biryani </v>
      </c>
    </row>
    <row r="693" ht="22.5" customHeight="1">
      <c r="A693" s="14">
        <v>46073.79611423612</v>
      </c>
      <c r="B693" s="15">
        <v>46073.0</v>
      </c>
      <c r="C693" s="16">
        <v>0.75</v>
      </c>
      <c r="D693" s="17" t="s">
        <v>91</v>
      </c>
      <c r="F693" s="17">
        <v>15.0</v>
      </c>
      <c r="G693" s="17">
        <v>150.0</v>
      </c>
      <c r="H693" s="17" t="s">
        <v>388</v>
      </c>
      <c r="I693" s="17">
        <v>15000.0</v>
      </c>
      <c r="J693" s="17" t="s">
        <v>221</v>
      </c>
      <c r="K693" s="17" t="s">
        <v>95</v>
      </c>
      <c r="L693" s="17">
        <v>22.0</v>
      </c>
      <c r="M693" s="17">
        <v>20.0</v>
      </c>
      <c r="N693" s="17">
        <v>1.0</v>
      </c>
      <c r="O693" s="17" t="s">
        <v>96</v>
      </c>
      <c r="P693" s="17" t="s">
        <v>109</v>
      </c>
      <c r="Q693" s="17" t="s">
        <v>97</v>
      </c>
      <c r="R693" s="17" t="s">
        <v>109</v>
      </c>
      <c r="S693" s="17" t="s">
        <v>388</v>
      </c>
      <c r="U693" s="17" t="s">
        <v>1154</v>
      </c>
      <c r="V693" s="17">
        <v>9.000939335E9</v>
      </c>
      <c r="W693" s="17" t="s">
        <v>388</v>
      </c>
      <c r="AA693" s="17" t="s">
        <v>109</v>
      </c>
      <c r="AT693" s="17" t="s">
        <v>388</v>
      </c>
      <c r="AU693" s="17" t="s">
        <v>76</v>
      </c>
      <c r="AV693" s="17" t="s">
        <v>271</v>
      </c>
      <c r="AZ693" s="17" t="s">
        <v>131</v>
      </c>
      <c r="BA693" s="17" t="s">
        <v>458</v>
      </c>
      <c r="BB693" s="17" t="s">
        <v>76</v>
      </c>
      <c r="BL693" s="17" t="s">
        <v>388</v>
      </c>
      <c r="BN693" s="17" t="s">
        <v>1100</v>
      </c>
      <c r="BP693" s="17" t="s">
        <v>2818</v>
      </c>
      <c r="BR693" s="24" t="str">
        <f t="shared" si="1"/>
        <v>Laxmi Foods and Meals</v>
      </c>
    </row>
    <row r="694" ht="22.5" customHeight="1">
      <c r="A694" s="14">
        <v>46073.80018252315</v>
      </c>
      <c r="B694" s="15">
        <v>46073.0</v>
      </c>
      <c r="C694" s="16">
        <v>0.4881944444423425</v>
      </c>
      <c r="D694" s="17" t="s">
        <v>91</v>
      </c>
      <c r="F694" s="17">
        <v>50.0</v>
      </c>
      <c r="G694" s="17">
        <v>200.0</v>
      </c>
      <c r="H694" s="17" t="s">
        <v>117</v>
      </c>
      <c r="I694" s="17">
        <v>20000.0</v>
      </c>
      <c r="J694" s="17" t="s">
        <v>221</v>
      </c>
      <c r="K694" s="17" t="s">
        <v>95</v>
      </c>
      <c r="M694" s="17">
        <v>23.0</v>
      </c>
      <c r="N694" s="17">
        <v>1.0</v>
      </c>
      <c r="O694" s="17" t="s">
        <v>96</v>
      </c>
      <c r="P694" s="17" t="s">
        <v>109</v>
      </c>
      <c r="Q694" s="17" t="s">
        <v>97</v>
      </c>
      <c r="R694" s="17" t="s">
        <v>109</v>
      </c>
      <c r="S694" s="18" t="s">
        <v>2802</v>
      </c>
      <c r="U694" s="17" t="s">
        <v>2803</v>
      </c>
      <c r="V694" s="17">
        <v>9.49473281E8</v>
      </c>
      <c r="W694" s="17" t="s">
        <v>388</v>
      </c>
      <c r="AA694" s="17" t="s">
        <v>76</v>
      </c>
      <c r="AC694" s="18" t="s">
        <v>2819</v>
      </c>
      <c r="AG694" s="18" t="s">
        <v>2820</v>
      </c>
      <c r="AS694" s="17" t="s">
        <v>76</v>
      </c>
      <c r="AT694" s="17" t="s">
        <v>2821</v>
      </c>
      <c r="AU694" s="17" t="s">
        <v>109</v>
      </c>
      <c r="AZ694" s="17" t="s">
        <v>151</v>
      </c>
      <c r="BA694" s="17" t="s">
        <v>458</v>
      </c>
      <c r="BB694" s="17" t="s">
        <v>76</v>
      </c>
      <c r="BH694" s="17">
        <v>23.0</v>
      </c>
      <c r="BI694" s="17" t="s">
        <v>76</v>
      </c>
      <c r="BM694" s="17" t="s">
        <v>2822</v>
      </c>
      <c r="BP694" s="17" t="s">
        <v>2823</v>
      </c>
      <c r="BR694" s="24" t="str">
        <f t="shared" si="1"/>
        <v>Sravati Biryani </v>
      </c>
    </row>
    <row r="695" ht="22.5" customHeight="1">
      <c r="A695" s="14">
        <v>46073.802038298614</v>
      </c>
      <c r="B695" s="15">
        <v>46073.0</v>
      </c>
      <c r="C695" s="16">
        <v>0.48611111110949423</v>
      </c>
      <c r="D695" s="17" t="s">
        <v>91</v>
      </c>
      <c r="F695" s="17">
        <v>50.0</v>
      </c>
      <c r="G695" s="17">
        <v>200.0</v>
      </c>
      <c r="H695" s="17" t="s">
        <v>388</v>
      </c>
      <c r="I695" s="17">
        <v>20000.0</v>
      </c>
      <c r="J695" s="17" t="s">
        <v>221</v>
      </c>
      <c r="K695" s="17" t="s">
        <v>95</v>
      </c>
      <c r="M695" s="17">
        <v>23.0</v>
      </c>
      <c r="N695" s="17">
        <v>1.0</v>
      </c>
      <c r="O695" s="17" t="s">
        <v>96</v>
      </c>
      <c r="P695" s="17" t="s">
        <v>109</v>
      </c>
      <c r="Q695" s="17" t="s">
        <v>97</v>
      </c>
      <c r="R695" s="17" t="s">
        <v>109</v>
      </c>
      <c r="S695" s="18" t="s">
        <v>2802</v>
      </c>
      <c r="U695" s="17" t="s">
        <v>2803</v>
      </c>
      <c r="V695" s="17">
        <v>9.494739281E9</v>
      </c>
      <c r="W695" s="17" t="s">
        <v>388</v>
      </c>
      <c r="AA695" s="17" t="s">
        <v>76</v>
      </c>
      <c r="AC695" s="18" t="s">
        <v>2824</v>
      </c>
      <c r="AG695" s="18" t="s">
        <v>2825</v>
      </c>
      <c r="AS695" s="17" t="s">
        <v>76</v>
      </c>
      <c r="AT695" s="17" t="s">
        <v>2826</v>
      </c>
      <c r="AU695" s="17" t="s">
        <v>109</v>
      </c>
      <c r="AZ695" s="17" t="s">
        <v>151</v>
      </c>
      <c r="BA695" s="17" t="s">
        <v>458</v>
      </c>
      <c r="BB695" s="17" t="s">
        <v>76</v>
      </c>
      <c r="BH695" s="17">
        <v>23.0</v>
      </c>
      <c r="BI695" s="17" t="s">
        <v>76</v>
      </c>
      <c r="BM695" s="17" t="s">
        <v>2822</v>
      </c>
      <c r="BP695" s="17" t="s">
        <v>2827</v>
      </c>
      <c r="BR695" s="24" t="str">
        <f t="shared" si="1"/>
        <v>Sravanthi Fast Food</v>
      </c>
    </row>
    <row r="696" ht="22.5" customHeight="1">
      <c r="A696" s="14">
        <v>46073.80407975694</v>
      </c>
      <c r="B696" s="15">
        <v>46073.0</v>
      </c>
      <c r="C696" s="16">
        <v>0.48611111110949423</v>
      </c>
      <c r="D696" s="17" t="s">
        <v>91</v>
      </c>
      <c r="F696" s="17">
        <v>50.0</v>
      </c>
      <c r="G696" s="17">
        <v>200.0</v>
      </c>
      <c r="H696" s="17" t="s">
        <v>388</v>
      </c>
      <c r="I696" s="17">
        <v>20000.0</v>
      </c>
      <c r="J696" s="17" t="s">
        <v>221</v>
      </c>
      <c r="K696" s="17" t="s">
        <v>95</v>
      </c>
      <c r="M696" s="17">
        <v>23.0</v>
      </c>
      <c r="N696" s="17">
        <v>1.0</v>
      </c>
      <c r="O696" s="17" t="s">
        <v>96</v>
      </c>
      <c r="P696" s="17" t="s">
        <v>109</v>
      </c>
      <c r="Q696" s="17" t="s">
        <v>97</v>
      </c>
      <c r="R696" s="17" t="s">
        <v>109</v>
      </c>
      <c r="S696" s="18" t="s">
        <v>2802</v>
      </c>
      <c r="U696" s="17" t="s">
        <v>2803</v>
      </c>
      <c r="V696" s="17">
        <v>9.49473281E8</v>
      </c>
      <c r="W696" s="17" t="s">
        <v>388</v>
      </c>
      <c r="AA696" s="17" t="s">
        <v>76</v>
      </c>
      <c r="AC696" s="18" t="s">
        <v>2828</v>
      </c>
      <c r="AG696" s="18" t="s">
        <v>2829</v>
      </c>
      <c r="AS696" s="17" t="s">
        <v>76</v>
      </c>
      <c r="AT696" s="17" t="s">
        <v>2830</v>
      </c>
      <c r="AU696" s="17" t="s">
        <v>109</v>
      </c>
      <c r="AZ696" s="17" t="s">
        <v>151</v>
      </c>
      <c r="BA696" s="17" t="s">
        <v>458</v>
      </c>
      <c r="BB696" s="17" t="s">
        <v>76</v>
      </c>
      <c r="BH696" s="17">
        <v>23.0</v>
      </c>
      <c r="BI696" s="17" t="s">
        <v>76</v>
      </c>
      <c r="BM696" s="17" t="s">
        <v>2822</v>
      </c>
      <c r="BP696" s="17" t="s">
        <v>2831</v>
      </c>
      <c r="BR696" s="24" t="str">
        <f t="shared" si="1"/>
        <v>Sravanthi mess</v>
      </c>
    </row>
    <row r="697" ht="22.5" customHeight="1">
      <c r="A697" s="14">
        <v>46073.80649340278</v>
      </c>
      <c r="B697" s="15">
        <v>46073.0</v>
      </c>
      <c r="C697" s="16">
        <v>0.5854166666686069</v>
      </c>
      <c r="U697" s="17" t="s">
        <v>2832</v>
      </c>
      <c r="V697" s="17">
        <v>0.0</v>
      </c>
      <c r="W697" s="17" t="s">
        <v>113</v>
      </c>
      <c r="AA697" s="17" t="s">
        <v>109</v>
      </c>
      <c r="AT697" s="17" t="s">
        <v>2833</v>
      </c>
      <c r="AU697" s="17" t="s">
        <v>76</v>
      </c>
      <c r="AV697" s="17" t="s">
        <v>472</v>
      </c>
      <c r="AZ697" s="17" t="s">
        <v>287</v>
      </c>
      <c r="BA697" s="17" t="s">
        <v>458</v>
      </c>
      <c r="BB697" s="17" t="s">
        <v>109</v>
      </c>
      <c r="BP697" s="17" t="s">
        <v>2834</v>
      </c>
      <c r="BR697" s="24" t="str">
        <f t="shared" si="1"/>
        <v>DOSA HUT</v>
      </c>
    </row>
    <row r="698" ht="22.5" customHeight="1">
      <c r="A698" s="14">
        <v>46073.80772484954</v>
      </c>
      <c r="B698" s="15">
        <v>46073.0</v>
      </c>
      <c r="C698" s="16">
        <v>0.5902777777810115</v>
      </c>
      <c r="U698" s="17" t="s">
        <v>2835</v>
      </c>
      <c r="V698" s="17">
        <v>8.977779072E9</v>
      </c>
      <c r="W698" s="17" t="s">
        <v>113</v>
      </c>
      <c r="AA698" s="17" t="s">
        <v>109</v>
      </c>
      <c r="AT698" s="17" t="s">
        <v>2836</v>
      </c>
      <c r="AU698" s="17" t="s">
        <v>76</v>
      </c>
      <c r="AV698" s="17" t="s">
        <v>472</v>
      </c>
      <c r="AZ698" s="17" t="s">
        <v>287</v>
      </c>
      <c r="BA698" s="17" t="s">
        <v>458</v>
      </c>
      <c r="BB698" s="17" t="s">
        <v>109</v>
      </c>
      <c r="BP698" s="17" t="s">
        <v>2837</v>
      </c>
      <c r="BR698" s="24" t="str">
        <f t="shared" si="1"/>
        <v>Upasanna's Kitchen</v>
      </c>
    </row>
    <row r="699" ht="22.5" customHeight="1">
      <c r="A699" s="14">
        <v>46073.80890927083</v>
      </c>
      <c r="B699" s="15">
        <v>46073.0</v>
      </c>
      <c r="C699" s="16">
        <v>0.6166666666686069</v>
      </c>
      <c r="U699" s="17" t="s">
        <v>113</v>
      </c>
      <c r="V699" s="17">
        <v>0.0</v>
      </c>
      <c r="W699" s="17" t="s">
        <v>113</v>
      </c>
      <c r="AA699" s="17" t="s">
        <v>109</v>
      </c>
      <c r="AT699" s="17" t="s">
        <v>2838</v>
      </c>
      <c r="AU699" s="17" t="s">
        <v>76</v>
      </c>
      <c r="AV699" s="17" t="s">
        <v>472</v>
      </c>
      <c r="AZ699" s="17" t="s">
        <v>287</v>
      </c>
      <c r="BA699" s="17" t="s">
        <v>458</v>
      </c>
      <c r="BB699" s="17" t="s">
        <v>109</v>
      </c>
      <c r="BP699" s="17" t="s">
        <v>2839</v>
      </c>
      <c r="BR699" s="24" t="str">
        <f t="shared" si="1"/>
        <v>BFC Crispy N Spicy</v>
      </c>
    </row>
    <row r="700" ht="22.5" customHeight="1">
      <c r="A700" s="14">
        <v>46073.809589375</v>
      </c>
      <c r="B700" s="15">
        <v>46073.0</v>
      </c>
      <c r="C700" s="16">
        <v>0.20277777777664596</v>
      </c>
      <c r="D700" s="17" t="s">
        <v>91</v>
      </c>
      <c r="F700" s="17">
        <v>132.0</v>
      </c>
      <c r="G700" s="17">
        <v>300.0</v>
      </c>
      <c r="H700" s="17" t="s">
        <v>405</v>
      </c>
      <c r="J700" s="17" t="s">
        <v>94</v>
      </c>
      <c r="K700" s="17" t="s">
        <v>134</v>
      </c>
      <c r="N700" s="17">
        <v>1.0</v>
      </c>
      <c r="O700" s="17" t="s">
        <v>135</v>
      </c>
      <c r="P700" s="17" t="s">
        <v>76</v>
      </c>
      <c r="Q700" s="17" t="s">
        <v>97</v>
      </c>
      <c r="R700" s="17" t="s">
        <v>98</v>
      </c>
      <c r="S700" s="17" t="s">
        <v>2840</v>
      </c>
      <c r="U700" s="17" t="s">
        <v>2841</v>
      </c>
      <c r="V700" s="17">
        <v>9.866650027E9</v>
      </c>
      <c r="W700" s="17" t="s">
        <v>2842</v>
      </c>
      <c r="AA700" s="17" t="s">
        <v>109</v>
      </c>
      <c r="AT700" s="17" t="s">
        <v>2843</v>
      </c>
      <c r="AU700" s="17" t="s">
        <v>109</v>
      </c>
      <c r="AV700" s="17" t="s">
        <v>2843</v>
      </c>
      <c r="AZ700" s="17" t="s">
        <v>1910</v>
      </c>
      <c r="BA700" s="17" t="s">
        <v>458</v>
      </c>
      <c r="BB700" s="17" t="s">
        <v>76</v>
      </c>
      <c r="BP700" s="17" t="s">
        <v>2844</v>
      </c>
      <c r="BR700" s="24" t="str">
        <f t="shared" si="1"/>
        <v>Thunderbolts</v>
      </c>
    </row>
    <row r="701" ht="22.5" customHeight="1">
      <c r="A701" s="14">
        <v>46073.80983449074</v>
      </c>
      <c r="B701" s="15" t="s">
        <v>2845</v>
      </c>
      <c r="C701" s="16">
        <v>0.6215277777810115</v>
      </c>
      <c r="U701" s="17" t="s">
        <v>113</v>
      </c>
      <c r="V701" s="17">
        <v>0.0</v>
      </c>
      <c r="W701" s="17" t="s">
        <v>113</v>
      </c>
      <c r="AA701" s="17" t="s">
        <v>109</v>
      </c>
      <c r="AT701" s="17" t="s">
        <v>2836</v>
      </c>
      <c r="AU701" s="17" t="s">
        <v>76</v>
      </c>
      <c r="AV701" s="17" t="s">
        <v>472</v>
      </c>
      <c r="AZ701" s="17" t="s">
        <v>287</v>
      </c>
      <c r="BA701" s="17" t="s">
        <v>458</v>
      </c>
      <c r="BB701" s="17" t="s">
        <v>109</v>
      </c>
      <c r="BP701" s="17" t="s">
        <v>2846</v>
      </c>
      <c r="BR701" s="24" t="str">
        <f t="shared" si="1"/>
        <v>Pakka Local Food</v>
      </c>
    </row>
    <row r="702" ht="22.5" customHeight="1">
      <c r="A702" s="14">
        <v>46073.89285949074</v>
      </c>
      <c r="B702" s="15">
        <v>46070.0</v>
      </c>
      <c r="C702" s="16">
        <v>0.5611111111065838</v>
      </c>
      <c r="U702" s="17" t="s">
        <v>117</v>
      </c>
      <c r="V702" s="17" t="s">
        <v>117</v>
      </c>
      <c r="W702" s="17" t="s">
        <v>117</v>
      </c>
      <c r="AA702" s="17" t="s">
        <v>109</v>
      </c>
      <c r="AT702" s="17" t="s">
        <v>755</v>
      </c>
      <c r="AU702" s="17" t="s">
        <v>76</v>
      </c>
      <c r="AZ702" s="17" t="s">
        <v>182</v>
      </c>
      <c r="BA702" s="17" t="s">
        <v>458</v>
      </c>
      <c r="BB702" s="17" t="s">
        <v>109</v>
      </c>
      <c r="BP702" s="17" t="s">
        <v>1325</v>
      </c>
      <c r="BR702" s="24" t="str">
        <f t="shared" si="1"/>
        <v>Amogha</v>
      </c>
    </row>
    <row r="703" ht="22.5" customHeight="1">
      <c r="A703" s="14">
        <v>46073.89508459491</v>
      </c>
      <c r="B703" s="15">
        <v>46070.0</v>
      </c>
      <c r="C703" s="16">
        <v>0.5694444444452529</v>
      </c>
      <c r="U703" s="17" t="s">
        <v>2847</v>
      </c>
      <c r="V703" s="17">
        <v>9.966118848E9</v>
      </c>
      <c r="W703" s="17" t="s">
        <v>117</v>
      </c>
      <c r="AA703" s="17" t="s">
        <v>109</v>
      </c>
      <c r="AT703" s="17" t="s">
        <v>755</v>
      </c>
      <c r="AU703" s="17" t="s">
        <v>76</v>
      </c>
      <c r="AV703" s="17" t="s">
        <v>114</v>
      </c>
      <c r="AZ703" s="17" t="s">
        <v>182</v>
      </c>
      <c r="BA703" s="17" t="s">
        <v>458</v>
      </c>
      <c r="BB703" s="17" t="s">
        <v>109</v>
      </c>
      <c r="BP703" s="17" t="s">
        <v>2848</v>
      </c>
      <c r="BR703" s="24" t="str">
        <f t="shared" si="1"/>
        <v>Bayyas food hub</v>
      </c>
    </row>
    <row r="704" ht="22.5" customHeight="1">
      <c r="A704" s="14">
        <v>46073.89671648148</v>
      </c>
      <c r="B704" s="15">
        <v>46070.0</v>
      </c>
      <c r="C704" s="16">
        <v>0.5833333333357587</v>
      </c>
      <c r="U704" s="17" t="s">
        <v>2849</v>
      </c>
      <c r="V704" s="17">
        <v>8.008783939E9</v>
      </c>
      <c r="W704" s="17" t="s">
        <v>113</v>
      </c>
      <c r="AA704" s="17" t="s">
        <v>109</v>
      </c>
      <c r="AT704" s="17" t="s">
        <v>651</v>
      </c>
      <c r="AU704" s="17" t="s">
        <v>76</v>
      </c>
      <c r="AV704" s="17" t="s">
        <v>88</v>
      </c>
      <c r="AZ704" s="17" t="s">
        <v>182</v>
      </c>
      <c r="BA704" s="17" t="s">
        <v>458</v>
      </c>
      <c r="BB704" s="17" t="s">
        <v>109</v>
      </c>
      <c r="BP704" s="17" t="s">
        <v>2850</v>
      </c>
      <c r="BR704" s="24" t="str">
        <f t="shared" si="1"/>
        <v>SK FOODS</v>
      </c>
    </row>
    <row r="705" ht="22.5" customHeight="1">
      <c r="A705" s="14">
        <v>46073.89844989583</v>
      </c>
      <c r="B705" s="15">
        <v>46070.0</v>
      </c>
      <c r="C705" s="16">
        <v>0.59375</v>
      </c>
      <c r="U705" s="17" t="s">
        <v>2851</v>
      </c>
      <c r="V705" s="17">
        <v>8.179777635E9</v>
      </c>
      <c r="W705" s="17" t="s">
        <v>117</v>
      </c>
      <c r="AA705" s="17" t="s">
        <v>109</v>
      </c>
      <c r="AT705" s="17" t="s">
        <v>755</v>
      </c>
      <c r="AU705" s="17" t="s">
        <v>76</v>
      </c>
      <c r="AV705" s="17" t="s">
        <v>271</v>
      </c>
      <c r="AZ705" s="17" t="s">
        <v>182</v>
      </c>
      <c r="BA705" s="17" t="s">
        <v>458</v>
      </c>
      <c r="BB705" s="17" t="s">
        <v>109</v>
      </c>
      <c r="BP705" s="17" t="s">
        <v>2852</v>
      </c>
      <c r="BR705" s="24" t="str">
        <f t="shared" si="1"/>
        <v>Contico</v>
      </c>
    </row>
    <row r="706" ht="22.5" customHeight="1">
      <c r="A706" s="14">
        <v>46073.900131435184</v>
      </c>
      <c r="B706" s="15">
        <v>46070.0</v>
      </c>
      <c r="C706" s="16">
        <v>0.6236111111065838</v>
      </c>
      <c r="U706" s="17" t="s">
        <v>117</v>
      </c>
      <c r="V706" s="17" t="s">
        <v>117</v>
      </c>
      <c r="W706" s="17" t="s">
        <v>117</v>
      </c>
      <c r="AA706" s="17" t="s">
        <v>109</v>
      </c>
      <c r="AT706" s="17" t="s">
        <v>755</v>
      </c>
      <c r="AU706" s="17" t="s">
        <v>76</v>
      </c>
      <c r="AV706" s="17" t="s">
        <v>271</v>
      </c>
      <c r="AZ706" s="17" t="s">
        <v>182</v>
      </c>
      <c r="BA706" s="17" t="s">
        <v>458</v>
      </c>
      <c r="BB706" s="17" t="s">
        <v>109</v>
      </c>
      <c r="BP706" s="17" t="s">
        <v>2853</v>
      </c>
      <c r="BR706" s="24" t="str">
        <f t="shared" si="1"/>
        <v>Yum Crumble Waffle</v>
      </c>
    </row>
    <row r="707" ht="22.5" customHeight="1">
      <c r="A707" s="14">
        <v>46073.903912326394</v>
      </c>
      <c r="B707" s="15">
        <v>46072.0</v>
      </c>
      <c r="C707" s="16">
        <v>0.25138888889341615</v>
      </c>
      <c r="D707" s="17" t="s">
        <v>111</v>
      </c>
      <c r="T707" s="17" t="s">
        <v>2854</v>
      </c>
      <c r="U707" s="17" t="s">
        <v>2855</v>
      </c>
      <c r="V707" s="17">
        <v>7.995520794E9</v>
      </c>
      <c r="W707" s="17" t="s">
        <v>117</v>
      </c>
      <c r="AA707" s="17" t="s">
        <v>109</v>
      </c>
      <c r="AT707" s="17" t="s">
        <v>193</v>
      </c>
      <c r="AU707" s="17" t="s">
        <v>109</v>
      </c>
      <c r="AZ707" s="17" t="s">
        <v>182</v>
      </c>
      <c r="BA707" s="17" t="s">
        <v>491</v>
      </c>
      <c r="BP707" s="17" t="s">
        <v>2856</v>
      </c>
      <c r="BR707" s="24" t="str">
        <f t="shared" si="1"/>
        <v>Tiffin xpressMohammed yaser</v>
      </c>
    </row>
    <row r="708" ht="22.5" customHeight="1">
      <c r="A708" s="14">
        <v>46073.90958614583</v>
      </c>
      <c r="B708" s="15">
        <v>46073.0</v>
      </c>
      <c r="C708" s="16">
        <v>0.5444444444437977</v>
      </c>
      <c r="U708" s="17" t="s">
        <v>2857</v>
      </c>
      <c r="V708" s="17">
        <v>8.978265222E9</v>
      </c>
      <c r="W708" s="17" t="s">
        <v>117</v>
      </c>
      <c r="AA708" s="17" t="s">
        <v>109</v>
      </c>
      <c r="AT708" s="17" t="s">
        <v>755</v>
      </c>
      <c r="AU708" s="17" t="s">
        <v>76</v>
      </c>
      <c r="AV708" s="17" t="s">
        <v>271</v>
      </c>
      <c r="AZ708" s="17" t="s">
        <v>182</v>
      </c>
      <c r="BA708" s="17" t="s">
        <v>458</v>
      </c>
      <c r="BB708" s="17" t="s">
        <v>109</v>
      </c>
      <c r="BP708" s="17" t="s">
        <v>2858</v>
      </c>
      <c r="BR708" s="24" t="str">
        <f t="shared" si="1"/>
        <v>Southern Kithchen</v>
      </c>
    </row>
    <row r="709" ht="22.5" customHeight="1">
      <c r="A709" s="14">
        <v>46073.91425243056</v>
      </c>
      <c r="B709" s="15">
        <v>46073.0</v>
      </c>
      <c r="C709" s="16">
        <v>0.03333333333284827</v>
      </c>
      <c r="D709" s="17" t="s">
        <v>91</v>
      </c>
      <c r="F709" s="17">
        <v>1.0</v>
      </c>
      <c r="G709" s="17">
        <v>150.0</v>
      </c>
      <c r="H709" s="17" t="s">
        <v>113</v>
      </c>
      <c r="J709" s="17" t="s">
        <v>221</v>
      </c>
      <c r="N709" s="17">
        <v>1.0</v>
      </c>
      <c r="O709" s="17" t="s">
        <v>96</v>
      </c>
      <c r="P709" s="17" t="s">
        <v>109</v>
      </c>
      <c r="Q709" s="17" t="s">
        <v>97</v>
      </c>
      <c r="R709" s="17" t="s">
        <v>109</v>
      </c>
      <c r="S709" s="17" t="s">
        <v>117</v>
      </c>
      <c r="U709" s="17" t="s">
        <v>2859</v>
      </c>
      <c r="V709" s="17">
        <v>8.007452222E9</v>
      </c>
      <c r="W709" s="17" t="s">
        <v>117</v>
      </c>
      <c r="AA709" s="17" t="s">
        <v>109</v>
      </c>
      <c r="AT709" s="17" t="s">
        <v>193</v>
      </c>
      <c r="AU709" s="17" t="s">
        <v>109</v>
      </c>
      <c r="AZ709" s="17" t="s">
        <v>182</v>
      </c>
      <c r="BA709" s="17" t="s">
        <v>458</v>
      </c>
      <c r="BB709" s="17" t="s">
        <v>76</v>
      </c>
      <c r="BP709" s="17" t="s">
        <v>2860</v>
      </c>
      <c r="BR709" s="24" t="str">
        <f t="shared" si="1"/>
        <v>Victoria Tiffins and Fast food</v>
      </c>
    </row>
    <row r="710" ht="22.5" customHeight="1">
      <c r="A710" s="14">
        <v>46074.409477106485</v>
      </c>
      <c r="B710" s="15">
        <v>46069.0</v>
      </c>
      <c r="C710" s="16">
        <v>0.04374999999708962</v>
      </c>
      <c r="U710" s="17" t="s">
        <v>113</v>
      </c>
      <c r="V710" s="17" t="s">
        <v>113</v>
      </c>
      <c r="W710" s="17" t="s">
        <v>113</v>
      </c>
      <c r="AA710" s="17" t="s">
        <v>109</v>
      </c>
      <c r="AT710" s="17" t="s">
        <v>2861</v>
      </c>
      <c r="AU710" s="17" t="s">
        <v>109</v>
      </c>
      <c r="AV710" s="17" t="s">
        <v>472</v>
      </c>
      <c r="AZ710" s="17" t="s">
        <v>539</v>
      </c>
      <c r="BA710" s="17" t="s">
        <v>458</v>
      </c>
      <c r="BB710" s="17" t="s">
        <v>109</v>
      </c>
      <c r="BP710" s="17" t="s">
        <v>2862</v>
      </c>
      <c r="BR710" s="24" t="str">
        <f t="shared" si="1"/>
        <v>kings arabian </v>
      </c>
    </row>
    <row r="711" ht="22.5" customHeight="1">
      <c r="A711" s="14">
        <v>46074.41187488426</v>
      </c>
      <c r="B711" s="15">
        <v>46069.0</v>
      </c>
      <c r="C711" s="16">
        <v>0.07986111110949423</v>
      </c>
      <c r="D711" s="17" t="s">
        <v>91</v>
      </c>
      <c r="F711" s="17">
        <v>25.0</v>
      </c>
      <c r="G711" s="17">
        <v>200.0</v>
      </c>
      <c r="H711" s="17" t="s">
        <v>113</v>
      </c>
      <c r="J711" s="17" t="s">
        <v>221</v>
      </c>
      <c r="K711" s="17" t="s">
        <v>134</v>
      </c>
      <c r="N711" s="17">
        <v>1.0</v>
      </c>
      <c r="O711" s="17" t="s">
        <v>371</v>
      </c>
      <c r="P711" s="17" t="s">
        <v>109</v>
      </c>
      <c r="Q711" s="17" t="s">
        <v>97</v>
      </c>
      <c r="R711" s="17" t="s">
        <v>109</v>
      </c>
      <c r="S711" s="17" t="s">
        <v>113</v>
      </c>
      <c r="U711" s="17" t="s">
        <v>2863</v>
      </c>
      <c r="V711" s="17" t="s">
        <v>2864</v>
      </c>
      <c r="W711" s="17" t="s">
        <v>1800</v>
      </c>
      <c r="AA711" s="17" t="s">
        <v>109</v>
      </c>
      <c r="AT711" s="17" t="s">
        <v>237</v>
      </c>
      <c r="AU711" s="17" t="s">
        <v>109</v>
      </c>
      <c r="AZ711" s="17" t="s">
        <v>539</v>
      </c>
      <c r="BA711" s="17" t="s">
        <v>458</v>
      </c>
      <c r="BB711" s="17" t="s">
        <v>76</v>
      </c>
      <c r="BN711" s="17" t="s">
        <v>2865</v>
      </c>
      <c r="BP711" s="17" t="s">
        <v>2866</v>
      </c>
      <c r="BR711" s="24" t="str">
        <f t="shared" si="1"/>
        <v>sri ramana maharshi food court </v>
      </c>
    </row>
    <row r="712" ht="22.5" customHeight="1">
      <c r="A712" s="14">
        <v>46074.41569108797</v>
      </c>
      <c r="B712" s="15">
        <v>46069.0</v>
      </c>
      <c r="C712" s="16">
        <v>0.09375</v>
      </c>
      <c r="D712" s="17" t="s">
        <v>91</v>
      </c>
      <c r="F712" s="17">
        <v>50.0</v>
      </c>
      <c r="G712" s="17">
        <v>300.0</v>
      </c>
      <c r="H712" s="17" t="s">
        <v>291</v>
      </c>
      <c r="J712" s="17" t="s">
        <v>94</v>
      </c>
      <c r="N712" s="17">
        <v>1.0</v>
      </c>
      <c r="O712" s="17" t="s">
        <v>96</v>
      </c>
      <c r="P712" s="17" t="s">
        <v>76</v>
      </c>
      <c r="Q712" s="17" t="s">
        <v>97</v>
      </c>
      <c r="R712" s="17" t="s">
        <v>109</v>
      </c>
      <c r="S712" s="17" t="s">
        <v>113</v>
      </c>
      <c r="U712" s="17" t="s">
        <v>887</v>
      </c>
      <c r="V712" s="17" t="s">
        <v>2867</v>
      </c>
      <c r="W712" s="17" t="s">
        <v>2868</v>
      </c>
      <c r="AA712" s="17" t="s">
        <v>109</v>
      </c>
      <c r="AT712" s="17" t="s">
        <v>2869</v>
      </c>
      <c r="AU712" s="17" t="s">
        <v>109</v>
      </c>
      <c r="AV712" s="17" t="s">
        <v>472</v>
      </c>
      <c r="AZ712" s="17" t="s">
        <v>539</v>
      </c>
      <c r="BA712" s="17" t="s">
        <v>458</v>
      </c>
      <c r="BB712" s="17" t="s">
        <v>76</v>
      </c>
      <c r="BN712" s="17" t="s">
        <v>2865</v>
      </c>
      <c r="BP712" s="17" t="s">
        <v>1554</v>
      </c>
      <c r="BR712" s="24" t="str">
        <f t="shared" si="1"/>
        <v>tealogy </v>
      </c>
    </row>
    <row r="713" ht="22.5" customHeight="1">
      <c r="A713" s="14">
        <v>46074.417559594905</v>
      </c>
      <c r="B713" s="15">
        <v>46069.0</v>
      </c>
      <c r="C713" s="16">
        <v>0.15486111110658385</v>
      </c>
      <c r="D713" s="17" t="s">
        <v>91</v>
      </c>
      <c r="F713" s="17">
        <v>50.0</v>
      </c>
      <c r="G713" s="17">
        <v>400.0</v>
      </c>
      <c r="H713" s="17" t="s">
        <v>2870</v>
      </c>
      <c r="J713" s="17" t="s">
        <v>167</v>
      </c>
      <c r="K713" s="17" t="s">
        <v>134</v>
      </c>
      <c r="N713" s="17">
        <v>1.0</v>
      </c>
      <c r="O713" s="17" t="s">
        <v>96</v>
      </c>
      <c r="P713" s="17" t="s">
        <v>109</v>
      </c>
      <c r="Q713" s="17" t="s">
        <v>97</v>
      </c>
      <c r="R713" s="17" t="s">
        <v>109</v>
      </c>
      <c r="S713" s="17" t="s">
        <v>113</v>
      </c>
      <c r="U713" s="17" t="s">
        <v>2871</v>
      </c>
      <c r="V713" s="17">
        <v>6.28181763E9</v>
      </c>
      <c r="W713" s="17" t="s">
        <v>1824</v>
      </c>
      <c r="AA713" s="17" t="s">
        <v>109</v>
      </c>
      <c r="AT713" s="17" t="s">
        <v>237</v>
      </c>
      <c r="AU713" s="17" t="s">
        <v>109</v>
      </c>
      <c r="AZ713" s="17" t="s">
        <v>539</v>
      </c>
      <c r="BA713" s="17" t="s">
        <v>458</v>
      </c>
      <c r="BB713" s="17" t="s">
        <v>76</v>
      </c>
      <c r="BN713" s="17" t="s">
        <v>2872</v>
      </c>
      <c r="BP713" s="17" t="s">
        <v>2873</v>
      </c>
      <c r="BR713" s="24" t="str">
        <f t="shared" si="1"/>
        <v>oak bistro </v>
      </c>
    </row>
    <row r="714" ht="22.5" customHeight="1">
      <c r="A714" s="14">
        <v>46074.41863695602</v>
      </c>
      <c r="B714" s="15">
        <v>46069.0</v>
      </c>
      <c r="C714" s="16">
        <v>0.19444444444525288</v>
      </c>
      <c r="U714" s="17" t="s">
        <v>2874</v>
      </c>
      <c r="V714" s="17">
        <v>9.963696969E9</v>
      </c>
      <c r="W714" s="17" t="s">
        <v>113</v>
      </c>
      <c r="AA714" s="17" t="s">
        <v>109</v>
      </c>
      <c r="AT714" s="17" t="s">
        <v>2861</v>
      </c>
      <c r="AU714" s="17" t="s">
        <v>109</v>
      </c>
      <c r="AZ714" s="17" t="s">
        <v>539</v>
      </c>
      <c r="BA714" s="17" t="s">
        <v>458</v>
      </c>
      <c r="BB714" s="17" t="s">
        <v>109</v>
      </c>
      <c r="BP714" s="17" t="s">
        <v>2875</v>
      </c>
      <c r="BR714" s="24" t="str">
        <f t="shared" si="1"/>
        <v>fire and ice bakers</v>
      </c>
    </row>
    <row r="715" ht="22.5" customHeight="1">
      <c r="A715" s="14">
        <v>46074.419361215274</v>
      </c>
      <c r="B715" s="15">
        <v>46069.0</v>
      </c>
      <c r="C715" s="16">
        <v>0.19861111111094942</v>
      </c>
      <c r="U715" s="17" t="s">
        <v>2876</v>
      </c>
      <c r="V715" s="17">
        <v>8.00831909E9</v>
      </c>
      <c r="W715" s="17" t="s">
        <v>113</v>
      </c>
      <c r="AA715" s="17" t="s">
        <v>109</v>
      </c>
      <c r="AT715" s="17" t="s">
        <v>2877</v>
      </c>
      <c r="AU715" s="17" t="s">
        <v>109</v>
      </c>
      <c r="AZ715" s="17" t="s">
        <v>539</v>
      </c>
      <c r="BA715" s="17" t="s">
        <v>458</v>
      </c>
      <c r="BB715" s="17" t="s">
        <v>109</v>
      </c>
      <c r="BP715" s="17" t="s">
        <v>2878</v>
      </c>
      <c r="BR715" s="24" t="str">
        <f t="shared" si="1"/>
        <v>redoven</v>
      </c>
    </row>
    <row r="716" ht="22.5" customHeight="1">
      <c r="A716" s="14">
        <v>46074.420315428244</v>
      </c>
      <c r="B716" s="15">
        <v>46069.0</v>
      </c>
      <c r="C716" s="16">
        <v>0.22222222221898846</v>
      </c>
      <c r="U716" s="17" t="s">
        <v>2879</v>
      </c>
      <c r="V716" s="17" t="s">
        <v>1834</v>
      </c>
      <c r="W716" s="17" t="s">
        <v>113</v>
      </c>
      <c r="AA716" s="17" t="s">
        <v>109</v>
      </c>
      <c r="AT716" s="17" t="s">
        <v>2880</v>
      </c>
      <c r="AU716" s="17" t="s">
        <v>109</v>
      </c>
      <c r="AZ716" s="17" t="s">
        <v>539</v>
      </c>
      <c r="BA716" s="17" t="s">
        <v>458</v>
      </c>
      <c r="BB716" s="17" t="s">
        <v>109</v>
      </c>
      <c r="BP716" s="17" t="s">
        <v>2881</v>
      </c>
      <c r="BR716" s="24" t="str">
        <f t="shared" si="1"/>
        <v>sha sha shandar shawarma</v>
      </c>
    </row>
    <row r="717" ht="22.5" customHeight="1">
      <c r="A717" s="14">
        <v>46074.42200630787</v>
      </c>
      <c r="B717" s="15">
        <v>46069.0</v>
      </c>
      <c r="C717" s="16">
        <v>0.2680555555562023</v>
      </c>
      <c r="D717" s="17" t="s">
        <v>91</v>
      </c>
      <c r="F717" s="17">
        <v>25.0</v>
      </c>
      <c r="G717" s="17">
        <v>500.0</v>
      </c>
      <c r="H717" s="17" t="s">
        <v>291</v>
      </c>
      <c r="J717" s="17" t="s">
        <v>167</v>
      </c>
      <c r="K717" s="17" t="s">
        <v>134</v>
      </c>
      <c r="N717" s="17">
        <v>1.0</v>
      </c>
      <c r="O717" s="17" t="s">
        <v>96</v>
      </c>
      <c r="P717" s="17" t="s">
        <v>109</v>
      </c>
      <c r="Q717" s="17" t="s">
        <v>97</v>
      </c>
      <c r="R717" s="17" t="s">
        <v>109</v>
      </c>
      <c r="S717" s="17" t="s">
        <v>113</v>
      </c>
      <c r="U717" s="17" t="s">
        <v>1841</v>
      </c>
      <c r="V717" s="17" t="s">
        <v>2882</v>
      </c>
      <c r="W717" s="17" t="s">
        <v>2883</v>
      </c>
      <c r="AA717" s="17" t="s">
        <v>109</v>
      </c>
      <c r="AT717" s="17" t="s">
        <v>2884</v>
      </c>
      <c r="AU717" s="17" t="s">
        <v>109</v>
      </c>
      <c r="AZ717" s="17" t="s">
        <v>539</v>
      </c>
      <c r="BA717" s="17" t="s">
        <v>458</v>
      </c>
      <c r="BB717" s="17" t="s">
        <v>76</v>
      </c>
      <c r="BN717" s="17" t="s">
        <v>2865</v>
      </c>
      <c r="BP717" s="17" t="s">
        <v>2885</v>
      </c>
      <c r="BR717" s="24" t="str">
        <f t="shared" si="1"/>
        <v>aroma biryani and pulaos</v>
      </c>
    </row>
    <row r="718" ht="22.5" customHeight="1">
      <c r="A718" s="14">
        <v>46074.42424353009</v>
      </c>
      <c r="B718" s="15">
        <v>46069.0</v>
      </c>
      <c r="C718" s="16">
        <v>0.30972222222044365</v>
      </c>
      <c r="D718" s="17" t="s">
        <v>91</v>
      </c>
      <c r="F718" s="17">
        <v>250.0</v>
      </c>
      <c r="G718" s="17">
        <v>700.0</v>
      </c>
      <c r="H718" s="17" t="s">
        <v>1846</v>
      </c>
      <c r="J718" s="17" t="s">
        <v>167</v>
      </c>
      <c r="K718" s="17" t="s">
        <v>134</v>
      </c>
      <c r="N718" s="17">
        <v>1.0</v>
      </c>
      <c r="O718" s="17" t="s">
        <v>96</v>
      </c>
      <c r="P718" s="17" t="s">
        <v>76</v>
      </c>
      <c r="Q718" s="17" t="s">
        <v>97</v>
      </c>
      <c r="R718" s="17" t="s">
        <v>109</v>
      </c>
      <c r="S718" s="17" t="s">
        <v>113</v>
      </c>
      <c r="U718" s="17" t="s">
        <v>2886</v>
      </c>
      <c r="V718" s="17" t="s">
        <v>2887</v>
      </c>
      <c r="W718" s="17" t="s">
        <v>113</v>
      </c>
      <c r="AA718" s="17" t="s">
        <v>109</v>
      </c>
      <c r="AT718" s="17" t="s">
        <v>113</v>
      </c>
      <c r="AU718" s="17" t="s">
        <v>109</v>
      </c>
      <c r="AZ718" s="17" t="s">
        <v>539</v>
      </c>
      <c r="BA718" s="17" t="s">
        <v>458</v>
      </c>
      <c r="BB718" s="17" t="s">
        <v>76</v>
      </c>
      <c r="BN718" s="17" t="s">
        <v>2865</v>
      </c>
      <c r="BP718" s="17" t="s">
        <v>1855</v>
      </c>
      <c r="BR718" s="24" t="str">
        <f t="shared" si="1"/>
        <v>flavours of andhra</v>
      </c>
    </row>
    <row r="719" ht="22.5" customHeight="1">
      <c r="A719" s="14">
        <v>46074.42699759259</v>
      </c>
      <c r="B719" s="15">
        <v>46070.0</v>
      </c>
      <c r="C719" s="16">
        <v>0.5263888888875954</v>
      </c>
      <c r="D719" s="17" t="s">
        <v>91</v>
      </c>
      <c r="F719" s="17">
        <v>75.0</v>
      </c>
      <c r="G719" s="17">
        <v>300.0</v>
      </c>
      <c r="H719" s="17" t="s">
        <v>291</v>
      </c>
      <c r="J719" s="17" t="s">
        <v>94</v>
      </c>
      <c r="K719" s="17" t="s">
        <v>134</v>
      </c>
      <c r="N719" s="17">
        <v>1.0</v>
      </c>
      <c r="O719" s="17" t="s">
        <v>96</v>
      </c>
      <c r="P719" s="17" t="s">
        <v>76</v>
      </c>
      <c r="Q719" s="17" t="s">
        <v>97</v>
      </c>
      <c r="R719" s="17" t="s">
        <v>109</v>
      </c>
      <c r="S719" s="17" t="s">
        <v>113</v>
      </c>
      <c r="U719" s="17" t="s">
        <v>2888</v>
      </c>
      <c r="V719" s="17">
        <v>7.70294282E9</v>
      </c>
      <c r="W719" s="17" t="s">
        <v>113</v>
      </c>
      <c r="AA719" s="17" t="s">
        <v>109</v>
      </c>
      <c r="AT719" s="17" t="s">
        <v>2889</v>
      </c>
      <c r="AU719" s="17" t="s">
        <v>76</v>
      </c>
      <c r="AZ719" s="17" t="s">
        <v>539</v>
      </c>
      <c r="BA719" s="17" t="s">
        <v>458</v>
      </c>
      <c r="BB719" s="17" t="s">
        <v>76</v>
      </c>
      <c r="BN719" s="17" t="s">
        <v>2865</v>
      </c>
      <c r="BP719" s="17" t="s">
        <v>2890</v>
      </c>
      <c r="BR719" s="24" t="str">
        <f t="shared" si="1"/>
        <v>raghavendra tiffens</v>
      </c>
    </row>
    <row r="720" ht="22.5" customHeight="1">
      <c r="A720" s="14">
        <v>46074.430859224536</v>
      </c>
      <c r="B720" s="15">
        <v>46071.0</v>
      </c>
      <c r="C720" s="16">
        <v>0.5048611111124046</v>
      </c>
      <c r="U720" s="17" t="s">
        <v>113</v>
      </c>
      <c r="V720" s="17" t="s">
        <v>113</v>
      </c>
      <c r="W720" s="17" t="s">
        <v>113</v>
      </c>
      <c r="AA720" s="17" t="s">
        <v>109</v>
      </c>
      <c r="AT720" s="17" t="s">
        <v>2891</v>
      </c>
      <c r="AU720" s="17" t="s">
        <v>76</v>
      </c>
      <c r="AV720" s="17" t="s">
        <v>88</v>
      </c>
      <c r="AZ720" s="17" t="s">
        <v>539</v>
      </c>
      <c r="BA720" s="17" t="s">
        <v>458</v>
      </c>
      <c r="BB720" s="17" t="s">
        <v>109</v>
      </c>
      <c r="BP720" s="17" t="s">
        <v>2892</v>
      </c>
      <c r="BR720" s="24" t="str">
        <f t="shared" si="1"/>
        <v>rs birayani </v>
      </c>
    </row>
    <row r="721" ht="22.5" customHeight="1">
      <c r="A721" s="14">
        <v>46074.431551331014</v>
      </c>
      <c r="B721" s="15">
        <v>46071.0</v>
      </c>
      <c r="C721" s="16">
        <v>0.5180555555562023</v>
      </c>
      <c r="U721" s="17" t="s">
        <v>113</v>
      </c>
      <c r="V721" s="17" t="s">
        <v>113</v>
      </c>
      <c r="W721" s="17" t="s">
        <v>113</v>
      </c>
      <c r="AA721" s="17" t="s">
        <v>109</v>
      </c>
      <c r="AT721" s="17" t="s">
        <v>113</v>
      </c>
      <c r="AU721" s="17" t="s">
        <v>76</v>
      </c>
      <c r="AZ721" s="17" t="s">
        <v>539</v>
      </c>
      <c r="BA721" s="17" t="s">
        <v>458</v>
      </c>
      <c r="BB721" s="17" t="s">
        <v>109</v>
      </c>
      <c r="BP721" s="17" t="s">
        <v>2893</v>
      </c>
      <c r="BR721" s="24" t="str">
        <f t="shared" si="1"/>
        <v>samosa party </v>
      </c>
    </row>
    <row r="722" ht="22.5" customHeight="1">
      <c r="A722" s="14">
        <v>46074.432373020834</v>
      </c>
      <c r="B722" s="15">
        <v>46071.0</v>
      </c>
      <c r="C722" s="16">
        <v>0.07777777777664596</v>
      </c>
      <c r="U722" s="17" t="s">
        <v>1543</v>
      </c>
      <c r="V722" s="17">
        <v>9.000777275E9</v>
      </c>
      <c r="W722" s="17" t="s">
        <v>113</v>
      </c>
      <c r="AA722" s="17" t="s">
        <v>109</v>
      </c>
      <c r="AT722" s="17" t="s">
        <v>2894</v>
      </c>
      <c r="AU722" s="17" t="s">
        <v>109</v>
      </c>
      <c r="AZ722" s="17" t="s">
        <v>539</v>
      </c>
      <c r="BA722" s="17" t="s">
        <v>458</v>
      </c>
      <c r="BB722" s="17" t="s">
        <v>109</v>
      </c>
      <c r="BP722" s="17" t="s">
        <v>2895</v>
      </c>
      <c r="BR722" s="24" t="str">
        <f t="shared" si="1"/>
        <v>aazeboo</v>
      </c>
    </row>
    <row r="723" ht="22.5" customHeight="1">
      <c r="A723" s="14">
        <v>46074.433906192135</v>
      </c>
      <c r="B723" s="15">
        <v>46073.0</v>
      </c>
      <c r="C723" s="16">
        <v>0.625</v>
      </c>
      <c r="U723" s="17" t="s">
        <v>2896</v>
      </c>
      <c r="V723" s="17">
        <v>9.063076187E9</v>
      </c>
      <c r="W723" s="17" t="s">
        <v>117</v>
      </c>
      <c r="AA723" s="17" t="s">
        <v>109</v>
      </c>
      <c r="AT723" s="17" t="s">
        <v>2897</v>
      </c>
      <c r="AU723" s="17" t="s">
        <v>76</v>
      </c>
      <c r="AV723" s="17" t="s">
        <v>472</v>
      </c>
      <c r="AZ723" s="17" t="s">
        <v>243</v>
      </c>
      <c r="BA723" s="17" t="s">
        <v>458</v>
      </c>
      <c r="BB723" s="17" t="s">
        <v>109</v>
      </c>
      <c r="BP723" s="17" t="s">
        <v>2898</v>
      </c>
      <c r="BR723" s="24" t="str">
        <f t="shared" si="1"/>
        <v>Brost nation</v>
      </c>
    </row>
    <row r="724" ht="22.5" customHeight="1">
      <c r="A724" s="14">
        <v>46074.434170266206</v>
      </c>
      <c r="B724" s="15">
        <v>46071.0</v>
      </c>
      <c r="C724" s="16">
        <v>0.08402777777519077</v>
      </c>
      <c r="D724" s="17" t="s">
        <v>91</v>
      </c>
      <c r="F724" s="17">
        <v>20.0</v>
      </c>
      <c r="G724" s="17">
        <v>300.0</v>
      </c>
      <c r="H724" s="17" t="s">
        <v>113</v>
      </c>
      <c r="J724" s="17" t="s">
        <v>167</v>
      </c>
      <c r="K724" s="17" t="s">
        <v>134</v>
      </c>
      <c r="N724" s="17">
        <v>1.0</v>
      </c>
      <c r="O724" s="17" t="s">
        <v>96</v>
      </c>
      <c r="P724" s="17" t="s">
        <v>109</v>
      </c>
      <c r="Q724" s="17" t="s">
        <v>97</v>
      </c>
      <c r="R724" s="17" t="s">
        <v>76</v>
      </c>
      <c r="S724" s="17" t="s">
        <v>113</v>
      </c>
      <c r="U724" s="17" t="s">
        <v>113</v>
      </c>
      <c r="V724" s="17">
        <v>8.688612955E9</v>
      </c>
      <c r="W724" s="17" t="s">
        <v>117</v>
      </c>
      <c r="AA724" s="17" t="s">
        <v>109</v>
      </c>
      <c r="AT724" s="17" t="s">
        <v>2899</v>
      </c>
      <c r="AU724" s="17" t="s">
        <v>76</v>
      </c>
      <c r="AZ724" s="17" t="s">
        <v>539</v>
      </c>
      <c r="BA724" s="17" t="s">
        <v>458</v>
      </c>
      <c r="BB724" s="17" t="s">
        <v>76</v>
      </c>
      <c r="BN724" s="17" t="s">
        <v>2900</v>
      </c>
      <c r="BP724" s="17" t="s">
        <v>2901</v>
      </c>
      <c r="BR724" s="24" t="str">
        <f t="shared" si="1"/>
        <v>scoops </v>
      </c>
    </row>
    <row r="725" ht="22.5" customHeight="1">
      <c r="A725" s="14">
        <v>46074.43503501157</v>
      </c>
      <c r="B725" s="15">
        <v>46071.0</v>
      </c>
      <c r="C725" s="16">
        <v>0.12430555555329192</v>
      </c>
      <c r="D725" s="17" t="s">
        <v>111</v>
      </c>
      <c r="T725" s="17" t="s">
        <v>2902</v>
      </c>
      <c r="U725" s="17" t="s">
        <v>2903</v>
      </c>
      <c r="V725" s="17">
        <v>9.370982719E9</v>
      </c>
      <c r="W725" s="17" t="s">
        <v>113</v>
      </c>
      <c r="AA725" s="17" t="s">
        <v>109</v>
      </c>
      <c r="AT725" s="17" t="s">
        <v>2904</v>
      </c>
      <c r="AU725" s="17" t="s">
        <v>109</v>
      </c>
      <c r="AZ725" s="17" t="s">
        <v>539</v>
      </c>
      <c r="BA725" s="17" t="s">
        <v>458</v>
      </c>
      <c r="BB725" s="17" t="s">
        <v>76</v>
      </c>
      <c r="BP725" s="17" t="s">
        <v>2905</v>
      </c>
      <c r="BR725" s="24" t="str">
        <f t="shared" si="1"/>
        <v>sri poorna hotel sri poorna </v>
      </c>
    </row>
    <row r="726" ht="22.5" customHeight="1">
      <c r="A726" s="14">
        <v>46074.43604909722</v>
      </c>
      <c r="B726" s="15">
        <v>46073.0</v>
      </c>
      <c r="C726" s="16">
        <v>0.6875</v>
      </c>
      <c r="U726" s="17" t="s">
        <v>2906</v>
      </c>
      <c r="V726" s="17" t="s">
        <v>2907</v>
      </c>
      <c r="W726" s="17" t="s">
        <v>113</v>
      </c>
      <c r="AA726" s="17" t="s">
        <v>109</v>
      </c>
      <c r="AT726" s="17" t="s">
        <v>2908</v>
      </c>
      <c r="AU726" s="17" t="s">
        <v>76</v>
      </c>
      <c r="AV726" s="17" t="s">
        <v>271</v>
      </c>
      <c r="AZ726" s="17" t="s">
        <v>243</v>
      </c>
      <c r="BA726" s="17" t="s">
        <v>458</v>
      </c>
      <c r="BB726" s="17" t="s">
        <v>109</v>
      </c>
      <c r="BP726" s="17" t="s">
        <v>2909</v>
      </c>
      <c r="BR726" s="24" t="str">
        <f t="shared" si="1"/>
        <v>Crave and corners</v>
      </c>
    </row>
    <row r="727" ht="22.5" customHeight="1">
      <c r="A727" s="14">
        <v>46074.436315914354</v>
      </c>
      <c r="B727" s="15">
        <v>46071.0</v>
      </c>
      <c r="C727" s="16">
        <v>0.13541666666424135</v>
      </c>
      <c r="D727" s="17" t="s">
        <v>91</v>
      </c>
      <c r="F727" s="17">
        <v>100.0</v>
      </c>
      <c r="G727" s="17">
        <v>400.0</v>
      </c>
      <c r="H727" s="17" t="s">
        <v>291</v>
      </c>
      <c r="J727" s="17" t="s">
        <v>167</v>
      </c>
      <c r="K727" s="17" t="s">
        <v>134</v>
      </c>
      <c r="N727" s="17">
        <v>1.0</v>
      </c>
      <c r="O727" s="17" t="s">
        <v>96</v>
      </c>
      <c r="P727" s="17" t="s">
        <v>76</v>
      </c>
      <c r="Q727" s="17" t="s">
        <v>97</v>
      </c>
      <c r="R727" s="17" t="s">
        <v>76</v>
      </c>
      <c r="S727" s="17" t="s">
        <v>113</v>
      </c>
      <c r="U727" s="17" t="s">
        <v>2910</v>
      </c>
      <c r="V727" s="17">
        <v>7.207206239E9</v>
      </c>
      <c r="W727" s="17" t="s">
        <v>113</v>
      </c>
      <c r="AA727" s="17" t="s">
        <v>109</v>
      </c>
      <c r="AT727" s="17" t="s">
        <v>2894</v>
      </c>
      <c r="AU727" s="17" t="s">
        <v>76</v>
      </c>
      <c r="AV727" s="17" t="s">
        <v>472</v>
      </c>
      <c r="AZ727" s="17" t="s">
        <v>539</v>
      </c>
      <c r="BA727" s="17" t="s">
        <v>458</v>
      </c>
      <c r="BB727" s="17" t="s">
        <v>76</v>
      </c>
      <c r="BN727" s="17" t="s">
        <v>2900</v>
      </c>
      <c r="BP727" s="17" t="s">
        <v>2911</v>
      </c>
      <c r="BR727" s="24" t="str">
        <f t="shared" si="1"/>
        <v>avani restraunt </v>
      </c>
    </row>
    <row r="728" ht="22.5" customHeight="1">
      <c r="A728" s="14">
        <v>46074.437349722226</v>
      </c>
      <c r="B728" s="15">
        <v>46073.0</v>
      </c>
      <c r="C728" s="16">
        <v>0.6875</v>
      </c>
      <c r="U728" s="17" t="s">
        <v>113</v>
      </c>
      <c r="V728" s="17">
        <v>6.300044131E9</v>
      </c>
      <c r="W728" s="17" t="s">
        <v>113</v>
      </c>
      <c r="AA728" s="17" t="s">
        <v>109</v>
      </c>
      <c r="AT728" s="17" t="s">
        <v>2912</v>
      </c>
      <c r="AU728" s="17" t="s">
        <v>76</v>
      </c>
      <c r="AV728" s="17" t="s">
        <v>472</v>
      </c>
      <c r="AZ728" s="17" t="s">
        <v>243</v>
      </c>
      <c r="BA728" s="17" t="s">
        <v>458</v>
      </c>
      <c r="BB728" s="17" t="s">
        <v>109</v>
      </c>
      <c r="BP728" s="17" t="s">
        <v>2913</v>
      </c>
      <c r="BR728" s="24" t="str">
        <f t="shared" si="1"/>
        <v>Moms kitchen</v>
      </c>
    </row>
    <row r="729" ht="22.5" customHeight="1">
      <c r="A729" s="14">
        <v>46074.437464421295</v>
      </c>
      <c r="B729" s="15">
        <v>46071.0</v>
      </c>
      <c r="C729" s="16">
        <v>0.20277777777664596</v>
      </c>
      <c r="D729" s="17" t="s">
        <v>91</v>
      </c>
      <c r="F729" s="17">
        <v>20.0</v>
      </c>
      <c r="G729" s="17">
        <v>300.0</v>
      </c>
      <c r="H729" s="17" t="s">
        <v>113</v>
      </c>
      <c r="J729" s="17" t="s">
        <v>94</v>
      </c>
      <c r="K729" s="17" t="s">
        <v>134</v>
      </c>
      <c r="N729" s="17">
        <v>1.0</v>
      </c>
      <c r="O729" s="17" t="s">
        <v>96</v>
      </c>
      <c r="P729" s="17" t="s">
        <v>109</v>
      </c>
      <c r="Q729" s="17" t="s">
        <v>97</v>
      </c>
      <c r="R729" s="17" t="s">
        <v>109</v>
      </c>
      <c r="S729" s="17" t="s">
        <v>113</v>
      </c>
      <c r="U729" s="17" t="s">
        <v>113</v>
      </c>
      <c r="V729" s="17" t="s">
        <v>113</v>
      </c>
      <c r="W729" s="17" t="s">
        <v>113</v>
      </c>
      <c r="AA729" s="17" t="s">
        <v>109</v>
      </c>
      <c r="AT729" s="17" t="s">
        <v>2914</v>
      </c>
      <c r="AU729" s="17" t="s">
        <v>109</v>
      </c>
      <c r="AZ729" s="17" t="s">
        <v>539</v>
      </c>
      <c r="BA729" s="17" t="s">
        <v>458</v>
      </c>
      <c r="BB729" s="17" t="s">
        <v>76</v>
      </c>
      <c r="BN729" s="17" t="s">
        <v>2915</v>
      </c>
      <c r="BP729" s="17" t="s">
        <v>2916</v>
      </c>
      <c r="BR729" s="24" t="str">
        <f t="shared" si="1"/>
        <v>shawarama house</v>
      </c>
    </row>
    <row r="730" ht="22.5" customHeight="1">
      <c r="A730" s="14">
        <v>46074.43832270833</v>
      </c>
      <c r="B730" s="15">
        <v>46071.0</v>
      </c>
      <c r="C730" s="16">
        <v>0.2069444444423425</v>
      </c>
      <c r="D730" s="17" t="s">
        <v>111</v>
      </c>
      <c r="T730" s="17" t="s">
        <v>2917</v>
      </c>
      <c r="U730" s="17" t="s">
        <v>2918</v>
      </c>
      <c r="V730" s="17">
        <v>8.179622604E9</v>
      </c>
      <c r="W730" s="17" t="s">
        <v>113</v>
      </c>
      <c r="AA730" s="17" t="s">
        <v>109</v>
      </c>
      <c r="AT730" s="17" t="s">
        <v>2919</v>
      </c>
      <c r="AU730" s="17" t="s">
        <v>109</v>
      </c>
      <c r="AZ730" s="17" t="s">
        <v>539</v>
      </c>
      <c r="BA730" s="17" t="s">
        <v>458</v>
      </c>
      <c r="BB730" s="17" t="s">
        <v>76</v>
      </c>
      <c r="BP730" s="17" t="s">
        <v>2920</v>
      </c>
      <c r="BR730" s="24" t="str">
        <f t="shared" si="1"/>
        <v>o ginger o ginger</v>
      </c>
    </row>
    <row r="731" ht="22.5" customHeight="1">
      <c r="A731" s="14">
        <v>46074.439568263886</v>
      </c>
      <c r="B731" s="15">
        <v>46073.0</v>
      </c>
      <c r="C731" s="16">
        <v>0.5833333333357587</v>
      </c>
      <c r="D731" s="17" t="s">
        <v>111</v>
      </c>
      <c r="T731" s="17" t="s">
        <v>2921</v>
      </c>
      <c r="U731" s="17" t="s">
        <v>113</v>
      </c>
      <c r="V731" s="17">
        <v>9.908662728E9</v>
      </c>
      <c r="W731" s="17" t="s">
        <v>113</v>
      </c>
      <c r="AA731" s="17" t="s">
        <v>109</v>
      </c>
      <c r="AT731" s="17" t="s">
        <v>2922</v>
      </c>
      <c r="AU731" s="17" t="s">
        <v>76</v>
      </c>
      <c r="AZ731" s="17" t="s">
        <v>243</v>
      </c>
      <c r="BA731" s="17" t="s">
        <v>458</v>
      </c>
      <c r="BB731" s="17" t="s">
        <v>76</v>
      </c>
      <c r="BP731" s="17" t="s">
        <v>2921</v>
      </c>
      <c r="BR731" s="24" t="str">
        <f t="shared" si="1"/>
        <v>Kush mandiKush mandi</v>
      </c>
    </row>
    <row r="732" ht="22.5" customHeight="1">
      <c r="A732" s="14">
        <v>46074.44100225694</v>
      </c>
      <c r="B732" s="15">
        <v>46071.0</v>
      </c>
      <c r="C732" s="16">
        <v>0.25902777777810115</v>
      </c>
      <c r="D732" s="17" t="s">
        <v>91</v>
      </c>
      <c r="F732" s="17">
        <v>300.0</v>
      </c>
      <c r="G732" s="17">
        <v>500.0</v>
      </c>
      <c r="H732" s="17" t="s">
        <v>291</v>
      </c>
      <c r="J732" s="17" t="s">
        <v>167</v>
      </c>
      <c r="K732" s="17" t="s">
        <v>134</v>
      </c>
      <c r="N732" s="17">
        <v>4.0</v>
      </c>
      <c r="O732" s="17" t="s">
        <v>96</v>
      </c>
      <c r="P732" s="17" t="s">
        <v>76</v>
      </c>
      <c r="Q732" s="17" t="s">
        <v>97</v>
      </c>
      <c r="R732" s="17" t="s">
        <v>76</v>
      </c>
      <c r="S732" s="17" t="s">
        <v>113</v>
      </c>
      <c r="U732" s="17" t="s">
        <v>2923</v>
      </c>
      <c r="V732" s="17" t="s">
        <v>2924</v>
      </c>
      <c r="W732" s="17" t="s">
        <v>2925</v>
      </c>
      <c r="AA732" s="17" t="s">
        <v>109</v>
      </c>
      <c r="AT732" s="17" t="s">
        <v>2926</v>
      </c>
      <c r="AU732" s="17" t="s">
        <v>109</v>
      </c>
      <c r="AZ732" s="17" t="s">
        <v>539</v>
      </c>
      <c r="BA732" s="17" t="s">
        <v>458</v>
      </c>
      <c r="BB732" s="17" t="s">
        <v>76</v>
      </c>
      <c r="BN732" s="17" t="s">
        <v>2900</v>
      </c>
      <c r="BP732" s="17" t="s">
        <v>2927</v>
      </c>
      <c r="BR732" s="24" t="str">
        <f t="shared" si="1"/>
        <v>sangam dhaba </v>
      </c>
    </row>
    <row r="733" ht="22.5" customHeight="1">
      <c r="A733" s="14">
        <v>46074.441394953705</v>
      </c>
      <c r="B733" s="15">
        <v>46073.0</v>
      </c>
      <c r="C733" s="16">
        <v>0.5833333333357587</v>
      </c>
      <c r="U733" s="17" t="s">
        <v>2928</v>
      </c>
      <c r="V733" s="17" t="s">
        <v>113</v>
      </c>
      <c r="W733" s="17" t="s">
        <v>113</v>
      </c>
      <c r="AA733" s="17" t="s">
        <v>109</v>
      </c>
      <c r="AT733" s="17" t="s">
        <v>2929</v>
      </c>
      <c r="AU733" s="17" t="s">
        <v>76</v>
      </c>
      <c r="AV733" s="17" t="s">
        <v>472</v>
      </c>
      <c r="AZ733" s="17" t="s">
        <v>243</v>
      </c>
      <c r="BA733" s="17" t="s">
        <v>458</v>
      </c>
      <c r="BB733" s="17" t="s">
        <v>109</v>
      </c>
      <c r="BP733" s="17" t="s">
        <v>2930</v>
      </c>
      <c r="BR733" s="24" t="str">
        <f t="shared" si="1"/>
        <v>Kadak house</v>
      </c>
    </row>
    <row r="734" ht="22.5" customHeight="1">
      <c r="A734" s="14">
        <v>46074.442782094906</v>
      </c>
      <c r="B734" s="15">
        <v>46072.0</v>
      </c>
      <c r="C734" s="16">
        <v>0.0625</v>
      </c>
      <c r="D734" s="17" t="s">
        <v>111</v>
      </c>
      <c r="T734" s="17" t="s">
        <v>2931</v>
      </c>
      <c r="U734" s="17" t="s">
        <v>2932</v>
      </c>
      <c r="V734" s="17">
        <v>7.893354044E9</v>
      </c>
      <c r="W734" s="17" t="s">
        <v>113</v>
      </c>
      <c r="AA734" s="17" t="s">
        <v>109</v>
      </c>
      <c r="AT734" s="17" t="s">
        <v>842</v>
      </c>
      <c r="AU734" s="17" t="s">
        <v>76</v>
      </c>
      <c r="AZ734" s="17" t="s">
        <v>539</v>
      </c>
      <c r="BA734" s="17" t="s">
        <v>458</v>
      </c>
      <c r="BB734" s="17" t="s">
        <v>76</v>
      </c>
      <c r="BP734" s="17" t="s">
        <v>2933</v>
      </c>
      <c r="BR734" s="24" t="str">
        <f t="shared" si="1"/>
        <v>swach swach</v>
      </c>
    </row>
    <row r="735" ht="22.5" customHeight="1">
      <c r="A735" s="14">
        <v>46074.44293178241</v>
      </c>
      <c r="B735" s="15">
        <v>46073.0</v>
      </c>
      <c r="C735" s="16">
        <v>0.625</v>
      </c>
      <c r="U735" s="17" t="s">
        <v>113</v>
      </c>
      <c r="V735" s="17">
        <v>7.893777231E9</v>
      </c>
      <c r="W735" s="17" t="s">
        <v>113</v>
      </c>
      <c r="AA735" s="17" t="s">
        <v>109</v>
      </c>
      <c r="AT735" s="17" t="s">
        <v>842</v>
      </c>
      <c r="AU735" s="17" t="s">
        <v>76</v>
      </c>
      <c r="AV735" s="17" t="s">
        <v>472</v>
      </c>
      <c r="AZ735" s="17" t="s">
        <v>243</v>
      </c>
      <c r="BA735" s="17" t="s">
        <v>458</v>
      </c>
      <c r="BB735" s="17" t="s">
        <v>109</v>
      </c>
      <c r="BP735" s="17" t="s">
        <v>2934</v>
      </c>
      <c r="BR735" s="24" t="str">
        <f t="shared" si="1"/>
        <v>Balle alle punjabi</v>
      </c>
    </row>
    <row r="736" ht="22.5" customHeight="1">
      <c r="A736" s="14">
        <v>46074.44461607639</v>
      </c>
      <c r="B736" s="15">
        <v>46073.0</v>
      </c>
      <c r="C736" s="16">
        <v>0.7083333333357587</v>
      </c>
      <c r="D736" s="17" t="s">
        <v>111</v>
      </c>
      <c r="T736" s="17" t="s">
        <v>2935</v>
      </c>
      <c r="U736" s="17" t="s">
        <v>2936</v>
      </c>
      <c r="V736" s="17">
        <v>7.893787203E9</v>
      </c>
      <c r="W736" s="17" t="s">
        <v>113</v>
      </c>
      <c r="AA736" s="17" t="s">
        <v>109</v>
      </c>
      <c r="AT736" s="17" t="s">
        <v>193</v>
      </c>
      <c r="AU736" s="17" t="s">
        <v>109</v>
      </c>
      <c r="AZ736" s="17" t="s">
        <v>243</v>
      </c>
      <c r="BA736" s="17" t="s">
        <v>458</v>
      </c>
      <c r="BB736" s="17" t="s">
        <v>76</v>
      </c>
      <c r="BP736" s="17" t="s">
        <v>2935</v>
      </c>
      <c r="BR736" s="24" t="str">
        <f t="shared" si="1"/>
        <v>Zaiqa 11 Zaiqa 11 </v>
      </c>
    </row>
    <row r="737" ht="22.5" customHeight="1">
      <c r="A737" s="14">
        <v>46074.44472738426</v>
      </c>
      <c r="B737" s="15">
        <v>46072.0</v>
      </c>
      <c r="C737" s="16">
        <v>0.06458333333284827</v>
      </c>
      <c r="D737" s="17" t="s">
        <v>91</v>
      </c>
      <c r="F737" s="17">
        <v>20.0</v>
      </c>
      <c r="G737" s="17">
        <v>800.0</v>
      </c>
      <c r="H737" s="17" t="s">
        <v>291</v>
      </c>
      <c r="J737" s="17" t="s">
        <v>167</v>
      </c>
      <c r="N737" s="17">
        <v>4.0</v>
      </c>
      <c r="O737" s="17" t="s">
        <v>96</v>
      </c>
      <c r="P737" s="17" t="s">
        <v>76</v>
      </c>
      <c r="Q737" s="17" t="s">
        <v>97</v>
      </c>
      <c r="R737" s="17" t="s">
        <v>76</v>
      </c>
      <c r="S737" s="17" t="s">
        <v>113</v>
      </c>
      <c r="U737" s="17" t="s">
        <v>2937</v>
      </c>
      <c r="V737" s="17">
        <v>9.502201776E9</v>
      </c>
      <c r="W737" s="17" t="s">
        <v>113</v>
      </c>
      <c r="AA737" s="17" t="s">
        <v>109</v>
      </c>
      <c r="AT737" s="17" t="s">
        <v>842</v>
      </c>
      <c r="AU737" s="17" t="s">
        <v>76</v>
      </c>
      <c r="AZ737" s="17" t="s">
        <v>539</v>
      </c>
      <c r="BA737" s="17" t="s">
        <v>458</v>
      </c>
      <c r="BB737" s="17" t="s">
        <v>76</v>
      </c>
      <c r="BN737" s="17" t="s">
        <v>2938</v>
      </c>
      <c r="BP737" s="17" t="s">
        <v>2939</v>
      </c>
      <c r="BR737" s="24" t="str">
        <f t="shared" si="1"/>
        <v>abhiruchi sagurha foods</v>
      </c>
    </row>
    <row r="738" ht="22.5" customHeight="1">
      <c r="A738" s="14">
        <v>46074.445554375</v>
      </c>
      <c r="B738" s="15">
        <v>46073.0</v>
      </c>
      <c r="C738" s="16">
        <v>0.6666666666642413</v>
      </c>
      <c r="U738" s="17" t="s">
        <v>239</v>
      </c>
      <c r="V738" s="17">
        <v>8.096301302E9</v>
      </c>
      <c r="W738" s="17" t="s">
        <v>113</v>
      </c>
      <c r="X738" s="17" t="s">
        <v>113</v>
      </c>
      <c r="AA738" s="17" t="s">
        <v>109</v>
      </c>
      <c r="AT738" s="17" t="s">
        <v>842</v>
      </c>
      <c r="AU738" s="17" t="s">
        <v>76</v>
      </c>
      <c r="AZ738" s="17" t="s">
        <v>243</v>
      </c>
      <c r="BA738" s="17" t="s">
        <v>458</v>
      </c>
      <c r="BB738" s="17" t="s">
        <v>109</v>
      </c>
      <c r="BP738" s="17" t="s">
        <v>2940</v>
      </c>
      <c r="BR738" s="24" t="str">
        <f t="shared" si="1"/>
        <v>Venkateshwara restaurent</v>
      </c>
    </row>
    <row r="739" ht="22.5" customHeight="1">
      <c r="A739" s="14">
        <v>46074.44572996528</v>
      </c>
      <c r="B739" s="15">
        <v>46072.0</v>
      </c>
      <c r="C739" s="16">
        <v>0.09097222222044365</v>
      </c>
      <c r="D739" s="17" t="s">
        <v>111</v>
      </c>
      <c r="T739" s="17" t="s">
        <v>2941</v>
      </c>
      <c r="U739" s="17" t="s">
        <v>2937</v>
      </c>
      <c r="V739" s="17">
        <v>9.1002255E9</v>
      </c>
      <c r="W739" s="17" t="s">
        <v>2942</v>
      </c>
      <c r="AA739" s="17" t="s">
        <v>109</v>
      </c>
      <c r="AT739" s="17" t="s">
        <v>2919</v>
      </c>
      <c r="AU739" s="17" t="s">
        <v>109</v>
      </c>
      <c r="AZ739" s="17" t="s">
        <v>539</v>
      </c>
      <c r="BA739" s="17" t="s">
        <v>458</v>
      </c>
      <c r="BB739" s="17" t="s">
        <v>76</v>
      </c>
      <c r="BP739" s="17" t="s">
        <v>2943</v>
      </c>
      <c r="BR739" s="24" t="str">
        <f t="shared" si="1"/>
        <v>vellanki vellanki</v>
      </c>
    </row>
    <row r="740" ht="22.5" customHeight="1">
      <c r="A740" s="14">
        <v>46074.44651090278</v>
      </c>
      <c r="B740" s="15">
        <v>46073.0</v>
      </c>
      <c r="C740" s="16">
        <v>0.625</v>
      </c>
      <c r="U740" s="17" t="s">
        <v>717</v>
      </c>
      <c r="V740" s="17">
        <v>9.948562177E9</v>
      </c>
      <c r="W740" s="17" t="s">
        <v>113</v>
      </c>
      <c r="AA740" s="17" t="s">
        <v>109</v>
      </c>
      <c r="AT740" s="17" t="s">
        <v>2944</v>
      </c>
      <c r="AU740" s="17" t="s">
        <v>76</v>
      </c>
      <c r="AV740" s="17" t="s">
        <v>472</v>
      </c>
      <c r="AZ740" s="17" t="s">
        <v>243</v>
      </c>
      <c r="BA740" s="17" t="s">
        <v>458</v>
      </c>
      <c r="BB740" s="17" t="s">
        <v>109</v>
      </c>
      <c r="BP740" s="17" t="s">
        <v>2945</v>
      </c>
      <c r="BR740" s="24" t="str">
        <f t="shared" si="1"/>
        <v>Sirisha fast food</v>
      </c>
    </row>
    <row r="741" ht="22.5" customHeight="1">
      <c r="A741" s="14">
        <v>46074.44672141204</v>
      </c>
      <c r="B741" s="15">
        <v>46072.0</v>
      </c>
      <c r="C741" s="16">
        <v>0.09583333333284827</v>
      </c>
      <c r="D741" s="17" t="s">
        <v>111</v>
      </c>
      <c r="T741" s="17" t="s">
        <v>2946</v>
      </c>
      <c r="U741" s="17" t="s">
        <v>2947</v>
      </c>
      <c r="V741" s="17">
        <v>6.304257429E9</v>
      </c>
      <c r="W741" s="17" t="s">
        <v>113</v>
      </c>
      <c r="AA741" s="17" t="s">
        <v>109</v>
      </c>
      <c r="AT741" s="17" t="s">
        <v>2948</v>
      </c>
      <c r="AU741" s="17" t="s">
        <v>76</v>
      </c>
      <c r="AZ741" s="17" t="s">
        <v>539</v>
      </c>
      <c r="BA741" s="17" t="s">
        <v>491</v>
      </c>
      <c r="BP741" s="17" t="s">
        <v>2949</v>
      </c>
      <c r="BR741" s="24" t="str">
        <f t="shared" si="1"/>
        <v>thrivesome cafethrive some cafe and cpo</v>
      </c>
    </row>
    <row r="742" ht="22.5" customHeight="1">
      <c r="A742" s="14">
        <v>46074.44773138889</v>
      </c>
      <c r="B742" s="15">
        <v>46073.0</v>
      </c>
      <c r="C742" s="16">
        <v>0.5</v>
      </c>
      <c r="U742" s="17" t="s">
        <v>2950</v>
      </c>
      <c r="V742" s="17">
        <v>6.30097803E9</v>
      </c>
      <c r="W742" s="17" t="s">
        <v>113</v>
      </c>
      <c r="AA742" s="17" t="s">
        <v>109</v>
      </c>
      <c r="AT742" s="17" t="s">
        <v>2951</v>
      </c>
      <c r="AU742" s="17" t="s">
        <v>76</v>
      </c>
      <c r="AV742" s="17" t="s">
        <v>271</v>
      </c>
      <c r="AZ742" s="17" t="s">
        <v>243</v>
      </c>
      <c r="BA742" s="17" t="s">
        <v>458</v>
      </c>
      <c r="BB742" s="17" t="s">
        <v>109</v>
      </c>
      <c r="BP742" s="17" t="s">
        <v>2952</v>
      </c>
      <c r="BR742" s="24" t="str">
        <f t="shared" si="1"/>
        <v>Godhavari ruchulu</v>
      </c>
    </row>
    <row r="743" ht="22.5" customHeight="1">
      <c r="A743" s="14">
        <v>46074.447732430555</v>
      </c>
      <c r="B743" s="15">
        <v>46073.0</v>
      </c>
      <c r="C743" s="16">
        <v>0.13472222222480923</v>
      </c>
      <c r="D743" s="17" t="s">
        <v>91</v>
      </c>
      <c r="F743" s="17">
        <v>26.0</v>
      </c>
      <c r="G743" s="17">
        <v>300.0</v>
      </c>
      <c r="H743" s="17" t="s">
        <v>113</v>
      </c>
      <c r="J743" s="17" t="s">
        <v>94</v>
      </c>
      <c r="N743" s="17">
        <v>1.0</v>
      </c>
      <c r="O743" s="17" t="s">
        <v>96</v>
      </c>
      <c r="P743" s="17" t="s">
        <v>109</v>
      </c>
      <c r="Q743" s="17" t="s">
        <v>97</v>
      </c>
      <c r="R743" s="17" t="s">
        <v>109</v>
      </c>
      <c r="S743" s="17" t="s">
        <v>113</v>
      </c>
      <c r="U743" s="17" t="s">
        <v>113</v>
      </c>
      <c r="V743" s="17" t="s">
        <v>113</v>
      </c>
      <c r="W743" s="17" t="s">
        <v>113</v>
      </c>
      <c r="AA743" s="17" t="s">
        <v>109</v>
      </c>
      <c r="AT743" s="17" t="s">
        <v>237</v>
      </c>
      <c r="AU743" s="17" t="s">
        <v>109</v>
      </c>
      <c r="AZ743" s="17" t="s">
        <v>539</v>
      </c>
      <c r="BA743" s="17" t="s">
        <v>458</v>
      </c>
      <c r="BB743" s="17" t="s">
        <v>76</v>
      </c>
      <c r="BN743" s="17" t="s">
        <v>2953</v>
      </c>
      <c r="BP743" s="17" t="s">
        <v>2954</v>
      </c>
      <c r="BR743" s="24" t="str">
        <f t="shared" si="1"/>
        <v>thualsi villas</v>
      </c>
    </row>
    <row r="744" ht="22.5" customHeight="1">
      <c r="A744" s="14">
        <v>46074.449434166665</v>
      </c>
      <c r="B744" s="15">
        <v>46073.0</v>
      </c>
      <c r="C744" s="16">
        <v>0.5416666666642413</v>
      </c>
      <c r="D744" s="17" t="s">
        <v>111</v>
      </c>
      <c r="T744" s="17" t="s">
        <v>2955</v>
      </c>
      <c r="U744" s="17" t="s">
        <v>113</v>
      </c>
      <c r="V744" s="17" t="s">
        <v>113</v>
      </c>
      <c r="W744" s="17" t="s">
        <v>113</v>
      </c>
      <c r="AA744" s="17" t="s">
        <v>109</v>
      </c>
      <c r="AT744" s="17" t="s">
        <v>193</v>
      </c>
      <c r="AU744" s="17" t="s">
        <v>109</v>
      </c>
      <c r="AZ744" s="17" t="s">
        <v>243</v>
      </c>
      <c r="BA744" s="17" t="s">
        <v>458</v>
      </c>
      <c r="BB744" s="17" t="s">
        <v>76</v>
      </c>
      <c r="BP744" s="17" t="s">
        <v>2955</v>
      </c>
      <c r="BR744" s="24" t="str">
        <f t="shared" si="1"/>
        <v>Zafaron shawarma and chinese fast foodZafaron shawarma and chinese fast food</v>
      </c>
    </row>
    <row r="745" ht="22.5" customHeight="1">
      <c r="A745" s="14">
        <v>46074.44949745371</v>
      </c>
      <c r="B745" s="15">
        <v>46072.0</v>
      </c>
      <c r="C745" s="16">
        <v>0.14791666666860692</v>
      </c>
      <c r="D745" s="17" t="s">
        <v>91</v>
      </c>
      <c r="F745" s="17">
        <v>25.0</v>
      </c>
      <c r="G745" s="17">
        <v>200.0</v>
      </c>
      <c r="H745" s="17" t="s">
        <v>113</v>
      </c>
      <c r="J745" s="17" t="s">
        <v>94</v>
      </c>
      <c r="N745" s="17">
        <v>1.0</v>
      </c>
      <c r="O745" s="17" t="s">
        <v>96</v>
      </c>
      <c r="P745" s="17" t="s">
        <v>109</v>
      </c>
      <c r="Q745" s="17" t="s">
        <v>97</v>
      </c>
      <c r="R745" s="17" t="s">
        <v>109</v>
      </c>
      <c r="S745" s="17" t="s">
        <v>113</v>
      </c>
      <c r="U745" s="17" t="s">
        <v>113</v>
      </c>
      <c r="V745" s="17" t="s">
        <v>113</v>
      </c>
      <c r="W745" s="17" t="s">
        <v>113</v>
      </c>
      <c r="AA745" s="17" t="s">
        <v>109</v>
      </c>
      <c r="AT745" s="17" t="s">
        <v>113</v>
      </c>
      <c r="AU745" s="17" t="s">
        <v>109</v>
      </c>
      <c r="AZ745" s="17" t="s">
        <v>539</v>
      </c>
      <c r="BA745" s="17" t="s">
        <v>458</v>
      </c>
      <c r="BB745" s="17" t="s">
        <v>76</v>
      </c>
      <c r="BN745" s="17" t="s">
        <v>2865</v>
      </c>
      <c r="BP745" s="17" t="s">
        <v>2956</v>
      </c>
      <c r="BR745" s="24" t="str">
        <f t="shared" si="1"/>
        <v>raghavendra</v>
      </c>
    </row>
    <row r="746" ht="22.5" customHeight="1">
      <c r="A746" s="14">
        <v>46074.45022003472</v>
      </c>
      <c r="B746" s="15">
        <v>46073.0</v>
      </c>
      <c r="C746" s="16">
        <v>0.18541666666715173</v>
      </c>
      <c r="U746" s="17" t="s">
        <v>2957</v>
      </c>
      <c r="V746" s="17">
        <v>9.441166869E9</v>
      </c>
      <c r="W746" s="17" t="s">
        <v>113</v>
      </c>
      <c r="AA746" s="17" t="s">
        <v>109</v>
      </c>
      <c r="AT746" s="17" t="s">
        <v>113</v>
      </c>
      <c r="AU746" s="17" t="s">
        <v>76</v>
      </c>
      <c r="AZ746" s="17" t="s">
        <v>539</v>
      </c>
      <c r="BA746" s="17" t="s">
        <v>458</v>
      </c>
      <c r="BB746" s="17" t="s">
        <v>109</v>
      </c>
      <c r="BP746" s="17" t="s">
        <v>2958</v>
      </c>
      <c r="BR746" s="24" t="str">
        <f t="shared" si="1"/>
        <v>taaza</v>
      </c>
    </row>
    <row r="747" ht="22.5" customHeight="1">
      <c r="A747" s="14">
        <v>46074.45086134259</v>
      </c>
      <c r="B747" s="15">
        <v>46073.0</v>
      </c>
      <c r="C747" s="16">
        <v>0.5625</v>
      </c>
      <c r="D747" s="17" t="s">
        <v>91</v>
      </c>
      <c r="F747" s="17">
        <v>20.0</v>
      </c>
      <c r="G747" s="17">
        <v>300.0</v>
      </c>
      <c r="H747" s="17" t="s">
        <v>117</v>
      </c>
      <c r="J747" s="17" t="s">
        <v>94</v>
      </c>
      <c r="N747" s="17">
        <v>1.0</v>
      </c>
      <c r="O747" s="17" t="s">
        <v>117</v>
      </c>
      <c r="P747" s="17" t="s">
        <v>76</v>
      </c>
      <c r="Q747" s="17" t="s">
        <v>97</v>
      </c>
      <c r="R747" s="17" t="s">
        <v>98</v>
      </c>
      <c r="S747" s="17" t="s">
        <v>117</v>
      </c>
      <c r="U747" s="17" t="s">
        <v>2959</v>
      </c>
      <c r="V747" s="17">
        <v>8.142488588E9</v>
      </c>
      <c r="W747" s="17" t="s">
        <v>117</v>
      </c>
      <c r="AA747" s="17" t="s">
        <v>109</v>
      </c>
      <c r="AT747" s="17" t="s">
        <v>2960</v>
      </c>
      <c r="AU747" s="17" t="s">
        <v>76</v>
      </c>
      <c r="AZ747" s="17" t="s">
        <v>243</v>
      </c>
      <c r="BA747" s="17" t="s">
        <v>458</v>
      </c>
      <c r="BB747" s="17" t="s">
        <v>76</v>
      </c>
      <c r="BP747" s="17" t="s">
        <v>2778</v>
      </c>
      <c r="BR747" s="24" t="str">
        <f t="shared" si="1"/>
        <v>Sankar villas tiffins</v>
      </c>
    </row>
    <row r="748" ht="22.5" customHeight="1">
      <c r="A748" s="14">
        <v>46074.50899487268</v>
      </c>
      <c r="B748" s="15">
        <v>46074.0</v>
      </c>
      <c r="C748" s="16">
        <v>0.5</v>
      </c>
      <c r="D748" s="17" t="s">
        <v>91</v>
      </c>
      <c r="F748" s="17">
        <v>10.0</v>
      </c>
      <c r="G748" s="17">
        <v>250.0</v>
      </c>
      <c r="H748" s="17" t="s">
        <v>117</v>
      </c>
      <c r="J748" s="17" t="s">
        <v>94</v>
      </c>
      <c r="K748" s="17" t="s">
        <v>134</v>
      </c>
      <c r="N748" s="17">
        <v>20.0</v>
      </c>
      <c r="O748" s="17" t="s">
        <v>135</v>
      </c>
      <c r="P748" s="17" t="s">
        <v>76</v>
      </c>
      <c r="Q748" s="17" t="s">
        <v>97</v>
      </c>
      <c r="R748" s="17" t="s">
        <v>98</v>
      </c>
      <c r="S748" s="18" t="s">
        <v>2961</v>
      </c>
      <c r="U748" s="17" t="s">
        <v>2962</v>
      </c>
      <c r="V748" s="17" t="s">
        <v>117</v>
      </c>
      <c r="W748" s="17" t="s">
        <v>117</v>
      </c>
      <c r="AA748" s="17" t="s">
        <v>109</v>
      </c>
      <c r="AT748" s="17" t="s">
        <v>2963</v>
      </c>
      <c r="AU748" s="17" t="s">
        <v>76</v>
      </c>
      <c r="AV748" s="17" t="s">
        <v>271</v>
      </c>
      <c r="AZ748" s="17" t="s">
        <v>1910</v>
      </c>
      <c r="BA748" s="17" t="s">
        <v>491</v>
      </c>
      <c r="BP748" s="17" t="s">
        <v>2964</v>
      </c>
      <c r="BR748" s="24" t="str">
        <f t="shared" si="1"/>
        <v>FB Cakes</v>
      </c>
    </row>
    <row r="749" ht="22.5" customHeight="1">
      <c r="A749" s="14">
        <v>46074.535436562495</v>
      </c>
      <c r="B749" s="15">
        <v>46074.0</v>
      </c>
      <c r="C749" s="16">
        <v>0.5</v>
      </c>
      <c r="D749" s="17" t="s">
        <v>111</v>
      </c>
      <c r="T749" s="17" t="s">
        <v>2965</v>
      </c>
      <c r="U749" s="17" t="s">
        <v>769</v>
      </c>
      <c r="V749" s="17" t="s">
        <v>769</v>
      </c>
      <c r="W749" s="17" t="s">
        <v>769</v>
      </c>
      <c r="AA749" s="17" t="s">
        <v>109</v>
      </c>
      <c r="AT749" s="17" t="s">
        <v>2966</v>
      </c>
      <c r="AU749" s="17" t="s">
        <v>109</v>
      </c>
      <c r="AZ749" s="17" t="s">
        <v>115</v>
      </c>
      <c r="BA749" s="17" t="s">
        <v>458</v>
      </c>
      <c r="BB749" s="17" t="s">
        <v>76</v>
      </c>
      <c r="BP749" s="17" t="s">
        <v>2967</v>
      </c>
      <c r="BR749" s="24" t="str">
        <f t="shared" si="1"/>
        <v>Sri akshaya Sri akshaya tiffins </v>
      </c>
    </row>
    <row r="750" ht="22.5" customHeight="1">
      <c r="A750" s="14">
        <v>46074.53655109953</v>
      </c>
      <c r="B750" s="15">
        <v>46074.0</v>
      </c>
      <c r="C750" s="16">
        <v>0.5</v>
      </c>
      <c r="D750" s="17" t="s">
        <v>111</v>
      </c>
      <c r="T750" s="17" t="s">
        <v>2968</v>
      </c>
      <c r="U750" s="17" t="s">
        <v>966</v>
      </c>
      <c r="V750" s="17">
        <v>9.8859885001581E13</v>
      </c>
      <c r="W750" s="17" t="s">
        <v>769</v>
      </c>
      <c r="AA750" s="17" t="s">
        <v>109</v>
      </c>
      <c r="AT750" s="17" t="s">
        <v>2969</v>
      </c>
      <c r="AU750" s="17" t="s">
        <v>76</v>
      </c>
      <c r="AX750" s="15">
        <v>46074.0</v>
      </c>
      <c r="AY750" s="16">
        <v>0.5833333333357587</v>
      </c>
      <c r="AZ750" s="17" t="s">
        <v>115</v>
      </c>
      <c r="BA750" s="17" t="s">
        <v>458</v>
      </c>
      <c r="BB750" s="17" t="s">
        <v>76</v>
      </c>
      <c r="BP750" s="17" t="s">
        <v>2968</v>
      </c>
      <c r="BR750" s="24" t="str">
        <f t="shared" si="1"/>
        <v>Midland bakersMidland bakers</v>
      </c>
    </row>
    <row r="751" ht="22.5" customHeight="1">
      <c r="A751" s="14">
        <v>46074.53737145833</v>
      </c>
      <c r="B751" s="15">
        <v>46074.0</v>
      </c>
      <c r="C751" s="16">
        <v>0.5</v>
      </c>
      <c r="U751" s="17" t="s">
        <v>769</v>
      </c>
      <c r="V751" s="17" t="s">
        <v>769</v>
      </c>
      <c r="W751" s="17" t="s">
        <v>769</v>
      </c>
      <c r="AA751" s="17" t="s">
        <v>109</v>
      </c>
      <c r="AT751" s="17" t="s">
        <v>2970</v>
      </c>
      <c r="AU751" s="17" t="s">
        <v>76</v>
      </c>
      <c r="AX751" s="15">
        <v>46074.0</v>
      </c>
      <c r="AY751" s="16">
        <v>0.5833333333357587</v>
      </c>
      <c r="AZ751" s="17" t="s">
        <v>115</v>
      </c>
      <c r="BA751" s="17" t="s">
        <v>458</v>
      </c>
      <c r="BB751" s="17" t="s">
        <v>109</v>
      </c>
      <c r="BP751" s="17" t="s">
        <v>2971</v>
      </c>
      <c r="BR751" s="24" t="str">
        <f t="shared" si="1"/>
        <v>Blue star restaurant </v>
      </c>
    </row>
    <row r="752" ht="22.5" customHeight="1">
      <c r="A752" s="14">
        <v>46074.538144618055</v>
      </c>
      <c r="B752" s="15">
        <v>46074.0</v>
      </c>
      <c r="C752" s="16">
        <v>0.5</v>
      </c>
      <c r="U752" s="17" t="s">
        <v>769</v>
      </c>
      <c r="V752" s="17" t="s">
        <v>769</v>
      </c>
      <c r="W752" s="17" t="s">
        <v>769</v>
      </c>
      <c r="AA752" s="17" t="s">
        <v>109</v>
      </c>
      <c r="AT752" s="17" t="s">
        <v>2972</v>
      </c>
      <c r="AU752" s="17" t="s">
        <v>76</v>
      </c>
      <c r="AX752" s="15">
        <v>46074.0</v>
      </c>
      <c r="AY752" s="16">
        <v>0.5416666666642413</v>
      </c>
      <c r="AZ752" s="17" t="s">
        <v>115</v>
      </c>
      <c r="BA752" s="17" t="s">
        <v>458</v>
      </c>
      <c r="BB752" s="17" t="s">
        <v>109</v>
      </c>
      <c r="BP752" s="17" t="s">
        <v>2973</v>
      </c>
      <c r="BR752" s="24" t="str">
        <f t="shared" si="1"/>
        <v>Rayudu's kitchen </v>
      </c>
    </row>
    <row r="753" ht="22.5" customHeight="1">
      <c r="A753" s="14">
        <v>46074.53885486111</v>
      </c>
      <c r="B753" s="15">
        <v>46074.0</v>
      </c>
      <c r="C753" s="16">
        <v>0.5</v>
      </c>
      <c r="U753" s="17" t="s">
        <v>2974</v>
      </c>
      <c r="V753" s="17">
        <v>8.790072864E9</v>
      </c>
      <c r="W753" s="17" t="s">
        <v>769</v>
      </c>
      <c r="AA753" s="17" t="s">
        <v>109</v>
      </c>
      <c r="AT753" s="17" t="s">
        <v>2975</v>
      </c>
      <c r="AU753" s="17" t="s">
        <v>76</v>
      </c>
      <c r="AX753" s="15">
        <v>46076.0</v>
      </c>
      <c r="AY753" s="16">
        <v>0.6666666666642413</v>
      </c>
      <c r="AZ753" s="17" t="s">
        <v>115</v>
      </c>
      <c r="BA753" s="17" t="s">
        <v>458</v>
      </c>
      <c r="BB753" s="17" t="s">
        <v>109</v>
      </c>
      <c r="BP753" s="17" t="s">
        <v>2976</v>
      </c>
      <c r="BR753" s="24" t="str">
        <f t="shared" si="1"/>
        <v>Agra sweets</v>
      </c>
    </row>
    <row r="754" ht="22.5" customHeight="1">
      <c r="A754" s="14">
        <v>46074.539579131946</v>
      </c>
      <c r="B754" s="15">
        <v>46074.0</v>
      </c>
      <c r="C754" s="16">
        <v>0.5</v>
      </c>
      <c r="U754" s="17" t="s">
        <v>2977</v>
      </c>
      <c r="V754" s="17" t="s">
        <v>769</v>
      </c>
      <c r="W754" s="17" t="s">
        <v>769</v>
      </c>
      <c r="AA754" s="17" t="s">
        <v>109</v>
      </c>
      <c r="AT754" s="17" t="s">
        <v>2978</v>
      </c>
      <c r="AU754" s="17" t="s">
        <v>76</v>
      </c>
      <c r="AX754" s="15">
        <v>46074.0</v>
      </c>
      <c r="AY754" s="16">
        <v>0.7916666666642413</v>
      </c>
      <c r="AZ754" s="17" t="s">
        <v>115</v>
      </c>
      <c r="BA754" s="17" t="s">
        <v>458</v>
      </c>
      <c r="BB754" s="17" t="s">
        <v>109</v>
      </c>
      <c r="BP754" s="17" t="s">
        <v>2979</v>
      </c>
      <c r="BR754" s="24" t="str">
        <f t="shared" si="1"/>
        <v>Sainadh tiffins</v>
      </c>
    </row>
    <row r="755" ht="22.5" customHeight="1">
      <c r="A755" s="14">
        <v>46074.54037902778</v>
      </c>
      <c r="B755" s="15">
        <v>46074.0</v>
      </c>
      <c r="C755" s="16">
        <v>0.5</v>
      </c>
      <c r="U755" s="17" t="s">
        <v>769</v>
      </c>
      <c r="V755" s="17" t="s">
        <v>769</v>
      </c>
      <c r="W755" s="17" t="s">
        <v>769</v>
      </c>
      <c r="AA755" s="17" t="s">
        <v>109</v>
      </c>
      <c r="AT755" s="17" t="s">
        <v>2980</v>
      </c>
      <c r="AU755" s="17" t="s">
        <v>76</v>
      </c>
      <c r="AZ755" s="17" t="s">
        <v>115</v>
      </c>
      <c r="BA755" s="17" t="s">
        <v>458</v>
      </c>
      <c r="BB755" s="17" t="s">
        <v>109</v>
      </c>
      <c r="BP755" s="17" t="s">
        <v>2981</v>
      </c>
      <c r="BR755" s="24" t="str">
        <f t="shared" si="1"/>
        <v>Olive mithai </v>
      </c>
    </row>
    <row r="756" ht="22.5" customHeight="1">
      <c r="A756" s="14">
        <v>46074.57072880787</v>
      </c>
      <c r="B756" s="15">
        <v>46074.0</v>
      </c>
      <c r="C756" s="16">
        <v>0.5</v>
      </c>
      <c r="D756" s="17" t="s">
        <v>91</v>
      </c>
      <c r="F756" s="17">
        <v>70.0</v>
      </c>
      <c r="G756" s="17">
        <v>400.0</v>
      </c>
      <c r="H756" s="17" t="s">
        <v>509</v>
      </c>
      <c r="I756" s="17">
        <v>50000.0</v>
      </c>
      <c r="J756" s="17" t="s">
        <v>94</v>
      </c>
      <c r="K756" s="17" t="s">
        <v>515</v>
      </c>
      <c r="N756" s="17">
        <v>2.0</v>
      </c>
      <c r="O756" s="17" t="s">
        <v>96</v>
      </c>
      <c r="P756" s="17" t="s">
        <v>109</v>
      </c>
      <c r="Q756" s="17" t="s">
        <v>97</v>
      </c>
      <c r="R756" s="17" t="s">
        <v>76</v>
      </c>
      <c r="S756" s="18" t="s">
        <v>2982</v>
      </c>
      <c r="U756" s="17" t="s">
        <v>2983</v>
      </c>
      <c r="V756" s="17">
        <v>9.989981294E9</v>
      </c>
      <c r="W756" s="17" t="s">
        <v>2984</v>
      </c>
      <c r="AA756" s="17" t="s">
        <v>76</v>
      </c>
      <c r="AB756" s="17">
        <v>2.3624032003078E13</v>
      </c>
      <c r="AC756" s="18" t="s">
        <v>2985</v>
      </c>
      <c r="AF756" s="17" t="s">
        <v>2986</v>
      </c>
      <c r="AG756" s="18" t="s">
        <v>2987</v>
      </c>
      <c r="AK756" s="18" t="s">
        <v>2988</v>
      </c>
      <c r="AL756" s="17" t="s">
        <v>2989</v>
      </c>
      <c r="AM756" s="17" t="s">
        <v>2990</v>
      </c>
      <c r="AN756" s="17" t="s">
        <v>2991</v>
      </c>
      <c r="AS756" s="17" t="s">
        <v>76</v>
      </c>
      <c r="AT756" s="17" t="s">
        <v>388</v>
      </c>
      <c r="AU756" s="17" t="s">
        <v>109</v>
      </c>
      <c r="AZ756" s="17" t="s">
        <v>151</v>
      </c>
      <c r="BA756" s="17" t="s">
        <v>458</v>
      </c>
      <c r="BB756" s="17" t="s">
        <v>76</v>
      </c>
      <c r="BH756" s="17">
        <v>17.0</v>
      </c>
      <c r="BI756" s="17" t="s">
        <v>76</v>
      </c>
      <c r="BJ756" s="16">
        <v>0.45833333333575865</v>
      </c>
      <c r="BK756" s="16">
        <v>0.9993055555532919</v>
      </c>
      <c r="BL756" s="17">
        <v>100.0</v>
      </c>
      <c r="BM756" s="17" t="s">
        <v>2992</v>
      </c>
      <c r="BN756" s="17" t="s">
        <v>2993</v>
      </c>
      <c r="BP756" s="17" t="s">
        <v>2994</v>
      </c>
      <c r="BR756" s="24" t="str">
        <f t="shared" si="1"/>
        <v>Srinivasa mixture hub</v>
      </c>
    </row>
    <row r="757" ht="22.5" customHeight="1">
      <c r="A757" s="14">
        <v>46074.61797140047</v>
      </c>
      <c r="B757" s="15">
        <v>46074.0</v>
      </c>
      <c r="C757" s="16">
        <v>0.5625</v>
      </c>
      <c r="U757" s="17" t="s">
        <v>769</v>
      </c>
      <c r="V757" s="17">
        <v>9.1600061E9</v>
      </c>
      <c r="W757" s="17" t="s">
        <v>769</v>
      </c>
      <c r="AA757" s="17" t="s">
        <v>109</v>
      </c>
      <c r="AT757" s="17" t="s">
        <v>2995</v>
      </c>
      <c r="AU757" s="17" t="s">
        <v>76</v>
      </c>
      <c r="AZ757" s="17" t="s">
        <v>115</v>
      </c>
      <c r="BA757" s="17" t="s">
        <v>458</v>
      </c>
      <c r="BB757" s="17" t="s">
        <v>109</v>
      </c>
      <c r="BP757" s="17" t="s">
        <v>2996</v>
      </c>
      <c r="BR757" s="24" t="str">
        <f t="shared" si="1"/>
        <v>Big byte </v>
      </c>
    </row>
    <row r="758" ht="22.5" customHeight="1">
      <c r="A758" s="14">
        <v>46074.62035726852</v>
      </c>
      <c r="B758" s="15">
        <v>46074.0</v>
      </c>
      <c r="C758" s="16">
        <v>0.5625</v>
      </c>
      <c r="U758" s="17" t="s">
        <v>769</v>
      </c>
      <c r="V758" s="17" t="s">
        <v>769</v>
      </c>
      <c r="W758" s="17" t="s">
        <v>769</v>
      </c>
      <c r="AA758" s="17" t="s">
        <v>109</v>
      </c>
      <c r="AT758" s="17" t="s">
        <v>2997</v>
      </c>
      <c r="AU758" s="17" t="s">
        <v>76</v>
      </c>
      <c r="AX758" s="15">
        <v>46074.0</v>
      </c>
      <c r="AY758" s="16">
        <v>0.75</v>
      </c>
      <c r="AZ758" s="17" t="s">
        <v>115</v>
      </c>
      <c r="BA758" s="17" t="s">
        <v>458</v>
      </c>
      <c r="BB758" s="17" t="s">
        <v>109</v>
      </c>
      <c r="BP758" s="17" t="s">
        <v>2998</v>
      </c>
      <c r="BR758" s="24" t="str">
        <f t="shared" si="1"/>
        <v>Parnasala kitchen</v>
      </c>
    </row>
    <row r="759" ht="22.5" customHeight="1">
      <c r="A759" s="14">
        <v>46074.621032986106</v>
      </c>
      <c r="B759" s="15">
        <v>46074.0</v>
      </c>
      <c r="C759" s="16">
        <v>0.5625</v>
      </c>
      <c r="U759" s="17" t="s">
        <v>2999</v>
      </c>
      <c r="V759" s="17">
        <v>9.912104569E9</v>
      </c>
      <c r="W759" s="17" t="s">
        <v>769</v>
      </c>
      <c r="AA759" s="17" t="s">
        <v>109</v>
      </c>
      <c r="AT759" s="17" t="s">
        <v>3000</v>
      </c>
      <c r="AU759" s="17" t="s">
        <v>76</v>
      </c>
      <c r="AX759" s="15">
        <v>46074.0</v>
      </c>
      <c r="AY759" s="16">
        <v>0.8333333333357587</v>
      </c>
      <c r="AZ759" s="17" t="s">
        <v>115</v>
      </c>
      <c r="BA759" s="17" t="s">
        <v>458</v>
      </c>
      <c r="BB759" s="17" t="s">
        <v>109</v>
      </c>
      <c r="BP759" s="17" t="s">
        <v>3001</v>
      </c>
      <c r="BR759" s="24" t="str">
        <f t="shared" si="1"/>
        <v>Rayudu hotels</v>
      </c>
    </row>
    <row r="760" ht="22.5" customHeight="1">
      <c r="A760" s="14">
        <v>46074.62297353009</v>
      </c>
      <c r="B760" s="15">
        <v>46074.0</v>
      </c>
      <c r="C760" s="16">
        <v>0.5625</v>
      </c>
      <c r="U760" s="17" t="s">
        <v>3002</v>
      </c>
      <c r="V760" s="17">
        <v>9.000003851E9</v>
      </c>
      <c r="W760" s="17" t="s">
        <v>769</v>
      </c>
      <c r="AA760" s="17" t="s">
        <v>109</v>
      </c>
      <c r="AT760" s="17" t="s">
        <v>3003</v>
      </c>
      <c r="AU760" s="17" t="s">
        <v>76</v>
      </c>
      <c r="AX760" s="15">
        <v>46076.0</v>
      </c>
      <c r="AY760" s="16">
        <v>0.5833333333357587</v>
      </c>
      <c r="AZ760" s="17" t="s">
        <v>115</v>
      </c>
      <c r="BA760" s="17" t="s">
        <v>458</v>
      </c>
      <c r="BB760" s="17" t="s">
        <v>109</v>
      </c>
      <c r="BP760" s="17" t="s">
        <v>3004</v>
      </c>
      <c r="BR760" s="24" t="str">
        <f t="shared" si="1"/>
        <v>Subbayamma foods </v>
      </c>
    </row>
    <row r="761" ht="22.5" customHeight="1">
      <c r="A761" s="14">
        <v>46074.62451214121</v>
      </c>
      <c r="B761" s="15">
        <v>46074.0</v>
      </c>
      <c r="C761" s="16">
        <v>0.5625</v>
      </c>
      <c r="U761" s="17" t="s">
        <v>769</v>
      </c>
      <c r="V761" s="17">
        <v>9.885649456E9</v>
      </c>
      <c r="W761" s="17" t="s">
        <v>769</v>
      </c>
      <c r="AA761" s="17" t="s">
        <v>109</v>
      </c>
      <c r="AT761" s="17" t="s">
        <v>3005</v>
      </c>
      <c r="AU761" s="17" t="s">
        <v>76</v>
      </c>
      <c r="AX761" s="15">
        <v>46076.0</v>
      </c>
      <c r="AY761" s="16">
        <v>0.45833333333575865</v>
      </c>
      <c r="AZ761" s="17" t="s">
        <v>115</v>
      </c>
      <c r="BA761" s="17" t="s">
        <v>458</v>
      </c>
      <c r="BB761" s="17" t="s">
        <v>109</v>
      </c>
      <c r="BP761" s="17" t="s">
        <v>3006</v>
      </c>
      <c r="BR761" s="24" t="str">
        <f t="shared" si="1"/>
        <v>Maa oori vanta </v>
      </c>
    </row>
    <row r="762" ht="22.5" customHeight="1">
      <c r="A762" s="14">
        <v>46074.6260865625</v>
      </c>
      <c r="B762" s="15">
        <v>46074.0</v>
      </c>
      <c r="C762" s="16">
        <v>0.5625</v>
      </c>
      <c r="U762" s="17" t="s">
        <v>769</v>
      </c>
      <c r="V762" s="17">
        <v>6.304208062E9</v>
      </c>
      <c r="W762" s="17" t="s">
        <v>769</v>
      </c>
      <c r="AA762" s="17" t="s">
        <v>109</v>
      </c>
      <c r="AT762" s="17" t="s">
        <v>3007</v>
      </c>
      <c r="AU762" s="17" t="s">
        <v>76</v>
      </c>
      <c r="AX762" s="15">
        <v>46076.0</v>
      </c>
      <c r="AY762" s="16">
        <v>0.625</v>
      </c>
      <c r="AZ762" s="17" t="s">
        <v>115</v>
      </c>
      <c r="BA762" s="17" t="s">
        <v>458</v>
      </c>
      <c r="BB762" s="17" t="s">
        <v>109</v>
      </c>
      <c r="BP762" s="17" t="s">
        <v>2996</v>
      </c>
      <c r="BR762" s="24" t="str">
        <f t="shared" si="1"/>
        <v>Big byte </v>
      </c>
    </row>
    <row r="763" ht="22.5" customHeight="1">
      <c r="A763" s="14">
        <v>46074.661782650466</v>
      </c>
      <c r="B763" s="15">
        <v>46074.0</v>
      </c>
      <c r="C763" s="16">
        <v>0.39583333333575865</v>
      </c>
      <c r="D763" s="17" t="s">
        <v>111</v>
      </c>
      <c r="T763" s="17" t="s">
        <v>388</v>
      </c>
      <c r="U763" s="17" t="s">
        <v>752</v>
      </c>
      <c r="V763" s="17" t="s">
        <v>388</v>
      </c>
      <c r="W763" s="17" t="s">
        <v>388</v>
      </c>
      <c r="AA763" s="17" t="s">
        <v>109</v>
      </c>
      <c r="AT763" s="17" t="s">
        <v>3008</v>
      </c>
      <c r="AU763" s="17" t="s">
        <v>76</v>
      </c>
      <c r="AV763" s="17" t="s">
        <v>373</v>
      </c>
      <c r="AX763" s="15">
        <v>46075.0</v>
      </c>
      <c r="AY763" s="16">
        <v>0.10416666666424135</v>
      </c>
      <c r="AZ763" s="17" t="s">
        <v>151</v>
      </c>
      <c r="BA763" s="17" t="s">
        <v>491</v>
      </c>
      <c r="BP763" s="17" t="s">
        <v>3009</v>
      </c>
      <c r="BR763" s="24" t="str">
        <f t="shared" si="1"/>
        <v>Vasistas  sri lakshmiNa</v>
      </c>
    </row>
    <row r="764" ht="22.5" customHeight="1">
      <c r="A764" s="14">
        <v>46074.66293840278</v>
      </c>
      <c r="B764" s="15">
        <v>46074.0</v>
      </c>
      <c r="C764" s="16">
        <v>0.5</v>
      </c>
      <c r="U764" s="17" t="s">
        <v>2121</v>
      </c>
      <c r="V764" s="17">
        <v>9.654295135E9</v>
      </c>
      <c r="W764" s="17" t="s">
        <v>388</v>
      </c>
      <c r="AA764" s="17" t="s">
        <v>109</v>
      </c>
      <c r="AT764" s="17" t="s">
        <v>3010</v>
      </c>
      <c r="AU764" s="17" t="s">
        <v>76</v>
      </c>
      <c r="AV764" s="17" t="s">
        <v>472</v>
      </c>
      <c r="AX764" s="15">
        <v>46077.0</v>
      </c>
      <c r="AY764" s="16">
        <v>0.40972222221898846</v>
      </c>
      <c r="AZ764" s="17" t="s">
        <v>151</v>
      </c>
      <c r="BA764" s="17" t="s">
        <v>458</v>
      </c>
      <c r="BB764" s="17" t="s">
        <v>109</v>
      </c>
      <c r="BP764" s="17" t="s">
        <v>3011</v>
      </c>
      <c r="BR764" s="24" t="str">
        <f t="shared" si="1"/>
        <v>Pind to play </v>
      </c>
    </row>
    <row r="765" ht="22.5" customHeight="1">
      <c r="A765" s="14">
        <v>46074.67238024306</v>
      </c>
      <c r="B765" s="15">
        <v>46074.0</v>
      </c>
      <c r="C765" s="16">
        <v>0.04166666666424135</v>
      </c>
      <c r="D765" s="17" t="s">
        <v>91</v>
      </c>
      <c r="F765" s="17">
        <v>300.0</v>
      </c>
      <c r="G765" s="17">
        <v>5000.0</v>
      </c>
      <c r="H765" s="17" t="s">
        <v>113</v>
      </c>
      <c r="J765" s="17" t="s">
        <v>167</v>
      </c>
      <c r="K765" s="17" t="s">
        <v>134</v>
      </c>
      <c r="N765" s="17">
        <v>1.0</v>
      </c>
      <c r="O765" s="17" t="s">
        <v>96</v>
      </c>
      <c r="P765" s="17" t="s">
        <v>76</v>
      </c>
      <c r="Q765" s="17" t="s">
        <v>97</v>
      </c>
      <c r="R765" s="17" t="s">
        <v>76</v>
      </c>
      <c r="S765" s="17" t="s">
        <v>113</v>
      </c>
      <c r="U765" s="17" t="s">
        <v>3012</v>
      </c>
      <c r="V765" s="17">
        <v>9.14067331122E11</v>
      </c>
      <c r="W765" s="17" t="s">
        <v>3013</v>
      </c>
      <c r="AA765" s="17" t="s">
        <v>109</v>
      </c>
      <c r="AT765" s="17" t="s">
        <v>3014</v>
      </c>
      <c r="AU765" s="17" t="s">
        <v>76</v>
      </c>
      <c r="AV765" s="17" t="s">
        <v>472</v>
      </c>
      <c r="AZ765" s="17" t="s">
        <v>539</v>
      </c>
      <c r="BA765" s="17" t="s">
        <v>458</v>
      </c>
      <c r="BB765" s="17" t="s">
        <v>76</v>
      </c>
      <c r="BN765" s="17" t="s">
        <v>1537</v>
      </c>
      <c r="BP765" s="17" t="s">
        <v>3015</v>
      </c>
      <c r="BR765" s="24" t="str">
        <f t="shared" si="1"/>
        <v>radisson (chillis)</v>
      </c>
    </row>
    <row r="766" ht="22.5" customHeight="1">
      <c r="A766" s="14">
        <v>46074.674065694446</v>
      </c>
      <c r="B766" s="15">
        <v>46074.0</v>
      </c>
      <c r="C766" s="16">
        <v>0.07083333333139308</v>
      </c>
      <c r="D766" s="17" t="s">
        <v>91</v>
      </c>
      <c r="F766" s="17">
        <v>25.0</v>
      </c>
      <c r="G766" s="17">
        <v>800.0</v>
      </c>
      <c r="H766" s="17" t="s">
        <v>113</v>
      </c>
      <c r="J766" s="17" t="s">
        <v>167</v>
      </c>
      <c r="K766" s="17" t="s">
        <v>134</v>
      </c>
      <c r="N766" s="17">
        <v>14.0</v>
      </c>
      <c r="O766" s="17" t="s">
        <v>96</v>
      </c>
      <c r="P766" s="17" t="s">
        <v>76</v>
      </c>
      <c r="Q766" s="17" t="s">
        <v>97</v>
      </c>
      <c r="R766" s="17" t="s">
        <v>76</v>
      </c>
      <c r="S766" s="17" t="s">
        <v>113</v>
      </c>
      <c r="U766" s="17" t="s">
        <v>3016</v>
      </c>
      <c r="V766" s="17">
        <v>8.374223982E9</v>
      </c>
      <c r="W766" s="17" t="s">
        <v>113</v>
      </c>
      <c r="AA766" s="17" t="s">
        <v>109</v>
      </c>
      <c r="AT766" s="17" t="s">
        <v>3017</v>
      </c>
      <c r="AU766" s="17" t="s">
        <v>76</v>
      </c>
      <c r="AZ766" s="17" t="s">
        <v>539</v>
      </c>
      <c r="BA766" s="17" t="s">
        <v>458</v>
      </c>
      <c r="BB766" s="17" t="s">
        <v>76</v>
      </c>
      <c r="BN766" s="17" t="s">
        <v>1537</v>
      </c>
      <c r="BP766" s="17" t="s">
        <v>3018</v>
      </c>
      <c r="BR766" s="24" t="str">
        <f t="shared" si="1"/>
        <v>parampara</v>
      </c>
    </row>
    <row r="767" ht="22.5" customHeight="1">
      <c r="A767" s="14">
        <v>46074.67480875</v>
      </c>
      <c r="B767" s="15">
        <v>46074.0</v>
      </c>
      <c r="C767" s="16">
        <v>0.09652777777955635</v>
      </c>
      <c r="U767" s="17" t="s">
        <v>113</v>
      </c>
      <c r="V767" s="17" t="s">
        <v>113</v>
      </c>
      <c r="W767" s="17" t="s">
        <v>113</v>
      </c>
      <c r="AA767" s="17" t="s">
        <v>109</v>
      </c>
      <c r="AT767" s="17" t="s">
        <v>3019</v>
      </c>
      <c r="AU767" s="17" t="s">
        <v>109</v>
      </c>
      <c r="AZ767" s="17" t="s">
        <v>539</v>
      </c>
      <c r="BA767" s="17" t="s">
        <v>458</v>
      </c>
      <c r="BB767" s="17" t="s">
        <v>109</v>
      </c>
      <c r="BP767" s="17" t="s">
        <v>3020</v>
      </c>
      <c r="BR767" s="24" t="str">
        <f t="shared" si="1"/>
        <v>third wave coffee</v>
      </c>
    </row>
    <row r="768" ht="22.5" customHeight="1">
      <c r="A768" s="14">
        <v>46074.67609678241</v>
      </c>
      <c r="B768" s="15">
        <v>46074.0</v>
      </c>
      <c r="C768" s="16">
        <v>0.11111111110949423</v>
      </c>
      <c r="D768" s="17" t="s">
        <v>111</v>
      </c>
      <c r="T768" s="17" t="s">
        <v>3021</v>
      </c>
      <c r="U768" s="17" t="s">
        <v>3022</v>
      </c>
      <c r="V768" s="17">
        <v>9.959968514E9</v>
      </c>
      <c r="W768" s="17" t="s">
        <v>113</v>
      </c>
      <c r="X768" s="17" t="s">
        <v>3023</v>
      </c>
      <c r="Y768" s="17">
        <v>8.978211625E9</v>
      </c>
      <c r="AA768" s="17" t="s">
        <v>109</v>
      </c>
      <c r="AT768" s="17" t="s">
        <v>3024</v>
      </c>
      <c r="AU768" s="17" t="s">
        <v>76</v>
      </c>
      <c r="AV768" s="17" t="s">
        <v>472</v>
      </c>
      <c r="AZ768" s="17" t="s">
        <v>539</v>
      </c>
      <c r="BA768" s="17" t="s">
        <v>458</v>
      </c>
      <c r="BB768" s="17" t="s">
        <v>76</v>
      </c>
      <c r="BP768" s="17" t="s">
        <v>3025</v>
      </c>
      <c r="BR768" s="24" t="str">
        <f t="shared" si="1"/>
        <v>chaitanya food court chaitanya food court</v>
      </c>
    </row>
    <row r="769" ht="22.5" customHeight="1">
      <c r="A769" s="14">
        <v>46074.67709783565</v>
      </c>
      <c r="B769" s="15">
        <v>46074.0</v>
      </c>
      <c r="C769" s="16">
        <v>0.1368055555576575</v>
      </c>
      <c r="U769" s="17" t="s">
        <v>113</v>
      </c>
      <c r="V769" s="17" t="s">
        <v>113</v>
      </c>
      <c r="W769" s="17" t="s">
        <v>113</v>
      </c>
      <c r="AA769" s="17" t="s">
        <v>109</v>
      </c>
      <c r="AT769" s="17" t="s">
        <v>3026</v>
      </c>
      <c r="AU769" s="17" t="s">
        <v>76</v>
      </c>
      <c r="AZ769" s="17" t="s">
        <v>539</v>
      </c>
      <c r="BA769" s="17" t="s">
        <v>458</v>
      </c>
      <c r="BB769" s="17" t="s">
        <v>109</v>
      </c>
      <c r="BP769" s="17" t="s">
        <v>3027</v>
      </c>
      <c r="BR769" s="24" t="str">
        <f t="shared" si="1"/>
        <v>hummus house</v>
      </c>
    </row>
    <row r="770" ht="22.5" customHeight="1">
      <c r="A770" s="14">
        <v>46074.69039265046</v>
      </c>
      <c r="B770" s="15">
        <v>46074.0</v>
      </c>
      <c r="C770" s="16">
        <v>0.1875</v>
      </c>
      <c r="D770" s="17" t="s">
        <v>91</v>
      </c>
      <c r="F770" s="17">
        <v>50.0</v>
      </c>
      <c r="G770" s="17">
        <v>200.0</v>
      </c>
      <c r="H770" s="17" t="s">
        <v>388</v>
      </c>
      <c r="I770" s="17">
        <v>20000.0</v>
      </c>
      <c r="J770" s="17" t="s">
        <v>221</v>
      </c>
      <c r="K770" s="17" t="s">
        <v>134</v>
      </c>
      <c r="N770" s="17">
        <v>1.0</v>
      </c>
      <c r="O770" s="17" t="s">
        <v>96</v>
      </c>
      <c r="P770" s="17" t="s">
        <v>109</v>
      </c>
      <c r="Q770" s="17" t="s">
        <v>97</v>
      </c>
      <c r="R770" s="17" t="s">
        <v>109</v>
      </c>
      <c r="S770" s="18" t="s">
        <v>3028</v>
      </c>
      <c r="U770" s="17" t="s">
        <v>782</v>
      </c>
      <c r="V770" s="17">
        <v>7.681877271E9</v>
      </c>
      <c r="W770" s="17" t="s">
        <v>388</v>
      </c>
      <c r="AA770" s="17" t="s">
        <v>109</v>
      </c>
      <c r="AT770" s="17" t="s">
        <v>388</v>
      </c>
      <c r="AU770" s="17" t="s">
        <v>76</v>
      </c>
      <c r="AX770" s="15">
        <v>46074.0</v>
      </c>
      <c r="AY770" s="16">
        <v>0.24305555555474712</v>
      </c>
      <c r="AZ770" s="17" t="s">
        <v>151</v>
      </c>
      <c r="BA770" s="17" t="s">
        <v>458</v>
      </c>
      <c r="BB770" s="17" t="s">
        <v>76</v>
      </c>
      <c r="BN770" s="17" t="s">
        <v>3029</v>
      </c>
      <c r="BP770" s="17" t="s">
        <v>3030</v>
      </c>
      <c r="BR770" s="24" t="str">
        <f t="shared" si="1"/>
        <v>Borasted chicken shawarma </v>
      </c>
    </row>
    <row r="771" ht="22.5" customHeight="1">
      <c r="A771" s="14">
        <v>46074.69331021991</v>
      </c>
      <c r="B771" s="15">
        <v>46074.0</v>
      </c>
      <c r="C771" s="16">
        <v>0.5284722222204437</v>
      </c>
      <c r="U771" s="17" t="s">
        <v>3031</v>
      </c>
      <c r="V771" s="17">
        <v>8.121685645E9</v>
      </c>
      <c r="W771" s="17" t="s">
        <v>117</v>
      </c>
      <c r="AA771" s="17" t="s">
        <v>109</v>
      </c>
      <c r="AT771" s="17" t="s">
        <v>3032</v>
      </c>
      <c r="AU771" s="17" t="s">
        <v>76</v>
      </c>
      <c r="AV771" s="17" t="s">
        <v>472</v>
      </c>
      <c r="AW771" s="17" t="s">
        <v>3033</v>
      </c>
      <c r="AX771" s="15">
        <v>46076.0</v>
      </c>
      <c r="AY771" s="16">
        <v>0.20833333333575865</v>
      </c>
      <c r="AZ771" s="17" t="s">
        <v>3034</v>
      </c>
      <c r="BA771" s="17" t="s">
        <v>458</v>
      </c>
      <c r="BB771" s="17" t="s">
        <v>109</v>
      </c>
      <c r="BP771" s="17" t="s">
        <v>3035</v>
      </c>
      <c r="BR771" s="24" t="str">
        <f t="shared" si="1"/>
        <v>Habitat</v>
      </c>
    </row>
    <row r="772" ht="22.5" customHeight="1">
      <c r="A772" s="14">
        <v>46074.6942090625</v>
      </c>
      <c r="B772" s="15">
        <v>46074.0</v>
      </c>
      <c r="C772" s="16">
        <v>0.08333333333575865</v>
      </c>
      <c r="U772" s="17" t="s">
        <v>3036</v>
      </c>
      <c r="V772" s="17" t="s">
        <v>388</v>
      </c>
      <c r="W772" s="17" t="s">
        <v>388</v>
      </c>
      <c r="AA772" s="17" t="s">
        <v>109</v>
      </c>
      <c r="AT772" s="17" t="s">
        <v>388</v>
      </c>
      <c r="AU772" s="17" t="s">
        <v>76</v>
      </c>
      <c r="AV772" s="17" t="s">
        <v>472</v>
      </c>
      <c r="AX772" s="15">
        <v>46081.0</v>
      </c>
      <c r="AY772" s="16">
        <v>0.5208333333357587</v>
      </c>
      <c r="AZ772" s="17" t="s">
        <v>151</v>
      </c>
      <c r="BA772" s="17" t="s">
        <v>458</v>
      </c>
      <c r="BB772" s="17" t="s">
        <v>109</v>
      </c>
      <c r="BP772" s="17" t="s">
        <v>3037</v>
      </c>
      <c r="BR772" s="24" t="str">
        <f t="shared" si="1"/>
        <v>Park frankies </v>
      </c>
    </row>
    <row r="773" ht="22.5" customHeight="1">
      <c r="A773" s="14">
        <v>46074.698588009254</v>
      </c>
      <c r="B773" s="15">
        <v>46074.0</v>
      </c>
      <c r="C773" s="16">
        <v>0.04861111110949423</v>
      </c>
      <c r="D773" s="17" t="s">
        <v>91</v>
      </c>
      <c r="F773" s="17">
        <v>100.0</v>
      </c>
      <c r="G773" s="17">
        <v>500.0</v>
      </c>
      <c r="H773" s="17" t="s">
        <v>117</v>
      </c>
      <c r="I773" s="17">
        <v>15000.0</v>
      </c>
      <c r="J773" s="17" t="s">
        <v>167</v>
      </c>
      <c r="K773" s="17" t="s">
        <v>134</v>
      </c>
      <c r="M773" s="17">
        <v>22.0</v>
      </c>
      <c r="N773" s="17">
        <v>2.0</v>
      </c>
      <c r="O773" s="17" t="s">
        <v>96</v>
      </c>
      <c r="P773" s="17" t="s">
        <v>76</v>
      </c>
      <c r="Q773" s="17" t="s">
        <v>97</v>
      </c>
      <c r="R773" s="17" t="s">
        <v>76</v>
      </c>
      <c r="S773" s="17" t="s">
        <v>113</v>
      </c>
      <c r="U773" s="17" t="s">
        <v>3038</v>
      </c>
      <c r="V773" s="17">
        <v>9.032833756E9</v>
      </c>
      <c r="W773" s="17" t="s">
        <v>113</v>
      </c>
      <c r="AA773" s="17" t="s">
        <v>109</v>
      </c>
      <c r="AT773" s="17" t="s">
        <v>3039</v>
      </c>
      <c r="AU773" s="17" t="s">
        <v>109</v>
      </c>
      <c r="AV773" s="17" t="s">
        <v>271</v>
      </c>
      <c r="AW773" s="17" t="s">
        <v>3040</v>
      </c>
      <c r="AX773" s="15">
        <v>46074.0</v>
      </c>
      <c r="AZ773" s="17" t="s">
        <v>3034</v>
      </c>
      <c r="BA773" s="17" t="s">
        <v>458</v>
      </c>
      <c r="BB773" s="17" t="s">
        <v>76</v>
      </c>
      <c r="BL773" s="17">
        <v>30.0</v>
      </c>
      <c r="BN773" s="17" t="s">
        <v>3041</v>
      </c>
      <c r="BP773" s="17" t="s">
        <v>3042</v>
      </c>
      <c r="BR773" s="24" t="str">
        <f t="shared" si="1"/>
        <v>Pakka Local</v>
      </c>
    </row>
    <row r="774" ht="22.5" customHeight="1">
      <c r="A774" s="14">
        <v>46074.70132644676</v>
      </c>
      <c r="B774" s="15">
        <v>46074.0</v>
      </c>
      <c r="C774" s="16">
        <v>0.0625</v>
      </c>
      <c r="D774" s="17" t="s">
        <v>91</v>
      </c>
      <c r="F774" s="17">
        <v>100.0</v>
      </c>
      <c r="G774" s="17">
        <v>450.0</v>
      </c>
      <c r="H774" s="17" t="s">
        <v>113</v>
      </c>
      <c r="J774" s="17" t="s">
        <v>167</v>
      </c>
      <c r="K774" s="17" t="s">
        <v>134</v>
      </c>
      <c r="N774" s="17">
        <v>5.0</v>
      </c>
      <c r="O774" s="17" t="s">
        <v>96</v>
      </c>
      <c r="P774" s="17" t="s">
        <v>76</v>
      </c>
      <c r="Q774" s="17" t="s">
        <v>97</v>
      </c>
      <c r="R774" s="17" t="s">
        <v>76</v>
      </c>
      <c r="S774" s="17" t="s">
        <v>113</v>
      </c>
      <c r="U774" s="17" t="s">
        <v>113</v>
      </c>
      <c r="V774" s="17" t="s">
        <v>113</v>
      </c>
      <c r="W774" s="17" t="s">
        <v>113</v>
      </c>
      <c r="AA774" s="17" t="s">
        <v>109</v>
      </c>
      <c r="AT774" s="17" t="s">
        <v>3043</v>
      </c>
      <c r="AU774" s="17" t="s">
        <v>76</v>
      </c>
      <c r="AV774" s="17" t="s">
        <v>271</v>
      </c>
      <c r="AW774" s="17" t="s">
        <v>3044</v>
      </c>
      <c r="AX774" s="15">
        <v>46076.0</v>
      </c>
      <c r="AY774" s="16">
        <v>0.125</v>
      </c>
      <c r="AZ774" s="17" t="s">
        <v>3034</v>
      </c>
      <c r="BA774" s="17" t="s">
        <v>458</v>
      </c>
      <c r="BB774" s="17" t="s">
        <v>76</v>
      </c>
      <c r="BN774" s="17" t="s">
        <v>3041</v>
      </c>
      <c r="BP774" s="17" t="s">
        <v>3045</v>
      </c>
      <c r="BR774" s="24" t="str">
        <f t="shared" si="1"/>
        <v>Seasons Express</v>
      </c>
    </row>
    <row r="775" ht="22.5" customHeight="1">
      <c r="A775" s="14">
        <v>46074.703536064815</v>
      </c>
      <c r="B775" s="15">
        <v>46074.0</v>
      </c>
      <c r="C775" s="16">
        <v>0.07847222222335404</v>
      </c>
      <c r="D775" s="17" t="s">
        <v>91</v>
      </c>
      <c r="F775" s="17">
        <v>80.0</v>
      </c>
      <c r="G775" s="17">
        <v>500.0</v>
      </c>
      <c r="H775" s="17" t="s">
        <v>113</v>
      </c>
      <c r="J775" s="17" t="s">
        <v>167</v>
      </c>
      <c r="K775" s="17" t="s">
        <v>134</v>
      </c>
      <c r="N775" s="17">
        <v>1.0</v>
      </c>
      <c r="O775" s="17" t="s">
        <v>96</v>
      </c>
      <c r="P775" s="17" t="s">
        <v>76</v>
      </c>
      <c r="Q775" s="17" t="s">
        <v>97</v>
      </c>
      <c r="R775" s="17" t="s">
        <v>76</v>
      </c>
      <c r="S775" s="17" t="s">
        <v>113</v>
      </c>
      <c r="U775" s="17" t="s">
        <v>3046</v>
      </c>
      <c r="V775" s="17">
        <v>6.39410162E9</v>
      </c>
      <c r="W775" s="17" t="s">
        <v>113</v>
      </c>
      <c r="AA775" s="17" t="s">
        <v>109</v>
      </c>
      <c r="AT775" s="17" t="s">
        <v>3047</v>
      </c>
      <c r="AU775" s="17" t="s">
        <v>76</v>
      </c>
      <c r="AV775" s="17" t="s">
        <v>271</v>
      </c>
      <c r="AW775" s="17" t="s">
        <v>3048</v>
      </c>
      <c r="AX775" s="15">
        <v>46109.0</v>
      </c>
      <c r="AY775" s="16">
        <v>0.125</v>
      </c>
      <c r="AZ775" s="17" t="s">
        <v>3034</v>
      </c>
      <c r="BA775" s="17" t="s">
        <v>458</v>
      </c>
      <c r="BB775" s="17" t="s">
        <v>76</v>
      </c>
      <c r="BN775" s="17" t="s">
        <v>3041</v>
      </c>
      <c r="BP775" s="17" t="s">
        <v>3049</v>
      </c>
      <c r="BR775" s="24" t="str">
        <f t="shared" si="1"/>
        <v>Dine Hill</v>
      </c>
    </row>
    <row r="776" ht="22.5" customHeight="1">
      <c r="A776" s="14">
        <v>46074.707241261574</v>
      </c>
      <c r="B776" s="15">
        <v>46074.0</v>
      </c>
      <c r="C776" s="16">
        <v>0.09236111110658385</v>
      </c>
      <c r="D776" s="17" t="s">
        <v>91</v>
      </c>
      <c r="F776" s="17">
        <v>100.0</v>
      </c>
      <c r="G776" s="17">
        <v>500.0</v>
      </c>
      <c r="H776" s="17" t="s">
        <v>113</v>
      </c>
      <c r="J776" s="17" t="s">
        <v>167</v>
      </c>
      <c r="K776" s="17" t="s">
        <v>134</v>
      </c>
      <c r="N776" s="17">
        <v>1.0</v>
      </c>
      <c r="O776" s="17" t="s">
        <v>135</v>
      </c>
      <c r="P776" s="17" t="s">
        <v>76</v>
      </c>
      <c r="Q776" s="17" t="s">
        <v>97</v>
      </c>
      <c r="R776" s="17" t="s">
        <v>76</v>
      </c>
      <c r="S776" s="17" t="s">
        <v>113</v>
      </c>
      <c r="U776" s="17" t="s">
        <v>113</v>
      </c>
      <c r="V776" s="17">
        <v>9.014113139E9</v>
      </c>
      <c r="W776" s="17" t="s">
        <v>3050</v>
      </c>
      <c r="AA776" s="17" t="s">
        <v>109</v>
      </c>
      <c r="AT776" s="17" t="s">
        <v>3051</v>
      </c>
      <c r="AU776" s="17" t="s">
        <v>76</v>
      </c>
      <c r="AV776" s="17" t="s">
        <v>271</v>
      </c>
      <c r="AW776" s="17" t="s">
        <v>3052</v>
      </c>
      <c r="AX776" s="15">
        <v>46081.0</v>
      </c>
      <c r="AY776" s="16">
        <v>0.16666666666424135</v>
      </c>
      <c r="AZ776" s="17" t="s">
        <v>3034</v>
      </c>
      <c r="BA776" s="17" t="s">
        <v>458</v>
      </c>
      <c r="BB776" s="17" t="s">
        <v>76</v>
      </c>
      <c r="BN776" s="17" t="s">
        <v>3041</v>
      </c>
      <c r="BP776" s="17" t="s">
        <v>3053</v>
      </c>
      <c r="BR776" s="24" t="str">
        <f t="shared" si="1"/>
        <v>Exotica</v>
      </c>
    </row>
    <row r="777" ht="22.5" customHeight="1">
      <c r="A777" s="14">
        <v>46074.71019806713</v>
      </c>
      <c r="B777" s="15">
        <v>46074.0</v>
      </c>
      <c r="C777" s="16">
        <v>0.10416666666424135</v>
      </c>
      <c r="D777" s="17" t="s">
        <v>91</v>
      </c>
      <c r="F777" s="17">
        <v>50.0</v>
      </c>
      <c r="G777" s="17">
        <v>300.0</v>
      </c>
      <c r="H777" s="17" t="s">
        <v>388</v>
      </c>
      <c r="I777" s="17">
        <v>40000.0</v>
      </c>
      <c r="J777" s="17" t="s">
        <v>94</v>
      </c>
      <c r="K777" s="17" t="s">
        <v>134</v>
      </c>
      <c r="N777" s="17">
        <v>2.0</v>
      </c>
      <c r="O777" s="17" t="s">
        <v>135</v>
      </c>
      <c r="P777" s="17" t="s">
        <v>109</v>
      </c>
      <c r="Q777" s="17" t="s">
        <v>97</v>
      </c>
      <c r="R777" s="17" t="s">
        <v>109</v>
      </c>
      <c r="S777" s="18" t="s">
        <v>3054</v>
      </c>
      <c r="U777" s="17" t="s">
        <v>1623</v>
      </c>
      <c r="V777" s="17">
        <v>6.30370215E9</v>
      </c>
      <c r="W777" s="17" t="s">
        <v>3055</v>
      </c>
      <c r="AA777" s="17" t="s">
        <v>76</v>
      </c>
      <c r="AB777" s="17">
        <v>2.3625032006946E13</v>
      </c>
      <c r="AC777" s="18" t="s">
        <v>3056</v>
      </c>
      <c r="AF777" s="17" t="s">
        <v>3057</v>
      </c>
      <c r="AG777" s="18" t="s">
        <v>3058</v>
      </c>
      <c r="AK777" s="18" t="s">
        <v>3059</v>
      </c>
      <c r="AL777" s="17">
        <v>1.86303070215E12</v>
      </c>
      <c r="AM777" s="17" t="s">
        <v>3060</v>
      </c>
      <c r="AN777" s="17" t="s">
        <v>3061</v>
      </c>
      <c r="AS777" s="17" t="s">
        <v>76</v>
      </c>
      <c r="AT777" s="17" t="s">
        <v>388</v>
      </c>
      <c r="AU777" s="17" t="s">
        <v>109</v>
      </c>
      <c r="AZ777" s="17" t="s">
        <v>151</v>
      </c>
      <c r="BA777" s="17" t="s">
        <v>458</v>
      </c>
      <c r="BB777" s="17" t="s">
        <v>76</v>
      </c>
      <c r="BH777" s="17">
        <v>20.0</v>
      </c>
      <c r="BI777" s="17" t="s">
        <v>76</v>
      </c>
      <c r="BJ777" s="16">
        <v>0.08333333333575865</v>
      </c>
      <c r="BK777" s="16">
        <v>0.9993055555532919</v>
      </c>
      <c r="BL777" s="17">
        <v>100.0</v>
      </c>
      <c r="BM777" s="17" t="s">
        <v>3062</v>
      </c>
      <c r="BN777" s="17" t="s">
        <v>3062</v>
      </c>
      <c r="BP777" s="17" t="s">
        <v>3063</v>
      </c>
      <c r="BR777" s="24" t="str">
        <f t="shared" si="1"/>
        <v>Sravanam 4am biryani</v>
      </c>
    </row>
    <row r="778" ht="22.5" customHeight="1">
      <c r="A778" s="14">
        <v>46074.71110084491</v>
      </c>
      <c r="B778" s="15">
        <v>46074.0</v>
      </c>
      <c r="C778" s="16">
        <v>0.11875000000145519</v>
      </c>
      <c r="D778" s="17" t="s">
        <v>91</v>
      </c>
      <c r="F778" s="17">
        <v>40.0</v>
      </c>
      <c r="G778" s="17">
        <v>350.0</v>
      </c>
      <c r="H778" s="17" t="s">
        <v>113</v>
      </c>
      <c r="J778" s="17" t="s">
        <v>94</v>
      </c>
      <c r="K778" s="17" t="s">
        <v>134</v>
      </c>
      <c r="N778" s="17">
        <v>1.0</v>
      </c>
      <c r="O778" s="17" t="s">
        <v>96</v>
      </c>
      <c r="P778" s="17" t="s">
        <v>76</v>
      </c>
      <c r="Q778" s="17" t="s">
        <v>97</v>
      </c>
      <c r="R778" s="17" t="s">
        <v>76</v>
      </c>
      <c r="S778" s="17" t="s">
        <v>113</v>
      </c>
      <c r="U778" s="17" t="s">
        <v>113</v>
      </c>
      <c r="V778" s="17" t="s">
        <v>113</v>
      </c>
      <c r="W778" s="17" t="s">
        <v>3064</v>
      </c>
      <c r="AA778" s="17" t="s">
        <v>109</v>
      </c>
      <c r="AT778" s="17" t="s">
        <v>3065</v>
      </c>
      <c r="AU778" s="17" t="s">
        <v>76</v>
      </c>
      <c r="AV778" s="17" t="s">
        <v>271</v>
      </c>
      <c r="AW778" s="17" t="s">
        <v>3066</v>
      </c>
      <c r="AZ778" s="17" t="s">
        <v>3034</v>
      </c>
      <c r="BA778" s="17" t="s">
        <v>458</v>
      </c>
      <c r="BB778" s="17" t="s">
        <v>76</v>
      </c>
      <c r="BN778" s="17" t="s">
        <v>3041</v>
      </c>
      <c r="BP778" s="17" t="s">
        <v>3067</v>
      </c>
      <c r="BR778" s="24" t="str">
        <f t="shared" si="1"/>
        <v>manam chocolate</v>
      </c>
    </row>
    <row r="779" ht="22.5" customHeight="1">
      <c r="A779" s="14">
        <v>46074.7141887037</v>
      </c>
      <c r="B779" s="15">
        <v>46066.0</v>
      </c>
      <c r="C779" s="16">
        <v>0.6451388888890506</v>
      </c>
      <c r="U779" s="17" t="s">
        <v>3068</v>
      </c>
      <c r="V779" s="17">
        <v>9.00002378E8</v>
      </c>
      <c r="W779" s="17" t="s">
        <v>388</v>
      </c>
      <c r="AA779" s="17" t="s">
        <v>76</v>
      </c>
      <c r="AB779" s="17" t="s">
        <v>1478</v>
      </c>
      <c r="AC779" s="18" t="s">
        <v>3069</v>
      </c>
      <c r="AF779" s="17" t="s">
        <v>1480</v>
      </c>
      <c r="AG779" s="18" t="s">
        <v>3070</v>
      </c>
      <c r="AH779" s="17" t="s">
        <v>3071</v>
      </c>
      <c r="AI779" s="18" t="s">
        <v>3072</v>
      </c>
      <c r="AL779" s="20" t="s">
        <v>1482</v>
      </c>
      <c r="AM779" s="17" t="s">
        <v>1483</v>
      </c>
      <c r="AN779" s="17" t="s">
        <v>3073</v>
      </c>
      <c r="AS779" s="17" t="s">
        <v>76</v>
      </c>
      <c r="AT779" s="17" t="s">
        <v>388</v>
      </c>
      <c r="AU779" s="17" t="s">
        <v>109</v>
      </c>
      <c r="AZ779" s="17" t="s">
        <v>151</v>
      </c>
      <c r="BA779" s="17" t="s">
        <v>458</v>
      </c>
      <c r="BB779" s="17" t="s">
        <v>109</v>
      </c>
      <c r="BH779" s="17">
        <v>17.0</v>
      </c>
      <c r="BI779" s="17" t="s">
        <v>76</v>
      </c>
      <c r="BJ779" s="16">
        <v>0.45833333333575865</v>
      </c>
      <c r="BK779" s="16">
        <v>0.9993055555532919</v>
      </c>
      <c r="BM779" s="17" t="s">
        <v>3029</v>
      </c>
      <c r="BP779" s="17" t="s">
        <v>3074</v>
      </c>
      <c r="BR779" s="24" t="str">
        <f t="shared" si="1"/>
        <v>Sahi nawabis kitchen</v>
      </c>
    </row>
    <row r="780" ht="22.5" customHeight="1">
      <c r="A780" s="14">
        <v>46074.71836518518</v>
      </c>
      <c r="B780" s="15">
        <v>46073.0</v>
      </c>
      <c r="C780" s="16">
        <v>0.5</v>
      </c>
      <c r="D780" s="17" t="s">
        <v>111</v>
      </c>
      <c r="T780" s="17" t="s">
        <v>388</v>
      </c>
      <c r="U780" s="17" t="s">
        <v>3075</v>
      </c>
      <c r="V780" s="17">
        <v>7.386013565E9</v>
      </c>
      <c r="W780" s="17" t="s">
        <v>388</v>
      </c>
      <c r="AA780" s="17" t="s">
        <v>76</v>
      </c>
      <c r="AB780" s="17">
        <v>2.3626032000549E13</v>
      </c>
      <c r="AC780" s="18" t="s">
        <v>3076</v>
      </c>
      <c r="AF780" s="17" t="s">
        <v>3077</v>
      </c>
      <c r="AG780" s="18" t="s">
        <v>3078</v>
      </c>
      <c r="AK780" s="18" t="s">
        <v>3079</v>
      </c>
      <c r="AL780" s="17" t="s">
        <v>3080</v>
      </c>
      <c r="AM780" s="17" t="s">
        <v>3081</v>
      </c>
      <c r="AN780" s="17" t="s">
        <v>3082</v>
      </c>
      <c r="AS780" s="17" t="s">
        <v>76</v>
      </c>
      <c r="AT780" s="17" t="s">
        <v>388</v>
      </c>
      <c r="AU780" s="17" t="s">
        <v>109</v>
      </c>
      <c r="AZ780" s="17" t="s">
        <v>151</v>
      </c>
      <c r="BA780" s="17" t="s">
        <v>458</v>
      </c>
      <c r="BB780" s="17" t="s">
        <v>76</v>
      </c>
      <c r="BH780" s="17">
        <v>23.0</v>
      </c>
      <c r="BI780" s="17" t="s">
        <v>76</v>
      </c>
      <c r="BJ780" s="16">
        <v>0.41666666666424135</v>
      </c>
      <c r="BK780" s="16">
        <v>0.9993055555532919</v>
      </c>
      <c r="BM780" s="17" t="s">
        <v>3083</v>
      </c>
      <c r="BP780" s="17" t="s">
        <v>3084</v>
      </c>
      <c r="BR780" s="24" t="str">
        <f t="shared" si="1"/>
        <v>Mickeys tiffinNa</v>
      </c>
    </row>
    <row r="781" ht="22.5" customHeight="1">
      <c r="A781" s="14">
        <v>46074.74220798611</v>
      </c>
      <c r="B781" s="15">
        <v>46074.0</v>
      </c>
      <c r="C781" s="16">
        <v>0.41666666666424135</v>
      </c>
      <c r="D781" s="17" t="s">
        <v>91</v>
      </c>
      <c r="F781" s="17">
        <v>100.0</v>
      </c>
      <c r="G781" s="17">
        <v>500.0</v>
      </c>
      <c r="H781" s="17" t="s">
        <v>423</v>
      </c>
      <c r="I781" s="17">
        <v>70000.0</v>
      </c>
      <c r="J781" s="17" t="s">
        <v>167</v>
      </c>
      <c r="K781" s="17" t="s">
        <v>515</v>
      </c>
      <c r="N781" s="17">
        <v>10.0</v>
      </c>
      <c r="O781" s="17" t="s">
        <v>135</v>
      </c>
      <c r="P781" s="17" t="s">
        <v>76</v>
      </c>
      <c r="Q781" s="17" t="s">
        <v>97</v>
      </c>
      <c r="R781" s="17" t="s">
        <v>76</v>
      </c>
      <c r="S781" s="18" t="s">
        <v>3085</v>
      </c>
      <c r="U781" s="17" t="s">
        <v>494</v>
      </c>
      <c r="V781" s="17">
        <v>8.341379379E9</v>
      </c>
      <c r="W781" s="17" t="s">
        <v>388</v>
      </c>
      <c r="AA781" s="17" t="s">
        <v>109</v>
      </c>
      <c r="AT781" s="17" t="s">
        <v>3086</v>
      </c>
      <c r="AU781" s="17" t="s">
        <v>76</v>
      </c>
      <c r="AV781" s="17" t="s">
        <v>271</v>
      </c>
      <c r="AX781" s="15">
        <v>46078.0</v>
      </c>
      <c r="AY781" s="16">
        <v>0.04166666666424135</v>
      </c>
      <c r="AZ781" s="17" t="s">
        <v>151</v>
      </c>
      <c r="BA781" s="17" t="s">
        <v>458</v>
      </c>
      <c r="BB781" s="17" t="s">
        <v>76</v>
      </c>
      <c r="BL781" s="17">
        <v>120.0</v>
      </c>
      <c r="BN781" s="17" t="s">
        <v>3087</v>
      </c>
      <c r="BP781" s="17" t="s">
        <v>3088</v>
      </c>
      <c r="BR781" s="24" t="str">
        <f t="shared" si="1"/>
        <v>Harsha deluxe mess</v>
      </c>
    </row>
    <row r="782" ht="22.5" customHeight="1">
      <c r="A782" s="14">
        <v>46074.76536628472</v>
      </c>
      <c r="B782" s="15">
        <v>46074.0</v>
      </c>
      <c r="C782" s="16">
        <v>0.5763888888905058</v>
      </c>
      <c r="D782" s="17" t="s">
        <v>91</v>
      </c>
      <c r="F782" s="17">
        <v>200.0</v>
      </c>
      <c r="G782" s="17">
        <v>400.0</v>
      </c>
      <c r="H782" s="17" t="s">
        <v>509</v>
      </c>
      <c r="I782" s="17">
        <v>5000.0</v>
      </c>
      <c r="J782" s="17" t="s">
        <v>167</v>
      </c>
      <c r="K782" s="17" t="s">
        <v>134</v>
      </c>
      <c r="N782" s="17">
        <v>1.0</v>
      </c>
      <c r="O782" s="17" t="s">
        <v>96</v>
      </c>
      <c r="P782" s="17" t="s">
        <v>109</v>
      </c>
      <c r="Q782" s="17" t="s">
        <v>1583</v>
      </c>
      <c r="R782" s="17" t="s">
        <v>109</v>
      </c>
      <c r="S782" s="17" t="s">
        <v>3089</v>
      </c>
      <c r="U782" s="17" t="s">
        <v>950</v>
      </c>
      <c r="V782" s="17">
        <v>9.705659494E9</v>
      </c>
      <c r="W782" s="17" t="s">
        <v>388</v>
      </c>
      <c r="AA782" s="17" t="s">
        <v>109</v>
      </c>
      <c r="AT782" s="17" t="s">
        <v>388</v>
      </c>
      <c r="AU782" s="17" t="s">
        <v>76</v>
      </c>
      <c r="AV782" s="17" t="s">
        <v>373</v>
      </c>
      <c r="AX782" s="15">
        <v>46081.0</v>
      </c>
      <c r="AY782" s="16">
        <v>0.41666666666424135</v>
      </c>
      <c r="AZ782" s="17" t="s">
        <v>151</v>
      </c>
      <c r="BA782" s="17" t="s">
        <v>458</v>
      </c>
      <c r="BB782" s="17" t="s">
        <v>76</v>
      </c>
      <c r="BL782" s="17">
        <v>50000.0</v>
      </c>
      <c r="BN782" s="17" t="s">
        <v>3090</v>
      </c>
      <c r="BP782" s="17" t="s">
        <v>3091</v>
      </c>
      <c r="BR782" s="24" t="str">
        <f t="shared" si="1"/>
        <v>Kasoori</v>
      </c>
    </row>
    <row r="783" ht="22.5" customHeight="1">
      <c r="A783" s="14">
        <v>46074.766472118055</v>
      </c>
      <c r="B783" s="15">
        <v>46074.0</v>
      </c>
      <c r="C783" s="16">
        <v>0.5416666666642413</v>
      </c>
      <c r="D783" s="17" t="s">
        <v>111</v>
      </c>
      <c r="T783" s="17" t="s">
        <v>388</v>
      </c>
      <c r="U783" s="17" t="s">
        <v>3092</v>
      </c>
      <c r="V783" s="17">
        <v>9.573318519E9</v>
      </c>
      <c r="W783" s="17" t="s">
        <v>388</v>
      </c>
      <c r="AA783" s="17" t="s">
        <v>109</v>
      </c>
      <c r="AT783" s="17" t="s">
        <v>3093</v>
      </c>
      <c r="AU783" s="17" t="s">
        <v>76</v>
      </c>
      <c r="AV783" s="17" t="s">
        <v>472</v>
      </c>
      <c r="AZ783" s="17" t="s">
        <v>151</v>
      </c>
      <c r="BA783" s="17" t="s">
        <v>491</v>
      </c>
      <c r="BP783" s="17" t="s">
        <v>3094</v>
      </c>
      <c r="BR783" s="24" t="str">
        <f t="shared" si="1"/>
        <v>Churrolto Na</v>
      </c>
    </row>
    <row r="784" ht="22.5" customHeight="1">
      <c r="A784" s="14">
        <v>46074.76720996528</v>
      </c>
      <c r="B784" s="15">
        <v>46074.0</v>
      </c>
      <c r="C784" s="16">
        <v>0.22569444444525288</v>
      </c>
      <c r="D784" s="17" t="s">
        <v>111</v>
      </c>
      <c r="T784" s="17" t="s">
        <v>3095</v>
      </c>
      <c r="U784" s="17" t="s">
        <v>113</v>
      </c>
      <c r="V784" s="17" t="s">
        <v>113</v>
      </c>
      <c r="W784" s="17" t="s">
        <v>113</v>
      </c>
      <c r="AA784" s="17" t="s">
        <v>109</v>
      </c>
      <c r="AT784" s="17" t="s">
        <v>3096</v>
      </c>
      <c r="AU784" s="17" t="s">
        <v>76</v>
      </c>
      <c r="AZ784" s="17" t="s">
        <v>539</v>
      </c>
      <c r="BA784" s="17" t="s">
        <v>458</v>
      </c>
      <c r="BB784" s="17" t="s">
        <v>76</v>
      </c>
      <c r="BP784" s="17" t="s">
        <v>3097</v>
      </c>
      <c r="BR784" s="24" t="str">
        <f t="shared" si="1"/>
        <v>cafe coffee day cafe coffee day</v>
      </c>
    </row>
    <row r="785" ht="22.5" customHeight="1">
      <c r="A785" s="14">
        <v>46074.768207685185</v>
      </c>
      <c r="B785" s="15">
        <v>46074.0</v>
      </c>
      <c r="C785" s="16">
        <v>0.23124999999708962</v>
      </c>
      <c r="D785" s="17" t="s">
        <v>111</v>
      </c>
      <c r="T785" s="17" t="s">
        <v>3098</v>
      </c>
      <c r="U785" s="17" t="s">
        <v>3099</v>
      </c>
      <c r="V785" s="17" t="s">
        <v>113</v>
      </c>
      <c r="W785" s="17" t="s">
        <v>113</v>
      </c>
      <c r="AA785" s="17" t="s">
        <v>109</v>
      </c>
      <c r="AT785" s="17" t="s">
        <v>3096</v>
      </c>
      <c r="AU785" s="17" t="s">
        <v>76</v>
      </c>
      <c r="AZ785" s="17" t="s">
        <v>539</v>
      </c>
      <c r="BA785" s="17" t="s">
        <v>458</v>
      </c>
      <c r="BB785" s="17" t="s">
        <v>76</v>
      </c>
      <c r="BP785" s="17" t="s">
        <v>3100</v>
      </c>
      <c r="BR785" s="24" t="str">
        <f t="shared" si="1"/>
        <v>the chocolate roomchocolate room</v>
      </c>
    </row>
    <row r="786" ht="22.5" customHeight="1">
      <c r="A786" s="14">
        <v>46074.76924116898</v>
      </c>
      <c r="B786" s="15">
        <v>46074.0</v>
      </c>
      <c r="C786" s="16">
        <v>0.24722222222044365</v>
      </c>
      <c r="U786" s="17" t="s">
        <v>113</v>
      </c>
      <c r="V786" s="17">
        <v>6.30959061E9</v>
      </c>
      <c r="W786" s="17" t="s">
        <v>3101</v>
      </c>
      <c r="AA786" s="17" t="s">
        <v>109</v>
      </c>
      <c r="AT786" s="17" t="s">
        <v>3096</v>
      </c>
      <c r="AU786" s="17" t="s">
        <v>76</v>
      </c>
      <c r="AZ786" s="17" t="s">
        <v>539</v>
      </c>
      <c r="BA786" s="17" t="s">
        <v>458</v>
      </c>
      <c r="BB786" s="17" t="s">
        <v>109</v>
      </c>
      <c r="BP786" s="17" t="s">
        <v>3102</v>
      </c>
      <c r="BR786" s="24" t="str">
        <f t="shared" si="1"/>
        <v>kapoors cafe</v>
      </c>
    </row>
    <row r="787" ht="22.5" customHeight="1">
      <c r="A787" s="14">
        <v>46074.79432021991</v>
      </c>
      <c r="B787" s="15">
        <v>46074.0</v>
      </c>
      <c r="C787" s="16">
        <v>0.8333333333357587</v>
      </c>
      <c r="U787" s="17" t="s">
        <v>3103</v>
      </c>
      <c r="V787" s="17" t="s">
        <v>3104</v>
      </c>
      <c r="W787" s="17" t="s">
        <v>388</v>
      </c>
      <c r="AA787" s="17" t="s">
        <v>109</v>
      </c>
      <c r="AT787" s="17" t="s">
        <v>3105</v>
      </c>
      <c r="AU787" s="17" t="s">
        <v>76</v>
      </c>
      <c r="AV787" s="17" t="s">
        <v>472</v>
      </c>
      <c r="AW787" s="17" t="s">
        <v>2204</v>
      </c>
      <c r="AX787" s="15">
        <v>46078.0</v>
      </c>
      <c r="AZ787" s="17" t="s">
        <v>151</v>
      </c>
      <c r="BA787" s="17" t="s">
        <v>458</v>
      </c>
      <c r="BB787" s="17" t="s">
        <v>109</v>
      </c>
      <c r="BP787" s="17" t="s">
        <v>3106</v>
      </c>
      <c r="BR787" s="24" t="str">
        <f t="shared" si="1"/>
        <v>Babbai hotel</v>
      </c>
    </row>
    <row r="788" ht="22.5" customHeight="1">
      <c r="A788" s="14">
        <v>46075.66469741898</v>
      </c>
      <c r="B788" s="15">
        <v>46074.0</v>
      </c>
      <c r="C788" s="16">
        <v>0.5416666666642413</v>
      </c>
      <c r="D788" s="17" t="s">
        <v>111</v>
      </c>
      <c r="T788" s="17" t="s">
        <v>3107</v>
      </c>
      <c r="U788" s="17" t="s">
        <v>3108</v>
      </c>
      <c r="V788" s="17">
        <v>9.666674299E9</v>
      </c>
      <c r="W788" s="17" t="s">
        <v>113</v>
      </c>
      <c r="AA788" s="17" t="s">
        <v>109</v>
      </c>
      <c r="AT788" s="17" t="s">
        <v>3109</v>
      </c>
      <c r="AU788" s="17" t="s">
        <v>109</v>
      </c>
      <c r="AZ788" s="17" t="s">
        <v>243</v>
      </c>
      <c r="BA788" s="17" t="s">
        <v>458</v>
      </c>
      <c r="BB788" s="17" t="s">
        <v>76</v>
      </c>
      <c r="BP788" s="17" t="s">
        <v>3107</v>
      </c>
      <c r="BR788" s="24" t="str">
        <f t="shared" si="1"/>
        <v>THE SIPPING ADDATHE SIPPING ADDA</v>
      </c>
    </row>
    <row r="789" ht="22.5" customHeight="1">
      <c r="A789" s="14">
        <v>46075.66590979167</v>
      </c>
      <c r="B789" s="15">
        <v>46074.0</v>
      </c>
      <c r="C789" s="16">
        <v>0.5416666666642413</v>
      </c>
      <c r="D789" s="17" t="s">
        <v>111</v>
      </c>
      <c r="T789" s="17" t="s">
        <v>3110</v>
      </c>
      <c r="U789" s="17" t="s">
        <v>3108</v>
      </c>
      <c r="V789" s="17">
        <v>9.666674299E9</v>
      </c>
      <c r="W789" s="17" t="s">
        <v>117</v>
      </c>
      <c r="AA789" s="17" t="s">
        <v>109</v>
      </c>
      <c r="AT789" s="17" t="s">
        <v>3111</v>
      </c>
      <c r="AU789" s="17" t="s">
        <v>109</v>
      </c>
      <c r="AZ789" s="17" t="s">
        <v>243</v>
      </c>
      <c r="BA789" s="17" t="s">
        <v>458</v>
      </c>
      <c r="BB789" s="17" t="s">
        <v>76</v>
      </c>
      <c r="BP789" s="17" t="s">
        <v>3110</v>
      </c>
      <c r="BR789" s="24" t="str">
        <f t="shared" si="1"/>
        <v>sAI RISHITHA FAST FOOD CENTREsAI RISHITHA FAST FOOD CENTRE</v>
      </c>
    </row>
    <row r="790" ht="22.5" customHeight="1">
      <c r="A790" s="14">
        <v>46075.66691269676</v>
      </c>
      <c r="B790" s="15">
        <v>46074.0</v>
      </c>
      <c r="C790" s="16">
        <v>0.5833333333357587</v>
      </c>
      <c r="U790" s="17" t="s">
        <v>3112</v>
      </c>
      <c r="V790" s="17">
        <v>7.013883666E9</v>
      </c>
      <c r="W790" s="17" t="s">
        <v>113</v>
      </c>
      <c r="AA790" s="17" t="s">
        <v>109</v>
      </c>
      <c r="AT790" s="17" t="s">
        <v>3113</v>
      </c>
      <c r="AU790" s="17" t="s">
        <v>76</v>
      </c>
      <c r="AV790" s="17" t="s">
        <v>472</v>
      </c>
      <c r="AZ790" s="17" t="s">
        <v>243</v>
      </c>
      <c r="BA790" s="17" t="s">
        <v>458</v>
      </c>
      <c r="BB790" s="17" t="s">
        <v>109</v>
      </c>
      <c r="BP790" s="17" t="s">
        <v>3114</v>
      </c>
      <c r="BR790" s="24" t="str">
        <f t="shared" si="1"/>
        <v>ABC Foods (Abiruchi biryani cafe)</v>
      </c>
    </row>
    <row r="791" ht="22.5" customHeight="1">
      <c r="A791" s="14">
        <v>46075.668418877314</v>
      </c>
      <c r="B791" s="15">
        <v>46074.0</v>
      </c>
      <c r="C791" s="16">
        <v>0.5972222222189885</v>
      </c>
      <c r="D791" s="17" t="s">
        <v>91</v>
      </c>
      <c r="F791" s="17">
        <v>20.0</v>
      </c>
      <c r="G791" s="17">
        <v>200.0</v>
      </c>
      <c r="H791" s="17" t="s">
        <v>113</v>
      </c>
      <c r="J791" s="17" t="s">
        <v>94</v>
      </c>
      <c r="N791" s="17">
        <v>1.0</v>
      </c>
      <c r="O791" s="17" t="s">
        <v>113</v>
      </c>
      <c r="P791" s="17" t="s">
        <v>76</v>
      </c>
      <c r="Q791" s="17" t="s">
        <v>97</v>
      </c>
      <c r="R791" s="17" t="s">
        <v>98</v>
      </c>
      <c r="S791" s="17" t="s">
        <v>113</v>
      </c>
      <c r="U791" s="17" t="s">
        <v>113</v>
      </c>
      <c r="V791" s="17" t="s">
        <v>113</v>
      </c>
      <c r="W791" s="17" t="s">
        <v>113</v>
      </c>
      <c r="AA791" s="17" t="s">
        <v>109</v>
      </c>
      <c r="AT791" s="17" t="s">
        <v>3115</v>
      </c>
      <c r="AU791" s="17" t="s">
        <v>109</v>
      </c>
      <c r="AZ791" s="17" t="s">
        <v>243</v>
      </c>
      <c r="BA791" s="17" t="s">
        <v>458</v>
      </c>
      <c r="BB791" s="17" t="s">
        <v>76</v>
      </c>
      <c r="BP791" s="17" t="s">
        <v>3116</v>
      </c>
      <c r="BR791" s="24" t="str">
        <f t="shared" si="1"/>
        <v>Balaji villas </v>
      </c>
    </row>
    <row r="792" ht="22.5" customHeight="1">
      <c r="A792" s="14">
        <v>46075.66963921297</v>
      </c>
      <c r="B792" s="15">
        <v>46074.0</v>
      </c>
      <c r="C792" s="16">
        <v>0.6041666666642413</v>
      </c>
      <c r="D792" s="17" t="s">
        <v>91</v>
      </c>
      <c r="F792" s="17">
        <v>20.0</v>
      </c>
      <c r="G792" s="17">
        <v>500.0</v>
      </c>
      <c r="H792" s="17" t="s">
        <v>113</v>
      </c>
      <c r="J792" s="17" t="s">
        <v>167</v>
      </c>
      <c r="N792" s="17">
        <v>1.0</v>
      </c>
      <c r="O792" s="17" t="s">
        <v>113</v>
      </c>
      <c r="P792" s="17" t="s">
        <v>76</v>
      </c>
      <c r="Q792" s="17" t="s">
        <v>97</v>
      </c>
      <c r="R792" s="17" t="s">
        <v>98</v>
      </c>
      <c r="S792" s="17" t="s">
        <v>113</v>
      </c>
      <c r="U792" s="17" t="s">
        <v>113</v>
      </c>
      <c r="V792" s="17" t="s">
        <v>113</v>
      </c>
      <c r="W792" s="17" t="s">
        <v>113</v>
      </c>
      <c r="AA792" s="17" t="s">
        <v>109</v>
      </c>
      <c r="AT792" s="17" t="s">
        <v>3117</v>
      </c>
      <c r="AU792" s="17" t="s">
        <v>109</v>
      </c>
      <c r="AZ792" s="17" t="s">
        <v>243</v>
      </c>
      <c r="BA792" s="17" t="s">
        <v>458</v>
      </c>
      <c r="BB792" s="17" t="s">
        <v>76</v>
      </c>
      <c r="BP792" s="17" t="s">
        <v>3118</v>
      </c>
      <c r="BR792" s="24" t="str">
        <f t="shared" si="1"/>
        <v>Ike cafe the tasty bakery</v>
      </c>
    </row>
    <row r="793" ht="22.5" customHeight="1">
      <c r="A793" s="14">
        <v>46075.6706862037</v>
      </c>
      <c r="B793" s="15">
        <v>46074.0</v>
      </c>
      <c r="C793" s="16">
        <v>0.625</v>
      </c>
      <c r="U793" s="17" t="s">
        <v>3119</v>
      </c>
      <c r="V793" s="17">
        <v>9.96665808E9</v>
      </c>
      <c r="W793" s="17" t="s">
        <v>113</v>
      </c>
      <c r="AA793" s="17" t="s">
        <v>109</v>
      </c>
      <c r="AT793" s="17" t="s">
        <v>3120</v>
      </c>
      <c r="AU793" s="17" t="s">
        <v>76</v>
      </c>
      <c r="AV793" s="17" t="s">
        <v>472</v>
      </c>
      <c r="AZ793" s="17" t="s">
        <v>243</v>
      </c>
      <c r="BA793" s="17" t="s">
        <v>458</v>
      </c>
      <c r="BB793" s="17" t="s">
        <v>109</v>
      </c>
      <c r="BP793" s="17" t="s">
        <v>3121</v>
      </c>
      <c r="BR793" s="24" t="str">
        <f t="shared" si="1"/>
        <v>Tealogy cafe</v>
      </c>
    </row>
    <row r="794" ht="22.5" customHeight="1">
      <c r="A794" s="14">
        <v>46075.671701342595</v>
      </c>
      <c r="B794" s="15">
        <v>46074.0</v>
      </c>
      <c r="C794" s="16">
        <v>0.5833333333357587</v>
      </c>
      <c r="U794" s="17" t="s">
        <v>113</v>
      </c>
      <c r="V794" s="17" t="s">
        <v>113</v>
      </c>
      <c r="W794" s="17" t="s">
        <v>113</v>
      </c>
      <c r="AA794" s="17" t="s">
        <v>109</v>
      </c>
      <c r="AT794" s="17" t="s">
        <v>3122</v>
      </c>
      <c r="AU794" s="17" t="s">
        <v>76</v>
      </c>
      <c r="AZ794" s="17" t="s">
        <v>243</v>
      </c>
      <c r="BA794" s="17" t="s">
        <v>458</v>
      </c>
      <c r="BB794" s="17" t="s">
        <v>109</v>
      </c>
      <c r="BP794" s="17" t="s">
        <v>3123</v>
      </c>
      <c r="BR794" s="24" t="str">
        <f t="shared" si="1"/>
        <v>Hotel annamayya</v>
      </c>
    </row>
    <row r="795" ht="22.5" customHeight="1">
      <c r="A795" s="14">
        <v>46075.67302030092</v>
      </c>
      <c r="B795" s="15">
        <v>46074.0</v>
      </c>
      <c r="C795" s="16">
        <v>0.625</v>
      </c>
      <c r="U795" s="17" t="s">
        <v>3124</v>
      </c>
      <c r="V795" s="17">
        <v>9.44004922E9</v>
      </c>
      <c r="W795" s="17" t="s">
        <v>113</v>
      </c>
      <c r="AA795" s="17" t="s">
        <v>109</v>
      </c>
      <c r="AT795" s="17" t="s">
        <v>3125</v>
      </c>
      <c r="AU795" s="17" t="s">
        <v>109</v>
      </c>
      <c r="AV795" s="17" t="s">
        <v>472</v>
      </c>
      <c r="AZ795" s="17" t="s">
        <v>243</v>
      </c>
      <c r="BA795" s="17" t="s">
        <v>458</v>
      </c>
      <c r="BB795" s="17" t="s">
        <v>109</v>
      </c>
      <c r="BP795" s="17" t="s">
        <v>3126</v>
      </c>
      <c r="BR795" s="24" t="str">
        <f t="shared" si="1"/>
        <v>Chickpet donne biryani house</v>
      </c>
    </row>
    <row r="796" ht="22.5" customHeight="1">
      <c r="A796" s="14">
        <v>46075.67422901621</v>
      </c>
      <c r="B796" s="15">
        <v>46074.0</v>
      </c>
      <c r="C796" s="16">
        <v>0.6666666666642413</v>
      </c>
      <c r="U796" s="17" t="s">
        <v>1467</v>
      </c>
      <c r="V796" s="17">
        <v>9.912733258E9</v>
      </c>
      <c r="W796" s="17" t="s">
        <v>113</v>
      </c>
      <c r="AA796" s="17" t="s">
        <v>109</v>
      </c>
      <c r="AT796" s="17" t="s">
        <v>3127</v>
      </c>
      <c r="AU796" s="17" t="s">
        <v>76</v>
      </c>
      <c r="AZ796" s="17" t="s">
        <v>243</v>
      </c>
      <c r="BA796" s="17" t="s">
        <v>458</v>
      </c>
      <c r="BB796" s="17" t="s">
        <v>109</v>
      </c>
      <c r="BP796" s="17" t="s">
        <v>3128</v>
      </c>
      <c r="BR796" s="24" t="str">
        <f t="shared" si="1"/>
        <v>Dhaba food court</v>
      </c>
    </row>
    <row r="797" ht="22.5" customHeight="1">
      <c r="A797" s="14">
        <v>46075.67551980324</v>
      </c>
      <c r="B797" s="15">
        <v>46074.0</v>
      </c>
      <c r="C797" s="16">
        <v>0.6875</v>
      </c>
      <c r="U797" s="17" t="s">
        <v>950</v>
      </c>
      <c r="V797" s="17">
        <v>9.640067678E9</v>
      </c>
      <c r="W797" s="17" t="s">
        <v>113</v>
      </c>
      <c r="AA797" s="17" t="s">
        <v>109</v>
      </c>
      <c r="AT797" s="17" t="s">
        <v>3129</v>
      </c>
      <c r="AU797" s="17" t="s">
        <v>76</v>
      </c>
      <c r="AV797" s="17" t="s">
        <v>472</v>
      </c>
      <c r="AX797" s="15">
        <v>46076.0</v>
      </c>
      <c r="AY797" s="16">
        <v>0.625</v>
      </c>
      <c r="AZ797" s="17" t="s">
        <v>243</v>
      </c>
      <c r="BA797" s="17" t="s">
        <v>458</v>
      </c>
      <c r="BB797" s="17" t="s">
        <v>109</v>
      </c>
      <c r="BP797" s="17" t="s">
        <v>3130</v>
      </c>
      <c r="BR797" s="24" t="str">
        <f t="shared" si="1"/>
        <v>sRI GOWRAS KITCHEN</v>
      </c>
    </row>
    <row r="798" ht="22.5" customHeight="1">
      <c r="A798" s="14">
        <v>46075.67651282407</v>
      </c>
      <c r="B798" s="15">
        <v>46074.0</v>
      </c>
      <c r="C798" s="16">
        <v>0.5</v>
      </c>
      <c r="U798" s="17" t="s">
        <v>3131</v>
      </c>
      <c r="V798" s="17">
        <v>7.995740832E9</v>
      </c>
      <c r="W798" s="17" t="s">
        <v>113</v>
      </c>
      <c r="AA798" s="17" t="s">
        <v>109</v>
      </c>
      <c r="AT798" s="17" t="s">
        <v>2725</v>
      </c>
      <c r="AU798" s="17" t="s">
        <v>76</v>
      </c>
      <c r="AV798" s="17" t="s">
        <v>472</v>
      </c>
      <c r="AZ798" s="17" t="s">
        <v>243</v>
      </c>
      <c r="BA798" s="17" t="s">
        <v>458</v>
      </c>
      <c r="BB798" s="17" t="s">
        <v>109</v>
      </c>
      <c r="BP798" s="17" t="s">
        <v>3132</v>
      </c>
      <c r="BR798" s="24" t="str">
        <f t="shared" si="1"/>
        <v>Tiffin kottu</v>
      </c>
    </row>
    <row r="799" ht="22.5" customHeight="1">
      <c r="A799" s="14">
        <v>46075.6781030787</v>
      </c>
      <c r="B799" s="15">
        <v>46074.0</v>
      </c>
      <c r="C799" s="16">
        <v>0.6875</v>
      </c>
      <c r="U799" s="17" t="s">
        <v>1107</v>
      </c>
      <c r="V799" s="17">
        <v>8.88612008E9</v>
      </c>
      <c r="W799" s="17" t="s">
        <v>113</v>
      </c>
      <c r="AA799" s="17" t="s">
        <v>109</v>
      </c>
      <c r="AT799" s="17" t="s">
        <v>3133</v>
      </c>
      <c r="AU799" s="17" t="s">
        <v>76</v>
      </c>
      <c r="AV799" s="17" t="s">
        <v>472</v>
      </c>
      <c r="AZ799" s="17" t="s">
        <v>243</v>
      </c>
      <c r="BA799" s="17" t="s">
        <v>458</v>
      </c>
      <c r="BB799" s="17" t="s">
        <v>109</v>
      </c>
      <c r="BP799" s="17" t="s">
        <v>3134</v>
      </c>
      <c r="BR799" s="24" t="str">
        <f t="shared" si="1"/>
        <v>Giri food court</v>
      </c>
    </row>
    <row r="800" ht="22.5" customHeight="1">
      <c r="A800" s="14">
        <v>46075.67969793981</v>
      </c>
      <c r="B800" s="15">
        <v>46074.0</v>
      </c>
      <c r="C800" s="16">
        <v>0.6875</v>
      </c>
      <c r="D800" s="17" t="s">
        <v>111</v>
      </c>
      <c r="T800" s="17" t="s">
        <v>3135</v>
      </c>
      <c r="U800" s="17" t="s">
        <v>113</v>
      </c>
      <c r="V800" s="17">
        <v>7.993346699E9</v>
      </c>
      <c r="W800" s="17" t="s">
        <v>113</v>
      </c>
      <c r="AA800" s="17" t="s">
        <v>109</v>
      </c>
      <c r="AT800" s="17" t="s">
        <v>3136</v>
      </c>
      <c r="AU800" s="17" t="s">
        <v>76</v>
      </c>
      <c r="AV800" s="17" t="s">
        <v>472</v>
      </c>
      <c r="AZ800" s="17" t="s">
        <v>243</v>
      </c>
      <c r="BA800" s="17" t="s">
        <v>458</v>
      </c>
      <c r="BB800" s="17" t="s">
        <v>76</v>
      </c>
      <c r="BP800" s="17" t="s">
        <v>3135</v>
      </c>
      <c r="BR800" s="24" t="str">
        <f t="shared" si="1"/>
        <v>Mathru sree athidhidevobhavaMathru sree athidhidevobhava</v>
      </c>
    </row>
    <row r="801" ht="22.5" customHeight="1">
      <c r="A801" s="14">
        <v>46075.68128820602</v>
      </c>
      <c r="B801" s="15">
        <v>46074.0</v>
      </c>
      <c r="C801" s="16">
        <v>0.6666666666642413</v>
      </c>
      <c r="D801" s="17" t="s">
        <v>111</v>
      </c>
      <c r="T801" s="17" t="s">
        <v>3137</v>
      </c>
      <c r="U801" s="17" t="s">
        <v>3138</v>
      </c>
      <c r="V801" s="17">
        <v>9.38265312E9</v>
      </c>
      <c r="W801" s="17" t="s">
        <v>113</v>
      </c>
      <c r="AA801" s="17" t="s">
        <v>109</v>
      </c>
      <c r="AT801" s="17" t="s">
        <v>3139</v>
      </c>
      <c r="AU801" s="17" t="s">
        <v>76</v>
      </c>
      <c r="AV801" s="17" t="s">
        <v>472</v>
      </c>
      <c r="AX801" s="15">
        <v>46077.0</v>
      </c>
      <c r="AY801" s="16">
        <v>0.5833333333357587</v>
      </c>
      <c r="AZ801" s="17" t="s">
        <v>243</v>
      </c>
      <c r="BA801" s="17" t="s">
        <v>458</v>
      </c>
      <c r="BB801" s="17" t="s">
        <v>76</v>
      </c>
      <c r="BP801" s="17" t="s">
        <v>3137</v>
      </c>
      <c r="BR801" s="24" t="str">
        <f t="shared" si="1"/>
        <v>Induru spice kitchenInduru spice kitchen</v>
      </c>
    </row>
    <row r="802" ht="22.5" customHeight="1">
      <c r="A802" s="14">
        <v>46075.68294584491</v>
      </c>
      <c r="B802" s="15">
        <v>46074.0</v>
      </c>
      <c r="C802" s="16">
        <v>0.5625</v>
      </c>
      <c r="U802" s="17" t="s">
        <v>3140</v>
      </c>
      <c r="V802" s="17">
        <v>8.886363573E9</v>
      </c>
      <c r="W802" s="17" t="s">
        <v>117</v>
      </c>
      <c r="AA802" s="17" t="s">
        <v>109</v>
      </c>
      <c r="AT802" s="17" t="s">
        <v>3141</v>
      </c>
      <c r="AU802" s="17" t="s">
        <v>76</v>
      </c>
      <c r="AV802" s="17" t="s">
        <v>472</v>
      </c>
      <c r="AZ802" s="17" t="s">
        <v>243</v>
      </c>
      <c r="BA802" s="17" t="s">
        <v>458</v>
      </c>
      <c r="BB802" s="17" t="s">
        <v>109</v>
      </c>
      <c r="BP802" s="17" t="s">
        <v>3142</v>
      </c>
      <c r="BR802" s="24" t="str">
        <f t="shared" si="1"/>
        <v>Thakshashila curries </v>
      </c>
    </row>
    <row r="803" ht="22.5" customHeight="1">
      <c r="A803" s="14">
        <v>46075.68386261574</v>
      </c>
      <c r="B803" s="15">
        <v>46074.0</v>
      </c>
      <c r="C803" s="16">
        <v>0.625</v>
      </c>
      <c r="D803" s="17" t="s">
        <v>111</v>
      </c>
      <c r="T803" s="17" t="s">
        <v>3143</v>
      </c>
      <c r="U803" s="17" t="s">
        <v>117</v>
      </c>
      <c r="V803" s="17" t="s">
        <v>117</v>
      </c>
      <c r="W803" s="17" t="s">
        <v>117</v>
      </c>
      <c r="AA803" s="17" t="s">
        <v>109</v>
      </c>
      <c r="AT803" s="17" t="s">
        <v>3144</v>
      </c>
      <c r="AU803" s="17" t="s">
        <v>109</v>
      </c>
      <c r="AZ803" s="17" t="s">
        <v>243</v>
      </c>
      <c r="BA803" s="17" t="s">
        <v>458</v>
      </c>
      <c r="BB803" s="17" t="s">
        <v>76</v>
      </c>
      <c r="BP803" s="17" t="s">
        <v>3143</v>
      </c>
      <c r="BR803" s="24" t="str">
        <f t="shared" si="1"/>
        <v>Irawath kitchenIrawath kitchen</v>
      </c>
    </row>
    <row r="804" ht="22.5" customHeight="1">
      <c r="A804" s="14">
        <v>46075.684841168986</v>
      </c>
      <c r="B804" s="15">
        <v>46074.0</v>
      </c>
      <c r="C804" s="16">
        <v>0.6875</v>
      </c>
      <c r="U804" s="17" t="s">
        <v>3145</v>
      </c>
      <c r="V804" s="17">
        <v>9.1775858E9</v>
      </c>
      <c r="W804" s="17" t="s">
        <v>113</v>
      </c>
      <c r="AA804" s="17" t="s">
        <v>109</v>
      </c>
      <c r="AT804" s="17" t="s">
        <v>3146</v>
      </c>
      <c r="AU804" s="17" t="s">
        <v>76</v>
      </c>
      <c r="AZ804" s="17" t="s">
        <v>243</v>
      </c>
      <c r="BA804" s="17" t="s">
        <v>458</v>
      </c>
      <c r="BB804" s="17" t="s">
        <v>109</v>
      </c>
      <c r="BP804" s="17" t="s">
        <v>3147</v>
      </c>
      <c r="BR804" s="24" t="str">
        <f t="shared" si="1"/>
        <v>Ruchullo rarraju</v>
      </c>
    </row>
    <row r="805" ht="22.5" customHeight="1">
      <c r="A805" s="14">
        <v>46075.686099178245</v>
      </c>
      <c r="B805" s="15">
        <v>46074.0</v>
      </c>
      <c r="C805" s="16">
        <v>0.6666666666642413</v>
      </c>
      <c r="D805" s="17" t="s">
        <v>111</v>
      </c>
      <c r="T805" s="17" t="s">
        <v>3148</v>
      </c>
      <c r="U805" s="17" t="s">
        <v>3149</v>
      </c>
      <c r="V805" s="17">
        <v>9.866983997E9</v>
      </c>
      <c r="W805" s="17" t="s">
        <v>113</v>
      </c>
      <c r="AA805" s="17" t="s">
        <v>109</v>
      </c>
      <c r="AT805" s="17" t="s">
        <v>3150</v>
      </c>
      <c r="AU805" s="17" t="s">
        <v>76</v>
      </c>
      <c r="AV805" s="17" t="s">
        <v>88</v>
      </c>
      <c r="AZ805" s="17" t="s">
        <v>243</v>
      </c>
      <c r="BA805" s="17" t="s">
        <v>458</v>
      </c>
      <c r="BB805" s="17" t="s">
        <v>76</v>
      </c>
      <c r="BP805" s="17" t="s">
        <v>3148</v>
      </c>
      <c r="BR805" s="24" t="str">
        <f t="shared" si="1"/>
        <v>Sri venkateswara food courtSri venkateswara food court</v>
      </c>
    </row>
    <row r="806" ht="22.5" customHeight="1">
      <c r="A806" s="14">
        <v>46075.71075128472</v>
      </c>
      <c r="B806" s="15">
        <v>46074.0</v>
      </c>
      <c r="C806" s="16">
        <v>0.7916666666642413</v>
      </c>
      <c r="D806" s="17" t="s">
        <v>111</v>
      </c>
      <c r="T806" s="17" t="s">
        <v>3151</v>
      </c>
      <c r="U806" s="17" t="s">
        <v>3152</v>
      </c>
      <c r="V806" s="17" t="s">
        <v>3153</v>
      </c>
      <c r="W806" s="17" t="s">
        <v>769</v>
      </c>
      <c r="AA806" s="17" t="s">
        <v>109</v>
      </c>
      <c r="AT806" s="17" t="s">
        <v>3154</v>
      </c>
      <c r="AU806" s="17" t="s">
        <v>76</v>
      </c>
      <c r="AV806" s="17" t="s">
        <v>1740</v>
      </c>
      <c r="AX806" s="15">
        <v>46076.0</v>
      </c>
      <c r="AY806" s="16">
        <v>0.75</v>
      </c>
      <c r="AZ806" s="17" t="s">
        <v>115</v>
      </c>
      <c r="BA806" s="17" t="s">
        <v>458</v>
      </c>
      <c r="BB806" s="17" t="s">
        <v>76</v>
      </c>
      <c r="BP806" s="17" t="s">
        <v>3151</v>
      </c>
      <c r="BR806" s="24" t="str">
        <f t="shared" si="1"/>
        <v>Perch 24 cafePerch 24 cafe</v>
      </c>
    </row>
    <row r="807" ht="22.5" customHeight="1">
      <c r="A807" s="14">
        <v>46075.71171537037</v>
      </c>
      <c r="B807" s="15">
        <v>46074.0</v>
      </c>
      <c r="C807" s="16">
        <v>0.7916666666642413</v>
      </c>
      <c r="U807" s="17" t="s">
        <v>769</v>
      </c>
      <c r="V807" s="17">
        <v>8.125178871E9</v>
      </c>
      <c r="W807" s="17" t="s">
        <v>769</v>
      </c>
      <c r="AA807" s="17" t="s">
        <v>109</v>
      </c>
      <c r="AT807" s="17" t="s">
        <v>3155</v>
      </c>
      <c r="AU807" s="17" t="s">
        <v>76</v>
      </c>
      <c r="AX807" s="15">
        <v>46078.0</v>
      </c>
      <c r="AY807" s="16">
        <v>0.7083333333357587</v>
      </c>
      <c r="AZ807" s="17" t="s">
        <v>115</v>
      </c>
      <c r="BA807" s="17" t="s">
        <v>458</v>
      </c>
      <c r="BB807" s="17" t="s">
        <v>109</v>
      </c>
      <c r="BP807" s="17" t="s">
        <v>3156</v>
      </c>
      <c r="BR807" s="24" t="str">
        <f t="shared" si="1"/>
        <v>Sree teja food court </v>
      </c>
    </row>
    <row r="808" ht="22.5" customHeight="1">
      <c r="A808" s="14">
        <v>46075.71279469907</v>
      </c>
      <c r="B808" s="15">
        <v>46074.0</v>
      </c>
      <c r="C808" s="16">
        <v>0.7083333333357587</v>
      </c>
      <c r="U808" s="17" t="s">
        <v>769</v>
      </c>
      <c r="V808" s="17">
        <v>8.121749748E9</v>
      </c>
      <c r="W808" s="17" t="s">
        <v>769</v>
      </c>
      <c r="AA808" s="17" t="s">
        <v>109</v>
      </c>
      <c r="AT808" s="17" t="s">
        <v>3157</v>
      </c>
      <c r="AU808" s="17" t="s">
        <v>76</v>
      </c>
      <c r="AV808" s="17" t="s">
        <v>1740</v>
      </c>
      <c r="AX808" s="15">
        <v>46077.0</v>
      </c>
      <c r="AY808" s="16">
        <v>0.7083333333357587</v>
      </c>
      <c r="AZ808" s="17" t="s">
        <v>115</v>
      </c>
      <c r="BA808" s="17" t="s">
        <v>458</v>
      </c>
      <c r="BB808" s="17" t="s">
        <v>109</v>
      </c>
      <c r="BP808" s="17" t="s">
        <v>3158</v>
      </c>
      <c r="BR808" s="24" t="str">
        <f t="shared" si="1"/>
        <v>Padmavathi food court </v>
      </c>
    </row>
    <row r="809" ht="22.5" customHeight="1">
      <c r="A809" s="14">
        <v>46075.71557180556</v>
      </c>
      <c r="B809" s="15">
        <v>46074.0</v>
      </c>
      <c r="C809" s="16">
        <v>0.7083333333357587</v>
      </c>
      <c r="U809" s="17" t="s">
        <v>2669</v>
      </c>
      <c r="V809" s="25">
        <v>9.50275210663035E19</v>
      </c>
      <c r="W809" s="17" t="s">
        <v>769</v>
      </c>
      <c r="AA809" s="17" t="s">
        <v>109</v>
      </c>
      <c r="AT809" s="17" t="s">
        <v>3159</v>
      </c>
      <c r="AU809" s="17" t="s">
        <v>76</v>
      </c>
      <c r="AV809" s="17" t="s">
        <v>3160</v>
      </c>
      <c r="AZ809" s="17" t="s">
        <v>115</v>
      </c>
      <c r="BA809" s="17" t="s">
        <v>458</v>
      </c>
      <c r="BB809" s="17" t="s">
        <v>109</v>
      </c>
      <c r="BP809" s="17" t="s">
        <v>3161</v>
      </c>
      <c r="BR809" s="24" t="str">
        <f t="shared" si="1"/>
        <v>The organic creamery </v>
      </c>
    </row>
    <row r="810" ht="22.5" customHeight="1">
      <c r="A810" s="14">
        <v>46075.71733518518</v>
      </c>
      <c r="B810" s="15">
        <v>46074.0</v>
      </c>
      <c r="C810" s="16">
        <v>0.7083333333357587</v>
      </c>
      <c r="U810" s="17" t="s">
        <v>3162</v>
      </c>
      <c r="V810" s="17">
        <v>8.639727263E9</v>
      </c>
      <c r="W810" s="17" t="s">
        <v>769</v>
      </c>
      <c r="AA810" s="17" t="s">
        <v>109</v>
      </c>
      <c r="AT810" s="17" t="s">
        <v>3163</v>
      </c>
      <c r="AU810" s="17" t="s">
        <v>76</v>
      </c>
      <c r="AV810" s="17" t="s">
        <v>472</v>
      </c>
      <c r="AX810" s="15">
        <v>46076.0</v>
      </c>
      <c r="AY810" s="16">
        <v>0.7083333333357587</v>
      </c>
      <c r="AZ810" s="17" t="s">
        <v>115</v>
      </c>
      <c r="BA810" s="17" t="s">
        <v>458</v>
      </c>
      <c r="BB810" s="17" t="s">
        <v>109</v>
      </c>
      <c r="BP810" s="17" t="s">
        <v>3164</v>
      </c>
      <c r="BR810" s="24" t="str">
        <f t="shared" si="1"/>
        <v>Cranelle </v>
      </c>
    </row>
    <row r="811" ht="22.5" customHeight="1">
      <c r="A811" s="14">
        <v>46075.719739629625</v>
      </c>
      <c r="B811" s="15">
        <v>46074.0</v>
      </c>
      <c r="C811" s="16">
        <v>0.7083333333357587</v>
      </c>
      <c r="U811" s="17" t="s">
        <v>769</v>
      </c>
      <c r="V811" s="17" t="s">
        <v>769</v>
      </c>
      <c r="W811" s="17" t="s">
        <v>769</v>
      </c>
      <c r="AA811" s="17" t="s">
        <v>109</v>
      </c>
      <c r="AT811" s="17" t="s">
        <v>3165</v>
      </c>
      <c r="AU811" s="17" t="s">
        <v>109</v>
      </c>
      <c r="AZ811" s="17" t="s">
        <v>115</v>
      </c>
      <c r="BA811" s="17" t="s">
        <v>458</v>
      </c>
      <c r="BB811" s="17" t="s">
        <v>109</v>
      </c>
      <c r="BP811" s="17" t="s">
        <v>3166</v>
      </c>
      <c r="BR811" s="24" t="str">
        <f t="shared" si="1"/>
        <v>Aditya kitchen </v>
      </c>
    </row>
    <row r="812" ht="22.5" customHeight="1">
      <c r="A812" s="14">
        <v>46075.80253505787</v>
      </c>
      <c r="B812" s="15">
        <v>46073.0</v>
      </c>
      <c r="C812" s="16">
        <v>0.5381944444452529</v>
      </c>
      <c r="D812" s="17" t="s">
        <v>91</v>
      </c>
      <c r="F812" s="17">
        <v>40.0</v>
      </c>
      <c r="G812" s="17">
        <v>300.0</v>
      </c>
      <c r="H812" s="17" t="s">
        <v>388</v>
      </c>
      <c r="J812" s="17" t="s">
        <v>94</v>
      </c>
      <c r="K812" s="17" t="s">
        <v>118</v>
      </c>
      <c r="M812" s="17">
        <v>22.0</v>
      </c>
      <c r="N812" s="17">
        <v>1.0</v>
      </c>
      <c r="O812" s="17" t="s">
        <v>135</v>
      </c>
      <c r="P812" s="17" t="s">
        <v>109</v>
      </c>
      <c r="Q812" s="17" t="s">
        <v>97</v>
      </c>
      <c r="R812" s="17" t="s">
        <v>109</v>
      </c>
      <c r="S812" s="17" t="s">
        <v>117</v>
      </c>
      <c r="U812" s="17" t="s">
        <v>2792</v>
      </c>
      <c r="V812" s="17">
        <v>0.0</v>
      </c>
      <c r="W812" s="17" t="s">
        <v>117</v>
      </c>
      <c r="AA812" s="17" t="s">
        <v>76</v>
      </c>
      <c r="AC812" s="18" t="s">
        <v>3167</v>
      </c>
      <c r="AG812" s="18" t="s">
        <v>3168</v>
      </c>
      <c r="AS812" s="17" t="s">
        <v>76</v>
      </c>
      <c r="AT812" s="17" t="s">
        <v>3169</v>
      </c>
      <c r="AU812" s="17" t="s">
        <v>76</v>
      </c>
      <c r="AV812" s="17" t="s">
        <v>88</v>
      </c>
      <c r="AZ812" s="17" t="s">
        <v>287</v>
      </c>
      <c r="BA812" s="17" t="s">
        <v>458</v>
      </c>
      <c r="BB812" s="17" t="s">
        <v>76</v>
      </c>
      <c r="BI812" s="17" t="s">
        <v>109</v>
      </c>
      <c r="BM812" s="17" t="s">
        <v>2796</v>
      </c>
      <c r="BP812" s="17" t="s">
        <v>2797</v>
      </c>
      <c r="BR812" s="24" t="str">
        <f t="shared" si="1"/>
        <v>Raju Gari Bhimavaram Biryani</v>
      </c>
    </row>
    <row r="813" ht="22.5" customHeight="1">
      <c r="A813" s="14">
        <v>46075.80404818287</v>
      </c>
      <c r="B813" s="15">
        <v>46073.0</v>
      </c>
      <c r="C813" s="16">
        <v>0.5854166666686069</v>
      </c>
      <c r="U813" s="17" t="s">
        <v>2111</v>
      </c>
      <c r="V813" s="17">
        <v>0.0</v>
      </c>
      <c r="W813" s="17" t="s">
        <v>388</v>
      </c>
      <c r="AA813" s="17" t="s">
        <v>109</v>
      </c>
      <c r="AT813" s="17" t="s">
        <v>2042</v>
      </c>
      <c r="AU813" s="17" t="s">
        <v>76</v>
      </c>
      <c r="AV813" s="17" t="s">
        <v>472</v>
      </c>
      <c r="AZ813" s="17" t="s">
        <v>287</v>
      </c>
      <c r="BA813" s="17" t="s">
        <v>458</v>
      </c>
      <c r="BB813" s="17" t="s">
        <v>109</v>
      </c>
      <c r="BP813" s="17" t="s">
        <v>3170</v>
      </c>
      <c r="BR813" s="24" t="str">
        <f t="shared" si="1"/>
        <v>Dosa Hut</v>
      </c>
    </row>
    <row r="814" ht="22.5" customHeight="1">
      <c r="A814" s="14">
        <v>46075.80524782407</v>
      </c>
      <c r="B814" s="15">
        <v>46073.0</v>
      </c>
      <c r="C814" s="16">
        <v>0.5881944444408873</v>
      </c>
      <c r="U814" s="17" t="s">
        <v>2835</v>
      </c>
      <c r="V814" s="17">
        <v>8.977779072E9</v>
      </c>
      <c r="W814" s="17" t="s">
        <v>388</v>
      </c>
      <c r="AA814" s="17" t="s">
        <v>109</v>
      </c>
      <c r="AT814" s="17" t="s">
        <v>2836</v>
      </c>
      <c r="AU814" s="17" t="s">
        <v>76</v>
      </c>
      <c r="AV814" s="17" t="s">
        <v>472</v>
      </c>
      <c r="AZ814" s="17" t="s">
        <v>287</v>
      </c>
      <c r="BA814" s="17" t="s">
        <v>458</v>
      </c>
      <c r="BB814" s="17" t="s">
        <v>109</v>
      </c>
      <c r="BP814" s="17" t="s">
        <v>3171</v>
      </c>
      <c r="BR814" s="24" t="str">
        <f t="shared" si="1"/>
        <v>Upasana's Kitchen</v>
      </c>
    </row>
    <row r="815" ht="22.5" customHeight="1">
      <c r="A815" s="14">
        <v>46075.80621952546</v>
      </c>
      <c r="B815" s="15">
        <v>46073.0</v>
      </c>
      <c r="C815" s="16">
        <v>0.6166666666686069</v>
      </c>
      <c r="U815" s="17" t="s">
        <v>113</v>
      </c>
      <c r="V815" s="17">
        <v>0.0</v>
      </c>
      <c r="W815" s="17" t="s">
        <v>113</v>
      </c>
      <c r="AA815" s="17" t="s">
        <v>109</v>
      </c>
      <c r="AT815" s="17" t="s">
        <v>2836</v>
      </c>
      <c r="AU815" s="17" t="s">
        <v>76</v>
      </c>
      <c r="AV815" s="17" t="s">
        <v>472</v>
      </c>
      <c r="AZ815" s="17" t="s">
        <v>287</v>
      </c>
      <c r="BA815" s="17" t="s">
        <v>458</v>
      </c>
      <c r="BB815" s="17" t="s">
        <v>109</v>
      </c>
      <c r="BP815" s="17" t="s">
        <v>3172</v>
      </c>
      <c r="BR815" s="24" t="str">
        <f t="shared" si="1"/>
        <v>BFC Crispy And Spicy</v>
      </c>
    </row>
    <row r="816" ht="22.5" customHeight="1">
      <c r="A816" s="14">
        <v>46075.80722260417</v>
      </c>
      <c r="B816" s="15">
        <v>46073.0</v>
      </c>
      <c r="C816" s="16">
        <v>0.6201388888875954</v>
      </c>
      <c r="U816" s="17" t="s">
        <v>117</v>
      </c>
      <c r="V816" s="17">
        <v>0.0</v>
      </c>
      <c r="W816" s="17" t="s">
        <v>388</v>
      </c>
      <c r="AA816" s="17" t="s">
        <v>109</v>
      </c>
      <c r="AT816" s="17" t="s">
        <v>2836</v>
      </c>
      <c r="AU816" s="17" t="s">
        <v>76</v>
      </c>
      <c r="AV816" s="17" t="s">
        <v>472</v>
      </c>
      <c r="AZ816" s="17" t="s">
        <v>287</v>
      </c>
      <c r="BA816" s="17" t="s">
        <v>458</v>
      </c>
      <c r="BB816" s="17" t="s">
        <v>109</v>
      </c>
      <c r="BP816" s="17" t="s">
        <v>3173</v>
      </c>
      <c r="BR816" s="24" t="str">
        <f t="shared" si="1"/>
        <v>Pakka Local Food Court</v>
      </c>
    </row>
    <row r="817" ht="22.5" customHeight="1">
      <c r="A817" s="14">
        <v>46075.80870893519</v>
      </c>
      <c r="B817" s="15">
        <v>46073.0</v>
      </c>
      <c r="C817" s="16">
        <v>0.6263888888934162</v>
      </c>
      <c r="U817" s="17" t="s">
        <v>3174</v>
      </c>
      <c r="V817" s="17">
        <v>8.074507215E9</v>
      </c>
      <c r="W817" s="17" t="s">
        <v>388</v>
      </c>
      <c r="AA817" s="17" t="s">
        <v>109</v>
      </c>
      <c r="AT817" s="17" t="s">
        <v>3175</v>
      </c>
      <c r="AU817" s="17" t="s">
        <v>76</v>
      </c>
      <c r="AZ817" s="17" t="s">
        <v>287</v>
      </c>
      <c r="BA817" s="17" t="s">
        <v>458</v>
      </c>
      <c r="BB817" s="17" t="s">
        <v>109</v>
      </c>
      <c r="BP817" s="17" t="s">
        <v>3176</v>
      </c>
      <c r="BR817" s="24" t="str">
        <f t="shared" si="1"/>
        <v>Highway Resturant</v>
      </c>
    </row>
    <row r="818" ht="22.5" customHeight="1">
      <c r="A818" s="14">
        <v>46075.81047052083</v>
      </c>
      <c r="B818" s="15">
        <v>46073.0</v>
      </c>
      <c r="C818" s="16">
        <v>0.6534722222204437</v>
      </c>
      <c r="U818" s="17" t="s">
        <v>117</v>
      </c>
      <c r="V818" s="17">
        <v>9.441162225E9</v>
      </c>
      <c r="W818" s="17" t="s">
        <v>388</v>
      </c>
      <c r="AA818" s="17" t="s">
        <v>109</v>
      </c>
      <c r="AT818" s="17" t="s">
        <v>3177</v>
      </c>
      <c r="AU818" s="17" t="s">
        <v>76</v>
      </c>
      <c r="AV818" s="17" t="s">
        <v>271</v>
      </c>
      <c r="AX818" s="15">
        <v>46076.0</v>
      </c>
      <c r="AZ818" s="17" t="s">
        <v>287</v>
      </c>
      <c r="BA818" s="17" t="s">
        <v>458</v>
      </c>
      <c r="BB818" s="17" t="s">
        <v>109</v>
      </c>
      <c r="BP818" s="17" t="s">
        <v>3178</v>
      </c>
      <c r="BR818" s="24" t="str">
        <f t="shared" si="1"/>
        <v>Ulavacharu</v>
      </c>
    </row>
    <row r="819" ht="22.5" customHeight="1">
      <c r="A819" s="14">
        <v>46075.81187287037</v>
      </c>
      <c r="B819" s="15">
        <v>46073.0</v>
      </c>
      <c r="C819" s="16">
        <v>0.6604166666656965</v>
      </c>
      <c r="U819" s="17" t="s">
        <v>3179</v>
      </c>
      <c r="V819" s="17">
        <v>9.61854168E9</v>
      </c>
      <c r="W819" s="17" t="s">
        <v>388</v>
      </c>
      <c r="AA819" s="17" t="s">
        <v>109</v>
      </c>
      <c r="AT819" s="17" t="s">
        <v>2833</v>
      </c>
      <c r="AU819" s="17" t="s">
        <v>76</v>
      </c>
      <c r="AV819" s="17" t="s">
        <v>472</v>
      </c>
      <c r="AZ819" s="17" t="s">
        <v>287</v>
      </c>
      <c r="BA819" s="17" t="s">
        <v>458</v>
      </c>
      <c r="BB819" s="17" t="s">
        <v>109</v>
      </c>
      <c r="BP819" s="17" t="s">
        <v>3180</v>
      </c>
      <c r="BR819" s="24" t="str">
        <f t="shared" si="1"/>
        <v>Kakatiya Home Foods</v>
      </c>
    </row>
    <row r="820" ht="22.5" customHeight="1">
      <c r="A820" s="14">
        <v>46075.81324472222</v>
      </c>
      <c r="B820" s="15">
        <v>46073.0</v>
      </c>
      <c r="C820" s="16">
        <v>0.695138888884685</v>
      </c>
      <c r="U820" s="17" t="s">
        <v>3181</v>
      </c>
      <c r="V820" s="17">
        <v>0.0</v>
      </c>
      <c r="W820" s="17" t="s">
        <v>388</v>
      </c>
      <c r="AA820" s="17" t="s">
        <v>109</v>
      </c>
      <c r="AT820" s="17" t="s">
        <v>3182</v>
      </c>
      <c r="AU820" s="17" t="s">
        <v>76</v>
      </c>
      <c r="AV820" s="17" t="s">
        <v>472</v>
      </c>
      <c r="AZ820" s="17" t="s">
        <v>287</v>
      </c>
      <c r="BA820" s="17" t="s">
        <v>458</v>
      </c>
      <c r="BB820" s="17" t="s">
        <v>109</v>
      </c>
      <c r="BP820" s="17" t="s">
        <v>3183</v>
      </c>
      <c r="BR820" s="24" t="str">
        <f t="shared" si="1"/>
        <v>Sri Ragavendra Vihar</v>
      </c>
    </row>
    <row r="821" ht="22.5" customHeight="1">
      <c r="A821" s="14">
        <v>46075.81438994213</v>
      </c>
      <c r="B821" s="15">
        <v>46073.0</v>
      </c>
      <c r="C821" s="16">
        <v>0.6868055555532919</v>
      </c>
      <c r="U821" s="17" t="s">
        <v>3184</v>
      </c>
      <c r="V821" s="17">
        <v>8.179825296E9</v>
      </c>
      <c r="W821" s="17" t="s">
        <v>388</v>
      </c>
      <c r="AA821" s="17" t="s">
        <v>109</v>
      </c>
      <c r="AT821" s="17" t="s">
        <v>3185</v>
      </c>
      <c r="AU821" s="17" t="s">
        <v>76</v>
      </c>
      <c r="AV821" s="17" t="s">
        <v>472</v>
      </c>
      <c r="AZ821" s="17" t="s">
        <v>287</v>
      </c>
      <c r="BA821" s="17" t="s">
        <v>458</v>
      </c>
      <c r="BB821" s="17" t="s">
        <v>109</v>
      </c>
      <c r="BP821" s="17" t="s">
        <v>3186</v>
      </c>
      <c r="BR821" s="24" t="str">
        <f t="shared" si="1"/>
        <v>The Spicy Unions</v>
      </c>
    </row>
    <row r="822" ht="22.5" customHeight="1">
      <c r="A822" s="14">
        <v>46075.817370115736</v>
      </c>
      <c r="B822" s="15">
        <v>46073.0</v>
      </c>
      <c r="C822" s="16">
        <v>0.7006944444437977</v>
      </c>
      <c r="D822" s="17" t="s">
        <v>91</v>
      </c>
      <c r="F822" s="17">
        <v>20.0</v>
      </c>
      <c r="G822" s="17">
        <v>150.0</v>
      </c>
      <c r="H822" s="17" t="s">
        <v>388</v>
      </c>
      <c r="J822" s="17" t="s">
        <v>221</v>
      </c>
      <c r="K822" s="17" t="s">
        <v>95</v>
      </c>
      <c r="M822" s="17">
        <v>22.0</v>
      </c>
      <c r="N822" s="17">
        <v>1.0</v>
      </c>
      <c r="O822" s="17" t="s">
        <v>96</v>
      </c>
      <c r="P822" s="17" t="s">
        <v>109</v>
      </c>
      <c r="Q822" s="17" t="s">
        <v>97</v>
      </c>
      <c r="R822" s="17" t="s">
        <v>109</v>
      </c>
      <c r="S822" s="17" t="s">
        <v>388</v>
      </c>
      <c r="U822" s="17" t="s">
        <v>117</v>
      </c>
      <c r="V822" s="17">
        <v>0.0</v>
      </c>
      <c r="W822" s="17" t="s">
        <v>388</v>
      </c>
      <c r="AA822" s="17" t="s">
        <v>76</v>
      </c>
      <c r="AC822" s="18" t="s">
        <v>3187</v>
      </c>
      <c r="AS822" s="17" t="s">
        <v>76</v>
      </c>
      <c r="AT822" s="17" t="s">
        <v>3188</v>
      </c>
      <c r="AU822" s="17" t="s">
        <v>76</v>
      </c>
      <c r="AV822" s="17" t="s">
        <v>88</v>
      </c>
      <c r="AZ822" s="17" t="s">
        <v>287</v>
      </c>
      <c r="BA822" s="17" t="s">
        <v>458</v>
      </c>
      <c r="BB822" s="17" t="s">
        <v>76</v>
      </c>
      <c r="BM822" s="17" t="s">
        <v>2114</v>
      </c>
      <c r="BP822" s="17" t="s">
        <v>2801</v>
      </c>
      <c r="BR822" s="24" t="str">
        <f t="shared" si="1"/>
        <v>Sai Mumbai Famous</v>
      </c>
    </row>
    <row r="823" ht="22.5" customHeight="1">
      <c r="A823" s="14">
        <v>46076.47378074074</v>
      </c>
      <c r="B823" s="15">
        <v>46076.0</v>
      </c>
      <c r="C823" s="16">
        <v>0.47222222221898846</v>
      </c>
      <c r="U823" s="17" t="s">
        <v>2520</v>
      </c>
      <c r="V823" s="17">
        <v>999.0</v>
      </c>
      <c r="W823" s="17" t="s">
        <v>388</v>
      </c>
      <c r="AA823" s="17" t="s">
        <v>109</v>
      </c>
      <c r="AT823" s="17" t="s">
        <v>3189</v>
      </c>
      <c r="AU823" s="17" t="s">
        <v>76</v>
      </c>
      <c r="AV823" s="17" t="s">
        <v>472</v>
      </c>
      <c r="AZ823" s="17" t="s">
        <v>1910</v>
      </c>
      <c r="BA823" s="17" t="s">
        <v>458</v>
      </c>
      <c r="BB823" s="17" t="s">
        <v>109</v>
      </c>
      <c r="BP823" s="17" t="s">
        <v>3190</v>
      </c>
      <c r="BR823" s="24" t="str">
        <f t="shared" si="1"/>
        <v>Bheema Restaurant </v>
      </c>
    </row>
    <row r="824" ht="22.5" customHeight="1">
      <c r="A824" s="14">
        <v>46076.48097355324</v>
      </c>
      <c r="B824" s="15">
        <v>46076.0</v>
      </c>
      <c r="C824" s="16">
        <v>0.47916666666424135</v>
      </c>
      <c r="U824" s="17" t="s">
        <v>2092</v>
      </c>
      <c r="V824" s="17">
        <v>8.121825518E9</v>
      </c>
      <c r="W824" s="17" t="s">
        <v>388</v>
      </c>
      <c r="AA824" s="17" t="s">
        <v>109</v>
      </c>
      <c r="AT824" s="17" t="s">
        <v>3191</v>
      </c>
      <c r="AU824" s="17" t="s">
        <v>76</v>
      </c>
      <c r="AV824" s="17" t="s">
        <v>472</v>
      </c>
      <c r="AZ824" s="17" t="s">
        <v>1910</v>
      </c>
      <c r="BA824" s="17" t="s">
        <v>458</v>
      </c>
      <c r="BB824" s="17" t="s">
        <v>109</v>
      </c>
      <c r="BP824" s="17" t="s">
        <v>3192</v>
      </c>
      <c r="BR824" s="24" t="str">
        <f t="shared" si="1"/>
        <v>Farasha restaurant </v>
      </c>
    </row>
    <row r="825" ht="22.5" customHeight="1">
      <c r="A825" s="14">
        <v>46076.4839722801</v>
      </c>
      <c r="B825" s="15">
        <v>46076.0</v>
      </c>
      <c r="C825" s="16">
        <v>0.48263888889050577</v>
      </c>
      <c r="U825" s="17" t="s">
        <v>3193</v>
      </c>
      <c r="V825" s="17">
        <v>9.686943703E9</v>
      </c>
      <c r="W825" s="17" t="s">
        <v>388</v>
      </c>
      <c r="AA825" s="17" t="s">
        <v>109</v>
      </c>
      <c r="AT825" s="17" t="s">
        <v>1099</v>
      </c>
      <c r="AU825" s="17" t="s">
        <v>76</v>
      </c>
      <c r="AV825" s="17" t="s">
        <v>472</v>
      </c>
      <c r="AZ825" s="17" t="s">
        <v>1910</v>
      </c>
      <c r="BA825" s="17" t="s">
        <v>458</v>
      </c>
      <c r="BB825" s="17" t="s">
        <v>109</v>
      </c>
      <c r="BP825" s="17" t="s">
        <v>3194</v>
      </c>
      <c r="BR825" s="24" t="str">
        <f t="shared" si="1"/>
        <v>Arabian mandi</v>
      </c>
    </row>
    <row r="826" ht="22.5" customHeight="1">
      <c r="A826" s="14">
        <v>46076.48956570602</v>
      </c>
      <c r="B826" s="15">
        <v>46076.0</v>
      </c>
      <c r="C826" s="16">
        <v>0.47916666666424135</v>
      </c>
      <c r="D826" s="17" t="s">
        <v>91</v>
      </c>
      <c r="F826" s="17">
        <v>10.0</v>
      </c>
      <c r="G826" s="17">
        <v>350.0</v>
      </c>
      <c r="H826" s="17" t="s">
        <v>509</v>
      </c>
      <c r="I826" s="17">
        <v>25000.0</v>
      </c>
      <c r="J826" s="17" t="s">
        <v>94</v>
      </c>
      <c r="K826" s="17" t="s">
        <v>118</v>
      </c>
      <c r="N826" s="17">
        <v>2.0</v>
      </c>
      <c r="O826" s="17" t="s">
        <v>96</v>
      </c>
      <c r="P826" s="17" t="s">
        <v>76</v>
      </c>
      <c r="Q826" s="17" t="s">
        <v>97</v>
      </c>
      <c r="R826" s="17" t="s">
        <v>109</v>
      </c>
      <c r="S826" s="17" t="s">
        <v>3195</v>
      </c>
      <c r="U826" s="17" t="s">
        <v>3196</v>
      </c>
      <c r="V826" s="17" t="s">
        <v>3197</v>
      </c>
      <c r="W826" s="17" t="s">
        <v>388</v>
      </c>
      <c r="AA826" s="17" t="s">
        <v>76</v>
      </c>
      <c r="AB826" s="17">
        <v>2.3625032008397E13</v>
      </c>
      <c r="AC826" s="18" t="s">
        <v>3198</v>
      </c>
      <c r="AD826" s="17" t="s">
        <v>3199</v>
      </c>
      <c r="AE826" s="18" t="s">
        <v>3200</v>
      </c>
      <c r="AF826" s="17" t="s">
        <v>3201</v>
      </c>
      <c r="AG826" s="18" t="s">
        <v>3202</v>
      </c>
      <c r="AK826" s="18" t="s">
        <v>3203</v>
      </c>
      <c r="AL826" s="17" t="s">
        <v>3204</v>
      </c>
      <c r="AM826" s="17" t="s">
        <v>3205</v>
      </c>
      <c r="AN826" s="17" t="s">
        <v>3206</v>
      </c>
      <c r="AS826" s="17" t="s">
        <v>76</v>
      </c>
      <c r="AT826" s="17" t="s">
        <v>388</v>
      </c>
      <c r="AU826" s="17" t="s">
        <v>109</v>
      </c>
      <c r="AZ826" s="17" t="s">
        <v>151</v>
      </c>
      <c r="BA826" s="17" t="s">
        <v>458</v>
      </c>
      <c r="BB826" s="17" t="s">
        <v>76</v>
      </c>
      <c r="BH826" s="17">
        <v>20.0</v>
      </c>
      <c r="BJ826" s="16">
        <v>0.45833333333575865</v>
      </c>
      <c r="BK826" s="16">
        <v>0.9583333333357587</v>
      </c>
      <c r="BL826" s="17" t="s">
        <v>388</v>
      </c>
      <c r="BM826" s="17" t="s">
        <v>3207</v>
      </c>
      <c r="BN826" s="17" t="s">
        <v>3090</v>
      </c>
      <c r="BP826" s="17" t="s">
        <v>3208</v>
      </c>
      <c r="BR826" s="24" t="str">
        <f t="shared" si="1"/>
        <v>Bakely cafe</v>
      </c>
    </row>
    <row r="827" ht="22.5" customHeight="1">
      <c r="A827" s="14">
        <v>46076.49426471065</v>
      </c>
      <c r="B827" s="15">
        <v>46076.0</v>
      </c>
      <c r="C827" s="16">
        <v>0.47916666666424135</v>
      </c>
      <c r="D827" s="17" t="s">
        <v>111</v>
      </c>
      <c r="T827" s="17" t="s">
        <v>3206</v>
      </c>
      <c r="U827" s="17" t="s">
        <v>3209</v>
      </c>
      <c r="V827" s="17">
        <v>9.394141282E9</v>
      </c>
      <c r="W827" s="17" t="s">
        <v>388</v>
      </c>
      <c r="AA827" s="17" t="s">
        <v>76</v>
      </c>
      <c r="AB827" s="17">
        <v>2.3625032008397E13</v>
      </c>
      <c r="AC827" s="18" t="s">
        <v>3210</v>
      </c>
      <c r="AD827" s="17" t="s">
        <v>3211</v>
      </c>
      <c r="AE827" s="18" t="s">
        <v>3212</v>
      </c>
      <c r="AF827" s="17" t="s">
        <v>3213</v>
      </c>
      <c r="AG827" s="18" t="s">
        <v>3214</v>
      </c>
      <c r="AK827" s="18" t="s">
        <v>3215</v>
      </c>
      <c r="AL827" s="17" t="s">
        <v>3216</v>
      </c>
      <c r="AM827" s="17" t="s">
        <v>3217</v>
      </c>
      <c r="AN827" s="17" t="s">
        <v>3206</v>
      </c>
      <c r="AS827" s="17" t="s">
        <v>76</v>
      </c>
      <c r="AT827" s="17" t="s">
        <v>388</v>
      </c>
      <c r="AU827" s="17" t="s">
        <v>109</v>
      </c>
      <c r="AZ827" s="17" t="s">
        <v>151</v>
      </c>
      <c r="BA827" s="17" t="s">
        <v>458</v>
      </c>
      <c r="BB827" s="17" t="s">
        <v>76</v>
      </c>
      <c r="BH827" s="17">
        <v>20.0</v>
      </c>
      <c r="BI827" s="17" t="s">
        <v>109</v>
      </c>
      <c r="BJ827" s="16">
        <v>0.45833333333575865</v>
      </c>
      <c r="BK827" s="16">
        <v>0.9583333333357587</v>
      </c>
      <c r="BM827" s="17" t="s">
        <v>3207</v>
      </c>
      <c r="BP827" s="17" t="s">
        <v>3218</v>
      </c>
      <c r="BR827" s="24" t="str">
        <f t="shared" si="1"/>
        <v>The Bakely bakersThe bakely</v>
      </c>
    </row>
    <row r="828" ht="22.5" customHeight="1">
      <c r="A828" s="14">
        <v>46076.53012934027</v>
      </c>
      <c r="B828" s="15">
        <v>46076.0</v>
      </c>
      <c r="C828" s="16">
        <v>0.5270833333343035</v>
      </c>
      <c r="D828" s="17" t="s">
        <v>91</v>
      </c>
      <c r="F828" s="17">
        <v>100.0</v>
      </c>
      <c r="G828" s="17">
        <v>250.0</v>
      </c>
      <c r="H828" s="17" t="s">
        <v>388</v>
      </c>
      <c r="J828" s="17" t="s">
        <v>94</v>
      </c>
      <c r="K828" s="17" t="s">
        <v>134</v>
      </c>
      <c r="N828" s="17">
        <v>1.0</v>
      </c>
      <c r="O828" s="17" t="s">
        <v>3219</v>
      </c>
      <c r="P828" s="17" t="s">
        <v>109</v>
      </c>
      <c r="Q828" s="17" t="s">
        <v>97</v>
      </c>
      <c r="R828" s="17" t="s">
        <v>76</v>
      </c>
      <c r="S828" s="18" t="s">
        <v>3220</v>
      </c>
      <c r="U828" s="17" t="s">
        <v>1737</v>
      </c>
      <c r="V828" s="20" t="s">
        <v>3221</v>
      </c>
      <c r="W828" s="17" t="s">
        <v>388</v>
      </c>
      <c r="AA828" s="17" t="s">
        <v>109</v>
      </c>
      <c r="AT828" s="17" t="s">
        <v>2725</v>
      </c>
      <c r="AU828" s="17" t="s">
        <v>76</v>
      </c>
      <c r="AV828" s="17" t="s">
        <v>472</v>
      </c>
      <c r="AZ828" s="17" t="s">
        <v>1910</v>
      </c>
      <c r="BA828" s="17" t="s">
        <v>458</v>
      </c>
      <c r="BB828" s="17" t="s">
        <v>76</v>
      </c>
      <c r="BP828" s="17" t="s">
        <v>3222</v>
      </c>
      <c r="BR828" s="24" t="str">
        <f t="shared" si="1"/>
        <v>Aura telegu kitchen</v>
      </c>
    </row>
    <row r="829" ht="22.5" customHeight="1">
      <c r="A829" s="14">
        <v>46076.53462021991</v>
      </c>
      <c r="B829" s="15">
        <v>46076.0</v>
      </c>
      <c r="C829" s="16">
        <v>0.5326388888934162</v>
      </c>
      <c r="D829" s="17" t="s">
        <v>91</v>
      </c>
      <c r="F829" s="17">
        <v>46.0</v>
      </c>
      <c r="G829" s="17">
        <v>400.0</v>
      </c>
      <c r="H829" s="17" t="s">
        <v>423</v>
      </c>
      <c r="J829" s="17" t="s">
        <v>167</v>
      </c>
      <c r="K829" s="17" t="s">
        <v>134</v>
      </c>
      <c r="N829" s="17">
        <v>1.0</v>
      </c>
      <c r="O829" s="17" t="s">
        <v>135</v>
      </c>
      <c r="P829" s="17" t="s">
        <v>76</v>
      </c>
      <c r="Q829" s="17" t="s">
        <v>97</v>
      </c>
      <c r="R829" s="17" t="s">
        <v>98</v>
      </c>
      <c r="S829" s="18" t="s">
        <v>3223</v>
      </c>
      <c r="U829" s="17" t="s">
        <v>3224</v>
      </c>
      <c r="V829" s="17">
        <v>9.833858958E9</v>
      </c>
      <c r="W829" s="17" t="s">
        <v>957</v>
      </c>
      <c r="AA829" s="17" t="s">
        <v>109</v>
      </c>
      <c r="AT829" s="17" t="s">
        <v>3225</v>
      </c>
      <c r="AU829" s="17" t="s">
        <v>76</v>
      </c>
      <c r="AV829" s="17" t="s">
        <v>472</v>
      </c>
      <c r="AZ829" s="17" t="s">
        <v>1910</v>
      </c>
      <c r="BA829" s="17" t="s">
        <v>458</v>
      </c>
      <c r="BB829" s="17" t="s">
        <v>76</v>
      </c>
      <c r="BL829" s="17" t="s">
        <v>594</v>
      </c>
      <c r="BP829" s="17" t="s">
        <v>3226</v>
      </c>
      <c r="BR829" s="24" t="str">
        <f t="shared" si="1"/>
        <v>Chinese Chinese kitchen </v>
      </c>
    </row>
    <row r="830" ht="22.5" customHeight="1">
      <c r="A830" s="14">
        <v>46076.54239298611</v>
      </c>
      <c r="B830" s="15">
        <v>46076.0</v>
      </c>
      <c r="C830" s="16">
        <v>0.5409722222248092</v>
      </c>
      <c r="U830" s="17" t="s">
        <v>3227</v>
      </c>
      <c r="V830" s="17">
        <v>7.993021641E9</v>
      </c>
      <c r="W830" s="17" t="s">
        <v>388</v>
      </c>
      <c r="AA830" s="17" t="s">
        <v>109</v>
      </c>
      <c r="AT830" s="17" t="s">
        <v>3189</v>
      </c>
      <c r="AU830" s="17" t="s">
        <v>76</v>
      </c>
      <c r="AV830" s="17" t="s">
        <v>472</v>
      </c>
      <c r="AZ830" s="17" t="s">
        <v>1910</v>
      </c>
      <c r="BA830" s="17" t="s">
        <v>458</v>
      </c>
      <c r="BB830" s="17" t="s">
        <v>109</v>
      </c>
      <c r="BP830" s="17" t="s">
        <v>3228</v>
      </c>
      <c r="BR830" s="24" t="str">
        <f t="shared" si="1"/>
        <v>Biriyani &amp; bagara</v>
      </c>
    </row>
    <row r="831" ht="22.5" customHeight="1">
      <c r="A831" s="14">
        <v>46076.5791359838</v>
      </c>
      <c r="B831" s="15">
        <v>46076.0</v>
      </c>
      <c r="C831" s="16">
        <v>0.08333333333575865</v>
      </c>
      <c r="D831" s="17" t="s">
        <v>91</v>
      </c>
      <c r="F831" s="17">
        <v>42.0</v>
      </c>
      <c r="G831" s="17">
        <v>250.0</v>
      </c>
      <c r="H831" s="17" t="s">
        <v>3229</v>
      </c>
      <c r="J831" s="17" t="s">
        <v>94</v>
      </c>
      <c r="K831" s="17" t="s">
        <v>134</v>
      </c>
      <c r="N831" s="17">
        <v>1.0</v>
      </c>
      <c r="O831" s="17" t="s">
        <v>135</v>
      </c>
      <c r="P831" s="17" t="s">
        <v>76</v>
      </c>
      <c r="Q831" s="17" t="s">
        <v>97</v>
      </c>
      <c r="R831" s="17" t="s">
        <v>98</v>
      </c>
      <c r="S831" s="18" t="s">
        <v>3230</v>
      </c>
      <c r="U831" s="17" t="s">
        <v>3231</v>
      </c>
      <c r="V831" s="20" t="s">
        <v>2734</v>
      </c>
      <c r="W831" s="17" t="s">
        <v>3232</v>
      </c>
      <c r="AA831" s="17" t="s">
        <v>109</v>
      </c>
      <c r="AT831" s="17" t="s">
        <v>3233</v>
      </c>
      <c r="AU831" s="17" t="s">
        <v>76</v>
      </c>
      <c r="AV831" s="17" t="s">
        <v>472</v>
      </c>
      <c r="AZ831" s="17" t="s">
        <v>1910</v>
      </c>
      <c r="BA831" s="17" t="s">
        <v>458</v>
      </c>
      <c r="BB831" s="17" t="s">
        <v>76</v>
      </c>
      <c r="BL831" s="17" t="s">
        <v>3234</v>
      </c>
      <c r="BP831" s="17" t="s">
        <v>3235</v>
      </c>
      <c r="BR831" s="24" t="str">
        <f t="shared" si="1"/>
        <v>Sri Mama"s kitchen</v>
      </c>
    </row>
    <row r="832" ht="22.5" customHeight="1">
      <c r="A832" s="14">
        <v>46076.598286423614</v>
      </c>
      <c r="B832" s="15">
        <v>46076.0</v>
      </c>
      <c r="C832" s="16">
        <v>0.09722222221898846</v>
      </c>
      <c r="U832" s="17" t="s">
        <v>3236</v>
      </c>
      <c r="V832" s="17">
        <v>6.301481281E9</v>
      </c>
      <c r="W832" s="18" t="s">
        <v>3237</v>
      </c>
      <c r="AA832" s="17" t="s">
        <v>109</v>
      </c>
      <c r="AT832" s="17" t="s">
        <v>3189</v>
      </c>
      <c r="AU832" s="17" t="s">
        <v>76</v>
      </c>
      <c r="AV832" s="17" t="s">
        <v>472</v>
      </c>
      <c r="AZ832" s="17" t="s">
        <v>1910</v>
      </c>
      <c r="BA832" s="17" t="s">
        <v>458</v>
      </c>
      <c r="BB832" s="17" t="s">
        <v>109</v>
      </c>
      <c r="BP832" s="17" t="s">
        <v>3238</v>
      </c>
      <c r="BR832" s="24" t="str">
        <f t="shared" si="1"/>
        <v>Alfa MadrEat</v>
      </c>
    </row>
    <row r="833" ht="22.5" customHeight="1">
      <c r="A833" s="14">
        <v>46076.60198516204</v>
      </c>
      <c r="B833" s="15">
        <v>46076.0</v>
      </c>
      <c r="C833" s="16">
        <v>0.5625</v>
      </c>
      <c r="D833" s="17" t="s">
        <v>91</v>
      </c>
      <c r="F833" s="17">
        <v>100.0</v>
      </c>
      <c r="G833" s="17">
        <v>300.0</v>
      </c>
      <c r="H833" s="17" t="s">
        <v>388</v>
      </c>
      <c r="I833" s="17">
        <v>30000.0</v>
      </c>
      <c r="J833" s="17" t="s">
        <v>94</v>
      </c>
      <c r="N833" s="17">
        <v>5.0</v>
      </c>
      <c r="O833" s="17" t="s">
        <v>135</v>
      </c>
      <c r="P833" s="17" t="s">
        <v>109</v>
      </c>
      <c r="Q833" s="17" t="s">
        <v>97</v>
      </c>
      <c r="R833" s="17" t="s">
        <v>98</v>
      </c>
      <c r="S833" s="18" t="s">
        <v>3239</v>
      </c>
      <c r="U833" s="17" t="s">
        <v>3240</v>
      </c>
      <c r="V833" s="17">
        <v>7.032209668E9</v>
      </c>
      <c r="W833" s="17" t="s">
        <v>388</v>
      </c>
      <c r="AA833" s="17" t="s">
        <v>76</v>
      </c>
      <c r="AB833" s="17">
        <v>2.3625032006945E13</v>
      </c>
      <c r="AC833" s="18" t="s">
        <v>3241</v>
      </c>
      <c r="AD833" s="17" t="s">
        <v>388</v>
      </c>
      <c r="AF833" s="17" t="s">
        <v>3201</v>
      </c>
      <c r="AG833" s="18" t="s">
        <v>3242</v>
      </c>
      <c r="AK833" s="18" t="s">
        <v>3243</v>
      </c>
      <c r="AL833" s="17">
        <v>5.0100788335152E13</v>
      </c>
      <c r="AM833" s="17" t="s">
        <v>3244</v>
      </c>
      <c r="AN833" s="17" t="s">
        <v>3245</v>
      </c>
      <c r="AS833" s="17" t="s">
        <v>76</v>
      </c>
      <c r="AT833" s="17" t="s">
        <v>388</v>
      </c>
      <c r="AU833" s="17" t="s">
        <v>109</v>
      </c>
      <c r="AZ833" s="17" t="s">
        <v>151</v>
      </c>
      <c r="BA833" s="17" t="s">
        <v>458</v>
      </c>
      <c r="BB833" s="17" t="s">
        <v>76</v>
      </c>
      <c r="BH833" s="17">
        <v>23.0</v>
      </c>
      <c r="BI833" s="17" t="s">
        <v>76</v>
      </c>
      <c r="BJ833" s="16">
        <v>0.0</v>
      </c>
      <c r="BK833" s="16">
        <v>0.9993055555532919</v>
      </c>
      <c r="BM833" s="17" t="s">
        <v>3246</v>
      </c>
      <c r="BN833" s="17" t="s">
        <v>3087</v>
      </c>
      <c r="BP833" s="17" t="s">
        <v>3247</v>
      </c>
      <c r="BR833" s="24" t="str">
        <f t="shared" si="1"/>
        <v>Dostan Meals &amp; snacks</v>
      </c>
    </row>
    <row r="834" ht="22.5" customHeight="1">
      <c r="A834" s="14">
        <v>46076.606775277774</v>
      </c>
      <c r="B834" s="15">
        <v>46076.0</v>
      </c>
      <c r="C834" s="16">
        <v>0.10486111111094942</v>
      </c>
      <c r="D834" s="17" t="s">
        <v>91</v>
      </c>
      <c r="F834" s="17">
        <v>20.0</v>
      </c>
      <c r="G834" s="17">
        <v>300.0</v>
      </c>
      <c r="H834" s="17" t="s">
        <v>117</v>
      </c>
      <c r="J834" s="17" t="s">
        <v>94</v>
      </c>
      <c r="N834" s="17">
        <v>1.0</v>
      </c>
      <c r="O834" s="17" t="s">
        <v>135</v>
      </c>
      <c r="P834" s="17" t="s">
        <v>109</v>
      </c>
      <c r="Q834" s="17" t="s">
        <v>97</v>
      </c>
      <c r="R834" s="17" t="s">
        <v>98</v>
      </c>
      <c r="S834" s="18" t="s">
        <v>3248</v>
      </c>
      <c r="U834" s="17" t="s">
        <v>2092</v>
      </c>
      <c r="V834" s="17">
        <v>9.177844625E9</v>
      </c>
      <c r="W834" s="17" t="s">
        <v>388</v>
      </c>
      <c r="AA834" s="17" t="s">
        <v>109</v>
      </c>
      <c r="AT834" s="17" t="s">
        <v>3249</v>
      </c>
      <c r="AU834" s="17" t="s">
        <v>76</v>
      </c>
      <c r="AV834" s="17" t="s">
        <v>472</v>
      </c>
      <c r="AZ834" s="17" t="s">
        <v>1910</v>
      </c>
      <c r="BA834" s="17" t="s">
        <v>458</v>
      </c>
      <c r="BB834" s="17" t="s">
        <v>76</v>
      </c>
      <c r="BL834" s="17" t="s">
        <v>388</v>
      </c>
      <c r="BP834" s="17" t="s">
        <v>3250</v>
      </c>
      <c r="BR834" s="24" t="str">
        <f t="shared" si="1"/>
        <v>fushion xps</v>
      </c>
    </row>
    <row r="835" ht="22.5" customHeight="1">
      <c r="A835" s="14">
        <v>46076.608594537036</v>
      </c>
      <c r="B835" s="15">
        <v>46076.0</v>
      </c>
      <c r="C835" s="16">
        <v>0.5625</v>
      </c>
      <c r="D835" s="17" t="s">
        <v>91</v>
      </c>
      <c r="F835" s="17">
        <v>100.0</v>
      </c>
      <c r="G835" s="17">
        <v>300.0</v>
      </c>
      <c r="H835" s="17" t="s">
        <v>388</v>
      </c>
      <c r="I835" s="17">
        <v>35000.0</v>
      </c>
      <c r="J835" s="17" t="s">
        <v>94</v>
      </c>
      <c r="N835" s="17">
        <v>1.0</v>
      </c>
      <c r="O835" s="17" t="s">
        <v>135</v>
      </c>
      <c r="P835" s="17" t="s">
        <v>109</v>
      </c>
      <c r="Q835" s="17" t="s">
        <v>97</v>
      </c>
      <c r="R835" s="17" t="s">
        <v>109</v>
      </c>
      <c r="S835" s="18" t="s">
        <v>3251</v>
      </c>
      <c r="U835" s="17" t="s">
        <v>3252</v>
      </c>
      <c r="V835" s="17">
        <v>7.032209667E9</v>
      </c>
      <c r="W835" s="17" t="s">
        <v>388</v>
      </c>
      <c r="AA835" s="17" t="s">
        <v>76</v>
      </c>
      <c r="AB835" s="17">
        <v>2.3625032006945E13</v>
      </c>
      <c r="AC835" s="18" t="s">
        <v>3253</v>
      </c>
      <c r="AF835" s="17" t="s">
        <v>3201</v>
      </c>
      <c r="AI835" s="18" t="s">
        <v>3254</v>
      </c>
      <c r="AK835" s="18" t="s">
        <v>3255</v>
      </c>
      <c r="AL835" s="17">
        <v>5.0100788335152E13</v>
      </c>
      <c r="AM835" s="17" t="s">
        <v>3256</v>
      </c>
      <c r="AN835" s="17" t="s">
        <v>3257</v>
      </c>
      <c r="AS835" s="17" t="s">
        <v>76</v>
      </c>
      <c r="AT835" s="17" t="s">
        <v>388</v>
      </c>
      <c r="AU835" s="17" t="s">
        <v>109</v>
      </c>
      <c r="AZ835" s="17" t="s">
        <v>151</v>
      </c>
      <c r="BA835" s="17" t="s">
        <v>458</v>
      </c>
      <c r="BB835" s="17" t="s">
        <v>76</v>
      </c>
      <c r="BH835" s="17">
        <v>23.0</v>
      </c>
      <c r="BI835" s="17" t="s">
        <v>76</v>
      </c>
      <c r="BJ835" s="16">
        <v>0.0</v>
      </c>
      <c r="BK835" s="16">
        <v>0.9993055555532919</v>
      </c>
      <c r="BM835" s="17" t="s">
        <v>3246</v>
      </c>
      <c r="BN835" s="17" t="s">
        <v>981</v>
      </c>
      <c r="BP835" s="17" t="s">
        <v>3258</v>
      </c>
      <c r="BR835" s="24" t="str">
        <f t="shared" si="1"/>
        <v>Dostan Fast food </v>
      </c>
    </row>
    <row r="836" ht="22.5" customHeight="1">
      <c r="A836" s="14">
        <v>46076.613186539355</v>
      </c>
      <c r="B836" s="15">
        <v>46076.0</v>
      </c>
      <c r="C836" s="16">
        <v>0.5625</v>
      </c>
      <c r="D836" s="17" t="s">
        <v>91</v>
      </c>
      <c r="F836" s="17">
        <v>100.0</v>
      </c>
      <c r="G836" s="17">
        <v>300.0</v>
      </c>
      <c r="H836" s="17" t="s">
        <v>388</v>
      </c>
      <c r="I836" s="17">
        <v>30000.0</v>
      </c>
      <c r="J836" s="17" t="s">
        <v>94</v>
      </c>
      <c r="K836" s="17" t="s">
        <v>95</v>
      </c>
      <c r="N836" s="17">
        <v>5.0</v>
      </c>
      <c r="O836" s="17" t="s">
        <v>135</v>
      </c>
      <c r="P836" s="17" t="s">
        <v>109</v>
      </c>
      <c r="Q836" s="17" t="s">
        <v>97</v>
      </c>
      <c r="R836" s="17" t="s">
        <v>109</v>
      </c>
      <c r="S836" s="18" t="s">
        <v>3259</v>
      </c>
      <c r="U836" s="17" t="s">
        <v>3240</v>
      </c>
      <c r="V836" s="17">
        <v>7.032209668E9</v>
      </c>
      <c r="W836" s="17" t="s">
        <v>388</v>
      </c>
      <c r="AA836" s="17" t="s">
        <v>76</v>
      </c>
      <c r="AB836" s="17">
        <v>2.3625032006945E13</v>
      </c>
      <c r="AC836" s="18" t="s">
        <v>3260</v>
      </c>
      <c r="AF836" s="17" t="s">
        <v>3261</v>
      </c>
      <c r="AG836" s="18" t="s">
        <v>3262</v>
      </c>
      <c r="AK836" s="18" t="s">
        <v>3263</v>
      </c>
      <c r="AL836" s="17">
        <v>5.0100788335152E13</v>
      </c>
      <c r="AM836" s="17" t="s">
        <v>3256</v>
      </c>
      <c r="AN836" s="17" t="s">
        <v>3257</v>
      </c>
      <c r="AS836" s="17" t="s">
        <v>76</v>
      </c>
      <c r="AT836" s="17" t="s">
        <v>388</v>
      </c>
      <c r="AU836" s="17" t="s">
        <v>109</v>
      </c>
      <c r="AZ836" s="17" t="s">
        <v>151</v>
      </c>
      <c r="BA836" s="17" t="s">
        <v>458</v>
      </c>
      <c r="BB836" s="17" t="s">
        <v>76</v>
      </c>
      <c r="BH836" s="21">
        <v>0.23</v>
      </c>
      <c r="BI836" s="17" t="s">
        <v>76</v>
      </c>
      <c r="BJ836" s="16">
        <v>0.0</v>
      </c>
      <c r="BK836" s="16">
        <v>0.9993055555532919</v>
      </c>
      <c r="BM836" s="17" t="s">
        <v>3246</v>
      </c>
      <c r="BN836" s="17" t="s">
        <v>3087</v>
      </c>
      <c r="BP836" s="17" t="s">
        <v>3264</v>
      </c>
      <c r="BR836" s="24" t="str">
        <f t="shared" si="1"/>
        <v>Dostan Tiffins</v>
      </c>
    </row>
    <row r="837" ht="22.5" customHeight="1">
      <c r="A837" s="14">
        <v>46076.61720770833</v>
      </c>
      <c r="B837" s="15">
        <v>46076.0</v>
      </c>
      <c r="C837" s="16">
        <v>0.5625</v>
      </c>
      <c r="D837" s="17" t="s">
        <v>91</v>
      </c>
      <c r="F837" s="17">
        <v>100.0</v>
      </c>
      <c r="G837" s="17">
        <v>300.0</v>
      </c>
      <c r="H837" s="17" t="s">
        <v>388</v>
      </c>
      <c r="J837" s="17" t="s">
        <v>94</v>
      </c>
      <c r="N837" s="17">
        <v>5.0</v>
      </c>
      <c r="O837" s="17" t="s">
        <v>135</v>
      </c>
      <c r="P837" s="17" t="s">
        <v>109</v>
      </c>
      <c r="Q837" s="17" t="s">
        <v>97</v>
      </c>
      <c r="R837" s="17" t="s">
        <v>98</v>
      </c>
      <c r="S837" s="18" t="s">
        <v>3265</v>
      </c>
      <c r="U837" s="17" t="s">
        <v>3252</v>
      </c>
      <c r="V837" s="17">
        <v>7.032209668E9</v>
      </c>
      <c r="W837" s="17" t="s">
        <v>388</v>
      </c>
      <c r="AA837" s="17" t="s">
        <v>76</v>
      </c>
      <c r="AB837" s="17">
        <v>2.3625032006945E13</v>
      </c>
      <c r="AC837" s="18" t="s">
        <v>3266</v>
      </c>
      <c r="AF837" s="17" t="s">
        <v>3261</v>
      </c>
      <c r="AG837" s="18" t="s">
        <v>3267</v>
      </c>
      <c r="AK837" s="18" t="s">
        <v>3268</v>
      </c>
      <c r="AL837" s="17">
        <v>5.0100788335152E13</v>
      </c>
      <c r="AM837" s="17" t="s">
        <v>3256</v>
      </c>
      <c r="AN837" s="17" t="s">
        <v>3257</v>
      </c>
      <c r="AS837" s="17" t="s">
        <v>76</v>
      </c>
      <c r="AT837" s="17" t="s">
        <v>388</v>
      </c>
      <c r="AU837" s="17" t="s">
        <v>109</v>
      </c>
      <c r="AZ837" s="17" t="s">
        <v>151</v>
      </c>
      <c r="BA837" s="17" t="s">
        <v>458</v>
      </c>
      <c r="BB837" s="17" t="s">
        <v>76</v>
      </c>
      <c r="BH837" s="17">
        <v>23.0</v>
      </c>
      <c r="BI837" s="17" t="s">
        <v>76</v>
      </c>
      <c r="BJ837" s="16">
        <v>0.0</v>
      </c>
      <c r="BK837" s="16">
        <v>0.9993055555532919</v>
      </c>
      <c r="BM837" s="17" t="s">
        <v>3246</v>
      </c>
      <c r="BN837" s="17" t="s">
        <v>3087</v>
      </c>
      <c r="BP837" s="17" t="s">
        <v>3269</v>
      </c>
      <c r="BR837" s="24" t="str">
        <f t="shared" si="1"/>
        <v>Dostan Shawarma </v>
      </c>
    </row>
    <row r="838" ht="22.5" customHeight="1">
      <c r="A838" s="14">
        <v>46076.620804618055</v>
      </c>
      <c r="B838" s="15">
        <v>46076.0</v>
      </c>
      <c r="C838" s="16">
        <v>0.5625</v>
      </c>
      <c r="D838" s="17" t="s">
        <v>91</v>
      </c>
      <c r="F838" s="17">
        <v>100.0</v>
      </c>
      <c r="G838" s="17">
        <v>400.0</v>
      </c>
      <c r="H838" s="17" t="s">
        <v>388</v>
      </c>
      <c r="I838" s="17">
        <v>50000.0</v>
      </c>
      <c r="J838" s="17" t="s">
        <v>94</v>
      </c>
      <c r="K838" s="17" t="s">
        <v>95</v>
      </c>
      <c r="N838" s="17">
        <v>5.0</v>
      </c>
      <c r="O838" s="17" t="s">
        <v>135</v>
      </c>
      <c r="P838" s="17" t="s">
        <v>109</v>
      </c>
      <c r="Q838" s="17" t="s">
        <v>97</v>
      </c>
      <c r="R838" s="17" t="s">
        <v>98</v>
      </c>
      <c r="S838" s="18" t="s">
        <v>3270</v>
      </c>
      <c r="U838" s="17" t="s">
        <v>3252</v>
      </c>
      <c r="V838" s="17">
        <v>7.032209668E9</v>
      </c>
      <c r="W838" s="17" t="s">
        <v>388</v>
      </c>
      <c r="AA838" s="17" t="s">
        <v>76</v>
      </c>
      <c r="AB838" s="17">
        <v>2.3625032006945E13</v>
      </c>
      <c r="AC838" s="18" t="s">
        <v>3271</v>
      </c>
      <c r="AF838" s="17" t="s">
        <v>3261</v>
      </c>
      <c r="AG838" s="18" t="s">
        <v>3272</v>
      </c>
      <c r="AK838" s="18" t="s">
        <v>3273</v>
      </c>
      <c r="AL838" s="17">
        <v>5.0100788335152E13</v>
      </c>
      <c r="AM838" s="17" t="s">
        <v>3256</v>
      </c>
      <c r="AN838" s="17" t="s">
        <v>3257</v>
      </c>
      <c r="AS838" s="17" t="s">
        <v>76</v>
      </c>
      <c r="AT838" s="17" t="s">
        <v>388</v>
      </c>
      <c r="AU838" s="17" t="s">
        <v>109</v>
      </c>
      <c r="AZ838" s="17" t="s">
        <v>151</v>
      </c>
      <c r="BA838" s="17" t="s">
        <v>458</v>
      </c>
      <c r="BB838" s="17" t="s">
        <v>76</v>
      </c>
      <c r="BH838" s="17">
        <v>23.0</v>
      </c>
      <c r="BI838" s="17" t="s">
        <v>76</v>
      </c>
      <c r="BJ838" s="16">
        <v>0.0</v>
      </c>
      <c r="BK838" s="16">
        <v>0.9583333333357587</v>
      </c>
      <c r="BM838" s="17" t="s">
        <v>3087</v>
      </c>
      <c r="BN838" s="17" t="s">
        <v>3246</v>
      </c>
      <c r="BP838" s="17" t="s">
        <v>3274</v>
      </c>
      <c r="BR838" s="24" t="str">
        <f t="shared" si="1"/>
        <v>Dostan Biryani's</v>
      </c>
    </row>
    <row r="839" ht="22.5" customHeight="1">
      <c r="A839" s="14">
        <v>46076.63038607639</v>
      </c>
      <c r="B839" s="15">
        <v>46076.0</v>
      </c>
      <c r="C839" s="16">
        <v>0.41666666666424135</v>
      </c>
      <c r="D839" s="17" t="s">
        <v>91</v>
      </c>
      <c r="F839" s="17">
        <v>50.0</v>
      </c>
      <c r="G839" s="17">
        <v>260.0</v>
      </c>
      <c r="H839" s="17" t="s">
        <v>388</v>
      </c>
      <c r="I839" s="17">
        <v>30000.0</v>
      </c>
      <c r="J839" s="17" t="s">
        <v>94</v>
      </c>
      <c r="K839" s="17" t="s">
        <v>134</v>
      </c>
      <c r="N839" s="17">
        <v>1.0</v>
      </c>
      <c r="O839" s="17" t="s">
        <v>135</v>
      </c>
      <c r="P839" s="17" t="s">
        <v>109</v>
      </c>
      <c r="Q839" s="17" t="s">
        <v>97</v>
      </c>
      <c r="R839" s="17" t="s">
        <v>109</v>
      </c>
      <c r="S839" s="17" t="s">
        <v>3275</v>
      </c>
      <c r="U839" s="17" t="s">
        <v>3276</v>
      </c>
      <c r="V839" s="17">
        <v>9.866305976E9</v>
      </c>
      <c r="W839" s="17" t="s">
        <v>388</v>
      </c>
      <c r="AA839" s="17" t="s">
        <v>76</v>
      </c>
      <c r="AF839" s="17" t="s">
        <v>3277</v>
      </c>
      <c r="AG839" s="18" t="s">
        <v>3278</v>
      </c>
      <c r="AK839" s="18" t="s">
        <v>3279</v>
      </c>
      <c r="AL839" s="17">
        <v>5.936315853E9</v>
      </c>
      <c r="AM839" s="17" t="s">
        <v>3280</v>
      </c>
      <c r="AN839" s="17" t="s">
        <v>3281</v>
      </c>
      <c r="AS839" s="17" t="s">
        <v>76</v>
      </c>
      <c r="AT839" s="17" t="s">
        <v>388</v>
      </c>
      <c r="AU839" s="17" t="s">
        <v>109</v>
      </c>
      <c r="AZ839" s="17" t="s">
        <v>151</v>
      </c>
      <c r="BA839" s="17" t="s">
        <v>458</v>
      </c>
      <c r="BB839" s="17" t="s">
        <v>76</v>
      </c>
      <c r="BH839" s="17">
        <v>23.0</v>
      </c>
      <c r="BI839" s="17" t="s">
        <v>76</v>
      </c>
      <c r="BJ839" s="16">
        <v>0.5</v>
      </c>
      <c r="BK839" s="16">
        <v>0.9993055555532919</v>
      </c>
      <c r="BM839" s="17" t="s">
        <v>3282</v>
      </c>
      <c r="BN839" s="17" t="s">
        <v>3090</v>
      </c>
      <c r="BP839" s="17" t="s">
        <v>3283</v>
      </c>
      <c r="BR839" s="24" t="str">
        <f t="shared" si="1"/>
        <v>The Hungry Spot</v>
      </c>
    </row>
    <row r="840" ht="22.5" customHeight="1">
      <c r="A840" s="14">
        <v>46076.67884341435</v>
      </c>
      <c r="B840" s="15">
        <v>46076.0</v>
      </c>
      <c r="C840" s="16">
        <v>0.49097222222189885</v>
      </c>
      <c r="U840" s="17" t="s">
        <v>388</v>
      </c>
      <c r="V840" s="17">
        <v>0.0</v>
      </c>
      <c r="W840" s="17" t="s">
        <v>388</v>
      </c>
      <c r="AA840" s="17" t="s">
        <v>109</v>
      </c>
      <c r="AT840" s="17" t="s">
        <v>3284</v>
      </c>
      <c r="AU840" s="17" t="s">
        <v>76</v>
      </c>
      <c r="AV840" s="17" t="s">
        <v>472</v>
      </c>
      <c r="AZ840" s="17" t="s">
        <v>287</v>
      </c>
      <c r="BA840" s="17" t="s">
        <v>458</v>
      </c>
      <c r="BB840" s="17" t="s">
        <v>109</v>
      </c>
      <c r="BP840" s="17" t="s">
        <v>3285</v>
      </c>
      <c r="BR840" s="24" t="str">
        <f t="shared" si="1"/>
        <v>Imperial restaurant </v>
      </c>
    </row>
    <row r="841" ht="22.5" customHeight="1">
      <c r="A841" s="14">
        <v>46076.679733854166</v>
      </c>
      <c r="B841" s="15">
        <v>46076.0</v>
      </c>
      <c r="C841" s="16">
        <v>0.5208333333357587</v>
      </c>
      <c r="U841" s="17" t="s">
        <v>3286</v>
      </c>
      <c r="V841" s="17">
        <v>9.391777337E9</v>
      </c>
      <c r="W841" s="17" t="s">
        <v>769</v>
      </c>
      <c r="AA841" s="17" t="s">
        <v>109</v>
      </c>
      <c r="AT841" s="17" t="s">
        <v>3287</v>
      </c>
      <c r="AU841" s="17" t="s">
        <v>76</v>
      </c>
      <c r="AV841" s="17" t="s">
        <v>472</v>
      </c>
      <c r="AX841" s="15">
        <v>46077.0</v>
      </c>
      <c r="AY841" s="16">
        <v>0.5416666666642413</v>
      </c>
      <c r="AZ841" s="17" t="s">
        <v>115</v>
      </c>
      <c r="BA841" s="17" t="s">
        <v>458</v>
      </c>
      <c r="BB841" s="17" t="s">
        <v>109</v>
      </c>
      <c r="BP841" s="17" t="s">
        <v>3288</v>
      </c>
      <c r="BR841" s="24" t="str">
        <f t="shared" si="1"/>
        <v>Firdous hotel</v>
      </c>
    </row>
    <row r="842" ht="22.5" customHeight="1">
      <c r="A842" s="14">
        <v>46076.68065978009</v>
      </c>
      <c r="B842" s="15">
        <v>46076.0</v>
      </c>
      <c r="C842" s="16">
        <v>0.5208333333357587</v>
      </c>
      <c r="U842" s="17" t="s">
        <v>769</v>
      </c>
      <c r="V842" s="17" t="s">
        <v>769</v>
      </c>
      <c r="W842" s="17" t="s">
        <v>769</v>
      </c>
      <c r="AA842" s="17" t="s">
        <v>109</v>
      </c>
      <c r="AT842" s="17" t="s">
        <v>3289</v>
      </c>
      <c r="AU842" s="17" t="s">
        <v>76</v>
      </c>
      <c r="AV842" s="17" t="s">
        <v>472</v>
      </c>
      <c r="AZ842" s="17" t="s">
        <v>115</v>
      </c>
      <c r="BA842" s="17" t="s">
        <v>458</v>
      </c>
      <c r="BB842" s="17" t="s">
        <v>109</v>
      </c>
      <c r="BP842" s="17" t="s">
        <v>3290</v>
      </c>
      <c r="BR842" s="24" t="str">
        <f t="shared" si="1"/>
        <v>R K grand restaurant </v>
      </c>
    </row>
    <row r="843" ht="22.5" customHeight="1">
      <c r="A843" s="14">
        <v>46076.68145358797</v>
      </c>
      <c r="B843" s="15">
        <v>46076.0</v>
      </c>
      <c r="C843" s="16">
        <v>0.5208333333357587</v>
      </c>
      <c r="U843" s="17" t="s">
        <v>846</v>
      </c>
      <c r="V843" s="17" t="s">
        <v>769</v>
      </c>
      <c r="W843" s="17" t="s">
        <v>769</v>
      </c>
      <c r="AA843" s="17" t="s">
        <v>109</v>
      </c>
      <c r="AT843" s="17" t="s">
        <v>3291</v>
      </c>
      <c r="AU843" s="17" t="s">
        <v>76</v>
      </c>
      <c r="AV843" s="17" t="s">
        <v>472</v>
      </c>
      <c r="AZ843" s="17" t="s">
        <v>115</v>
      </c>
      <c r="BA843" s="17" t="s">
        <v>458</v>
      </c>
      <c r="BB843" s="17" t="s">
        <v>109</v>
      </c>
      <c r="BP843" s="17" t="s">
        <v>3292</v>
      </c>
      <c r="BR843" s="24" t="str">
        <f t="shared" si="1"/>
        <v>Jai Tulja bhavani curries</v>
      </c>
    </row>
    <row r="844" ht="22.5" customHeight="1">
      <c r="A844" s="14">
        <v>46076.68272170139</v>
      </c>
      <c r="B844" s="15">
        <v>46076.0</v>
      </c>
      <c r="C844" s="16">
        <v>0.5451388888905058</v>
      </c>
      <c r="U844" s="17" t="s">
        <v>388</v>
      </c>
      <c r="V844" s="17">
        <v>0.0</v>
      </c>
      <c r="W844" s="17" t="s">
        <v>388</v>
      </c>
      <c r="AA844" s="17" t="s">
        <v>109</v>
      </c>
      <c r="AT844" s="17" t="s">
        <v>3293</v>
      </c>
      <c r="AU844" s="17" t="s">
        <v>76</v>
      </c>
      <c r="AV844" s="17" t="s">
        <v>472</v>
      </c>
      <c r="AX844" s="15">
        <v>46077.0</v>
      </c>
      <c r="AY844" s="16">
        <v>0.5416666666642413</v>
      </c>
      <c r="AZ844" s="17" t="s">
        <v>287</v>
      </c>
      <c r="BA844" s="17" t="s">
        <v>458</v>
      </c>
      <c r="BB844" s="17" t="s">
        <v>109</v>
      </c>
      <c r="BP844" s="17" t="s">
        <v>3294</v>
      </c>
      <c r="BR844" s="24" t="str">
        <f t="shared" si="1"/>
        <v>Rokali</v>
      </c>
    </row>
    <row r="845" ht="22.5" customHeight="1">
      <c r="A845" s="14">
        <v>46076.68441023148</v>
      </c>
      <c r="B845" s="15">
        <v>46076.0</v>
      </c>
      <c r="C845" s="16">
        <v>0.5513888888890506</v>
      </c>
      <c r="U845" s="17" t="s">
        <v>3295</v>
      </c>
      <c r="V845" s="17">
        <v>8.099706321E9</v>
      </c>
      <c r="W845" s="17" t="s">
        <v>388</v>
      </c>
      <c r="AA845" s="17" t="s">
        <v>109</v>
      </c>
      <c r="AT845" s="17" t="s">
        <v>3296</v>
      </c>
      <c r="AU845" s="17" t="s">
        <v>76</v>
      </c>
      <c r="AV845" s="17" t="s">
        <v>271</v>
      </c>
      <c r="AX845" s="15">
        <v>46076.0</v>
      </c>
      <c r="AZ845" s="17" t="s">
        <v>287</v>
      </c>
      <c r="BA845" s="17" t="s">
        <v>458</v>
      </c>
      <c r="BB845" s="17" t="s">
        <v>109</v>
      </c>
      <c r="BP845" s="17" t="s">
        <v>3297</v>
      </c>
      <c r="BR845" s="24" t="str">
        <f t="shared" si="1"/>
        <v>Bejing Bistro</v>
      </c>
    </row>
    <row r="846" ht="22.5" customHeight="1">
      <c r="A846" s="14">
        <v>46076.68667038194</v>
      </c>
      <c r="B846" s="15">
        <v>46076.0</v>
      </c>
      <c r="C846" s="16">
        <v>0.5597222222204437</v>
      </c>
      <c r="U846" s="17" t="s">
        <v>3298</v>
      </c>
      <c r="V846" s="17">
        <v>8.247717177E9</v>
      </c>
      <c r="W846" s="17" t="s">
        <v>113</v>
      </c>
      <c r="AA846" s="17" t="s">
        <v>109</v>
      </c>
      <c r="AT846" s="17" t="s">
        <v>3299</v>
      </c>
      <c r="AU846" s="17" t="s">
        <v>76</v>
      </c>
      <c r="AV846" s="17" t="s">
        <v>271</v>
      </c>
      <c r="AZ846" s="17" t="s">
        <v>287</v>
      </c>
      <c r="BA846" s="17" t="s">
        <v>458</v>
      </c>
      <c r="BB846" s="17" t="s">
        <v>109</v>
      </c>
      <c r="BP846" s="17" t="s">
        <v>3300</v>
      </c>
      <c r="BR846" s="24" t="str">
        <f t="shared" si="1"/>
        <v>Liimra Arabian Mandi House</v>
      </c>
    </row>
    <row r="847" ht="22.5" customHeight="1">
      <c r="A847" s="14">
        <v>46076.70822315972</v>
      </c>
      <c r="B847" s="15">
        <v>46076.0</v>
      </c>
      <c r="C847" s="16">
        <v>0.5798611111094942</v>
      </c>
      <c r="U847" s="17" t="s">
        <v>3301</v>
      </c>
      <c r="V847" s="17">
        <v>9.100425287E9</v>
      </c>
      <c r="W847" s="17" t="s">
        <v>388</v>
      </c>
      <c r="AA847" s="17" t="s">
        <v>109</v>
      </c>
      <c r="AT847" s="17" t="s">
        <v>3302</v>
      </c>
      <c r="AU847" s="17" t="s">
        <v>76</v>
      </c>
      <c r="AV847" s="17" t="s">
        <v>472</v>
      </c>
      <c r="AZ847" s="17" t="s">
        <v>287</v>
      </c>
      <c r="BA847" s="17" t="s">
        <v>458</v>
      </c>
      <c r="BB847" s="17" t="s">
        <v>109</v>
      </c>
      <c r="BP847" s="17" t="s">
        <v>3303</v>
      </c>
      <c r="BR847" s="24" t="str">
        <f t="shared" si="1"/>
        <v>Namaste Hyderabad</v>
      </c>
    </row>
    <row r="848" ht="22.5" customHeight="1">
      <c r="A848" s="14">
        <v>46076.709437303245</v>
      </c>
      <c r="B848" s="15">
        <v>46076.0</v>
      </c>
      <c r="C848" s="16">
        <v>0.5902777777810115</v>
      </c>
      <c r="U848" s="17" t="s">
        <v>3304</v>
      </c>
      <c r="V848" s="17">
        <v>6.281371177E9</v>
      </c>
      <c r="W848" s="17" t="s">
        <v>388</v>
      </c>
      <c r="AA848" s="17" t="s">
        <v>109</v>
      </c>
      <c r="AT848" s="17" t="s">
        <v>3305</v>
      </c>
      <c r="AU848" s="17" t="s">
        <v>76</v>
      </c>
      <c r="AV848" s="17" t="s">
        <v>271</v>
      </c>
      <c r="AZ848" s="17" t="s">
        <v>287</v>
      </c>
      <c r="BA848" s="17" t="s">
        <v>458</v>
      </c>
      <c r="BB848" s="17" t="s">
        <v>109</v>
      </c>
      <c r="BP848" s="17" t="s">
        <v>3306</v>
      </c>
      <c r="BR848" s="24" t="str">
        <f t="shared" si="1"/>
        <v>Royal Bawarchi</v>
      </c>
    </row>
    <row r="849" ht="22.5" customHeight="1">
      <c r="A849" s="14">
        <v>46076.71208039352</v>
      </c>
      <c r="B849" s="15">
        <v>46076.0</v>
      </c>
      <c r="C849" s="16">
        <v>0.6520833333343035</v>
      </c>
      <c r="U849" s="17" t="s">
        <v>2789</v>
      </c>
      <c r="V849" s="17">
        <v>9.133944255E9</v>
      </c>
      <c r="W849" s="17" t="s">
        <v>388</v>
      </c>
      <c r="AA849" s="17" t="s">
        <v>76</v>
      </c>
      <c r="AC849" s="18" t="s">
        <v>3307</v>
      </c>
      <c r="AS849" s="17" t="s">
        <v>76</v>
      </c>
      <c r="AT849" s="17" t="s">
        <v>3308</v>
      </c>
      <c r="AU849" s="17" t="s">
        <v>76</v>
      </c>
      <c r="AV849" s="17" t="s">
        <v>88</v>
      </c>
      <c r="AZ849" s="17" t="s">
        <v>287</v>
      </c>
      <c r="BA849" s="17" t="s">
        <v>458</v>
      </c>
      <c r="BB849" s="17" t="s">
        <v>109</v>
      </c>
      <c r="BM849" s="17" t="s">
        <v>3309</v>
      </c>
      <c r="BP849" s="17" t="s">
        <v>3310</v>
      </c>
      <c r="BR849" s="24" t="str">
        <f t="shared" si="1"/>
        <v>Sri Nakshatra Chinese Hub</v>
      </c>
    </row>
    <row r="850" ht="22.5" customHeight="1">
      <c r="A850" s="14">
        <v>46076.71430835648</v>
      </c>
      <c r="B850" s="15">
        <v>46076.0</v>
      </c>
      <c r="C850" s="16">
        <v>0.6527777777810115</v>
      </c>
      <c r="D850" s="17" t="s">
        <v>111</v>
      </c>
      <c r="T850" s="17" t="s">
        <v>3311</v>
      </c>
      <c r="U850" s="17" t="s">
        <v>3312</v>
      </c>
      <c r="V850" s="17">
        <v>9.133944255E9</v>
      </c>
      <c r="W850" s="17" t="s">
        <v>388</v>
      </c>
      <c r="AA850" s="17" t="s">
        <v>76</v>
      </c>
      <c r="AC850" s="18" t="s">
        <v>3313</v>
      </c>
      <c r="AS850" s="17" t="s">
        <v>76</v>
      </c>
      <c r="AT850" s="17" t="s">
        <v>3308</v>
      </c>
      <c r="AU850" s="17" t="s">
        <v>76</v>
      </c>
      <c r="AV850" s="17" t="s">
        <v>88</v>
      </c>
      <c r="AZ850" s="17" t="s">
        <v>287</v>
      </c>
      <c r="BA850" s="17" t="s">
        <v>458</v>
      </c>
      <c r="BB850" s="17" t="s">
        <v>76</v>
      </c>
      <c r="BM850" s="17" t="s">
        <v>3309</v>
      </c>
      <c r="BP850" s="17" t="s">
        <v>3311</v>
      </c>
      <c r="BR850" s="24" t="str">
        <f t="shared" si="1"/>
        <v>Club 10 ChickenClub 10 Chicken</v>
      </c>
    </row>
    <row r="851" ht="22.5" customHeight="1">
      <c r="A851" s="14">
        <v>46076.71558495371</v>
      </c>
      <c r="B851" s="15">
        <v>46076.0</v>
      </c>
      <c r="C851" s="16">
        <v>0.65625</v>
      </c>
      <c r="U851" s="17" t="s">
        <v>3314</v>
      </c>
      <c r="V851" s="17">
        <v>9.550514455E9</v>
      </c>
      <c r="W851" s="17" t="s">
        <v>388</v>
      </c>
      <c r="AA851" s="17" t="s">
        <v>109</v>
      </c>
      <c r="AT851" s="17" t="s">
        <v>3315</v>
      </c>
      <c r="AU851" s="17" t="s">
        <v>76</v>
      </c>
      <c r="AV851" s="17" t="s">
        <v>271</v>
      </c>
      <c r="AZ851" s="17" t="s">
        <v>287</v>
      </c>
      <c r="BA851" s="17" t="s">
        <v>458</v>
      </c>
      <c r="BB851" s="17" t="s">
        <v>109</v>
      </c>
      <c r="BP851" s="17" t="s">
        <v>3316</v>
      </c>
      <c r="BR851" s="24" t="str">
        <f t="shared" si="1"/>
        <v>Hotel Chal Mohana Ranga Biryani's</v>
      </c>
    </row>
    <row r="852" ht="22.5" customHeight="1">
      <c r="A852" s="14">
        <v>46076.71676091435</v>
      </c>
      <c r="B852" s="15">
        <v>46076.0</v>
      </c>
      <c r="C852" s="16">
        <v>0.6576388888934162</v>
      </c>
      <c r="U852" s="17" t="s">
        <v>3317</v>
      </c>
      <c r="V852" s="17">
        <v>8.919621196E9</v>
      </c>
      <c r="W852" s="17" t="s">
        <v>388</v>
      </c>
      <c r="AA852" s="17" t="s">
        <v>109</v>
      </c>
      <c r="AT852" s="17" t="s">
        <v>3318</v>
      </c>
      <c r="AU852" s="17" t="s">
        <v>76</v>
      </c>
      <c r="AV852" s="17" t="s">
        <v>472</v>
      </c>
      <c r="AZ852" s="17" t="s">
        <v>287</v>
      </c>
      <c r="BA852" s="17" t="s">
        <v>458</v>
      </c>
      <c r="BB852" s="17" t="s">
        <v>109</v>
      </c>
      <c r="BP852" s="17" t="s">
        <v>3319</v>
      </c>
      <c r="BR852" s="24" t="str">
        <f t="shared" si="1"/>
        <v>Sravani Biryani's</v>
      </c>
    </row>
    <row r="853" ht="22.5" customHeight="1">
      <c r="A853" s="14">
        <v>46076.7181658912</v>
      </c>
      <c r="B853" s="15">
        <v>46076.0</v>
      </c>
      <c r="C853" s="16">
        <v>0.6881944444467081</v>
      </c>
      <c r="U853" s="17" t="s">
        <v>3252</v>
      </c>
      <c r="V853" s="17">
        <v>9.440340854E9</v>
      </c>
      <c r="W853" s="17" t="s">
        <v>388</v>
      </c>
      <c r="AA853" s="17" t="s">
        <v>109</v>
      </c>
      <c r="AT853" s="17" t="s">
        <v>3320</v>
      </c>
      <c r="AU853" s="17" t="s">
        <v>76</v>
      </c>
      <c r="AV853" s="17" t="s">
        <v>472</v>
      </c>
      <c r="AX853" s="15">
        <v>46077.0</v>
      </c>
      <c r="AY853" s="16">
        <v>0.5416666666642413</v>
      </c>
      <c r="AZ853" s="17" t="s">
        <v>287</v>
      </c>
      <c r="BA853" s="17" t="s">
        <v>458</v>
      </c>
      <c r="BB853" s="17" t="s">
        <v>109</v>
      </c>
      <c r="BP853" s="17" t="s">
        <v>3321</v>
      </c>
      <c r="BR853" s="24" t="str">
        <f t="shared" si="1"/>
        <v>RK delux mess</v>
      </c>
    </row>
    <row r="854" ht="22.5" customHeight="1">
      <c r="A854" s="14">
        <v>46076.7199753125</v>
      </c>
      <c r="B854" s="15">
        <v>46076.0</v>
      </c>
      <c r="C854" s="16">
        <v>0.6923611111124046</v>
      </c>
      <c r="U854" s="17" t="s">
        <v>3322</v>
      </c>
      <c r="V854" s="17">
        <v>8.886775599E9</v>
      </c>
      <c r="W854" s="17" t="s">
        <v>388</v>
      </c>
      <c r="AA854" s="17" t="s">
        <v>109</v>
      </c>
      <c r="AT854" s="17" t="s">
        <v>3323</v>
      </c>
      <c r="AU854" s="17" t="s">
        <v>76</v>
      </c>
      <c r="AV854" s="17" t="s">
        <v>271</v>
      </c>
      <c r="AX854" s="15">
        <v>46077.0</v>
      </c>
      <c r="AZ854" s="17" t="s">
        <v>287</v>
      </c>
      <c r="BA854" s="17" t="s">
        <v>458</v>
      </c>
      <c r="BB854" s="17" t="s">
        <v>109</v>
      </c>
      <c r="BP854" s="17" t="s">
        <v>3324</v>
      </c>
      <c r="BR854" s="24" t="str">
        <f t="shared" si="1"/>
        <v>TOC Bakers and Confectioners</v>
      </c>
    </row>
    <row r="855" ht="22.5" customHeight="1">
      <c r="A855" s="14">
        <v>46076.74100825231</v>
      </c>
      <c r="B855" s="15">
        <v>46072.0</v>
      </c>
      <c r="C855" s="16">
        <v>0.5416666666642413</v>
      </c>
      <c r="D855" s="17" t="s">
        <v>91</v>
      </c>
      <c r="F855" s="17">
        <v>200.0</v>
      </c>
      <c r="G855" s="17">
        <v>1200.0</v>
      </c>
      <c r="H855" s="17" t="s">
        <v>117</v>
      </c>
      <c r="J855" s="17" t="s">
        <v>167</v>
      </c>
      <c r="K855" s="17" t="s">
        <v>134</v>
      </c>
      <c r="N855" s="17">
        <v>2.0</v>
      </c>
      <c r="O855" s="17" t="s">
        <v>371</v>
      </c>
      <c r="P855" s="17" t="s">
        <v>76</v>
      </c>
      <c r="Q855" s="17" t="s">
        <v>97</v>
      </c>
      <c r="R855" s="17" t="s">
        <v>76</v>
      </c>
      <c r="S855" s="18" t="s">
        <v>3325</v>
      </c>
      <c r="T855" s="17" t="s">
        <v>3326</v>
      </c>
      <c r="U855" s="17" t="s">
        <v>3327</v>
      </c>
      <c r="V855" s="17">
        <v>9.246526606E9</v>
      </c>
      <c r="W855" s="17" t="s">
        <v>3328</v>
      </c>
      <c r="AA855" s="17" t="s">
        <v>109</v>
      </c>
      <c r="AT855" s="17" t="s">
        <v>3329</v>
      </c>
      <c r="AU855" s="17" t="s">
        <v>76</v>
      </c>
      <c r="AV855" s="17" t="s">
        <v>271</v>
      </c>
      <c r="AZ855" s="17" t="s">
        <v>1607</v>
      </c>
      <c r="BA855" s="17" t="s">
        <v>491</v>
      </c>
      <c r="BN855" s="17" t="s">
        <v>3326</v>
      </c>
      <c r="BP855" s="17" t="s">
        <v>3326</v>
      </c>
      <c r="BR855" s="24" t="str">
        <f t="shared" si="1"/>
        <v>Sarovar Portico HotelSarovar Portico Hotel</v>
      </c>
    </row>
    <row r="856" ht="22.5" customHeight="1">
      <c r="A856" s="14">
        <v>46076.74523240741</v>
      </c>
      <c r="B856" s="15">
        <v>46072.0</v>
      </c>
      <c r="C856" s="16">
        <v>0.5625</v>
      </c>
      <c r="D856" s="17" t="s">
        <v>91</v>
      </c>
      <c r="F856" s="17">
        <v>120.0</v>
      </c>
      <c r="G856" s="17">
        <v>800.0</v>
      </c>
      <c r="H856" s="17" t="s">
        <v>2187</v>
      </c>
      <c r="J856" s="17" t="s">
        <v>167</v>
      </c>
      <c r="K856" s="17" t="s">
        <v>134</v>
      </c>
      <c r="N856" s="17">
        <v>1.0</v>
      </c>
      <c r="O856" s="17" t="s">
        <v>371</v>
      </c>
      <c r="P856" s="17" t="s">
        <v>76</v>
      </c>
      <c r="Q856" s="17" t="s">
        <v>97</v>
      </c>
      <c r="R856" s="17" t="s">
        <v>76</v>
      </c>
      <c r="S856" s="18" t="s">
        <v>3330</v>
      </c>
      <c r="T856" s="17" t="s">
        <v>3331</v>
      </c>
      <c r="U856" s="17" t="s">
        <v>3332</v>
      </c>
      <c r="V856" s="17">
        <v>9.84863319E9</v>
      </c>
      <c r="W856" s="17" t="s">
        <v>3333</v>
      </c>
      <c r="AA856" s="17" t="s">
        <v>109</v>
      </c>
      <c r="AT856" s="17" t="s">
        <v>3334</v>
      </c>
      <c r="AU856" s="17" t="s">
        <v>76</v>
      </c>
      <c r="AV856" s="17" t="s">
        <v>271</v>
      </c>
      <c r="AZ856" s="17" t="s">
        <v>1607</v>
      </c>
      <c r="BA856" s="17" t="s">
        <v>491</v>
      </c>
      <c r="BN856" s="17" t="s">
        <v>3335</v>
      </c>
      <c r="BP856" s="17" t="s">
        <v>3335</v>
      </c>
      <c r="BR856" s="24" t="str">
        <f t="shared" si="1"/>
        <v>Hotel GreenparkHotel Greenpark &amp; Marigold</v>
      </c>
    </row>
    <row r="857" ht="22.5" customHeight="1">
      <c r="A857" s="14">
        <v>46076.78965436343</v>
      </c>
      <c r="B857" s="15">
        <v>46076.0</v>
      </c>
      <c r="C857" s="16">
        <v>0.5416666666642413</v>
      </c>
      <c r="D857" s="17" t="s">
        <v>111</v>
      </c>
      <c r="T857" s="17" t="s">
        <v>3336</v>
      </c>
      <c r="U857" s="17" t="s">
        <v>3337</v>
      </c>
      <c r="V857" s="17">
        <v>9.849399807E9</v>
      </c>
      <c r="W857" s="17" t="s">
        <v>769</v>
      </c>
      <c r="AA857" s="17" t="s">
        <v>109</v>
      </c>
      <c r="AT857" s="17" t="s">
        <v>3338</v>
      </c>
      <c r="AU857" s="17" t="s">
        <v>76</v>
      </c>
      <c r="AV857" s="17" t="s">
        <v>114</v>
      </c>
      <c r="AX857" s="15">
        <v>46077.0</v>
      </c>
      <c r="AY857" s="16">
        <v>0.5416666666642413</v>
      </c>
      <c r="AZ857" s="17" t="s">
        <v>115</v>
      </c>
      <c r="BA857" s="17" t="s">
        <v>458</v>
      </c>
      <c r="BB857" s="17" t="s">
        <v>76</v>
      </c>
      <c r="BP857" s="17" t="s">
        <v>3336</v>
      </c>
      <c r="BR857" s="24" t="str">
        <f t="shared" si="1"/>
        <v>Zam zam restaurant Zam zam restaurant </v>
      </c>
    </row>
    <row r="858" ht="22.5" customHeight="1">
      <c r="A858" s="14">
        <v>46076.792332268524</v>
      </c>
      <c r="B858" s="15">
        <v>46076.0</v>
      </c>
      <c r="C858" s="16">
        <v>0.5625</v>
      </c>
      <c r="D858" s="17" t="s">
        <v>111</v>
      </c>
      <c r="T858" s="17" t="s">
        <v>3339</v>
      </c>
      <c r="U858" s="17" t="s">
        <v>3340</v>
      </c>
      <c r="V858" s="17">
        <v>6.301560085E9</v>
      </c>
      <c r="W858" s="17" t="s">
        <v>769</v>
      </c>
      <c r="AA858" s="17" t="s">
        <v>109</v>
      </c>
      <c r="AT858" s="17" t="s">
        <v>3341</v>
      </c>
      <c r="AU858" s="17" t="s">
        <v>76</v>
      </c>
      <c r="AV858" s="17" t="s">
        <v>373</v>
      </c>
      <c r="AX858" s="15">
        <v>46077.0</v>
      </c>
      <c r="AY858" s="16">
        <v>0.5416666666642413</v>
      </c>
      <c r="AZ858" s="17" t="s">
        <v>115</v>
      </c>
      <c r="BA858" s="17" t="s">
        <v>458</v>
      </c>
      <c r="BB858" s="17" t="s">
        <v>76</v>
      </c>
      <c r="BP858" s="17" t="s">
        <v>3342</v>
      </c>
      <c r="BR858" s="24" t="str">
        <f t="shared" si="1"/>
        <v>Sri Sai tiffins and curry pointSri Sai tiffins and curry point </v>
      </c>
    </row>
    <row r="859" ht="22.5" customHeight="1">
      <c r="A859" s="14">
        <v>46076.793044872684</v>
      </c>
      <c r="B859" s="15">
        <v>46076.0</v>
      </c>
      <c r="C859" s="16">
        <v>0.5625</v>
      </c>
      <c r="U859" s="17" t="s">
        <v>3343</v>
      </c>
      <c r="V859" s="17">
        <v>7.993472121E9</v>
      </c>
      <c r="W859" s="17" t="s">
        <v>769</v>
      </c>
      <c r="AA859" s="17" t="s">
        <v>109</v>
      </c>
      <c r="AT859" s="17" t="s">
        <v>3344</v>
      </c>
      <c r="AU859" s="17" t="s">
        <v>76</v>
      </c>
      <c r="AZ859" s="17" t="s">
        <v>115</v>
      </c>
      <c r="BA859" s="17" t="s">
        <v>458</v>
      </c>
      <c r="BB859" s="17" t="s">
        <v>109</v>
      </c>
      <c r="BP859" s="17" t="s">
        <v>3345</v>
      </c>
      <c r="BR859" s="24" t="str">
        <f t="shared" si="1"/>
        <v>Honeyman</v>
      </c>
    </row>
    <row r="860" ht="22.5" customHeight="1">
      <c r="A860" s="14">
        <v>46076.79402086805</v>
      </c>
      <c r="B860" s="15">
        <v>46076.0</v>
      </c>
      <c r="C860" s="16">
        <v>0.5833333333357587</v>
      </c>
      <c r="U860" s="17" t="s">
        <v>3322</v>
      </c>
      <c r="V860" s="17">
        <v>9.989188881E9</v>
      </c>
      <c r="W860" s="17" t="s">
        <v>769</v>
      </c>
      <c r="AA860" s="17" t="s">
        <v>109</v>
      </c>
      <c r="AT860" s="17" t="s">
        <v>3346</v>
      </c>
      <c r="AU860" s="17" t="s">
        <v>76</v>
      </c>
      <c r="AV860" s="17" t="s">
        <v>472</v>
      </c>
      <c r="AZ860" s="17" t="s">
        <v>115</v>
      </c>
      <c r="BA860" s="17" t="s">
        <v>458</v>
      </c>
      <c r="BB860" s="17" t="s">
        <v>109</v>
      </c>
      <c r="BP860" s="17" t="s">
        <v>3347</v>
      </c>
      <c r="BR860" s="24" t="str">
        <f t="shared" si="1"/>
        <v>Vaibhavam</v>
      </c>
    </row>
    <row r="861" ht="22.5" customHeight="1">
      <c r="A861" s="14">
        <v>46076.79490001158</v>
      </c>
      <c r="B861" s="15">
        <v>46076.0</v>
      </c>
      <c r="C861" s="16">
        <v>0.6041666666642413</v>
      </c>
      <c r="D861" s="17" t="s">
        <v>111</v>
      </c>
      <c r="T861" s="17" t="s">
        <v>3348</v>
      </c>
      <c r="U861" s="17" t="s">
        <v>769</v>
      </c>
      <c r="V861" s="17" t="s">
        <v>769</v>
      </c>
      <c r="W861" s="17" t="s">
        <v>769</v>
      </c>
      <c r="AA861" s="17" t="s">
        <v>109</v>
      </c>
      <c r="AT861" s="17" t="s">
        <v>3349</v>
      </c>
      <c r="AU861" s="17" t="s">
        <v>109</v>
      </c>
      <c r="AZ861" s="17" t="s">
        <v>115</v>
      </c>
      <c r="BA861" s="17" t="s">
        <v>458</v>
      </c>
      <c r="BB861" s="17" t="s">
        <v>76</v>
      </c>
      <c r="BP861" s="17" t="s">
        <v>3350</v>
      </c>
      <c r="BR861" s="24" t="str">
        <f t="shared" si="1"/>
        <v>Al furquan hotelAl furquan hotel </v>
      </c>
    </row>
    <row r="862" ht="22.5" customHeight="1">
      <c r="A862" s="14">
        <v>46076.79581969907</v>
      </c>
      <c r="B862" s="15">
        <v>46076.0</v>
      </c>
      <c r="C862" s="16">
        <v>0.625</v>
      </c>
      <c r="U862" s="17" t="s">
        <v>3351</v>
      </c>
      <c r="V862" s="17">
        <v>8.977656268E9</v>
      </c>
      <c r="W862" s="17" t="s">
        <v>769</v>
      </c>
      <c r="AA862" s="17" t="s">
        <v>109</v>
      </c>
      <c r="AT862" s="17" t="s">
        <v>3352</v>
      </c>
      <c r="AU862" s="17" t="s">
        <v>76</v>
      </c>
      <c r="AZ862" s="17" t="s">
        <v>115</v>
      </c>
      <c r="BA862" s="17" t="s">
        <v>458</v>
      </c>
      <c r="BB862" s="17" t="s">
        <v>109</v>
      </c>
      <c r="BP862" s="17" t="s">
        <v>3353</v>
      </c>
      <c r="BR862" s="24" t="str">
        <f t="shared" si="1"/>
        <v>Arabian zaiqa restaurant </v>
      </c>
    </row>
    <row r="863" ht="22.5" customHeight="1">
      <c r="A863" s="14">
        <v>46076.79644633102</v>
      </c>
      <c r="B863" s="15">
        <v>46076.0</v>
      </c>
      <c r="C863" s="16">
        <v>0.6666666666642413</v>
      </c>
      <c r="U863" s="17" t="s">
        <v>769</v>
      </c>
      <c r="V863" s="17" t="s">
        <v>769</v>
      </c>
      <c r="W863" s="17" t="s">
        <v>769</v>
      </c>
      <c r="AA863" s="17" t="s">
        <v>109</v>
      </c>
      <c r="AT863" s="17" t="s">
        <v>3354</v>
      </c>
      <c r="AU863" s="17" t="s">
        <v>109</v>
      </c>
      <c r="AZ863" s="17" t="s">
        <v>115</v>
      </c>
      <c r="BA863" s="17" t="s">
        <v>458</v>
      </c>
      <c r="BB863" s="17" t="s">
        <v>109</v>
      </c>
      <c r="BP863" s="17" t="s">
        <v>3355</v>
      </c>
      <c r="BR863" s="24" t="str">
        <f t="shared" si="1"/>
        <v>Hotel MS pride</v>
      </c>
    </row>
    <row r="864" ht="22.5" customHeight="1">
      <c r="A864" s="14">
        <v>46076.805507233796</v>
      </c>
      <c r="B864" s="15">
        <v>46076.0</v>
      </c>
      <c r="C864" s="16">
        <v>0.036111111112404615</v>
      </c>
      <c r="D864" s="17" t="s">
        <v>91</v>
      </c>
      <c r="F864" s="17">
        <v>1.0</v>
      </c>
      <c r="G864" s="17">
        <v>150.0</v>
      </c>
      <c r="H864" s="17" t="s">
        <v>117</v>
      </c>
      <c r="J864" s="17" t="s">
        <v>221</v>
      </c>
      <c r="K864" s="17" t="s">
        <v>95</v>
      </c>
      <c r="N864" s="17">
        <v>1.0</v>
      </c>
      <c r="O864" s="17" t="s">
        <v>96</v>
      </c>
      <c r="P864" s="17" t="s">
        <v>109</v>
      </c>
      <c r="Q864" s="17" t="s">
        <v>97</v>
      </c>
      <c r="R864" s="17" t="s">
        <v>76</v>
      </c>
      <c r="S864" s="17" t="s">
        <v>3356</v>
      </c>
      <c r="U864" s="17" t="s">
        <v>3357</v>
      </c>
      <c r="V864" s="17">
        <v>8.886333304E9</v>
      </c>
      <c r="W864" s="17" t="s">
        <v>117</v>
      </c>
      <c r="AA864" s="17" t="s">
        <v>109</v>
      </c>
      <c r="AT864" s="17" t="s">
        <v>193</v>
      </c>
      <c r="AU864" s="17" t="s">
        <v>109</v>
      </c>
      <c r="AZ864" s="17" t="s">
        <v>182</v>
      </c>
      <c r="BA864" s="17" t="s">
        <v>458</v>
      </c>
      <c r="BB864" s="17" t="s">
        <v>76</v>
      </c>
      <c r="BN864" s="17">
        <v>1.0</v>
      </c>
      <c r="BP864" s="17" t="s">
        <v>3358</v>
      </c>
      <c r="BR864" s="24" t="str">
        <f t="shared" si="1"/>
        <v>Mahabaala food court</v>
      </c>
    </row>
    <row r="865" ht="22.5" customHeight="1">
      <c r="A865" s="14">
        <v>46076.80714060186</v>
      </c>
      <c r="B865" s="15">
        <v>46076.0</v>
      </c>
      <c r="C865" s="16">
        <v>0.5833333333357587</v>
      </c>
      <c r="D865" s="17" t="s">
        <v>111</v>
      </c>
      <c r="T865" s="17" t="s">
        <v>3359</v>
      </c>
      <c r="U865" s="17" t="s">
        <v>1611</v>
      </c>
      <c r="V865" s="17">
        <v>6.289616585E9</v>
      </c>
      <c r="W865" s="17" t="s">
        <v>117</v>
      </c>
      <c r="X865" s="17" t="s">
        <v>3360</v>
      </c>
      <c r="Y865" s="17">
        <v>8.247534864E9</v>
      </c>
      <c r="Z865" s="17" t="s">
        <v>117</v>
      </c>
      <c r="AA865" s="17" t="s">
        <v>109</v>
      </c>
      <c r="AT865" s="17" t="s">
        <v>3361</v>
      </c>
      <c r="AU865" s="17" t="s">
        <v>76</v>
      </c>
      <c r="AV865" s="17" t="s">
        <v>373</v>
      </c>
      <c r="AZ865" s="17" t="s">
        <v>1607</v>
      </c>
      <c r="BA865" s="17" t="s">
        <v>491</v>
      </c>
      <c r="BP865" s="17" t="s">
        <v>3362</v>
      </c>
      <c r="BR865" s="24" t="str">
        <f t="shared" si="1"/>
        <v>The Thick Shake FactoryThe Thickshake Factory</v>
      </c>
    </row>
    <row r="866" ht="22.5" customHeight="1">
      <c r="A866" s="14">
        <v>46076.808457604166</v>
      </c>
      <c r="B866" s="15">
        <v>46076.0</v>
      </c>
      <c r="C866" s="16">
        <v>0.6027777777781012</v>
      </c>
      <c r="D866" s="17" t="s">
        <v>91</v>
      </c>
      <c r="F866" s="17">
        <v>1.0</v>
      </c>
      <c r="G866" s="17">
        <v>200.0</v>
      </c>
      <c r="H866" s="17" t="s">
        <v>117</v>
      </c>
      <c r="J866" s="17" t="s">
        <v>221</v>
      </c>
      <c r="K866" s="17" t="s">
        <v>134</v>
      </c>
      <c r="N866" s="17">
        <v>1.0</v>
      </c>
      <c r="O866" s="17" t="s">
        <v>96</v>
      </c>
      <c r="P866" s="17" t="s">
        <v>109</v>
      </c>
      <c r="Q866" s="17" t="s">
        <v>97</v>
      </c>
      <c r="R866" s="17" t="s">
        <v>76</v>
      </c>
      <c r="S866" s="17" t="s">
        <v>3363</v>
      </c>
      <c r="U866" s="17" t="s">
        <v>117</v>
      </c>
      <c r="V866" s="17" t="s">
        <v>117</v>
      </c>
      <c r="W866" s="17" t="s">
        <v>117</v>
      </c>
      <c r="AA866" s="17" t="s">
        <v>109</v>
      </c>
      <c r="AT866" s="17" t="s">
        <v>193</v>
      </c>
      <c r="AU866" s="17" t="s">
        <v>109</v>
      </c>
      <c r="AZ866" s="17" t="s">
        <v>182</v>
      </c>
      <c r="BA866" s="17" t="s">
        <v>458</v>
      </c>
      <c r="BB866" s="17" t="s">
        <v>76</v>
      </c>
      <c r="BN866" s="17">
        <v>1.0</v>
      </c>
      <c r="BP866" s="17" t="s">
        <v>3364</v>
      </c>
      <c r="BR866" s="24" t="str">
        <f t="shared" si="1"/>
        <v>BISMILLAH HOTEL</v>
      </c>
    </row>
    <row r="867" ht="22.5" customHeight="1">
      <c r="A867" s="14">
        <v>46076.81382471065</v>
      </c>
      <c r="B867" s="15">
        <v>46073.0</v>
      </c>
      <c r="C867" s="16">
        <v>0.07083333333139308</v>
      </c>
      <c r="U867" s="17" t="s">
        <v>113</v>
      </c>
      <c r="V867" s="17" t="s">
        <v>113</v>
      </c>
      <c r="W867" s="17" t="s">
        <v>113</v>
      </c>
      <c r="AA867" s="17" t="s">
        <v>109</v>
      </c>
      <c r="AT867" s="17" t="s">
        <v>3365</v>
      </c>
      <c r="AU867" s="17" t="s">
        <v>109</v>
      </c>
      <c r="AZ867" s="17" t="s">
        <v>539</v>
      </c>
      <c r="BA867" s="17" t="s">
        <v>458</v>
      </c>
      <c r="BB867" s="17" t="s">
        <v>109</v>
      </c>
      <c r="BP867" s="17" t="s">
        <v>3366</v>
      </c>
      <c r="BR867" s="24" t="str">
        <f t="shared" si="1"/>
        <v>hotel anandh bhavan</v>
      </c>
    </row>
    <row r="868" ht="22.5" customHeight="1">
      <c r="A868" s="14">
        <v>46076.815354872684</v>
      </c>
      <c r="B868" s="15">
        <v>46073.0</v>
      </c>
      <c r="C868" s="16">
        <v>0.1756944444423425</v>
      </c>
      <c r="D868" s="17" t="s">
        <v>91</v>
      </c>
      <c r="F868" s="17">
        <v>50.0</v>
      </c>
      <c r="G868" s="17">
        <v>500.0</v>
      </c>
      <c r="H868" s="17" t="s">
        <v>1904</v>
      </c>
      <c r="J868" s="17" t="s">
        <v>167</v>
      </c>
      <c r="N868" s="17">
        <v>3.0</v>
      </c>
      <c r="O868" s="17" t="s">
        <v>96</v>
      </c>
      <c r="P868" s="17" t="s">
        <v>109</v>
      </c>
      <c r="Q868" s="17" t="s">
        <v>97</v>
      </c>
      <c r="R868" s="17" t="s">
        <v>109</v>
      </c>
      <c r="S868" s="17" t="s">
        <v>113</v>
      </c>
      <c r="U868" s="17" t="s">
        <v>1542</v>
      </c>
      <c r="V868" s="17" t="s">
        <v>3367</v>
      </c>
      <c r="W868" s="17" t="s">
        <v>113</v>
      </c>
      <c r="AA868" s="17" t="s">
        <v>109</v>
      </c>
      <c r="AT868" s="17" t="s">
        <v>237</v>
      </c>
      <c r="AU868" s="17" t="s">
        <v>109</v>
      </c>
      <c r="AZ868" s="17" t="s">
        <v>539</v>
      </c>
      <c r="BA868" s="17" t="s">
        <v>458</v>
      </c>
      <c r="BB868" s="17" t="s">
        <v>76</v>
      </c>
      <c r="BN868" s="17" t="s">
        <v>3368</v>
      </c>
      <c r="BP868" s="17" t="s">
        <v>3369</v>
      </c>
      <c r="BR868" s="24" t="str">
        <f t="shared" si="1"/>
        <v>bal al mandi </v>
      </c>
    </row>
    <row r="869" ht="22.5" customHeight="1">
      <c r="A869" s="14">
        <v>46076.81636228009</v>
      </c>
      <c r="B869" s="15">
        <v>46073.0</v>
      </c>
      <c r="C869" s="16">
        <v>0.26597222222335404</v>
      </c>
      <c r="D869" s="17" t="s">
        <v>111</v>
      </c>
      <c r="T869" s="17" t="s">
        <v>3370</v>
      </c>
      <c r="U869" s="17" t="s">
        <v>3371</v>
      </c>
      <c r="V869" s="17">
        <v>9.34768181E9</v>
      </c>
      <c r="W869" s="17" t="s">
        <v>113</v>
      </c>
      <c r="AA869" s="17" t="s">
        <v>109</v>
      </c>
      <c r="AT869" s="17" t="s">
        <v>3372</v>
      </c>
      <c r="AU869" s="17" t="s">
        <v>76</v>
      </c>
      <c r="AZ869" s="17" t="s">
        <v>539</v>
      </c>
      <c r="BA869" s="17" t="s">
        <v>458</v>
      </c>
      <c r="BB869" s="17" t="s">
        <v>76</v>
      </c>
      <c r="BP869" s="17" t="s">
        <v>2958</v>
      </c>
      <c r="BR869" s="24" t="str">
        <f t="shared" si="1"/>
        <v>taazataaza tiffens</v>
      </c>
    </row>
    <row r="870" ht="22.5" customHeight="1">
      <c r="A870" s="14">
        <v>46076.817179687496</v>
      </c>
      <c r="B870" s="15">
        <v>46073.0</v>
      </c>
      <c r="C870" s="16">
        <v>0.2993055555562023</v>
      </c>
      <c r="D870" s="17" t="s">
        <v>111</v>
      </c>
      <c r="T870" s="17" t="s">
        <v>3373</v>
      </c>
      <c r="U870" s="17" t="s">
        <v>3374</v>
      </c>
      <c r="V870" s="17">
        <v>9.908336133E9</v>
      </c>
      <c r="W870" s="17" t="s">
        <v>113</v>
      </c>
      <c r="AA870" s="17" t="s">
        <v>109</v>
      </c>
      <c r="AT870" s="17" t="s">
        <v>3375</v>
      </c>
      <c r="AU870" s="17" t="s">
        <v>76</v>
      </c>
      <c r="AZ870" s="17" t="s">
        <v>539</v>
      </c>
      <c r="BA870" s="17" t="s">
        <v>458</v>
      </c>
      <c r="BB870" s="17" t="s">
        <v>76</v>
      </c>
      <c r="BP870" s="17" t="s">
        <v>3376</v>
      </c>
      <c r="BR870" s="24" t="str">
        <f t="shared" si="1"/>
        <v>babai hotel babai hotel</v>
      </c>
    </row>
    <row r="871" ht="22.5" customHeight="1">
      <c r="A871" s="14">
        <v>46076.81843849537</v>
      </c>
      <c r="B871" s="15">
        <v>46073.0</v>
      </c>
      <c r="C871" s="16">
        <v>0.31388888889341615</v>
      </c>
      <c r="D871" s="17" t="s">
        <v>91</v>
      </c>
      <c r="F871" s="17">
        <v>50.0</v>
      </c>
      <c r="G871" s="17">
        <v>300.0</v>
      </c>
      <c r="H871" s="17" t="s">
        <v>291</v>
      </c>
      <c r="J871" s="17" t="s">
        <v>94</v>
      </c>
      <c r="K871" s="17" t="s">
        <v>134</v>
      </c>
      <c r="N871" s="17">
        <v>1.0</v>
      </c>
      <c r="O871" s="17" t="s">
        <v>96</v>
      </c>
      <c r="P871" s="17" t="s">
        <v>109</v>
      </c>
      <c r="Q871" s="17" t="s">
        <v>97</v>
      </c>
      <c r="R871" s="17" t="s">
        <v>109</v>
      </c>
      <c r="S871" s="17" t="s">
        <v>113</v>
      </c>
      <c r="U871" s="17" t="s">
        <v>113</v>
      </c>
      <c r="V871" s="17" t="s">
        <v>113</v>
      </c>
      <c r="W871" s="17" t="s">
        <v>113</v>
      </c>
      <c r="AA871" s="17" t="s">
        <v>109</v>
      </c>
      <c r="AT871" s="17" t="s">
        <v>3377</v>
      </c>
      <c r="AU871" s="17" t="s">
        <v>109</v>
      </c>
      <c r="AZ871" s="17" t="s">
        <v>539</v>
      </c>
      <c r="BA871" s="17" t="s">
        <v>458</v>
      </c>
      <c r="BB871" s="17" t="s">
        <v>76</v>
      </c>
      <c r="BN871" s="17" t="s">
        <v>3378</v>
      </c>
      <c r="BP871" s="17" t="s">
        <v>3379</v>
      </c>
      <c r="BR871" s="24" t="str">
        <f t="shared" si="1"/>
        <v>rowdy momo express</v>
      </c>
    </row>
    <row r="872" ht="22.5" customHeight="1">
      <c r="A872" s="14">
        <v>46076.83487818287</v>
      </c>
      <c r="B872" s="15">
        <v>46076.0</v>
      </c>
      <c r="C872" s="16">
        <v>0.6041666666642413</v>
      </c>
      <c r="D872" s="17" t="s">
        <v>111</v>
      </c>
      <c r="T872" s="17" t="s">
        <v>2028</v>
      </c>
      <c r="U872" s="17" t="s">
        <v>3380</v>
      </c>
      <c r="V872" s="17" t="s">
        <v>3381</v>
      </c>
      <c r="W872" s="17" t="s">
        <v>117</v>
      </c>
      <c r="AA872" s="17" t="s">
        <v>109</v>
      </c>
      <c r="AT872" s="17" t="s">
        <v>3382</v>
      </c>
      <c r="AU872" s="17" t="s">
        <v>76</v>
      </c>
      <c r="AV872" s="17" t="s">
        <v>373</v>
      </c>
      <c r="AZ872" s="17" t="s">
        <v>1607</v>
      </c>
      <c r="BA872" s="17" t="s">
        <v>491</v>
      </c>
      <c r="BP872" s="17" t="s">
        <v>2028</v>
      </c>
      <c r="BR872" s="24" t="str">
        <f t="shared" si="1"/>
        <v>Organic CreameryOrganic Creamery</v>
      </c>
    </row>
    <row r="873" ht="22.5" customHeight="1">
      <c r="A873" s="14">
        <v>46076.8381680787</v>
      </c>
      <c r="B873" s="15">
        <v>46076.0</v>
      </c>
      <c r="C873" s="16">
        <v>0.625</v>
      </c>
      <c r="D873" s="17" t="s">
        <v>91</v>
      </c>
      <c r="F873" s="17">
        <v>200.0</v>
      </c>
      <c r="G873" s="17">
        <v>800.0</v>
      </c>
      <c r="H873" s="17" t="s">
        <v>117</v>
      </c>
      <c r="J873" s="17" t="s">
        <v>167</v>
      </c>
      <c r="K873" s="17" t="s">
        <v>134</v>
      </c>
      <c r="N873" s="17">
        <v>1.0</v>
      </c>
      <c r="O873" s="17" t="s">
        <v>371</v>
      </c>
      <c r="P873" s="17" t="s">
        <v>76</v>
      </c>
      <c r="Q873" s="17" t="s">
        <v>97</v>
      </c>
      <c r="R873" s="17" t="s">
        <v>76</v>
      </c>
      <c r="S873" s="18" t="s">
        <v>3383</v>
      </c>
      <c r="T873" s="17" t="s">
        <v>3384</v>
      </c>
      <c r="U873" s="17" t="s">
        <v>3385</v>
      </c>
      <c r="V873" s="17">
        <v>7.090567395E9</v>
      </c>
      <c r="W873" s="17" t="s">
        <v>3386</v>
      </c>
      <c r="X873" s="17" t="s">
        <v>3387</v>
      </c>
      <c r="Y873" s="17">
        <v>7.376299999E9</v>
      </c>
      <c r="Z873" s="17" t="s">
        <v>3388</v>
      </c>
      <c r="AA873" s="17" t="s">
        <v>109</v>
      </c>
      <c r="AT873" s="17" t="s">
        <v>3389</v>
      </c>
      <c r="AU873" s="17" t="s">
        <v>76</v>
      </c>
      <c r="AV873" s="17" t="s">
        <v>472</v>
      </c>
      <c r="AX873" s="15">
        <v>46077.0</v>
      </c>
      <c r="AY873" s="16">
        <v>0.625</v>
      </c>
      <c r="AZ873" s="17" t="s">
        <v>1607</v>
      </c>
      <c r="BA873" s="17" t="s">
        <v>458</v>
      </c>
      <c r="BB873" s="17" t="s">
        <v>76</v>
      </c>
      <c r="BN873" s="17" t="s">
        <v>3384</v>
      </c>
      <c r="BP873" s="17" t="s">
        <v>3384</v>
      </c>
      <c r="BR873" s="24" t="str">
        <f t="shared" si="1"/>
        <v>ProstProst</v>
      </c>
    </row>
    <row r="874" ht="22.5" customHeight="1">
      <c r="A874" s="14">
        <v>46076.841502986106</v>
      </c>
      <c r="B874" s="15">
        <v>46076.0</v>
      </c>
      <c r="C874" s="16">
        <v>0.6875</v>
      </c>
      <c r="D874" s="17" t="s">
        <v>91</v>
      </c>
      <c r="F874" s="17">
        <v>200.0</v>
      </c>
      <c r="G874" s="17">
        <v>600.0</v>
      </c>
      <c r="H874" s="17" t="s">
        <v>291</v>
      </c>
      <c r="J874" s="17" t="s">
        <v>167</v>
      </c>
      <c r="K874" s="17" t="s">
        <v>134</v>
      </c>
      <c r="N874" s="17">
        <v>17.0</v>
      </c>
      <c r="O874" s="17" t="s">
        <v>371</v>
      </c>
      <c r="P874" s="17" t="s">
        <v>76</v>
      </c>
      <c r="Q874" s="17" t="s">
        <v>97</v>
      </c>
      <c r="R874" s="17" t="s">
        <v>76</v>
      </c>
      <c r="S874" s="18" t="s">
        <v>3390</v>
      </c>
      <c r="T874" s="17" t="s">
        <v>3391</v>
      </c>
      <c r="U874" s="17" t="s">
        <v>3392</v>
      </c>
      <c r="V874" s="17" t="s">
        <v>3393</v>
      </c>
      <c r="W874" s="17" t="s">
        <v>117</v>
      </c>
      <c r="AA874" s="17" t="s">
        <v>109</v>
      </c>
      <c r="AT874" s="17" t="s">
        <v>3394</v>
      </c>
      <c r="AU874" s="17" t="s">
        <v>76</v>
      </c>
      <c r="AV874" s="17" t="s">
        <v>472</v>
      </c>
      <c r="AW874" s="17" t="s">
        <v>2204</v>
      </c>
      <c r="AX874" s="15">
        <v>46077.0</v>
      </c>
      <c r="AY874" s="16">
        <v>0.45833333333575865</v>
      </c>
      <c r="AZ874" s="17" t="s">
        <v>1607</v>
      </c>
      <c r="BA874" s="17" t="s">
        <v>458</v>
      </c>
      <c r="BB874" s="17" t="s">
        <v>76</v>
      </c>
      <c r="BN874" s="17" t="s">
        <v>3391</v>
      </c>
      <c r="BP874" s="17" t="s">
        <v>3391</v>
      </c>
      <c r="BR874" s="24" t="str">
        <f t="shared" si="1"/>
        <v>Paradise BiryaniParadise Biryani</v>
      </c>
    </row>
    <row r="875" ht="22.5" customHeight="1">
      <c r="A875" s="14">
        <v>46076.90421425926</v>
      </c>
      <c r="B875" s="15">
        <v>46076.0</v>
      </c>
      <c r="C875" s="16">
        <v>0.7291666666642413</v>
      </c>
      <c r="U875" s="17" t="s">
        <v>113</v>
      </c>
      <c r="V875" s="17" t="s">
        <v>113</v>
      </c>
      <c r="W875" s="17" t="s">
        <v>113</v>
      </c>
      <c r="AA875" s="17" t="s">
        <v>109</v>
      </c>
      <c r="AT875" s="17" t="s">
        <v>3395</v>
      </c>
      <c r="AU875" s="17" t="s">
        <v>76</v>
      </c>
      <c r="AV875" s="17" t="s">
        <v>271</v>
      </c>
      <c r="AZ875" s="17" t="s">
        <v>243</v>
      </c>
      <c r="BA875" s="17" t="s">
        <v>458</v>
      </c>
      <c r="BB875" s="17" t="s">
        <v>109</v>
      </c>
      <c r="BP875" s="17" t="s">
        <v>3396</v>
      </c>
      <c r="BR875" s="24" t="str">
        <f t="shared" si="1"/>
        <v>Chutneys</v>
      </c>
    </row>
    <row r="876" ht="22.5" customHeight="1">
      <c r="A876" s="14">
        <v>46076.905159201386</v>
      </c>
      <c r="B876" s="15">
        <v>46076.0</v>
      </c>
      <c r="C876" s="16">
        <v>0.45833333333575865</v>
      </c>
      <c r="U876" s="17" t="s">
        <v>3397</v>
      </c>
      <c r="V876" s="17" t="s">
        <v>113</v>
      </c>
      <c r="W876" s="17" t="s">
        <v>113</v>
      </c>
      <c r="AA876" s="17" t="s">
        <v>109</v>
      </c>
      <c r="AT876" s="17" t="s">
        <v>3398</v>
      </c>
      <c r="AU876" s="17" t="s">
        <v>76</v>
      </c>
      <c r="AV876" s="17" t="s">
        <v>271</v>
      </c>
      <c r="AZ876" s="17" t="s">
        <v>243</v>
      </c>
      <c r="BA876" s="17" t="s">
        <v>458</v>
      </c>
      <c r="BB876" s="17" t="s">
        <v>109</v>
      </c>
      <c r="BP876" s="17" t="s">
        <v>3399</v>
      </c>
      <c r="BR876" s="24" t="str">
        <f t="shared" si="1"/>
        <v>hotel bheemas grand </v>
      </c>
    </row>
    <row r="877" ht="22.5" customHeight="1">
      <c r="A877" s="14">
        <v>46076.90607252315</v>
      </c>
      <c r="B877" s="15">
        <v>46076.0</v>
      </c>
      <c r="C877" s="16">
        <v>0.47222222221898846</v>
      </c>
      <c r="U877" s="17" t="s">
        <v>3400</v>
      </c>
      <c r="V877" s="17">
        <v>8.121825518E9</v>
      </c>
      <c r="W877" s="17" t="s">
        <v>113</v>
      </c>
      <c r="AA877" s="17" t="s">
        <v>109</v>
      </c>
      <c r="AT877" s="17" t="s">
        <v>3401</v>
      </c>
      <c r="AU877" s="17" t="s">
        <v>76</v>
      </c>
      <c r="AZ877" s="17" t="s">
        <v>243</v>
      </c>
      <c r="BA877" s="17" t="s">
        <v>458</v>
      </c>
      <c r="BB877" s="17" t="s">
        <v>109</v>
      </c>
      <c r="BP877" s="17" t="s">
        <v>3402</v>
      </c>
      <c r="BR877" s="24" t="str">
        <f t="shared" si="1"/>
        <v> New farasha cafe </v>
      </c>
    </row>
    <row r="878" ht="22.5" customHeight="1">
      <c r="A878" s="14">
        <v>46076.9071119213</v>
      </c>
      <c r="B878" s="15">
        <v>46076.0</v>
      </c>
      <c r="C878" s="16">
        <v>0.47916666666424135</v>
      </c>
      <c r="U878" s="17" t="s">
        <v>3403</v>
      </c>
      <c r="V878" s="17">
        <v>8.686943703E9</v>
      </c>
      <c r="W878" s="17" t="s">
        <v>113</v>
      </c>
      <c r="AA878" s="17" t="s">
        <v>109</v>
      </c>
      <c r="AT878" s="17" t="s">
        <v>3404</v>
      </c>
      <c r="AU878" s="17" t="s">
        <v>76</v>
      </c>
      <c r="AV878" s="17" t="s">
        <v>271</v>
      </c>
      <c r="AZ878" s="17" t="s">
        <v>243</v>
      </c>
      <c r="BA878" s="17" t="s">
        <v>458</v>
      </c>
      <c r="BB878" s="17" t="s">
        <v>109</v>
      </c>
      <c r="BP878" s="17" t="s">
        <v>3194</v>
      </c>
      <c r="BR878" s="24" t="str">
        <f t="shared" si="1"/>
        <v>Arabian mandi</v>
      </c>
    </row>
    <row r="879" ht="22.5" customHeight="1">
      <c r="A879" s="14">
        <v>46076.908505960644</v>
      </c>
      <c r="B879" s="15">
        <v>46076.0</v>
      </c>
      <c r="C879" s="16">
        <v>0.5</v>
      </c>
      <c r="U879" s="17" t="s">
        <v>782</v>
      </c>
      <c r="V879" s="17">
        <v>9.700112955E9</v>
      </c>
      <c r="W879" s="17" t="s">
        <v>113</v>
      </c>
      <c r="AA879" s="17" t="s">
        <v>109</v>
      </c>
      <c r="AT879" s="17" t="s">
        <v>3405</v>
      </c>
      <c r="AU879" s="17" t="s">
        <v>76</v>
      </c>
      <c r="AV879" s="17" t="s">
        <v>472</v>
      </c>
      <c r="AZ879" s="17" t="s">
        <v>243</v>
      </c>
      <c r="BA879" s="17" t="s">
        <v>458</v>
      </c>
      <c r="BB879" s="17" t="s">
        <v>109</v>
      </c>
      <c r="BP879" s="17" t="s">
        <v>3406</v>
      </c>
      <c r="BR879" s="24" t="str">
        <f t="shared" si="1"/>
        <v>Savera hills hotel</v>
      </c>
    </row>
    <row r="880" ht="22.5" customHeight="1">
      <c r="A880" s="14">
        <v>46076.90931782407</v>
      </c>
      <c r="B880" s="15">
        <v>46076.0</v>
      </c>
      <c r="C880" s="16">
        <v>0.53125</v>
      </c>
      <c r="U880" s="17" t="s">
        <v>3407</v>
      </c>
      <c r="V880" s="17" t="s">
        <v>113</v>
      </c>
      <c r="W880" s="17" t="s">
        <v>113</v>
      </c>
      <c r="AA880" s="17" t="s">
        <v>109</v>
      </c>
      <c r="AT880" s="17" t="s">
        <v>3408</v>
      </c>
      <c r="AU880" s="17" t="s">
        <v>76</v>
      </c>
      <c r="AV880" s="17" t="s">
        <v>271</v>
      </c>
      <c r="AZ880" s="17" t="s">
        <v>243</v>
      </c>
      <c r="BA880" s="17" t="s">
        <v>458</v>
      </c>
      <c r="BB880" s="17" t="s">
        <v>109</v>
      </c>
      <c r="BP880" s="17" t="s">
        <v>3409</v>
      </c>
      <c r="BR880" s="24" t="str">
        <f t="shared" si="1"/>
        <v>Oura telugu kitchen</v>
      </c>
    </row>
    <row r="881" ht="22.5" customHeight="1">
      <c r="A881" s="14">
        <v>46076.91057253472</v>
      </c>
      <c r="B881" s="15">
        <v>46076.0</v>
      </c>
      <c r="C881" s="16">
        <v>0.5833333333357587</v>
      </c>
      <c r="D881" s="17" t="s">
        <v>111</v>
      </c>
      <c r="T881" s="17" t="s">
        <v>3410</v>
      </c>
      <c r="U881" s="17" t="s">
        <v>3224</v>
      </c>
      <c r="V881" s="17">
        <v>9.833858958E9</v>
      </c>
      <c r="W881" s="17" t="s">
        <v>113</v>
      </c>
      <c r="AA881" s="17" t="s">
        <v>109</v>
      </c>
      <c r="AT881" s="17" t="s">
        <v>3411</v>
      </c>
      <c r="AU881" s="17" t="s">
        <v>76</v>
      </c>
      <c r="AV881" s="17" t="s">
        <v>271</v>
      </c>
      <c r="AZ881" s="17" t="s">
        <v>243</v>
      </c>
      <c r="BA881" s="17" t="s">
        <v>458</v>
      </c>
      <c r="BB881" s="17" t="s">
        <v>76</v>
      </c>
      <c r="BP881" s="17" t="s">
        <v>3410</v>
      </c>
      <c r="BR881" s="24" t="str">
        <f t="shared" si="1"/>
        <v>City chefs kitchen City chefs kitchen </v>
      </c>
    </row>
    <row r="882" ht="22.5" customHeight="1">
      <c r="A882" s="14">
        <v>46076.91167233796</v>
      </c>
      <c r="B882" s="15">
        <v>46076.0</v>
      </c>
      <c r="C882" s="16">
        <v>0.6145833333357587</v>
      </c>
      <c r="U882" s="17" t="s">
        <v>3412</v>
      </c>
      <c r="V882" s="17">
        <v>7.993021641E9</v>
      </c>
      <c r="W882" s="17" t="s">
        <v>113</v>
      </c>
      <c r="AA882" s="17" t="s">
        <v>109</v>
      </c>
      <c r="AT882" s="17" t="s">
        <v>3413</v>
      </c>
      <c r="AU882" s="17" t="s">
        <v>76</v>
      </c>
      <c r="AV882" s="17" t="s">
        <v>271</v>
      </c>
      <c r="AZ882" s="17" t="s">
        <v>243</v>
      </c>
      <c r="BA882" s="17" t="s">
        <v>458</v>
      </c>
      <c r="BB882" s="17" t="s">
        <v>109</v>
      </c>
      <c r="BP882" s="17" t="s">
        <v>3414</v>
      </c>
      <c r="BR882" s="24" t="str">
        <f t="shared" si="1"/>
        <v>Bagara and biryani </v>
      </c>
    </row>
    <row r="883" ht="22.5" customHeight="1">
      <c r="A883" s="14">
        <v>46076.91262113426</v>
      </c>
      <c r="B883" s="15">
        <v>46076.0</v>
      </c>
      <c r="C883" s="16">
        <v>0.625</v>
      </c>
      <c r="U883" s="17" t="s">
        <v>3415</v>
      </c>
      <c r="V883" s="17" t="s">
        <v>113</v>
      </c>
      <c r="W883" s="17" t="s">
        <v>113</v>
      </c>
      <c r="AA883" s="17" t="s">
        <v>109</v>
      </c>
      <c r="AT883" s="17" t="s">
        <v>3416</v>
      </c>
      <c r="AU883" s="17" t="s">
        <v>76</v>
      </c>
      <c r="AV883" s="17" t="s">
        <v>472</v>
      </c>
      <c r="AZ883" s="17" t="s">
        <v>243</v>
      </c>
      <c r="BA883" s="17" t="s">
        <v>458</v>
      </c>
      <c r="BB883" s="17" t="s">
        <v>109</v>
      </c>
      <c r="BP883" s="17" t="s">
        <v>3417</v>
      </c>
      <c r="BR883" s="24" t="str">
        <f t="shared" si="1"/>
        <v>Ruchi plaza</v>
      </c>
    </row>
    <row r="884" ht="22.5" customHeight="1">
      <c r="A884" s="14">
        <v>46076.91366211805</v>
      </c>
      <c r="B884" s="15">
        <v>46076.0</v>
      </c>
      <c r="C884" s="16">
        <v>0.625</v>
      </c>
      <c r="U884" s="17" t="s">
        <v>3232</v>
      </c>
      <c r="V884" s="17" t="s">
        <v>113</v>
      </c>
      <c r="W884" s="17" t="s">
        <v>113</v>
      </c>
      <c r="AA884" s="17" t="s">
        <v>109</v>
      </c>
      <c r="AT884" s="17" t="s">
        <v>3418</v>
      </c>
      <c r="AU884" s="17" t="s">
        <v>76</v>
      </c>
      <c r="AZ884" s="17" t="s">
        <v>243</v>
      </c>
      <c r="BA884" s="17" t="s">
        <v>458</v>
      </c>
      <c r="BB884" s="17" t="s">
        <v>109</v>
      </c>
      <c r="BP884" s="17" t="s">
        <v>3419</v>
      </c>
      <c r="BR884" s="24" t="str">
        <f t="shared" si="1"/>
        <v>Sri mamas kitchen</v>
      </c>
    </row>
    <row r="885" ht="22.5" customHeight="1">
      <c r="A885" s="14">
        <v>46076.914662951385</v>
      </c>
      <c r="B885" s="15">
        <v>46076.0</v>
      </c>
      <c r="C885" s="16">
        <v>0.5138888888905058</v>
      </c>
      <c r="U885" s="17" t="s">
        <v>113</v>
      </c>
      <c r="V885" s="17" t="s">
        <v>113</v>
      </c>
      <c r="W885" s="17" t="s">
        <v>113</v>
      </c>
      <c r="AA885" s="17" t="s">
        <v>109</v>
      </c>
      <c r="AT885" s="17" t="s">
        <v>3420</v>
      </c>
      <c r="AU885" s="17" t="s">
        <v>109</v>
      </c>
      <c r="AZ885" s="17" t="s">
        <v>243</v>
      </c>
      <c r="BA885" s="17" t="s">
        <v>458</v>
      </c>
      <c r="BB885" s="17" t="s">
        <v>109</v>
      </c>
      <c r="BP885" s="17" t="s">
        <v>3421</v>
      </c>
      <c r="BR885" s="24" t="str">
        <f t="shared" si="1"/>
        <v>Annapurna hotel </v>
      </c>
    </row>
    <row r="886" ht="22.5" customHeight="1">
      <c r="A886" s="14">
        <v>46076.915528576385</v>
      </c>
      <c r="B886" s="15">
        <v>46076.0</v>
      </c>
      <c r="C886" s="16">
        <v>0.5416666666642413</v>
      </c>
      <c r="U886" s="17" t="s">
        <v>113</v>
      </c>
      <c r="V886" s="17">
        <v>6.301481281E9</v>
      </c>
      <c r="W886" s="17" t="s">
        <v>113</v>
      </c>
      <c r="AA886" s="17" t="s">
        <v>109</v>
      </c>
      <c r="AT886" s="17" t="s">
        <v>3422</v>
      </c>
      <c r="AU886" s="17" t="s">
        <v>76</v>
      </c>
      <c r="AV886" s="17" t="s">
        <v>472</v>
      </c>
      <c r="AZ886" s="17" t="s">
        <v>243</v>
      </c>
      <c r="BA886" s="17" t="s">
        <v>458</v>
      </c>
      <c r="BB886" s="17" t="s">
        <v>109</v>
      </c>
      <c r="BP886" s="17" t="s">
        <v>3423</v>
      </c>
      <c r="BR886" s="24" t="str">
        <f t="shared" si="1"/>
        <v>Alfa madr eat </v>
      </c>
    </row>
    <row r="887" ht="22.5" customHeight="1">
      <c r="A887" s="14">
        <v>46076.916610844906</v>
      </c>
      <c r="B887" s="15">
        <v>46076.0</v>
      </c>
      <c r="C887" s="16">
        <v>0.53125</v>
      </c>
      <c r="U887" s="17" t="s">
        <v>3424</v>
      </c>
      <c r="V887" s="17">
        <v>9.177944625E9</v>
      </c>
      <c r="W887" s="17" t="s">
        <v>113</v>
      </c>
      <c r="AA887" s="17" t="s">
        <v>109</v>
      </c>
      <c r="AT887" s="17" t="s">
        <v>3413</v>
      </c>
      <c r="AU887" s="17" t="s">
        <v>76</v>
      </c>
      <c r="AV887" s="17" t="s">
        <v>472</v>
      </c>
      <c r="AZ887" s="17" t="s">
        <v>243</v>
      </c>
      <c r="BA887" s="17" t="s">
        <v>458</v>
      </c>
      <c r="BB887" s="17" t="s">
        <v>109</v>
      </c>
      <c r="BP887" s="17" t="s">
        <v>3425</v>
      </c>
      <c r="BR887" s="24" t="str">
        <f t="shared" si="1"/>
        <v>Shah restaurant</v>
      </c>
    </row>
    <row r="888" ht="22.5" customHeight="1">
      <c r="A888" s="14">
        <v>46076.91755932871</v>
      </c>
      <c r="B888" s="15">
        <v>46076.0</v>
      </c>
      <c r="C888" s="16">
        <v>0.7083333333357587</v>
      </c>
      <c r="U888" s="17" t="s">
        <v>3426</v>
      </c>
      <c r="V888" s="17" t="s">
        <v>113</v>
      </c>
      <c r="W888" s="17" t="s">
        <v>3426</v>
      </c>
      <c r="AA888" s="17" t="s">
        <v>109</v>
      </c>
      <c r="AT888" s="17" t="s">
        <v>3427</v>
      </c>
      <c r="AU888" s="17" t="s">
        <v>76</v>
      </c>
      <c r="AV888" s="17" t="s">
        <v>472</v>
      </c>
      <c r="AZ888" s="17" t="s">
        <v>243</v>
      </c>
      <c r="BA888" s="17" t="s">
        <v>458</v>
      </c>
      <c r="BB888" s="17" t="s">
        <v>109</v>
      </c>
      <c r="BP888" s="17" t="s">
        <v>3428</v>
      </c>
      <c r="BR888" s="24" t="str">
        <f t="shared" si="1"/>
        <v>The nawaabs restaurant </v>
      </c>
    </row>
    <row r="889" ht="22.5" customHeight="1">
      <c r="A889" s="14">
        <v>46076.91859689815</v>
      </c>
      <c r="B889" s="15">
        <v>46076.0</v>
      </c>
      <c r="C889" s="16">
        <v>0.7395833333357587</v>
      </c>
      <c r="U889" s="17" t="s">
        <v>3429</v>
      </c>
      <c r="V889" s="17">
        <v>8.019924037E9</v>
      </c>
      <c r="W889" s="17" t="s">
        <v>113</v>
      </c>
      <c r="AA889" s="17" t="s">
        <v>109</v>
      </c>
      <c r="AT889" s="17" t="s">
        <v>3430</v>
      </c>
      <c r="AU889" s="17" t="s">
        <v>76</v>
      </c>
      <c r="AV889" s="17" t="s">
        <v>472</v>
      </c>
      <c r="AZ889" s="17" t="s">
        <v>243</v>
      </c>
      <c r="BA889" s="17" t="s">
        <v>458</v>
      </c>
      <c r="BB889" s="17" t="s">
        <v>109</v>
      </c>
      <c r="BP889" s="17" t="s">
        <v>3431</v>
      </c>
      <c r="BR889" s="24" t="str">
        <f t="shared" si="1"/>
        <v>Leons burger and burger  </v>
      </c>
    </row>
    <row r="890" ht="22.5" customHeight="1">
      <c r="A890" s="14">
        <v>46076.91965660879</v>
      </c>
      <c r="B890" s="15">
        <v>46076.0</v>
      </c>
      <c r="C890" s="16">
        <v>0.7083333333357587</v>
      </c>
      <c r="U890" s="17" t="s">
        <v>3432</v>
      </c>
      <c r="V890" s="17">
        <v>9.0722188E9</v>
      </c>
      <c r="W890" s="17" t="s">
        <v>113</v>
      </c>
      <c r="AA890" s="17" t="s">
        <v>109</v>
      </c>
      <c r="AT890" s="17" t="s">
        <v>3433</v>
      </c>
      <c r="AU890" s="17" t="s">
        <v>76</v>
      </c>
      <c r="AV890" s="17" t="s">
        <v>472</v>
      </c>
      <c r="AZ890" s="17" t="s">
        <v>243</v>
      </c>
      <c r="BA890" s="17" t="s">
        <v>458</v>
      </c>
      <c r="BB890" s="17" t="s">
        <v>109</v>
      </c>
      <c r="BP890" s="17" t="s">
        <v>3434</v>
      </c>
      <c r="BR890" s="24" t="str">
        <f t="shared" si="1"/>
        <v>Albaik</v>
      </c>
    </row>
    <row r="891" ht="22.5" customHeight="1">
      <c r="A891" s="14">
        <v>46076.92066631945</v>
      </c>
      <c r="B891" s="15">
        <v>46076.0</v>
      </c>
      <c r="C891" s="16">
        <v>0.6979166666642413</v>
      </c>
      <c r="U891" s="17" t="s">
        <v>3435</v>
      </c>
      <c r="V891" s="17">
        <v>9.701049241E9</v>
      </c>
      <c r="W891" s="17" t="s">
        <v>113</v>
      </c>
      <c r="AA891" s="17" t="s">
        <v>109</v>
      </c>
      <c r="AT891" s="17" t="s">
        <v>3436</v>
      </c>
      <c r="AU891" s="17" t="s">
        <v>76</v>
      </c>
      <c r="AV891" s="17" t="s">
        <v>472</v>
      </c>
      <c r="AZ891" s="17" t="s">
        <v>243</v>
      </c>
      <c r="BA891" s="17" t="s">
        <v>458</v>
      </c>
      <c r="BB891" s="17" t="s">
        <v>109</v>
      </c>
      <c r="BP891" s="17" t="s">
        <v>3437</v>
      </c>
      <c r="BR891" s="24" t="str">
        <f t="shared" si="1"/>
        <v>Raasa cafe</v>
      </c>
    </row>
    <row r="892" ht="22.5" customHeight="1">
      <c r="A892" s="14">
        <v>46076.989496932874</v>
      </c>
      <c r="B892" s="15">
        <v>46076.0</v>
      </c>
      <c r="C892" s="16">
        <v>0.48541666666278616</v>
      </c>
      <c r="U892" s="17" t="s">
        <v>3438</v>
      </c>
      <c r="V892" s="17" t="s">
        <v>117</v>
      </c>
      <c r="W892" s="17" t="s">
        <v>117</v>
      </c>
      <c r="AA892" s="17" t="s">
        <v>109</v>
      </c>
      <c r="AT892" s="17" t="s">
        <v>3439</v>
      </c>
      <c r="AU892" s="17" t="s">
        <v>76</v>
      </c>
      <c r="AV892" s="17" t="s">
        <v>472</v>
      </c>
      <c r="AX892" s="15">
        <v>46077.0</v>
      </c>
      <c r="AY892" s="16">
        <v>0.625</v>
      </c>
      <c r="AZ892" s="17" t="s">
        <v>164</v>
      </c>
      <c r="BA892" s="17" t="s">
        <v>458</v>
      </c>
      <c r="BB892" s="17" t="s">
        <v>109</v>
      </c>
      <c r="BP892" s="17" t="s">
        <v>3440</v>
      </c>
      <c r="BR892" s="24" t="str">
        <f t="shared" si="1"/>
        <v> A1 hotel </v>
      </c>
    </row>
    <row r="893" ht="22.5" customHeight="1">
      <c r="A893" s="14">
        <v>46076.9915234838</v>
      </c>
      <c r="B893" s="15">
        <v>46076.0</v>
      </c>
      <c r="C893" s="16">
        <v>0.4930555555547471</v>
      </c>
      <c r="U893" s="17" t="s">
        <v>3441</v>
      </c>
      <c r="V893" s="17">
        <v>9.393316686E9</v>
      </c>
      <c r="W893" s="17" t="s">
        <v>117</v>
      </c>
      <c r="AA893" s="17" t="s">
        <v>109</v>
      </c>
      <c r="AT893" s="17" t="s">
        <v>3442</v>
      </c>
      <c r="AU893" s="17" t="s">
        <v>76</v>
      </c>
      <c r="AV893" s="17" t="s">
        <v>472</v>
      </c>
      <c r="AW893" s="17" t="s">
        <v>3443</v>
      </c>
      <c r="AX893" s="15">
        <v>46077.0</v>
      </c>
      <c r="AY893" s="16">
        <v>0.5625</v>
      </c>
      <c r="AZ893" s="17" t="s">
        <v>164</v>
      </c>
      <c r="BA893" s="17" t="s">
        <v>458</v>
      </c>
      <c r="BB893" s="17" t="s">
        <v>109</v>
      </c>
      <c r="BP893" s="17" t="s">
        <v>3444</v>
      </c>
      <c r="BR893" s="24" t="str">
        <f t="shared" si="1"/>
        <v> al bawadi mandi</v>
      </c>
    </row>
    <row r="894" ht="22.5" customHeight="1">
      <c r="A894" s="14">
        <v>46076.99368829861</v>
      </c>
      <c r="B894" s="15">
        <v>46076.0</v>
      </c>
      <c r="C894" s="16">
        <v>0.5208333333357587</v>
      </c>
      <c r="U894" s="17" t="s">
        <v>3445</v>
      </c>
      <c r="V894" s="17" t="s">
        <v>3446</v>
      </c>
      <c r="W894" s="17" t="s">
        <v>117</v>
      </c>
      <c r="AA894" s="17" t="s">
        <v>109</v>
      </c>
      <c r="AT894" s="17" t="s">
        <v>3442</v>
      </c>
      <c r="AU894" s="17" t="s">
        <v>76</v>
      </c>
      <c r="AV894" s="17" t="s">
        <v>472</v>
      </c>
      <c r="AW894" s="17" t="s">
        <v>3442</v>
      </c>
      <c r="AX894" s="15">
        <v>46077.0</v>
      </c>
      <c r="AY894" s="16">
        <v>0.5625</v>
      </c>
      <c r="AZ894" s="17" t="s">
        <v>164</v>
      </c>
      <c r="BA894" s="17" t="s">
        <v>458</v>
      </c>
      <c r="BB894" s="17" t="s">
        <v>109</v>
      </c>
      <c r="BP894" s="17" t="s">
        <v>3447</v>
      </c>
      <c r="BR894" s="24" t="str">
        <f t="shared" si="1"/>
        <v>SRK food court</v>
      </c>
    </row>
    <row r="895" ht="22.5" customHeight="1">
      <c r="A895" s="14">
        <v>46076.99520387732</v>
      </c>
      <c r="B895" s="15">
        <v>46076.0</v>
      </c>
      <c r="C895" s="16">
        <v>0.5729166666642413</v>
      </c>
      <c r="U895" s="17" t="s">
        <v>3448</v>
      </c>
      <c r="V895" s="17">
        <v>9.030079776E9</v>
      </c>
      <c r="W895" s="17" t="s">
        <v>117</v>
      </c>
      <c r="AA895" s="17" t="s">
        <v>109</v>
      </c>
      <c r="AT895" s="17" t="s">
        <v>3449</v>
      </c>
      <c r="AU895" s="17" t="s">
        <v>76</v>
      </c>
      <c r="AV895" s="17" t="s">
        <v>472</v>
      </c>
      <c r="AW895" s="17" t="s">
        <v>3450</v>
      </c>
      <c r="AX895" s="15">
        <v>46077.0</v>
      </c>
      <c r="AY895" s="16">
        <v>0.6041666666642413</v>
      </c>
      <c r="AZ895" s="17" t="s">
        <v>164</v>
      </c>
      <c r="BA895" s="17" t="s">
        <v>458</v>
      </c>
      <c r="BB895" s="17" t="s">
        <v>109</v>
      </c>
      <c r="BP895" s="17" t="s">
        <v>3451</v>
      </c>
      <c r="BR895" s="24" t="str">
        <f t="shared" si="1"/>
        <v>fresh and hot </v>
      </c>
    </row>
    <row r="896" ht="22.5" customHeight="1">
      <c r="A896" s="14">
        <v>46076.99677224537</v>
      </c>
      <c r="B896" s="15">
        <v>46076.0</v>
      </c>
      <c r="C896" s="16">
        <v>0.6180555555547471</v>
      </c>
      <c r="U896" s="17" t="s">
        <v>3452</v>
      </c>
      <c r="V896" s="17">
        <v>9.160602449E9</v>
      </c>
      <c r="W896" s="17" t="s">
        <v>117</v>
      </c>
      <c r="AA896" s="17" t="s">
        <v>109</v>
      </c>
      <c r="AT896" s="17" t="s">
        <v>3449</v>
      </c>
      <c r="AU896" s="17" t="s">
        <v>76</v>
      </c>
      <c r="AV896" s="17" t="s">
        <v>472</v>
      </c>
      <c r="AW896" s="17" t="s">
        <v>3449</v>
      </c>
      <c r="AX896" s="15">
        <v>46077.0</v>
      </c>
      <c r="AY896" s="16">
        <v>0.6145833333357587</v>
      </c>
      <c r="AZ896" s="17" t="s">
        <v>164</v>
      </c>
      <c r="BA896" s="17" t="s">
        <v>458</v>
      </c>
      <c r="BB896" s="17" t="s">
        <v>109</v>
      </c>
      <c r="BP896" s="17" t="s">
        <v>3453</v>
      </c>
      <c r="BR896" s="24" t="str">
        <f t="shared" si="1"/>
        <v>shurfa  mandi </v>
      </c>
    </row>
    <row r="897" ht="22.5" customHeight="1">
      <c r="A897" s="14">
        <v>46076.9983796875</v>
      </c>
      <c r="B897" s="15">
        <v>46076.0</v>
      </c>
      <c r="C897" s="16">
        <v>0.6319444444452529</v>
      </c>
      <c r="D897" s="17" t="s">
        <v>111</v>
      </c>
      <c r="T897" s="17" t="s">
        <v>3454</v>
      </c>
      <c r="U897" s="17" t="s">
        <v>3455</v>
      </c>
      <c r="V897" s="17" t="s">
        <v>117</v>
      </c>
      <c r="W897" s="17" t="s">
        <v>117</v>
      </c>
      <c r="AA897" s="17" t="s">
        <v>109</v>
      </c>
      <c r="AT897" s="17" t="s">
        <v>3456</v>
      </c>
      <c r="AU897" s="17" t="s">
        <v>76</v>
      </c>
      <c r="AV897" s="17" t="s">
        <v>373</v>
      </c>
      <c r="AW897" s="17" t="s">
        <v>3456</v>
      </c>
      <c r="AX897" s="15">
        <v>46077.0</v>
      </c>
      <c r="AY897" s="16">
        <v>0.6458333333357587</v>
      </c>
      <c r="AZ897" s="17" t="s">
        <v>164</v>
      </c>
      <c r="BA897" s="17" t="s">
        <v>458</v>
      </c>
      <c r="BB897" s="17" t="s">
        <v>76</v>
      </c>
      <c r="BP897" s="17" t="s">
        <v>3454</v>
      </c>
      <c r="BR897" s="24" t="str">
        <f t="shared" si="1"/>
        <v> felfelah  felfelah </v>
      </c>
    </row>
    <row r="898" ht="22.5" customHeight="1">
      <c r="A898" s="14">
        <v>46077.000158449075</v>
      </c>
      <c r="B898" s="15">
        <v>46076.0</v>
      </c>
      <c r="C898" s="16">
        <v>0.6770833333357587</v>
      </c>
      <c r="U898" s="17" t="s">
        <v>3457</v>
      </c>
      <c r="V898" s="17">
        <v>9.985151185E9</v>
      </c>
      <c r="W898" s="17" t="s">
        <v>117</v>
      </c>
      <c r="AA898" s="17" t="s">
        <v>109</v>
      </c>
      <c r="AT898" s="17" t="s">
        <v>3458</v>
      </c>
      <c r="AU898" s="17" t="s">
        <v>76</v>
      </c>
      <c r="AV898" s="17" t="s">
        <v>373</v>
      </c>
      <c r="AW898" s="17" t="s">
        <v>3459</v>
      </c>
      <c r="AX898" s="15">
        <v>46077.0</v>
      </c>
      <c r="AY898" s="16">
        <v>0.6458333333357587</v>
      </c>
      <c r="AZ898" s="17" t="s">
        <v>164</v>
      </c>
      <c r="BA898" s="17" t="s">
        <v>458</v>
      </c>
      <c r="BB898" s="17" t="s">
        <v>109</v>
      </c>
      <c r="BP898" s="17" t="s">
        <v>3460</v>
      </c>
      <c r="BR898" s="24" t="str">
        <f t="shared" si="1"/>
        <v>hotel city diamond </v>
      </c>
    </row>
    <row r="899" ht="22.5" customHeight="1">
      <c r="A899" s="14">
        <v>46077.00648658565</v>
      </c>
      <c r="B899" s="15">
        <v>46077.0</v>
      </c>
      <c r="C899" s="16">
        <v>0.6875</v>
      </c>
      <c r="D899" s="17" t="s">
        <v>91</v>
      </c>
      <c r="F899" s="17">
        <v>15.0</v>
      </c>
      <c r="G899" s="17">
        <v>200.0</v>
      </c>
      <c r="H899" s="17" t="s">
        <v>117</v>
      </c>
      <c r="I899" s="17">
        <v>9000.0</v>
      </c>
      <c r="J899" s="17" t="s">
        <v>94</v>
      </c>
      <c r="K899" s="17" t="s">
        <v>118</v>
      </c>
      <c r="M899" s="17">
        <v>22.0</v>
      </c>
      <c r="N899" s="17">
        <v>1.0</v>
      </c>
      <c r="O899" s="17" t="s">
        <v>96</v>
      </c>
      <c r="P899" s="17" t="s">
        <v>109</v>
      </c>
      <c r="Q899" s="17" t="s">
        <v>97</v>
      </c>
      <c r="R899" s="17" t="s">
        <v>109</v>
      </c>
      <c r="S899" s="17" t="s">
        <v>3461</v>
      </c>
      <c r="U899" s="17" t="s">
        <v>3462</v>
      </c>
      <c r="V899" s="17" t="s">
        <v>3463</v>
      </c>
      <c r="W899" s="17" t="s">
        <v>117</v>
      </c>
      <c r="AA899" s="17" t="s">
        <v>76</v>
      </c>
      <c r="AB899" s="17">
        <v>2.3625030005167E13</v>
      </c>
      <c r="AC899" s="18" t="s">
        <v>3464</v>
      </c>
      <c r="AO899" s="17" t="s">
        <v>3465</v>
      </c>
      <c r="AP899" s="17" t="s">
        <v>3466</v>
      </c>
      <c r="AR899" s="17" t="s">
        <v>3465</v>
      </c>
      <c r="AS899" s="17" t="s">
        <v>76</v>
      </c>
      <c r="AT899" s="17" t="s">
        <v>193</v>
      </c>
      <c r="AU899" s="17" t="s">
        <v>76</v>
      </c>
      <c r="AV899" s="17" t="s">
        <v>88</v>
      </c>
      <c r="AX899" s="15">
        <v>46078.0</v>
      </c>
      <c r="AY899" s="16">
        <v>0.6041666666642413</v>
      </c>
      <c r="AZ899" s="17" t="s">
        <v>164</v>
      </c>
      <c r="BA899" s="17" t="s">
        <v>458</v>
      </c>
      <c r="BB899" s="17" t="s">
        <v>76</v>
      </c>
      <c r="BH899" s="17">
        <v>22.0</v>
      </c>
      <c r="BI899" s="17" t="s">
        <v>109</v>
      </c>
      <c r="BJ899" s="16">
        <v>0.5208333333357587</v>
      </c>
      <c r="BK899" s="16">
        <v>0.9166666666642413</v>
      </c>
      <c r="BL899" s="17">
        <v>45.0</v>
      </c>
      <c r="BM899" s="17" t="s">
        <v>3467</v>
      </c>
      <c r="BN899" s="17" t="s">
        <v>3468</v>
      </c>
      <c r="BP899" s="17" t="s">
        <v>3469</v>
      </c>
      <c r="BR899" s="24" t="str">
        <f t="shared" si="1"/>
        <v>khans arabian shawarma </v>
      </c>
    </row>
    <row r="900" ht="22.5" customHeight="1">
      <c r="A900" s="14">
        <v>46077.01020561343</v>
      </c>
      <c r="B900" s="15">
        <v>46076.0</v>
      </c>
      <c r="C900" s="16">
        <v>0.6875</v>
      </c>
      <c r="D900" s="17" t="s">
        <v>91</v>
      </c>
      <c r="F900" s="17">
        <v>40.0</v>
      </c>
      <c r="G900" s="17">
        <v>300.0</v>
      </c>
      <c r="H900" s="17" t="s">
        <v>117</v>
      </c>
      <c r="I900" s="17">
        <v>15000.0</v>
      </c>
      <c r="J900" s="17" t="s">
        <v>94</v>
      </c>
      <c r="K900" s="17" t="s">
        <v>118</v>
      </c>
      <c r="L900" s="17">
        <v>34.0</v>
      </c>
      <c r="M900" s="17">
        <v>22.0</v>
      </c>
      <c r="N900" s="17">
        <v>1.0</v>
      </c>
      <c r="O900" s="17" t="s">
        <v>96</v>
      </c>
      <c r="P900" s="17" t="s">
        <v>109</v>
      </c>
      <c r="Q900" s="17" t="s">
        <v>97</v>
      </c>
      <c r="R900" s="17" t="s">
        <v>76</v>
      </c>
      <c r="S900" s="17" t="s">
        <v>3470</v>
      </c>
      <c r="U900" s="17" t="s">
        <v>3471</v>
      </c>
      <c r="V900" s="17">
        <v>9.703736799E9</v>
      </c>
      <c r="W900" s="17" t="s">
        <v>117</v>
      </c>
      <c r="AA900" s="17" t="s">
        <v>109</v>
      </c>
      <c r="AT900" s="17" t="s">
        <v>3472</v>
      </c>
      <c r="AU900" s="17" t="s">
        <v>76</v>
      </c>
      <c r="AV900" s="17" t="s">
        <v>114</v>
      </c>
      <c r="AW900" s="17" t="s">
        <v>3473</v>
      </c>
      <c r="AX900" s="15">
        <v>46077.0</v>
      </c>
      <c r="AY900" s="16">
        <v>0.625</v>
      </c>
      <c r="AZ900" s="17" t="s">
        <v>164</v>
      </c>
      <c r="BA900" s="17" t="s">
        <v>458</v>
      </c>
      <c r="BB900" s="17" t="s">
        <v>76</v>
      </c>
      <c r="BL900" s="17">
        <v>50.0</v>
      </c>
      <c r="BN900" s="17" t="s">
        <v>3474</v>
      </c>
      <c r="BP900" s="17" t="s">
        <v>3475</v>
      </c>
      <c r="BR900" s="24" t="str">
        <f t="shared" si="1"/>
        <v> makhayad al arabi </v>
      </c>
    </row>
    <row r="901" ht="22.5" customHeight="1">
      <c r="A901" s="14">
        <v>46077.01189920139</v>
      </c>
      <c r="B901" s="15">
        <v>46076.0</v>
      </c>
      <c r="C901" s="16">
        <v>0.75</v>
      </c>
      <c r="U901" s="17" t="s">
        <v>3476</v>
      </c>
      <c r="V901" s="17">
        <v>9.010022442E9</v>
      </c>
      <c r="W901" s="17" t="s">
        <v>117</v>
      </c>
      <c r="AA901" s="17" t="s">
        <v>109</v>
      </c>
      <c r="AT901" s="17" t="s">
        <v>3477</v>
      </c>
      <c r="AU901" s="17" t="s">
        <v>76</v>
      </c>
      <c r="AV901" s="17" t="s">
        <v>472</v>
      </c>
      <c r="AW901" s="17" t="s">
        <v>3478</v>
      </c>
      <c r="AX901" s="15">
        <v>46077.0</v>
      </c>
      <c r="AY901" s="16">
        <v>0.6666666666642413</v>
      </c>
      <c r="AZ901" s="17" t="s">
        <v>164</v>
      </c>
      <c r="BA901" s="17" t="s">
        <v>458</v>
      </c>
      <c r="BB901" s="17" t="s">
        <v>109</v>
      </c>
      <c r="BP901" s="17" t="s">
        <v>3479</v>
      </c>
      <c r="BR901" s="24" t="str">
        <f t="shared" si="1"/>
        <v>poorna food court </v>
      </c>
    </row>
    <row r="902" ht="22.5" customHeight="1">
      <c r="A902" s="14">
        <v>46077.01324837963</v>
      </c>
      <c r="B902" s="15">
        <v>46076.0</v>
      </c>
      <c r="C902" s="16">
        <v>0.7083333333357587</v>
      </c>
      <c r="U902" s="17" t="s">
        <v>3480</v>
      </c>
      <c r="V902" s="17">
        <v>8.328283516E9</v>
      </c>
      <c r="W902" s="17" t="s">
        <v>117</v>
      </c>
      <c r="AA902" s="17" t="s">
        <v>109</v>
      </c>
      <c r="AT902" s="17" t="s">
        <v>3456</v>
      </c>
      <c r="AU902" s="17" t="s">
        <v>76</v>
      </c>
      <c r="AV902" s="17" t="s">
        <v>472</v>
      </c>
      <c r="AW902" s="17" t="s">
        <v>3456</v>
      </c>
      <c r="AX902" s="15">
        <v>46077.0</v>
      </c>
      <c r="AY902" s="16">
        <v>0.6041666666642413</v>
      </c>
      <c r="AZ902" s="17" t="s">
        <v>164</v>
      </c>
      <c r="BA902" s="17" t="s">
        <v>458</v>
      </c>
      <c r="BB902" s="17" t="s">
        <v>109</v>
      </c>
      <c r="BP902" s="17" t="s">
        <v>3481</v>
      </c>
      <c r="BR902" s="24" t="str">
        <f t="shared" si="1"/>
        <v> kebabwala</v>
      </c>
    </row>
    <row r="903" ht="22.5" customHeight="1">
      <c r="A903" s="14">
        <v>46077.014997245366</v>
      </c>
      <c r="B903" s="15">
        <v>46076.0</v>
      </c>
      <c r="C903" s="16">
        <v>0.75</v>
      </c>
      <c r="U903" s="17" t="s">
        <v>3482</v>
      </c>
      <c r="V903" s="17">
        <v>8.309232321E9</v>
      </c>
      <c r="W903" s="17" t="s">
        <v>117</v>
      </c>
      <c r="AA903" s="17" t="s">
        <v>109</v>
      </c>
      <c r="AT903" s="17" t="s">
        <v>3483</v>
      </c>
      <c r="AU903" s="17" t="s">
        <v>76</v>
      </c>
      <c r="AV903" s="17" t="s">
        <v>472</v>
      </c>
      <c r="AW903" s="17" t="s">
        <v>3484</v>
      </c>
      <c r="AX903" s="15">
        <v>46077.0</v>
      </c>
      <c r="AY903" s="16">
        <v>0.6041666666642413</v>
      </c>
      <c r="AZ903" s="17" t="s">
        <v>164</v>
      </c>
      <c r="BA903" s="17" t="s">
        <v>458</v>
      </c>
      <c r="BB903" s="17" t="s">
        <v>109</v>
      </c>
      <c r="BP903" s="17" t="s">
        <v>3485</v>
      </c>
      <c r="BR903" s="24" t="str">
        <f t="shared" si="1"/>
        <v>mana ruchulu </v>
      </c>
    </row>
    <row r="904" ht="22.5" customHeight="1">
      <c r="A904" s="14">
        <v>46077.021158171294</v>
      </c>
      <c r="B904" s="15">
        <v>46076.0</v>
      </c>
      <c r="C904" s="16">
        <v>0.7916666666642413</v>
      </c>
      <c r="D904" s="17" t="s">
        <v>91</v>
      </c>
      <c r="F904" s="17">
        <v>45.0</v>
      </c>
      <c r="G904" s="17">
        <v>250.0</v>
      </c>
      <c r="H904" s="17" t="s">
        <v>117</v>
      </c>
      <c r="I904" s="17">
        <v>10000.0</v>
      </c>
      <c r="J904" s="17" t="s">
        <v>94</v>
      </c>
      <c r="K904" s="17" t="s">
        <v>118</v>
      </c>
      <c r="L904" s="17">
        <v>30.0</v>
      </c>
      <c r="M904" s="17">
        <v>22.0</v>
      </c>
      <c r="N904" s="17">
        <v>1.0</v>
      </c>
      <c r="O904" s="17" t="s">
        <v>96</v>
      </c>
      <c r="P904" s="17" t="s">
        <v>76</v>
      </c>
      <c r="Q904" s="17" t="s">
        <v>97</v>
      </c>
      <c r="R904" s="17" t="s">
        <v>76</v>
      </c>
      <c r="S904" s="17" t="s">
        <v>117</v>
      </c>
      <c r="U904" s="17" t="s">
        <v>3486</v>
      </c>
      <c r="V904" s="17">
        <v>8.131917627E9</v>
      </c>
      <c r="W904" s="17" t="s">
        <v>3487</v>
      </c>
      <c r="AA904" s="17" t="s">
        <v>76</v>
      </c>
      <c r="AB904" s="17">
        <v>2.3626033000369E13</v>
      </c>
      <c r="AC904" s="18" t="s">
        <v>3488</v>
      </c>
      <c r="AD904" s="17" t="s">
        <v>117</v>
      </c>
      <c r="AF904" s="17" t="s">
        <v>3489</v>
      </c>
      <c r="AO904" s="17" t="s">
        <v>3486</v>
      </c>
      <c r="AP904" s="17">
        <v>7.793930889E9</v>
      </c>
      <c r="AQ904" s="17" t="s">
        <v>3487</v>
      </c>
      <c r="AS904" s="17" t="s">
        <v>76</v>
      </c>
      <c r="AT904" s="17" t="s">
        <v>193</v>
      </c>
      <c r="AU904" s="17" t="s">
        <v>76</v>
      </c>
      <c r="AV904" s="17" t="s">
        <v>88</v>
      </c>
      <c r="AX904" s="15">
        <v>46077.0</v>
      </c>
      <c r="AY904" s="16">
        <v>0.6041666666642413</v>
      </c>
      <c r="AZ904" s="17" t="s">
        <v>164</v>
      </c>
      <c r="BA904" s="17" t="s">
        <v>458</v>
      </c>
      <c r="BB904" s="17" t="s">
        <v>76</v>
      </c>
      <c r="BH904" s="17">
        <v>22.0</v>
      </c>
      <c r="BI904" s="17" t="s">
        <v>109</v>
      </c>
      <c r="BJ904" s="16">
        <v>0.5208333333357587</v>
      </c>
      <c r="BK904" s="16">
        <v>0.9375</v>
      </c>
      <c r="BL904" s="17">
        <v>40.0</v>
      </c>
      <c r="BM904" s="17" t="s">
        <v>3490</v>
      </c>
      <c r="BN904" s="17" t="s">
        <v>3491</v>
      </c>
      <c r="BP904" s="17" t="s">
        <v>3492</v>
      </c>
      <c r="BR904" s="24" t="str">
        <f t="shared" si="1"/>
        <v>crispy corner </v>
      </c>
    </row>
    <row r="905" ht="22.5" customHeight="1">
      <c r="A905" s="14">
        <v>46077.03414094908</v>
      </c>
      <c r="B905" s="15">
        <v>46076.0</v>
      </c>
      <c r="C905" s="16">
        <v>0.8333333333357587</v>
      </c>
      <c r="D905" s="17" t="s">
        <v>91</v>
      </c>
      <c r="F905" s="17">
        <v>100.0</v>
      </c>
      <c r="G905" s="17">
        <v>300.0</v>
      </c>
      <c r="H905" s="17" t="s">
        <v>3493</v>
      </c>
      <c r="I905" s="17">
        <v>40000.0</v>
      </c>
      <c r="J905" s="17" t="s">
        <v>94</v>
      </c>
      <c r="K905" s="17" t="s">
        <v>95</v>
      </c>
      <c r="N905" s="17">
        <v>1.0</v>
      </c>
      <c r="O905" s="17" t="s">
        <v>96</v>
      </c>
      <c r="P905" s="17" t="s">
        <v>76</v>
      </c>
      <c r="Q905" s="17" t="s">
        <v>97</v>
      </c>
      <c r="R905" s="17" t="s">
        <v>109</v>
      </c>
      <c r="S905" s="18" t="s">
        <v>3494</v>
      </c>
      <c r="U905" s="17" t="s">
        <v>3495</v>
      </c>
      <c r="V905" s="17">
        <v>9.29324515E9</v>
      </c>
      <c r="W905" s="17" t="s">
        <v>3496</v>
      </c>
      <c r="AA905" s="17" t="s">
        <v>76</v>
      </c>
      <c r="AB905" s="17">
        <v>2.3625032007321E13</v>
      </c>
      <c r="AC905" s="18" t="s">
        <v>3497</v>
      </c>
      <c r="AD905" s="17" t="s">
        <v>3498</v>
      </c>
      <c r="AE905" s="18" t="s">
        <v>3499</v>
      </c>
      <c r="AF905" s="17" t="s">
        <v>3500</v>
      </c>
      <c r="AG905" s="18" t="s">
        <v>3501</v>
      </c>
      <c r="AK905" s="18" t="s">
        <v>3502</v>
      </c>
      <c r="AL905" s="17">
        <v>1.19650700001669E14</v>
      </c>
      <c r="AM905" s="17" t="s">
        <v>3503</v>
      </c>
      <c r="AN905" s="17" t="s">
        <v>3504</v>
      </c>
      <c r="AS905" s="17" t="s">
        <v>76</v>
      </c>
      <c r="AT905" s="17" t="s">
        <v>3505</v>
      </c>
      <c r="AU905" s="17" t="s">
        <v>109</v>
      </c>
      <c r="AZ905" s="17" t="s">
        <v>151</v>
      </c>
      <c r="BA905" s="17" t="s">
        <v>458</v>
      </c>
      <c r="BB905" s="17" t="s">
        <v>76</v>
      </c>
      <c r="BH905" s="17">
        <v>21.0</v>
      </c>
      <c r="BI905" s="17" t="s">
        <v>76</v>
      </c>
      <c r="BJ905" s="16">
        <v>0.45833333333575865</v>
      </c>
      <c r="BK905" s="16">
        <v>0.9583333333357587</v>
      </c>
      <c r="BL905" s="17" t="s">
        <v>388</v>
      </c>
      <c r="BM905" s="17" t="s">
        <v>3506</v>
      </c>
      <c r="BN905" s="17" t="s">
        <v>3507</v>
      </c>
      <c r="BP905" s="17" t="s">
        <v>3508</v>
      </c>
      <c r="BR905" s="24" t="str">
        <f t="shared" si="1"/>
        <v>Sri Vigneshwara nellore ruchulu</v>
      </c>
    </row>
    <row r="906" ht="22.5" customHeight="1">
      <c r="A906" s="14">
        <v>46077.03856271991</v>
      </c>
      <c r="B906" s="15">
        <v>46076.0</v>
      </c>
      <c r="C906" s="16">
        <v>0.8541666666642413</v>
      </c>
      <c r="D906" s="17" t="s">
        <v>91</v>
      </c>
      <c r="F906" s="17">
        <v>50.0</v>
      </c>
      <c r="G906" s="17">
        <v>300.0</v>
      </c>
      <c r="H906" s="17" t="s">
        <v>509</v>
      </c>
      <c r="I906" s="17">
        <v>30000.0</v>
      </c>
      <c r="J906" s="17" t="s">
        <v>94</v>
      </c>
      <c r="K906" s="17" t="s">
        <v>134</v>
      </c>
      <c r="N906" s="17">
        <v>2.0</v>
      </c>
      <c r="O906" s="17" t="s">
        <v>96</v>
      </c>
      <c r="P906" s="17" t="s">
        <v>109</v>
      </c>
      <c r="Q906" s="17" t="s">
        <v>97</v>
      </c>
      <c r="R906" s="17" t="s">
        <v>98</v>
      </c>
      <c r="S906" s="17" t="s">
        <v>3509</v>
      </c>
      <c r="U906" s="17" t="s">
        <v>1597</v>
      </c>
      <c r="V906" s="17">
        <v>7.89305309E9</v>
      </c>
      <c r="W906" s="17" t="s">
        <v>3510</v>
      </c>
      <c r="AA906" s="17" t="s">
        <v>76</v>
      </c>
      <c r="AB906" s="17">
        <v>2.3625032003365E13</v>
      </c>
      <c r="AC906" s="18" t="s">
        <v>3511</v>
      </c>
      <c r="AF906" s="17" t="s">
        <v>3512</v>
      </c>
      <c r="AG906" s="18" t="s">
        <v>3513</v>
      </c>
      <c r="AK906" s="18" t="s">
        <v>3514</v>
      </c>
      <c r="AL906" s="17">
        <v>1.45361900001302E14</v>
      </c>
      <c r="AM906" s="17" t="s">
        <v>3515</v>
      </c>
      <c r="AN906" s="17" t="s">
        <v>3516</v>
      </c>
      <c r="AS906" s="17" t="s">
        <v>76</v>
      </c>
      <c r="AT906" s="17" t="s">
        <v>388</v>
      </c>
      <c r="AU906" s="17" t="s">
        <v>109</v>
      </c>
      <c r="AZ906" s="17" t="s">
        <v>151</v>
      </c>
      <c r="BA906" s="17" t="s">
        <v>458</v>
      </c>
      <c r="BB906" s="17" t="s">
        <v>76</v>
      </c>
      <c r="BH906" s="17">
        <v>21.0</v>
      </c>
      <c r="BI906" s="17" t="s">
        <v>76</v>
      </c>
      <c r="BJ906" s="16">
        <v>0.41666666666424135</v>
      </c>
      <c r="BK906" s="16">
        <v>0.9993055555532919</v>
      </c>
      <c r="BL906" s="17">
        <v>40.0</v>
      </c>
      <c r="BM906" s="17" t="s">
        <v>3517</v>
      </c>
      <c r="BN906" s="17" t="s">
        <v>3507</v>
      </c>
      <c r="BP906" s="17" t="s">
        <v>3518</v>
      </c>
      <c r="BR906" s="24" t="str">
        <f t="shared" si="1"/>
        <v>Sri Vigneshwara aaha Bojhanam</v>
      </c>
    </row>
    <row r="907" ht="22.5" customHeight="1">
      <c r="A907" s="14">
        <v>46077.041775543985</v>
      </c>
      <c r="B907" s="15">
        <v>46076.0</v>
      </c>
      <c r="C907" s="16">
        <v>0.8645833333357587</v>
      </c>
      <c r="D907" s="17" t="s">
        <v>91</v>
      </c>
      <c r="F907" s="17">
        <v>50.0</v>
      </c>
      <c r="G907" s="17">
        <v>300.0</v>
      </c>
      <c r="H907" s="17" t="s">
        <v>509</v>
      </c>
      <c r="I907" s="17">
        <v>30000.0</v>
      </c>
      <c r="J907" s="17" t="s">
        <v>94</v>
      </c>
      <c r="K907" s="17" t="s">
        <v>134</v>
      </c>
      <c r="N907" s="17">
        <v>1.0</v>
      </c>
      <c r="O907" s="17" t="s">
        <v>135</v>
      </c>
      <c r="P907" s="17" t="s">
        <v>109</v>
      </c>
      <c r="Q907" s="17" t="s">
        <v>97</v>
      </c>
      <c r="R907" s="17" t="s">
        <v>109</v>
      </c>
      <c r="S907" s="17" t="s">
        <v>3509</v>
      </c>
      <c r="U907" s="17" t="s">
        <v>3519</v>
      </c>
      <c r="V907" s="17" t="s">
        <v>3520</v>
      </c>
      <c r="W907" s="17" t="s">
        <v>3521</v>
      </c>
      <c r="AA907" s="17" t="s">
        <v>76</v>
      </c>
      <c r="AB907" s="17">
        <v>2.3625032003365E13</v>
      </c>
      <c r="AC907" s="18" t="s">
        <v>3522</v>
      </c>
      <c r="AF907" s="17" t="s">
        <v>3512</v>
      </c>
      <c r="AG907" s="18" t="s">
        <v>3523</v>
      </c>
      <c r="AK907" s="18" t="s">
        <v>3524</v>
      </c>
      <c r="AL907" s="17">
        <v>1.45361900001302E14</v>
      </c>
      <c r="AM907" s="17" t="s">
        <v>3515</v>
      </c>
      <c r="AN907" s="17" t="s">
        <v>3525</v>
      </c>
      <c r="AS907" s="17" t="s">
        <v>76</v>
      </c>
      <c r="AT907" s="17" t="s">
        <v>388</v>
      </c>
      <c r="AU907" s="17" t="s">
        <v>109</v>
      </c>
      <c r="AZ907" s="17" t="s">
        <v>151</v>
      </c>
      <c r="BA907" s="17" t="s">
        <v>458</v>
      </c>
      <c r="BB907" s="17" t="s">
        <v>76</v>
      </c>
      <c r="BH907" s="17">
        <v>21.0</v>
      </c>
      <c r="BI907" s="17" t="s">
        <v>76</v>
      </c>
      <c r="BJ907" s="16">
        <v>0.41666666666424135</v>
      </c>
      <c r="BK907" s="16">
        <v>0.9993055555532919</v>
      </c>
      <c r="BL907" s="17">
        <v>40.0</v>
      </c>
      <c r="BM907" s="17" t="s">
        <v>3517</v>
      </c>
      <c r="BN907" s="17" t="s">
        <v>3507</v>
      </c>
      <c r="BP907" s="17" t="s">
        <v>3526</v>
      </c>
      <c r="BR907" s="24" t="str">
        <f t="shared" si="1"/>
        <v>Aaha Bhojanam</v>
      </c>
    </row>
    <row r="908" ht="22.5" customHeight="1">
      <c r="A908" s="14">
        <v>46077.045978229165</v>
      </c>
      <c r="B908" s="15">
        <v>46076.0</v>
      </c>
      <c r="C908" s="16">
        <v>0.9097222222189885</v>
      </c>
      <c r="D908" s="17" t="s">
        <v>91</v>
      </c>
      <c r="F908" s="17">
        <v>30.0</v>
      </c>
      <c r="G908" s="17">
        <v>220.0</v>
      </c>
      <c r="H908" s="17" t="s">
        <v>388</v>
      </c>
      <c r="I908" s="17">
        <v>20000.0</v>
      </c>
      <c r="J908" s="17" t="s">
        <v>94</v>
      </c>
      <c r="K908" s="17" t="s">
        <v>515</v>
      </c>
      <c r="N908" s="17">
        <v>1.0</v>
      </c>
      <c r="O908" s="17" t="s">
        <v>96</v>
      </c>
      <c r="P908" s="17" t="s">
        <v>109</v>
      </c>
      <c r="Q908" s="17" t="s">
        <v>97</v>
      </c>
      <c r="R908" s="17" t="s">
        <v>109</v>
      </c>
      <c r="S908" s="17" t="s">
        <v>3527</v>
      </c>
      <c r="U908" s="17" t="s">
        <v>3528</v>
      </c>
      <c r="V908" s="17">
        <v>6.301730136E9</v>
      </c>
      <c r="W908" s="17" t="s">
        <v>3529</v>
      </c>
      <c r="AA908" s="17" t="s">
        <v>76</v>
      </c>
      <c r="AC908" s="18" t="s">
        <v>3530</v>
      </c>
      <c r="AF908" s="17" t="s">
        <v>3531</v>
      </c>
      <c r="AG908" s="18" t="s">
        <v>3532</v>
      </c>
      <c r="AL908" s="17">
        <v>1.10031112647E11</v>
      </c>
      <c r="AM908" s="17" t="s">
        <v>3533</v>
      </c>
      <c r="AN908" s="17" t="s">
        <v>3534</v>
      </c>
      <c r="AS908" s="17" t="s">
        <v>76</v>
      </c>
      <c r="AT908" s="17" t="s">
        <v>388</v>
      </c>
      <c r="AU908" s="17" t="s">
        <v>109</v>
      </c>
      <c r="AZ908" s="17" t="s">
        <v>151</v>
      </c>
      <c r="BA908" s="17" t="s">
        <v>458</v>
      </c>
      <c r="BB908" s="17" t="s">
        <v>76</v>
      </c>
      <c r="BH908" s="17">
        <v>20.0</v>
      </c>
      <c r="BI908" s="17" t="s">
        <v>76</v>
      </c>
      <c r="BJ908" s="16">
        <v>0.45833333333575865</v>
      </c>
      <c r="BK908" s="16">
        <v>0.9791666666642413</v>
      </c>
      <c r="BL908" s="17" t="s">
        <v>388</v>
      </c>
      <c r="BM908" s="17" t="s">
        <v>3517</v>
      </c>
      <c r="BN908" s="17" t="s">
        <v>3507</v>
      </c>
      <c r="BP908" s="17" t="s">
        <v>3535</v>
      </c>
      <c r="BR908" s="24" t="str">
        <f t="shared" si="1"/>
        <v>Cafe 74</v>
      </c>
    </row>
    <row r="909" ht="22.5" customHeight="1">
      <c r="A909" s="14">
        <v>46077.04907258102</v>
      </c>
      <c r="B909" s="15">
        <v>46066.0</v>
      </c>
      <c r="C909" s="16">
        <v>0.4930555555547471</v>
      </c>
      <c r="U909" s="17" t="s">
        <v>3536</v>
      </c>
      <c r="V909" s="17" t="s">
        <v>3537</v>
      </c>
      <c r="W909" s="17" t="s">
        <v>388</v>
      </c>
      <c r="AA909" s="17" t="s">
        <v>76</v>
      </c>
      <c r="AB909" s="17">
        <v>2.3620030001763E13</v>
      </c>
      <c r="AC909" s="18" t="s">
        <v>3538</v>
      </c>
      <c r="AF909" s="17" t="s">
        <v>3539</v>
      </c>
      <c r="AG909" s="18" t="s">
        <v>3540</v>
      </c>
      <c r="AK909" s="18" t="s">
        <v>3541</v>
      </c>
      <c r="AL909" s="17">
        <v>5.0200031660125E13</v>
      </c>
      <c r="AM909" s="17" t="s">
        <v>3542</v>
      </c>
      <c r="AN909" s="17" t="s">
        <v>1387</v>
      </c>
      <c r="AS909" s="17" t="s">
        <v>76</v>
      </c>
      <c r="AT909" s="17" t="s">
        <v>388</v>
      </c>
      <c r="AU909" s="17" t="s">
        <v>109</v>
      </c>
      <c r="AZ909" s="17" t="s">
        <v>151</v>
      </c>
      <c r="BA909" s="17" t="s">
        <v>458</v>
      </c>
      <c r="BB909" s="17" t="s">
        <v>109</v>
      </c>
      <c r="BH909" s="17">
        <v>17.0</v>
      </c>
      <c r="BI909" s="17" t="s">
        <v>109</v>
      </c>
      <c r="BJ909" s="16">
        <v>0.41666666666424135</v>
      </c>
      <c r="BK909" s="16">
        <v>0.9583333333357587</v>
      </c>
      <c r="BM909" s="17" t="s">
        <v>3543</v>
      </c>
      <c r="BP909" s="17" t="s">
        <v>3544</v>
      </c>
      <c r="BR909" s="24" t="str">
        <f t="shared" si="1"/>
        <v>Parchuri Foods</v>
      </c>
    </row>
    <row r="910" ht="22.5" customHeight="1">
      <c r="A910" s="14">
        <v>46077.05345869213</v>
      </c>
      <c r="B910" s="15">
        <v>46069.0</v>
      </c>
      <c r="C910" s="16">
        <v>0.375</v>
      </c>
      <c r="D910" s="17" t="s">
        <v>91</v>
      </c>
      <c r="F910" s="17">
        <v>100.0</v>
      </c>
      <c r="G910" s="17">
        <v>250.0</v>
      </c>
      <c r="H910" s="17" t="s">
        <v>388</v>
      </c>
      <c r="I910" s="17">
        <v>15000.0</v>
      </c>
      <c r="J910" s="17" t="s">
        <v>221</v>
      </c>
      <c r="K910" s="17" t="s">
        <v>134</v>
      </c>
      <c r="N910" s="17">
        <v>1.0</v>
      </c>
      <c r="O910" s="17" t="s">
        <v>96</v>
      </c>
      <c r="P910" s="17" t="s">
        <v>109</v>
      </c>
      <c r="Q910" s="17" t="s">
        <v>97</v>
      </c>
      <c r="R910" s="17" t="s">
        <v>76</v>
      </c>
      <c r="S910" s="17" t="s">
        <v>3545</v>
      </c>
      <c r="U910" s="17" t="s">
        <v>3546</v>
      </c>
      <c r="V910" s="17">
        <v>8.897928087E9</v>
      </c>
      <c r="W910" s="17" t="s">
        <v>3547</v>
      </c>
      <c r="AA910" s="17" t="s">
        <v>76</v>
      </c>
      <c r="AB910" s="17">
        <v>2.3625032002303E13</v>
      </c>
      <c r="AC910" s="18" t="s">
        <v>3548</v>
      </c>
      <c r="AF910" s="17" t="s">
        <v>3549</v>
      </c>
      <c r="AG910" s="18" t="s">
        <v>3550</v>
      </c>
      <c r="AH910" s="17" t="s">
        <v>3551</v>
      </c>
      <c r="AI910" s="18" t="s">
        <v>3552</v>
      </c>
      <c r="AK910" s="18" t="s">
        <v>3553</v>
      </c>
      <c r="AL910" s="17">
        <v>1.28212010003325E14</v>
      </c>
      <c r="AM910" s="17" t="s">
        <v>3554</v>
      </c>
      <c r="AN910" s="17" t="s">
        <v>2296</v>
      </c>
      <c r="AS910" s="17" t="s">
        <v>76</v>
      </c>
      <c r="AT910" s="17" t="s">
        <v>388</v>
      </c>
      <c r="AU910" s="17" t="s">
        <v>109</v>
      </c>
      <c r="AZ910" s="17" t="s">
        <v>151</v>
      </c>
      <c r="BA910" s="17" t="s">
        <v>458</v>
      </c>
      <c r="BB910" s="17" t="s">
        <v>76</v>
      </c>
      <c r="BH910" s="17">
        <v>17.0</v>
      </c>
      <c r="BI910" s="17" t="s">
        <v>109</v>
      </c>
      <c r="BJ910" s="16">
        <v>0.0</v>
      </c>
      <c r="BK910" s="16">
        <v>0.9375</v>
      </c>
      <c r="BL910" s="17" t="s">
        <v>388</v>
      </c>
      <c r="BM910" s="17" t="s">
        <v>3555</v>
      </c>
      <c r="BN910" s="17" t="s">
        <v>3090</v>
      </c>
      <c r="BP910" s="17" t="s">
        <v>2298</v>
      </c>
      <c r="BR910" s="24" t="str">
        <f t="shared" si="1"/>
        <v>Moms recipe </v>
      </c>
    </row>
    <row r="911" ht="22.5" customHeight="1">
      <c r="A911" s="14">
        <v>46077.37860391204</v>
      </c>
      <c r="B911" s="15">
        <v>46074.0</v>
      </c>
      <c r="C911" s="16">
        <v>0.7083333333357587</v>
      </c>
      <c r="D911" s="17" t="s">
        <v>91</v>
      </c>
      <c r="F911" s="17">
        <v>50.0</v>
      </c>
      <c r="G911" s="17">
        <v>400.0</v>
      </c>
      <c r="H911" s="17" t="s">
        <v>863</v>
      </c>
      <c r="I911" s="17">
        <v>100000.0</v>
      </c>
      <c r="J911" s="17" t="s">
        <v>94</v>
      </c>
      <c r="K911" s="17" t="s">
        <v>134</v>
      </c>
      <c r="L911" s="17">
        <v>22.0</v>
      </c>
      <c r="M911" s="17">
        <v>20.0</v>
      </c>
      <c r="N911" s="17">
        <v>7.0</v>
      </c>
      <c r="O911" s="17" t="s">
        <v>96</v>
      </c>
      <c r="P911" s="17" t="s">
        <v>76</v>
      </c>
      <c r="Q911" s="17" t="s">
        <v>97</v>
      </c>
      <c r="R911" s="17" t="s">
        <v>76</v>
      </c>
      <c r="S911" s="17" t="s">
        <v>388</v>
      </c>
      <c r="U911" s="17" t="s">
        <v>388</v>
      </c>
      <c r="V911" s="17" t="s">
        <v>388</v>
      </c>
      <c r="W911" s="17" t="s">
        <v>388</v>
      </c>
      <c r="AA911" s="17" t="s">
        <v>109</v>
      </c>
      <c r="AT911" s="17" t="s">
        <v>388</v>
      </c>
      <c r="AU911" s="17" t="s">
        <v>76</v>
      </c>
      <c r="AV911" s="17" t="s">
        <v>271</v>
      </c>
      <c r="AZ911" s="17" t="s">
        <v>131</v>
      </c>
      <c r="BA911" s="17" t="s">
        <v>458</v>
      </c>
      <c r="BB911" s="17" t="s">
        <v>76</v>
      </c>
      <c r="BL911" s="17">
        <v>75.0</v>
      </c>
      <c r="BN911" s="17" t="s">
        <v>2551</v>
      </c>
      <c r="BP911" s="17" t="s">
        <v>3556</v>
      </c>
      <c r="BR911" s="24" t="str">
        <f t="shared" si="1"/>
        <v>Bommarillu </v>
      </c>
    </row>
    <row r="912" ht="22.5" customHeight="1">
      <c r="A912" s="14">
        <v>46077.38001112269</v>
      </c>
      <c r="B912" s="15">
        <v>46074.0</v>
      </c>
      <c r="C912" s="16">
        <v>0.75</v>
      </c>
      <c r="U912" s="17" t="s">
        <v>3557</v>
      </c>
      <c r="V912" s="17" t="s">
        <v>113</v>
      </c>
      <c r="W912" s="17" t="s">
        <v>388</v>
      </c>
      <c r="AA912" s="17" t="s">
        <v>109</v>
      </c>
      <c r="AT912" s="17" t="s">
        <v>3558</v>
      </c>
      <c r="AU912" s="17" t="s">
        <v>76</v>
      </c>
      <c r="AV912" s="17" t="s">
        <v>271</v>
      </c>
      <c r="AZ912" s="17" t="s">
        <v>131</v>
      </c>
      <c r="BA912" s="17" t="s">
        <v>458</v>
      </c>
      <c r="BB912" s="17" t="s">
        <v>109</v>
      </c>
      <c r="BP912" s="17" t="s">
        <v>3559</v>
      </c>
      <c r="BR912" s="24" t="str">
        <f t="shared" si="1"/>
        <v>Rama tiffins </v>
      </c>
    </row>
    <row r="913" ht="22.5" customHeight="1">
      <c r="A913" s="14">
        <v>46077.48005373843</v>
      </c>
      <c r="B913" s="15">
        <v>46076.0</v>
      </c>
      <c r="C913" s="16">
        <v>0.5013888888934162</v>
      </c>
      <c r="D913" s="17" t="s">
        <v>91</v>
      </c>
      <c r="F913" s="17">
        <v>10.0</v>
      </c>
      <c r="G913" s="17">
        <v>250.0</v>
      </c>
      <c r="H913" s="17" t="s">
        <v>113</v>
      </c>
      <c r="J913" s="17" t="s">
        <v>94</v>
      </c>
      <c r="K913" s="17" t="s">
        <v>134</v>
      </c>
      <c r="N913" s="17">
        <v>1.0</v>
      </c>
      <c r="O913" s="17" t="s">
        <v>3560</v>
      </c>
      <c r="P913" s="17" t="s">
        <v>76</v>
      </c>
      <c r="Q913" s="17" t="s">
        <v>97</v>
      </c>
      <c r="R913" s="17" t="s">
        <v>76</v>
      </c>
      <c r="S913" s="17" t="s">
        <v>113</v>
      </c>
      <c r="U913" s="17" t="s">
        <v>3561</v>
      </c>
      <c r="V913" s="17">
        <v>9.177712111E9</v>
      </c>
      <c r="W913" s="17" t="s">
        <v>113</v>
      </c>
      <c r="AA913" s="17" t="s">
        <v>109</v>
      </c>
      <c r="AT913" s="17" t="s">
        <v>3562</v>
      </c>
      <c r="AU913" s="17" t="s">
        <v>76</v>
      </c>
      <c r="AV913" s="17" t="s">
        <v>271</v>
      </c>
      <c r="AX913" s="15">
        <v>46077.0</v>
      </c>
      <c r="AY913" s="16">
        <v>0.16666666666424135</v>
      </c>
      <c r="AZ913" s="17" t="s">
        <v>3034</v>
      </c>
      <c r="BA913" s="17" t="s">
        <v>458</v>
      </c>
      <c r="BB913" s="17" t="s">
        <v>76</v>
      </c>
      <c r="BN913" s="17" t="s">
        <v>1077</v>
      </c>
      <c r="BP913" s="17" t="s">
        <v>3563</v>
      </c>
      <c r="BR913" s="24" t="str">
        <f t="shared" si="1"/>
        <v>Shaalimar Sweets</v>
      </c>
    </row>
    <row r="914" ht="22.5" customHeight="1">
      <c r="A914" s="14">
        <v>46077.48158327546</v>
      </c>
      <c r="B914" s="15">
        <v>46076.0</v>
      </c>
      <c r="C914" s="16">
        <v>0.515972222223354</v>
      </c>
      <c r="D914" s="17" t="s">
        <v>91</v>
      </c>
      <c r="F914" s="17">
        <v>20.0</v>
      </c>
      <c r="G914" s="17">
        <v>400.0</v>
      </c>
      <c r="H914" s="17" t="s">
        <v>3564</v>
      </c>
      <c r="J914" s="17" t="s">
        <v>94</v>
      </c>
      <c r="K914" s="17" t="s">
        <v>134</v>
      </c>
      <c r="N914" s="17">
        <v>8.0</v>
      </c>
      <c r="O914" s="17" t="s">
        <v>96</v>
      </c>
      <c r="P914" s="17" t="s">
        <v>76</v>
      </c>
      <c r="Q914" s="17" t="s">
        <v>97</v>
      </c>
      <c r="R914" s="17" t="s">
        <v>76</v>
      </c>
      <c r="S914" s="17" t="s">
        <v>113</v>
      </c>
      <c r="U914" s="17" t="s">
        <v>3565</v>
      </c>
      <c r="V914" s="17">
        <v>7.207092756E9</v>
      </c>
      <c r="W914" s="17" t="s">
        <v>113</v>
      </c>
      <c r="AA914" s="17" t="s">
        <v>109</v>
      </c>
      <c r="AT914" s="17" t="s">
        <v>3566</v>
      </c>
      <c r="AU914" s="17" t="s">
        <v>76</v>
      </c>
      <c r="AV914" s="17" t="s">
        <v>271</v>
      </c>
      <c r="AX914" s="15">
        <v>46081.0</v>
      </c>
      <c r="AY914" s="16">
        <v>0.16666666666424135</v>
      </c>
      <c r="AZ914" s="17" t="s">
        <v>3034</v>
      </c>
      <c r="BA914" s="17" t="s">
        <v>458</v>
      </c>
      <c r="BB914" s="17" t="s">
        <v>76</v>
      </c>
      <c r="BN914" s="17" t="s">
        <v>1077</v>
      </c>
      <c r="BP914" s="17" t="s">
        <v>3567</v>
      </c>
      <c r="BR914" s="24" t="str">
        <f t="shared" si="1"/>
        <v>Agra Sweets</v>
      </c>
    </row>
    <row r="915" ht="22.5" customHeight="1">
      <c r="A915" s="14">
        <v>46077.48305321759</v>
      </c>
      <c r="B915" s="15">
        <v>46076.0</v>
      </c>
      <c r="C915" s="16">
        <v>0.5291666666671517</v>
      </c>
      <c r="D915" s="17" t="s">
        <v>91</v>
      </c>
      <c r="F915" s="17">
        <v>10.0</v>
      </c>
      <c r="G915" s="17">
        <v>300.0</v>
      </c>
      <c r="H915" s="17" t="s">
        <v>113</v>
      </c>
      <c r="J915" s="17" t="s">
        <v>94</v>
      </c>
      <c r="K915" s="17" t="s">
        <v>134</v>
      </c>
      <c r="N915" s="17">
        <v>1.0</v>
      </c>
      <c r="O915" s="17" t="s">
        <v>96</v>
      </c>
      <c r="P915" s="17" t="s">
        <v>109</v>
      </c>
      <c r="Q915" s="17" t="s">
        <v>97</v>
      </c>
      <c r="R915" s="17" t="s">
        <v>76</v>
      </c>
      <c r="S915" s="17" t="s">
        <v>113</v>
      </c>
      <c r="U915" s="17" t="s">
        <v>3568</v>
      </c>
      <c r="V915" s="17">
        <v>9.966440312E9</v>
      </c>
      <c r="W915" s="17" t="s">
        <v>113</v>
      </c>
      <c r="AA915" s="17" t="s">
        <v>109</v>
      </c>
      <c r="AT915" s="17" t="s">
        <v>3566</v>
      </c>
      <c r="AU915" s="17" t="s">
        <v>76</v>
      </c>
      <c r="AV915" s="17" t="s">
        <v>271</v>
      </c>
      <c r="AX915" s="15">
        <v>46077.0</v>
      </c>
      <c r="AY915" s="16">
        <v>0.125</v>
      </c>
      <c r="AZ915" s="17" t="s">
        <v>3034</v>
      </c>
      <c r="BA915" s="17" t="s">
        <v>458</v>
      </c>
      <c r="BB915" s="17" t="s">
        <v>76</v>
      </c>
      <c r="BN915" s="17" t="s">
        <v>1077</v>
      </c>
      <c r="BP915" s="17" t="s">
        <v>3569</v>
      </c>
      <c r="BR915" s="24" t="str">
        <f t="shared" si="1"/>
        <v>Dreamland Bakers &amp; Confectionaries</v>
      </c>
    </row>
    <row r="916" ht="22.5" customHeight="1">
      <c r="A916" s="14">
        <v>46077.48459042824</v>
      </c>
      <c r="B916" s="15">
        <v>46076.0</v>
      </c>
      <c r="C916" s="16">
        <v>0.05138888888905058</v>
      </c>
      <c r="D916" s="17" t="s">
        <v>91</v>
      </c>
      <c r="F916" s="17">
        <v>10.0</v>
      </c>
      <c r="G916" s="17">
        <v>300.0</v>
      </c>
      <c r="H916" s="17" t="s">
        <v>113</v>
      </c>
      <c r="J916" s="17" t="s">
        <v>94</v>
      </c>
      <c r="K916" s="17" t="s">
        <v>134</v>
      </c>
      <c r="N916" s="17">
        <v>1.0</v>
      </c>
      <c r="O916" s="17" t="s">
        <v>96</v>
      </c>
      <c r="P916" s="17" t="s">
        <v>109</v>
      </c>
      <c r="Q916" s="17" t="s">
        <v>97</v>
      </c>
      <c r="R916" s="17" t="s">
        <v>76</v>
      </c>
      <c r="S916" s="17" t="s">
        <v>113</v>
      </c>
      <c r="U916" s="17" t="s">
        <v>113</v>
      </c>
      <c r="V916" s="17" t="s">
        <v>113</v>
      </c>
      <c r="W916" s="17" t="s">
        <v>113</v>
      </c>
      <c r="AA916" s="17" t="s">
        <v>109</v>
      </c>
      <c r="AT916" s="17" t="s">
        <v>3570</v>
      </c>
      <c r="AU916" s="17" t="s">
        <v>76</v>
      </c>
      <c r="AV916" s="17" t="s">
        <v>373</v>
      </c>
      <c r="AX916" s="15">
        <v>46081.0</v>
      </c>
      <c r="AY916" s="16">
        <v>0.16666666666424135</v>
      </c>
      <c r="AZ916" s="17" t="s">
        <v>3034</v>
      </c>
      <c r="BA916" s="17" t="s">
        <v>458</v>
      </c>
      <c r="BB916" s="17" t="s">
        <v>76</v>
      </c>
      <c r="BN916" s="17" t="s">
        <v>1077</v>
      </c>
      <c r="BP916" s="17" t="s">
        <v>3571</v>
      </c>
      <c r="BR916" s="24" t="str">
        <f t="shared" si="1"/>
        <v>Sri Raghavendra Hotel</v>
      </c>
    </row>
    <row r="917" ht="22.5" customHeight="1">
      <c r="A917" s="14">
        <v>46077.48571085648</v>
      </c>
      <c r="B917" s="15">
        <v>46076.0</v>
      </c>
      <c r="C917" s="16">
        <v>0.070138888884685</v>
      </c>
      <c r="D917" s="17" t="s">
        <v>91</v>
      </c>
      <c r="F917" s="17">
        <v>15.0</v>
      </c>
      <c r="G917" s="17">
        <v>300.0</v>
      </c>
      <c r="H917" s="17" t="s">
        <v>113</v>
      </c>
      <c r="J917" s="17" t="s">
        <v>94</v>
      </c>
      <c r="K917" s="17" t="s">
        <v>134</v>
      </c>
      <c r="N917" s="17">
        <v>1.0</v>
      </c>
      <c r="O917" s="17" t="s">
        <v>96</v>
      </c>
      <c r="P917" s="17" t="s">
        <v>109</v>
      </c>
      <c r="Q917" s="17" t="s">
        <v>97</v>
      </c>
      <c r="R917" s="17" t="s">
        <v>76</v>
      </c>
      <c r="S917" s="17" t="s">
        <v>888</v>
      </c>
      <c r="U917" s="17" t="s">
        <v>113</v>
      </c>
      <c r="V917" s="17" t="s">
        <v>113</v>
      </c>
      <c r="W917" s="17" t="s">
        <v>113</v>
      </c>
      <c r="AA917" s="17" t="s">
        <v>109</v>
      </c>
      <c r="AT917" s="17" t="s">
        <v>3566</v>
      </c>
      <c r="AU917" s="17" t="s">
        <v>76</v>
      </c>
      <c r="AV917" s="17" t="s">
        <v>271</v>
      </c>
      <c r="AX917" s="15">
        <v>46077.0</v>
      </c>
      <c r="AY917" s="16">
        <v>0.16666666666424135</v>
      </c>
      <c r="AZ917" s="17" t="s">
        <v>3034</v>
      </c>
      <c r="BA917" s="17" t="s">
        <v>458</v>
      </c>
      <c r="BB917" s="17" t="s">
        <v>76</v>
      </c>
      <c r="BN917" s="17" t="s">
        <v>1077</v>
      </c>
      <c r="BP917" s="17" t="s">
        <v>3572</v>
      </c>
      <c r="BR917" s="24" t="str">
        <f t="shared" si="1"/>
        <v>Al-Baik</v>
      </c>
    </row>
    <row r="918" ht="22.5" customHeight="1">
      <c r="A918" s="14">
        <v>46077.48745244213</v>
      </c>
      <c r="B918" s="15">
        <v>46076.0</v>
      </c>
      <c r="C918" s="16">
        <v>0.5840277777751908</v>
      </c>
      <c r="D918" s="17" t="s">
        <v>91</v>
      </c>
      <c r="F918" s="17">
        <v>20.0</v>
      </c>
      <c r="G918" s="17">
        <v>300.0</v>
      </c>
      <c r="H918" s="17" t="s">
        <v>117</v>
      </c>
      <c r="J918" s="17" t="s">
        <v>94</v>
      </c>
      <c r="K918" s="17" t="s">
        <v>134</v>
      </c>
      <c r="N918" s="17">
        <v>1.0</v>
      </c>
      <c r="O918" s="17" t="s">
        <v>96</v>
      </c>
      <c r="P918" s="17" t="s">
        <v>109</v>
      </c>
      <c r="Q918" s="17" t="s">
        <v>97</v>
      </c>
      <c r="R918" s="17" t="s">
        <v>76</v>
      </c>
      <c r="S918" s="17" t="s">
        <v>117</v>
      </c>
      <c r="U918" s="17" t="s">
        <v>3573</v>
      </c>
      <c r="V918" s="17">
        <v>8.885442441E9</v>
      </c>
      <c r="W918" s="17" t="s">
        <v>117</v>
      </c>
      <c r="AA918" s="17" t="s">
        <v>109</v>
      </c>
      <c r="AT918" s="17" t="s">
        <v>3574</v>
      </c>
      <c r="AU918" s="17" t="s">
        <v>76</v>
      </c>
      <c r="AV918" s="17" t="s">
        <v>271</v>
      </c>
      <c r="AX918" s="15">
        <v>46077.0</v>
      </c>
      <c r="AY918" s="16">
        <v>0.16666666666424135</v>
      </c>
      <c r="AZ918" s="17" t="s">
        <v>3034</v>
      </c>
      <c r="BA918" s="17" t="s">
        <v>458</v>
      </c>
      <c r="BB918" s="17" t="s">
        <v>76</v>
      </c>
      <c r="BN918" s="17" t="s">
        <v>3468</v>
      </c>
      <c r="BP918" s="17" t="s">
        <v>3575</v>
      </c>
      <c r="BR918" s="24" t="str">
        <f t="shared" si="1"/>
        <v>Sabiib Restaurant Haven</v>
      </c>
    </row>
    <row r="919" ht="22.5" customHeight="1">
      <c r="A919" s="14">
        <v>46077.4890865625</v>
      </c>
      <c r="B919" s="15">
        <v>46076.0</v>
      </c>
      <c r="C919" s="16">
        <v>0.12986111111240461</v>
      </c>
      <c r="D919" s="17" t="s">
        <v>91</v>
      </c>
      <c r="F919" s="17">
        <v>15.0</v>
      </c>
      <c r="G919" s="17">
        <v>300.0</v>
      </c>
      <c r="H919" s="17" t="s">
        <v>113</v>
      </c>
      <c r="J919" s="17" t="s">
        <v>94</v>
      </c>
      <c r="K919" s="17" t="s">
        <v>134</v>
      </c>
      <c r="N919" s="17">
        <v>1.0</v>
      </c>
      <c r="O919" s="17" t="s">
        <v>96</v>
      </c>
      <c r="P919" s="17" t="s">
        <v>109</v>
      </c>
      <c r="Q919" s="17" t="s">
        <v>97</v>
      </c>
      <c r="R919" s="17" t="s">
        <v>76</v>
      </c>
      <c r="S919" s="17" t="s">
        <v>113</v>
      </c>
      <c r="U919" s="17" t="s">
        <v>3298</v>
      </c>
      <c r="V919" s="17">
        <v>7.993012727E9</v>
      </c>
      <c r="W919" s="17" t="s">
        <v>113</v>
      </c>
      <c r="AA919" s="17" t="s">
        <v>109</v>
      </c>
      <c r="AT919" s="17" t="s">
        <v>3574</v>
      </c>
      <c r="AU919" s="17" t="s">
        <v>76</v>
      </c>
      <c r="AV919" s="17" t="s">
        <v>271</v>
      </c>
      <c r="AZ919" s="17" t="s">
        <v>3034</v>
      </c>
      <c r="BA919" s="17" t="s">
        <v>458</v>
      </c>
      <c r="BB919" s="17" t="s">
        <v>76</v>
      </c>
      <c r="BN919" s="17" t="s">
        <v>3041</v>
      </c>
      <c r="BP919" s="17" t="s">
        <v>3576</v>
      </c>
      <c r="BR919" s="24" t="str">
        <f t="shared" si="1"/>
        <v>Bhai Chai</v>
      </c>
    </row>
    <row r="920" ht="22.5" customHeight="1">
      <c r="A920" s="14">
        <v>46077.50267086805</v>
      </c>
      <c r="B920" s="15">
        <v>46076.0</v>
      </c>
      <c r="C920" s="16">
        <v>0.6666666666642413</v>
      </c>
      <c r="D920" s="17" t="s">
        <v>91</v>
      </c>
      <c r="F920" s="17">
        <v>10.0</v>
      </c>
      <c r="G920" s="17">
        <v>700.0</v>
      </c>
      <c r="H920" s="17" t="s">
        <v>611</v>
      </c>
      <c r="J920" s="17" t="s">
        <v>167</v>
      </c>
      <c r="K920" s="17" t="s">
        <v>134</v>
      </c>
      <c r="N920" s="17">
        <v>1.0</v>
      </c>
      <c r="O920" s="17" t="s">
        <v>371</v>
      </c>
      <c r="P920" s="17" t="s">
        <v>76</v>
      </c>
      <c r="Q920" s="17" t="s">
        <v>97</v>
      </c>
      <c r="R920" s="17" t="s">
        <v>76</v>
      </c>
      <c r="S920" s="17" t="s">
        <v>664</v>
      </c>
      <c r="T920" s="17" t="s">
        <v>2201</v>
      </c>
      <c r="U920" s="17" t="s">
        <v>3577</v>
      </c>
      <c r="V920" s="17">
        <v>7.416022022E9</v>
      </c>
      <c r="W920" s="17" t="s">
        <v>2203</v>
      </c>
      <c r="AA920" s="17" t="s">
        <v>109</v>
      </c>
      <c r="AT920" s="17" t="s">
        <v>3578</v>
      </c>
      <c r="AU920" s="17" t="s">
        <v>76</v>
      </c>
      <c r="AV920" s="17" t="s">
        <v>373</v>
      </c>
      <c r="AZ920" s="17" t="s">
        <v>1607</v>
      </c>
      <c r="BA920" s="17" t="s">
        <v>458</v>
      </c>
      <c r="BB920" s="17" t="s">
        <v>76</v>
      </c>
      <c r="BN920" s="17" t="s">
        <v>2201</v>
      </c>
      <c r="BP920" s="17" t="s">
        <v>2201</v>
      </c>
      <c r="BR920" s="24" t="str">
        <f t="shared" si="1"/>
        <v>Sweets DudeSweets Dude</v>
      </c>
    </row>
    <row r="921" ht="22.5" customHeight="1">
      <c r="A921" s="14">
        <v>46077.511258611106</v>
      </c>
      <c r="B921" s="15">
        <v>46076.0</v>
      </c>
      <c r="C921" s="16">
        <v>0.5</v>
      </c>
      <c r="D921" s="17" t="s">
        <v>91</v>
      </c>
      <c r="F921" s="17">
        <v>200.0</v>
      </c>
      <c r="G921" s="17">
        <v>1200.0</v>
      </c>
      <c r="H921" s="17" t="s">
        <v>2187</v>
      </c>
      <c r="J921" s="17" t="s">
        <v>167</v>
      </c>
      <c r="K921" s="17" t="s">
        <v>134</v>
      </c>
      <c r="N921" s="17">
        <v>2.0</v>
      </c>
      <c r="O921" s="17" t="s">
        <v>371</v>
      </c>
      <c r="P921" s="17" t="s">
        <v>76</v>
      </c>
      <c r="Q921" s="17" t="s">
        <v>97</v>
      </c>
      <c r="R921" s="17" t="s">
        <v>76</v>
      </c>
      <c r="S921" s="18" t="s">
        <v>3579</v>
      </c>
      <c r="T921" s="17" t="s">
        <v>3580</v>
      </c>
      <c r="U921" s="17" t="s">
        <v>3581</v>
      </c>
      <c r="V921" s="17">
        <v>7.767042422E9</v>
      </c>
      <c r="W921" s="17" t="s">
        <v>3582</v>
      </c>
      <c r="AA921" s="17" t="s">
        <v>109</v>
      </c>
      <c r="AT921" s="17" t="s">
        <v>3583</v>
      </c>
      <c r="AU921" s="17" t="s">
        <v>76</v>
      </c>
      <c r="AV921" s="17" t="s">
        <v>271</v>
      </c>
      <c r="AZ921" s="17" t="s">
        <v>1607</v>
      </c>
      <c r="BA921" s="17" t="s">
        <v>458</v>
      </c>
      <c r="BB921" s="17" t="s">
        <v>76</v>
      </c>
      <c r="BN921" s="17" t="s">
        <v>3580</v>
      </c>
      <c r="BP921" s="17" t="s">
        <v>3580</v>
      </c>
      <c r="BR921" s="24" t="str">
        <f t="shared" si="1"/>
        <v>Park HyattPark Hyatt</v>
      </c>
    </row>
    <row r="922" ht="22.5" customHeight="1">
      <c r="A922" s="14">
        <v>46077.52384657407</v>
      </c>
      <c r="B922" s="15">
        <v>46077.0</v>
      </c>
      <c r="C922" s="16">
        <v>0.45833333333575865</v>
      </c>
      <c r="D922" s="17" t="s">
        <v>91</v>
      </c>
      <c r="F922" s="17">
        <v>200.0</v>
      </c>
      <c r="G922" s="17">
        <v>900.0</v>
      </c>
      <c r="H922" s="17" t="s">
        <v>117</v>
      </c>
      <c r="J922" s="17" t="s">
        <v>167</v>
      </c>
      <c r="K922" s="17" t="s">
        <v>134</v>
      </c>
      <c r="N922" s="17">
        <v>2.0</v>
      </c>
      <c r="O922" s="17" t="s">
        <v>371</v>
      </c>
      <c r="P922" s="17" t="s">
        <v>76</v>
      </c>
      <c r="Q922" s="17" t="s">
        <v>97</v>
      </c>
      <c r="R922" s="17" t="s">
        <v>76</v>
      </c>
      <c r="S922" s="18" t="s">
        <v>3584</v>
      </c>
      <c r="T922" s="17" t="s">
        <v>3585</v>
      </c>
      <c r="U922" s="17" t="s">
        <v>3586</v>
      </c>
      <c r="V922" s="17" t="s">
        <v>3587</v>
      </c>
      <c r="W922" s="17" t="s">
        <v>3588</v>
      </c>
      <c r="AA922" s="17" t="s">
        <v>109</v>
      </c>
      <c r="AT922" s="17" t="s">
        <v>3589</v>
      </c>
      <c r="AU922" s="17" t="s">
        <v>76</v>
      </c>
      <c r="AV922" s="17" t="s">
        <v>472</v>
      </c>
      <c r="AZ922" s="17" t="s">
        <v>1607</v>
      </c>
      <c r="BA922" s="17" t="s">
        <v>458</v>
      </c>
      <c r="BB922" s="17" t="s">
        <v>76</v>
      </c>
      <c r="BN922" s="17" t="s">
        <v>3590</v>
      </c>
      <c r="BP922" s="17" t="s">
        <v>3590</v>
      </c>
      <c r="BR922" s="24" t="str">
        <f t="shared" si="1"/>
        <v>Cock &amp; Bull HyderabadCock and Bull Hyderabad</v>
      </c>
    </row>
    <row r="923" ht="22.5" customHeight="1">
      <c r="A923" s="14">
        <v>46077.52717328704</v>
      </c>
      <c r="B923" s="15">
        <v>46077.0</v>
      </c>
      <c r="C923" s="16">
        <v>0.5208333333357587</v>
      </c>
      <c r="D923" s="17" t="s">
        <v>111</v>
      </c>
      <c r="T923" s="17" t="s">
        <v>2209</v>
      </c>
      <c r="U923" s="17" t="s">
        <v>2206</v>
      </c>
      <c r="V923" s="17">
        <v>8.886331102E9</v>
      </c>
      <c r="W923" s="17" t="s">
        <v>2208</v>
      </c>
      <c r="AA923" s="17" t="s">
        <v>109</v>
      </c>
      <c r="AT923" s="17" t="s">
        <v>3591</v>
      </c>
      <c r="AU923" s="17" t="s">
        <v>76</v>
      </c>
      <c r="AV923" s="17" t="s">
        <v>373</v>
      </c>
      <c r="AX923" s="15">
        <v>46079.0</v>
      </c>
      <c r="AY923" s="16">
        <v>0.45833333333575865</v>
      </c>
      <c r="AZ923" s="17" t="s">
        <v>1607</v>
      </c>
      <c r="BA923" s="17" t="s">
        <v>491</v>
      </c>
      <c r="BP923" s="17" t="s">
        <v>2205</v>
      </c>
      <c r="BR923" s="24" t="str">
        <f t="shared" si="1"/>
        <v>AccorACCOR</v>
      </c>
    </row>
    <row r="924" ht="22.5" customHeight="1">
      <c r="A924" s="14">
        <v>46077.54982579861</v>
      </c>
      <c r="B924" s="15">
        <v>46077.0</v>
      </c>
      <c r="C924" s="16">
        <v>0.5423611111109494</v>
      </c>
      <c r="D924" s="17" t="s">
        <v>91</v>
      </c>
      <c r="F924" s="17">
        <v>50.0</v>
      </c>
      <c r="G924" s="17">
        <v>200.0</v>
      </c>
      <c r="H924" s="17" t="s">
        <v>117</v>
      </c>
      <c r="J924" s="17" t="s">
        <v>221</v>
      </c>
      <c r="K924" s="17" t="s">
        <v>134</v>
      </c>
      <c r="N924" s="17">
        <v>1.0</v>
      </c>
      <c r="O924" s="17" t="s">
        <v>96</v>
      </c>
      <c r="P924" s="17" t="s">
        <v>109</v>
      </c>
      <c r="Q924" s="17" t="s">
        <v>97</v>
      </c>
      <c r="R924" s="17" t="s">
        <v>109</v>
      </c>
      <c r="S924" s="17" t="s">
        <v>117</v>
      </c>
      <c r="U924" s="17" t="s">
        <v>3592</v>
      </c>
      <c r="V924" s="17">
        <v>9.949390399E9</v>
      </c>
      <c r="W924" s="17" t="s">
        <v>117</v>
      </c>
      <c r="AA924" s="17" t="s">
        <v>109</v>
      </c>
      <c r="AT924" s="17" t="s">
        <v>3593</v>
      </c>
      <c r="AU924" s="17" t="s">
        <v>76</v>
      </c>
      <c r="AV924" s="17" t="s">
        <v>271</v>
      </c>
      <c r="AZ924" s="17" t="s">
        <v>287</v>
      </c>
      <c r="BA924" s="17" t="s">
        <v>491</v>
      </c>
      <c r="BP924" s="17" t="s">
        <v>3294</v>
      </c>
      <c r="BR924" s="24" t="str">
        <f t="shared" si="1"/>
        <v>Rokali</v>
      </c>
    </row>
    <row r="925" ht="22.5" customHeight="1">
      <c r="A925" s="14">
        <v>46077.55224027778</v>
      </c>
      <c r="B925" s="15">
        <v>46077.0</v>
      </c>
      <c r="C925" s="16">
        <v>0.5</v>
      </c>
      <c r="D925" s="17" t="s">
        <v>111</v>
      </c>
      <c r="T925" s="17" t="s">
        <v>3178</v>
      </c>
      <c r="U925" s="17" t="s">
        <v>117</v>
      </c>
      <c r="V925" s="17">
        <v>9.441162225E9</v>
      </c>
      <c r="W925" s="17" t="s">
        <v>388</v>
      </c>
      <c r="AA925" s="17" t="s">
        <v>109</v>
      </c>
      <c r="AT925" s="17" t="s">
        <v>3594</v>
      </c>
      <c r="AU925" s="17" t="s">
        <v>76</v>
      </c>
      <c r="AV925" s="17" t="s">
        <v>271</v>
      </c>
      <c r="AX925" s="15">
        <v>46083.0</v>
      </c>
      <c r="AZ925" s="17" t="s">
        <v>287</v>
      </c>
      <c r="BA925" s="17" t="s">
        <v>491</v>
      </c>
      <c r="BP925" s="17" t="s">
        <v>3178</v>
      </c>
      <c r="BR925" s="24" t="str">
        <f t="shared" si="1"/>
        <v>UlavacharuUlavacharu</v>
      </c>
    </row>
    <row r="926" ht="22.5" customHeight="1">
      <c r="A926" s="14">
        <v>46077.55328392361</v>
      </c>
      <c r="B926" s="15">
        <v>46077.0</v>
      </c>
      <c r="C926" s="16">
        <v>0.5138888888905058</v>
      </c>
      <c r="U926" s="17" t="s">
        <v>388</v>
      </c>
      <c r="V926" s="17" t="s">
        <v>388</v>
      </c>
      <c r="W926" s="17" t="s">
        <v>388</v>
      </c>
      <c r="AA926" s="17" t="s">
        <v>109</v>
      </c>
      <c r="AT926" s="17" t="s">
        <v>3595</v>
      </c>
      <c r="AU926" s="17" t="s">
        <v>76</v>
      </c>
      <c r="AV926" s="17" t="s">
        <v>271</v>
      </c>
      <c r="AX926" s="15">
        <v>46083.0</v>
      </c>
      <c r="AZ926" s="17" t="s">
        <v>287</v>
      </c>
      <c r="BA926" s="17" t="s">
        <v>458</v>
      </c>
      <c r="BB926" s="17" t="s">
        <v>109</v>
      </c>
      <c r="BP926" s="17" t="s">
        <v>3596</v>
      </c>
      <c r="BR926" s="24" t="str">
        <f t="shared" si="1"/>
        <v>K Brundavan Food Court</v>
      </c>
    </row>
    <row r="927" ht="22.5" customHeight="1">
      <c r="A927" s="14">
        <v>46077.56601440972</v>
      </c>
      <c r="B927" s="15">
        <v>46077.0</v>
      </c>
      <c r="C927" s="16">
        <v>0.5652777777795563</v>
      </c>
      <c r="U927" s="17" t="s">
        <v>3597</v>
      </c>
      <c r="V927" s="17">
        <v>9.10017709E9</v>
      </c>
      <c r="W927" s="17" t="s">
        <v>388</v>
      </c>
      <c r="AA927" s="17" t="s">
        <v>109</v>
      </c>
      <c r="AT927" s="17" t="s">
        <v>3598</v>
      </c>
      <c r="AU927" s="17" t="s">
        <v>76</v>
      </c>
      <c r="AV927" s="17" t="s">
        <v>271</v>
      </c>
      <c r="AZ927" s="17" t="s">
        <v>287</v>
      </c>
      <c r="BA927" s="17" t="s">
        <v>458</v>
      </c>
      <c r="BB927" s="17" t="s">
        <v>109</v>
      </c>
      <c r="BP927" s="17" t="s">
        <v>3599</v>
      </c>
      <c r="BR927" s="24" t="str">
        <f t="shared" si="1"/>
        <v>Maa Amrutham</v>
      </c>
    </row>
    <row r="928" ht="22.5" customHeight="1">
      <c r="A928" s="14">
        <v>46077.643749386574</v>
      </c>
      <c r="B928" s="15">
        <v>46077.0</v>
      </c>
      <c r="C928" s="16">
        <v>0.5625</v>
      </c>
      <c r="D928" s="17" t="s">
        <v>91</v>
      </c>
      <c r="F928" s="17">
        <v>20.0</v>
      </c>
      <c r="G928" s="17">
        <v>210.0</v>
      </c>
      <c r="H928" s="17" t="s">
        <v>388</v>
      </c>
      <c r="I928" s="17">
        <v>25000.0</v>
      </c>
      <c r="J928" s="17" t="s">
        <v>94</v>
      </c>
      <c r="K928" s="17" t="s">
        <v>134</v>
      </c>
      <c r="M928" s="17">
        <v>23.0</v>
      </c>
      <c r="N928" s="17">
        <v>1.0</v>
      </c>
      <c r="O928" s="17" t="s">
        <v>96</v>
      </c>
      <c r="P928" s="17" t="s">
        <v>109</v>
      </c>
      <c r="Q928" s="17" t="s">
        <v>97</v>
      </c>
      <c r="R928" s="17" t="s">
        <v>109</v>
      </c>
      <c r="S928" s="18" t="s">
        <v>3600</v>
      </c>
      <c r="U928" s="17" t="s">
        <v>3601</v>
      </c>
      <c r="V928" s="17" t="s">
        <v>3602</v>
      </c>
      <c r="W928" s="17" t="s">
        <v>388</v>
      </c>
      <c r="AA928" s="17" t="s">
        <v>76</v>
      </c>
      <c r="AB928" s="17">
        <v>2.3625032007439E13</v>
      </c>
      <c r="AC928" s="18" t="s">
        <v>3603</v>
      </c>
      <c r="AF928" s="17" t="s">
        <v>3604</v>
      </c>
      <c r="AG928" s="18" t="s">
        <v>3605</v>
      </c>
      <c r="AL928" s="17">
        <v>5.0200112639819E13</v>
      </c>
      <c r="AM928" s="17" t="s">
        <v>3606</v>
      </c>
      <c r="AN928" s="17" t="s">
        <v>3607</v>
      </c>
      <c r="AS928" s="17" t="s">
        <v>76</v>
      </c>
      <c r="AT928" s="17" t="s">
        <v>388</v>
      </c>
      <c r="AU928" s="17" t="s">
        <v>109</v>
      </c>
      <c r="AZ928" s="17" t="s">
        <v>151</v>
      </c>
      <c r="BA928" s="17" t="s">
        <v>458</v>
      </c>
      <c r="BB928" s="17" t="s">
        <v>76</v>
      </c>
      <c r="BH928" s="17">
        <v>23.0</v>
      </c>
      <c r="BI928" s="17" t="s">
        <v>76</v>
      </c>
      <c r="BL928" s="17">
        <v>50.0</v>
      </c>
      <c r="BM928" s="17" t="s">
        <v>3608</v>
      </c>
      <c r="BN928" s="17" t="s">
        <v>3609</v>
      </c>
      <c r="BP928" s="17" t="s">
        <v>3610</v>
      </c>
      <c r="BR928" s="24" t="str">
        <f t="shared" si="1"/>
        <v>Charcoal shawarma</v>
      </c>
    </row>
    <row r="929" ht="22.5" customHeight="1">
      <c r="A929" s="14">
        <v>46077.64817003472</v>
      </c>
      <c r="B929" s="15">
        <v>46077.0</v>
      </c>
      <c r="C929" s="16">
        <v>0.0625</v>
      </c>
      <c r="D929" s="17" t="s">
        <v>91</v>
      </c>
      <c r="F929" s="17">
        <v>10.0</v>
      </c>
      <c r="G929" s="17">
        <v>200.0</v>
      </c>
      <c r="H929" s="17" t="s">
        <v>388</v>
      </c>
      <c r="I929" s="17">
        <v>20000.0</v>
      </c>
      <c r="J929" s="17" t="s">
        <v>221</v>
      </c>
      <c r="K929" s="17" t="s">
        <v>95</v>
      </c>
      <c r="N929" s="17">
        <v>1.0</v>
      </c>
      <c r="O929" s="17" t="s">
        <v>96</v>
      </c>
      <c r="P929" s="17" t="s">
        <v>109</v>
      </c>
      <c r="Q929" s="17" t="s">
        <v>97</v>
      </c>
      <c r="R929" s="17" t="s">
        <v>109</v>
      </c>
      <c r="S929" s="18" t="s">
        <v>3611</v>
      </c>
      <c r="U929" s="17" t="s">
        <v>3612</v>
      </c>
      <c r="V929" s="17" t="s">
        <v>3613</v>
      </c>
      <c r="W929" s="17" t="s">
        <v>388</v>
      </c>
      <c r="AA929" s="17" t="s">
        <v>76</v>
      </c>
      <c r="AB929" s="17">
        <v>2.3625032007439E13</v>
      </c>
      <c r="AC929" s="18" t="s">
        <v>3614</v>
      </c>
      <c r="AF929" s="17" t="s">
        <v>3615</v>
      </c>
      <c r="AG929" s="18" t="s">
        <v>3616</v>
      </c>
      <c r="AL929" s="17">
        <v>6.2229638385E10</v>
      </c>
      <c r="AM929" s="17" t="s">
        <v>3617</v>
      </c>
      <c r="AN929" s="17" t="s">
        <v>3618</v>
      </c>
      <c r="AS929" s="17" t="s">
        <v>76</v>
      </c>
      <c r="AT929" s="17" t="s">
        <v>388</v>
      </c>
      <c r="AU929" s="17" t="s">
        <v>109</v>
      </c>
      <c r="AZ929" s="17" t="s">
        <v>151</v>
      </c>
      <c r="BA929" s="17" t="s">
        <v>458</v>
      </c>
      <c r="BB929" s="17" t="s">
        <v>76</v>
      </c>
      <c r="BH929" s="17">
        <v>23.0</v>
      </c>
      <c r="BI929" s="17" t="s">
        <v>76</v>
      </c>
      <c r="BM929" s="17" t="s">
        <v>3083</v>
      </c>
      <c r="BN929" s="17" t="s">
        <v>3062</v>
      </c>
      <c r="BP929" s="17" t="s">
        <v>3619</v>
      </c>
      <c r="BR929" s="24" t="str">
        <f t="shared" si="1"/>
        <v>Avacado on wheels</v>
      </c>
    </row>
    <row r="930" ht="22.5" customHeight="1">
      <c r="A930" s="14">
        <v>46077.65416535879</v>
      </c>
      <c r="B930" s="15">
        <v>46077.0</v>
      </c>
      <c r="C930" s="16">
        <v>0.5833333333357587</v>
      </c>
      <c r="D930" s="17" t="s">
        <v>91</v>
      </c>
      <c r="F930" s="17">
        <v>10.0</v>
      </c>
      <c r="G930" s="17">
        <v>230.0</v>
      </c>
      <c r="H930" s="17" t="s">
        <v>388</v>
      </c>
      <c r="J930" s="17" t="s">
        <v>94</v>
      </c>
      <c r="K930" s="17" t="s">
        <v>273</v>
      </c>
      <c r="N930" s="17">
        <v>1.0</v>
      </c>
      <c r="O930" s="17" t="s">
        <v>96</v>
      </c>
      <c r="P930" s="17" t="s">
        <v>109</v>
      </c>
      <c r="Q930" s="17" t="s">
        <v>97</v>
      </c>
      <c r="R930" s="17" t="s">
        <v>109</v>
      </c>
      <c r="S930" s="18" t="s">
        <v>3620</v>
      </c>
      <c r="U930" s="17" t="s">
        <v>3621</v>
      </c>
      <c r="V930" s="17">
        <v>9.028234693E9</v>
      </c>
      <c r="W930" s="17" t="s">
        <v>388</v>
      </c>
      <c r="AA930" s="17" t="s">
        <v>76</v>
      </c>
      <c r="AB930" s="17">
        <v>2.3626032001133E13</v>
      </c>
      <c r="AC930" s="18" t="s">
        <v>3622</v>
      </c>
      <c r="AF930" s="17" t="s">
        <v>3623</v>
      </c>
      <c r="AG930" s="18" t="s">
        <v>3624</v>
      </c>
      <c r="AK930" s="18" t="s">
        <v>3625</v>
      </c>
      <c r="AL930" s="20" t="s">
        <v>3626</v>
      </c>
      <c r="AM930" s="17" t="s">
        <v>3627</v>
      </c>
      <c r="AN930" s="17" t="s">
        <v>3628</v>
      </c>
      <c r="AS930" s="17" t="s">
        <v>76</v>
      </c>
      <c r="AT930" s="17" t="s">
        <v>388</v>
      </c>
      <c r="AU930" s="17" t="s">
        <v>109</v>
      </c>
      <c r="AZ930" s="17" t="s">
        <v>151</v>
      </c>
      <c r="BA930" s="17" t="s">
        <v>458</v>
      </c>
      <c r="BB930" s="17" t="s">
        <v>76</v>
      </c>
      <c r="BH930" s="17">
        <v>23.0</v>
      </c>
      <c r="BI930" s="17" t="s">
        <v>76</v>
      </c>
      <c r="BM930" s="17" t="s">
        <v>3083</v>
      </c>
      <c r="BN930" s="17" t="s">
        <v>3609</v>
      </c>
      <c r="BP930" s="17" t="s">
        <v>3629</v>
      </c>
      <c r="BR930" s="24" t="str">
        <f t="shared" si="1"/>
        <v>Oh my momo</v>
      </c>
    </row>
    <row r="931" ht="22.5" customHeight="1">
      <c r="A931" s="14">
        <v>46077.65940752315</v>
      </c>
      <c r="B931" s="15">
        <v>46077.0</v>
      </c>
      <c r="C931" s="16">
        <v>0.41666666666424135</v>
      </c>
      <c r="D931" s="17" t="s">
        <v>91</v>
      </c>
      <c r="F931" s="17">
        <v>1.0</v>
      </c>
      <c r="G931" s="17">
        <v>1.0</v>
      </c>
      <c r="H931" s="17" t="s">
        <v>388</v>
      </c>
      <c r="I931" s="17">
        <v>1.0</v>
      </c>
      <c r="J931" s="17" t="s">
        <v>388</v>
      </c>
      <c r="K931" s="17" t="s">
        <v>95</v>
      </c>
      <c r="N931" s="17">
        <v>1.0</v>
      </c>
      <c r="O931" s="17" t="s">
        <v>96</v>
      </c>
      <c r="P931" s="17" t="s">
        <v>109</v>
      </c>
      <c r="Q931" s="17" t="s">
        <v>97</v>
      </c>
      <c r="R931" s="17" t="s">
        <v>109</v>
      </c>
      <c r="S931" s="17" t="s">
        <v>388</v>
      </c>
      <c r="U931" s="17" t="s">
        <v>3630</v>
      </c>
      <c r="V931" s="17">
        <v>7.396680184E9</v>
      </c>
      <c r="W931" s="17" t="s">
        <v>388</v>
      </c>
      <c r="AA931" s="17" t="s">
        <v>76</v>
      </c>
      <c r="AB931" s="17" t="s">
        <v>3631</v>
      </c>
      <c r="AC931" s="18" t="s">
        <v>3632</v>
      </c>
      <c r="AD931" s="17" t="s">
        <v>388</v>
      </c>
      <c r="AF931" s="17" t="s">
        <v>3633</v>
      </c>
      <c r="AG931" s="18" t="s">
        <v>3634</v>
      </c>
      <c r="AL931" s="17">
        <v>3.499010005873E12</v>
      </c>
      <c r="AM931" s="17" t="s">
        <v>3635</v>
      </c>
      <c r="AN931" s="17" t="s">
        <v>3636</v>
      </c>
      <c r="AS931" s="17" t="s">
        <v>76</v>
      </c>
      <c r="AT931" s="17" t="s">
        <v>388</v>
      </c>
      <c r="AU931" s="17" t="s">
        <v>109</v>
      </c>
      <c r="AZ931" s="17" t="s">
        <v>151</v>
      </c>
      <c r="BA931" s="17" t="s">
        <v>458</v>
      </c>
      <c r="BB931" s="17" t="s">
        <v>76</v>
      </c>
      <c r="BH931" s="17">
        <v>23.0</v>
      </c>
      <c r="BI931" s="17" t="s">
        <v>76</v>
      </c>
      <c r="BM931" s="17" t="s">
        <v>3637</v>
      </c>
      <c r="BN931" s="17" t="s">
        <v>3638</v>
      </c>
      <c r="BP931" s="17" t="s">
        <v>3639</v>
      </c>
      <c r="BR931" s="24" t="str">
        <f t="shared" si="1"/>
        <v>Anagha Kitchen</v>
      </c>
    </row>
    <row r="932" ht="22.5" customHeight="1">
      <c r="A932" s="14">
        <v>46077.713543645834</v>
      </c>
      <c r="B932" s="15">
        <v>46077.0</v>
      </c>
      <c r="C932" s="16">
        <v>0.5555555555547471</v>
      </c>
      <c r="D932" s="17" t="s">
        <v>111</v>
      </c>
      <c r="T932" s="17" t="s">
        <v>3640</v>
      </c>
      <c r="U932" s="17" t="s">
        <v>3641</v>
      </c>
      <c r="V932" s="17">
        <v>8.897966743E9</v>
      </c>
      <c r="W932" s="17" t="s">
        <v>388</v>
      </c>
      <c r="AA932" s="17" t="s">
        <v>109</v>
      </c>
      <c r="AT932" s="17" t="s">
        <v>3642</v>
      </c>
      <c r="AU932" s="17" t="s">
        <v>76</v>
      </c>
      <c r="AV932" s="17" t="s">
        <v>271</v>
      </c>
      <c r="AZ932" s="17" t="s">
        <v>287</v>
      </c>
      <c r="BA932" s="17" t="s">
        <v>491</v>
      </c>
      <c r="BP932" s="17" t="s">
        <v>3640</v>
      </c>
      <c r="BR932" s="24" t="str">
        <f t="shared" si="1"/>
        <v>Bhulakshmi MessBhulakshmi Mess</v>
      </c>
    </row>
    <row r="933" ht="22.5" customHeight="1">
      <c r="A933" s="14">
        <v>46077.71385905093</v>
      </c>
      <c r="B933" s="15">
        <v>46077.0</v>
      </c>
      <c r="C933" s="16">
        <v>0.5034722222189885</v>
      </c>
      <c r="D933" s="17" t="s">
        <v>91</v>
      </c>
      <c r="F933" s="17">
        <v>120.0</v>
      </c>
      <c r="G933" s="17">
        <v>300.0</v>
      </c>
      <c r="H933" s="17" t="s">
        <v>117</v>
      </c>
      <c r="J933" s="17" t="s">
        <v>167</v>
      </c>
      <c r="K933" s="17" t="s">
        <v>134</v>
      </c>
      <c r="N933" s="17">
        <v>1.0</v>
      </c>
      <c r="O933" s="17" t="s">
        <v>135</v>
      </c>
      <c r="P933" s="17" t="s">
        <v>76</v>
      </c>
      <c r="Q933" s="17" t="s">
        <v>97</v>
      </c>
      <c r="R933" s="17" t="s">
        <v>98</v>
      </c>
      <c r="S933" s="18" t="s">
        <v>3643</v>
      </c>
      <c r="U933" s="17" t="s">
        <v>3644</v>
      </c>
      <c r="V933" s="17">
        <v>9.938380231E9</v>
      </c>
      <c r="W933" s="17" t="s">
        <v>117</v>
      </c>
      <c r="AA933" s="17" t="s">
        <v>109</v>
      </c>
      <c r="AT933" s="17" t="s">
        <v>3645</v>
      </c>
      <c r="AU933" s="17" t="s">
        <v>76</v>
      </c>
      <c r="AV933" s="17" t="s">
        <v>472</v>
      </c>
      <c r="AZ933" s="17" t="s">
        <v>1910</v>
      </c>
      <c r="BA933" s="17" t="s">
        <v>458</v>
      </c>
      <c r="BB933" s="17" t="s">
        <v>76</v>
      </c>
      <c r="BP933" s="17" t="s">
        <v>3646</v>
      </c>
      <c r="BR933" s="24" t="str">
        <f t="shared" si="1"/>
        <v>Andhana Brahma </v>
      </c>
    </row>
    <row r="934" ht="22.5" customHeight="1">
      <c r="A934" s="14">
        <v>46077.71464164351</v>
      </c>
      <c r="B934" s="15">
        <v>46077.0</v>
      </c>
      <c r="C934" s="16">
        <v>0.5625</v>
      </c>
      <c r="D934" s="17" t="s">
        <v>111</v>
      </c>
      <c r="T934" s="17" t="s">
        <v>3647</v>
      </c>
      <c r="U934" s="17" t="s">
        <v>388</v>
      </c>
      <c r="V934" s="17" t="s">
        <v>388</v>
      </c>
      <c r="W934" s="17" t="s">
        <v>388</v>
      </c>
      <c r="AA934" s="17" t="s">
        <v>109</v>
      </c>
      <c r="AT934" s="17" t="s">
        <v>3648</v>
      </c>
      <c r="AU934" s="17" t="s">
        <v>76</v>
      </c>
      <c r="AV934" s="17" t="s">
        <v>271</v>
      </c>
      <c r="AZ934" s="17" t="s">
        <v>287</v>
      </c>
      <c r="BA934" s="17" t="s">
        <v>491</v>
      </c>
      <c r="BP934" s="17" t="s">
        <v>3649</v>
      </c>
      <c r="BR934" s="24" t="str">
        <f t="shared" si="1"/>
        <v>Granny KitchenGranny's Kitchen</v>
      </c>
    </row>
    <row r="935" ht="22.5" customHeight="1">
      <c r="A935" s="14">
        <v>46077.71625707176</v>
      </c>
      <c r="B935" s="15">
        <v>46077.0</v>
      </c>
      <c r="C935" s="16">
        <v>0.6583333333328483</v>
      </c>
      <c r="U935" s="17" t="s">
        <v>388</v>
      </c>
      <c r="V935" s="17">
        <v>0.0</v>
      </c>
      <c r="W935" s="17" t="s">
        <v>388</v>
      </c>
      <c r="AA935" s="17" t="s">
        <v>109</v>
      </c>
      <c r="AT935" s="17" t="s">
        <v>3650</v>
      </c>
      <c r="AU935" s="17" t="s">
        <v>109</v>
      </c>
      <c r="AZ935" s="17" t="s">
        <v>287</v>
      </c>
      <c r="BA935" s="17" t="s">
        <v>458</v>
      </c>
      <c r="BB935" s="17" t="s">
        <v>109</v>
      </c>
      <c r="BP935" s="17" t="s">
        <v>3651</v>
      </c>
      <c r="BR935" s="24" t="str">
        <f t="shared" si="1"/>
        <v>Food Corner</v>
      </c>
    </row>
    <row r="936" ht="22.5" customHeight="1">
      <c r="A936" s="14">
        <v>46077.71733042824</v>
      </c>
      <c r="B936" s="15">
        <v>46077.0</v>
      </c>
      <c r="C936" s="16">
        <v>0.5979166666656965</v>
      </c>
      <c r="U936" s="17" t="s">
        <v>388</v>
      </c>
      <c r="V936" s="17">
        <v>0.0</v>
      </c>
      <c r="W936" s="17" t="s">
        <v>388</v>
      </c>
      <c r="AA936" s="17" t="s">
        <v>109</v>
      </c>
      <c r="AT936" s="17" t="s">
        <v>3650</v>
      </c>
      <c r="AU936" s="17" t="s">
        <v>109</v>
      </c>
      <c r="AZ936" s="17" t="s">
        <v>287</v>
      </c>
      <c r="BA936" s="17" t="s">
        <v>458</v>
      </c>
      <c r="BB936" s="17" t="s">
        <v>109</v>
      </c>
      <c r="BP936" s="17" t="s">
        <v>3652</v>
      </c>
      <c r="BR936" s="24" t="str">
        <f t="shared" si="1"/>
        <v>Sree Vakula Kitchen</v>
      </c>
    </row>
    <row r="937" ht="22.5" customHeight="1">
      <c r="A937" s="14">
        <v>46077.71835408565</v>
      </c>
      <c r="B937" s="15">
        <v>46077.0</v>
      </c>
      <c r="C937" s="16">
        <v>0.6472222222218988</v>
      </c>
      <c r="U937" s="17" t="s">
        <v>1107</v>
      </c>
      <c r="V937" s="17">
        <v>8.977797797E9</v>
      </c>
      <c r="W937" s="17" t="s">
        <v>388</v>
      </c>
      <c r="AA937" s="17" t="s">
        <v>109</v>
      </c>
      <c r="AT937" s="17" t="s">
        <v>3302</v>
      </c>
      <c r="AU937" s="17" t="s">
        <v>76</v>
      </c>
      <c r="AV937" s="17" t="s">
        <v>472</v>
      </c>
      <c r="AZ937" s="17" t="s">
        <v>287</v>
      </c>
      <c r="BA937" s="17" t="s">
        <v>458</v>
      </c>
      <c r="BB937" s="17" t="s">
        <v>109</v>
      </c>
      <c r="BP937" s="17" t="s">
        <v>3653</v>
      </c>
      <c r="BR937" s="24" t="str">
        <f t="shared" si="1"/>
        <v>Rithvikaas Kitchen</v>
      </c>
    </row>
    <row r="938" ht="22.5" customHeight="1">
      <c r="A938" s="14">
        <v>46077.719377245376</v>
      </c>
      <c r="B938" s="15">
        <v>46077.0</v>
      </c>
      <c r="C938" s="16">
        <v>0.6645833333313931</v>
      </c>
      <c r="U938" s="17" t="s">
        <v>3654</v>
      </c>
      <c r="V938" s="17">
        <v>9.010031068E9</v>
      </c>
      <c r="W938" s="17" t="s">
        <v>388</v>
      </c>
      <c r="AA938" s="17" t="s">
        <v>109</v>
      </c>
      <c r="AT938" s="17" t="s">
        <v>3655</v>
      </c>
      <c r="AU938" s="17" t="s">
        <v>76</v>
      </c>
      <c r="AV938" s="17" t="s">
        <v>472</v>
      </c>
      <c r="AZ938" s="17" t="s">
        <v>287</v>
      </c>
      <c r="BA938" s="17" t="s">
        <v>458</v>
      </c>
      <c r="BB938" s="17" t="s">
        <v>109</v>
      </c>
      <c r="BP938" s="17" t="s">
        <v>3656</v>
      </c>
      <c r="BR938" s="24" t="str">
        <f t="shared" si="1"/>
        <v>City Wrap and Broast</v>
      </c>
    </row>
    <row r="939" ht="22.5" customHeight="1">
      <c r="A939" s="14">
        <v>46077.72035609954</v>
      </c>
      <c r="B939" s="15">
        <v>46077.0</v>
      </c>
      <c r="C939" s="16">
        <v>0.6736111111094942</v>
      </c>
      <c r="U939" s="17" t="s">
        <v>388</v>
      </c>
      <c r="V939" s="17">
        <v>0.0</v>
      </c>
      <c r="W939" s="17" t="s">
        <v>388</v>
      </c>
      <c r="AA939" s="17" t="s">
        <v>109</v>
      </c>
      <c r="AT939" s="17" t="s">
        <v>3657</v>
      </c>
      <c r="AU939" s="17" t="s">
        <v>109</v>
      </c>
      <c r="AZ939" s="17" t="s">
        <v>287</v>
      </c>
      <c r="BA939" s="17" t="s">
        <v>458</v>
      </c>
      <c r="BB939" s="17" t="s">
        <v>109</v>
      </c>
      <c r="BP939" s="17" t="s">
        <v>3658</v>
      </c>
      <c r="BR939" s="24" t="str">
        <f t="shared" si="1"/>
        <v>Ulavapadu Biryani and Pulav</v>
      </c>
    </row>
    <row r="940" ht="22.5" customHeight="1">
      <c r="A940" s="14">
        <v>46077.72140471065</v>
      </c>
      <c r="B940" s="15">
        <v>46077.0</v>
      </c>
      <c r="C940" s="16">
        <v>0.6847222222204437</v>
      </c>
      <c r="U940" s="17" t="s">
        <v>388</v>
      </c>
      <c r="V940" s="17">
        <v>9.032730504E9</v>
      </c>
      <c r="W940" s="17" t="s">
        <v>388</v>
      </c>
      <c r="AA940" s="17" t="s">
        <v>109</v>
      </c>
      <c r="AT940" s="17" t="s">
        <v>3659</v>
      </c>
      <c r="AU940" s="17" t="s">
        <v>76</v>
      </c>
      <c r="AV940" s="17" t="s">
        <v>472</v>
      </c>
      <c r="AZ940" s="17" t="s">
        <v>287</v>
      </c>
      <c r="BA940" s="17" t="s">
        <v>458</v>
      </c>
      <c r="BB940" s="17" t="s">
        <v>109</v>
      </c>
      <c r="BP940" s="17" t="s">
        <v>3660</v>
      </c>
      <c r="BR940" s="24" t="str">
        <f t="shared" si="1"/>
        <v>Meridian Restaurant</v>
      </c>
    </row>
    <row r="941" ht="22.5" customHeight="1">
      <c r="A941" s="14">
        <v>46077.72205847222</v>
      </c>
      <c r="B941" s="15">
        <v>46077.0</v>
      </c>
      <c r="C941" s="16">
        <v>0.47083333333284827</v>
      </c>
      <c r="U941" s="17" t="s">
        <v>3661</v>
      </c>
      <c r="V941" s="17">
        <v>9.090070708E9</v>
      </c>
      <c r="W941" s="17" t="s">
        <v>117</v>
      </c>
      <c r="AA941" s="17" t="s">
        <v>109</v>
      </c>
      <c r="AT941" s="17" t="s">
        <v>2725</v>
      </c>
      <c r="AU941" s="17" t="s">
        <v>76</v>
      </c>
      <c r="AV941" s="17" t="s">
        <v>472</v>
      </c>
      <c r="AZ941" s="17" t="s">
        <v>1910</v>
      </c>
      <c r="BA941" s="17" t="s">
        <v>458</v>
      </c>
      <c r="BB941" s="17" t="s">
        <v>109</v>
      </c>
      <c r="BP941" s="17" t="s">
        <v>3662</v>
      </c>
      <c r="BR941" s="24" t="str">
        <f t="shared" si="1"/>
        <v>donne biryani house</v>
      </c>
    </row>
    <row r="942" ht="22.5" customHeight="1">
      <c r="A942" s="14">
        <v>46077.723534375</v>
      </c>
      <c r="B942" s="15">
        <v>46077.0</v>
      </c>
      <c r="C942" s="16">
        <v>0.48263888889050577</v>
      </c>
      <c r="U942" s="17" t="s">
        <v>2747</v>
      </c>
      <c r="V942" s="17">
        <v>8.016963924E9</v>
      </c>
      <c r="W942" s="17" t="s">
        <v>117</v>
      </c>
      <c r="AA942" s="17" t="s">
        <v>109</v>
      </c>
      <c r="AT942" s="17" t="s">
        <v>3663</v>
      </c>
      <c r="AU942" s="17" t="s">
        <v>76</v>
      </c>
      <c r="AV942" s="17" t="s">
        <v>2919</v>
      </c>
      <c r="AZ942" s="17" t="s">
        <v>1910</v>
      </c>
      <c r="BA942" s="17" t="s">
        <v>458</v>
      </c>
      <c r="BB942" s="17" t="s">
        <v>109</v>
      </c>
      <c r="BP942" s="17" t="s">
        <v>3664</v>
      </c>
      <c r="BR942" s="24" t="str">
        <f t="shared" si="1"/>
        <v>Bahar biryani nd cafe</v>
      </c>
    </row>
    <row r="943" ht="22.5" customHeight="1">
      <c r="A943" s="14">
        <v>46077.725570717594</v>
      </c>
      <c r="B943" s="15">
        <v>46077.0</v>
      </c>
      <c r="C943" s="16">
        <v>0.47222222221898846</v>
      </c>
      <c r="D943" s="17" t="s">
        <v>111</v>
      </c>
      <c r="T943" s="17" t="s">
        <v>3665</v>
      </c>
      <c r="U943" s="17" t="s">
        <v>3666</v>
      </c>
      <c r="V943" s="17">
        <v>7.989456218E9</v>
      </c>
      <c r="W943" s="17" t="s">
        <v>113</v>
      </c>
      <c r="AA943" s="17" t="s">
        <v>109</v>
      </c>
      <c r="AT943" s="17" t="s">
        <v>193</v>
      </c>
      <c r="AU943" s="17" t="s">
        <v>109</v>
      </c>
      <c r="AZ943" s="17" t="s">
        <v>243</v>
      </c>
      <c r="BA943" s="17" t="s">
        <v>458</v>
      </c>
      <c r="BB943" s="17" t="s">
        <v>76</v>
      </c>
      <c r="BP943" s="17" t="s">
        <v>3665</v>
      </c>
      <c r="BR943" s="24" t="str">
        <f t="shared" si="1"/>
        <v>Akshaya patraAkshaya patra</v>
      </c>
    </row>
    <row r="944" ht="22.5" customHeight="1">
      <c r="A944" s="14">
        <v>46077.726646944444</v>
      </c>
      <c r="B944" s="15">
        <v>46077.0</v>
      </c>
      <c r="C944" s="16">
        <v>0.6875</v>
      </c>
      <c r="D944" s="17" t="s">
        <v>111</v>
      </c>
      <c r="T944" s="17" t="s">
        <v>3667</v>
      </c>
      <c r="U944" s="17" t="s">
        <v>117</v>
      </c>
      <c r="V944" s="17">
        <v>9.398294016E9</v>
      </c>
      <c r="W944" s="17" t="s">
        <v>117</v>
      </c>
      <c r="AA944" s="17" t="s">
        <v>109</v>
      </c>
      <c r="AT944" s="17" t="s">
        <v>181</v>
      </c>
      <c r="AU944" s="17" t="s">
        <v>76</v>
      </c>
      <c r="AV944" s="17" t="s">
        <v>88</v>
      </c>
      <c r="AZ944" s="17" t="s">
        <v>243</v>
      </c>
      <c r="BA944" s="17" t="s">
        <v>458</v>
      </c>
      <c r="BB944" s="17" t="s">
        <v>76</v>
      </c>
      <c r="BP944" s="17" t="s">
        <v>3667</v>
      </c>
      <c r="BR944" s="24" t="str">
        <f t="shared" si="1"/>
        <v>Famous arabian shawarmaFamous arabian shawarma</v>
      </c>
    </row>
    <row r="945" ht="22.5" customHeight="1">
      <c r="A945" s="14">
        <v>46077.72763782408</v>
      </c>
      <c r="B945" s="15">
        <v>46077.0</v>
      </c>
      <c r="C945" s="16">
        <v>0.6666666666642413</v>
      </c>
      <c r="D945" s="17" t="s">
        <v>111</v>
      </c>
      <c r="T945" s="17" t="s">
        <v>3298</v>
      </c>
      <c r="U945" s="17" t="s">
        <v>3298</v>
      </c>
      <c r="V945" s="17">
        <v>7.981177252E9</v>
      </c>
      <c r="W945" s="17" t="s">
        <v>113</v>
      </c>
      <c r="AA945" s="17" t="s">
        <v>109</v>
      </c>
      <c r="AT945" s="17" t="s">
        <v>181</v>
      </c>
      <c r="AU945" s="17" t="s">
        <v>76</v>
      </c>
      <c r="AV945" s="17" t="s">
        <v>88</v>
      </c>
      <c r="AZ945" s="17" t="s">
        <v>243</v>
      </c>
      <c r="BA945" s="17" t="s">
        <v>458</v>
      </c>
      <c r="BB945" s="17" t="s">
        <v>76</v>
      </c>
      <c r="BP945" s="17" t="s">
        <v>3668</v>
      </c>
      <c r="BR945" s="24" t="str">
        <f t="shared" si="1"/>
        <v>Wrap nd MoreAfroz</v>
      </c>
    </row>
    <row r="946" ht="22.5" customHeight="1">
      <c r="A946" s="14">
        <v>46077.728910729165</v>
      </c>
      <c r="B946" s="15">
        <v>46077.0</v>
      </c>
      <c r="C946" s="16">
        <v>0.625</v>
      </c>
      <c r="U946" s="17" t="s">
        <v>963</v>
      </c>
      <c r="V946" s="17">
        <v>9.700131887E9</v>
      </c>
      <c r="W946" s="17" t="s">
        <v>113</v>
      </c>
      <c r="AA946" s="17" t="s">
        <v>109</v>
      </c>
      <c r="AT946" s="17" t="s">
        <v>3669</v>
      </c>
      <c r="AU946" s="17" t="s">
        <v>76</v>
      </c>
      <c r="AZ946" s="17" t="s">
        <v>243</v>
      </c>
      <c r="BA946" s="17" t="s">
        <v>458</v>
      </c>
      <c r="BB946" s="17" t="s">
        <v>109</v>
      </c>
      <c r="BP946" s="17" t="s">
        <v>3670</v>
      </c>
      <c r="BR946" s="24" t="str">
        <f t="shared" si="1"/>
        <v>Wrap nation</v>
      </c>
    </row>
    <row r="947" ht="22.5" customHeight="1">
      <c r="A947" s="14">
        <v>46077.73056982639</v>
      </c>
      <c r="B947" s="15">
        <v>46077.0</v>
      </c>
      <c r="C947" s="16">
        <v>0.625</v>
      </c>
      <c r="D947" s="17" t="s">
        <v>91</v>
      </c>
      <c r="F947" s="17">
        <v>20.0</v>
      </c>
      <c r="G947" s="17">
        <v>200.0</v>
      </c>
      <c r="H947" s="17" t="s">
        <v>113</v>
      </c>
      <c r="J947" s="17" t="s">
        <v>221</v>
      </c>
      <c r="N947" s="17">
        <v>1.0</v>
      </c>
      <c r="O947" s="17" t="s">
        <v>113</v>
      </c>
      <c r="P947" s="17" t="s">
        <v>76</v>
      </c>
      <c r="Q947" s="17" t="s">
        <v>97</v>
      </c>
      <c r="R947" s="17" t="s">
        <v>98</v>
      </c>
      <c r="S947" s="17" t="s">
        <v>113</v>
      </c>
      <c r="U947" s="17" t="s">
        <v>113</v>
      </c>
      <c r="V947" s="17" t="s">
        <v>113</v>
      </c>
      <c r="W947" s="17" t="s">
        <v>113</v>
      </c>
      <c r="AA947" s="17" t="s">
        <v>109</v>
      </c>
      <c r="AT947" s="17" t="s">
        <v>2053</v>
      </c>
      <c r="AU947" s="17" t="s">
        <v>109</v>
      </c>
      <c r="AZ947" s="17" t="s">
        <v>243</v>
      </c>
      <c r="BA947" s="17" t="s">
        <v>458</v>
      </c>
      <c r="BB947" s="17" t="s">
        <v>76</v>
      </c>
      <c r="BP947" s="17" t="s">
        <v>3671</v>
      </c>
      <c r="BR947" s="24" t="str">
        <f t="shared" si="1"/>
        <v>All mataam madina mandi</v>
      </c>
    </row>
    <row r="948" ht="22.5" customHeight="1">
      <c r="A948" s="14">
        <v>46077.73160309027</v>
      </c>
      <c r="B948" s="15">
        <v>46077.0</v>
      </c>
      <c r="C948" s="16">
        <v>0.5833333333357587</v>
      </c>
      <c r="D948" s="17" t="s">
        <v>111</v>
      </c>
      <c r="T948" s="17" t="s">
        <v>3672</v>
      </c>
      <c r="U948" s="17" t="s">
        <v>1143</v>
      </c>
      <c r="V948" s="17">
        <v>8.074527844E9</v>
      </c>
      <c r="W948" s="17" t="s">
        <v>113</v>
      </c>
      <c r="AA948" s="17" t="s">
        <v>109</v>
      </c>
      <c r="AT948" s="17" t="s">
        <v>181</v>
      </c>
      <c r="AU948" s="17" t="s">
        <v>109</v>
      </c>
      <c r="AZ948" s="17" t="s">
        <v>243</v>
      </c>
      <c r="BA948" s="17" t="s">
        <v>458</v>
      </c>
      <c r="BB948" s="17" t="s">
        <v>76</v>
      </c>
      <c r="BP948" s="17" t="s">
        <v>3672</v>
      </c>
      <c r="BR948" s="24" t="str">
        <f t="shared" si="1"/>
        <v>Classic crownClassic crown</v>
      </c>
    </row>
    <row r="949" ht="22.5" customHeight="1">
      <c r="A949" s="14">
        <v>46077.73248501157</v>
      </c>
      <c r="B949" s="15">
        <v>46077.0</v>
      </c>
      <c r="C949" s="16">
        <v>0.625</v>
      </c>
      <c r="U949" s="17" t="s">
        <v>3673</v>
      </c>
      <c r="V949" s="17">
        <v>9.550551971E9</v>
      </c>
      <c r="W949" s="17" t="s">
        <v>113</v>
      </c>
      <c r="AA949" s="17" t="s">
        <v>109</v>
      </c>
      <c r="AT949" s="17" t="s">
        <v>3674</v>
      </c>
      <c r="AU949" s="17" t="s">
        <v>76</v>
      </c>
      <c r="AZ949" s="17" t="s">
        <v>243</v>
      </c>
      <c r="BA949" s="17" t="s">
        <v>458</v>
      </c>
      <c r="BB949" s="17" t="s">
        <v>109</v>
      </c>
      <c r="BP949" s="17" t="s">
        <v>3675</v>
      </c>
      <c r="BR949" s="24" t="str">
        <f t="shared" si="1"/>
        <v>Athidhis kitchen</v>
      </c>
    </row>
    <row r="950" ht="22.5" customHeight="1">
      <c r="A950" s="14">
        <v>46077.73332194444</v>
      </c>
      <c r="B950" s="15">
        <v>46077.0</v>
      </c>
      <c r="C950" s="16">
        <v>0.5277777777810115</v>
      </c>
      <c r="D950" s="17" t="s">
        <v>91</v>
      </c>
      <c r="F950" s="17">
        <v>20.0</v>
      </c>
      <c r="G950" s="17">
        <v>250.0</v>
      </c>
      <c r="H950" s="17" t="s">
        <v>113</v>
      </c>
      <c r="J950" s="17" t="s">
        <v>94</v>
      </c>
      <c r="K950" s="17" t="s">
        <v>134</v>
      </c>
      <c r="N950" s="17">
        <v>1.0</v>
      </c>
      <c r="O950" s="17" t="s">
        <v>135</v>
      </c>
      <c r="P950" s="17" t="s">
        <v>76</v>
      </c>
      <c r="Q950" s="17" t="s">
        <v>97</v>
      </c>
      <c r="R950" s="17" t="s">
        <v>98</v>
      </c>
      <c r="S950" s="18" t="s">
        <v>3676</v>
      </c>
      <c r="U950" s="17" t="s">
        <v>1049</v>
      </c>
      <c r="V950" s="17">
        <v>9.912667177E9</v>
      </c>
      <c r="W950" s="17" t="s">
        <v>117</v>
      </c>
      <c r="AA950" s="17" t="s">
        <v>109</v>
      </c>
      <c r="AT950" s="17" t="s">
        <v>3677</v>
      </c>
      <c r="AU950" s="17" t="s">
        <v>76</v>
      </c>
      <c r="AV950" s="17" t="s">
        <v>472</v>
      </c>
      <c r="AZ950" s="17" t="s">
        <v>1910</v>
      </c>
      <c r="BA950" s="17" t="s">
        <v>458</v>
      </c>
      <c r="BB950" s="17" t="s">
        <v>76</v>
      </c>
      <c r="BP950" s="17" t="s">
        <v>3678</v>
      </c>
      <c r="BR950" s="24" t="str">
        <f t="shared" si="1"/>
        <v>Manikantas eat spot </v>
      </c>
    </row>
    <row r="951" ht="22.5" customHeight="1">
      <c r="A951" s="14">
        <v>46077.733438310184</v>
      </c>
      <c r="B951" s="15">
        <v>46077.0</v>
      </c>
      <c r="C951" s="16">
        <v>0.6041666666642413</v>
      </c>
      <c r="U951" s="17" t="s">
        <v>3679</v>
      </c>
      <c r="V951" s="17">
        <v>9.885343999E9</v>
      </c>
      <c r="W951" s="17" t="s">
        <v>113</v>
      </c>
      <c r="AA951" s="17" t="s">
        <v>109</v>
      </c>
      <c r="AT951" s="17" t="s">
        <v>3680</v>
      </c>
      <c r="AU951" s="17" t="s">
        <v>76</v>
      </c>
      <c r="AZ951" s="17" t="s">
        <v>243</v>
      </c>
      <c r="BA951" s="17" t="s">
        <v>458</v>
      </c>
      <c r="BB951" s="17" t="s">
        <v>109</v>
      </c>
      <c r="BP951" s="17" t="s">
        <v>3681</v>
      </c>
      <c r="BR951" s="24" t="str">
        <f t="shared" si="1"/>
        <v>Limra fast food centre</v>
      </c>
    </row>
    <row r="952" ht="22.5" customHeight="1">
      <c r="A952" s="14">
        <v>46077.73429952546</v>
      </c>
      <c r="B952" s="15">
        <v>46077.0</v>
      </c>
      <c r="C952" s="16">
        <v>0.6458333333357587</v>
      </c>
      <c r="U952" s="17" t="s">
        <v>3597</v>
      </c>
      <c r="V952" s="17">
        <v>8.688546247E9</v>
      </c>
      <c r="W952" s="17" t="s">
        <v>113</v>
      </c>
      <c r="AA952" s="17" t="s">
        <v>109</v>
      </c>
      <c r="AT952" s="17" t="s">
        <v>3682</v>
      </c>
      <c r="AU952" s="17" t="s">
        <v>76</v>
      </c>
      <c r="AV952" s="17" t="s">
        <v>271</v>
      </c>
      <c r="AZ952" s="17" t="s">
        <v>243</v>
      </c>
      <c r="BA952" s="17" t="s">
        <v>458</v>
      </c>
      <c r="BB952" s="17" t="s">
        <v>109</v>
      </c>
      <c r="BP952" s="17" t="s">
        <v>3683</v>
      </c>
      <c r="BR952" s="24" t="str">
        <f t="shared" si="1"/>
        <v>Errababu palaav</v>
      </c>
    </row>
    <row r="953" ht="22.5" customHeight="1">
      <c r="A953" s="14">
        <v>46077.735119467594</v>
      </c>
      <c r="B953" s="15">
        <v>46077.0</v>
      </c>
      <c r="C953" s="16">
        <v>0.04166666666424135</v>
      </c>
      <c r="U953" s="17" t="s">
        <v>3684</v>
      </c>
      <c r="V953" s="17">
        <v>9.440860933E9</v>
      </c>
      <c r="W953" s="17" t="s">
        <v>117</v>
      </c>
      <c r="AA953" s="17" t="s">
        <v>109</v>
      </c>
      <c r="AT953" s="17" t="s">
        <v>3685</v>
      </c>
      <c r="AU953" s="17" t="s">
        <v>76</v>
      </c>
      <c r="AV953" s="17" t="s">
        <v>472</v>
      </c>
      <c r="AZ953" s="17" t="s">
        <v>1910</v>
      </c>
      <c r="BA953" s="17" t="s">
        <v>458</v>
      </c>
      <c r="BB953" s="17" t="s">
        <v>109</v>
      </c>
      <c r="BP953" s="17" t="s">
        <v>3686</v>
      </c>
      <c r="BR953" s="24" t="str">
        <f t="shared" si="1"/>
        <v>Yuman crazy fast food center</v>
      </c>
    </row>
    <row r="954" ht="22.5" customHeight="1">
      <c r="A954" s="14">
        <v>46077.73621157407</v>
      </c>
      <c r="B954" s="15">
        <v>46077.0</v>
      </c>
      <c r="C954" s="16">
        <v>0.6666666666642413</v>
      </c>
      <c r="D954" s="17" t="s">
        <v>111</v>
      </c>
      <c r="T954" s="17" t="s">
        <v>3687</v>
      </c>
      <c r="U954" s="17" t="s">
        <v>2106</v>
      </c>
      <c r="V954" s="17">
        <v>7.989953036E9</v>
      </c>
      <c r="W954" s="17" t="s">
        <v>113</v>
      </c>
      <c r="AA954" s="17" t="s">
        <v>109</v>
      </c>
      <c r="AT954" s="17" t="s">
        <v>181</v>
      </c>
      <c r="AU954" s="17" t="s">
        <v>109</v>
      </c>
      <c r="AZ954" s="17" t="s">
        <v>243</v>
      </c>
      <c r="BA954" s="17" t="s">
        <v>458</v>
      </c>
      <c r="BB954" s="17" t="s">
        <v>76</v>
      </c>
      <c r="BP954" s="17" t="s">
        <v>3687</v>
      </c>
      <c r="BR954" s="24" t="str">
        <f t="shared" si="1"/>
        <v>Bhavani food courtBhavani food court</v>
      </c>
    </row>
    <row r="955" ht="22.5" customHeight="1">
      <c r="A955" s="14">
        <v>46077.736391909726</v>
      </c>
      <c r="B955" s="15">
        <v>46077.0</v>
      </c>
      <c r="C955" s="16">
        <v>0.125</v>
      </c>
      <c r="U955" s="17" t="s">
        <v>963</v>
      </c>
      <c r="V955" s="17">
        <v>9.700131887E9</v>
      </c>
      <c r="W955" s="17" t="s">
        <v>117</v>
      </c>
      <c r="AA955" s="17" t="s">
        <v>109</v>
      </c>
      <c r="AT955" s="17" t="s">
        <v>3688</v>
      </c>
      <c r="AU955" s="17" t="s">
        <v>76</v>
      </c>
      <c r="AZ955" s="17" t="s">
        <v>1910</v>
      </c>
      <c r="BA955" s="17" t="s">
        <v>458</v>
      </c>
      <c r="BB955" s="17" t="s">
        <v>109</v>
      </c>
      <c r="BP955" s="17" t="s">
        <v>3689</v>
      </c>
      <c r="BR955" s="24" t="str">
        <f t="shared" si="1"/>
        <v>wrap nation</v>
      </c>
    </row>
    <row r="956" ht="22.5" customHeight="1">
      <c r="A956" s="14">
        <v>46077.73709760417</v>
      </c>
      <c r="B956" s="15">
        <v>46077.0</v>
      </c>
      <c r="C956" s="16">
        <v>0.6875</v>
      </c>
      <c r="U956" s="17" t="s">
        <v>3435</v>
      </c>
      <c r="V956" s="17">
        <v>8.125641626E9</v>
      </c>
      <c r="W956" s="17" t="s">
        <v>113</v>
      </c>
      <c r="AA956" s="17" t="s">
        <v>109</v>
      </c>
      <c r="AT956" s="17" t="s">
        <v>3690</v>
      </c>
      <c r="AU956" s="17" t="s">
        <v>76</v>
      </c>
      <c r="AV956" s="17" t="s">
        <v>271</v>
      </c>
      <c r="AZ956" s="17" t="s">
        <v>243</v>
      </c>
      <c r="BA956" s="17" t="s">
        <v>458</v>
      </c>
      <c r="BB956" s="17" t="s">
        <v>109</v>
      </c>
      <c r="BP956" s="17" t="s">
        <v>3691</v>
      </c>
      <c r="BR956" s="24" t="str">
        <f t="shared" si="1"/>
        <v>Beyniaz shawarma and grill</v>
      </c>
    </row>
    <row r="957" ht="22.5" customHeight="1">
      <c r="A957" s="14">
        <v>46077.7375392824</v>
      </c>
      <c r="B957" s="15">
        <v>46077.0</v>
      </c>
      <c r="C957" s="16">
        <v>0.16666666666424135</v>
      </c>
      <c r="U957" s="17" t="s">
        <v>3692</v>
      </c>
      <c r="V957" s="17">
        <v>9.885343999E9</v>
      </c>
      <c r="W957" s="17" t="s">
        <v>117</v>
      </c>
      <c r="AA957" s="17" t="s">
        <v>109</v>
      </c>
      <c r="AT957" s="17" t="s">
        <v>3693</v>
      </c>
      <c r="AU957" s="17" t="s">
        <v>76</v>
      </c>
      <c r="AZ957" s="17" t="s">
        <v>1910</v>
      </c>
      <c r="BA957" s="17" t="s">
        <v>458</v>
      </c>
      <c r="BB957" s="17" t="s">
        <v>109</v>
      </c>
      <c r="BP957" s="17" t="s">
        <v>3694</v>
      </c>
      <c r="BR957" s="24" t="str">
        <f t="shared" si="1"/>
        <v>Limra fast food center </v>
      </c>
    </row>
    <row r="958" ht="22.5" customHeight="1">
      <c r="A958" s="14">
        <v>46077.73805817129</v>
      </c>
      <c r="B958" s="15">
        <v>46077.0</v>
      </c>
      <c r="C958" s="16">
        <v>0.6979166666642413</v>
      </c>
      <c r="U958" s="17" t="s">
        <v>3695</v>
      </c>
      <c r="V958" s="17">
        <v>9.440860933E9</v>
      </c>
      <c r="W958" s="17" t="s">
        <v>113</v>
      </c>
      <c r="AA958" s="17" t="s">
        <v>109</v>
      </c>
      <c r="AT958" s="17" t="s">
        <v>3674</v>
      </c>
      <c r="AU958" s="17" t="s">
        <v>76</v>
      </c>
      <c r="AZ958" s="17" t="s">
        <v>243</v>
      </c>
      <c r="BA958" s="17" t="s">
        <v>458</v>
      </c>
      <c r="BB958" s="17" t="s">
        <v>109</v>
      </c>
      <c r="BP958" s="17" t="s">
        <v>3686</v>
      </c>
      <c r="BR958" s="24" t="str">
        <f t="shared" si="1"/>
        <v>Yuman crazy fast food center</v>
      </c>
    </row>
    <row r="959" ht="22.5" customHeight="1">
      <c r="A959" s="14">
        <v>46077.73941715278</v>
      </c>
      <c r="B959" s="15">
        <v>46077.0</v>
      </c>
      <c r="C959" s="16">
        <v>0.5625</v>
      </c>
      <c r="U959" s="17" t="s">
        <v>1049</v>
      </c>
      <c r="V959" s="17">
        <v>9.912667177E9</v>
      </c>
      <c r="W959" s="17" t="s">
        <v>113</v>
      </c>
      <c r="AA959" s="17" t="s">
        <v>109</v>
      </c>
      <c r="AT959" s="17" t="s">
        <v>3696</v>
      </c>
      <c r="AU959" s="17" t="s">
        <v>76</v>
      </c>
      <c r="AZ959" s="17" t="s">
        <v>243</v>
      </c>
      <c r="BA959" s="17" t="s">
        <v>458</v>
      </c>
      <c r="BB959" s="17" t="s">
        <v>109</v>
      </c>
      <c r="BP959" s="17" t="s">
        <v>3697</v>
      </c>
      <c r="BR959" s="24" t="str">
        <f t="shared" si="1"/>
        <v>Manikantas eat spot</v>
      </c>
    </row>
    <row r="960" ht="22.5" customHeight="1">
      <c r="A960" s="14">
        <v>46077.740327210646</v>
      </c>
      <c r="B960" s="15">
        <v>46077.0</v>
      </c>
      <c r="C960" s="16">
        <v>0.5069444444452529</v>
      </c>
      <c r="U960" s="17" t="s">
        <v>2747</v>
      </c>
      <c r="V960" s="17">
        <v>8.016963924E9</v>
      </c>
      <c r="W960" s="17" t="s">
        <v>113</v>
      </c>
      <c r="AA960" s="17" t="s">
        <v>109</v>
      </c>
      <c r="AT960" s="17" t="s">
        <v>3698</v>
      </c>
      <c r="AU960" s="17" t="s">
        <v>76</v>
      </c>
      <c r="AV960" s="17" t="s">
        <v>271</v>
      </c>
      <c r="AZ960" s="17" t="s">
        <v>243</v>
      </c>
      <c r="BA960" s="17" t="s">
        <v>458</v>
      </c>
      <c r="BB960" s="17" t="s">
        <v>109</v>
      </c>
      <c r="BP960" s="17" t="s">
        <v>3699</v>
      </c>
      <c r="BR960" s="24" t="str">
        <f t="shared" si="1"/>
        <v>Bahar biryanis nd cafe</v>
      </c>
    </row>
    <row r="961" ht="22.5" customHeight="1">
      <c r="A961" s="14">
        <v>46077.74099630787</v>
      </c>
      <c r="B961" s="15">
        <v>46077.0</v>
      </c>
      <c r="C961" s="16">
        <v>0.5</v>
      </c>
      <c r="U961" s="17" t="s">
        <v>113</v>
      </c>
      <c r="V961" s="17" t="s">
        <v>113</v>
      </c>
      <c r="W961" s="17" t="s">
        <v>113</v>
      </c>
      <c r="AA961" s="17" t="s">
        <v>109</v>
      </c>
      <c r="AT961" s="17" t="s">
        <v>2053</v>
      </c>
      <c r="AU961" s="17" t="s">
        <v>109</v>
      </c>
      <c r="AZ961" s="17" t="s">
        <v>243</v>
      </c>
      <c r="BA961" s="17" t="s">
        <v>458</v>
      </c>
      <c r="BB961" s="17" t="s">
        <v>109</v>
      </c>
      <c r="BP961" s="17" t="s">
        <v>3700</v>
      </c>
      <c r="BR961" s="24" t="str">
        <f t="shared" si="1"/>
        <v>Madhurams restaurent</v>
      </c>
    </row>
    <row r="962" ht="22.5" customHeight="1">
      <c r="A962" s="14">
        <v>46077.741829108796</v>
      </c>
      <c r="B962" s="15">
        <v>46077.0</v>
      </c>
      <c r="C962" s="16">
        <v>0.5416666666642413</v>
      </c>
      <c r="U962" s="17" t="s">
        <v>3661</v>
      </c>
      <c r="V962" s="17">
        <v>9.090070708E9</v>
      </c>
      <c r="W962" s="17" t="s">
        <v>113</v>
      </c>
      <c r="AA962" s="17" t="s">
        <v>109</v>
      </c>
      <c r="AT962" s="17" t="s">
        <v>3701</v>
      </c>
      <c r="AU962" s="17" t="s">
        <v>109</v>
      </c>
      <c r="AZ962" s="17" t="s">
        <v>243</v>
      </c>
      <c r="BA962" s="17" t="s">
        <v>458</v>
      </c>
      <c r="BB962" s="17" t="s">
        <v>109</v>
      </c>
      <c r="BP962" s="17" t="s">
        <v>3702</v>
      </c>
      <c r="BR962" s="24" t="str">
        <f t="shared" si="1"/>
        <v>Chickpet donne biryanis house</v>
      </c>
    </row>
    <row r="963" ht="22.5" customHeight="1">
      <c r="A963" s="14">
        <v>46077.74420377315</v>
      </c>
      <c r="B963" s="15">
        <v>46077.0</v>
      </c>
      <c r="C963" s="16">
        <v>0.5972222222189885</v>
      </c>
      <c r="U963" s="17" t="s">
        <v>3703</v>
      </c>
      <c r="V963" s="17">
        <v>6.301174005E9</v>
      </c>
      <c r="W963" s="17" t="s">
        <v>113</v>
      </c>
      <c r="AA963" s="17" t="s">
        <v>109</v>
      </c>
      <c r="AT963" s="17" t="s">
        <v>3704</v>
      </c>
      <c r="AU963" s="17" t="s">
        <v>76</v>
      </c>
      <c r="AZ963" s="17" t="s">
        <v>243</v>
      </c>
      <c r="BA963" s="17" t="s">
        <v>458</v>
      </c>
      <c r="BB963" s="17" t="s">
        <v>109</v>
      </c>
      <c r="BP963" s="17" t="s">
        <v>3705</v>
      </c>
      <c r="BR963" s="24" t="str">
        <f t="shared" si="1"/>
        <v>Cake factory</v>
      </c>
    </row>
    <row r="964" ht="22.5" customHeight="1">
      <c r="A964" s="14">
        <v>46077.744546076385</v>
      </c>
      <c r="B964" s="15">
        <v>46077.0</v>
      </c>
      <c r="C964" s="16">
        <v>0.7270833333313931</v>
      </c>
      <c r="U964" s="17" t="s">
        <v>830</v>
      </c>
      <c r="V964" s="17">
        <v>8.328632386E9</v>
      </c>
      <c r="W964" s="17" t="s">
        <v>388</v>
      </c>
      <c r="AA964" s="17" t="s">
        <v>109</v>
      </c>
      <c r="AT964" s="17" t="s">
        <v>3706</v>
      </c>
      <c r="AU964" s="17" t="s">
        <v>76</v>
      </c>
      <c r="AV964" s="17" t="s">
        <v>271</v>
      </c>
      <c r="AX964" s="15">
        <v>46078.0</v>
      </c>
      <c r="AZ964" s="17" t="s">
        <v>287</v>
      </c>
      <c r="BA964" s="17" t="s">
        <v>458</v>
      </c>
      <c r="BB964" s="17" t="s">
        <v>109</v>
      </c>
      <c r="BP964" s="17" t="s">
        <v>3707</v>
      </c>
      <c r="BR964" s="24" t="str">
        <f t="shared" si="1"/>
        <v>Shadab</v>
      </c>
    </row>
    <row r="965" ht="22.5" customHeight="1">
      <c r="A965" s="14">
        <v>46077.7449236574</v>
      </c>
      <c r="B965" s="15">
        <v>46077.0</v>
      </c>
      <c r="C965" s="16">
        <v>0.5486111111094942</v>
      </c>
      <c r="U965" s="17" t="s">
        <v>113</v>
      </c>
      <c r="V965" s="17" t="s">
        <v>113</v>
      </c>
      <c r="W965" s="17" t="s">
        <v>113</v>
      </c>
      <c r="AA965" s="17" t="s">
        <v>109</v>
      </c>
      <c r="AT965" s="17" t="s">
        <v>3708</v>
      </c>
      <c r="AU965" s="17" t="s">
        <v>76</v>
      </c>
      <c r="AZ965" s="17" t="s">
        <v>243</v>
      </c>
      <c r="BA965" s="17" t="s">
        <v>458</v>
      </c>
      <c r="BB965" s="17" t="s">
        <v>109</v>
      </c>
      <c r="BP965" s="17" t="s">
        <v>3709</v>
      </c>
      <c r="BR965" s="24" t="str">
        <f t="shared" si="1"/>
        <v>AR Raghavendhara tiffins and meals</v>
      </c>
    </row>
    <row r="966" ht="22.5" customHeight="1">
      <c r="A966" s="14">
        <v>46077.745676701394</v>
      </c>
      <c r="B966" s="15">
        <v>46077.0</v>
      </c>
      <c r="C966" s="16">
        <v>0.48958333333575865</v>
      </c>
      <c r="U966" s="17" t="s">
        <v>113</v>
      </c>
      <c r="V966" s="17" t="s">
        <v>113</v>
      </c>
      <c r="W966" s="17" t="s">
        <v>113</v>
      </c>
      <c r="AA966" s="17" t="s">
        <v>109</v>
      </c>
      <c r="AT966" s="17" t="s">
        <v>2053</v>
      </c>
      <c r="AU966" s="17" t="s">
        <v>109</v>
      </c>
      <c r="AZ966" s="17" t="s">
        <v>243</v>
      </c>
      <c r="BA966" s="17" t="s">
        <v>458</v>
      </c>
      <c r="BB966" s="17" t="s">
        <v>109</v>
      </c>
      <c r="BP966" s="17" t="s">
        <v>3710</v>
      </c>
      <c r="BR966" s="24" t="str">
        <f t="shared" si="1"/>
        <v>Saudi arabian restaurent</v>
      </c>
    </row>
    <row r="967" ht="22.5" customHeight="1">
      <c r="A967" s="14">
        <v>46077.74573475694</v>
      </c>
      <c r="B967" s="15">
        <v>46077.0</v>
      </c>
      <c r="C967" s="16">
        <v>0.7402777777751908</v>
      </c>
      <c r="U967" s="17" t="s">
        <v>950</v>
      </c>
      <c r="V967" s="17">
        <v>9.030272322E9</v>
      </c>
      <c r="W967" s="17" t="s">
        <v>388</v>
      </c>
      <c r="AA967" s="17" t="s">
        <v>109</v>
      </c>
      <c r="AT967" s="17" t="s">
        <v>3711</v>
      </c>
      <c r="AU967" s="17" t="s">
        <v>76</v>
      </c>
      <c r="AV967" s="17" t="s">
        <v>114</v>
      </c>
      <c r="AX967" s="15">
        <v>46078.0</v>
      </c>
      <c r="AY967" s="16">
        <v>0.7291666666642413</v>
      </c>
      <c r="AZ967" s="17" t="s">
        <v>287</v>
      </c>
      <c r="BA967" s="17" t="s">
        <v>458</v>
      </c>
      <c r="BB967" s="17" t="s">
        <v>109</v>
      </c>
      <c r="BP967" s="17" t="s">
        <v>3712</v>
      </c>
      <c r="BR967" s="24" t="str">
        <f t="shared" si="1"/>
        <v>Universal Restaurant </v>
      </c>
    </row>
    <row r="968" ht="22.5" customHeight="1">
      <c r="A968" s="14">
        <v>46077.74660614583</v>
      </c>
      <c r="B968" s="15">
        <v>46077.0</v>
      </c>
      <c r="C968" s="16">
        <v>0.6458333333357587</v>
      </c>
      <c r="U968" s="17" t="s">
        <v>2172</v>
      </c>
      <c r="V968" s="17">
        <v>9.613056789E9</v>
      </c>
      <c r="W968" s="17" t="s">
        <v>113</v>
      </c>
      <c r="AA968" s="17" t="s">
        <v>109</v>
      </c>
      <c r="AT968" s="17" t="s">
        <v>2515</v>
      </c>
      <c r="AU968" s="17" t="s">
        <v>76</v>
      </c>
      <c r="AV968" s="17" t="s">
        <v>271</v>
      </c>
      <c r="AZ968" s="17" t="s">
        <v>243</v>
      </c>
      <c r="BA968" s="17" t="s">
        <v>458</v>
      </c>
      <c r="BB968" s="17" t="s">
        <v>109</v>
      </c>
      <c r="BP968" s="17" t="s">
        <v>3713</v>
      </c>
      <c r="BR968" s="24" t="str">
        <f t="shared" si="1"/>
        <v>aaha tiffins</v>
      </c>
    </row>
    <row r="969" ht="22.5" customHeight="1">
      <c r="A969" s="14">
        <v>46077.747653865736</v>
      </c>
      <c r="B969" s="15">
        <v>46077.0</v>
      </c>
      <c r="C969" s="16">
        <v>0.44791666666424135</v>
      </c>
      <c r="U969" s="17" t="s">
        <v>2772</v>
      </c>
      <c r="V969" s="17">
        <v>9.938380231E9</v>
      </c>
      <c r="W969" s="17" t="s">
        <v>113</v>
      </c>
      <c r="AA969" s="17" t="s">
        <v>109</v>
      </c>
      <c r="AT969" s="17" t="s">
        <v>3714</v>
      </c>
      <c r="AU969" s="17" t="s">
        <v>109</v>
      </c>
      <c r="AZ969" s="17" t="s">
        <v>243</v>
      </c>
      <c r="BA969" s="17" t="s">
        <v>458</v>
      </c>
      <c r="BB969" s="17" t="s">
        <v>109</v>
      </c>
      <c r="BP969" s="17" t="s">
        <v>3715</v>
      </c>
      <c r="BR969" s="24" t="str">
        <f t="shared" si="1"/>
        <v>Anandha brahma</v>
      </c>
    </row>
    <row r="970" ht="22.5" customHeight="1">
      <c r="A970" s="14">
        <v>46077.74986787037</v>
      </c>
      <c r="B970" s="15">
        <v>46074.0</v>
      </c>
      <c r="C970" s="16">
        <v>0.625</v>
      </c>
      <c r="D970" s="17" t="s">
        <v>91</v>
      </c>
      <c r="F970" s="17">
        <v>10.0</v>
      </c>
      <c r="G970" s="17">
        <v>400.0</v>
      </c>
      <c r="H970" s="17" t="s">
        <v>388</v>
      </c>
      <c r="I970" s="17">
        <v>20000.0</v>
      </c>
      <c r="J970" s="17" t="s">
        <v>94</v>
      </c>
      <c r="K970" s="17" t="s">
        <v>118</v>
      </c>
      <c r="L970" s="17">
        <v>22.0</v>
      </c>
      <c r="M970" s="17">
        <v>20.0</v>
      </c>
      <c r="N970" s="17">
        <v>1.0</v>
      </c>
      <c r="O970" s="17" t="s">
        <v>96</v>
      </c>
      <c r="P970" s="17" t="s">
        <v>76</v>
      </c>
      <c r="Q970" s="17" t="s">
        <v>97</v>
      </c>
      <c r="R970" s="17" t="s">
        <v>76</v>
      </c>
      <c r="S970" s="17" t="s">
        <v>3716</v>
      </c>
      <c r="U970" s="17" t="s">
        <v>3717</v>
      </c>
      <c r="V970" s="17">
        <v>9.64249749E9</v>
      </c>
      <c r="W970" s="17" t="s">
        <v>3718</v>
      </c>
      <c r="AA970" s="17" t="s">
        <v>109</v>
      </c>
      <c r="AT970" s="17" t="s">
        <v>586</v>
      </c>
      <c r="AU970" s="17" t="s">
        <v>109</v>
      </c>
      <c r="AZ970" s="17" t="s">
        <v>131</v>
      </c>
      <c r="BA970" s="17" t="s">
        <v>458</v>
      </c>
      <c r="BB970" s="17" t="s">
        <v>76</v>
      </c>
      <c r="BL970" s="17">
        <v>40.0</v>
      </c>
      <c r="BN970" s="17" t="s">
        <v>2551</v>
      </c>
      <c r="BP970" s="17" t="s">
        <v>3719</v>
      </c>
      <c r="BR970" s="24" t="str">
        <f t="shared" si="1"/>
        <v>Spice Soiree</v>
      </c>
    </row>
    <row r="971" ht="22.5" customHeight="1">
      <c r="A971" s="14">
        <v>46077.783689930555</v>
      </c>
      <c r="B971" s="15">
        <v>46077.0</v>
      </c>
      <c r="C971" s="16">
        <v>0.009027777778101154</v>
      </c>
      <c r="U971" s="17" t="s">
        <v>3720</v>
      </c>
      <c r="V971" s="17">
        <v>9.398196192E9</v>
      </c>
      <c r="W971" s="17" t="s">
        <v>117</v>
      </c>
      <c r="AA971" s="17" t="s">
        <v>109</v>
      </c>
      <c r="AT971" s="17" t="s">
        <v>3721</v>
      </c>
      <c r="AU971" s="17" t="s">
        <v>109</v>
      </c>
      <c r="AZ971" s="17" t="s">
        <v>182</v>
      </c>
      <c r="BA971" s="17" t="s">
        <v>458</v>
      </c>
      <c r="BB971" s="17" t="s">
        <v>109</v>
      </c>
      <c r="BP971" s="17" t="s">
        <v>3722</v>
      </c>
      <c r="BR971" s="24" t="str">
        <f t="shared" si="1"/>
        <v>Tawakaal biryani hotel</v>
      </c>
    </row>
    <row r="972" ht="22.5" customHeight="1">
      <c r="A972" s="14">
        <v>46077.78562501157</v>
      </c>
      <c r="B972" s="15">
        <v>46077.0</v>
      </c>
      <c r="C972" s="16">
        <v>0.013888888890505768</v>
      </c>
      <c r="U972" s="17" t="s">
        <v>117</v>
      </c>
      <c r="V972" s="17">
        <v>9.347368545E9</v>
      </c>
      <c r="W972" s="17" t="s">
        <v>117</v>
      </c>
      <c r="AA972" s="17" t="s">
        <v>109</v>
      </c>
      <c r="AT972" s="17" t="s">
        <v>755</v>
      </c>
      <c r="AU972" s="17" t="s">
        <v>76</v>
      </c>
      <c r="AV972" s="17" t="s">
        <v>271</v>
      </c>
      <c r="AZ972" s="17" t="s">
        <v>182</v>
      </c>
      <c r="BA972" s="17" t="s">
        <v>458</v>
      </c>
      <c r="BB972" s="17" t="s">
        <v>109</v>
      </c>
      <c r="BP972" s="17" t="s">
        <v>3723</v>
      </c>
      <c r="BR972" s="24" t="str">
        <f t="shared" si="1"/>
        <v>New Nisar cafe and restaurant</v>
      </c>
    </row>
    <row r="973" ht="22.5" customHeight="1">
      <c r="A973" s="14">
        <v>46077.789241597224</v>
      </c>
      <c r="B973" s="15">
        <v>46077.0</v>
      </c>
      <c r="C973" s="16">
        <v>0.03125</v>
      </c>
      <c r="U973" s="17" t="s">
        <v>3724</v>
      </c>
      <c r="V973" s="17">
        <v>8.55509073E9</v>
      </c>
      <c r="W973" s="17" t="s">
        <v>117</v>
      </c>
      <c r="AA973" s="17" t="s">
        <v>109</v>
      </c>
      <c r="AT973" s="17" t="s">
        <v>193</v>
      </c>
      <c r="AU973" s="17" t="s">
        <v>109</v>
      </c>
      <c r="AZ973" s="17" t="s">
        <v>182</v>
      </c>
      <c r="BA973" s="17" t="s">
        <v>458</v>
      </c>
      <c r="BB973" s="17" t="s">
        <v>109</v>
      </c>
      <c r="BP973" s="17" t="s">
        <v>3725</v>
      </c>
      <c r="BR973" s="24" t="str">
        <f t="shared" si="1"/>
        <v>Desi Zayqa </v>
      </c>
    </row>
    <row r="974" ht="22.5" customHeight="1">
      <c r="A974" s="14">
        <v>46077.79497318287</v>
      </c>
      <c r="B974" s="15">
        <v>46077.0</v>
      </c>
      <c r="C974" s="16">
        <v>0.59375</v>
      </c>
      <c r="D974" s="17" t="s">
        <v>91</v>
      </c>
      <c r="F974" s="17">
        <v>1.0</v>
      </c>
      <c r="G974" s="17">
        <v>150.0</v>
      </c>
      <c r="H974" s="17" t="s">
        <v>117</v>
      </c>
      <c r="J974" s="17" t="s">
        <v>221</v>
      </c>
      <c r="K974" s="17" t="s">
        <v>134</v>
      </c>
      <c r="N974" s="17">
        <v>1.0</v>
      </c>
      <c r="O974" s="17" t="s">
        <v>96</v>
      </c>
      <c r="P974" s="17" t="s">
        <v>109</v>
      </c>
      <c r="Q974" s="17" t="s">
        <v>98</v>
      </c>
      <c r="R974" s="17" t="s">
        <v>98</v>
      </c>
      <c r="S974" s="17" t="s">
        <v>117</v>
      </c>
      <c r="U974" s="17" t="s">
        <v>3726</v>
      </c>
      <c r="V974" s="17">
        <v>9.96600676E9</v>
      </c>
      <c r="W974" s="17" t="s">
        <v>117</v>
      </c>
      <c r="AA974" s="17" t="s">
        <v>109</v>
      </c>
      <c r="AT974" s="17" t="s">
        <v>3727</v>
      </c>
      <c r="AU974" s="17" t="s">
        <v>76</v>
      </c>
      <c r="AV974" s="17" t="s">
        <v>88</v>
      </c>
      <c r="AZ974" s="17" t="s">
        <v>182</v>
      </c>
      <c r="BA974" s="17" t="s">
        <v>458</v>
      </c>
      <c r="BB974" s="17" t="s">
        <v>76</v>
      </c>
      <c r="BN974" s="17">
        <v>1.0</v>
      </c>
      <c r="BP974" s="17" t="s">
        <v>3728</v>
      </c>
      <c r="BR974" s="24" t="str">
        <f t="shared" si="1"/>
        <v>Konaseema Pedi Ruchulu</v>
      </c>
    </row>
    <row r="975" ht="22.5" customHeight="1">
      <c r="A975" s="14">
        <v>46077.8089597338</v>
      </c>
      <c r="B975" s="15">
        <v>46074.0</v>
      </c>
      <c r="C975" s="16">
        <v>0.75</v>
      </c>
      <c r="D975" s="17" t="s">
        <v>91</v>
      </c>
      <c r="F975" s="17">
        <v>30.0</v>
      </c>
      <c r="G975" s="17">
        <v>300.0</v>
      </c>
      <c r="H975" s="17" t="s">
        <v>113</v>
      </c>
      <c r="I975" s="17">
        <v>30000.0</v>
      </c>
      <c r="J975" s="17" t="s">
        <v>221</v>
      </c>
      <c r="K975" s="17" t="s">
        <v>134</v>
      </c>
      <c r="L975" s="17">
        <v>22.0</v>
      </c>
      <c r="M975" s="17">
        <v>20.0</v>
      </c>
      <c r="N975" s="17">
        <v>1.0</v>
      </c>
      <c r="O975" s="17" t="s">
        <v>96</v>
      </c>
      <c r="P975" s="17" t="s">
        <v>76</v>
      </c>
      <c r="Q975" s="17" t="s">
        <v>1583</v>
      </c>
      <c r="R975" s="17" t="s">
        <v>76</v>
      </c>
      <c r="S975" s="17" t="s">
        <v>3729</v>
      </c>
      <c r="U975" s="17" t="s">
        <v>2747</v>
      </c>
      <c r="V975" s="17" t="s">
        <v>113</v>
      </c>
      <c r="W975" s="17" t="s">
        <v>113</v>
      </c>
      <c r="AA975" s="17" t="s">
        <v>109</v>
      </c>
      <c r="AT975" s="17" t="s">
        <v>3730</v>
      </c>
      <c r="AU975" s="17" t="s">
        <v>76</v>
      </c>
      <c r="AV975" s="17" t="s">
        <v>271</v>
      </c>
      <c r="AZ975" s="17" t="s">
        <v>131</v>
      </c>
      <c r="BA975" s="17" t="s">
        <v>458</v>
      </c>
      <c r="BB975" s="17" t="s">
        <v>76</v>
      </c>
      <c r="BL975" s="17">
        <v>40.0</v>
      </c>
      <c r="BN975" s="17" t="s">
        <v>1088</v>
      </c>
      <c r="BP975" s="17" t="s">
        <v>3731</v>
      </c>
      <c r="BR975" s="24" t="str">
        <f t="shared" si="1"/>
        <v>Andhra Bhavan</v>
      </c>
    </row>
    <row r="976" ht="22.5" customHeight="1">
      <c r="A976" s="14">
        <v>46077.81015900463</v>
      </c>
      <c r="B976" s="15">
        <v>46076.0</v>
      </c>
      <c r="C976" s="16">
        <v>0.01736111110949423</v>
      </c>
      <c r="U976" s="17" t="s">
        <v>117</v>
      </c>
      <c r="V976" s="17" t="s">
        <v>117</v>
      </c>
      <c r="W976" s="17" t="s">
        <v>117</v>
      </c>
      <c r="AA976" s="17" t="s">
        <v>109</v>
      </c>
      <c r="AT976" s="17" t="s">
        <v>3732</v>
      </c>
      <c r="AU976" s="17" t="s">
        <v>109</v>
      </c>
      <c r="AZ976" s="17" t="s">
        <v>182</v>
      </c>
      <c r="BA976" s="17" t="s">
        <v>458</v>
      </c>
      <c r="BB976" s="17" t="s">
        <v>109</v>
      </c>
      <c r="BP976" s="17" t="s">
        <v>3733</v>
      </c>
      <c r="BR976" s="24" t="str">
        <f t="shared" si="1"/>
        <v>Hyderabad Bakehouse</v>
      </c>
    </row>
    <row r="977" ht="22.5" customHeight="1">
      <c r="A977" s="14">
        <v>46077.81356234953</v>
      </c>
      <c r="B977" s="15">
        <v>46077.0</v>
      </c>
      <c r="C977" s="16">
        <v>0.7083333333357587</v>
      </c>
      <c r="D977" s="17" t="s">
        <v>91</v>
      </c>
      <c r="F977" s="17">
        <v>10.0</v>
      </c>
      <c r="G977" s="17">
        <v>200.0</v>
      </c>
      <c r="H977" s="17" t="s">
        <v>291</v>
      </c>
      <c r="I977" s="17">
        <v>10000.0</v>
      </c>
      <c r="J977" s="17" t="s">
        <v>221</v>
      </c>
      <c r="K977" s="17" t="s">
        <v>134</v>
      </c>
      <c r="L977" s="17">
        <v>22.0</v>
      </c>
      <c r="M977" s="17">
        <v>20.0</v>
      </c>
      <c r="N977" s="17">
        <v>1.0</v>
      </c>
      <c r="O977" s="17" t="s">
        <v>96</v>
      </c>
      <c r="P977" s="17" t="s">
        <v>76</v>
      </c>
      <c r="Q977" s="17" t="s">
        <v>97</v>
      </c>
      <c r="R977" s="17" t="s">
        <v>76</v>
      </c>
      <c r="S977" s="17" t="s">
        <v>3734</v>
      </c>
      <c r="U977" s="17" t="s">
        <v>3735</v>
      </c>
      <c r="V977" s="17">
        <v>9.398163983E9</v>
      </c>
      <c r="W977" s="17" t="s">
        <v>113</v>
      </c>
      <c r="AA977" s="17" t="s">
        <v>109</v>
      </c>
      <c r="AT977" s="17" t="s">
        <v>237</v>
      </c>
      <c r="AU977" s="17" t="s">
        <v>109</v>
      </c>
      <c r="AV977" s="17" t="s">
        <v>88</v>
      </c>
      <c r="AZ977" s="17" t="s">
        <v>131</v>
      </c>
      <c r="BA977" s="17" t="s">
        <v>458</v>
      </c>
      <c r="BB977" s="17" t="s">
        <v>76</v>
      </c>
      <c r="BL977" s="17">
        <v>30.0</v>
      </c>
      <c r="BN977" s="17" t="s">
        <v>3736</v>
      </c>
      <c r="BP977" s="17" t="s">
        <v>3737</v>
      </c>
      <c r="BR977" s="24" t="str">
        <f t="shared" si="1"/>
        <v>Qubz the shewarma house</v>
      </c>
    </row>
    <row r="978" ht="22.5" customHeight="1">
      <c r="A978" s="14">
        <v>46077.817335590276</v>
      </c>
      <c r="B978" s="15">
        <v>46076.0</v>
      </c>
      <c r="C978" s="16">
        <v>0.03125</v>
      </c>
      <c r="U978" s="17" t="s">
        <v>117</v>
      </c>
      <c r="V978" s="17" t="s">
        <v>117</v>
      </c>
      <c r="W978" s="17" t="s">
        <v>117</v>
      </c>
      <c r="X978" s="17" t="s">
        <v>117</v>
      </c>
      <c r="AA978" s="17" t="s">
        <v>109</v>
      </c>
      <c r="AT978" s="17" t="s">
        <v>755</v>
      </c>
      <c r="AU978" s="17" t="s">
        <v>76</v>
      </c>
      <c r="AZ978" s="17" t="s">
        <v>182</v>
      </c>
      <c r="BA978" s="17" t="s">
        <v>458</v>
      </c>
      <c r="BB978" s="17" t="s">
        <v>109</v>
      </c>
      <c r="BP978" s="17" t="s">
        <v>3738</v>
      </c>
      <c r="BR978" s="24" t="str">
        <f t="shared" si="1"/>
        <v>king Darbar </v>
      </c>
    </row>
    <row r="979" ht="22.5" customHeight="1">
      <c r="A979" s="14">
        <v>46077.81903520833</v>
      </c>
      <c r="B979" s="15">
        <v>46077.0</v>
      </c>
      <c r="C979" s="16">
        <v>0.6666666666642413</v>
      </c>
      <c r="D979" s="17" t="s">
        <v>91</v>
      </c>
      <c r="F979" s="17">
        <v>30.0</v>
      </c>
      <c r="G979" s="17">
        <v>300.0</v>
      </c>
      <c r="H979" s="17" t="s">
        <v>117</v>
      </c>
      <c r="I979" s="17">
        <v>30000.0</v>
      </c>
      <c r="J979" s="17" t="s">
        <v>94</v>
      </c>
      <c r="K979" s="17" t="s">
        <v>134</v>
      </c>
      <c r="L979" s="17">
        <v>22.0</v>
      </c>
      <c r="M979" s="17">
        <v>20.0</v>
      </c>
      <c r="N979" s="17">
        <v>2.0</v>
      </c>
      <c r="O979" s="17" t="s">
        <v>96</v>
      </c>
      <c r="P979" s="17" t="s">
        <v>76</v>
      </c>
      <c r="Q979" s="17" t="s">
        <v>97</v>
      </c>
      <c r="R979" s="17" t="s">
        <v>76</v>
      </c>
      <c r="S979" s="17" t="s">
        <v>3739</v>
      </c>
      <c r="U979" s="17" t="s">
        <v>3740</v>
      </c>
      <c r="V979" s="17">
        <v>8.498938264E9</v>
      </c>
      <c r="W979" s="17" t="s">
        <v>117</v>
      </c>
      <c r="AA979" s="17" t="s">
        <v>109</v>
      </c>
      <c r="AT979" s="17" t="s">
        <v>117</v>
      </c>
      <c r="AU979" s="17" t="s">
        <v>76</v>
      </c>
      <c r="AV979" s="17" t="s">
        <v>472</v>
      </c>
      <c r="AZ979" s="17" t="s">
        <v>131</v>
      </c>
      <c r="BA979" s="17" t="s">
        <v>458</v>
      </c>
      <c r="BB979" s="17" t="s">
        <v>76</v>
      </c>
      <c r="BL979" s="17">
        <v>70.0</v>
      </c>
      <c r="BN979" s="17" t="s">
        <v>3741</v>
      </c>
      <c r="BP979" s="17" t="s">
        <v>3742</v>
      </c>
      <c r="BR979" s="24" t="str">
        <f t="shared" si="1"/>
        <v>7STARS RESTAURENT</v>
      </c>
    </row>
    <row r="980" ht="22.5" customHeight="1">
      <c r="A980" s="14">
        <v>46077.82590391204</v>
      </c>
      <c r="B980" s="15">
        <v>46076.0</v>
      </c>
      <c r="C980" s="16">
        <v>0.5729166666642413</v>
      </c>
      <c r="U980" s="17" t="s">
        <v>3743</v>
      </c>
      <c r="V980" s="17">
        <v>9.494569463E9</v>
      </c>
      <c r="W980" s="17" t="s">
        <v>117</v>
      </c>
      <c r="AA980" s="17" t="s">
        <v>109</v>
      </c>
      <c r="AT980" s="17" t="s">
        <v>3744</v>
      </c>
      <c r="AU980" s="17" t="s">
        <v>109</v>
      </c>
      <c r="AZ980" s="17" t="s">
        <v>182</v>
      </c>
      <c r="BA980" s="17" t="s">
        <v>458</v>
      </c>
      <c r="BB980" s="17" t="s">
        <v>109</v>
      </c>
      <c r="BP980" s="17" t="s">
        <v>3745</v>
      </c>
      <c r="BR980" s="24" t="str">
        <f t="shared" si="1"/>
        <v>Varnam </v>
      </c>
    </row>
    <row r="981" ht="22.5" customHeight="1">
      <c r="A981" s="14">
        <v>46077.83474494213</v>
      </c>
      <c r="B981" s="15">
        <v>46076.0</v>
      </c>
      <c r="C981" s="16">
        <v>0.6006944444452529</v>
      </c>
      <c r="D981" s="17" t="s">
        <v>91</v>
      </c>
      <c r="F981" s="17">
        <v>1.0</v>
      </c>
      <c r="G981" s="17">
        <v>150.0</v>
      </c>
      <c r="H981" s="17" t="s">
        <v>117</v>
      </c>
      <c r="I981" s="17">
        <v>15.0</v>
      </c>
      <c r="J981" s="17" t="s">
        <v>221</v>
      </c>
      <c r="N981" s="17">
        <v>1.0</v>
      </c>
      <c r="O981" s="17" t="s">
        <v>96</v>
      </c>
      <c r="P981" s="17" t="s">
        <v>76</v>
      </c>
      <c r="Q981" s="17" t="s">
        <v>97</v>
      </c>
      <c r="R981" s="17" t="s">
        <v>76</v>
      </c>
      <c r="S981" s="17" t="s">
        <v>3356</v>
      </c>
      <c r="U981" s="17" t="s">
        <v>117</v>
      </c>
      <c r="V981" s="17" t="s">
        <v>117</v>
      </c>
      <c r="W981" s="17" t="s">
        <v>117</v>
      </c>
      <c r="AA981" s="17" t="s">
        <v>109</v>
      </c>
      <c r="AT981" s="17" t="s">
        <v>755</v>
      </c>
      <c r="AU981" s="17" t="s">
        <v>109</v>
      </c>
      <c r="AZ981" s="17" t="s">
        <v>182</v>
      </c>
      <c r="BA981" s="17" t="s">
        <v>458</v>
      </c>
      <c r="BB981" s="17" t="s">
        <v>76</v>
      </c>
      <c r="BN981" s="17">
        <v>1.0</v>
      </c>
      <c r="BP981" s="17" t="s">
        <v>3746</v>
      </c>
      <c r="BR981" s="24" t="str">
        <f t="shared" si="1"/>
        <v>Mahabalaa Food Court</v>
      </c>
    </row>
    <row r="982" ht="22.5" customHeight="1">
      <c r="A982" s="14">
        <v>46077.89217071759</v>
      </c>
      <c r="B982" s="15">
        <v>46077.0</v>
      </c>
      <c r="C982" s="16">
        <v>0.6458333333357587</v>
      </c>
      <c r="U982" s="17" t="s">
        <v>952</v>
      </c>
      <c r="V982" s="17" t="s">
        <v>388</v>
      </c>
      <c r="W982" s="17" t="s">
        <v>388</v>
      </c>
      <c r="AA982" s="17" t="s">
        <v>109</v>
      </c>
      <c r="AT982" s="17" t="s">
        <v>3747</v>
      </c>
      <c r="AU982" s="17" t="s">
        <v>109</v>
      </c>
      <c r="AZ982" s="17" t="s">
        <v>151</v>
      </c>
      <c r="BA982" s="17" t="s">
        <v>458</v>
      </c>
      <c r="BB982" s="17" t="s">
        <v>109</v>
      </c>
      <c r="BP982" s="17" t="s">
        <v>3748</v>
      </c>
      <c r="BR982" s="24" t="str">
        <f t="shared" si="1"/>
        <v>Aha bojanam</v>
      </c>
    </row>
    <row r="983" ht="22.5" customHeight="1">
      <c r="A983" s="14">
        <v>46077.8931083912</v>
      </c>
      <c r="B983" s="15">
        <v>46077.0</v>
      </c>
      <c r="C983" s="16">
        <v>0.6458333333357587</v>
      </c>
      <c r="U983" s="17" t="s">
        <v>3145</v>
      </c>
      <c r="V983" s="17" t="s">
        <v>388</v>
      </c>
      <c r="W983" s="17" t="s">
        <v>388</v>
      </c>
      <c r="AA983" s="17" t="s">
        <v>109</v>
      </c>
      <c r="AT983" s="17" t="s">
        <v>3749</v>
      </c>
      <c r="AU983" s="17" t="s">
        <v>109</v>
      </c>
      <c r="AX983" s="15">
        <v>46078.0</v>
      </c>
      <c r="AZ983" s="17" t="s">
        <v>151</v>
      </c>
      <c r="BA983" s="17" t="s">
        <v>458</v>
      </c>
      <c r="BB983" s="17" t="s">
        <v>109</v>
      </c>
      <c r="BP983" s="17" t="s">
        <v>3750</v>
      </c>
      <c r="BR983" s="24" t="str">
        <f t="shared" si="1"/>
        <v>Telengana food court</v>
      </c>
    </row>
    <row r="984" ht="22.5" customHeight="1">
      <c r="A984" s="14">
        <v>46077.89404038194</v>
      </c>
      <c r="B984" s="15">
        <v>46077.0</v>
      </c>
      <c r="C984" s="16">
        <v>0.6805555555547471</v>
      </c>
      <c r="U984" s="17" t="s">
        <v>3751</v>
      </c>
      <c r="V984" s="17">
        <v>7.075997535E9</v>
      </c>
      <c r="W984" s="17" t="s">
        <v>388</v>
      </c>
      <c r="AA984" s="17" t="s">
        <v>109</v>
      </c>
      <c r="AT984" s="17" t="s">
        <v>3752</v>
      </c>
      <c r="AU984" s="17" t="s">
        <v>109</v>
      </c>
      <c r="AZ984" s="17" t="s">
        <v>151</v>
      </c>
      <c r="BA984" s="17" t="s">
        <v>458</v>
      </c>
      <c r="BB984" s="17" t="s">
        <v>109</v>
      </c>
      <c r="BP984" s="17" t="s">
        <v>3753</v>
      </c>
      <c r="BR984" s="24" t="str">
        <f t="shared" si="1"/>
        <v>Homly tiffins</v>
      </c>
    </row>
    <row r="985" ht="22.5" customHeight="1">
      <c r="A985" s="14">
        <v>46077.89498753472</v>
      </c>
      <c r="B985" s="15">
        <v>46077.0</v>
      </c>
      <c r="C985" s="16">
        <v>0.6875</v>
      </c>
      <c r="U985" s="17" t="s">
        <v>3754</v>
      </c>
      <c r="V985" s="17">
        <v>9.96625404E9</v>
      </c>
      <c r="W985" s="17" t="s">
        <v>388</v>
      </c>
      <c r="AA985" s="17" t="s">
        <v>109</v>
      </c>
      <c r="AT985" s="17" t="s">
        <v>3755</v>
      </c>
      <c r="AU985" s="17" t="s">
        <v>109</v>
      </c>
      <c r="AZ985" s="17" t="s">
        <v>151</v>
      </c>
      <c r="BA985" s="17" t="s">
        <v>458</v>
      </c>
      <c r="BB985" s="17" t="s">
        <v>109</v>
      </c>
      <c r="BP985" s="17" t="s">
        <v>3756</v>
      </c>
      <c r="BR985" s="24" t="str">
        <f t="shared" si="1"/>
        <v>Tawwakal shawarma</v>
      </c>
    </row>
    <row r="986" ht="22.5" customHeight="1">
      <c r="A986" s="14">
        <v>46077.895794502314</v>
      </c>
      <c r="B986" s="15">
        <v>46077.0</v>
      </c>
      <c r="C986" s="16">
        <v>0.6444444444423425</v>
      </c>
      <c r="U986" s="17" t="s">
        <v>1143</v>
      </c>
      <c r="V986" s="17">
        <v>7.036356575E9</v>
      </c>
      <c r="W986" s="17" t="s">
        <v>388</v>
      </c>
      <c r="AA986" s="17" t="s">
        <v>109</v>
      </c>
      <c r="AT986" s="17" t="s">
        <v>3757</v>
      </c>
      <c r="AU986" s="17" t="s">
        <v>109</v>
      </c>
      <c r="AZ986" s="17" t="s">
        <v>151</v>
      </c>
      <c r="BA986" s="17" t="s">
        <v>458</v>
      </c>
      <c r="BB986" s="17" t="s">
        <v>109</v>
      </c>
      <c r="BP986" s="17" t="s">
        <v>3758</v>
      </c>
      <c r="BR986" s="24" t="str">
        <f t="shared" si="1"/>
        <v>Chai kaburlu</v>
      </c>
    </row>
    <row r="987" ht="22.5" customHeight="1">
      <c r="A987" s="14">
        <v>46077.89663199074</v>
      </c>
      <c r="B987" s="15">
        <v>46077.0</v>
      </c>
      <c r="C987" s="16">
        <v>0.7430555555547471</v>
      </c>
      <c r="U987" s="17" t="s">
        <v>752</v>
      </c>
      <c r="V987" s="17" t="s">
        <v>388</v>
      </c>
      <c r="W987" s="17" t="s">
        <v>388</v>
      </c>
      <c r="AA987" s="17" t="s">
        <v>109</v>
      </c>
      <c r="AT987" s="17" t="s">
        <v>3759</v>
      </c>
      <c r="AU987" s="17" t="s">
        <v>76</v>
      </c>
      <c r="AZ987" s="17" t="s">
        <v>151</v>
      </c>
      <c r="BA987" s="17" t="s">
        <v>458</v>
      </c>
      <c r="BB987" s="17" t="s">
        <v>109</v>
      </c>
      <c r="BP987" s="17" t="s">
        <v>3760</v>
      </c>
      <c r="BR987" s="24" t="str">
        <f t="shared" si="1"/>
        <v>Raju gari biryani </v>
      </c>
    </row>
    <row r="988" ht="22.5" customHeight="1">
      <c r="A988" s="14">
        <v>46077.90381604167</v>
      </c>
      <c r="B988" s="15">
        <v>46076.0</v>
      </c>
      <c r="C988" s="16">
        <v>0.3069444444408873</v>
      </c>
      <c r="D988" s="17" t="s">
        <v>91</v>
      </c>
      <c r="F988" s="17">
        <v>30.0</v>
      </c>
      <c r="G988" s="17">
        <v>300.0</v>
      </c>
      <c r="H988" s="17" t="s">
        <v>113</v>
      </c>
      <c r="J988" s="17" t="s">
        <v>94</v>
      </c>
      <c r="K988" s="17" t="s">
        <v>134</v>
      </c>
      <c r="N988" s="17">
        <v>4.0</v>
      </c>
      <c r="O988" s="17" t="s">
        <v>96</v>
      </c>
      <c r="P988" s="17" t="s">
        <v>76</v>
      </c>
      <c r="Q988" s="17" t="s">
        <v>97</v>
      </c>
      <c r="R988" s="17" t="s">
        <v>76</v>
      </c>
      <c r="S988" s="17" t="s">
        <v>113</v>
      </c>
      <c r="U988" s="17" t="s">
        <v>3761</v>
      </c>
      <c r="V988" s="17">
        <v>9.100267638E9</v>
      </c>
      <c r="W988" s="17" t="s">
        <v>3762</v>
      </c>
      <c r="AA988" s="17" t="s">
        <v>76</v>
      </c>
      <c r="AB988" s="17">
        <v>2.3624028002421E13</v>
      </c>
      <c r="AC988" s="18" t="s">
        <v>3763</v>
      </c>
      <c r="AD988" s="17" t="s">
        <v>3764</v>
      </c>
      <c r="AE988" s="18" t="s">
        <v>3765</v>
      </c>
      <c r="AF988" s="17" t="s">
        <v>3766</v>
      </c>
      <c r="AG988" s="18" t="s">
        <v>3767</v>
      </c>
      <c r="AH988" s="17" t="s">
        <v>3768</v>
      </c>
      <c r="AI988" s="18" t="s">
        <v>3769</v>
      </c>
      <c r="AK988" s="18" t="s">
        <v>3770</v>
      </c>
      <c r="AL988" s="20" t="s">
        <v>3771</v>
      </c>
      <c r="AM988" s="17" t="s">
        <v>3772</v>
      </c>
      <c r="AN988" s="17" t="s">
        <v>3773</v>
      </c>
      <c r="AO988" s="17" t="s">
        <v>3774</v>
      </c>
      <c r="AP988" s="17">
        <v>9.100267638E9</v>
      </c>
      <c r="AQ988" s="17" t="s">
        <v>3762</v>
      </c>
      <c r="AR988" s="17" t="s">
        <v>3761</v>
      </c>
      <c r="AS988" s="17" t="s">
        <v>76</v>
      </c>
      <c r="AT988" s="17" t="s">
        <v>181</v>
      </c>
      <c r="AU988" s="17" t="s">
        <v>109</v>
      </c>
      <c r="AZ988" s="17" t="s">
        <v>3034</v>
      </c>
      <c r="BA988" s="17" t="s">
        <v>491</v>
      </c>
      <c r="BH988" s="17">
        <v>20.0</v>
      </c>
      <c r="BI988" s="17" t="s">
        <v>109</v>
      </c>
      <c r="BJ988" s="16">
        <v>0.5</v>
      </c>
      <c r="BK988" s="16">
        <v>0.5</v>
      </c>
      <c r="BM988" s="17" t="s">
        <v>3775</v>
      </c>
      <c r="BN988" s="17" t="s">
        <v>1657</v>
      </c>
      <c r="BP988" s="17" t="s">
        <v>3776</v>
      </c>
      <c r="BR988" s="24" t="str">
        <f t="shared" si="1"/>
        <v>snack bite</v>
      </c>
    </row>
    <row r="989" ht="22.5" customHeight="1">
      <c r="A989" s="14">
        <v>46077.9101246412</v>
      </c>
      <c r="B989" s="15">
        <v>46077.0</v>
      </c>
      <c r="C989" s="16">
        <v>0.08263888888905058</v>
      </c>
      <c r="U989" s="17" t="s">
        <v>113</v>
      </c>
      <c r="V989" s="17" t="s">
        <v>113</v>
      </c>
      <c r="W989" s="17" t="s">
        <v>113</v>
      </c>
      <c r="AA989" s="17" t="s">
        <v>109</v>
      </c>
      <c r="AT989" s="17" t="s">
        <v>3777</v>
      </c>
      <c r="AU989" s="17" t="s">
        <v>76</v>
      </c>
      <c r="AZ989" s="17" t="s">
        <v>539</v>
      </c>
      <c r="BA989" s="17" t="s">
        <v>458</v>
      </c>
      <c r="BB989" s="17" t="s">
        <v>109</v>
      </c>
      <c r="BP989" s="17" t="s">
        <v>3778</v>
      </c>
      <c r="BR989" s="24" t="str">
        <f t="shared" si="1"/>
        <v>kritunga restraunt</v>
      </c>
    </row>
    <row r="990" ht="22.5" customHeight="1">
      <c r="A990" s="14">
        <v>46077.91155822917</v>
      </c>
      <c r="B990" s="15">
        <v>46077.0</v>
      </c>
      <c r="C990" s="16">
        <v>0.40972222221898846</v>
      </c>
      <c r="D990" s="17" t="s">
        <v>111</v>
      </c>
      <c r="T990" s="17" t="s">
        <v>3779</v>
      </c>
      <c r="U990" s="17" t="s">
        <v>3780</v>
      </c>
      <c r="V990" s="17">
        <v>9.177050547E9</v>
      </c>
      <c r="W990" s="17" t="s">
        <v>113</v>
      </c>
      <c r="AA990" s="17" t="s">
        <v>109</v>
      </c>
      <c r="AT990" s="17" t="s">
        <v>3781</v>
      </c>
      <c r="AU990" s="17" t="s">
        <v>76</v>
      </c>
      <c r="AV990" s="17" t="s">
        <v>88</v>
      </c>
      <c r="AZ990" s="17" t="s">
        <v>539</v>
      </c>
      <c r="BA990" s="17" t="s">
        <v>458</v>
      </c>
      <c r="BB990" s="17" t="s">
        <v>76</v>
      </c>
      <c r="BP990" s="17" t="s">
        <v>3779</v>
      </c>
      <c r="BR990" s="24" t="str">
        <f t="shared" si="1"/>
        <v>shake it upshake it up</v>
      </c>
    </row>
    <row r="991" ht="22.5" customHeight="1">
      <c r="A991" s="14">
        <v>46077.91342414352</v>
      </c>
      <c r="B991" s="15">
        <v>46136.0</v>
      </c>
      <c r="C991" s="16">
        <v>0.13194444444525288</v>
      </c>
      <c r="D991" s="17" t="s">
        <v>91</v>
      </c>
      <c r="F991" s="17">
        <v>150.0</v>
      </c>
      <c r="G991" s="17">
        <v>350.0</v>
      </c>
      <c r="H991" s="17" t="s">
        <v>291</v>
      </c>
      <c r="J991" s="17" t="s">
        <v>94</v>
      </c>
      <c r="K991" s="17" t="s">
        <v>95</v>
      </c>
      <c r="N991" s="17">
        <v>1.0</v>
      </c>
      <c r="O991" s="17" t="s">
        <v>96</v>
      </c>
      <c r="P991" s="17" t="s">
        <v>109</v>
      </c>
      <c r="Q991" s="17" t="s">
        <v>97</v>
      </c>
      <c r="R991" s="17" t="s">
        <v>109</v>
      </c>
      <c r="S991" s="17" t="s">
        <v>3782</v>
      </c>
      <c r="U991" s="17" t="s">
        <v>3783</v>
      </c>
      <c r="V991" s="17">
        <v>9.642140555E9</v>
      </c>
      <c r="W991" s="17" t="s">
        <v>113</v>
      </c>
      <c r="AA991" s="17" t="s">
        <v>109</v>
      </c>
      <c r="AT991" s="17" t="s">
        <v>237</v>
      </c>
      <c r="AU991" s="17" t="s">
        <v>109</v>
      </c>
      <c r="AV991" s="17" t="s">
        <v>472</v>
      </c>
      <c r="AZ991" s="17" t="s">
        <v>539</v>
      </c>
      <c r="BA991" s="17" t="s">
        <v>458</v>
      </c>
      <c r="BB991" s="17" t="s">
        <v>76</v>
      </c>
      <c r="BN991" s="17" t="s">
        <v>1831</v>
      </c>
      <c r="BP991" s="17" t="s">
        <v>3784</v>
      </c>
      <c r="BR991" s="24" t="str">
        <f t="shared" si="1"/>
        <v>hayansh kitchen </v>
      </c>
    </row>
    <row r="992" ht="22.5" customHeight="1">
      <c r="A992" s="14">
        <v>46077.91386324074</v>
      </c>
      <c r="B992" s="15">
        <v>46077.0</v>
      </c>
      <c r="C992" s="16">
        <v>0.48958333333575865</v>
      </c>
      <c r="D992" s="17" t="s">
        <v>91</v>
      </c>
      <c r="F992" s="17">
        <v>20.0</v>
      </c>
      <c r="G992" s="17">
        <v>300.0</v>
      </c>
      <c r="H992" s="17" t="s">
        <v>888</v>
      </c>
      <c r="J992" s="17" t="s">
        <v>94</v>
      </c>
      <c r="K992" s="17" t="s">
        <v>134</v>
      </c>
      <c r="N992" s="17">
        <v>4.0</v>
      </c>
      <c r="O992" s="17" t="s">
        <v>96</v>
      </c>
      <c r="P992" s="17" t="s">
        <v>76</v>
      </c>
      <c r="Q992" s="17" t="s">
        <v>97</v>
      </c>
      <c r="R992" s="17" t="s">
        <v>76</v>
      </c>
      <c r="S992" s="17" t="s">
        <v>113</v>
      </c>
      <c r="U992" s="17" t="s">
        <v>3785</v>
      </c>
      <c r="V992" s="17">
        <v>8.885040804E9</v>
      </c>
      <c r="W992" s="17" t="s">
        <v>3786</v>
      </c>
      <c r="AA992" s="17" t="s">
        <v>76</v>
      </c>
      <c r="AB992" s="17">
        <v>2.3625032007611E13</v>
      </c>
      <c r="AC992" s="18" t="s">
        <v>3787</v>
      </c>
      <c r="AD992" s="17" t="s">
        <v>3788</v>
      </c>
      <c r="AE992" s="18" t="s">
        <v>3789</v>
      </c>
      <c r="AF992" s="17" t="s">
        <v>3790</v>
      </c>
      <c r="AG992" s="18" t="s">
        <v>3791</v>
      </c>
      <c r="AH992" s="17" t="s">
        <v>3792</v>
      </c>
      <c r="AI992" s="18" t="s">
        <v>3793</v>
      </c>
      <c r="AL992" s="17">
        <v>2.3780200001972E13</v>
      </c>
      <c r="AM992" s="17" t="s">
        <v>3794</v>
      </c>
      <c r="AN992" s="17" t="s">
        <v>3795</v>
      </c>
      <c r="AO992" s="17" t="s">
        <v>3796</v>
      </c>
      <c r="AP992" s="17">
        <v>8.885040804E9</v>
      </c>
      <c r="AQ992" s="17" t="s">
        <v>3786</v>
      </c>
      <c r="AR992" s="17" t="s">
        <v>3796</v>
      </c>
      <c r="AS992" s="17" t="s">
        <v>76</v>
      </c>
      <c r="AT992" s="17" t="s">
        <v>3797</v>
      </c>
      <c r="AU992" s="17" t="s">
        <v>109</v>
      </c>
      <c r="AZ992" s="17" t="s">
        <v>3034</v>
      </c>
      <c r="BA992" s="17" t="s">
        <v>458</v>
      </c>
      <c r="BB992" s="17" t="s">
        <v>76</v>
      </c>
      <c r="BH992" s="17">
        <v>20.0</v>
      </c>
      <c r="BI992" s="17" t="s">
        <v>109</v>
      </c>
      <c r="BJ992" s="16">
        <v>0.5</v>
      </c>
      <c r="BK992" s="16">
        <v>0.5</v>
      </c>
      <c r="BM992" s="17" t="s">
        <v>3798</v>
      </c>
      <c r="BN992" s="17" t="s">
        <v>3799</v>
      </c>
      <c r="BP992" s="17" t="s">
        <v>3800</v>
      </c>
      <c r="BR992" s="24" t="str">
        <f t="shared" si="1"/>
        <v>SnackBite</v>
      </c>
    </row>
    <row r="993" ht="22.5" customHeight="1">
      <c r="A993" s="14">
        <v>46077.91549195602</v>
      </c>
      <c r="B993" s="15">
        <v>46077.0</v>
      </c>
      <c r="C993" s="16">
        <v>0.1812500000014552</v>
      </c>
      <c r="D993" s="17" t="s">
        <v>91</v>
      </c>
      <c r="F993" s="17">
        <v>75.0</v>
      </c>
      <c r="G993" s="17">
        <v>450.0</v>
      </c>
      <c r="H993" s="17" t="s">
        <v>291</v>
      </c>
      <c r="J993" s="17" t="s">
        <v>167</v>
      </c>
      <c r="N993" s="17">
        <v>1.0</v>
      </c>
      <c r="O993" s="17" t="s">
        <v>96</v>
      </c>
      <c r="P993" s="17" t="s">
        <v>109</v>
      </c>
      <c r="Q993" s="17" t="s">
        <v>97</v>
      </c>
      <c r="R993" s="17" t="s">
        <v>109</v>
      </c>
      <c r="S993" s="17" t="s">
        <v>113</v>
      </c>
      <c r="U993" s="17" t="s">
        <v>3801</v>
      </c>
      <c r="V993" s="17">
        <v>6.300227403E9</v>
      </c>
      <c r="W993" s="17" t="s">
        <v>113</v>
      </c>
      <c r="AA993" s="17" t="s">
        <v>109</v>
      </c>
      <c r="AT993" s="17" t="s">
        <v>2914</v>
      </c>
      <c r="AU993" s="17" t="s">
        <v>109</v>
      </c>
      <c r="AZ993" s="17" t="s">
        <v>539</v>
      </c>
      <c r="BA993" s="17" t="s">
        <v>458</v>
      </c>
      <c r="BB993" s="17" t="s">
        <v>76</v>
      </c>
      <c r="BN993" s="17" t="s">
        <v>3802</v>
      </c>
      <c r="BP993" s="17" t="s">
        <v>3803</v>
      </c>
      <c r="BR993" s="24" t="str">
        <f t="shared" si="1"/>
        <v>araah cafe</v>
      </c>
    </row>
    <row r="994" ht="22.5" customHeight="1">
      <c r="A994" s="14">
        <v>46077.91661539352</v>
      </c>
      <c r="B994" s="15">
        <v>46077.0</v>
      </c>
      <c r="C994" s="16">
        <v>0.22291666666569654</v>
      </c>
      <c r="U994" s="17" t="s">
        <v>113</v>
      </c>
      <c r="V994" s="17" t="s">
        <v>113</v>
      </c>
      <c r="W994" s="17" t="s">
        <v>113</v>
      </c>
      <c r="AA994" s="17" t="s">
        <v>109</v>
      </c>
      <c r="AT994" s="17" t="s">
        <v>3804</v>
      </c>
      <c r="AU994" s="17" t="s">
        <v>76</v>
      </c>
      <c r="AV994" s="17" t="s">
        <v>88</v>
      </c>
      <c r="AZ994" s="17" t="s">
        <v>539</v>
      </c>
      <c r="BA994" s="17" t="s">
        <v>458</v>
      </c>
      <c r="BB994" s="17" t="s">
        <v>109</v>
      </c>
      <c r="BP994" s="17" t="s">
        <v>3805</v>
      </c>
      <c r="BR994" s="24" t="str">
        <f t="shared" si="1"/>
        <v>raghavendra tiffens </v>
      </c>
    </row>
    <row r="995" ht="22.5" customHeight="1">
      <c r="A995" s="14">
        <v>46077.91777381944</v>
      </c>
      <c r="B995" s="15">
        <v>46077.0</v>
      </c>
      <c r="C995" s="16">
        <v>0.31388888889341615</v>
      </c>
      <c r="U995" s="17" t="s">
        <v>113</v>
      </c>
      <c r="V995" s="17" t="s">
        <v>113</v>
      </c>
      <c r="W995" s="17" t="s">
        <v>113</v>
      </c>
      <c r="AA995" s="17" t="s">
        <v>109</v>
      </c>
      <c r="AT995" s="17" t="s">
        <v>237</v>
      </c>
      <c r="AU995" s="17" t="s">
        <v>109</v>
      </c>
      <c r="AZ995" s="17" t="s">
        <v>539</v>
      </c>
      <c r="BA995" s="17" t="s">
        <v>458</v>
      </c>
      <c r="BB995" s="17" t="s">
        <v>109</v>
      </c>
      <c r="BP995" s="17" t="s">
        <v>3806</v>
      </c>
      <c r="BR995" s="24" t="str">
        <f t="shared" si="1"/>
        <v>nawabi cafeteria </v>
      </c>
    </row>
    <row r="996" ht="22.5" customHeight="1">
      <c r="A996" s="14">
        <v>46077.922427349535</v>
      </c>
      <c r="B996" s="15">
        <v>46077.0</v>
      </c>
      <c r="C996" s="16">
        <v>0.16666666666424135</v>
      </c>
      <c r="D996" s="17" t="s">
        <v>91</v>
      </c>
      <c r="F996" s="17">
        <v>30.0</v>
      </c>
      <c r="G996" s="17">
        <v>400.0</v>
      </c>
      <c r="H996" s="17" t="s">
        <v>113</v>
      </c>
      <c r="J996" s="17" t="s">
        <v>94</v>
      </c>
      <c r="K996" s="17" t="s">
        <v>515</v>
      </c>
      <c r="N996" s="17">
        <v>1.0</v>
      </c>
      <c r="O996" s="17" t="s">
        <v>96</v>
      </c>
      <c r="P996" s="17" t="s">
        <v>76</v>
      </c>
      <c r="Q996" s="17" t="s">
        <v>97</v>
      </c>
      <c r="R996" s="17" t="s">
        <v>76</v>
      </c>
      <c r="S996" s="17" t="s">
        <v>113</v>
      </c>
      <c r="U996" s="17" t="s">
        <v>3807</v>
      </c>
      <c r="V996" s="17">
        <v>9.030058654E9</v>
      </c>
      <c r="W996" s="17" t="s">
        <v>3808</v>
      </c>
      <c r="AA996" s="17" t="s">
        <v>76</v>
      </c>
      <c r="AB996" s="17">
        <v>2.3625028000372E13</v>
      </c>
      <c r="AC996" s="18" t="s">
        <v>3809</v>
      </c>
      <c r="AD996" s="17" t="s">
        <v>3810</v>
      </c>
      <c r="AE996" s="18" t="s">
        <v>3811</v>
      </c>
      <c r="AF996" s="17" t="s">
        <v>3812</v>
      </c>
      <c r="AG996" s="18" t="s">
        <v>3813</v>
      </c>
      <c r="AL996" s="17">
        <v>1.97405500141E11</v>
      </c>
      <c r="AM996" s="17" t="s">
        <v>3814</v>
      </c>
      <c r="AN996" s="17" t="s">
        <v>3815</v>
      </c>
      <c r="AO996" s="17" t="s">
        <v>3816</v>
      </c>
      <c r="AP996" s="17">
        <v>9.030058654E9</v>
      </c>
      <c r="AQ996" s="17" t="s">
        <v>3808</v>
      </c>
      <c r="AR996" s="17" t="s">
        <v>3816</v>
      </c>
      <c r="AS996" s="17" t="s">
        <v>76</v>
      </c>
      <c r="AT996" s="17" t="s">
        <v>3817</v>
      </c>
      <c r="AU996" s="17" t="s">
        <v>76</v>
      </c>
      <c r="AV996" s="17" t="s">
        <v>114</v>
      </c>
      <c r="AZ996" s="17" t="s">
        <v>3034</v>
      </c>
      <c r="BA996" s="17" t="s">
        <v>458</v>
      </c>
      <c r="BB996" s="17" t="s">
        <v>76</v>
      </c>
      <c r="BH996" s="17">
        <v>22.0</v>
      </c>
      <c r="BI996" s="17" t="s">
        <v>109</v>
      </c>
      <c r="BJ996" s="16">
        <v>0.45833333333575865</v>
      </c>
      <c r="BK996" s="16">
        <v>0.45833333333575865</v>
      </c>
      <c r="BM996" s="17" t="s">
        <v>3818</v>
      </c>
      <c r="BN996" s="17" t="s">
        <v>3819</v>
      </c>
      <c r="BP996" s="17" t="s">
        <v>3820</v>
      </c>
      <c r="BR996" s="24" t="str">
        <f t="shared" si="1"/>
        <v>The Boat House Express</v>
      </c>
    </row>
    <row r="997" ht="22.5" customHeight="1">
      <c r="A997" s="14">
        <v>46077.94506569444</v>
      </c>
      <c r="B997" s="15">
        <v>46077.0</v>
      </c>
      <c r="C997" s="16">
        <v>0.47916666666424135</v>
      </c>
      <c r="U997" s="17" t="s">
        <v>3821</v>
      </c>
      <c r="V997" s="17" t="s">
        <v>3822</v>
      </c>
      <c r="W997" s="17" t="s">
        <v>117</v>
      </c>
      <c r="AA997" s="17" t="s">
        <v>109</v>
      </c>
      <c r="AT997" s="17" t="s">
        <v>3823</v>
      </c>
      <c r="AU997" s="17" t="s">
        <v>76</v>
      </c>
      <c r="AV997" s="17" t="s">
        <v>472</v>
      </c>
      <c r="AW997" s="17" t="s">
        <v>3824</v>
      </c>
      <c r="AX997" s="15">
        <v>46078.0</v>
      </c>
      <c r="AY997" s="16">
        <v>0.625</v>
      </c>
      <c r="AZ997" s="17" t="s">
        <v>164</v>
      </c>
      <c r="BA997" s="17" t="s">
        <v>458</v>
      </c>
      <c r="BB997" s="17" t="s">
        <v>109</v>
      </c>
      <c r="BP997" s="17" t="s">
        <v>1316</v>
      </c>
      <c r="BR997" s="24" t="str">
        <f t="shared" si="1"/>
        <v>CAFE 555 AND AQEEQ RESTAURANT</v>
      </c>
    </row>
    <row r="998" ht="22.5" customHeight="1">
      <c r="A998" s="14">
        <v>46077.97471972222</v>
      </c>
      <c r="B998" s="15">
        <v>46077.0</v>
      </c>
      <c r="C998" s="16">
        <v>0.48958333333575865</v>
      </c>
      <c r="D998" s="17" t="s">
        <v>111</v>
      </c>
      <c r="T998" s="17" t="s">
        <v>3825</v>
      </c>
      <c r="U998" s="17" t="s">
        <v>3826</v>
      </c>
      <c r="V998" s="17" t="s">
        <v>117</v>
      </c>
      <c r="W998" s="17" t="s">
        <v>117</v>
      </c>
      <c r="AA998" s="17" t="s">
        <v>109</v>
      </c>
      <c r="AT998" s="17" t="s">
        <v>1234</v>
      </c>
      <c r="AU998" s="17" t="s">
        <v>109</v>
      </c>
      <c r="AW998" s="17" t="s">
        <v>3827</v>
      </c>
      <c r="AZ998" s="17" t="s">
        <v>164</v>
      </c>
      <c r="BA998" s="17" t="s">
        <v>458</v>
      </c>
      <c r="BB998" s="17" t="s">
        <v>76</v>
      </c>
      <c r="BP998" s="17" t="s">
        <v>3825</v>
      </c>
      <c r="BR998" s="24" t="str">
        <f t="shared" si="1"/>
        <v>srk food court srk food court </v>
      </c>
    </row>
    <row r="999" ht="22.5" customHeight="1">
      <c r="A999" s="14">
        <v>46077.97814136574</v>
      </c>
      <c r="B999" s="15">
        <v>46077.0</v>
      </c>
      <c r="C999" s="16">
        <v>0.5069444444452529</v>
      </c>
      <c r="U999" s="17" t="s">
        <v>179</v>
      </c>
      <c r="V999" s="17">
        <v>9.014757764E9</v>
      </c>
      <c r="W999" s="17" t="s">
        <v>117</v>
      </c>
      <c r="AA999" s="17" t="s">
        <v>109</v>
      </c>
      <c r="AT999" s="17" t="s">
        <v>3828</v>
      </c>
      <c r="AU999" s="17" t="s">
        <v>76</v>
      </c>
      <c r="AV999" s="17" t="s">
        <v>472</v>
      </c>
      <c r="AW999" s="17" t="s">
        <v>3829</v>
      </c>
      <c r="AX999" s="15">
        <v>46078.0</v>
      </c>
      <c r="AY999" s="16">
        <v>0.53125</v>
      </c>
      <c r="AZ999" s="17" t="s">
        <v>164</v>
      </c>
      <c r="BA999" s="17" t="s">
        <v>458</v>
      </c>
      <c r="BB999" s="17" t="s">
        <v>109</v>
      </c>
      <c r="BP999" s="17" t="s">
        <v>3830</v>
      </c>
      <c r="BR999" s="24" t="str">
        <f t="shared" si="1"/>
        <v>andra ruchulu </v>
      </c>
    </row>
    <row r="1000" ht="22.5" customHeight="1">
      <c r="A1000" s="14">
        <v>46077.98186835648</v>
      </c>
      <c r="B1000" s="15">
        <v>46077.0</v>
      </c>
      <c r="C1000" s="16">
        <v>0.53125</v>
      </c>
      <c r="U1000" s="17" t="s">
        <v>3831</v>
      </c>
      <c r="V1000" s="17">
        <v>9.346411788E9</v>
      </c>
      <c r="W1000" s="17" t="s">
        <v>117</v>
      </c>
      <c r="AA1000" s="17" t="s">
        <v>109</v>
      </c>
      <c r="AT1000" s="17" t="s">
        <v>3832</v>
      </c>
      <c r="AU1000" s="17" t="s">
        <v>76</v>
      </c>
      <c r="AV1000" s="17" t="s">
        <v>472</v>
      </c>
      <c r="AX1000" s="15">
        <v>46078.0</v>
      </c>
      <c r="AY1000" s="16">
        <v>0.20833333333575865</v>
      </c>
      <c r="AZ1000" s="17" t="s">
        <v>164</v>
      </c>
      <c r="BA1000" s="17" t="s">
        <v>458</v>
      </c>
      <c r="BB1000" s="17" t="s">
        <v>109</v>
      </c>
      <c r="BP1000" s="17" t="s">
        <v>3833</v>
      </c>
      <c r="BR1000" s="24" t="str">
        <f t="shared" si="1"/>
        <v>biryani adda </v>
      </c>
    </row>
    <row r="1001" ht="22.5" customHeight="1">
      <c r="A1001" s="14">
        <v>46077.99219425926</v>
      </c>
      <c r="B1001" s="15">
        <v>46077.0</v>
      </c>
      <c r="C1001" s="16">
        <v>0.0625</v>
      </c>
      <c r="D1001" s="17" t="s">
        <v>111</v>
      </c>
      <c r="T1001" s="17" t="s">
        <v>3834</v>
      </c>
      <c r="U1001" s="17" t="s">
        <v>3438</v>
      </c>
      <c r="V1001" s="17" t="s">
        <v>117</v>
      </c>
      <c r="W1001" s="17" t="s">
        <v>117</v>
      </c>
      <c r="AA1001" s="17" t="s">
        <v>109</v>
      </c>
      <c r="AT1001" s="17" t="s">
        <v>3835</v>
      </c>
      <c r="AU1001" s="17" t="s">
        <v>76</v>
      </c>
      <c r="AV1001" s="17" t="s">
        <v>472</v>
      </c>
      <c r="AW1001" s="17" t="s">
        <v>3836</v>
      </c>
      <c r="AX1001" s="15">
        <v>46078.0</v>
      </c>
      <c r="AY1001" s="16">
        <v>0.11458333333575865</v>
      </c>
      <c r="AZ1001" s="17" t="s">
        <v>164</v>
      </c>
      <c r="BA1001" s="17" t="s">
        <v>458</v>
      </c>
      <c r="BB1001" s="17" t="s">
        <v>76</v>
      </c>
      <c r="BP1001" s="17" t="s">
        <v>3837</v>
      </c>
      <c r="BR1001" s="24" t="str">
        <f t="shared" si="1"/>
        <v>A1 hotel A1 HOTEL</v>
      </c>
    </row>
    <row r="1002" ht="22.5" customHeight="1">
      <c r="A1002" s="14">
        <v>46077.996467627316</v>
      </c>
      <c r="B1002" s="15">
        <v>46077.0</v>
      </c>
      <c r="C1002" s="16">
        <v>0.5729166666642413</v>
      </c>
      <c r="U1002" s="17" t="s">
        <v>3838</v>
      </c>
      <c r="V1002" s="17">
        <v>9.393316686E9</v>
      </c>
      <c r="W1002" s="17" t="s">
        <v>117</v>
      </c>
      <c r="AA1002" s="17" t="s">
        <v>109</v>
      </c>
      <c r="AT1002" s="17" t="s">
        <v>3839</v>
      </c>
      <c r="AU1002" s="17" t="s">
        <v>76</v>
      </c>
      <c r="AV1002" s="17" t="s">
        <v>472</v>
      </c>
      <c r="AW1002" s="17" t="s">
        <v>3840</v>
      </c>
      <c r="AX1002" s="15">
        <v>46078.0</v>
      </c>
      <c r="AY1002" s="16">
        <v>0.53125</v>
      </c>
      <c r="AZ1002" s="17" t="s">
        <v>164</v>
      </c>
      <c r="BA1002" s="17" t="s">
        <v>458</v>
      </c>
      <c r="BB1002" s="17" t="s">
        <v>109</v>
      </c>
      <c r="BP1002" s="17" t="s">
        <v>3841</v>
      </c>
      <c r="BR1002" s="24" t="str">
        <f t="shared" si="1"/>
        <v>al bawadi </v>
      </c>
    </row>
    <row r="1003" ht="22.5" customHeight="1">
      <c r="A1003" s="14">
        <v>46078.001942731484</v>
      </c>
      <c r="B1003" s="15">
        <v>46077.0</v>
      </c>
      <c r="C1003" s="16">
        <v>0.625</v>
      </c>
      <c r="U1003" s="17" t="s">
        <v>3452</v>
      </c>
      <c r="V1003" s="17">
        <v>9.160602449E9</v>
      </c>
      <c r="W1003" s="17" t="s">
        <v>117</v>
      </c>
      <c r="AA1003" s="17" t="s">
        <v>109</v>
      </c>
      <c r="AT1003" s="17" t="s">
        <v>3842</v>
      </c>
      <c r="AU1003" s="17" t="s">
        <v>76</v>
      </c>
      <c r="AV1003" s="17" t="s">
        <v>472</v>
      </c>
      <c r="AX1003" s="15">
        <v>46080.0</v>
      </c>
      <c r="AY1003" s="16">
        <v>0.625</v>
      </c>
      <c r="AZ1003" s="17" t="s">
        <v>164</v>
      </c>
      <c r="BA1003" s="17" t="s">
        <v>458</v>
      </c>
      <c r="BB1003" s="17" t="s">
        <v>109</v>
      </c>
      <c r="BP1003" s="17" t="s">
        <v>3453</v>
      </c>
      <c r="BR1003" s="24" t="str">
        <f t="shared" si="1"/>
        <v>shurfa  mandi </v>
      </c>
    </row>
    <row r="1004" ht="22.5" customHeight="1">
      <c r="A1004" s="14">
        <v>46078.00429138889</v>
      </c>
      <c r="B1004" s="15">
        <v>46077.0</v>
      </c>
      <c r="C1004" s="16">
        <v>0.6979166666642413</v>
      </c>
      <c r="D1004" s="17" t="s">
        <v>111</v>
      </c>
      <c r="T1004" s="17" t="s">
        <v>3843</v>
      </c>
      <c r="U1004" s="17" t="s">
        <v>3844</v>
      </c>
      <c r="V1004" s="17">
        <v>9.502247618E9</v>
      </c>
      <c r="W1004" s="17" t="s">
        <v>117</v>
      </c>
      <c r="AA1004" s="17" t="s">
        <v>109</v>
      </c>
      <c r="AT1004" s="17" t="s">
        <v>3845</v>
      </c>
      <c r="AU1004" s="17" t="s">
        <v>76</v>
      </c>
      <c r="AV1004" s="17" t="s">
        <v>88</v>
      </c>
      <c r="AW1004" s="17" t="s">
        <v>3456</v>
      </c>
      <c r="AX1004" s="15">
        <v>46078.0</v>
      </c>
      <c r="AY1004" s="16">
        <v>0.6458333333357587</v>
      </c>
      <c r="AZ1004" s="17" t="s">
        <v>164</v>
      </c>
      <c r="BA1004" s="17" t="s">
        <v>458</v>
      </c>
      <c r="BB1004" s="17" t="s">
        <v>76</v>
      </c>
      <c r="BP1004" s="17" t="s">
        <v>3843</v>
      </c>
      <c r="BR1004" s="24" t="str">
        <f t="shared" si="1"/>
        <v>Yum yum tree Yum yum tree </v>
      </c>
    </row>
    <row r="1005" ht="22.5" customHeight="1">
      <c r="A1005" s="14">
        <v>46078.00727869213</v>
      </c>
      <c r="B1005" s="15">
        <v>46077.0</v>
      </c>
      <c r="C1005" s="16">
        <v>0.7916666666642413</v>
      </c>
      <c r="D1005" s="17" t="s">
        <v>91</v>
      </c>
      <c r="F1005" s="17">
        <v>40.0</v>
      </c>
      <c r="G1005" s="17">
        <v>300.0</v>
      </c>
      <c r="H1005" s="17" t="s">
        <v>755</v>
      </c>
      <c r="I1005" s="17">
        <v>15000.0</v>
      </c>
      <c r="J1005" s="17" t="s">
        <v>94</v>
      </c>
      <c r="K1005" s="17" t="s">
        <v>134</v>
      </c>
      <c r="M1005" s="17">
        <v>22.0</v>
      </c>
      <c r="N1005" s="17">
        <v>1.0</v>
      </c>
      <c r="O1005" s="17" t="s">
        <v>371</v>
      </c>
      <c r="P1005" s="17" t="s">
        <v>109</v>
      </c>
      <c r="Q1005" s="17" t="s">
        <v>97</v>
      </c>
      <c r="R1005" s="17" t="s">
        <v>76</v>
      </c>
      <c r="S1005" s="18" t="s">
        <v>3846</v>
      </c>
      <c r="U1005" s="17" t="s">
        <v>1723</v>
      </c>
      <c r="V1005" s="17">
        <v>8.919193385E9</v>
      </c>
      <c r="W1005" s="17" t="s">
        <v>117</v>
      </c>
      <c r="AA1005" s="17" t="s">
        <v>109</v>
      </c>
      <c r="AT1005" s="17" t="s">
        <v>193</v>
      </c>
      <c r="AU1005" s="17" t="s">
        <v>76</v>
      </c>
      <c r="AV1005" s="17" t="s">
        <v>88</v>
      </c>
      <c r="AX1005" s="15">
        <v>46080.0</v>
      </c>
      <c r="AY1005" s="16">
        <v>0.20486111110949423</v>
      </c>
      <c r="AZ1005" s="17" t="s">
        <v>164</v>
      </c>
      <c r="BA1005" s="17" t="s">
        <v>458</v>
      </c>
      <c r="BB1005" s="17" t="s">
        <v>76</v>
      </c>
      <c r="BL1005" s="17">
        <v>50.0</v>
      </c>
      <c r="BN1005" s="17" t="s">
        <v>2707</v>
      </c>
      <c r="BP1005" s="17" t="s">
        <v>3806</v>
      </c>
      <c r="BR1005" s="24" t="str">
        <f t="shared" si="1"/>
        <v>nawabi cafeteria </v>
      </c>
    </row>
    <row r="1006" ht="22.5" customHeight="1">
      <c r="A1006" s="14">
        <v>46078.32565293981</v>
      </c>
      <c r="B1006" s="15">
        <v>46077.0</v>
      </c>
      <c r="C1006" s="16">
        <v>0.6333333333313931</v>
      </c>
      <c r="U1006" s="17" t="s">
        <v>3847</v>
      </c>
      <c r="V1006" s="17">
        <v>7.660939863E9</v>
      </c>
      <c r="W1006" s="17" t="s">
        <v>113</v>
      </c>
      <c r="AA1006" s="17" t="s">
        <v>109</v>
      </c>
      <c r="AT1006" s="17" t="s">
        <v>3848</v>
      </c>
      <c r="AU1006" s="17" t="s">
        <v>76</v>
      </c>
      <c r="AV1006" s="17" t="s">
        <v>271</v>
      </c>
      <c r="AZ1006" s="17" t="s">
        <v>3034</v>
      </c>
      <c r="BA1006" s="17" t="s">
        <v>458</v>
      </c>
      <c r="BB1006" s="17" t="s">
        <v>109</v>
      </c>
      <c r="BP1006" s="17" t="s">
        <v>3849</v>
      </c>
      <c r="BR1006" s="24" t="str">
        <f t="shared" si="1"/>
        <v>Nine Waves Restaurant</v>
      </c>
    </row>
    <row r="1007" ht="22.5" customHeight="1">
      <c r="A1007" s="14">
        <v>46078.32711023148</v>
      </c>
      <c r="B1007" s="15">
        <v>46077.0</v>
      </c>
      <c r="C1007" s="16">
        <v>0.16666666666424135</v>
      </c>
      <c r="U1007" s="17" t="s">
        <v>3850</v>
      </c>
      <c r="V1007" s="17">
        <v>7.981113402E9</v>
      </c>
      <c r="W1007" s="17" t="s">
        <v>113</v>
      </c>
      <c r="AA1007" s="17" t="s">
        <v>109</v>
      </c>
      <c r="AT1007" s="17" t="s">
        <v>3851</v>
      </c>
      <c r="AU1007" s="17" t="s">
        <v>76</v>
      </c>
      <c r="AV1007" s="17" t="s">
        <v>271</v>
      </c>
      <c r="AZ1007" s="17" t="s">
        <v>3034</v>
      </c>
      <c r="BA1007" s="17" t="s">
        <v>458</v>
      </c>
      <c r="BB1007" s="17" t="s">
        <v>109</v>
      </c>
      <c r="BP1007" s="17" t="s">
        <v>3852</v>
      </c>
      <c r="BR1007" s="24" t="str">
        <f t="shared" si="1"/>
        <v>Saba - E - Kitchen</v>
      </c>
    </row>
    <row r="1008" ht="22.5" customHeight="1">
      <c r="A1008" s="14">
        <v>46078.32812921296</v>
      </c>
      <c r="B1008" s="15">
        <v>46077.0</v>
      </c>
      <c r="C1008" s="16">
        <v>0.17708333333575865</v>
      </c>
      <c r="U1008" s="17" t="s">
        <v>3850</v>
      </c>
      <c r="V1008" s="17">
        <v>7.981113402E9</v>
      </c>
      <c r="W1008" s="17" t="s">
        <v>113</v>
      </c>
      <c r="AA1008" s="17" t="s">
        <v>109</v>
      </c>
      <c r="AT1008" s="17" t="s">
        <v>3851</v>
      </c>
      <c r="AU1008" s="17" t="s">
        <v>76</v>
      </c>
      <c r="AV1008" s="17" t="s">
        <v>271</v>
      </c>
      <c r="AZ1008" s="17" t="s">
        <v>3034</v>
      </c>
      <c r="BA1008" s="17" t="s">
        <v>458</v>
      </c>
      <c r="BB1008" s="17" t="s">
        <v>109</v>
      </c>
      <c r="BP1008" s="17" t="s">
        <v>3853</v>
      </c>
      <c r="BR1008" s="24" t="str">
        <f t="shared" si="1"/>
        <v>Parota House</v>
      </c>
    </row>
    <row r="1009" ht="22.5" customHeight="1">
      <c r="A1009" s="14">
        <v>46078.329957106485</v>
      </c>
      <c r="B1009" s="15">
        <v>46077.0</v>
      </c>
      <c r="C1009" s="16">
        <v>0.15625</v>
      </c>
      <c r="U1009" s="17" t="s">
        <v>3854</v>
      </c>
      <c r="V1009" s="17">
        <v>9.000373041E9</v>
      </c>
      <c r="W1009" s="17" t="s">
        <v>113</v>
      </c>
      <c r="AA1009" s="17" t="s">
        <v>109</v>
      </c>
      <c r="AT1009" s="17" t="s">
        <v>3855</v>
      </c>
      <c r="AU1009" s="17" t="s">
        <v>76</v>
      </c>
      <c r="AV1009" s="17" t="s">
        <v>271</v>
      </c>
      <c r="AZ1009" s="17" t="s">
        <v>3034</v>
      </c>
      <c r="BA1009" s="17" t="s">
        <v>458</v>
      </c>
      <c r="BB1009" s="17" t="s">
        <v>109</v>
      </c>
      <c r="BP1009" s="17" t="s">
        <v>3856</v>
      </c>
      <c r="BR1009" s="24" t="str">
        <f t="shared" si="1"/>
        <v>Taaza Tiffins</v>
      </c>
    </row>
    <row r="1010" ht="22.5" customHeight="1">
      <c r="A1010" s="14">
        <v>46078.42265827546</v>
      </c>
      <c r="B1010" s="15">
        <v>46076.0</v>
      </c>
      <c r="C1010" s="16">
        <v>0.5972222222189885</v>
      </c>
      <c r="U1010" s="17" t="s">
        <v>239</v>
      </c>
      <c r="V1010" s="17">
        <v>9.700116661E9</v>
      </c>
      <c r="W1010" s="17" t="s">
        <v>117</v>
      </c>
      <c r="AA1010" s="17" t="s">
        <v>109</v>
      </c>
      <c r="AT1010" s="17" t="s">
        <v>755</v>
      </c>
      <c r="AU1010" s="17" t="s">
        <v>109</v>
      </c>
      <c r="AZ1010" s="17" t="s">
        <v>182</v>
      </c>
      <c r="BA1010" s="17" t="s">
        <v>458</v>
      </c>
      <c r="BB1010" s="17" t="s">
        <v>109</v>
      </c>
      <c r="BP1010" s="17" t="s">
        <v>3857</v>
      </c>
      <c r="BR1010" s="24" t="str">
        <f t="shared" si="1"/>
        <v>SV food court</v>
      </c>
    </row>
    <row r="1011" ht="22.5" customHeight="1">
      <c r="A1011" s="14">
        <v>46078.424796875</v>
      </c>
      <c r="B1011" s="15">
        <v>46076.0</v>
      </c>
      <c r="C1011" s="16">
        <v>0.625</v>
      </c>
      <c r="U1011" s="17" t="s">
        <v>3858</v>
      </c>
      <c r="V1011" s="17">
        <v>8.297740515E9</v>
      </c>
      <c r="W1011" s="17" t="s">
        <v>117</v>
      </c>
      <c r="AA1011" s="17" t="s">
        <v>109</v>
      </c>
      <c r="AT1011" s="17" t="s">
        <v>3859</v>
      </c>
      <c r="AU1011" s="17" t="s">
        <v>76</v>
      </c>
      <c r="AZ1011" s="17" t="s">
        <v>182</v>
      </c>
      <c r="BA1011" s="17" t="s">
        <v>458</v>
      </c>
      <c r="BB1011" s="17" t="s">
        <v>109</v>
      </c>
      <c r="BP1011" s="17" t="s">
        <v>3860</v>
      </c>
      <c r="BR1011" s="24" t="str">
        <f t="shared" si="1"/>
        <v>Klinkaara Restaurant</v>
      </c>
    </row>
    <row r="1012" ht="22.5" customHeight="1">
      <c r="A1012" s="14">
        <v>46078.430987789354</v>
      </c>
      <c r="B1012" s="15">
        <v>46076.0</v>
      </c>
      <c r="C1012" s="16">
        <v>0.6270833333328483</v>
      </c>
      <c r="D1012" s="17" t="s">
        <v>91</v>
      </c>
      <c r="F1012" s="17">
        <v>1.0</v>
      </c>
      <c r="G1012" s="17">
        <v>150.0</v>
      </c>
      <c r="H1012" s="17" t="s">
        <v>117</v>
      </c>
      <c r="J1012" s="17" t="s">
        <v>221</v>
      </c>
      <c r="K1012" s="17" t="s">
        <v>134</v>
      </c>
      <c r="N1012" s="17">
        <v>4.0</v>
      </c>
      <c r="O1012" s="17" t="s">
        <v>135</v>
      </c>
      <c r="P1012" s="17" t="s">
        <v>76</v>
      </c>
      <c r="Q1012" s="17" t="s">
        <v>97</v>
      </c>
      <c r="R1012" s="17" t="s">
        <v>76</v>
      </c>
      <c r="S1012" s="17" t="s">
        <v>3861</v>
      </c>
      <c r="U1012" s="17" t="s">
        <v>3862</v>
      </c>
      <c r="V1012" s="17">
        <v>8.347797111E9</v>
      </c>
      <c r="W1012" s="17" t="s">
        <v>113</v>
      </c>
      <c r="AA1012" s="17" t="s">
        <v>109</v>
      </c>
      <c r="AT1012" s="17" t="s">
        <v>651</v>
      </c>
      <c r="AU1012" s="17" t="s">
        <v>76</v>
      </c>
      <c r="AV1012" s="17" t="s">
        <v>271</v>
      </c>
      <c r="AZ1012" s="17" t="s">
        <v>182</v>
      </c>
      <c r="BA1012" s="17" t="s">
        <v>458</v>
      </c>
      <c r="BB1012" s="17" t="s">
        <v>76</v>
      </c>
      <c r="BN1012" s="17">
        <v>1.0</v>
      </c>
      <c r="BP1012" s="17" t="s">
        <v>3863</v>
      </c>
      <c r="BR1012" s="24" t="str">
        <f t="shared" si="1"/>
        <v>Bombay juice</v>
      </c>
    </row>
    <row r="1013" ht="22.5" customHeight="1">
      <c r="A1013" s="14">
        <v>46078.5093597338</v>
      </c>
      <c r="B1013" s="15">
        <v>46078.0</v>
      </c>
      <c r="C1013" s="16">
        <v>0.5083333333313931</v>
      </c>
      <c r="U1013" s="17" t="s">
        <v>2092</v>
      </c>
      <c r="V1013" s="17">
        <v>9.06467356E9</v>
      </c>
      <c r="W1013" s="17" t="s">
        <v>388</v>
      </c>
      <c r="AA1013" s="17" t="s">
        <v>109</v>
      </c>
      <c r="AT1013" s="17" t="s">
        <v>3864</v>
      </c>
      <c r="AU1013" s="17" t="s">
        <v>76</v>
      </c>
      <c r="AV1013" s="17" t="s">
        <v>472</v>
      </c>
      <c r="AZ1013" s="17" t="s">
        <v>1910</v>
      </c>
      <c r="BA1013" s="17" t="s">
        <v>458</v>
      </c>
      <c r="BB1013" s="17" t="s">
        <v>109</v>
      </c>
      <c r="BP1013" s="17" t="s">
        <v>3865</v>
      </c>
      <c r="BR1013" s="24" t="str">
        <f t="shared" si="1"/>
        <v>Arabian Mandi Banjara</v>
      </c>
    </row>
    <row r="1014" ht="22.5" customHeight="1">
      <c r="A1014" s="14">
        <v>46078.52874136574</v>
      </c>
      <c r="B1014" s="15">
        <v>46078.0</v>
      </c>
      <c r="C1014" s="16">
        <v>0.5243055555547471</v>
      </c>
      <c r="D1014" s="17" t="s">
        <v>91</v>
      </c>
      <c r="F1014" s="17">
        <v>120.0</v>
      </c>
      <c r="G1014" s="17">
        <v>600.0</v>
      </c>
      <c r="H1014" s="17" t="s">
        <v>388</v>
      </c>
      <c r="J1014" s="17" t="s">
        <v>167</v>
      </c>
      <c r="K1014" s="17" t="s">
        <v>134</v>
      </c>
      <c r="N1014" s="17">
        <v>1.0</v>
      </c>
      <c r="O1014" s="17" t="s">
        <v>96</v>
      </c>
      <c r="P1014" s="17" t="s">
        <v>76</v>
      </c>
      <c r="Q1014" s="17" t="s">
        <v>97</v>
      </c>
      <c r="R1014" s="17" t="s">
        <v>98</v>
      </c>
      <c r="S1014" s="18" t="s">
        <v>3866</v>
      </c>
      <c r="U1014" s="17" t="s">
        <v>3867</v>
      </c>
      <c r="V1014" s="17">
        <v>8.247031311E9</v>
      </c>
      <c r="W1014" s="17" t="s">
        <v>3868</v>
      </c>
      <c r="AA1014" s="17" t="s">
        <v>109</v>
      </c>
      <c r="AT1014" s="17" t="s">
        <v>3869</v>
      </c>
      <c r="AU1014" s="17" t="s">
        <v>76</v>
      </c>
      <c r="AV1014" s="17" t="s">
        <v>373</v>
      </c>
      <c r="AZ1014" s="17" t="s">
        <v>1910</v>
      </c>
      <c r="BA1014" s="17" t="s">
        <v>458</v>
      </c>
      <c r="BB1014" s="17" t="s">
        <v>76</v>
      </c>
      <c r="BN1014" s="17" t="s">
        <v>3870</v>
      </c>
      <c r="BP1014" s="17" t="s">
        <v>3871</v>
      </c>
      <c r="BR1014" s="24" t="str">
        <f t="shared" si="1"/>
        <v>Golden Pavillion </v>
      </c>
    </row>
    <row r="1015" ht="22.5" customHeight="1">
      <c r="A1015" s="14">
        <v>46078.54013944445</v>
      </c>
      <c r="B1015" s="15">
        <v>46077.0</v>
      </c>
      <c r="C1015" s="16">
        <v>0.609027777776646</v>
      </c>
      <c r="D1015" s="17" t="s">
        <v>91</v>
      </c>
      <c r="F1015" s="17">
        <v>80.0</v>
      </c>
      <c r="G1015" s="17">
        <v>600.0</v>
      </c>
      <c r="H1015" s="17" t="s">
        <v>117</v>
      </c>
      <c r="J1015" s="17" t="s">
        <v>167</v>
      </c>
      <c r="K1015" s="17" t="s">
        <v>134</v>
      </c>
      <c r="N1015" s="17">
        <v>17.0</v>
      </c>
      <c r="O1015" s="17" t="s">
        <v>371</v>
      </c>
      <c r="P1015" s="17" t="s">
        <v>76</v>
      </c>
      <c r="Q1015" s="17" t="s">
        <v>97</v>
      </c>
      <c r="R1015" s="17" t="s">
        <v>76</v>
      </c>
      <c r="S1015" s="17" t="s">
        <v>664</v>
      </c>
      <c r="U1015" s="17" t="s">
        <v>3872</v>
      </c>
      <c r="V1015" s="17">
        <v>9.66622946E9</v>
      </c>
      <c r="W1015" s="17" t="s">
        <v>3873</v>
      </c>
      <c r="AA1015" s="17" t="s">
        <v>109</v>
      </c>
      <c r="AT1015" s="17" t="s">
        <v>3874</v>
      </c>
      <c r="AU1015" s="17" t="s">
        <v>76</v>
      </c>
      <c r="AV1015" s="17" t="s">
        <v>472</v>
      </c>
      <c r="AZ1015" s="17" t="s">
        <v>1607</v>
      </c>
      <c r="BA1015" s="17" t="s">
        <v>458</v>
      </c>
      <c r="BB1015" s="17" t="s">
        <v>76</v>
      </c>
      <c r="BN1015" s="17" t="s">
        <v>3875</v>
      </c>
      <c r="BP1015" s="17" t="s">
        <v>3875</v>
      </c>
      <c r="BR1015" s="24" t="str">
        <f t="shared" si="1"/>
        <v>Paradise Food Court</v>
      </c>
    </row>
    <row r="1016" ht="22.5" customHeight="1">
      <c r="A1016" s="14">
        <v>46078.56540119213</v>
      </c>
      <c r="B1016" s="15">
        <v>46078.0</v>
      </c>
      <c r="C1016" s="16">
        <v>0.5208333333357587</v>
      </c>
      <c r="D1016" s="17" t="s">
        <v>111</v>
      </c>
      <c r="T1016" s="17" t="s">
        <v>3876</v>
      </c>
      <c r="U1016" s="17" t="s">
        <v>3877</v>
      </c>
      <c r="V1016" s="17" t="s">
        <v>3878</v>
      </c>
      <c r="W1016" s="17" t="s">
        <v>3879</v>
      </c>
      <c r="AA1016" s="17" t="s">
        <v>109</v>
      </c>
      <c r="AT1016" s="17" t="s">
        <v>3880</v>
      </c>
      <c r="AU1016" s="17" t="s">
        <v>76</v>
      </c>
      <c r="AV1016" s="17" t="s">
        <v>373</v>
      </c>
      <c r="AZ1016" s="17" t="s">
        <v>1607</v>
      </c>
      <c r="BA1016" s="17" t="s">
        <v>491</v>
      </c>
      <c r="BP1016" s="17" t="s">
        <v>3876</v>
      </c>
      <c r="BR1016" s="24" t="str">
        <f t="shared" si="1"/>
        <v>Absolute Barbeque Absolute Barbeque </v>
      </c>
    </row>
    <row r="1017" ht="22.5" customHeight="1">
      <c r="A1017" s="14">
        <v>46078.57885935185</v>
      </c>
      <c r="B1017" s="15">
        <v>46078.0</v>
      </c>
      <c r="C1017" s="16">
        <v>0.04166666666424135</v>
      </c>
      <c r="U1017" s="17" t="s">
        <v>3881</v>
      </c>
      <c r="V1017" s="17">
        <v>9.246824449E9</v>
      </c>
      <c r="W1017" s="17" t="s">
        <v>388</v>
      </c>
      <c r="AA1017" s="17" t="s">
        <v>109</v>
      </c>
      <c r="AT1017" s="17" t="s">
        <v>3882</v>
      </c>
      <c r="AU1017" s="17" t="s">
        <v>76</v>
      </c>
      <c r="AV1017" s="17" t="s">
        <v>472</v>
      </c>
      <c r="AZ1017" s="17" t="s">
        <v>1910</v>
      </c>
      <c r="BA1017" s="17" t="s">
        <v>458</v>
      </c>
      <c r="BB1017" s="17" t="s">
        <v>109</v>
      </c>
      <c r="BP1017" s="17" t="s">
        <v>3883</v>
      </c>
      <c r="BR1017" s="24" t="str">
        <f t="shared" si="1"/>
        <v>Sreeja Home food</v>
      </c>
    </row>
    <row r="1018" ht="22.5" customHeight="1">
      <c r="A1018" s="14">
        <v>46078.585044618056</v>
      </c>
      <c r="B1018" s="15">
        <v>46078.0</v>
      </c>
      <c r="C1018" s="16">
        <v>0.5763888888905058</v>
      </c>
      <c r="D1018" s="17" t="s">
        <v>91</v>
      </c>
      <c r="F1018" s="17">
        <v>10.0</v>
      </c>
      <c r="G1018" s="17">
        <v>400.0</v>
      </c>
      <c r="H1018" s="17" t="s">
        <v>291</v>
      </c>
      <c r="J1018" s="17" t="s">
        <v>94</v>
      </c>
      <c r="K1018" s="17" t="s">
        <v>134</v>
      </c>
      <c r="N1018" s="17">
        <v>1.0</v>
      </c>
      <c r="O1018" s="17" t="s">
        <v>371</v>
      </c>
      <c r="P1018" s="17" t="s">
        <v>76</v>
      </c>
      <c r="Q1018" s="17" t="s">
        <v>97</v>
      </c>
      <c r="R1018" s="17" t="s">
        <v>76</v>
      </c>
      <c r="S1018" s="17" t="s">
        <v>3884</v>
      </c>
      <c r="U1018" s="17" t="s">
        <v>3519</v>
      </c>
      <c r="V1018" s="17" t="s">
        <v>1598</v>
      </c>
      <c r="W1018" s="17" t="s">
        <v>117</v>
      </c>
      <c r="AA1018" s="17" t="s">
        <v>109</v>
      </c>
      <c r="AT1018" s="17" t="s">
        <v>3885</v>
      </c>
      <c r="AU1018" s="17" t="s">
        <v>76</v>
      </c>
      <c r="AV1018" s="17" t="s">
        <v>472</v>
      </c>
      <c r="AX1018" s="15">
        <v>46083.0</v>
      </c>
      <c r="AY1018" s="16">
        <v>0.5</v>
      </c>
      <c r="AZ1018" s="17" t="s">
        <v>1607</v>
      </c>
      <c r="BA1018" s="17" t="s">
        <v>491</v>
      </c>
      <c r="BN1018" s="17" t="s">
        <v>1595</v>
      </c>
      <c r="BP1018" s="17" t="s">
        <v>1595</v>
      </c>
      <c r="BR1018" s="24" t="str">
        <f t="shared" si="1"/>
        <v> Aha Dakshin</v>
      </c>
    </row>
    <row r="1019" ht="22.5" customHeight="1">
      <c r="A1019" s="14">
        <v>46078.59541333333</v>
      </c>
      <c r="B1019" s="15">
        <v>46078.0</v>
      </c>
      <c r="C1019" s="16">
        <v>0.5902777777810115</v>
      </c>
      <c r="D1019" s="17" t="s">
        <v>111</v>
      </c>
      <c r="T1019" s="17" t="s">
        <v>1601</v>
      </c>
      <c r="U1019" s="17" t="s">
        <v>1604</v>
      </c>
      <c r="V1019" s="17" t="s">
        <v>1605</v>
      </c>
      <c r="W1019" s="17" t="s">
        <v>3886</v>
      </c>
      <c r="X1019" s="17" t="s">
        <v>3887</v>
      </c>
      <c r="Z1019" s="17" t="s">
        <v>3888</v>
      </c>
      <c r="AA1019" s="17" t="s">
        <v>109</v>
      </c>
      <c r="AT1019" s="17" t="s">
        <v>3889</v>
      </c>
      <c r="AU1019" s="17" t="s">
        <v>76</v>
      </c>
      <c r="AV1019" s="17" t="s">
        <v>271</v>
      </c>
      <c r="AW1019" s="17" t="s">
        <v>3890</v>
      </c>
      <c r="AX1019" s="15">
        <v>46079.0</v>
      </c>
      <c r="AZ1019" s="17" t="s">
        <v>1607</v>
      </c>
      <c r="BA1019" s="17" t="s">
        <v>491</v>
      </c>
      <c r="BP1019" s="17" t="s">
        <v>1601</v>
      </c>
      <c r="BR1019" s="24" t="str">
        <f t="shared" si="1"/>
        <v>Burger KingBurger King</v>
      </c>
    </row>
    <row r="1020" ht="22.5" customHeight="1">
      <c r="A1020" s="14">
        <v>46078.61063550926</v>
      </c>
      <c r="B1020" s="15">
        <v>46078.0</v>
      </c>
      <c r="C1020" s="16">
        <v>0.0625</v>
      </c>
      <c r="U1020" s="17" t="s">
        <v>3891</v>
      </c>
      <c r="V1020" s="17">
        <v>9.103239869E9</v>
      </c>
      <c r="W1020" s="17" t="s">
        <v>388</v>
      </c>
      <c r="AA1020" s="17" t="s">
        <v>109</v>
      </c>
      <c r="AT1020" s="17" t="s">
        <v>3189</v>
      </c>
      <c r="AU1020" s="17" t="s">
        <v>76</v>
      </c>
      <c r="AV1020" s="17" t="s">
        <v>472</v>
      </c>
      <c r="AZ1020" s="17" t="s">
        <v>1910</v>
      </c>
      <c r="BA1020" s="17" t="s">
        <v>458</v>
      </c>
      <c r="BB1020" s="17" t="s">
        <v>109</v>
      </c>
      <c r="BP1020" s="17" t="s">
        <v>3892</v>
      </c>
      <c r="BR1020" s="24" t="str">
        <f t="shared" si="1"/>
        <v>Wool cup</v>
      </c>
    </row>
    <row r="1021" ht="22.5" customHeight="1">
      <c r="A1021" s="14">
        <v>46078.712601990745</v>
      </c>
      <c r="B1021" s="15">
        <v>46078.0</v>
      </c>
      <c r="C1021" s="16">
        <v>0.10416666666424135</v>
      </c>
      <c r="U1021" s="17" t="s">
        <v>2546</v>
      </c>
      <c r="V1021" s="17" t="s">
        <v>2546</v>
      </c>
      <c r="W1021" s="17" t="s">
        <v>117</v>
      </c>
      <c r="AA1021" s="17" t="s">
        <v>109</v>
      </c>
      <c r="AT1021" s="17" t="s">
        <v>3893</v>
      </c>
      <c r="AU1021" s="17" t="s">
        <v>76</v>
      </c>
      <c r="AZ1021" s="17" t="s">
        <v>1910</v>
      </c>
      <c r="BA1021" s="17" t="s">
        <v>458</v>
      </c>
      <c r="BB1021" s="17" t="s">
        <v>109</v>
      </c>
      <c r="BP1021" s="17" t="s">
        <v>3894</v>
      </c>
      <c r="BR1021" s="24" t="str">
        <f t="shared" si="1"/>
        <v>Sabha</v>
      </c>
    </row>
    <row r="1022" ht="22.5" customHeight="1">
      <c r="A1022" s="14">
        <v>46078.71510094908</v>
      </c>
      <c r="B1022" s="15">
        <v>46078.0</v>
      </c>
      <c r="C1022" s="16">
        <v>0.7083333333357587</v>
      </c>
      <c r="U1022" s="17" t="s">
        <v>3895</v>
      </c>
      <c r="V1022" s="17" t="s">
        <v>117</v>
      </c>
      <c r="W1022" s="17" t="s">
        <v>3896</v>
      </c>
      <c r="AA1022" s="17" t="s">
        <v>109</v>
      </c>
      <c r="AT1022" s="17" t="s">
        <v>3897</v>
      </c>
      <c r="AU1022" s="17" t="s">
        <v>76</v>
      </c>
      <c r="AV1022" s="17" t="s">
        <v>472</v>
      </c>
      <c r="AW1022" s="17" t="s">
        <v>2213</v>
      </c>
      <c r="AZ1022" s="17" t="s">
        <v>1607</v>
      </c>
      <c r="BA1022" s="17" t="s">
        <v>458</v>
      </c>
      <c r="BB1022" s="17" t="s">
        <v>109</v>
      </c>
      <c r="BP1022" s="17" t="s">
        <v>3898</v>
      </c>
      <c r="BR1022" s="24" t="str">
        <f t="shared" si="1"/>
        <v>ITC Kakatiya</v>
      </c>
    </row>
    <row r="1023" ht="22.5" customHeight="1">
      <c r="A1023" s="14">
        <v>46078.71832107639</v>
      </c>
      <c r="B1023" s="15">
        <v>46078.0</v>
      </c>
      <c r="C1023" s="16">
        <v>0.7013888888905058</v>
      </c>
      <c r="D1023" s="17" t="s">
        <v>111</v>
      </c>
      <c r="T1023" s="17" t="s">
        <v>1601</v>
      </c>
      <c r="U1023" s="17" t="s">
        <v>3887</v>
      </c>
      <c r="V1023" s="17" t="s">
        <v>3899</v>
      </c>
      <c r="W1023" s="17" t="s">
        <v>3900</v>
      </c>
      <c r="X1023" s="17" t="s">
        <v>1604</v>
      </c>
      <c r="Y1023" s="17">
        <v>8.123401137E9</v>
      </c>
      <c r="Z1023" s="17" t="s">
        <v>2197</v>
      </c>
      <c r="AA1023" s="17" t="s">
        <v>109</v>
      </c>
      <c r="AT1023" s="17" t="s">
        <v>3901</v>
      </c>
      <c r="AU1023" s="17" t="s">
        <v>76</v>
      </c>
      <c r="AV1023" s="17" t="s">
        <v>373</v>
      </c>
      <c r="AW1023" s="17" t="s">
        <v>3902</v>
      </c>
      <c r="AX1023" s="15">
        <v>46080.0</v>
      </c>
      <c r="AZ1023" s="17" t="s">
        <v>1607</v>
      </c>
      <c r="BA1023" s="17" t="s">
        <v>491</v>
      </c>
      <c r="BP1023" s="17" t="s">
        <v>1601</v>
      </c>
      <c r="BR1023" s="24" t="str">
        <f t="shared" si="1"/>
        <v>Burger KingBurger King</v>
      </c>
    </row>
    <row r="1024" ht="22.5" customHeight="1">
      <c r="A1024" s="14">
        <v>46078.71886125</v>
      </c>
      <c r="B1024" s="15">
        <v>46078.0</v>
      </c>
      <c r="C1024" s="16">
        <v>0.125</v>
      </c>
      <c r="D1024" s="17" t="s">
        <v>91</v>
      </c>
      <c r="F1024" s="17">
        <v>250.0</v>
      </c>
      <c r="G1024" s="17">
        <v>400.0</v>
      </c>
      <c r="H1024" s="17" t="s">
        <v>423</v>
      </c>
      <c r="J1024" s="17" t="s">
        <v>167</v>
      </c>
      <c r="K1024" s="17" t="s">
        <v>134</v>
      </c>
      <c r="N1024" s="17">
        <v>10.0</v>
      </c>
      <c r="O1024" s="17" t="s">
        <v>135</v>
      </c>
      <c r="P1024" s="17" t="s">
        <v>76</v>
      </c>
      <c r="Q1024" s="17" t="s">
        <v>97</v>
      </c>
      <c r="R1024" s="17" t="s">
        <v>98</v>
      </c>
      <c r="S1024" s="18" t="s">
        <v>3903</v>
      </c>
      <c r="U1024" s="17" t="s">
        <v>3904</v>
      </c>
      <c r="V1024" s="17" t="s">
        <v>117</v>
      </c>
      <c r="W1024" s="17" t="s">
        <v>3905</v>
      </c>
      <c r="X1024" s="17" t="s">
        <v>3906</v>
      </c>
      <c r="Y1024" s="17">
        <v>7.799678883E9</v>
      </c>
      <c r="Z1024" s="17" t="s">
        <v>3905</v>
      </c>
      <c r="AA1024" s="17" t="s">
        <v>109</v>
      </c>
      <c r="AT1024" s="17" t="s">
        <v>3907</v>
      </c>
      <c r="AU1024" s="17" t="s">
        <v>76</v>
      </c>
      <c r="AZ1024" s="17" t="s">
        <v>1910</v>
      </c>
      <c r="BA1024" s="17" t="s">
        <v>458</v>
      </c>
      <c r="BB1024" s="17" t="s">
        <v>76</v>
      </c>
      <c r="BL1024" s="17">
        <v>50.0</v>
      </c>
      <c r="BN1024" s="17" t="s">
        <v>1461</v>
      </c>
      <c r="BP1024" s="17" t="s">
        <v>3908</v>
      </c>
      <c r="BR1024" s="24" t="str">
        <f t="shared" si="1"/>
        <v>Kritunga</v>
      </c>
    </row>
    <row r="1025" ht="22.5" customHeight="1">
      <c r="A1025" s="14">
        <v>46078.720123506944</v>
      </c>
      <c r="B1025" s="15">
        <v>46078.0</v>
      </c>
      <c r="C1025" s="16">
        <v>0.16666666666424135</v>
      </c>
      <c r="U1025" s="17" t="s">
        <v>3909</v>
      </c>
      <c r="V1025" s="17">
        <v>9.915448817E9</v>
      </c>
      <c r="W1025" s="17" t="s">
        <v>113</v>
      </c>
      <c r="AA1025" s="17" t="s">
        <v>109</v>
      </c>
      <c r="AT1025" s="17" t="s">
        <v>3910</v>
      </c>
      <c r="AU1025" s="17" t="s">
        <v>76</v>
      </c>
      <c r="AZ1025" s="17" t="s">
        <v>1910</v>
      </c>
      <c r="BA1025" s="17" t="s">
        <v>458</v>
      </c>
      <c r="BB1025" s="17" t="s">
        <v>109</v>
      </c>
      <c r="BP1025" s="17" t="s">
        <v>3911</v>
      </c>
      <c r="BR1025" s="24" t="str">
        <f t="shared" si="1"/>
        <v>Roast </v>
      </c>
    </row>
    <row r="1026" ht="22.5" customHeight="1">
      <c r="A1026" s="14">
        <v>46078.72233158565</v>
      </c>
      <c r="B1026" s="15">
        <v>46078.0</v>
      </c>
      <c r="C1026" s="16">
        <v>0.7208333333328483</v>
      </c>
      <c r="U1026" s="17" t="s">
        <v>3912</v>
      </c>
      <c r="V1026" s="17" t="s">
        <v>3913</v>
      </c>
      <c r="W1026" s="17" t="s">
        <v>3914</v>
      </c>
      <c r="AA1026" s="17" t="s">
        <v>109</v>
      </c>
      <c r="AT1026" s="17" t="s">
        <v>3329</v>
      </c>
      <c r="AU1026" s="17" t="s">
        <v>76</v>
      </c>
      <c r="AV1026" s="17" t="s">
        <v>472</v>
      </c>
      <c r="AW1026" s="17" t="s">
        <v>3890</v>
      </c>
      <c r="AZ1026" s="17" t="s">
        <v>1607</v>
      </c>
      <c r="BA1026" s="17" t="s">
        <v>458</v>
      </c>
      <c r="BB1026" s="17" t="s">
        <v>109</v>
      </c>
      <c r="BP1026" s="17" t="s">
        <v>3915</v>
      </c>
      <c r="BR1026" s="24" t="str">
        <f t="shared" si="1"/>
        <v>Krispy Kreme</v>
      </c>
    </row>
    <row r="1027" ht="22.5" customHeight="1">
      <c r="A1027" s="14">
        <v>46078.72310523148</v>
      </c>
      <c r="B1027" s="15">
        <v>46078.0</v>
      </c>
      <c r="C1027" s="16">
        <v>0.1875</v>
      </c>
      <c r="U1027" s="17" t="s">
        <v>3916</v>
      </c>
      <c r="V1027" s="17">
        <v>9.949391723E9</v>
      </c>
      <c r="W1027" s="17" t="s">
        <v>113</v>
      </c>
      <c r="AA1027" s="17" t="s">
        <v>109</v>
      </c>
      <c r="AT1027" s="17" t="s">
        <v>3917</v>
      </c>
      <c r="AU1027" s="17" t="s">
        <v>76</v>
      </c>
      <c r="AZ1027" s="17" t="s">
        <v>1910</v>
      </c>
      <c r="BA1027" s="17" t="s">
        <v>458</v>
      </c>
      <c r="BB1027" s="17" t="s">
        <v>109</v>
      </c>
      <c r="BP1027" s="17" t="s">
        <v>3918</v>
      </c>
      <c r="BR1027" s="24" t="str">
        <f t="shared" si="1"/>
        <v>Chutney's</v>
      </c>
    </row>
    <row r="1028" ht="22.5" customHeight="1">
      <c r="A1028" s="14">
        <v>46078.723771296296</v>
      </c>
      <c r="B1028" s="15">
        <v>46078.0</v>
      </c>
      <c r="C1028" s="16">
        <v>0.7229166666656965</v>
      </c>
      <c r="U1028" s="17" t="s">
        <v>2044</v>
      </c>
      <c r="V1028" s="17">
        <v>9.615650066E9</v>
      </c>
      <c r="W1028" s="17" t="s">
        <v>388</v>
      </c>
      <c r="AA1028" s="17" t="s">
        <v>109</v>
      </c>
      <c r="AT1028" s="17" t="s">
        <v>117</v>
      </c>
      <c r="AU1028" s="17" t="s">
        <v>76</v>
      </c>
      <c r="AZ1028" s="17" t="s">
        <v>287</v>
      </c>
      <c r="BA1028" s="17" t="s">
        <v>458</v>
      </c>
      <c r="BB1028" s="17" t="s">
        <v>109</v>
      </c>
      <c r="BP1028" s="17" t="s">
        <v>3919</v>
      </c>
      <c r="BR1028" s="24" t="str">
        <f t="shared" si="1"/>
        <v>Slice and Sauce</v>
      </c>
    </row>
    <row r="1029" ht="22.5" customHeight="1">
      <c r="A1029" s="14">
        <v>46078.72597127315</v>
      </c>
      <c r="B1029" s="15">
        <v>46078.0</v>
      </c>
      <c r="C1029" s="16">
        <v>0.5</v>
      </c>
      <c r="D1029" s="17" t="s">
        <v>111</v>
      </c>
      <c r="T1029" s="17" t="s">
        <v>3294</v>
      </c>
      <c r="U1029" s="17" t="s">
        <v>3592</v>
      </c>
      <c r="V1029" s="17">
        <v>9.949390399E9</v>
      </c>
      <c r="W1029" s="17" t="s">
        <v>388</v>
      </c>
      <c r="AA1029" s="17" t="s">
        <v>109</v>
      </c>
      <c r="AT1029" s="17" t="s">
        <v>388</v>
      </c>
      <c r="AU1029" s="17" t="s">
        <v>76</v>
      </c>
      <c r="AV1029" s="17" t="s">
        <v>271</v>
      </c>
      <c r="AZ1029" s="17" t="s">
        <v>287</v>
      </c>
      <c r="BA1029" s="17" t="s">
        <v>491</v>
      </c>
      <c r="BP1029" s="17" t="s">
        <v>3294</v>
      </c>
      <c r="BR1029" s="24" t="str">
        <f t="shared" si="1"/>
        <v>RokaliRokali</v>
      </c>
    </row>
    <row r="1030" ht="22.5" customHeight="1">
      <c r="A1030" s="14">
        <v>46078.72856743056</v>
      </c>
      <c r="B1030" s="15">
        <v>46078.0</v>
      </c>
      <c r="C1030" s="16">
        <v>0.7222222222189885</v>
      </c>
      <c r="D1030" s="17" t="s">
        <v>111</v>
      </c>
      <c r="T1030" s="17" t="s">
        <v>3712</v>
      </c>
      <c r="U1030" s="17" t="s">
        <v>3920</v>
      </c>
      <c r="V1030" s="17">
        <v>9.030272322E9</v>
      </c>
      <c r="W1030" s="17" t="s">
        <v>388</v>
      </c>
      <c r="AA1030" s="17" t="s">
        <v>109</v>
      </c>
      <c r="AT1030" s="17" t="s">
        <v>388</v>
      </c>
      <c r="AU1030" s="17" t="s">
        <v>76</v>
      </c>
      <c r="AX1030" s="15">
        <v>46101.0</v>
      </c>
      <c r="AZ1030" s="17" t="s">
        <v>287</v>
      </c>
      <c r="BA1030" s="17" t="s">
        <v>491</v>
      </c>
      <c r="BP1030" s="17" t="s">
        <v>3712</v>
      </c>
      <c r="BR1030" s="24" t="str">
        <f t="shared" si="1"/>
        <v>Universal Restaurant Universal Restaurant </v>
      </c>
    </row>
    <row r="1031" ht="22.5" customHeight="1">
      <c r="A1031" s="14">
        <v>46078.7299962963</v>
      </c>
      <c r="B1031" s="15">
        <v>46078.0</v>
      </c>
      <c r="C1031" s="16">
        <v>0.5347222222189885</v>
      </c>
      <c r="D1031" s="17" t="s">
        <v>111</v>
      </c>
      <c r="T1031" s="17" t="s">
        <v>3921</v>
      </c>
      <c r="U1031" s="17" t="s">
        <v>3922</v>
      </c>
      <c r="V1031" s="17">
        <v>6.281371177E9</v>
      </c>
      <c r="W1031" s="17" t="s">
        <v>388</v>
      </c>
      <c r="AA1031" s="17" t="s">
        <v>109</v>
      </c>
      <c r="AT1031" s="17" t="s">
        <v>388</v>
      </c>
      <c r="AU1031" s="17" t="s">
        <v>76</v>
      </c>
      <c r="AV1031" s="17" t="s">
        <v>271</v>
      </c>
      <c r="AZ1031" s="17" t="s">
        <v>287</v>
      </c>
      <c r="BA1031" s="17" t="s">
        <v>491</v>
      </c>
      <c r="BP1031" s="17" t="s">
        <v>3921</v>
      </c>
      <c r="BR1031" s="24" t="str">
        <f t="shared" si="1"/>
        <v>Royal Bawarchi Royal Bawarchi </v>
      </c>
    </row>
    <row r="1032" ht="22.5" customHeight="1">
      <c r="A1032" s="14">
        <v>46078.74160954861</v>
      </c>
      <c r="B1032" s="15">
        <v>46078.0</v>
      </c>
      <c r="C1032" s="16">
        <v>0.5625</v>
      </c>
      <c r="D1032" s="17" t="s">
        <v>91</v>
      </c>
      <c r="F1032" s="17">
        <v>40.0</v>
      </c>
      <c r="G1032" s="17">
        <v>250.0</v>
      </c>
      <c r="H1032" s="17" t="s">
        <v>388</v>
      </c>
      <c r="J1032" s="17" t="s">
        <v>94</v>
      </c>
      <c r="K1032" s="17" t="s">
        <v>95</v>
      </c>
      <c r="M1032" s="17">
        <v>22.0</v>
      </c>
      <c r="N1032" s="17">
        <v>1.0</v>
      </c>
      <c r="O1032" s="17" t="s">
        <v>96</v>
      </c>
      <c r="P1032" s="17" t="s">
        <v>109</v>
      </c>
      <c r="Q1032" s="17" t="s">
        <v>97</v>
      </c>
      <c r="R1032" s="17" t="s">
        <v>109</v>
      </c>
      <c r="S1032" s="17" t="s">
        <v>388</v>
      </c>
      <c r="U1032" s="17" t="s">
        <v>3923</v>
      </c>
      <c r="V1032" s="17">
        <v>9.885869143E9</v>
      </c>
      <c r="W1032" s="17" t="s">
        <v>388</v>
      </c>
      <c r="AA1032" s="17" t="s">
        <v>76</v>
      </c>
      <c r="AC1032" s="18" t="s">
        <v>3924</v>
      </c>
      <c r="AG1032" s="18" t="s">
        <v>3925</v>
      </c>
      <c r="AK1032" s="18" t="s">
        <v>3926</v>
      </c>
      <c r="AS1032" s="17" t="s">
        <v>76</v>
      </c>
      <c r="AT1032" s="17" t="s">
        <v>2826</v>
      </c>
      <c r="AU1032" s="17" t="s">
        <v>109</v>
      </c>
      <c r="AZ1032" s="17" t="s">
        <v>287</v>
      </c>
      <c r="BA1032" s="17" t="s">
        <v>458</v>
      </c>
      <c r="BB1032" s="17" t="s">
        <v>76</v>
      </c>
      <c r="BM1032" s="17" t="s">
        <v>779</v>
      </c>
      <c r="BP1032" s="17" t="s">
        <v>3927</v>
      </c>
      <c r="BR1032" s="24" t="str">
        <f t="shared" si="1"/>
        <v>Slice and Bytes Biryani</v>
      </c>
    </row>
    <row r="1033" ht="22.5" customHeight="1">
      <c r="A1033" s="14">
        <v>46078.74400413195</v>
      </c>
      <c r="B1033" s="15">
        <v>46078.0</v>
      </c>
      <c r="C1033" s="16">
        <v>0.5625</v>
      </c>
      <c r="D1033" s="17" t="s">
        <v>91</v>
      </c>
      <c r="F1033" s="17">
        <v>40.0</v>
      </c>
      <c r="G1033" s="17">
        <v>250.0</v>
      </c>
      <c r="H1033" s="17" t="s">
        <v>388</v>
      </c>
      <c r="J1033" s="17" t="s">
        <v>94</v>
      </c>
      <c r="K1033" s="17" t="s">
        <v>95</v>
      </c>
      <c r="M1033" s="17">
        <v>22.0</v>
      </c>
      <c r="N1033" s="17">
        <v>1.0</v>
      </c>
      <c r="O1033" s="17" t="s">
        <v>96</v>
      </c>
      <c r="P1033" s="17" t="s">
        <v>109</v>
      </c>
      <c r="Q1033" s="17" t="s">
        <v>97</v>
      </c>
      <c r="R1033" s="17" t="s">
        <v>109</v>
      </c>
      <c r="S1033" s="17" t="s">
        <v>388</v>
      </c>
      <c r="U1033" s="17" t="s">
        <v>2532</v>
      </c>
      <c r="V1033" s="17">
        <v>9.885869143E9</v>
      </c>
      <c r="W1033" s="17" t="s">
        <v>388</v>
      </c>
      <c r="AA1033" s="17" t="s">
        <v>76</v>
      </c>
      <c r="AC1033" s="18" t="s">
        <v>3928</v>
      </c>
      <c r="AG1033" s="18" t="s">
        <v>3929</v>
      </c>
      <c r="AK1033" s="18" t="s">
        <v>3930</v>
      </c>
      <c r="AS1033" s="17" t="s">
        <v>76</v>
      </c>
      <c r="AT1033" s="17" t="s">
        <v>2826</v>
      </c>
      <c r="AU1033" s="17" t="s">
        <v>76</v>
      </c>
      <c r="AZ1033" s="17" t="s">
        <v>287</v>
      </c>
      <c r="BA1033" s="17" t="s">
        <v>458</v>
      </c>
      <c r="BB1033" s="17" t="s">
        <v>76</v>
      </c>
      <c r="BM1033" s="17" t="s">
        <v>779</v>
      </c>
      <c r="BP1033" s="17" t="s">
        <v>3927</v>
      </c>
      <c r="BR1033" s="24" t="str">
        <f t="shared" si="1"/>
        <v>Slice and Bytes Biryani</v>
      </c>
    </row>
    <row r="1034" ht="22.5" customHeight="1">
      <c r="A1034" s="14">
        <v>46078.74704351852</v>
      </c>
      <c r="B1034" s="15">
        <v>46078.0</v>
      </c>
      <c r="C1034" s="16">
        <v>0.5694444444452529</v>
      </c>
      <c r="D1034" s="17" t="s">
        <v>91</v>
      </c>
      <c r="F1034" s="17">
        <v>40.0</v>
      </c>
      <c r="G1034" s="17">
        <v>250.0</v>
      </c>
      <c r="H1034" s="17" t="s">
        <v>388</v>
      </c>
      <c r="J1034" s="17" t="s">
        <v>94</v>
      </c>
      <c r="K1034" s="17" t="s">
        <v>95</v>
      </c>
      <c r="M1034" s="17">
        <v>22.0</v>
      </c>
      <c r="N1034" s="17">
        <v>1.0</v>
      </c>
      <c r="O1034" s="17" t="s">
        <v>96</v>
      </c>
      <c r="P1034" s="17" t="s">
        <v>109</v>
      </c>
      <c r="Q1034" s="17" t="s">
        <v>97</v>
      </c>
      <c r="R1034" s="17" t="s">
        <v>109</v>
      </c>
      <c r="S1034" s="17" t="s">
        <v>388</v>
      </c>
      <c r="U1034" s="17" t="s">
        <v>3923</v>
      </c>
      <c r="V1034" s="17">
        <v>9.885869143E9</v>
      </c>
      <c r="W1034" s="17" t="s">
        <v>388</v>
      </c>
      <c r="AA1034" s="17" t="s">
        <v>76</v>
      </c>
      <c r="AC1034" s="18" t="s">
        <v>3931</v>
      </c>
      <c r="AG1034" s="18" t="s">
        <v>3932</v>
      </c>
      <c r="AK1034" s="18" t="s">
        <v>3933</v>
      </c>
      <c r="AS1034" s="17" t="s">
        <v>76</v>
      </c>
      <c r="AT1034" s="17" t="s">
        <v>2826</v>
      </c>
      <c r="AU1034" s="17" t="s">
        <v>76</v>
      </c>
      <c r="AZ1034" s="17" t="s">
        <v>287</v>
      </c>
      <c r="BA1034" s="17" t="s">
        <v>458</v>
      </c>
      <c r="BB1034" s="17" t="s">
        <v>76</v>
      </c>
      <c r="BM1034" s="17" t="s">
        <v>779</v>
      </c>
      <c r="BP1034" s="17" t="s">
        <v>3934</v>
      </c>
      <c r="BR1034" s="24" t="str">
        <f t="shared" si="1"/>
        <v>Slice and Bytes Food Court</v>
      </c>
    </row>
    <row r="1035" ht="22.5" customHeight="1">
      <c r="A1035" s="14">
        <v>46078.74935143518</v>
      </c>
      <c r="B1035" s="15">
        <v>46078.0</v>
      </c>
      <c r="C1035" s="16">
        <v>0.5972222222189885</v>
      </c>
      <c r="D1035" s="17" t="s">
        <v>91</v>
      </c>
      <c r="F1035" s="17">
        <v>50.0</v>
      </c>
      <c r="G1035" s="17">
        <v>250.0</v>
      </c>
      <c r="H1035" s="17" t="s">
        <v>388</v>
      </c>
      <c r="J1035" s="17" t="s">
        <v>94</v>
      </c>
      <c r="K1035" s="17" t="s">
        <v>95</v>
      </c>
      <c r="M1035" s="17">
        <v>22.0</v>
      </c>
      <c r="N1035" s="17">
        <v>1.0</v>
      </c>
      <c r="O1035" s="17" t="s">
        <v>96</v>
      </c>
      <c r="P1035" s="17" t="s">
        <v>109</v>
      </c>
      <c r="Q1035" s="17" t="s">
        <v>97</v>
      </c>
      <c r="R1035" s="17" t="s">
        <v>109</v>
      </c>
      <c r="S1035" s="17" t="s">
        <v>388</v>
      </c>
      <c r="U1035" s="17" t="s">
        <v>1049</v>
      </c>
      <c r="V1035" s="17">
        <v>8.3333936696E10</v>
      </c>
      <c r="W1035" s="17" t="s">
        <v>388</v>
      </c>
      <c r="AA1035" s="17" t="s">
        <v>76</v>
      </c>
      <c r="AC1035" s="18" t="s">
        <v>3935</v>
      </c>
      <c r="AS1035" s="17" t="s">
        <v>76</v>
      </c>
      <c r="AT1035" s="17" t="s">
        <v>388</v>
      </c>
      <c r="AU1035" s="17" t="s">
        <v>76</v>
      </c>
      <c r="AZ1035" s="17" t="s">
        <v>287</v>
      </c>
      <c r="BA1035" s="17" t="s">
        <v>458</v>
      </c>
      <c r="BB1035" s="17" t="s">
        <v>76</v>
      </c>
      <c r="BM1035" s="17" t="s">
        <v>779</v>
      </c>
      <c r="BP1035" s="17" t="s">
        <v>3936</v>
      </c>
      <c r="BR1035" s="24" t="str">
        <f t="shared" si="1"/>
        <v>Aadhya Food Court</v>
      </c>
    </row>
    <row r="1036" ht="22.5" customHeight="1">
      <c r="A1036" s="14">
        <v>46078.7499225</v>
      </c>
      <c r="B1036" s="15">
        <v>46078.0</v>
      </c>
      <c r="C1036" s="16">
        <v>0.7430555555547471</v>
      </c>
      <c r="D1036" s="17" t="s">
        <v>91</v>
      </c>
      <c r="F1036" s="17">
        <v>60.0</v>
      </c>
      <c r="G1036" s="17">
        <v>350.0</v>
      </c>
      <c r="H1036" s="17" t="s">
        <v>117</v>
      </c>
      <c r="J1036" s="17" t="s">
        <v>94</v>
      </c>
      <c r="K1036" s="17" t="s">
        <v>134</v>
      </c>
      <c r="N1036" s="17">
        <v>12.0</v>
      </c>
      <c r="O1036" s="17" t="s">
        <v>371</v>
      </c>
      <c r="P1036" s="17" t="s">
        <v>76</v>
      </c>
      <c r="Q1036" s="17" t="s">
        <v>97</v>
      </c>
      <c r="R1036" s="17" t="s">
        <v>76</v>
      </c>
      <c r="S1036" s="17" t="s">
        <v>3937</v>
      </c>
      <c r="U1036" s="17" t="s">
        <v>2136</v>
      </c>
      <c r="V1036" s="17" t="s">
        <v>1619</v>
      </c>
      <c r="W1036" s="17" t="s">
        <v>117</v>
      </c>
      <c r="AA1036" s="17" t="s">
        <v>109</v>
      </c>
      <c r="AT1036" s="17" t="s">
        <v>3938</v>
      </c>
      <c r="AU1036" s="17" t="s">
        <v>76</v>
      </c>
      <c r="AV1036" s="17" t="s">
        <v>373</v>
      </c>
      <c r="AW1036" s="17" t="s">
        <v>3939</v>
      </c>
      <c r="AX1036" s="15">
        <v>46083.0</v>
      </c>
      <c r="AY1036" s="16">
        <v>0.5</v>
      </c>
      <c r="AZ1036" s="17" t="s">
        <v>1607</v>
      </c>
      <c r="BA1036" s="17" t="s">
        <v>491</v>
      </c>
      <c r="BN1036" s="17" t="s">
        <v>1617</v>
      </c>
      <c r="BP1036" s="17" t="s">
        <v>1617</v>
      </c>
      <c r="BR1036" s="24" t="str">
        <f t="shared" si="1"/>
        <v>Frankie</v>
      </c>
    </row>
    <row r="1037" ht="22.5" customHeight="1">
      <c r="A1037" s="14">
        <v>46078.75811385417</v>
      </c>
      <c r="B1037" s="15">
        <v>46078.0</v>
      </c>
      <c r="C1037" s="16">
        <v>0.7569444444452529</v>
      </c>
      <c r="D1037" s="17" t="s">
        <v>111</v>
      </c>
      <c r="T1037" s="17" t="s">
        <v>1667</v>
      </c>
      <c r="U1037" s="17" t="s">
        <v>1668</v>
      </c>
      <c r="V1037" s="17" t="s">
        <v>1669</v>
      </c>
      <c r="W1037" s="17" t="s">
        <v>117</v>
      </c>
      <c r="AA1037" s="17" t="s">
        <v>109</v>
      </c>
      <c r="AT1037" s="17" t="s">
        <v>3940</v>
      </c>
      <c r="AU1037" s="17" t="s">
        <v>76</v>
      </c>
      <c r="AV1037" s="17" t="s">
        <v>472</v>
      </c>
      <c r="AW1037" s="17" t="s">
        <v>3890</v>
      </c>
      <c r="AZ1037" s="17" t="s">
        <v>1607</v>
      </c>
      <c r="BA1037" s="17" t="s">
        <v>491</v>
      </c>
      <c r="BP1037" s="17" t="s">
        <v>1667</v>
      </c>
      <c r="BR1037" s="24" t="str">
        <f t="shared" si="1"/>
        <v>7th Heaven &amp; white hart7th Heaven &amp; white hart</v>
      </c>
    </row>
    <row r="1038" ht="22.5" customHeight="1">
      <c r="A1038" s="14">
        <v>46078.79194865741</v>
      </c>
      <c r="B1038" s="15">
        <v>46078.0</v>
      </c>
      <c r="C1038" s="16">
        <v>0.765277777776646</v>
      </c>
      <c r="D1038" s="17" t="s">
        <v>111</v>
      </c>
      <c r="T1038" s="17" t="s">
        <v>698</v>
      </c>
      <c r="U1038" s="17" t="s">
        <v>1733</v>
      </c>
      <c r="V1038" s="17">
        <v>9.985287122E9</v>
      </c>
      <c r="W1038" s="17" t="s">
        <v>1734</v>
      </c>
      <c r="X1038" s="17" t="s">
        <v>3941</v>
      </c>
      <c r="Y1038" s="17">
        <v>9.769343996E9</v>
      </c>
      <c r="Z1038" s="17" t="s">
        <v>3942</v>
      </c>
      <c r="AA1038" s="17" t="s">
        <v>109</v>
      </c>
      <c r="AT1038" s="17" t="s">
        <v>3943</v>
      </c>
      <c r="AU1038" s="17" t="s">
        <v>76</v>
      </c>
      <c r="AV1038" s="17" t="s">
        <v>472</v>
      </c>
      <c r="AW1038" s="17" t="s">
        <v>3890</v>
      </c>
      <c r="AZ1038" s="17" t="s">
        <v>1607</v>
      </c>
      <c r="BA1038" s="17" t="s">
        <v>491</v>
      </c>
      <c r="BP1038" s="17" t="s">
        <v>1732</v>
      </c>
      <c r="BR1038" s="24" t="str">
        <f t="shared" si="1"/>
        <v>Hard Rock CafeHard rock cafe</v>
      </c>
    </row>
    <row r="1039" ht="22.5" customHeight="1">
      <c r="A1039" s="14">
        <v>46078.80365761574</v>
      </c>
      <c r="B1039" s="15">
        <v>46078.0</v>
      </c>
      <c r="C1039" s="16">
        <v>0.625</v>
      </c>
      <c r="D1039" s="17" t="s">
        <v>91</v>
      </c>
      <c r="F1039" s="17">
        <v>60.0</v>
      </c>
      <c r="G1039" s="17">
        <v>300.0</v>
      </c>
      <c r="H1039" s="17" t="s">
        <v>388</v>
      </c>
      <c r="J1039" s="17" t="s">
        <v>94</v>
      </c>
      <c r="K1039" s="17" t="s">
        <v>515</v>
      </c>
      <c r="M1039" s="17">
        <v>22.0</v>
      </c>
      <c r="N1039" s="17">
        <v>1.0</v>
      </c>
      <c r="O1039" s="17" t="s">
        <v>96</v>
      </c>
      <c r="P1039" s="17" t="s">
        <v>76</v>
      </c>
      <c r="Q1039" s="17" t="s">
        <v>97</v>
      </c>
      <c r="R1039" s="17" t="s">
        <v>76</v>
      </c>
      <c r="S1039" s="17" t="s">
        <v>388</v>
      </c>
      <c r="U1039" s="17" t="s">
        <v>3944</v>
      </c>
      <c r="V1039" s="17">
        <v>7.013883666E9</v>
      </c>
      <c r="W1039" s="17" t="s">
        <v>388</v>
      </c>
      <c r="AA1039" s="17" t="s">
        <v>76</v>
      </c>
      <c r="AC1039" s="18" t="s">
        <v>3945</v>
      </c>
      <c r="AE1039" s="18" t="s">
        <v>3946</v>
      </c>
      <c r="AG1039" s="18" t="s">
        <v>3947</v>
      </c>
      <c r="AI1039" s="18" t="s">
        <v>3948</v>
      </c>
      <c r="AK1039" s="18" t="s">
        <v>3949</v>
      </c>
      <c r="AS1039" s="17" t="s">
        <v>76</v>
      </c>
      <c r="AT1039" s="17" t="s">
        <v>388</v>
      </c>
      <c r="AU1039" s="17" t="s">
        <v>109</v>
      </c>
      <c r="AZ1039" s="17" t="s">
        <v>287</v>
      </c>
      <c r="BA1039" s="17" t="s">
        <v>458</v>
      </c>
      <c r="BB1039" s="17" t="s">
        <v>76</v>
      </c>
      <c r="BM1039" s="17" t="s">
        <v>779</v>
      </c>
      <c r="BP1039" s="17" t="s">
        <v>3950</v>
      </c>
      <c r="BR1039" s="24" t="str">
        <f t="shared" si="1"/>
        <v>Amulya Abhiruchi Biryani </v>
      </c>
    </row>
    <row r="1040" ht="22.5" customHeight="1">
      <c r="A1040" s="14">
        <v>46078.80610440973</v>
      </c>
      <c r="B1040" s="15">
        <v>46078.0</v>
      </c>
      <c r="C1040" s="16">
        <v>0.625</v>
      </c>
      <c r="D1040" s="17" t="s">
        <v>91</v>
      </c>
      <c r="F1040" s="17">
        <v>60.0</v>
      </c>
      <c r="G1040" s="17">
        <v>200.0</v>
      </c>
      <c r="H1040" s="17" t="s">
        <v>388</v>
      </c>
      <c r="J1040" s="17" t="s">
        <v>94</v>
      </c>
      <c r="K1040" s="17" t="s">
        <v>515</v>
      </c>
      <c r="N1040" s="17">
        <v>1.0</v>
      </c>
      <c r="O1040" s="17" t="s">
        <v>96</v>
      </c>
      <c r="P1040" s="17" t="s">
        <v>76</v>
      </c>
      <c r="Q1040" s="17" t="s">
        <v>97</v>
      </c>
      <c r="R1040" s="17" t="s">
        <v>76</v>
      </c>
      <c r="S1040" s="17" t="s">
        <v>388</v>
      </c>
      <c r="U1040" s="17" t="s">
        <v>3951</v>
      </c>
      <c r="V1040" s="17">
        <v>7.013883666E9</v>
      </c>
      <c r="W1040" s="17" t="s">
        <v>388</v>
      </c>
      <c r="AA1040" s="17" t="s">
        <v>76</v>
      </c>
      <c r="AC1040" s="18" t="s">
        <v>3952</v>
      </c>
      <c r="AE1040" s="18" t="s">
        <v>3953</v>
      </c>
      <c r="AG1040" s="18" t="s">
        <v>3954</v>
      </c>
      <c r="AI1040" s="18" t="s">
        <v>3955</v>
      </c>
      <c r="AK1040" s="18" t="s">
        <v>3956</v>
      </c>
      <c r="AS1040" s="17" t="s">
        <v>76</v>
      </c>
      <c r="AT1040" s="17" t="s">
        <v>2826</v>
      </c>
      <c r="AU1040" s="17" t="s">
        <v>109</v>
      </c>
      <c r="AZ1040" s="17" t="s">
        <v>287</v>
      </c>
      <c r="BA1040" s="17" t="s">
        <v>458</v>
      </c>
      <c r="BB1040" s="17" t="s">
        <v>76</v>
      </c>
      <c r="BM1040" s="17" t="s">
        <v>779</v>
      </c>
      <c r="BP1040" s="17" t="s">
        <v>3957</v>
      </c>
      <c r="BR1040" s="24" t="str">
        <f t="shared" si="1"/>
        <v>Amulya Abhiruchi Fast Food</v>
      </c>
    </row>
    <row r="1041" ht="22.5" customHeight="1">
      <c r="A1041" s="14">
        <v>46078.813497615745</v>
      </c>
      <c r="B1041" s="15">
        <v>46078.0</v>
      </c>
      <c r="C1041" s="16">
        <v>0.6236111111065838</v>
      </c>
      <c r="D1041" s="17" t="s">
        <v>925</v>
      </c>
      <c r="T1041" s="17" t="s">
        <v>117</v>
      </c>
      <c r="U1041" s="17" t="s">
        <v>1094</v>
      </c>
      <c r="V1041" s="17" t="s">
        <v>3958</v>
      </c>
      <c r="W1041" s="17" t="s">
        <v>117</v>
      </c>
      <c r="AA1041" s="17" t="s">
        <v>109</v>
      </c>
      <c r="AT1041" s="17" t="s">
        <v>3959</v>
      </c>
      <c r="AU1041" s="17" t="s">
        <v>76</v>
      </c>
      <c r="AZ1041" s="17" t="s">
        <v>182</v>
      </c>
      <c r="BA1041" s="17" t="s">
        <v>491</v>
      </c>
      <c r="BP1041" s="17" t="s">
        <v>3960</v>
      </c>
      <c r="BR1041" s="24" t="str">
        <f t="shared" si="1"/>
        <v>A1 bawarchi NA</v>
      </c>
    </row>
    <row r="1042" ht="22.5" customHeight="1">
      <c r="A1042" s="14">
        <v>46078.8150874537</v>
      </c>
      <c r="B1042" s="15">
        <v>46078.0</v>
      </c>
      <c r="C1042" s="16">
        <v>0.6236111111065838</v>
      </c>
      <c r="U1042" s="17" t="s">
        <v>117</v>
      </c>
      <c r="V1042" s="17" t="s">
        <v>117</v>
      </c>
      <c r="W1042" s="17" t="s">
        <v>117</v>
      </c>
      <c r="AA1042" s="17" t="s">
        <v>109</v>
      </c>
      <c r="AT1042" s="17" t="s">
        <v>109</v>
      </c>
      <c r="AU1042" s="17" t="s">
        <v>109</v>
      </c>
      <c r="AZ1042" s="17" t="s">
        <v>182</v>
      </c>
      <c r="BA1042" s="17" t="s">
        <v>458</v>
      </c>
      <c r="BB1042" s="17" t="s">
        <v>109</v>
      </c>
      <c r="BP1042" s="17" t="s">
        <v>3961</v>
      </c>
      <c r="BR1042" s="24" t="str">
        <f t="shared" si="1"/>
        <v>Brownies Bakery </v>
      </c>
    </row>
    <row r="1043" ht="22.5" customHeight="1">
      <c r="A1043" s="14">
        <v>46078.82148141204</v>
      </c>
      <c r="B1043" s="15">
        <v>46078.0</v>
      </c>
      <c r="C1043" s="16">
        <v>0.625</v>
      </c>
      <c r="D1043" s="17" t="s">
        <v>91</v>
      </c>
      <c r="F1043" s="17">
        <v>10.0</v>
      </c>
      <c r="G1043" s="17">
        <v>200.0</v>
      </c>
      <c r="H1043" s="17" t="s">
        <v>3962</v>
      </c>
      <c r="J1043" s="17" t="s">
        <v>221</v>
      </c>
      <c r="K1043" s="17" t="s">
        <v>134</v>
      </c>
      <c r="L1043" s="17">
        <v>22.0</v>
      </c>
      <c r="M1043" s="17">
        <v>20.0</v>
      </c>
      <c r="N1043" s="17">
        <v>1.0</v>
      </c>
      <c r="O1043" s="17" t="s">
        <v>96</v>
      </c>
      <c r="P1043" s="17" t="s">
        <v>76</v>
      </c>
      <c r="Q1043" s="17" t="s">
        <v>97</v>
      </c>
      <c r="R1043" s="17" t="s">
        <v>109</v>
      </c>
      <c r="S1043" s="17" t="s">
        <v>117</v>
      </c>
      <c r="U1043" s="17" t="s">
        <v>117</v>
      </c>
      <c r="V1043" s="17">
        <v>9.94899904E9</v>
      </c>
      <c r="W1043" s="17" t="s">
        <v>117</v>
      </c>
      <c r="AA1043" s="17" t="s">
        <v>109</v>
      </c>
      <c r="AT1043" s="17" t="s">
        <v>3963</v>
      </c>
      <c r="AU1043" s="17" t="s">
        <v>76</v>
      </c>
      <c r="AV1043" s="17" t="s">
        <v>271</v>
      </c>
      <c r="AX1043" s="15">
        <v>46081.0</v>
      </c>
      <c r="AZ1043" s="17" t="s">
        <v>131</v>
      </c>
      <c r="BA1043" s="17" t="s">
        <v>458</v>
      </c>
      <c r="BB1043" s="17" t="s">
        <v>76</v>
      </c>
      <c r="BL1043" s="17">
        <v>35.0</v>
      </c>
      <c r="BN1043" s="17" t="s">
        <v>3964</v>
      </c>
      <c r="BP1043" s="17" t="s">
        <v>3965</v>
      </c>
      <c r="BR1043" s="24" t="str">
        <f t="shared" si="1"/>
        <v>AHA AMRUTULYA</v>
      </c>
    </row>
    <row r="1044" ht="22.5" customHeight="1">
      <c r="A1044" s="14">
        <v>46078.826307118055</v>
      </c>
      <c r="B1044" s="15">
        <v>46078.0</v>
      </c>
      <c r="C1044" s="16">
        <v>0.75</v>
      </c>
      <c r="D1044" s="17" t="s">
        <v>91</v>
      </c>
      <c r="F1044" s="17">
        <v>10.0</v>
      </c>
      <c r="G1044" s="17">
        <v>200.0</v>
      </c>
      <c r="H1044" s="17" t="s">
        <v>117</v>
      </c>
      <c r="I1044" s="17">
        <v>10000.0</v>
      </c>
      <c r="J1044" s="17" t="s">
        <v>221</v>
      </c>
      <c r="K1044" s="17" t="s">
        <v>273</v>
      </c>
      <c r="L1044" s="17">
        <v>22.0</v>
      </c>
      <c r="M1044" s="17">
        <v>20.0</v>
      </c>
      <c r="N1044" s="17">
        <v>2.0</v>
      </c>
      <c r="O1044" s="17" t="s">
        <v>96</v>
      </c>
      <c r="P1044" s="17" t="s">
        <v>76</v>
      </c>
      <c r="Q1044" s="17" t="s">
        <v>97</v>
      </c>
      <c r="R1044" s="17" t="s">
        <v>109</v>
      </c>
      <c r="S1044" s="17" t="s">
        <v>3966</v>
      </c>
      <c r="U1044" s="17" t="s">
        <v>3967</v>
      </c>
      <c r="V1044" s="17">
        <v>9.381475016E9</v>
      </c>
      <c r="W1044" s="17" t="s">
        <v>3968</v>
      </c>
      <c r="X1044" s="17" t="s">
        <v>3967</v>
      </c>
      <c r="Y1044" s="17">
        <v>9.381475016E9</v>
      </c>
      <c r="AA1044" s="17" t="s">
        <v>109</v>
      </c>
      <c r="AT1044" s="17" t="s">
        <v>193</v>
      </c>
      <c r="AU1044" s="17" t="s">
        <v>109</v>
      </c>
      <c r="AZ1044" s="17" t="s">
        <v>131</v>
      </c>
      <c r="BA1044" s="17" t="s">
        <v>458</v>
      </c>
      <c r="BB1044" s="17" t="s">
        <v>76</v>
      </c>
      <c r="BL1044" s="17">
        <v>40.0</v>
      </c>
      <c r="BN1044" s="17" t="s">
        <v>3964</v>
      </c>
      <c r="BP1044" s="17" t="s">
        <v>3969</v>
      </c>
      <c r="BR1044" s="24" t="str">
        <f t="shared" si="1"/>
        <v>KLASSIC BAKERS AND SHEWARMA AND CAFE</v>
      </c>
    </row>
    <row r="1045" ht="22.5" customHeight="1">
      <c r="A1045" s="14">
        <v>46078.832449814814</v>
      </c>
      <c r="B1045" s="15">
        <v>46078.0</v>
      </c>
      <c r="C1045" s="16">
        <v>0.7083333333357587</v>
      </c>
      <c r="D1045" s="17" t="s">
        <v>91</v>
      </c>
      <c r="F1045" s="17">
        <v>40.0</v>
      </c>
      <c r="G1045" s="17">
        <v>200.0</v>
      </c>
      <c r="H1045" s="17" t="s">
        <v>117</v>
      </c>
      <c r="I1045" s="17">
        <v>20000.0</v>
      </c>
      <c r="J1045" s="17" t="s">
        <v>221</v>
      </c>
      <c r="K1045" s="17" t="s">
        <v>134</v>
      </c>
      <c r="L1045" s="17">
        <v>22.0</v>
      </c>
      <c r="M1045" s="17">
        <v>20.0</v>
      </c>
      <c r="N1045" s="17">
        <v>1.0</v>
      </c>
      <c r="O1045" s="17" t="s">
        <v>96</v>
      </c>
      <c r="P1045" s="17" t="s">
        <v>76</v>
      </c>
      <c r="Q1045" s="17" t="s">
        <v>1583</v>
      </c>
      <c r="R1045" s="17" t="s">
        <v>109</v>
      </c>
      <c r="S1045" s="17" t="s">
        <v>117</v>
      </c>
      <c r="U1045" s="17" t="s">
        <v>3970</v>
      </c>
      <c r="V1045" s="17">
        <v>8.977725647E9</v>
      </c>
      <c r="W1045" s="17" t="s">
        <v>3971</v>
      </c>
      <c r="AA1045" s="17" t="s">
        <v>109</v>
      </c>
      <c r="AT1045" s="17" t="s">
        <v>237</v>
      </c>
      <c r="AU1045" s="17" t="s">
        <v>109</v>
      </c>
      <c r="AZ1045" s="17" t="s">
        <v>131</v>
      </c>
      <c r="BA1045" s="17" t="s">
        <v>458</v>
      </c>
      <c r="BB1045" s="17" t="s">
        <v>76</v>
      </c>
      <c r="BL1045" s="17">
        <v>30.0</v>
      </c>
      <c r="BN1045" s="17" t="s">
        <v>3964</v>
      </c>
      <c r="BP1045" s="17" t="s">
        <v>3972</v>
      </c>
      <c r="BR1045" s="24" t="str">
        <f t="shared" si="1"/>
        <v>SVS SPECIAL VILLAGES AND SPICES</v>
      </c>
    </row>
    <row r="1046" ht="22.5" customHeight="1">
      <c r="A1046" s="14">
        <v>46078.84080667824</v>
      </c>
      <c r="B1046" s="15">
        <v>46078.0</v>
      </c>
      <c r="C1046" s="16">
        <v>0.6666666666642413</v>
      </c>
      <c r="D1046" s="17" t="s">
        <v>91</v>
      </c>
      <c r="F1046" s="17">
        <v>40.0</v>
      </c>
      <c r="G1046" s="17">
        <v>200.0</v>
      </c>
      <c r="H1046" s="17" t="s">
        <v>291</v>
      </c>
      <c r="I1046" s="17">
        <v>20000.0</v>
      </c>
      <c r="J1046" s="17" t="s">
        <v>94</v>
      </c>
      <c r="K1046" s="17" t="s">
        <v>134</v>
      </c>
      <c r="L1046" s="17">
        <v>22.0</v>
      </c>
      <c r="M1046" s="17">
        <v>20.0</v>
      </c>
      <c r="N1046" s="17">
        <v>1.0</v>
      </c>
      <c r="O1046" s="17" t="s">
        <v>96</v>
      </c>
      <c r="P1046" s="17" t="s">
        <v>76</v>
      </c>
      <c r="Q1046" s="17" t="s">
        <v>97</v>
      </c>
      <c r="R1046" s="17" t="s">
        <v>109</v>
      </c>
      <c r="S1046" s="17" t="s">
        <v>113</v>
      </c>
      <c r="U1046" s="17" t="s">
        <v>3973</v>
      </c>
      <c r="V1046" s="17">
        <v>9.963027222E9</v>
      </c>
      <c r="W1046" s="17" t="s">
        <v>113</v>
      </c>
      <c r="AA1046" s="17" t="s">
        <v>109</v>
      </c>
      <c r="AT1046" s="17" t="s">
        <v>3974</v>
      </c>
      <c r="AU1046" s="17" t="s">
        <v>76</v>
      </c>
      <c r="AV1046" s="17" t="s">
        <v>88</v>
      </c>
      <c r="AZ1046" s="17" t="s">
        <v>131</v>
      </c>
      <c r="BA1046" s="17" t="s">
        <v>458</v>
      </c>
      <c r="BB1046" s="17" t="s">
        <v>76</v>
      </c>
      <c r="BL1046" s="17">
        <v>30.0</v>
      </c>
      <c r="BN1046" s="17" t="s">
        <v>758</v>
      </c>
      <c r="BP1046" s="17" t="s">
        <v>3975</v>
      </c>
      <c r="BR1046" s="24" t="str">
        <f t="shared" si="1"/>
        <v>Amrutham </v>
      </c>
    </row>
    <row r="1047" ht="22.5" customHeight="1">
      <c r="A1047" s="14">
        <v>46078.87974164352</v>
      </c>
      <c r="B1047" s="15">
        <v>46078.0</v>
      </c>
      <c r="C1047" s="16">
        <v>0.47916666666424135</v>
      </c>
      <c r="U1047" s="17" t="s">
        <v>3976</v>
      </c>
      <c r="V1047" s="17">
        <v>7.013437054E9</v>
      </c>
      <c r="W1047" s="17" t="s">
        <v>113</v>
      </c>
      <c r="AA1047" s="17" t="s">
        <v>109</v>
      </c>
      <c r="AT1047" s="17" t="s">
        <v>3977</v>
      </c>
      <c r="AU1047" s="17" t="s">
        <v>76</v>
      </c>
      <c r="AV1047" s="17" t="s">
        <v>271</v>
      </c>
      <c r="AZ1047" s="17" t="s">
        <v>243</v>
      </c>
      <c r="BA1047" s="17" t="s">
        <v>458</v>
      </c>
      <c r="BB1047" s="17" t="s">
        <v>109</v>
      </c>
      <c r="BP1047" s="17" t="s">
        <v>3978</v>
      </c>
      <c r="BR1047" s="24" t="str">
        <f t="shared" si="1"/>
        <v>Ma oori biryani</v>
      </c>
    </row>
    <row r="1048" ht="22.5" customHeight="1">
      <c r="A1048" s="14">
        <v>46078.880978518515</v>
      </c>
      <c r="B1048" s="15">
        <v>46078.0</v>
      </c>
      <c r="C1048" s="16">
        <v>0.49652777778101154</v>
      </c>
      <c r="U1048" s="17" t="s">
        <v>2532</v>
      </c>
      <c r="V1048" s="17">
        <v>7.013324055E9</v>
      </c>
      <c r="W1048" s="17" t="s">
        <v>113</v>
      </c>
      <c r="AA1048" s="17" t="s">
        <v>109</v>
      </c>
      <c r="AT1048" s="17" t="s">
        <v>3979</v>
      </c>
      <c r="AU1048" s="17" t="s">
        <v>76</v>
      </c>
      <c r="AZ1048" s="17" t="s">
        <v>243</v>
      </c>
      <c r="BA1048" s="17" t="s">
        <v>458</v>
      </c>
      <c r="BB1048" s="17" t="s">
        <v>109</v>
      </c>
      <c r="BP1048" s="17" t="s">
        <v>2952</v>
      </c>
      <c r="BR1048" s="24" t="str">
        <f t="shared" si="1"/>
        <v>Godhavari ruchulu</v>
      </c>
    </row>
    <row r="1049" ht="22.5" customHeight="1">
      <c r="A1049" s="14">
        <v>46078.88190099537</v>
      </c>
      <c r="B1049" s="15">
        <v>46078.0</v>
      </c>
      <c r="C1049" s="16">
        <v>0.5138888888905058</v>
      </c>
      <c r="U1049" s="17" t="s">
        <v>113</v>
      </c>
      <c r="V1049" s="17">
        <v>9.010130464E9</v>
      </c>
      <c r="W1049" s="17" t="s">
        <v>113</v>
      </c>
      <c r="AA1049" s="17" t="s">
        <v>109</v>
      </c>
      <c r="AT1049" s="17" t="s">
        <v>3980</v>
      </c>
      <c r="AU1049" s="17" t="s">
        <v>76</v>
      </c>
      <c r="AZ1049" s="17" t="s">
        <v>243</v>
      </c>
      <c r="BA1049" s="17" t="s">
        <v>458</v>
      </c>
      <c r="BB1049" s="17" t="s">
        <v>109</v>
      </c>
      <c r="BP1049" s="17" t="s">
        <v>3981</v>
      </c>
      <c r="BR1049" s="24" t="str">
        <f t="shared" si="1"/>
        <v>Saregama kitchen</v>
      </c>
    </row>
    <row r="1050" ht="22.5" customHeight="1">
      <c r="A1050" s="14">
        <v>46078.88289346065</v>
      </c>
      <c r="B1050" s="15">
        <v>46078.0</v>
      </c>
      <c r="C1050" s="16">
        <v>0.53125</v>
      </c>
      <c r="U1050" s="17" t="s">
        <v>113</v>
      </c>
      <c r="V1050" s="17">
        <v>9.133979236E9</v>
      </c>
      <c r="W1050" s="17" t="s">
        <v>113</v>
      </c>
      <c r="AA1050" s="17" t="s">
        <v>109</v>
      </c>
      <c r="AT1050" s="17" t="s">
        <v>3982</v>
      </c>
      <c r="AU1050" s="17" t="s">
        <v>76</v>
      </c>
      <c r="AZ1050" s="17" t="s">
        <v>243</v>
      </c>
      <c r="BA1050" s="17" t="s">
        <v>458</v>
      </c>
      <c r="BB1050" s="17" t="s">
        <v>109</v>
      </c>
      <c r="BP1050" s="17" t="s">
        <v>3983</v>
      </c>
      <c r="BR1050" s="24" t="str">
        <f t="shared" si="1"/>
        <v>New heeramothi</v>
      </c>
    </row>
    <row r="1051" ht="22.5" customHeight="1">
      <c r="A1051" s="14">
        <v>46078.884089259256</v>
      </c>
      <c r="B1051" s="15">
        <v>46078.0</v>
      </c>
      <c r="C1051" s="16">
        <v>0.5416666666642413</v>
      </c>
      <c r="U1051" s="17" t="s">
        <v>113</v>
      </c>
      <c r="V1051" s="17">
        <v>9.014527193E9</v>
      </c>
      <c r="W1051" s="17" t="s">
        <v>113</v>
      </c>
      <c r="AA1051" s="17" t="s">
        <v>109</v>
      </c>
      <c r="AT1051" s="17" t="s">
        <v>3984</v>
      </c>
      <c r="AU1051" s="17" t="s">
        <v>76</v>
      </c>
      <c r="AZ1051" s="17" t="s">
        <v>243</v>
      </c>
      <c r="BA1051" s="17" t="s">
        <v>458</v>
      </c>
      <c r="BB1051" s="17" t="s">
        <v>109</v>
      </c>
      <c r="BP1051" s="17" t="s">
        <v>3985</v>
      </c>
      <c r="BR1051" s="24" t="str">
        <f t="shared" si="1"/>
        <v>Sri rama kitchens</v>
      </c>
    </row>
    <row r="1052" ht="22.5" customHeight="1">
      <c r="A1052" s="14">
        <v>46078.88495743056</v>
      </c>
      <c r="B1052" s="15">
        <v>46078.0</v>
      </c>
      <c r="C1052" s="16">
        <v>0.5555555555547471</v>
      </c>
      <c r="U1052" s="17" t="s">
        <v>3986</v>
      </c>
      <c r="V1052" s="17">
        <v>7.893253733E9</v>
      </c>
      <c r="W1052" s="17" t="s">
        <v>113</v>
      </c>
      <c r="AA1052" s="17" t="s">
        <v>109</v>
      </c>
      <c r="AT1052" s="17" t="s">
        <v>2561</v>
      </c>
      <c r="AU1052" s="17" t="s">
        <v>76</v>
      </c>
      <c r="AZ1052" s="17" t="s">
        <v>243</v>
      </c>
      <c r="BA1052" s="17" t="s">
        <v>458</v>
      </c>
      <c r="BB1052" s="17" t="s">
        <v>109</v>
      </c>
      <c r="BP1052" s="17" t="s">
        <v>3987</v>
      </c>
      <c r="BR1052" s="24" t="str">
        <f t="shared" si="1"/>
        <v>Crispy crunch</v>
      </c>
    </row>
    <row r="1053" ht="22.5" customHeight="1">
      <c r="A1053" s="14">
        <v>46078.886102881945</v>
      </c>
      <c r="B1053" s="15">
        <v>46078.0</v>
      </c>
      <c r="C1053" s="16">
        <v>0.5729166666642413</v>
      </c>
      <c r="U1053" s="17" t="s">
        <v>577</v>
      </c>
      <c r="V1053" s="17">
        <v>9.908775555E9</v>
      </c>
      <c r="W1053" s="17" t="s">
        <v>117</v>
      </c>
      <c r="AA1053" s="17" t="s">
        <v>109</v>
      </c>
      <c r="AT1053" s="17" t="s">
        <v>3988</v>
      </c>
      <c r="AU1053" s="17" t="s">
        <v>76</v>
      </c>
      <c r="AV1053" s="17" t="s">
        <v>271</v>
      </c>
      <c r="AZ1053" s="17" t="s">
        <v>243</v>
      </c>
      <c r="BA1053" s="17" t="s">
        <v>458</v>
      </c>
      <c r="BB1053" s="17" t="s">
        <v>109</v>
      </c>
      <c r="BP1053" s="17" t="s">
        <v>3989</v>
      </c>
      <c r="BR1053" s="24" t="str">
        <f t="shared" si="1"/>
        <v>Moon friends </v>
      </c>
    </row>
    <row r="1054" ht="22.5" customHeight="1">
      <c r="A1054" s="14">
        <v>46078.88747217593</v>
      </c>
      <c r="B1054" s="15">
        <v>46078.0</v>
      </c>
      <c r="C1054" s="16">
        <v>0.5833333333357587</v>
      </c>
      <c r="U1054" s="17" t="s">
        <v>117</v>
      </c>
      <c r="V1054" s="17">
        <v>9.703988539E9</v>
      </c>
      <c r="W1054" s="17" t="s">
        <v>117</v>
      </c>
      <c r="AA1054" s="17" t="s">
        <v>109</v>
      </c>
      <c r="AT1054" s="17" t="s">
        <v>3990</v>
      </c>
      <c r="AU1054" s="17" t="s">
        <v>76</v>
      </c>
      <c r="AZ1054" s="17" t="s">
        <v>243</v>
      </c>
      <c r="BA1054" s="17" t="s">
        <v>458</v>
      </c>
      <c r="BB1054" s="17" t="s">
        <v>109</v>
      </c>
      <c r="BP1054" s="17" t="s">
        <v>3991</v>
      </c>
      <c r="BR1054" s="24" t="str">
        <f t="shared" si="1"/>
        <v>MK Shawarma</v>
      </c>
    </row>
    <row r="1055" ht="22.5" customHeight="1">
      <c r="A1055" s="14">
        <v>46078.88932111111</v>
      </c>
      <c r="B1055" s="15">
        <v>46078.0</v>
      </c>
      <c r="C1055" s="16">
        <v>0.6041666666642413</v>
      </c>
      <c r="D1055" s="17" t="s">
        <v>91</v>
      </c>
      <c r="F1055" s="17">
        <v>25.0</v>
      </c>
      <c r="G1055" s="17">
        <v>200.0</v>
      </c>
      <c r="H1055" s="17" t="s">
        <v>117</v>
      </c>
      <c r="J1055" s="17" t="s">
        <v>221</v>
      </c>
      <c r="N1055" s="17">
        <v>1.0</v>
      </c>
      <c r="O1055" s="17" t="s">
        <v>117</v>
      </c>
      <c r="P1055" s="17" t="s">
        <v>109</v>
      </c>
      <c r="Q1055" s="17" t="s">
        <v>97</v>
      </c>
      <c r="R1055" s="17" t="s">
        <v>98</v>
      </c>
      <c r="S1055" s="17" t="s">
        <v>117</v>
      </c>
      <c r="U1055" s="17" t="s">
        <v>117</v>
      </c>
      <c r="V1055" s="17">
        <v>9.287878779E9</v>
      </c>
      <c r="W1055" s="17" t="s">
        <v>117</v>
      </c>
      <c r="AA1055" s="17" t="s">
        <v>109</v>
      </c>
      <c r="AT1055" s="17" t="s">
        <v>3992</v>
      </c>
      <c r="AU1055" s="17" t="s">
        <v>109</v>
      </c>
      <c r="AZ1055" s="17" t="s">
        <v>243</v>
      </c>
      <c r="BA1055" s="17" t="s">
        <v>458</v>
      </c>
      <c r="BB1055" s="17" t="s">
        <v>76</v>
      </c>
      <c r="BP1055" s="17" t="s">
        <v>3993</v>
      </c>
      <c r="BR1055" s="24" t="str">
        <f t="shared" si="1"/>
        <v>Sri nidhi dsr hotel</v>
      </c>
    </row>
    <row r="1056" ht="22.5" customHeight="1">
      <c r="A1056" s="14">
        <v>46078.890484675925</v>
      </c>
      <c r="B1056" s="15">
        <v>46078.0</v>
      </c>
      <c r="C1056" s="16">
        <v>0.6076388888905058</v>
      </c>
      <c r="U1056" s="17" t="s">
        <v>3994</v>
      </c>
      <c r="V1056" s="17">
        <v>8.790049756E9</v>
      </c>
      <c r="W1056" s="17" t="s">
        <v>117</v>
      </c>
      <c r="AA1056" s="17" t="s">
        <v>109</v>
      </c>
      <c r="AT1056" s="17" t="s">
        <v>2561</v>
      </c>
      <c r="AU1056" s="17" t="s">
        <v>76</v>
      </c>
      <c r="AZ1056" s="17" t="s">
        <v>243</v>
      </c>
      <c r="BA1056" s="17" t="s">
        <v>458</v>
      </c>
      <c r="BB1056" s="17" t="s">
        <v>109</v>
      </c>
      <c r="BP1056" s="17" t="s">
        <v>3995</v>
      </c>
      <c r="BR1056" s="24" t="str">
        <f t="shared" si="1"/>
        <v>Chicken in wings</v>
      </c>
    </row>
    <row r="1057" ht="22.5" customHeight="1">
      <c r="A1057" s="14">
        <v>46078.891742395834</v>
      </c>
      <c r="B1057" s="15">
        <v>46078.0</v>
      </c>
      <c r="C1057" s="16">
        <v>0.6979166666642413</v>
      </c>
      <c r="U1057" s="17" t="s">
        <v>117</v>
      </c>
      <c r="V1057" s="17" t="s">
        <v>117</v>
      </c>
      <c r="W1057" s="17" t="s">
        <v>117</v>
      </c>
      <c r="AA1057" s="17" t="s">
        <v>109</v>
      </c>
      <c r="AT1057" s="17" t="s">
        <v>1234</v>
      </c>
      <c r="AU1057" s="17" t="s">
        <v>109</v>
      </c>
      <c r="AZ1057" s="17" t="s">
        <v>243</v>
      </c>
      <c r="BA1057" s="17" t="s">
        <v>458</v>
      </c>
      <c r="BB1057" s="17" t="s">
        <v>109</v>
      </c>
      <c r="BP1057" s="17" t="s">
        <v>3996</v>
      </c>
      <c r="BR1057" s="24" t="str">
        <f t="shared" si="1"/>
        <v>Nellore chepala pulusu</v>
      </c>
    </row>
    <row r="1058" ht="22.5" customHeight="1">
      <c r="A1058" s="14">
        <v>46078.89292113426</v>
      </c>
      <c r="B1058" s="15">
        <v>46078.0</v>
      </c>
      <c r="C1058" s="16">
        <v>0.7083333333357587</v>
      </c>
      <c r="D1058" s="17" t="s">
        <v>111</v>
      </c>
      <c r="T1058" s="17" t="s">
        <v>3997</v>
      </c>
      <c r="U1058" s="17" t="s">
        <v>3998</v>
      </c>
      <c r="V1058" s="17">
        <v>8.074527844E9</v>
      </c>
      <c r="W1058" s="17" t="s">
        <v>117</v>
      </c>
      <c r="AA1058" s="17" t="s">
        <v>109</v>
      </c>
      <c r="AT1058" s="17" t="s">
        <v>237</v>
      </c>
      <c r="AU1058" s="17" t="s">
        <v>109</v>
      </c>
      <c r="AZ1058" s="17" t="s">
        <v>243</v>
      </c>
      <c r="BA1058" s="17" t="s">
        <v>458</v>
      </c>
      <c r="BB1058" s="17" t="s">
        <v>76</v>
      </c>
      <c r="BP1058" s="17" t="s">
        <v>3997</v>
      </c>
      <c r="BR1058" s="24" t="str">
        <f t="shared" si="1"/>
        <v>Classic crown restaurentClassic crown restaurent</v>
      </c>
    </row>
    <row r="1059" ht="22.5" customHeight="1">
      <c r="A1059" s="14">
        <v>46078.89385125</v>
      </c>
      <c r="B1059" s="15">
        <v>46078.0</v>
      </c>
      <c r="C1059" s="16">
        <v>0.7291666666642413</v>
      </c>
      <c r="D1059" s="17" t="s">
        <v>111</v>
      </c>
      <c r="T1059" s="17" t="s">
        <v>3999</v>
      </c>
      <c r="U1059" s="17" t="s">
        <v>1684</v>
      </c>
      <c r="V1059" s="17">
        <v>8.121271982E9</v>
      </c>
      <c r="W1059" s="17" t="s">
        <v>113</v>
      </c>
      <c r="AA1059" s="17" t="s">
        <v>109</v>
      </c>
      <c r="AT1059" s="17" t="s">
        <v>193</v>
      </c>
      <c r="AU1059" s="17" t="s">
        <v>76</v>
      </c>
      <c r="AZ1059" s="17" t="s">
        <v>243</v>
      </c>
      <c r="BA1059" s="17" t="s">
        <v>458</v>
      </c>
      <c r="BB1059" s="17" t="s">
        <v>76</v>
      </c>
      <c r="BP1059" s="17" t="s">
        <v>3999</v>
      </c>
      <c r="BR1059" s="24" t="str">
        <f t="shared" si="1"/>
        <v>Sri Tejas kitchenSri Tejas kitchen</v>
      </c>
    </row>
    <row r="1060" ht="22.5" customHeight="1">
      <c r="A1060" s="14">
        <v>46078.89528150463</v>
      </c>
      <c r="B1060" s="15">
        <v>46078.0</v>
      </c>
      <c r="C1060" s="16">
        <v>0.7291666666642413</v>
      </c>
      <c r="D1060" s="17" t="s">
        <v>111</v>
      </c>
      <c r="T1060" s="17" t="s">
        <v>4000</v>
      </c>
      <c r="U1060" s="17" t="s">
        <v>4001</v>
      </c>
      <c r="V1060" s="17">
        <v>9.398293706E9</v>
      </c>
      <c r="W1060" s="17" t="s">
        <v>117</v>
      </c>
      <c r="AA1060" s="17" t="s">
        <v>109</v>
      </c>
      <c r="AT1060" s="17" t="s">
        <v>193</v>
      </c>
      <c r="AU1060" s="17" t="s">
        <v>109</v>
      </c>
      <c r="AZ1060" s="17" t="s">
        <v>243</v>
      </c>
      <c r="BA1060" s="17" t="s">
        <v>458</v>
      </c>
      <c r="BB1060" s="17" t="s">
        <v>76</v>
      </c>
      <c r="BP1060" s="17" t="s">
        <v>4000</v>
      </c>
      <c r="BR1060" s="24" t="str">
        <f t="shared" si="1"/>
        <v>Crispy crunch dinnerCrispy crunch dinner</v>
      </c>
    </row>
    <row r="1061" ht="22.5" customHeight="1">
      <c r="A1061" s="14">
        <v>46078.896333993056</v>
      </c>
      <c r="B1061" s="15">
        <v>46078.0</v>
      </c>
      <c r="C1061" s="16">
        <v>0.7395833333357587</v>
      </c>
      <c r="D1061" s="17" t="s">
        <v>111</v>
      </c>
      <c r="T1061" s="17" t="s">
        <v>4002</v>
      </c>
      <c r="U1061" s="17" t="s">
        <v>4001</v>
      </c>
      <c r="V1061" s="17">
        <v>9.398293706E9</v>
      </c>
      <c r="W1061" s="17" t="s">
        <v>113</v>
      </c>
      <c r="AA1061" s="17" t="s">
        <v>109</v>
      </c>
      <c r="AT1061" s="17" t="s">
        <v>193</v>
      </c>
      <c r="AU1061" s="17" t="s">
        <v>109</v>
      </c>
      <c r="AZ1061" s="17" t="s">
        <v>243</v>
      </c>
      <c r="BA1061" s="17" t="s">
        <v>458</v>
      </c>
      <c r="BB1061" s="17" t="s">
        <v>76</v>
      </c>
      <c r="BP1061" s="17" t="s">
        <v>4002</v>
      </c>
      <c r="BR1061" s="24" t="str">
        <f t="shared" si="1"/>
        <v>Appi natural fresh juiceAppi natural fresh juice</v>
      </c>
    </row>
    <row r="1062" ht="22.5" customHeight="1">
      <c r="A1062" s="14">
        <v>46078.91113086806</v>
      </c>
      <c r="B1062" s="15">
        <v>46078.0</v>
      </c>
      <c r="C1062" s="16">
        <v>0.4562500000029104</v>
      </c>
      <c r="D1062" s="17" t="s">
        <v>91</v>
      </c>
      <c r="F1062" s="17">
        <v>50.0</v>
      </c>
      <c r="G1062" s="17">
        <v>300.0</v>
      </c>
      <c r="H1062" s="17" t="s">
        <v>291</v>
      </c>
      <c r="J1062" s="17" t="s">
        <v>167</v>
      </c>
      <c r="K1062" s="17" t="s">
        <v>134</v>
      </c>
      <c r="N1062" s="17">
        <v>7.0</v>
      </c>
      <c r="O1062" s="17" t="s">
        <v>96</v>
      </c>
      <c r="P1062" s="17" t="s">
        <v>76</v>
      </c>
      <c r="Q1062" s="17" t="s">
        <v>97</v>
      </c>
      <c r="R1062" s="17" t="s">
        <v>76</v>
      </c>
      <c r="S1062" s="17" t="s">
        <v>113</v>
      </c>
      <c r="U1062" s="17" t="s">
        <v>4003</v>
      </c>
      <c r="V1062" s="17">
        <v>9.441166869E9</v>
      </c>
      <c r="W1062" s="17" t="s">
        <v>113</v>
      </c>
      <c r="AA1062" s="17" t="s">
        <v>109</v>
      </c>
      <c r="AT1062" s="17" t="s">
        <v>4004</v>
      </c>
      <c r="AU1062" s="17" t="s">
        <v>76</v>
      </c>
      <c r="AV1062" s="17" t="s">
        <v>472</v>
      </c>
      <c r="AX1062" s="15">
        <v>46081.0</v>
      </c>
      <c r="AY1062" s="16">
        <v>0.41666666666424135</v>
      </c>
      <c r="AZ1062" s="17" t="s">
        <v>539</v>
      </c>
      <c r="BA1062" s="17" t="s">
        <v>458</v>
      </c>
      <c r="BB1062" s="17" t="s">
        <v>76</v>
      </c>
      <c r="BN1062" s="17" t="s">
        <v>1550</v>
      </c>
      <c r="BP1062" s="17" t="s">
        <v>4005</v>
      </c>
      <c r="BR1062" s="24" t="str">
        <f t="shared" si="1"/>
        <v>taaza tiffens </v>
      </c>
    </row>
    <row r="1063" ht="22.5" customHeight="1">
      <c r="A1063" s="14">
        <v>46078.91320284722</v>
      </c>
      <c r="B1063" s="15">
        <v>46078.0</v>
      </c>
      <c r="C1063" s="16">
        <v>0.5194444444423425</v>
      </c>
      <c r="D1063" s="17" t="s">
        <v>91</v>
      </c>
      <c r="F1063" s="17">
        <v>100.0</v>
      </c>
      <c r="G1063" s="17">
        <v>300.0</v>
      </c>
      <c r="H1063" s="17" t="s">
        <v>113</v>
      </c>
      <c r="J1063" s="17" t="s">
        <v>94</v>
      </c>
      <c r="K1063" s="17" t="s">
        <v>134</v>
      </c>
      <c r="N1063" s="17">
        <v>5.0</v>
      </c>
      <c r="O1063" s="17" t="s">
        <v>96</v>
      </c>
      <c r="P1063" s="17" t="s">
        <v>109</v>
      </c>
      <c r="Q1063" s="17" t="s">
        <v>97</v>
      </c>
      <c r="R1063" s="17" t="s">
        <v>109</v>
      </c>
      <c r="S1063" s="17" t="s">
        <v>113</v>
      </c>
      <c r="U1063" s="17" t="s">
        <v>4006</v>
      </c>
      <c r="V1063" s="17" t="s">
        <v>113</v>
      </c>
      <c r="W1063" s="17" t="s">
        <v>113</v>
      </c>
      <c r="AA1063" s="17" t="s">
        <v>109</v>
      </c>
      <c r="AT1063" s="17" t="s">
        <v>237</v>
      </c>
      <c r="AU1063" s="17" t="s">
        <v>109</v>
      </c>
      <c r="AZ1063" s="17" t="s">
        <v>539</v>
      </c>
      <c r="BA1063" s="17" t="s">
        <v>458</v>
      </c>
      <c r="BB1063" s="17" t="s">
        <v>76</v>
      </c>
      <c r="BN1063" s="17" t="s">
        <v>1550</v>
      </c>
      <c r="BP1063" s="17" t="s">
        <v>4007</v>
      </c>
      <c r="BR1063" s="24" t="str">
        <f t="shared" si="1"/>
        <v>sri raghavendra bhavan </v>
      </c>
    </row>
    <row r="1064" ht="22.5" customHeight="1">
      <c r="A1064" s="14">
        <v>46078.91412962963</v>
      </c>
      <c r="B1064" s="15">
        <v>46078.0</v>
      </c>
      <c r="C1064" s="16">
        <v>0.07847222222335404</v>
      </c>
      <c r="U1064" s="17" t="s">
        <v>113</v>
      </c>
      <c r="V1064" s="17" t="s">
        <v>113</v>
      </c>
      <c r="W1064" s="17" t="s">
        <v>113</v>
      </c>
      <c r="AA1064" s="17" t="s">
        <v>109</v>
      </c>
      <c r="AT1064" s="17" t="s">
        <v>2919</v>
      </c>
      <c r="AU1064" s="17" t="s">
        <v>76</v>
      </c>
      <c r="AV1064" s="17" t="s">
        <v>472</v>
      </c>
      <c r="AZ1064" s="17" t="s">
        <v>539</v>
      </c>
      <c r="BA1064" s="17" t="s">
        <v>458</v>
      </c>
      <c r="BB1064" s="17" t="s">
        <v>109</v>
      </c>
      <c r="BP1064" s="17" t="s">
        <v>4008</v>
      </c>
      <c r="BR1064" s="24" t="str">
        <f t="shared" si="1"/>
        <v>swathi tiffens </v>
      </c>
    </row>
    <row r="1065" ht="22.5" customHeight="1">
      <c r="A1065" s="14">
        <v>46078.9164137037</v>
      </c>
      <c r="B1065" s="15">
        <v>46078.0</v>
      </c>
      <c r="C1065" s="16">
        <v>0.08750000000145519</v>
      </c>
      <c r="U1065" s="17" t="s">
        <v>4009</v>
      </c>
      <c r="V1065" s="17">
        <v>9.347072802E9</v>
      </c>
      <c r="W1065" s="17" t="s">
        <v>113</v>
      </c>
      <c r="AA1065" s="17" t="s">
        <v>109</v>
      </c>
      <c r="AT1065" s="17" t="s">
        <v>4010</v>
      </c>
      <c r="AU1065" s="17" t="s">
        <v>76</v>
      </c>
      <c r="AZ1065" s="17" t="s">
        <v>539</v>
      </c>
      <c r="BA1065" s="17" t="s">
        <v>458</v>
      </c>
      <c r="BB1065" s="17" t="s">
        <v>109</v>
      </c>
      <c r="BP1065" s="17" t="s">
        <v>4011</v>
      </c>
      <c r="BR1065" s="24" t="str">
        <f t="shared" si="1"/>
        <v>the food court </v>
      </c>
    </row>
    <row r="1066" ht="22.5" customHeight="1">
      <c r="A1066" s="14">
        <v>46078.91825016204</v>
      </c>
      <c r="B1066" s="15">
        <v>46078.0</v>
      </c>
      <c r="C1066" s="16">
        <v>0.09097222222044365</v>
      </c>
      <c r="D1066" s="17" t="s">
        <v>91</v>
      </c>
      <c r="F1066" s="17">
        <v>20.0</v>
      </c>
      <c r="G1066" s="17">
        <v>400.0</v>
      </c>
      <c r="H1066" s="17" t="s">
        <v>291</v>
      </c>
      <c r="J1066" s="17" t="s">
        <v>167</v>
      </c>
      <c r="K1066" s="17" t="s">
        <v>134</v>
      </c>
      <c r="N1066" s="17">
        <v>2.0</v>
      </c>
      <c r="O1066" s="17" t="s">
        <v>96</v>
      </c>
      <c r="P1066" s="17" t="s">
        <v>76</v>
      </c>
      <c r="Q1066" s="17" t="s">
        <v>97</v>
      </c>
      <c r="R1066" s="17" t="s">
        <v>76</v>
      </c>
      <c r="S1066" s="17" t="s">
        <v>113</v>
      </c>
      <c r="U1066" s="17" t="s">
        <v>4012</v>
      </c>
      <c r="V1066" s="17">
        <v>8.328135391E9</v>
      </c>
      <c r="W1066" s="17" t="s">
        <v>113</v>
      </c>
      <c r="AA1066" s="17" t="s">
        <v>109</v>
      </c>
      <c r="AT1066" s="17" t="s">
        <v>4013</v>
      </c>
      <c r="AU1066" s="17" t="s">
        <v>76</v>
      </c>
      <c r="AZ1066" s="17" t="s">
        <v>539</v>
      </c>
      <c r="BA1066" s="17" t="s">
        <v>458</v>
      </c>
      <c r="BB1066" s="17" t="s">
        <v>76</v>
      </c>
      <c r="BN1066" s="17" t="s">
        <v>2900</v>
      </c>
      <c r="BP1066" s="17" t="s">
        <v>4014</v>
      </c>
      <c r="BR1066" s="24" t="str">
        <f t="shared" si="1"/>
        <v>bandhan mithai vatika </v>
      </c>
    </row>
    <row r="1067" ht="22.5" customHeight="1">
      <c r="A1067" s="14">
        <v>46078.91913256944</v>
      </c>
      <c r="B1067" s="15">
        <v>46078.0</v>
      </c>
      <c r="C1067" s="16">
        <v>0.10624999999708962</v>
      </c>
      <c r="U1067" s="17" t="s">
        <v>4015</v>
      </c>
      <c r="V1067" s="17" t="s">
        <v>113</v>
      </c>
      <c r="W1067" s="17" t="s">
        <v>113</v>
      </c>
      <c r="AA1067" s="17" t="s">
        <v>109</v>
      </c>
      <c r="AT1067" s="17" t="s">
        <v>237</v>
      </c>
      <c r="AU1067" s="17" t="s">
        <v>109</v>
      </c>
      <c r="AZ1067" s="17" t="s">
        <v>539</v>
      </c>
      <c r="BA1067" s="17" t="s">
        <v>458</v>
      </c>
      <c r="BB1067" s="17" t="s">
        <v>109</v>
      </c>
      <c r="BP1067" s="17" t="s">
        <v>4016</v>
      </c>
      <c r="BR1067" s="24" t="str">
        <f t="shared" si="1"/>
        <v>raghuram dosa</v>
      </c>
    </row>
    <row r="1068" ht="22.5" customHeight="1">
      <c r="A1068" s="14">
        <v>46078.92167609953</v>
      </c>
      <c r="B1068" s="15">
        <v>46078.0</v>
      </c>
      <c r="C1068" s="16">
        <v>0.28541666666569654</v>
      </c>
      <c r="D1068" s="17" t="s">
        <v>91</v>
      </c>
      <c r="F1068" s="17">
        <v>50.0</v>
      </c>
      <c r="G1068" s="17">
        <v>450.0</v>
      </c>
      <c r="H1068" s="17" t="s">
        <v>113</v>
      </c>
      <c r="J1068" s="17" t="s">
        <v>167</v>
      </c>
      <c r="K1068" s="17" t="s">
        <v>134</v>
      </c>
      <c r="N1068" s="17">
        <v>1.0</v>
      </c>
      <c r="O1068" s="17" t="s">
        <v>96</v>
      </c>
      <c r="P1068" s="17" t="s">
        <v>76</v>
      </c>
      <c r="Q1068" s="17" t="s">
        <v>97</v>
      </c>
      <c r="R1068" s="17" t="s">
        <v>109</v>
      </c>
      <c r="S1068" s="17" t="s">
        <v>3564</v>
      </c>
      <c r="U1068" s="17" t="s">
        <v>4017</v>
      </c>
      <c r="V1068" s="17">
        <v>9.986881566E9</v>
      </c>
      <c r="W1068" s="17" t="s">
        <v>113</v>
      </c>
      <c r="AA1068" s="17" t="s">
        <v>109</v>
      </c>
      <c r="AT1068" s="17" t="s">
        <v>237</v>
      </c>
      <c r="AU1068" s="17" t="s">
        <v>109</v>
      </c>
      <c r="AZ1068" s="17" t="s">
        <v>539</v>
      </c>
      <c r="BA1068" s="17" t="s">
        <v>458</v>
      </c>
      <c r="BB1068" s="17" t="s">
        <v>76</v>
      </c>
      <c r="BN1068" s="17" t="s">
        <v>4018</v>
      </c>
      <c r="BP1068" s="17" t="s">
        <v>4019</v>
      </c>
      <c r="BR1068" s="24" t="str">
        <f t="shared" si="1"/>
        <v>epic bawarchi </v>
      </c>
    </row>
    <row r="1069" ht="22.5" customHeight="1">
      <c r="A1069" s="14">
        <v>46078.9231797338</v>
      </c>
      <c r="B1069" s="15">
        <v>46078.0</v>
      </c>
      <c r="C1069" s="16">
        <v>0.2819444444467081</v>
      </c>
      <c r="D1069" s="17" t="s">
        <v>91</v>
      </c>
      <c r="F1069" s="17">
        <v>50.0</v>
      </c>
      <c r="G1069" s="17">
        <v>450.0</v>
      </c>
      <c r="H1069" s="17" t="s">
        <v>113</v>
      </c>
      <c r="J1069" s="17" t="s">
        <v>167</v>
      </c>
      <c r="K1069" s="17" t="s">
        <v>134</v>
      </c>
      <c r="N1069" s="17">
        <v>1.0</v>
      </c>
      <c r="O1069" s="17" t="s">
        <v>96</v>
      </c>
      <c r="P1069" s="17" t="s">
        <v>76</v>
      </c>
      <c r="Q1069" s="17" t="s">
        <v>97</v>
      </c>
      <c r="R1069" s="17" t="s">
        <v>76</v>
      </c>
      <c r="S1069" s="17" t="s">
        <v>113</v>
      </c>
      <c r="U1069" s="17" t="s">
        <v>2918</v>
      </c>
      <c r="V1069" s="17">
        <v>9.986881566E9</v>
      </c>
      <c r="W1069" s="17" t="s">
        <v>113</v>
      </c>
      <c r="AA1069" s="17" t="s">
        <v>109</v>
      </c>
      <c r="AT1069" s="17" t="s">
        <v>237</v>
      </c>
      <c r="AU1069" s="17" t="s">
        <v>76</v>
      </c>
      <c r="AZ1069" s="17" t="s">
        <v>539</v>
      </c>
      <c r="BA1069" s="17" t="s">
        <v>458</v>
      </c>
      <c r="BB1069" s="17" t="s">
        <v>76</v>
      </c>
      <c r="BN1069" s="17" t="s">
        <v>2865</v>
      </c>
      <c r="BP1069" s="17" t="s">
        <v>4020</v>
      </c>
      <c r="BR1069" s="24" t="str">
        <f t="shared" si="1"/>
        <v>epic bawarachi tiffen centre </v>
      </c>
    </row>
    <row r="1070" ht="22.5" customHeight="1">
      <c r="A1070" s="14">
        <v>46078.92498418981</v>
      </c>
      <c r="B1070" s="15">
        <v>46078.0</v>
      </c>
      <c r="C1070" s="16">
        <v>0.2819444444467081</v>
      </c>
      <c r="D1070" s="17" t="s">
        <v>91</v>
      </c>
      <c r="F1070" s="17">
        <v>50.0</v>
      </c>
      <c r="G1070" s="17">
        <v>200.0</v>
      </c>
      <c r="H1070" s="17" t="s">
        <v>113</v>
      </c>
      <c r="J1070" s="17" t="s">
        <v>221</v>
      </c>
      <c r="N1070" s="17">
        <v>1.0</v>
      </c>
      <c r="O1070" s="17" t="s">
        <v>96</v>
      </c>
      <c r="P1070" s="17" t="s">
        <v>109</v>
      </c>
      <c r="Q1070" s="17" t="s">
        <v>97</v>
      </c>
      <c r="R1070" s="17" t="s">
        <v>109</v>
      </c>
      <c r="S1070" s="17" t="s">
        <v>113</v>
      </c>
      <c r="U1070" s="17" t="s">
        <v>4021</v>
      </c>
      <c r="V1070" s="17">
        <v>9.986881566E9</v>
      </c>
      <c r="W1070" s="17" t="s">
        <v>113</v>
      </c>
      <c r="AA1070" s="17" t="s">
        <v>109</v>
      </c>
      <c r="AT1070" s="17" t="s">
        <v>237</v>
      </c>
      <c r="AU1070" s="17" t="s">
        <v>109</v>
      </c>
      <c r="AZ1070" s="17" t="s">
        <v>539</v>
      </c>
      <c r="BA1070" s="17" t="s">
        <v>458</v>
      </c>
      <c r="BB1070" s="17" t="s">
        <v>76</v>
      </c>
      <c r="BN1070" s="17" t="s">
        <v>2865</v>
      </c>
      <c r="BP1070" s="17" t="s">
        <v>4022</v>
      </c>
      <c r="BR1070" s="24" t="str">
        <f t="shared" si="1"/>
        <v>epic bawarchi chat bhandar </v>
      </c>
    </row>
    <row r="1071" ht="22.5" customHeight="1">
      <c r="A1071" s="14">
        <v>46078.92620912037</v>
      </c>
      <c r="B1071" s="15">
        <v>46078.0</v>
      </c>
      <c r="C1071" s="16">
        <v>0.2819444444467081</v>
      </c>
      <c r="D1071" s="17" t="s">
        <v>91</v>
      </c>
      <c r="F1071" s="17">
        <v>50.0</v>
      </c>
      <c r="G1071" s="17">
        <v>400.0</v>
      </c>
      <c r="H1071" s="17" t="s">
        <v>113</v>
      </c>
      <c r="J1071" s="17" t="s">
        <v>167</v>
      </c>
      <c r="K1071" s="17" t="s">
        <v>134</v>
      </c>
      <c r="N1071" s="17">
        <v>1.0</v>
      </c>
      <c r="O1071" s="17" t="s">
        <v>96</v>
      </c>
      <c r="P1071" s="17" t="s">
        <v>109</v>
      </c>
      <c r="Q1071" s="17" t="s">
        <v>97</v>
      </c>
      <c r="R1071" s="17" t="s">
        <v>76</v>
      </c>
      <c r="S1071" s="17" t="s">
        <v>113</v>
      </c>
      <c r="U1071" s="17" t="s">
        <v>2918</v>
      </c>
      <c r="V1071" s="17">
        <v>9.986881566E9</v>
      </c>
      <c r="W1071" s="17" t="s">
        <v>113</v>
      </c>
      <c r="AA1071" s="17" t="s">
        <v>109</v>
      </c>
      <c r="AT1071" s="17" t="s">
        <v>237</v>
      </c>
      <c r="AU1071" s="17" t="s">
        <v>109</v>
      </c>
      <c r="AZ1071" s="17" t="s">
        <v>539</v>
      </c>
      <c r="BA1071" s="17" t="s">
        <v>458</v>
      </c>
      <c r="BB1071" s="17" t="s">
        <v>76</v>
      </c>
      <c r="BN1071" s="17" t="s">
        <v>2865</v>
      </c>
      <c r="BP1071" s="17" t="s">
        <v>4023</v>
      </c>
      <c r="BR1071" s="24" t="str">
        <f t="shared" si="1"/>
        <v>the chinese zhang family </v>
      </c>
    </row>
    <row r="1072" ht="22.5" customHeight="1">
      <c r="A1072" s="14">
        <v>46078.92950131945</v>
      </c>
      <c r="B1072" s="15">
        <v>46078.0</v>
      </c>
      <c r="C1072" s="16">
        <v>0.2819444444467081</v>
      </c>
      <c r="D1072" s="17" t="s">
        <v>91</v>
      </c>
      <c r="F1072" s="17">
        <v>50.0</v>
      </c>
      <c r="G1072" s="17">
        <v>400.0</v>
      </c>
      <c r="H1072" s="17" t="s">
        <v>113</v>
      </c>
      <c r="J1072" s="17" t="s">
        <v>167</v>
      </c>
      <c r="K1072" s="17" t="s">
        <v>134</v>
      </c>
      <c r="N1072" s="17">
        <v>1.0</v>
      </c>
      <c r="O1072" s="17" t="s">
        <v>96</v>
      </c>
      <c r="P1072" s="17" t="s">
        <v>109</v>
      </c>
      <c r="Q1072" s="17" t="s">
        <v>97</v>
      </c>
      <c r="R1072" s="17" t="s">
        <v>109</v>
      </c>
      <c r="S1072" s="17" t="s">
        <v>113</v>
      </c>
      <c r="U1072" s="17" t="s">
        <v>4021</v>
      </c>
      <c r="V1072" s="17">
        <v>9.986881566E9</v>
      </c>
      <c r="W1072" s="17" t="s">
        <v>113</v>
      </c>
      <c r="AA1072" s="17" t="s">
        <v>109</v>
      </c>
      <c r="AT1072" s="17" t="s">
        <v>237</v>
      </c>
      <c r="AU1072" s="17" t="s">
        <v>109</v>
      </c>
      <c r="AZ1072" s="17" t="s">
        <v>539</v>
      </c>
      <c r="BA1072" s="17" t="s">
        <v>458</v>
      </c>
      <c r="BB1072" s="17" t="s">
        <v>76</v>
      </c>
      <c r="BN1072" s="17" t="s">
        <v>2865</v>
      </c>
      <c r="BP1072" s="17" t="s">
        <v>4024</v>
      </c>
      <c r="BR1072" s="24" t="str">
        <f t="shared" si="1"/>
        <v>nellore vantakalu</v>
      </c>
    </row>
    <row r="1073" ht="22.5" customHeight="1">
      <c r="A1073" s="14">
        <v>46078.93159252315</v>
      </c>
      <c r="B1073" s="15">
        <v>46078.0</v>
      </c>
      <c r="C1073" s="16">
        <v>0.25</v>
      </c>
      <c r="D1073" s="17" t="s">
        <v>91</v>
      </c>
      <c r="F1073" s="17">
        <v>30.0</v>
      </c>
      <c r="G1073" s="17">
        <v>300.0</v>
      </c>
      <c r="H1073" s="17" t="s">
        <v>113</v>
      </c>
      <c r="J1073" s="17" t="s">
        <v>94</v>
      </c>
      <c r="K1073" s="17" t="s">
        <v>134</v>
      </c>
      <c r="N1073" s="17">
        <v>1.0</v>
      </c>
      <c r="O1073" s="17" t="s">
        <v>135</v>
      </c>
      <c r="P1073" s="17" t="s">
        <v>76</v>
      </c>
      <c r="Q1073" s="17" t="s">
        <v>97</v>
      </c>
      <c r="R1073" s="17" t="s">
        <v>76</v>
      </c>
      <c r="S1073" s="17" t="s">
        <v>113</v>
      </c>
      <c r="U1073" s="17" t="s">
        <v>3854</v>
      </c>
      <c r="V1073" s="17">
        <v>9.000373041E9</v>
      </c>
      <c r="W1073" s="17" t="s">
        <v>4025</v>
      </c>
      <c r="AA1073" s="17" t="s">
        <v>76</v>
      </c>
      <c r="AB1073" s="17">
        <v>1.3625010000289E13</v>
      </c>
      <c r="AC1073" s="18" t="s">
        <v>4026</v>
      </c>
      <c r="AD1073" s="17" t="s">
        <v>4027</v>
      </c>
      <c r="AE1073" s="18" t="s">
        <v>4028</v>
      </c>
      <c r="AF1073" s="17" t="s">
        <v>4029</v>
      </c>
      <c r="AG1073" s="18" t="s">
        <v>4030</v>
      </c>
      <c r="AK1073" s="18" t="s">
        <v>4031</v>
      </c>
      <c r="AL1073" s="17">
        <v>1.97405001433E11</v>
      </c>
      <c r="AM1073" s="17" t="s">
        <v>3814</v>
      </c>
      <c r="AN1073" s="17" t="s">
        <v>4032</v>
      </c>
      <c r="AO1073" s="17" t="s">
        <v>4033</v>
      </c>
      <c r="AR1073" s="17" t="s">
        <v>4033</v>
      </c>
      <c r="AS1073" s="17" t="s">
        <v>76</v>
      </c>
      <c r="AT1073" s="17" t="s">
        <v>4034</v>
      </c>
      <c r="AU1073" s="17" t="s">
        <v>109</v>
      </c>
      <c r="AZ1073" s="17" t="s">
        <v>3034</v>
      </c>
      <c r="BA1073" s="17" t="s">
        <v>458</v>
      </c>
      <c r="BB1073" s="17" t="s">
        <v>76</v>
      </c>
      <c r="BH1073" s="17">
        <v>17.0</v>
      </c>
      <c r="BI1073" s="17" t="s">
        <v>109</v>
      </c>
      <c r="BJ1073" s="16">
        <v>0.45833333333575865</v>
      </c>
      <c r="BK1073" s="16">
        <v>0.45833333333575865</v>
      </c>
      <c r="BM1073" s="17" t="s">
        <v>4035</v>
      </c>
      <c r="BN1073" s="17" t="s">
        <v>4036</v>
      </c>
      <c r="BP1073" s="17" t="s">
        <v>3856</v>
      </c>
      <c r="BR1073" s="24" t="str">
        <f t="shared" si="1"/>
        <v>Taaza Tiffins</v>
      </c>
    </row>
    <row r="1074" ht="22.5" customHeight="1">
      <c r="A1074" s="14">
        <v>46078.93237043981</v>
      </c>
      <c r="B1074" s="15">
        <v>46078.0</v>
      </c>
      <c r="C1074" s="16">
        <v>0.429861111115315</v>
      </c>
      <c r="D1074" s="17" t="s">
        <v>91</v>
      </c>
      <c r="F1074" s="17">
        <v>50.0</v>
      </c>
      <c r="G1074" s="17">
        <v>400.0</v>
      </c>
      <c r="H1074" s="17" t="s">
        <v>2870</v>
      </c>
      <c r="J1074" s="17" t="s">
        <v>167</v>
      </c>
      <c r="K1074" s="17" t="s">
        <v>134</v>
      </c>
      <c r="N1074" s="17">
        <v>1.0</v>
      </c>
      <c r="O1074" s="17" t="s">
        <v>96</v>
      </c>
      <c r="P1074" s="17" t="s">
        <v>109</v>
      </c>
      <c r="Q1074" s="17" t="s">
        <v>97</v>
      </c>
      <c r="R1074" s="17" t="s">
        <v>109</v>
      </c>
      <c r="S1074" s="17" t="s">
        <v>113</v>
      </c>
      <c r="U1074" s="17" t="s">
        <v>4021</v>
      </c>
      <c r="V1074" s="17">
        <v>9.986881566E9</v>
      </c>
      <c r="W1074" s="17" t="s">
        <v>113</v>
      </c>
      <c r="AA1074" s="17" t="s">
        <v>109</v>
      </c>
      <c r="AT1074" s="17" t="s">
        <v>237</v>
      </c>
      <c r="AU1074" s="17" t="s">
        <v>109</v>
      </c>
      <c r="AZ1074" s="17" t="s">
        <v>539</v>
      </c>
      <c r="BA1074" s="17" t="s">
        <v>458</v>
      </c>
      <c r="BB1074" s="17" t="s">
        <v>76</v>
      </c>
      <c r="BN1074" s="17" t="s">
        <v>4037</v>
      </c>
      <c r="BP1074" s="17" t="s">
        <v>4038</v>
      </c>
      <c r="BR1074" s="24" t="str">
        <f t="shared" si="1"/>
        <v>beyond kimchi - the taste of korea </v>
      </c>
    </row>
    <row r="1075" ht="22.5" customHeight="1">
      <c r="A1075" s="14">
        <v>46078.93422189815</v>
      </c>
      <c r="B1075" s="15">
        <v>46078.0</v>
      </c>
      <c r="C1075" s="16">
        <v>0.2819444444467081</v>
      </c>
      <c r="D1075" s="17" t="s">
        <v>91</v>
      </c>
      <c r="F1075" s="17">
        <v>50.0</v>
      </c>
      <c r="G1075" s="17">
        <v>400.0</v>
      </c>
      <c r="H1075" s="17" t="s">
        <v>113</v>
      </c>
      <c r="J1075" s="17" t="s">
        <v>167</v>
      </c>
      <c r="K1075" s="17" t="s">
        <v>134</v>
      </c>
      <c r="N1075" s="17">
        <v>1.0</v>
      </c>
      <c r="O1075" s="17" t="s">
        <v>96</v>
      </c>
      <c r="P1075" s="17" t="s">
        <v>76</v>
      </c>
      <c r="Q1075" s="17" t="s">
        <v>97</v>
      </c>
      <c r="R1075" s="17" t="s">
        <v>109</v>
      </c>
      <c r="S1075" s="17" t="s">
        <v>113</v>
      </c>
      <c r="U1075" s="17" t="s">
        <v>4021</v>
      </c>
      <c r="V1075" s="17">
        <v>9.986881566E9</v>
      </c>
      <c r="W1075" s="17" t="s">
        <v>113</v>
      </c>
      <c r="AA1075" s="17" t="s">
        <v>109</v>
      </c>
      <c r="AT1075" s="17" t="s">
        <v>4039</v>
      </c>
      <c r="AU1075" s="17" t="s">
        <v>109</v>
      </c>
      <c r="AZ1075" s="17" t="s">
        <v>539</v>
      </c>
      <c r="BA1075" s="17" t="s">
        <v>458</v>
      </c>
      <c r="BB1075" s="17" t="s">
        <v>76</v>
      </c>
      <c r="BN1075" s="17" t="s">
        <v>2865</v>
      </c>
      <c r="BP1075" s="17" t="s">
        <v>4040</v>
      </c>
      <c r="BR1075" s="24" t="str">
        <f t="shared" si="1"/>
        <v>the english kitchen </v>
      </c>
    </row>
    <row r="1076" ht="22.5" customHeight="1">
      <c r="A1076" s="14">
        <v>46078.93583362269</v>
      </c>
      <c r="B1076" s="15">
        <v>46078.0</v>
      </c>
      <c r="C1076" s="16">
        <v>0.22916666666424135</v>
      </c>
      <c r="D1076" s="17" t="s">
        <v>91</v>
      </c>
      <c r="F1076" s="17">
        <v>20.0</v>
      </c>
      <c r="G1076" s="17">
        <v>250.0</v>
      </c>
      <c r="H1076" s="17" t="s">
        <v>113</v>
      </c>
      <c r="J1076" s="17" t="s">
        <v>94</v>
      </c>
      <c r="K1076" s="17" t="s">
        <v>118</v>
      </c>
      <c r="N1076" s="17">
        <v>1.0</v>
      </c>
      <c r="O1076" s="17" t="s">
        <v>96</v>
      </c>
      <c r="P1076" s="17" t="s">
        <v>109</v>
      </c>
      <c r="Q1076" s="17" t="s">
        <v>97</v>
      </c>
      <c r="R1076" s="17" t="s">
        <v>109</v>
      </c>
      <c r="S1076" s="17" t="s">
        <v>113</v>
      </c>
      <c r="U1076" s="17" t="s">
        <v>4041</v>
      </c>
      <c r="V1076" s="17">
        <v>8.328177189E9</v>
      </c>
      <c r="W1076" s="17" t="s">
        <v>113</v>
      </c>
      <c r="AA1076" s="17" t="s">
        <v>76</v>
      </c>
      <c r="AB1076" s="17">
        <v>2.3626028000655E13</v>
      </c>
      <c r="AC1076" s="18" t="s">
        <v>4042</v>
      </c>
      <c r="AD1076" s="17" t="s">
        <v>117</v>
      </c>
      <c r="AF1076" s="17" t="s">
        <v>4043</v>
      </c>
      <c r="AG1076" s="18" t="s">
        <v>4044</v>
      </c>
      <c r="AH1076" s="17" t="s">
        <v>117</v>
      </c>
      <c r="AK1076" s="18" t="s">
        <v>4045</v>
      </c>
      <c r="AL1076" s="17">
        <v>9.25010020128231E14</v>
      </c>
      <c r="AM1076" s="17" t="s">
        <v>4046</v>
      </c>
      <c r="AN1076" s="17" t="s">
        <v>4047</v>
      </c>
      <c r="AO1076" s="17" t="s">
        <v>4047</v>
      </c>
      <c r="AP1076" s="17">
        <v>8.328177189E9</v>
      </c>
      <c r="AS1076" s="17" t="s">
        <v>76</v>
      </c>
      <c r="AT1076" s="17" t="s">
        <v>4034</v>
      </c>
      <c r="AU1076" s="17" t="s">
        <v>109</v>
      </c>
      <c r="AZ1076" s="17" t="s">
        <v>3034</v>
      </c>
      <c r="BA1076" s="17" t="s">
        <v>458</v>
      </c>
      <c r="BB1076" s="17" t="s">
        <v>76</v>
      </c>
      <c r="BH1076" s="17">
        <v>20.0</v>
      </c>
      <c r="BJ1076" s="16">
        <v>0.45833333333575865</v>
      </c>
      <c r="BK1076" s="16">
        <v>0.45833333333575865</v>
      </c>
      <c r="BM1076" s="17" t="s">
        <v>4048</v>
      </c>
      <c r="BN1076" s="17" t="s">
        <v>4036</v>
      </c>
      <c r="BP1076" s="17" t="s">
        <v>4049</v>
      </c>
      <c r="BR1076" s="24" t="str">
        <f t="shared" si="1"/>
        <v>Mini Udipi's</v>
      </c>
    </row>
    <row r="1077" ht="22.5" customHeight="1">
      <c r="A1077" s="14">
        <v>46078.935947465274</v>
      </c>
      <c r="B1077" s="15">
        <v>46078.0</v>
      </c>
      <c r="C1077" s="16">
        <v>0.2819444444467081</v>
      </c>
      <c r="D1077" s="17" t="s">
        <v>91</v>
      </c>
      <c r="F1077" s="17">
        <v>50.0</v>
      </c>
      <c r="G1077" s="17">
        <v>400.0</v>
      </c>
      <c r="H1077" s="17" t="s">
        <v>113</v>
      </c>
      <c r="J1077" s="17" t="s">
        <v>167</v>
      </c>
      <c r="K1077" s="17" t="s">
        <v>134</v>
      </c>
      <c r="N1077" s="17">
        <v>1.0</v>
      </c>
      <c r="O1077" s="17" t="s">
        <v>96</v>
      </c>
      <c r="P1077" s="17" t="s">
        <v>109</v>
      </c>
      <c r="Q1077" s="17" t="s">
        <v>97</v>
      </c>
      <c r="R1077" s="17" t="s">
        <v>109</v>
      </c>
      <c r="S1077" s="17" t="s">
        <v>113</v>
      </c>
      <c r="U1077" s="17" t="s">
        <v>4021</v>
      </c>
      <c r="V1077" s="17">
        <v>9.986881566E9</v>
      </c>
      <c r="W1077" s="17" t="s">
        <v>113</v>
      </c>
      <c r="AA1077" s="17" t="s">
        <v>109</v>
      </c>
      <c r="AT1077" s="17" t="s">
        <v>237</v>
      </c>
      <c r="AU1077" s="17" t="s">
        <v>109</v>
      </c>
      <c r="AZ1077" s="17" t="s">
        <v>539</v>
      </c>
      <c r="BA1077" s="17" t="s">
        <v>458</v>
      </c>
      <c r="BB1077" s="17" t="s">
        <v>76</v>
      </c>
      <c r="BN1077" s="17" t="s">
        <v>2865</v>
      </c>
      <c r="BP1077" s="17" t="s">
        <v>4050</v>
      </c>
      <c r="BR1077" s="24" t="str">
        <f t="shared" si="1"/>
        <v>vizag beach street food </v>
      </c>
    </row>
    <row r="1078" ht="22.5" customHeight="1">
      <c r="A1078" s="14">
        <v>46078.937683888886</v>
      </c>
      <c r="B1078" s="15">
        <v>46078.0</v>
      </c>
      <c r="C1078" s="16">
        <v>0.2819444444467081</v>
      </c>
      <c r="D1078" s="17" t="s">
        <v>91</v>
      </c>
      <c r="F1078" s="17">
        <v>50.0</v>
      </c>
      <c r="G1078" s="17">
        <v>300.0</v>
      </c>
      <c r="H1078" s="17" t="s">
        <v>113</v>
      </c>
      <c r="J1078" s="17" t="s">
        <v>94</v>
      </c>
      <c r="K1078" s="17" t="s">
        <v>134</v>
      </c>
      <c r="N1078" s="17">
        <v>1.0</v>
      </c>
      <c r="O1078" s="17" t="s">
        <v>96</v>
      </c>
      <c r="P1078" s="17" t="s">
        <v>109</v>
      </c>
      <c r="Q1078" s="17" t="s">
        <v>97</v>
      </c>
      <c r="R1078" s="17" t="s">
        <v>109</v>
      </c>
      <c r="S1078" s="17" t="s">
        <v>113</v>
      </c>
      <c r="U1078" s="17" t="s">
        <v>2918</v>
      </c>
      <c r="V1078" s="17">
        <v>9.986881566E9</v>
      </c>
      <c r="W1078" s="17" t="s">
        <v>113</v>
      </c>
      <c r="AA1078" s="17" t="s">
        <v>109</v>
      </c>
      <c r="AT1078" s="17" t="s">
        <v>237</v>
      </c>
      <c r="AU1078" s="17" t="s">
        <v>109</v>
      </c>
      <c r="AZ1078" s="17" t="s">
        <v>539</v>
      </c>
      <c r="BA1078" s="17" t="s">
        <v>458</v>
      </c>
      <c r="BB1078" s="17" t="s">
        <v>76</v>
      </c>
      <c r="BN1078" s="17" t="s">
        <v>2865</v>
      </c>
      <c r="BP1078" s="17" t="s">
        <v>4051</v>
      </c>
      <c r="BR1078" s="24" t="str">
        <f t="shared" si="1"/>
        <v>mana vizag ruchulu </v>
      </c>
    </row>
    <row r="1079" ht="22.5" customHeight="1">
      <c r="A1079" s="14">
        <v>46078.93935564815</v>
      </c>
      <c r="B1079" s="15">
        <v>46078.0</v>
      </c>
      <c r="C1079" s="16">
        <v>0.2819444444467081</v>
      </c>
      <c r="D1079" s="17" t="s">
        <v>91</v>
      </c>
      <c r="F1079" s="17">
        <v>50.0</v>
      </c>
      <c r="G1079" s="17">
        <v>400.0</v>
      </c>
      <c r="H1079" s="17" t="s">
        <v>113</v>
      </c>
      <c r="J1079" s="17" t="s">
        <v>94</v>
      </c>
      <c r="K1079" s="17" t="s">
        <v>134</v>
      </c>
      <c r="N1079" s="17">
        <v>1.0</v>
      </c>
      <c r="O1079" s="17" t="s">
        <v>96</v>
      </c>
      <c r="P1079" s="17" t="s">
        <v>109</v>
      </c>
      <c r="Q1079" s="17" t="s">
        <v>97</v>
      </c>
      <c r="R1079" s="17" t="s">
        <v>109</v>
      </c>
      <c r="S1079" s="17" t="s">
        <v>888</v>
      </c>
      <c r="U1079" s="17" t="s">
        <v>4052</v>
      </c>
      <c r="V1079" s="17">
        <v>9.986881566E9</v>
      </c>
      <c r="W1079" s="17" t="s">
        <v>117</v>
      </c>
      <c r="AA1079" s="17" t="s">
        <v>109</v>
      </c>
      <c r="AT1079" s="17" t="s">
        <v>193</v>
      </c>
      <c r="AU1079" s="17" t="s">
        <v>109</v>
      </c>
      <c r="AZ1079" s="17" t="s">
        <v>539</v>
      </c>
      <c r="BA1079" s="17" t="s">
        <v>458</v>
      </c>
      <c r="BB1079" s="17" t="s">
        <v>76</v>
      </c>
      <c r="BN1079" s="17" t="s">
        <v>4053</v>
      </c>
      <c r="BP1079" s="17" t="s">
        <v>4054</v>
      </c>
      <c r="BR1079" s="24" t="str">
        <f t="shared" si="1"/>
        <v>healthy food promised</v>
      </c>
    </row>
    <row r="1080" ht="22.5" customHeight="1">
      <c r="A1080" s="14">
        <v>46078.941206655094</v>
      </c>
      <c r="B1080" s="15">
        <v>46078.0</v>
      </c>
      <c r="C1080" s="16">
        <v>0.2819444444467081</v>
      </c>
      <c r="D1080" s="17" t="s">
        <v>91</v>
      </c>
      <c r="F1080" s="17">
        <v>50.0</v>
      </c>
      <c r="G1080" s="17">
        <v>300.0</v>
      </c>
      <c r="H1080" s="17" t="s">
        <v>113</v>
      </c>
      <c r="J1080" s="17" t="s">
        <v>94</v>
      </c>
      <c r="K1080" s="17" t="s">
        <v>134</v>
      </c>
      <c r="N1080" s="17">
        <v>1.0</v>
      </c>
      <c r="O1080" s="17" t="s">
        <v>96</v>
      </c>
      <c r="P1080" s="17" t="s">
        <v>109</v>
      </c>
      <c r="Q1080" s="17" t="s">
        <v>97</v>
      </c>
      <c r="R1080" s="17" t="s">
        <v>109</v>
      </c>
      <c r="S1080" s="17" t="s">
        <v>113</v>
      </c>
      <c r="U1080" s="17" t="s">
        <v>4021</v>
      </c>
      <c r="V1080" s="17">
        <v>9.986881566E9</v>
      </c>
      <c r="W1080" s="17" t="s">
        <v>113</v>
      </c>
      <c r="AA1080" s="17" t="s">
        <v>109</v>
      </c>
      <c r="AT1080" s="17" t="s">
        <v>237</v>
      </c>
      <c r="AU1080" s="17" t="s">
        <v>109</v>
      </c>
      <c r="AZ1080" s="17" t="s">
        <v>539</v>
      </c>
      <c r="BA1080" s="17" t="s">
        <v>458</v>
      </c>
      <c r="BB1080" s="17" t="s">
        <v>76</v>
      </c>
      <c r="BN1080" s="17" t="s">
        <v>4055</v>
      </c>
      <c r="BP1080" s="17" t="s">
        <v>4056</v>
      </c>
      <c r="BR1080" s="24" t="str">
        <f t="shared" si="1"/>
        <v>MILITARY REDDY TIFFENS </v>
      </c>
    </row>
    <row r="1081" ht="22.5" customHeight="1">
      <c r="A1081" s="14">
        <v>46078.94177099537</v>
      </c>
      <c r="B1081" s="15">
        <v>46078.0</v>
      </c>
      <c r="C1081" s="16">
        <v>0.29166666666424135</v>
      </c>
      <c r="D1081" s="17" t="s">
        <v>91</v>
      </c>
      <c r="F1081" s="17">
        <v>10.0</v>
      </c>
      <c r="G1081" s="17">
        <v>250.0</v>
      </c>
      <c r="H1081" s="17" t="s">
        <v>113</v>
      </c>
      <c r="J1081" s="17" t="s">
        <v>94</v>
      </c>
      <c r="K1081" s="17" t="s">
        <v>134</v>
      </c>
      <c r="N1081" s="17">
        <v>1.0</v>
      </c>
      <c r="O1081" s="17" t="s">
        <v>96</v>
      </c>
      <c r="P1081" s="17" t="s">
        <v>109</v>
      </c>
      <c r="Q1081" s="17" t="s">
        <v>97</v>
      </c>
      <c r="R1081" s="17" t="s">
        <v>76</v>
      </c>
      <c r="S1081" s="17" t="s">
        <v>113</v>
      </c>
      <c r="U1081" s="17" t="s">
        <v>4057</v>
      </c>
      <c r="V1081" s="17">
        <v>7.842712111E9</v>
      </c>
      <c r="W1081" s="17" t="s">
        <v>113</v>
      </c>
      <c r="AA1081" s="17" t="s">
        <v>76</v>
      </c>
      <c r="AB1081" s="17">
        <v>2.3626034000501E13</v>
      </c>
      <c r="AC1081" s="18" t="s">
        <v>4058</v>
      </c>
      <c r="AD1081" s="17" t="s">
        <v>117</v>
      </c>
      <c r="AF1081" s="17" t="s">
        <v>4059</v>
      </c>
      <c r="AG1081" s="18" t="s">
        <v>4060</v>
      </c>
      <c r="AH1081" s="17" t="s">
        <v>4061</v>
      </c>
      <c r="AI1081" s="18" t="s">
        <v>4062</v>
      </c>
      <c r="AS1081" s="17" t="s">
        <v>76</v>
      </c>
      <c r="AT1081" s="17" t="s">
        <v>4063</v>
      </c>
      <c r="AU1081" s="17" t="s">
        <v>76</v>
      </c>
      <c r="AV1081" s="17" t="s">
        <v>88</v>
      </c>
      <c r="AZ1081" s="17" t="s">
        <v>3034</v>
      </c>
      <c r="BA1081" s="17" t="s">
        <v>458</v>
      </c>
      <c r="BB1081" s="17" t="s">
        <v>76</v>
      </c>
      <c r="BH1081" s="17">
        <v>20.0</v>
      </c>
      <c r="BI1081" s="17" t="s">
        <v>109</v>
      </c>
      <c r="BM1081" s="17" t="s">
        <v>4064</v>
      </c>
      <c r="BN1081" s="17" t="s">
        <v>4036</v>
      </c>
      <c r="BP1081" s="17" t="s">
        <v>4065</v>
      </c>
      <c r="BR1081" s="24" t="str">
        <f t="shared" si="1"/>
        <v>Dum Biryani Adda</v>
      </c>
    </row>
    <row r="1082" ht="22.5" customHeight="1">
      <c r="A1082" s="14">
        <v>46078.94231138889</v>
      </c>
      <c r="B1082" s="15">
        <v>46078.0</v>
      </c>
      <c r="C1082" s="16">
        <v>0.2819444444467081</v>
      </c>
      <c r="D1082" s="17" t="s">
        <v>91</v>
      </c>
      <c r="F1082" s="17">
        <v>50.0</v>
      </c>
      <c r="G1082" s="17">
        <v>300.0</v>
      </c>
      <c r="H1082" s="17" t="s">
        <v>113</v>
      </c>
      <c r="J1082" s="17" t="s">
        <v>94</v>
      </c>
      <c r="K1082" s="17" t="s">
        <v>134</v>
      </c>
      <c r="N1082" s="17">
        <v>1.0</v>
      </c>
      <c r="O1082" s="17" t="s">
        <v>96</v>
      </c>
      <c r="P1082" s="17" t="s">
        <v>109</v>
      </c>
      <c r="Q1082" s="17" t="s">
        <v>97</v>
      </c>
      <c r="R1082" s="17" t="s">
        <v>109</v>
      </c>
      <c r="S1082" s="17" t="s">
        <v>113</v>
      </c>
      <c r="U1082" s="17" t="s">
        <v>4021</v>
      </c>
      <c r="V1082" s="17">
        <v>9.986881566E9</v>
      </c>
      <c r="W1082" s="17" t="s">
        <v>4066</v>
      </c>
      <c r="AA1082" s="17" t="s">
        <v>109</v>
      </c>
      <c r="AT1082" s="17" t="s">
        <v>237</v>
      </c>
      <c r="AU1082" s="17" t="s">
        <v>109</v>
      </c>
      <c r="AZ1082" s="17" t="s">
        <v>539</v>
      </c>
      <c r="BA1082" s="17" t="s">
        <v>458</v>
      </c>
      <c r="BB1082" s="17" t="s">
        <v>76</v>
      </c>
      <c r="BN1082" s="17" t="s">
        <v>2865</v>
      </c>
      <c r="BP1082" s="17" t="s">
        <v>4067</v>
      </c>
      <c r="BR1082" s="24" t="str">
        <f t="shared" si="1"/>
        <v>sip of health</v>
      </c>
    </row>
    <row r="1083" ht="22.5" customHeight="1">
      <c r="A1083" s="14">
        <v>46078.94334398148</v>
      </c>
      <c r="B1083" s="15">
        <v>46078.0</v>
      </c>
      <c r="C1083" s="16">
        <v>0.3236111111109494</v>
      </c>
      <c r="U1083" s="17" t="s">
        <v>4068</v>
      </c>
      <c r="V1083" s="17">
        <v>9.392482884E9</v>
      </c>
      <c r="W1083" s="17" t="s">
        <v>117</v>
      </c>
      <c r="AA1083" s="17" t="s">
        <v>109</v>
      </c>
      <c r="AT1083" s="17" t="s">
        <v>4069</v>
      </c>
      <c r="AU1083" s="17" t="s">
        <v>76</v>
      </c>
      <c r="AV1083" s="17" t="s">
        <v>271</v>
      </c>
      <c r="AX1083" s="15">
        <v>46079.0</v>
      </c>
      <c r="AY1083" s="16">
        <v>0.47916666666424135</v>
      </c>
      <c r="AZ1083" s="17" t="s">
        <v>3034</v>
      </c>
      <c r="BA1083" s="17" t="s">
        <v>458</v>
      </c>
      <c r="BB1083" s="17" t="s">
        <v>109</v>
      </c>
      <c r="BP1083" s="17" t="s">
        <v>4070</v>
      </c>
      <c r="BR1083" s="24" t="str">
        <f t="shared" si="1"/>
        <v>ANDHRA RUCHULU</v>
      </c>
    </row>
    <row r="1084" ht="22.5" customHeight="1">
      <c r="A1084" s="14">
        <v>46078.943927395834</v>
      </c>
      <c r="B1084" s="15">
        <v>46078.0</v>
      </c>
      <c r="C1084" s="16">
        <v>0.2819444444467081</v>
      </c>
      <c r="D1084" s="17" t="s">
        <v>91</v>
      </c>
      <c r="F1084" s="17">
        <v>50.0</v>
      </c>
      <c r="G1084" s="17">
        <v>300.0</v>
      </c>
      <c r="H1084" s="17" t="s">
        <v>113</v>
      </c>
      <c r="J1084" s="17" t="s">
        <v>94</v>
      </c>
      <c r="K1084" s="17" t="s">
        <v>273</v>
      </c>
      <c r="N1084" s="17">
        <v>1.0</v>
      </c>
      <c r="O1084" s="17" t="s">
        <v>96</v>
      </c>
      <c r="P1084" s="17" t="s">
        <v>109</v>
      </c>
      <c r="Q1084" s="17" t="s">
        <v>97</v>
      </c>
      <c r="R1084" s="17" t="s">
        <v>109</v>
      </c>
      <c r="S1084" s="17" t="s">
        <v>4071</v>
      </c>
      <c r="U1084" s="17" t="s">
        <v>4021</v>
      </c>
      <c r="V1084" s="17">
        <v>9.986881566E9</v>
      </c>
      <c r="W1084" s="17" t="s">
        <v>113</v>
      </c>
      <c r="AA1084" s="17" t="s">
        <v>109</v>
      </c>
      <c r="AT1084" s="17" t="s">
        <v>113</v>
      </c>
      <c r="AU1084" s="17" t="s">
        <v>109</v>
      </c>
      <c r="AZ1084" s="17" t="s">
        <v>539</v>
      </c>
      <c r="BA1084" s="17" t="s">
        <v>458</v>
      </c>
      <c r="BB1084" s="17" t="s">
        <v>76</v>
      </c>
      <c r="BN1084" s="17" t="s">
        <v>2865</v>
      </c>
      <c r="BP1084" s="17" t="s">
        <v>4072</v>
      </c>
      <c r="BR1084" s="24" t="str">
        <f t="shared" si="1"/>
        <v>the brazilian juice bar</v>
      </c>
    </row>
    <row r="1085" ht="22.5" customHeight="1">
      <c r="A1085" s="14">
        <v>46078.94426425926</v>
      </c>
      <c r="B1085" s="15">
        <v>46078.0</v>
      </c>
      <c r="C1085" s="16">
        <v>0.3312500000029104</v>
      </c>
      <c r="U1085" s="17" t="s">
        <v>4073</v>
      </c>
      <c r="V1085" s="17">
        <v>8.074023731E9</v>
      </c>
      <c r="W1085" s="17" t="s">
        <v>117</v>
      </c>
      <c r="AA1085" s="17" t="s">
        <v>109</v>
      </c>
      <c r="AT1085" s="17" t="s">
        <v>4074</v>
      </c>
      <c r="AU1085" s="17" t="s">
        <v>76</v>
      </c>
      <c r="AV1085" s="17" t="s">
        <v>271</v>
      </c>
      <c r="AX1085" s="15">
        <v>46079.0</v>
      </c>
      <c r="AY1085" s="16">
        <v>0.47916666666424135</v>
      </c>
      <c r="AZ1085" s="17" t="s">
        <v>3034</v>
      </c>
      <c r="BA1085" s="17" t="s">
        <v>458</v>
      </c>
      <c r="BB1085" s="17" t="s">
        <v>109</v>
      </c>
      <c r="BP1085" s="17" t="s">
        <v>4075</v>
      </c>
      <c r="BR1085" s="24" t="str">
        <f t="shared" si="1"/>
        <v>MILLET MARVELS</v>
      </c>
    </row>
    <row r="1086" ht="22.5" customHeight="1">
      <c r="A1086" s="14">
        <v>46078.94517987268</v>
      </c>
      <c r="B1086" s="15">
        <v>46078.0</v>
      </c>
      <c r="C1086" s="16">
        <v>0.28402777777955635</v>
      </c>
      <c r="D1086" s="17" t="s">
        <v>91</v>
      </c>
      <c r="F1086" s="17">
        <v>50.0</v>
      </c>
      <c r="G1086" s="17">
        <v>300.0</v>
      </c>
      <c r="H1086" s="17" t="s">
        <v>113</v>
      </c>
      <c r="J1086" s="17" t="s">
        <v>94</v>
      </c>
      <c r="K1086" s="17" t="s">
        <v>134</v>
      </c>
      <c r="N1086" s="17">
        <v>1.0</v>
      </c>
      <c r="O1086" s="17" t="s">
        <v>96</v>
      </c>
      <c r="P1086" s="17" t="s">
        <v>109</v>
      </c>
      <c r="Q1086" s="17" t="s">
        <v>97</v>
      </c>
      <c r="R1086" s="17" t="s">
        <v>109</v>
      </c>
      <c r="S1086" s="17" t="s">
        <v>113</v>
      </c>
      <c r="U1086" s="17" t="s">
        <v>4021</v>
      </c>
      <c r="V1086" s="17">
        <v>9.986881566E9</v>
      </c>
      <c r="W1086" s="17" t="s">
        <v>113</v>
      </c>
      <c r="AA1086" s="17" t="s">
        <v>109</v>
      </c>
      <c r="AT1086" s="17" t="s">
        <v>237</v>
      </c>
      <c r="AU1086" s="17" t="s">
        <v>109</v>
      </c>
      <c r="AZ1086" s="17" t="s">
        <v>539</v>
      </c>
      <c r="BA1086" s="17" t="s">
        <v>458</v>
      </c>
      <c r="BB1086" s="17" t="s">
        <v>76</v>
      </c>
      <c r="BN1086" s="17" t="s">
        <v>4076</v>
      </c>
      <c r="BP1086" s="17" t="s">
        <v>4077</v>
      </c>
      <c r="BR1086" s="24" t="str">
        <f t="shared" si="1"/>
        <v>the nice juice junction </v>
      </c>
    </row>
    <row r="1087" ht="22.5" customHeight="1">
      <c r="A1087" s="14">
        <v>46078.94526476852</v>
      </c>
      <c r="B1087" s="15">
        <v>46079.0</v>
      </c>
      <c r="C1087" s="16">
        <v>0.29166666666424135</v>
      </c>
      <c r="U1087" s="17" t="s">
        <v>4078</v>
      </c>
      <c r="V1087" s="17">
        <v>8.019889606E9</v>
      </c>
      <c r="W1087" s="17" t="s">
        <v>117</v>
      </c>
      <c r="AA1087" s="17" t="s">
        <v>109</v>
      </c>
      <c r="AT1087" s="17" t="s">
        <v>4079</v>
      </c>
      <c r="AU1087" s="17" t="s">
        <v>76</v>
      </c>
      <c r="AV1087" s="17" t="s">
        <v>271</v>
      </c>
      <c r="AX1087" s="15">
        <v>46079.0</v>
      </c>
      <c r="AY1087" s="16">
        <v>0.04166666666424135</v>
      </c>
      <c r="AZ1087" s="17" t="s">
        <v>3034</v>
      </c>
      <c r="BA1087" s="17" t="s">
        <v>458</v>
      </c>
      <c r="BB1087" s="17" t="s">
        <v>109</v>
      </c>
      <c r="BP1087" s="17" t="s">
        <v>4080</v>
      </c>
      <c r="BR1087" s="24" t="str">
        <f t="shared" si="1"/>
        <v>GREEN BUCKET BIRYANI</v>
      </c>
    </row>
    <row r="1088" ht="22.5" customHeight="1">
      <c r="A1088" s="14">
        <v>46078.94632649305</v>
      </c>
      <c r="B1088" s="15">
        <v>46078.0</v>
      </c>
      <c r="C1088" s="16">
        <v>0.242361111115315</v>
      </c>
      <c r="U1088" s="17" t="s">
        <v>4081</v>
      </c>
      <c r="V1088" s="17">
        <v>9.393935407E9</v>
      </c>
      <c r="W1088" s="17" t="s">
        <v>117</v>
      </c>
      <c r="AA1088" s="17" t="s">
        <v>109</v>
      </c>
      <c r="AT1088" s="17" t="s">
        <v>4082</v>
      </c>
      <c r="AU1088" s="17" t="s">
        <v>76</v>
      </c>
      <c r="AV1088" s="17" t="s">
        <v>271</v>
      </c>
      <c r="AX1088" s="15">
        <v>46079.0</v>
      </c>
      <c r="AY1088" s="16">
        <v>0.16666666666424135</v>
      </c>
      <c r="AZ1088" s="17" t="s">
        <v>3034</v>
      </c>
      <c r="BA1088" s="17" t="s">
        <v>458</v>
      </c>
      <c r="BB1088" s="17" t="s">
        <v>109</v>
      </c>
      <c r="BP1088" s="17" t="s">
        <v>4083</v>
      </c>
      <c r="BR1088" s="24" t="str">
        <f t="shared" si="1"/>
        <v>SVS BAKERS &amp; FOOD COURT</v>
      </c>
    </row>
    <row r="1089" ht="22.5" customHeight="1">
      <c r="A1089" s="14">
        <v>46078.9471850463</v>
      </c>
      <c r="B1089" s="15">
        <v>46078.0</v>
      </c>
      <c r="C1089" s="16">
        <v>0.20138888889050577</v>
      </c>
      <c r="U1089" s="17" t="s">
        <v>4084</v>
      </c>
      <c r="V1089" s="17">
        <v>9.110781474E9</v>
      </c>
      <c r="W1089" s="17" t="s">
        <v>117</v>
      </c>
      <c r="AA1089" s="17" t="s">
        <v>109</v>
      </c>
      <c r="AT1089" s="17" t="s">
        <v>4085</v>
      </c>
      <c r="AU1089" s="17" t="s">
        <v>76</v>
      </c>
      <c r="AV1089" s="17" t="s">
        <v>271</v>
      </c>
      <c r="AX1089" s="15">
        <v>46079.0</v>
      </c>
      <c r="AY1089" s="16">
        <v>0.08333333333575865</v>
      </c>
      <c r="AZ1089" s="17" t="s">
        <v>3034</v>
      </c>
      <c r="BA1089" s="17" t="s">
        <v>458</v>
      </c>
      <c r="BB1089" s="17" t="s">
        <v>109</v>
      </c>
      <c r="BP1089" s="17" t="s">
        <v>4086</v>
      </c>
      <c r="BR1089" s="24" t="str">
        <f t="shared" si="1"/>
        <v>DSD CAFE</v>
      </c>
    </row>
    <row r="1090" ht="22.5" customHeight="1">
      <c r="A1090" s="14">
        <v>46078.94851883102</v>
      </c>
      <c r="B1090" s="15">
        <v>46078.0</v>
      </c>
      <c r="C1090" s="16">
        <v>0.08541666666860692</v>
      </c>
      <c r="U1090" s="17" t="s">
        <v>4087</v>
      </c>
      <c r="V1090" s="17">
        <v>7.799678883E9</v>
      </c>
      <c r="W1090" s="17" t="s">
        <v>4088</v>
      </c>
      <c r="AA1090" s="17" t="s">
        <v>109</v>
      </c>
      <c r="AT1090" s="17" t="s">
        <v>4089</v>
      </c>
      <c r="AU1090" s="17" t="s">
        <v>76</v>
      </c>
      <c r="AV1090" s="17" t="s">
        <v>271</v>
      </c>
      <c r="AX1090" s="15">
        <v>46081.0</v>
      </c>
      <c r="AY1090" s="16">
        <v>0.45833333333575865</v>
      </c>
      <c r="AZ1090" s="17" t="s">
        <v>3034</v>
      </c>
      <c r="BA1090" s="17" t="s">
        <v>458</v>
      </c>
      <c r="BB1090" s="17" t="s">
        <v>109</v>
      </c>
      <c r="BP1090" s="17" t="s">
        <v>4090</v>
      </c>
      <c r="BR1090" s="24" t="str">
        <f t="shared" si="1"/>
        <v>KRITUNGA RESTAURANT</v>
      </c>
    </row>
    <row r="1091" ht="22.5" customHeight="1">
      <c r="A1091" s="14">
        <v>46078.94986137732</v>
      </c>
      <c r="B1091" s="15">
        <v>46078.0</v>
      </c>
      <c r="C1091" s="16">
        <v>0.5256944444408873</v>
      </c>
      <c r="U1091" s="17" t="s">
        <v>4091</v>
      </c>
      <c r="V1091" s="17">
        <v>8.247031311E9</v>
      </c>
      <c r="W1091" s="17" t="s">
        <v>4092</v>
      </c>
      <c r="AA1091" s="17" t="s">
        <v>109</v>
      </c>
      <c r="AT1091" s="17" t="s">
        <v>4093</v>
      </c>
      <c r="AU1091" s="17" t="s">
        <v>76</v>
      </c>
      <c r="AV1091" s="17" t="s">
        <v>271</v>
      </c>
      <c r="AX1091" s="15">
        <v>46081.0</v>
      </c>
      <c r="AY1091" s="16">
        <v>0.45833333333575865</v>
      </c>
      <c r="AZ1091" s="17" t="s">
        <v>3034</v>
      </c>
      <c r="BA1091" s="17" t="s">
        <v>458</v>
      </c>
      <c r="BB1091" s="17" t="s">
        <v>109</v>
      </c>
      <c r="BP1091" s="17" t="s">
        <v>4094</v>
      </c>
      <c r="BR1091" s="24" t="str">
        <f t="shared" si="1"/>
        <v>Golden Pavilion</v>
      </c>
    </row>
    <row r="1092" ht="22.5" customHeight="1">
      <c r="A1092" s="14">
        <v>46078.960743159725</v>
      </c>
      <c r="B1092" s="15">
        <v>46078.0</v>
      </c>
      <c r="C1092" s="16">
        <v>0.47916666666424135</v>
      </c>
      <c r="U1092" s="17" t="s">
        <v>4095</v>
      </c>
      <c r="V1092" s="17">
        <v>9.9558546E8</v>
      </c>
      <c r="W1092" s="17" t="s">
        <v>117</v>
      </c>
      <c r="AA1092" s="17" t="s">
        <v>109</v>
      </c>
      <c r="AT1092" s="17" t="s">
        <v>4096</v>
      </c>
      <c r="AU1092" s="17" t="s">
        <v>76</v>
      </c>
      <c r="AV1092" s="17" t="s">
        <v>114</v>
      </c>
      <c r="AW1092" s="17" t="s">
        <v>2584</v>
      </c>
      <c r="AX1092" s="15">
        <v>46080.0</v>
      </c>
      <c r="AY1092" s="16">
        <v>0.6145833333357587</v>
      </c>
      <c r="AZ1092" s="17" t="s">
        <v>164</v>
      </c>
      <c r="BA1092" s="17" t="s">
        <v>458</v>
      </c>
      <c r="BB1092" s="17" t="s">
        <v>109</v>
      </c>
      <c r="BP1092" s="17" t="s">
        <v>4097</v>
      </c>
      <c r="BR1092" s="24" t="str">
        <f t="shared" si="1"/>
        <v>shreya food court </v>
      </c>
    </row>
    <row r="1093" ht="22.5" customHeight="1">
      <c r="A1093" s="14">
        <v>46078.96478299769</v>
      </c>
      <c r="B1093" s="15">
        <v>46078.0</v>
      </c>
      <c r="C1093" s="16">
        <v>0.5208333333357587</v>
      </c>
      <c r="U1093" s="17" t="s">
        <v>4098</v>
      </c>
      <c r="V1093" s="17" t="s">
        <v>117</v>
      </c>
      <c r="W1093" s="17" t="s">
        <v>117</v>
      </c>
      <c r="AA1093" s="17" t="s">
        <v>109</v>
      </c>
      <c r="AT1093" s="17" t="s">
        <v>4099</v>
      </c>
      <c r="AU1093" s="17" t="s">
        <v>76</v>
      </c>
      <c r="AV1093" s="17" t="s">
        <v>472</v>
      </c>
      <c r="AW1093" s="17" t="s">
        <v>4100</v>
      </c>
      <c r="AX1093" s="15">
        <v>46079.0</v>
      </c>
      <c r="AY1093" s="16">
        <v>0.5</v>
      </c>
      <c r="AZ1093" s="17" t="s">
        <v>164</v>
      </c>
      <c r="BA1093" s="17" t="s">
        <v>458</v>
      </c>
      <c r="BB1093" s="17" t="s">
        <v>109</v>
      </c>
      <c r="BP1093" s="17" t="s">
        <v>4101</v>
      </c>
      <c r="BR1093" s="24" t="str">
        <f t="shared" si="1"/>
        <v>gayatri bhavan  </v>
      </c>
    </row>
    <row r="1094" ht="22.5" customHeight="1">
      <c r="A1094" s="14">
        <v>46078.97905550926</v>
      </c>
      <c r="B1094" s="15">
        <v>46078.0</v>
      </c>
      <c r="C1094" s="16">
        <v>0.53125</v>
      </c>
      <c r="U1094" s="17" t="s">
        <v>4102</v>
      </c>
      <c r="V1094" s="17">
        <v>9.490422404E9</v>
      </c>
      <c r="W1094" s="17" t="s">
        <v>117</v>
      </c>
      <c r="AA1094" s="17" t="s">
        <v>109</v>
      </c>
      <c r="AT1094" s="17" t="s">
        <v>4103</v>
      </c>
      <c r="AU1094" s="17" t="s">
        <v>76</v>
      </c>
      <c r="AV1094" s="17" t="s">
        <v>472</v>
      </c>
      <c r="AW1094" s="17" t="s">
        <v>4104</v>
      </c>
      <c r="AX1094" s="15">
        <v>46079.0</v>
      </c>
      <c r="AY1094" s="16">
        <v>0.6666666666642413</v>
      </c>
      <c r="AZ1094" s="17" t="s">
        <v>164</v>
      </c>
      <c r="BA1094" s="17" t="s">
        <v>458</v>
      </c>
      <c r="BB1094" s="17" t="s">
        <v>109</v>
      </c>
      <c r="BP1094" s="17" t="s">
        <v>4105</v>
      </c>
      <c r="BR1094" s="24" t="str">
        <f t="shared" si="1"/>
        <v> harika mess</v>
      </c>
    </row>
    <row r="1095" ht="22.5" customHeight="1">
      <c r="A1095" s="14">
        <v>46078.98419458333</v>
      </c>
      <c r="B1095" s="15">
        <v>46078.0</v>
      </c>
      <c r="C1095" s="16">
        <v>0.6180555555547471</v>
      </c>
      <c r="D1095" s="17" t="s">
        <v>111</v>
      </c>
      <c r="T1095" s="17" t="s">
        <v>4106</v>
      </c>
      <c r="U1095" s="17" t="s">
        <v>4107</v>
      </c>
      <c r="V1095" s="17" t="s">
        <v>117</v>
      </c>
      <c r="W1095" s="17" t="s">
        <v>117</v>
      </c>
      <c r="AA1095" s="17" t="s">
        <v>109</v>
      </c>
      <c r="AT1095" s="17" t="s">
        <v>4108</v>
      </c>
      <c r="AU1095" s="17" t="s">
        <v>76</v>
      </c>
      <c r="AV1095" s="17" t="s">
        <v>472</v>
      </c>
      <c r="AW1095" s="17" t="s">
        <v>4108</v>
      </c>
      <c r="AX1095" s="15">
        <v>46079.0</v>
      </c>
      <c r="AY1095" s="16">
        <v>0.5625</v>
      </c>
      <c r="AZ1095" s="17" t="s">
        <v>164</v>
      </c>
      <c r="BA1095" s="17" t="s">
        <v>491</v>
      </c>
      <c r="BP1095" s="17" t="s">
        <v>4106</v>
      </c>
      <c r="BR1095" s="24" t="str">
        <f t="shared" si="1"/>
        <v>amans food courtamans food court</v>
      </c>
    </row>
    <row r="1096" ht="22.5" customHeight="1">
      <c r="A1096" s="14">
        <v>46078.98699723379</v>
      </c>
      <c r="B1096" s="15">
        <v>46078.0</v>
      </c>
      <c r="C1096" s="16">
        <v>0.6458333333357587</v>
      </c>
      <c r="D1096" s="17" t="s">
        <v>91</v>
      </c>
      <c r="F1096" s="17">
        <v>80.0</v>
      </c>
      <c r="G1096" s="17">
        <v>260.0</v>
      </c>
      <c r="H1096" s="17" t="s">
        <v>1904</v>
      </c>
      <c r="I1096" s="17">
        <v>50000.0</v>
      </c>
      <c r="J1096" s="17" t="s">
        <v>94</v>
      </c>
      <c r="K1096" s="17" t="s">
        <v>134</v>
      </c>
      <c r="N1096" s="17">
        <v>1.0</v>
      </c>
      <c r="O1096" s="17" t="s">
        <v>96</v>
      </c>
      <c r="P1096" s="17" t="s">
        <v>109</v>
      </c>
      <c r="Q1096" s="17" t="s">
        <v>97</v>
      </c>
      <c r="R1096" s="17" t="s">
        <v>109</v>
      </c>
      <c r="S1096" s="17" t="s">
        <v>113</v>
      </c>
      <c r="U1096" s="17" t="s">
        <v>4109</v>
      </c>
      <c r="V1096" s="17">
        <v>9.059524358E9</v>
      </c>
      <c r="W1096" s="17" t="s">
        <v>630</v>
      </c>
      <c r="AA1096" s="17" t="s">
        <v>76</v>
      </c>
      <c r="AB1096" s="17" t="s">
        <v>4110</v>
      </c>
      <c r="AC1096" s="18" t="s">
        <v>4111</v>
      </c>
      <c r="AD1096" s="17" t="s">
        <v>630</v>
      </c>
      <c r="AF1096" s="17" t="s">
        <v>4112</v>
      </c>
      <c r="AG1096" s="18" t="s">
        <v>4113</v>
      </c>
      <c r="AL1096" s="17">
        <v>9.20020055993691E14</v>
      </c>
      <c r="AM1096" s="17" t="s">
        <v>4114</v>
      </c>
      <c r="AN1096" s="17" t="s">
        <v>4115</v>
      </c>
      <c r="AS1096" s="17" t="s">
        <v>76</v>
      </c>
      <c r="AT1096" s="17" t="s">
        <v>113</v>
      </c>
      <c r="AU1096" s="17" t="s">
        <v>109</v>
      </c>
      <c r="AZ1096" s="17" t="s">
        <v>151</v>
      </c>
      <c r="BA1096" s="17" t="s">
        <v>458</v>
      </c>
      <c r="BB1096" s="17" t="s">
        <v>76</v>
      </c>
      <c r="BH1096" s="17">
        <v>22.0</v>
      </c>
      <c r="BI1096" s="17" t="s">
        <v>76</v>
      </c>
      <c r="BJ1096" s="16">
        <v>0.41666666666424135</v>
      </c>
      <c r="BK1096" s="16">
        <v>0.9583333333357587</v>
      </c>
      <c r="BL1096" s="17">
        <v>40.0</v>
      </c>
      <c r="BM1096" s="17" t="s">
        <v>4116</v>
      </c>
      <c r="BN1096" s="17" t="s">
        <v>4117</v>
      </c>
      <c r="BP1096" s="17" t="s">
        <v>4118</v>
      </c>
      <c r="BR1096" s="24" t="str">
        <f t="shared" si="1"/>
        <v>caffiene Snacks</v>
      </c>
    </row>
    <row r="1097" ht="22.5" customHeight="1">
      <c r="A1097" s="14">
        <v>46078.99417427083</v>
      </c>
      <c r="B1097" s="15">
        <v>46078.0</v>
      </c>
      <c r="C1097" s="16">
        <v>0.5416666666642413</v>
      </c>
      <c r="D1097" s="17" t="s">
        <v>91</v>
      </c>
      <c r="F1097" s="17">
        <v>100.0</v>
      </c>
      <c r="G1097" s="17">
        <v>260.0</v>
      </c>
      <c r="H1097" s="17" t="s">
        <v>113</v>
      </c>
      <c r="I1097" s="17">
        <v>30000.0</v>
      </c>
      <c r="J1097" s="17" t="s">
        <v>221</v>
      </c>
      <c r="K1097" s="17" t="s">
        <v>134</v>
      </c>
      <c r="N1097" s="17">
        <v>1.0</v>
      </c>
      <c r="O1097" s="17" t="s">
        <v>96</v>
      </c>
      <c r="P1097" s="17" t="s">
        <v>109</v>
      </c>
      <c r="Q1097" s="17" t="s">
        <v>97</v>
      </c>
      <c r="R1097" s="17" t="s">
        <v>109</v>
      </c>
      <c r="S1097" s="17" t="s">
        <v>113</v>
      </c>
      <c r="U1097" s="17" t="s">
        <v>4119</v>
      </c>
      <c r="V1097" s="17">
        <v>9.059524358E9</v>
      </c>
      <c r="W1097" s="17" t="s">
        <v>117</v>
      </c>
      <c r="AA1097" s="17" t="s">
        <v>76</v>
      </c>
      <c r="AB1097" s="17" t="s">
        <v>4110</v>
      </c>
      <c r="AC1097" s="18" t="s">
        <v>4120</v>
      </c>
      <c r="AF1097" s="17" t="s">
        <v>4121</v>
      </c>
      <c r="AG1097" s="18" t="s">
        <v>4122</v>
      </c>
      <c r="AL1097" s="17">
        <v>9.20020055993691E14</v>
      </c>
      <c r="AM1097" s="17" t="s">
        <v>4114</v>
      </c>
      <c r="AN1097" s="17" t="s">
        <v>4115</v>
      </c>
      <c r="AS1097" s="17" t="s">
        <v>76</v>
      </c>
      <c r="AT1097" s="17" t="s">
        <v>117</v>
      </c>
      <c r="AU1097" s="17" t="s">
        <v>109</v>
      </c>
      <c r="AZ1097" s="17" t="s">
        <v>151</v>
      </c>
      <c r="BA1097" s="17" t="s">
        <v>458</v>
      </c>
      <c r="BB1097" s="17" t="s">
        <v>76</v>
      </c>
      <c r="BH1097" s="17">
        <v>22.0</v>
      </c>
      <c r="BI1097" s="17" t="s">
        <v>76</v>
      </c>
      <c r="BJ1097" s="16">
        <v>0.41666666666424135</v>
      </c>
      <c r="BK1097" s="16">
        <v>0.9583333333357587</v>
      </c>
      <c r="BM1097" s="17" t="s">
        <v>4123</v>
      </c>
      <c r="BN1097" s="17" t="s">
        <v>4124</v>
      </c>
      <c r="BP1097" s="17" t="s">
        <v>4125</v>
      </c>
      <c r="BR1097" s="24" t="str">
        <f t="shared" si="1"/>
        <v>Caffine Meals </v>
      </c>
    </row>
    <row r="1098" ht="22.5" customHeight="1">
      <c r="A1098" s="14">
        <v>46078.99792648148</v>
      </c>
      <c r="B1098" s="15">
        <v>46078.0</v>
      </c>
      <c r="C1098" s="16">
        <v>0.6458333333357587</v>
      </c>
      <c r="D1098" s="17" t="s">
        <v>91</v>
      </c>
      <c r="F1098" s="17">
        <v>30.0</v>
      </c>
      <c r="G1098" s="17">
        <v>250.0</v>
      </c>
      <c r="H1098" s="17" t="s">
        <v>117</v>
      </c>
      <c r="I1098" s="17">
        <v>12500.0</v>
      </c>
      <c r="J1098" s="17" t="s">
        <v>94</v>
      </c>
      <c r="K1098" s="17" t="s">
        <v>95</v>
      </c>
      <c r="M1098" s="17">
        <v>22.0</v>
      </c>
      <c r="N1098" s="17">
        <v>1.0</v>
      </c>
      <c r="O1098" s="17" t="s">
        <v>96</v>
      </c>
      <c r="P1098" s="17" t="s">
        <v>109</v>
      </c>
      <c r="Q1098" s="17" t="s">
        <v>97</v>
      </c>
      <c r="R1098" s="17" t="s">
        <v>76</v>
      </c>
      <c r="S1098" s="18" t="s">
        <v>4126</v>
      </c>
      <c r="U1098" s="17" t="s">
        <v>4127</v>
      </c>
      <c r="V1098" s="17">
        <v>7.816087272E9</v>
      </c>
      <c r="W1098" s="17" t="s">
        <v>117</v>
      </c>
      <c r="AA1098" s="17" t="s">
        <v>76</v>
      </c>
      <c r="AG1098" s="18" t="s">
        <v>4128</v>
      </c>
      <c r="AL1098" s="17">
        <v>3.549801169E9</v>
      </c>
      <c r="AM1098" s="17" t="s">
        <v>4129</v>
      </c>
      <c r="AN1098" s="17" t="s">
        <v>4127</v>
      </c>
      <c r="AO1098" s="17" t="s">
        <v>4127</v>
      </c>
      <c r="AP1098" s="17">
        <v>7.816087272E9</v>
      </c>
      <c r="AQ1098" s="17" t="s">
        <v>4130</v>
      </c>
      <c r="AR1098" s="17" t="s">
        <v>4127</v>
      </c>
      <c r="AS1098" s="17" t="s">
        <v>76</v>
      </c>
      <c r="AT1098" s="17" t="s">
        <v>193</v>
      </c>
      <c r="AU1098" s="17" t="s">
        <v>109</v>
      </c>
      <c r="AZ1098" s="17" t="s">
        <v>164</v>
      </c>
      <c r="BA1098" s="17" t="s">
        <v>458</v>
      </c>
      <c r="BB1098" s="17" t="s">
        <v>76</v>
      </c>
      <c r="BH1098" s="17">
        <v>22.0</v>
      </c>
      <c r="BI1098" s="17" t="s">
        <v>109</v>
      </c>
      <c r="BJ1098" s="16">
        <v>0.41666666666424135</v>
      </c>
      <c r="BK1098" s="16">
        <v>0.9791666666642413</v>
      </c>
      <c r="BL1098" s="17">
        <v>50.0</v>
      </c>
      <c r="BM1098" s="17" t="s">
        <v>117</v>
      </c>
      <c r="BN1098" s="17" t="s">
        <v>4131</v>
      </c>
      <c r="BP1098" s="17" t="s">
        <v>4132</v>
      </c>
      <c r="BR1098" s="24" t="str">
        <f t="shared" si="1"/>
        <v>telugu cuisine  </v>
      </c>
    </row>
    <row r="1099" ht="22.5" customHeight="1">
      <c r="A1099" s="14">
        <v>46078.99979833333</v>
      </c>
      <c r="B1099" s="15">
        <v>46078.0</v>
      </c>
      <c r="C1099" s="16">
        <v>0.5833333333357587</v>
      </c>
      <c r="D1099" s="17" t="s">
        <v>91</v>
      </c>
      <c r="F1099" s="17">
        <v>100.0</v>
      </c>
      <c r="G1099" s="17">
        <v>260.0</v>
      </c>
      <c r="H1099" s="17" t="s">
        <v>117</v>
      </c>
      <c r="I1099" s="17">
        <v>20000.0</v>
      </c>
      <c r="J1099" s="17" t="s">
        <v>221</v>
      </c>
      <c r="K1099" s="17" t="s">
        <v>134</v>
      </c>
      <c r="N1099" s="17">
        <v>1.0</v>
      </c>
      <c r="O1099" s="17" t="s">
        <v>96</v>
      </c>
      <c r="P1099" s="17" t="s">
        <v>109</v>
      </c>
      <c r="Q1099" s="17" t="s">
        <v>97</v>
      </c>
      <c r="R1099" s="17" t="s">
        <v>109</v>
      </c>
      <c r="S1099" s="17" t="s">
        <v>117</v>
      </c>
      <c r="U1099" s="17" t="s">
        <v>4119</v>
      </c>
      <c r="V1099" s="17">
        <v>9.059524358E9</v>
      </c>
      <c r="W1099" s="17" t="s">
        <v>117</v>
      </c>
      <c r="AA1099" s="17" t="s">
        <v>76</v>
      </c>
      <c r="AB1099" s="17" t="s">
        <v>4110</v>
      </c>
      <c r="AC1099" s="18" t="s">
        <v>4133</v>
      </c>
      <c r="AF1099" s="17" t="s">
        <v>4112</v>
      </c>
      <c r="AG1099" s="18" t="s">
        <v>4134</v>
      </c>
      <c r="AL1099" s="17">
        <v>9.20020055993691E14</v>
      </c>
      <c r="AM1099" s="17" t="s">
        <v>4114</v>
      </c>
      <c r="AN1099" s="17" t="s">
        <v>4115</v>
      </c>
      <c r="AS1099" s="17" t="s">
        <v>76</v>
      </c>
      <c r="AT1099" s="17" t="s">
        <v>4135</v>
      </c>
      <c r="AU1099" s="17" t="s">
        <v>109</v>
      </c>
      <c r="AZ1099" s="17" t="s">
        <v>151</v>
      </c>
      <c r="BA1099" s="17" t="s">
        <v>458</v>
      </c>
      <c r="BB1099" s="17" t="s">
        <v>76</v>
      </c>
      <c r="BH1099" s="17">
        <v>22.0</v>
      </c>
      <c r="BI1099" s="17" t="s">
        <v>76</v>
      </c>
      <c r="BJ1099" s="16">
        <v>0.41666666666424135</v>
      </c>
      <c r="BK1099" s="16">
        <v>0.9583333333357587</v>
      </c>
      <c r="BM1099" s="17" t="s">
        <v>4123</v>
      </c>
      <c r="BN1099" s="17" t="s">
        <v>4123</v>
      </c>
      <c r="BP1099" s="17" t="s">
        <v>4136</v>
      </c>
      <c r="BR1099" s="24" t="str">
        <f t="shared" si="1"/>
        <v>CAFFEINE BIRYANAIS</v>
      </c>
    </row>
    <row r="1100" ht="22.5" customHeight="1">
      <c r="A1100" s="14">
        <v>46079.00283677083</v>
      </c>
      <c r="B1100" s="15">
        <v>46078.0</v>
      </c>
      <c r="C1100" s="16">
        <v>0.75</v>
      </c>
      <c r="U1100" s="17" t="s">
        <v>4137</v>
      </c>
      <c r="V1100" s="17">
        <v>9.100735996E9</v>
      </c>
      <c r="W1100" s="17" t="s">
        <v>117</v>
      </c>
      <c r="AA1100" s="17" t="s">
        <v>109</v>
      </c>
      <c r="AT1100" s="17" t="s">
        <v>4138</v>
      </c>
      <c r="AU1100" s="17" t="s">
        <v>76</v>
      </c>
      <c r="AV1100" s="17" t="s">
        <v>271</v>
      </c>
      <c r="AW1100" s="17" t="s">
        <v>4138</v>
      </c>
      <c r="AX1100" s="15">
        <v>46079.0</v>
      </c>
      <c r="AY1100" s="16">
        <v>0.6875</v>
      </c>
      <c r="AZ1100" s="17" t="s">
        <v>164</v>
      </c>
      <c r="BA1100" s="17" t="s">
        <v>458</v>
      </c>
      <c r="BB1100" s="17" t="s">
        <v>109</v>
      </c>
      <c r="BP1100" s="17" t="s">
        <v>4139</v>
      </c>
      <c r="BR1100" s="24" t="str">
        <f t="shared" si="1"/>
        <v>biryani ustad </v>
      </c>
    </row>
    <row r="1101" ht="22.5" customHeight="1">
      <c r="A1101" s="14">
        <v>46079.00544365741</v>
      </c>
      <c r="B1101" s="15">
        <v>46078.0</v>
      </c>
      <c r="C1101" s="16">
        <v>0.5833333333357587</v>
      </c>
      <c r="D1101" s="17" t="s">
        <v>91</v>
      </c>
      <c r="F1101" s="17">
        <v>100.0</v>
      </c>
      <c r="G1101" s="17">
        <v>260.0</v>
      </c>
      <c r="H1101" s="17" t="s">
        <v>117</v>
      </c>
      <c r="I1101" s="17">
        <v>25000.0</v>
      </c>
      <c r="J1101" s="17" t="s">
        <v>94</v>
      </c>
      <c r="K1101" s="17" t="s">
        <v>134</v>
      </c>
      <c r="N1101" s="17">
        <v>1.0</v>
      </c>
      <c r="O1101" s="17" t="s">
        <v>96</v>
      </c>
      <c r="P1101" s="17" t="s">
        <v>109</v>
      </c>
      <c r="Q1101" s="17" t="s">
        <v>97</v>
      </c>
      <c r="R1101" s="17" t="s">
        <v>109</v>
      </c>
      <c r="S1101" s="17" t="s">
        <v>117</v>
      </c>
      <c r="U1101" s="17" t="s">
        <v>4119</v>
      </c>
      <c r="V1101" s="17">
        <v>9.059524358E9</v>
      </c>
      <c r="W1101" s="17" t="s">
        <v>117</v>
      </c>
      <c r="AA1101" s="17" t="s">
        <v>76</v>
      </c>
      <c r="AB1101" s="17" t="s">
        <v>4110</v>
      </c>
      <c r="AC1101" s="18" t="s">
        <v>4140</v>
      </c>
      <c r="AF1101" s="17" t="s">
        <v>4112</v>
      </c>
      <c r="AG1101" s="18" t="s">
        <v>4141</v>
      </c>
      <c r="AL1101" s="17">
        <v>9.20020055993691E14</v>
      </c>
      <c r="AM1101" s="17" t="s">
        <v>4114</v>
      </c>
      <c r="AN1101" s="17" t="s">
        <v>4115</v>
      </c>
      <c r="AS1101" s="17" t="s">
        <v>76</v>
      </c>
      <c r="AT1101" s="17" t="s">
        <v>117</v>
      </c>
      <c r="AU1101" s="17" t="s">
        <v>109</v>
      </c>
      <c r="AZ1101" s="17" t="s">
        <v>151</v>
      </c>
      <c r="BA1101" s="17" t="s">
        <v>458</v>
      </c>
      <c r="BB1101" s="17" t="s">
        <v>76</v>
      </c>
      <c r="BH1101" s="17">
        <v>22.0</v>
      </c>
      <c r="BI1101" s="17" t="s">
        <v>76</v>
      </c>
      <c r="BJ1101" s="16">
        <v>0.41666666666424135</v>
      </c>
      <c r="BK1101" s="16">
        <v>0.9583333333357587</v>
      </c>
      <c r="BM1101" s="17" t="s">
        <v>4123</v>
      </c>
      <c r="BN1101" s="17" t="s">
        <v>4142</v>
      </c>
      <c r="BP1101" s="17" t="s">
        <v>4143</v>
      </c>
      <c r="BR1101" s="24" t="str">
        <f t="shared" si="1"/>
        <v>CAFFEIN HUB FAST FOOD</v>
      </c>
    </row>
    <row r="1102" ht="22.5" customHeight="1">
      <c r="A1102" s="14">
        <v>46079.01001037037</v>
      </c>
      <c r="B1102" s="15">
        <v>46078.0</v>
      </c>
      <c r="C1102" s="16">
        <v>0.625</v>
      </c>
      <c r="D1102" s="17" t="s">
        <v>91</v>
      </c>
      <c r="F1102" s="17">
        <v>100.0</v>
      </c>
      <c r="G1102" s="17">
        <v>25000.0</v>
      </c>
      <c r="H1102" s="17" t="s">
        <v>117</v>
      </c>
      <c r="I1102" s="17">
        <v>20000.0</v>
      </c>
      <c r="J1102" s="17" t="s">
        <v>94</v>
      </c>
      <c r="K1102" s="17" t="s">
        <v>134</v>
      </c>
      <c r="N1102" s="17">
        <v>1.0</v>
      </c>
      <c r="O1102" s="17" t="s">
        <v>96</v>
      </c>
      <c r="P1102" s="17" t="s">
        <v>109</v>
      </c>
      <c r="Q1102" s="17" t="s">
        <v>97</v>
      </c>
      <c r="R1102" s="17" t="s">
        <v>109</v>
      </c>
      <c r="S1102" s="17" t="s">
        <v>117</v>
      </c>
      <c r="U1102" s="17" t="s">
        <v>4119</v>
      </c>
      <c r="V1102" s="17">
        <v>9.059524358E9</v>
      </c>
      <c r="W1102" s="17" t="s">
        <v>117</v>
      </c>
      <c r="AA1102" s="17" t="s">
        <v>76</v>
      </c>
      <c r="AB1102" s="17" t="s">
        <v>4110</v>
      </c>
      <c r="AC1102" s="18" t="s">
        <v>4144</v>
      </c>
      <c r="AF1102" s="17" t="s">
        <v>4112</v>
      </c>
      <c r="AG1102" s="18" t="s">
        <v>4145</v>
      </c>
      <c r="AL1102" s="17">
        <v>9.20020055993691E14</v>
      </c>
      <c r="AM1102" s="17" t="s">
        <v>4146</v>
      </c>
      <c r="AN1102" s="17" t="s">
        <v>4115</v>
      </c>
      <c r="AS1102" s="17" t="s">
        <v>76</v>
      </c>
      <c r="AT1102" s="17" t="s">
        <v>117</v>
      </c>
      <c r="AU1102" s="17" t="s">
        <v>109</v>
      </c>
      <c r="AZ1102" s="17" t="s">
        <v>151</v>
      </c>
      <c r="BA1102" s="17" t="s">
        <v>458</v>
      </c>
      <c r="BB1102" s="17" t="s">
        <v>76</v>
      </c>
      <c r="BH1102" s="17">
        <v>22.0</v>
      </c>
      <c r="BI1102" s="17" t="s">
        <v>76</v>
      </c>
      <c r="BJ1102" s="16">
        <v>0.41666666666424135</v>
      </c>
      <c r="BK1102" s="16">
        <v>0.9583333333357587</v>
      </c>
      <c r="BL1102" s="17" t="s">
        <v>117</v>
      </c>
      <c r="BM1102" s="17" t="s">
        <v>4123</v>
      </c>
      <c r="BN1102" s="17" t="s">
        <v>4123</v>
      </c>
      <c r="BP1102" s="17" t="s">
        <v>4147</v>
      </c>
      <c r="BR1102" s="24" t="str">
        <f t="shared" si="1"/>
        <v>CAFFEINE JUICE &amp; MILKSHAKES</v>
      </c>
    </row>
    <row r="1103" ht="22.5" customHeight="1">
      <c r="A1103" s="14">
        <v>46079.0177815625</v>
      </c>
      <c r="B1103" s="15">
        <v>46078.0</v>
      </c>
      <c r="C1103" s="16">
        <v>0.5</v>
      </c>
      <c r="D1103" s="17" t="s">
        <v>91</v>
      </c>
      <c r="F1103" s="17">
        <v>30.0</v>
      </c>
      <c r="G1103" s="17">
        <v>260.0</v>
      </c>
      <c r="H1103" s="17" t="s">
        <v>113</v>
      </c>
      <c r="I1103" s="17">
        <v>40000.0</v>
      </c>
      <c r="J1103" s="17" t="s">
        <v>94</v>
      </c>
      <c r="K1103" s="17" t="s">
        <v>134</v>
      </c>
      <c r="N1103" s="17">
        <v>1.0</v>
      </c>
      <c r="O1103" s="17" t="s">
        <v>96</v>
      </c>
      <c r="P1103" s="17" t="s">
        <v>109</v>
      </c>
      <c r="Q1103" s="17" t="s">
        <v>97</v>
      </c>
      <c r="R1103" s="17" t="s">
        <v>109</v>
      </c>
      <c r="S1103" s="18" t="s">
        <v>4148</v>
      </c>
      <c r="U1103" s="17" t="s">
        <v>4149</v>
      </c>
      <c r="V1103" s="17">
        <v>8.978565854E9</v>
      </c>
      <c r="W1103" s="17" t="s">
        <v>113</v>
      </c>
      <c r="AA1103" s="17" t="s">
        <v>76</v>
      </c>
      <c r="AB1103" s="17">
        <v>2.3625030000153E13</v>
      </c>
      <c r="AC1103" s="18" t="s">
        <v>4150</v>
      </c>
      <c r="AF1103" s="17" t="s">
        <v>4151</v>
      </c>
      <c r="AG1103" s="18" t="s">
        <v>4152</v>
      </c>
      <c r="AK1103" s="18" t="s">
        <v>4153</v>
      </c>
      <c r="AL1103" s="17">
        <v>5.020007950961E13</v>
      </c>
      <c r="AM1103" s="17" t="s">
        <v>4154</v>
      </c>
      <c r="AN1103" s="17" t="s">
        <v>4155</v>
      </c>
      <c r="AS1103" s="17" t="s">
        <v>76</v>
      </c>
      <c r="AT1103" s="17" t="s">
        <v>113</v>
      </c>
      <c r="AU1103" s="17" t="s">
        <v>109</v>
      </c>
      <c r="AZ1103" s="17" t="s">
        <v>151</v>
      </c>
      <c r="BA1103" s="17" t="s">
        <v>458</v>
      </c>
      <c r="BB1103" s="17" t="s">
        <v>76</v>
      </c>
      <c r="BH1103" s="17">
        <v>20.0</v>
      </c>
      <c r="BI1103" s="17" t="s">
        <v>76</v>
      </c>
      <c r="BJ1103" s="16">
        <v>0.41666666666424135</v>
      </c>
      <c r="BK1103" s="16">
        <v>0.9583333333357587</v>
      </c>
      <c r="BM1103" s="17" t="s">
        <v>4156</v>
      </c>
      <c r="BN1103" s="17" t="s">
        <v>4157</v>
      </c>
      <c r="BP1103" s="17" t="s">
        <v>4158</v>
      </c>
      <c r="BR1103" s="24" t="str">
        <f t="shared" si="1"/>
        <v>cake corner Bakery</v>
      </c>
    </row>
    <row r="1104" ht="22.5" customHeight="1">
      <c r="A1104" s="14">
        <v>46079.023062962966</v>
      </c>
      <c r="B1104" s="15">
        <v>46078.0</v>
      </c>
      <c r="C1104" s="16">
        <v>0.625</v>
      </c>
      <c r="D1104" s="17" t="s">
        <v>91</v>
      </c>
      <c r="F1104" s="17">
        <v>30.0</v>
      </c>
      <c r="G1104" s="17">
        <v>290.0</v>
      </c>
      <c r="H1104" s="17" t="s">
        <v>113</v>
      </c>
      <c r="I1104" s="17">
        <v>25000.0</v>
      </c>
      <c r="J1104" s="17" t="s">
        <v>94</v>
      </c>
      <c r="K1104" s="17" t="s">
        <v>134</v>
      </c>
      <c r="N1104" s="17">
        <v>1.0</v>
      </c>
      <c r="O1104" s="17" t="s">
        <v>96</v>
      </c>
      <c r="P1104" s="17" t="s">
        <v>109</v>
      </c>
      <c r="Q1104" s="17" t="s">
        <v>97</v>
      </c>
      <c r="R1104" s="17" t="s">
        <v>109</v>
      </c>
      <c r="S1104" s="18" t="s">
        <v>4148</v>
      </c>
      <c r="U1104" s="17" t="s">
        <v>4149</v>
      </c>
      <c r="V1104" s="17">
        <v>8.978565845E9</v>
      </c>
      <c r="W1104" s="17" t="s">
        <v>113</v>
      </c>
      <c r="AA1104" s="17" t="s">
        <v>76</v>
      </c>
      <c r="AB1104" s="17">
        <v>2.3625030000153E13</v>
      </c>
      <c r="AC1104" s="18" t="s">
        <v>4159</v>
      </c>
      <c r="AF1104" s="17" t="s">
        <v>4151</v>
      </c>
      <c r="AG1104" s="18" t="s">
        <v>4160</v>
      </c>
      <c r="AK1104" s="18" t="s">
        <v>4161</v>
      </c>
      <c r="AL1104" s="17">
        <v>5.020007950961E13</v>
      </c>
      <c r="AM1104" s="17" t="s">
        <v>4154</v>
      </c>
      <c r="AN1104" s="17" t="s">
        <v>4155</v>
      </c>
      <c r="AS1104" s="17" t="s">
        <v>76</v>
      </c>
      <c r="AT1104" s="17" t="s">
        <v>113</v>
      </c>
      <c r="AU1104" s="17" t="s">
        <v>109</v>
      </c>
      <c r="AZ1104" s="17" t="s">
        <v>151</v>
      </c>
      <c r="BA1104" s="17" t="s">
        <v>458</v>
      </c>
      <c r="BB1104" s="17" t="s">
        <v>76</v>
      </c>
      <c r="BH1104" s="17">
        <v>22.0</v>
      </c>
      <c r="BI1104" s="17" t="s">
        <v>76</v>
      </c>
      <c r="BJ1104" s="16">
        <v>0.41666666666424135</v>
      </c>
      <c r="BK1104" s="16">
        <v>0.9583333333357587</v>
      </c>
      <c r="BM1104" s="17" t="s">
        <v>4162</v>
      </c>
      <c r="BN1104" s="17" t="s">
        <v>4157</v>
      </c>
      <c r="BP1104" s="17" t="s">
        <v>4163</v>
      </c>
      <c r="BR1104" s="24" t="str">
        <f t="shared" si="1"/>
        <v>Corner fast food</v>
      </c>
    </row>
    <row r="1105" ht="22.5" customHeight="1">
      <c r="A1105" s="14">
        <v>46079.02618048611</v>
      </c>
      <c r="B1105" s="15">
        <v>46078.0</v>
      </c>
      <c r="C1105" s="16">
        <v>0.625</v>
      </c>
      <c r="D1105" s="17" t="s">
        <v>91</v>
      </c>
      <c r="F1105" s="17">
        <v>30.0</v>
      </c>
      <c r="G1105" s="17">
        <v>290.0</v>
      </c>
      <c r="H1105" s="17" t="s">
        <v>113</v>
      </c>
      <c r="I1105" s="17">
        <v>23000.0</v>
      </c>
      <c r="J1105" s="17" t="s">
        <v>94</v>
      </c>
      <c r="K1105" s="17" t="s">
        <v>95</v>
      </c>
      <c r="N1105" s="17">
        <v>1.0</v>
      </c>
      <c r="O1105" s="17" t="s">
        <v>96</v>
      </c>
      <c r="P1105" s="17" t="s">
        <v>109</v>
      </c>
      <c r="Q1105" s="17" t="s">
        <v>97</v>
      </c>
      <c r="R1105" s="17" t="s">
        <v>109</v>
      </c>
      <c r="S1105" s="18" t="s">
        <v>4148</v>
      </c>
      <c r="U1105" s="17" t="s">
        <v>2928</v>
      </c>
      <c r="V1105" s="17">
        <v>8.978565854E9</v>
      </c>
      <c r="W1105" s="17" t="s">
        <v>113</v>
      </c>
      <c r="AA1105" s="17" t="s">
        <v>76</v>
      </c>
      <c r="AB1105" s="17">
        <v>2.3625030000153E13</v>
      </c>
      <c r="AF1105" s="17" t="s">
        <v>4151</v>
      </c>
      <c r="AL1105" s="17">
        <v>5.020007950961E13</v>
      </c>
      <c r="AM1105" s="17" t="s">
        <v>4164</v>
      </c>
      <c r="AN1105" s="17" t="s">
        <v>4155</v>
      </c>
      <c r="AS1105" s="17" t="s">
        <v>76</v>
      </c>
      <c r="AT1105" s="17" t="s">
        <v>117</v>
      </c>
      <c r="AU1105" s="17" t="s">
        <v>109</v>
      </c>
      <c r="AZ1105" s="17" t="s">
        <v>151</v>
      </c>
      <c r="BA1105" s="17" t="s">
        <v>458</v>
      </c>
      <c r="BB1105" s="17" t="s">
        <v>76</v>
      </c>
      <c r="BH1105" s="17">
        <v>20.0</v>
      </c>
      <c r="BI1105" s="17" t="s">
        <v>76</v>
      </c>
      <c r="BJ1105" s="16">
        <v>0.41666666666424135</v>
      </c>
      <c r="BK1105" s="16">
        <v>0.9583333333357587</v>
      </c>
      <c r="BM1105" s="17" t="s">
        <v>4123</v>
      </c>
      <c r="BN1105" s="17" t="s">
        <v>4157</v>
      </c>
      <c r="BP1105" s="17" t="s">
        <v>4165</v>
      </c>
      <c r="BR1105" s="24" t="str">
        <f t="shared" si="1"/>
        <v>corner juice &amp; milkshake</v>
      </c>
    </row>
    <row r="1106" ht="22.5" customHeight="1">
      <c r="A1106" s="14">
        <v>46079.031521006946</v>
      </c>
      <c r="B1106" s="15">
        <v>46078.0</v>
      </c>
      <c r="C1106" s="16">
        <v>0.41666666666424135</v>
      </c>
      <c r="D1106" s="17" t="s">
        <v>91</v>
      </c>
      <c r="F1106" s="17">
        <v>30.0</v>
      </c>
      <c r="G1106" s="17">
        <v>290.0</v>
      </c>
      <c r="H1106" s="17" t="s">
        <v>117</v>
      </c>
      <c r="I1106" s="17">
        <v>20000.0</v>
      </c>
      <c r="J1106" s="17" t="s">
        <v>94</v>
      </c>
      <c r="K1106" s="17" t="s">
        <v>95</v>
      </c>
      <c r="N1106" s="17">
        <v>1.0</v>
      </c>
      <c r="O1106" s="17" t="s">
        <v>96</v>
      </c>
      <c r="P1106" s="17" t="s">
        <v>109</v>
      </c>
      <c r="Q1106" s="17" t="s">
        <v>97</v>
      </c>
      <c r="R1106" s="17" t="s">
        <v>109</v>
      </c>
      <c r="S1106" s="18" t="s">
        <v>4148</v>
      </c>
      <c r="U1106" s="17" t="s">
        <v>4166</v>
      </c>
      <c r="V1106" s="17">
        <v>8.978565854E9</v>
      </c>
      <c r="W1106" s="17" t="s">
        <v>117</v>
      </c>
      <c r="AA1106" s="17" t="s">
        <v>76</v>
      </c>
      <c r="AB1106" s="17">
        <v>2.3625030000153E13</v>
      </c>
      <c r="AC1106" s="18" t="s">
        <v>4167</v>
      </c>
      <c r="AF1106" s="17" t="s">
        <v>4151</v>
      </c>
      <c r="AG1106" s="18" t="s">
        <v>4168</v>
      </c>
      <c r="AK1106" s="18" t="s">
        <v>4169</v>
      </c>
      <c r="AL1106" s="17">
        <v>5.020007950961E13</v>
      </c>
      <c r="AM1106" s="17" t="s">
        <v>4154</v>
      </c>
      <c r="AN1106" s="17" t="s">
        <v>4155</v>
      </c>
      <c r="AS1106" s="17" t="s">
        <v>76</v>
      </c>
      <c r="AT1106" s="17" t="s">
        <v>117</v>
      </c>
      <c r="AU1106" s="17" t="s">
        <v>109</v>
      </c>
      <c r="AZ1106" s="17" t="s">
        <v>151</v>
      </c>
      <c r="BA1106" s="17" t="s">
        <v>458</v>
      </c>
      <c r="BB1106" s="17" t="s">
        <v>76</v>
      </c>
      <c r="BH1106" s="17">
        <v>20.0</v>
      </c>
      <c r="BI1106" s="17" t="s">
        <v>76</v>
      </c>
      <c r="BM1106" s="17" t="s">
        <v>4123</v>
      </c>
      <c r="BN1106" s="17" t="s">
        <v>4123</v>
      </c>
      <c r="BP1106" s="17" t="s">
        <v>4170</v>
      </c>
      <c r="BR1106" s="24" t="str">
        <f t="shared" si="1"/>
        <v>CORNER FOODS</v>
      </c>
    </row>
    <row r="1107" ht="22.5" customHeight="1">
      <c r="A1107" s="14">
        <v>46079.03997511574</v>
      </c>
      <c r="B1107" s="15">
        <v>46078.0</v>
      </c>
      <c r="C1107" s="16">
        <v>0.04166666666424135</v>
      </c>
      <c r="D1107" s="17" t="s">
        <v>91</v>
      </c>
      <c r="F1107" s="17">
        <v>20.0</v>
      </c>
      <c r="G1107" s="17">
        <v>250.0</v>
      </c>
      <c r="H1107" s="17" t="s">
        <v>184</v>
      </c>
      <c r="I1107" s="17">
        <v>150000.0</v>
      </c>
      <c r="J1107" s="17" t="s">
        <v>94</v>
      </c>
      <c r="K1107" s="17" t="s">
        <v>515</v>
      </c>
      <c r="M1107" s="17">
        <v>15.0</v>
      </c>
      <c r="N1107" s="17">
        <v>1.0</v>
      </c>
      <c r="O1107" s="17" t="s">
        <v>96</v>
      </c>
      <c r="P1107" s="17" t="s">
        <v>76</v>
      </c>
      <c r="Q1107" s="17" t="s">
        <v>97</v>
      </c>
      <c r="R1107" s="17" t="s">
        <v>109</v>
      </c>
      <c r="S1107" s="18" t="s">
        <v>4171</v>
      </c>
      <c r="U1107" s="17" t="s">
        <v>4172</v>
      </c>
      <c r="V1107" s="17">
        <v>7.036356575E9</v>
      </c>
      <c r="W1107" s="17" t="s">
        <v>117</v>
      </c>
      <c r="AA1107" s="17" t="s">
        <v>76</v>
      </c>
      <c r="AD1107" s="17" t="s">
        <v>4173</v>
      </c>
      <c r="AF1107" s="17" t="s">
        <v>4174</v>
      </c>
      <c r="AM1107" s="17">
        <v>2.0100077076521E13</v>
      </c>
      <c r="AN1107" s="17" t="s">
        <v>4175</v>
      </c>
      <c r="AO1107" s="17" t="s">
        <v>4176</v>
      </c>
      <c r="AS1107" s="17" t="s">
        <v>76</v>
      </c>
      <c r="AT1107" s="17" t="s">
        <v>117</v>
      </c>
      <c r="AU1107" s="17" t="s">
        <v>109</v>
      </c>
      <c r="AZ1107" s="17" t="s">
        <v>151</v>
      </c>
      <c r="BA1107" s="17" t="s">
        <v>458</v>
      </c>
      <c r="BB1107" s="17" t="s">
        <v>76</v>
      </c>
      <c r="BH1107" s="17">
        <v>15.0</v>
      </c>
      <c r="BI1107" s="17" t="s">
        <v>76</v>
      </c>
      <c r="BM1107" s="17" t="s">
        <v>4177</v>
      </c>
      <c r="BN1107" s="17" t="s">
        <v>4178</v>
      </c>
      <c r="BP1107" s="17" t="s">
        <v>4176</v>
      </c>
      <c r="BR1107" s="24" t="str">
        <f t="shared" si="1"/>
        <v>CHAI KABURLU</v>
      </c>
    </row>
    <row r="1108" ht="22.5" customHeight="1">
      <c r="A1108" s="14">
        <v>46079.0450644213</v>
      </c>
      <c r="B1108" s="15">
        <v>46078.0</v>
      </c>
      <c r="C1108" s="16">
        <v>0.41666666666424135</v>
      </c>
      <c r="D1108" s="17" t="s">
        <v>91</v>
      </c>
      <c r="F1108" s="17">
        <v>20.0</v>
      </c>
      <c r="G1108" s="17">
        <v>250.0</v>
      </c>
      <c r="H1108" s="17" t="s">
        <v>184</v>
      </c>
      <c r="I1108" s="17">
        <v>150000.0</v>
      </c>
      <c r="J1108" s="17" t="s">
        <v>94</v>
      </c>
      <c r="K1108" s="17" t="s">
        <v>515</v>
      </c>
      <c r="N1108" s="17">
        <v>10.0</v>
      </c>
      <c r="O1108" s="17" t="s">
        <v>96</v>
      </c>
      <c r="P1108" s="17" t="s">
        <v>76</v>
      </c>
      <c r="Q1108" s="17" t="s">
        <v>97</v>
      </c>
      <c r="R1108" s="17" t="s">
        <v>109</v>
      </c>
      <c r="S1108" s="18" t="s">
        <v>4179</v>
      </c>
      <c r="U1108" s="17" t="s">
        <v>4180</v>
      </c>
      <c r="V1108" s="17">
        <v>7.036356575E9</v>
      </c>
      <c r="W1108" s="17" t="s">
        <v>117</v>
      </c>
      <c r="AA1108" s="17" t="s">
        <v>76</v>
      </c>
      <c r="AB1108" s="17">
        <v>2.362403200428E13</v>
      </c>
      <c r="AC1108" s="18" t="s">
        <v>4181</v>
      </c>
      <c r="AD1108" s="17" t="s">
        <v>4173</v>
      </c>
      <c r="AE1108" s="18" t="s">
        <v>4182</v>
      </c>
      <c r="AF1108" s="17" t="s">
        <v>4174</v>
      </c>
      <c r="AG1108" s="18" t="s">
        <v>4183</v>
      </c>
      <c r="AK1108" s="18" t="s">
        <v>4184</v>
      </c>
      <c r="AL1108" s="17">
        <v>2.0100077076521E13</v>
      </c>
      <c r="AM1108" s="17" t="s">
        <v>4185</v>
      </c>
      <c r="AN1108" s="17" t="s">
        <v>4175</v>
      </c>
      <c r="AO1108" s="17" t="s">
        <v>4176</v>
      </c>
      <c r="AS1108" s="17" t="s">
        <v>76</v>
      </c>
      <c r="AT1108" s="17" t="s">
        <v>117</v>
      </c>
      <c r="AU1108" s="17" t="s">
        <v>109</v>
      </c>
      <c r="AZ1108" s="17" t="s">
        <v>151</v>
      </c>
      <c r="BA1108" s="17" t="s">
        <v>458</v>
      </c>
      <c r="BB1108" s="17" t="s">
        <v>76</v>
      </c>
      <c r="BH1108" s="17">
        <v>15.0</v>
      </c>
      <c r="BI1108" s="17" t="s">
        <v>76</v>
      </c>
      <c r="BL1108" s="17">
        <v>60.0</v>
      </c>
      <c r="BM1108" s="17" t="s">
        <v>4186</v>
      </c>
      <c r="BN1108" s="17" t="s">
        <v>4186</v>
      </c>
      <c r="BP1108" s="17" t="s">
        <v>4187</v>
      </c>
      <c r="BR1108" s="24" t="str">
        <f t="shared" si="1"/>
        <v>CHAI KABURLU </v>
      </c>
    </row>
    <row r="1109" ht="22.5" customHeight="1">
      <c r="A1109" s="14">
        <v>46079.05615729166</v>
      </c>
      <c r="B1109" s="15">
        <v>46078.0</v>
      </c>
      <c r="C1109" s="16">
        <v>0.375</v>
      </c>
      <c r="D1109" s="17" t="s">
        <v>91</v>
      </c>
      <c r="F1109" s="17">
        <v>100.0</v>
      </c>
      <c r="G1109" s="17">
        <v>450.0</v>
      </c>
      <c r="H1109" s="17" t="s">
        <v>423</v>
      </c>
      <c r="I1109" s="17">
        <v>60000.0</v>
      </c>
      <c r="J1109" s="17" t="s">
        <v>167</v>
      </c>
      <c r="K1109" s="17" t="s">
        <v>4188</v>
      </c>
      <c r="N1109" s="17">
        <v>1.0</v>
      </c>
      <c r="O1109" s="17" t="s">
        <v>135</v>
      </c>
      <c r="P1109" s="17" t="s">
        <v>76</v>
      </c>
      <c r="Q1109" s="17" t="s">
        <v>97</v>
      </c>
      <c r="R1109" s="17" t="s">
        <v>109</v>
      </c>
      <c r="S1109" s="18" t="s">
        <v>4189</v>
      </c>
      <c r="U1109" s="17" t="s">
        <v>4190</v>
      </c>
      <c r="V1109" s="17">
        <v>8.886466857E9</v>
      </c>
      <c r="W1109" s="17" t="s">
        <v>388</v>
      </c>
      <c r="AA1109" s="17" t="s">
        <v>76</v>
      </c>
      <c r="AB1109" s="17">
        <v>2.362503200372E13</v>
      </c>
      <c r="AC1109" s="18" t="s">
        <v>4191</v>
      </c>
      <c r="AD1109" s="17" t="s">
        <v>4192</v>
      </c>
      <c r="AE1109" s="18" t="s">
        <v>4193</v>
      </c>
      <c r="AL1109" s="17">
        <v>5.0200112176575E13</v>
      </c>
      <c r="AM1109" s="17" t="s">
        <v>4194</v>
      </c>
      <c r="AN1109" s="17" t="s">
        <v>4195</v>
      </c>
      <c r="AS1109" s="17" t="s">
        <v>76</v>
      </c>
      <c r="AT1109" s="17" t="s">
        <v>388</v>
      </c>
      <c r="AU1109" s="17" t="s">
        <v>109</v>
      </c>
      <c r="AZ1109" s="17" t="s">
        <v>151</v>
      </c>
      <c r="BA1109" s="17" t="s">
        <v>458</v>
      </c>
      <c r="BB1109" s="17" t="s">
        <v>76</v>
      </c>
      <c r="BH1109" s="17">
        <v>18.0</v>
      </c>
      <c r="BI1109" s="17" t="s">
        <v>76</v>
      </c>
      <c r="BJ1109" s="16">
        <v>0.375</v>
      </c>
      <c r="BK1109" s="16">
        <v>0.9993055555532919</v>
      </c>
      <c r="BL1109" s="17">
        <v>50.0</v>
      </c>
      <c r="BM1109" s="17" t="s">
        <v>4196</v>
      </c>
      <c r="BN1109" s="17" t="s">
        <v>4196</v>
      </c>
      <c r="BP1109" s="17" t="s">
        <v>4197</v>
      </c>
      <c r="BR1109" s="24" t="str">
        <f t="shared" si="1"/>
        <v>5ves restaurant </v>
      </c>
    </row>
    <row r="1110" ht="22.5" customHeight="1">
      <c r="A1110" s="14">
        <v>46079.34895627315</v>
      </c>
      <c r="B1110" s="15">
        <v>46077.0</v>
      </c>
      <c r="C1110" s="16">
        <v>0.20833333333575865</v>
      </c>
      <c r="U1110" s="17" t="s">
        <v>4198</v>
      </c>
      <c r="V1110" s="17">
        <v>9.553442334E9</v>
      </c>
      <c r="W1110" s="17" t="s">
        <v>4199</v>
      </c>
      <c r="AA1110" s="17" t="s">
        <v>76</v>
      </c>
      <c r="AB1110" s="17">
        <v>2.3626028000632E13</v>
      </c>
      <c r="AC1110" s="18" t="s">
        <v>4200</v>
      </c>
      <c r="AD1110" s="17" t="s">
        <v>117</v>
      </c>
      <c r="AF1110" s="17" t="s">
        <v>4201</v>
      </c>
      <c r="AG1110" s="18" t="s">
        <v>4202</v>
      </c>
      <c r="AH1110" s="17" t="s">
        <v>4203</v>
      </c>
      <c r="AI1110" s="18" t="s">
        <v>4204</v>
      </c>
      <c r="AO1110" s="17" t="s">
        <v>4205</v>
      </c>
      <c r="AP1110" s="17">
        <v>9.553442334E9</v>
      </c>
      <c r="AQ1110" s="17" t="s">
        <v>4199</v>
      </c>
      <c r="AR1110" s="17" t="s">
        <v>4205</v>
      </c>
      <c r="AS1110" s="17" t="s">
        <v>76</v>
      </c>
      <c r="AT1110" s="17" t="s">
        <v>4206</v>
      </c>
      <c r="AU1110" s="17" t="s">
        <v>76</v>
      </c>
      <c r="AZ1110" s="17" t="s">
        <v>3034</v>
      </c>
      <c r="BA1110" s="17" t="s">
        <v>458</v>
      </c>
      <c r="BB1110" s="17" t="s">
        <v>109</v>
      </c>
      <c r="BH1110" s="17">
        <v>22.0</v>
      </c>
      <c r="BJ1110" s="16">
        <v>0.45833333333575865</v>
      </c>
      <c r="BK1110" s="16">
        <v>0.45833333333575865</v>
      </c>
      <c r="BM1110" s="17" t="s">
        <v>4207</v>
      </c>
      <c r="BP1110" s="17" t="s">
        <v>4208</v>
      </c>
      <c r="BR1110" s="24" t="str">
        <f t="shared" si="1"/>
        <v>Anu Kitchen</v>
      </c>
    </row>
    <row r="1111" ht="22.5" customHeight="1">
      <c r="A1111" s="14">
        <v>46079.442356377316</v>
      </c>
      <c r="B1111" s="15">
        <v>46078.0</v>
      </c>
      <c r="C1111" s="16">
        <v>0.20138888889050577</v>
      </c>
      <c r="U1111" s="17" t="s">
        <v>3145</v>
      </c>
      <c r="V1111" s="17">
        <v>9.70107248E8</v>
      </c>
      <c r="W1111" s="17" t="s">
        <v>117</v>
      </c>
      <c r="AA1111" s="17" t="s">
        <v>109</v>
      </c>
      <c r="AT1111" s="17" t="s">
        <v>755</v>
      </c>
      <c r="AU1111" s="17" t="s">
        <v>76</v>
      </c>
      <c r="AX1111" s="15">
        <v>46079.0</v>
      </c>
      <c r="AZ1111" s="17" t="s">
        <v>182</v>
      </c>
      <c r="BA1111" s="17" t="s">
        <v>458</v>
      </c>
      <c r="BB1111" s="17" t="s">
        <v>109</v>
      </c>
      <c r="BP1111" s="17" t="s">
        <v>4209</v>
      </c>
      <c r="BR1111" s="24" t="str">
        <f t="shared" si="1"/>
        <v>T Vannam </v>
      </c>
    </row>
    <row r="1112" ht="22.5" customHeight="1">
      <c r="A1112" s="14">
        <v>46079.443807407406</v>
      </c>
      <c r="B1112" s="15">
        <v>46079.0</v>
      </c>
      <c r="C1112" s="16">
        <v>0.26458333333721384</v>
      </c>
      <c r="U1112" s="17" t="s">
        <v>117</v>
      </c>
      <c r="V1112" s="17" t="s">
        <v>117</v>
      </c>
      <c r="W1112" s="17" t="s">
        <v>117</v>
      </c>
      <c r="AA1112" s="17" t="s">
        <v>109</v>
      </c>
      <c r="AT1112" s="17" t="s">
        <v>755</v>
      </c>
      <c r="AU1112" s="17" t="s">
        <v>109</v>
      </c>
      <c r="AZ1112" s="17" t="s">
        <v>182</v>
      </c>
      <c r="BA1112" s="17" t="s">
        <v>458</v>
      </c>
      <c r="BB1112" s="17" t="s">
        <v>109</v>
      </c>
      <c r="BP1112" s="17" t="s">
        <v>4210</v>
      </c>
      <c r="BR1112" s="24" t="str">
        <f t="shared" si="1"/>
        <v>Shwarma kingdom</v>
      </c>
    </row>
    <row r="1113" ht="22.5" customHeight="1">
      <c r="A1113" s="14">
        <v>46079.49922789352</v>
      </c>
      <c r="B1113" s="15">
        <v>46079.0</v>
      </c>
      <c r="C1113" s="16">
        <v>0.47916666666424135</v>
      </c>
      <c r="U1113" s="17" t="s">
        <v>4211</v>
      </c>
      <c r="V1113" s="17" t="s">
        <v>4212</v>
      </c>
      <c r="W1113" s="17" t="s">
        <v>4211</v>
      </c>
      <c r="AA1113" s="17" t="s">
        <v>109</v>
      </c>
      <c r="AT1113" s="17" t="s">
        <v>4213</v>
      </c>
      <c r="AU1113" s="17" t="s">
        <v>76</v>
      </c>
      <c r="AV1113" s="17" t="s">
        <v>472</v>
      </c>
      <c r="AW1113" s="17" t="s">
        <v>4214</v>
      </c>
      <c r="AZ1113" s="17" t="s">
        <v>110</v>
      </c>
      <c r="BA1113" s="17" t="s">
        <v>458</v>
      </c>
      <c r="BB1113" s="17" t="s">
        <v>109</v>
      </c>
      <c r="BP1113" s="17" t="s">
        <v>4215</v>
      </c>
      <c r="BR1113" s="24" t="str">
        <f t="shared" si="1"/>
        <v>Southern Mirchi</v>
      </c>
    </row>
    <row r="1114" ht="22.5" customHeight="1">
      <c r="A1114" s="14">
        <v>46079.500836377316</v>
      </c>
      <c r="B1114" s="15">
        <v>46079.0</v>
      </c>
      <c r="C1114" s="16">
        <v>0.5</v>
      </c>
      <c r="U1114" s="17" t="s">
        <v>4216</v>
      </c>
      <c r="V1114" s="17">
        <v>9.121377727E9</v>
      </c>
      <c r="W1114" s="17" t="s">
        <v>4211</v>
      </c>
      <c r="AA1114" s="17" t="s">
        <v>109</v>
      </c>
      <c r="AT1114" s="17" t="s">
        <v>4217</v>
      </c>
      <c r="AU1114" s="17" t="s">
        <v>76</v>
      </c>
      <c r="AV1114" s="17" t="s">
        <v>472</v>
      </c>
      <c r="AW1114" s="17" t="s">
        <v>4218</v>
      </c>
      <c r="AZ1114" s="17" t="s">
        <v>110</v>
      </c>
      <c r="BA1114" s="17" t="s">
        <v>458</v>
      </c>
      <c r="BB1114" s="17" t="s">
        <v>109</v>
      </c>
      <c r="BP1114" s="17" t="s">
        <v>4219</v>
      </c>
      <c r="BR1114" s="24" t="str">
        <f t="shared" si="1"/>
        <v>Joharfa </v>
      </c>
    </row>
    <row r="1115" ht="22.5" customHeight="1">
      <c r="A1115" s="14">
        <v>46079.570089479166</v>
      </c>
      <c r="B1115" s="15">
        <v>46079.0</v>
      </c>
      <c r="C1115" s="16">
        <v>0.5625</v>
      </c>
      <c r="D1115" s="17" t="s">
        <v>111</v>
      </c>
      <c r="T1115" s="17" t="s">
        <v>1617</v>
      </c>
      <c r="U1115" s="17" t="s">
        <v>1618</v>
      </c>
      <c r="V1115" s="17" t="s">
        <v>1619</v>
      </c>
      <c r="W1115" s="17" t="s">
        <v>117</v>
      </c>
      <c r="AA1115" s="17" t="s">
        <v>109</v>
      </c>
      <c r="AT1115" s="17" t="s">
        <v>4220</v>
      </c>
      <c r="AU1115" s="17" t="s">
        <v>76</v>
      </c>
      <c r="AV1115" s="17" t="s">
        <v>472</v>
      </c>
      <c r="AW1115" s="17" t="s">
        <v>3890</v>
      </c>
      <c r="AX1115" s="15">
        <v>46083.0</v>
      </c>
      <c r="AY1115" s="16">
        <v>0.5208333333357587</v>
      </c>
      <c r="AZ1115" s="17" t="s">
        <v>1607</v>
      </c>
      <c r="BA1115" s="17" t="s">
        <v>491</v>
      </c>
      <c r="BP1115" s="17" t="s">
        <v>1617</v>
      </c>
      <c r="BR1115" s="24" t="str">
        <f t="shared" si="1"/>
        <v>FrankieFrankie</v>
      </c>
    </row>
    <row r="1116" ht="22.5" customHeight="1">
      <c r="A1116" s="14">
        <v>46079.59837824074</v>
      </c>
      <c r="B1116" s="15">
        <v>46079.0</v>
      </c>
      <c r="C1116" s="16">
        <v>0.5972222222189885</v>
      </c>
      <c r="D1116" s="17" t="s">
        <v>91</v>
      </c>
      <c r="F1116" s="17">
        <v>60.0</v>
      </c>
      <c r="G1116" s="17">
        <v>300.0</v>
      </c>
      <c r="H1116" s="17" t="s">
        <v>509</v>
      </c>
      <c r="I1116" s="17">
        <v>30000.0</v>
      </c>
      <c r="J1116" s="17" t="s">
        <v>94</v>
      </c>
      <c r="K1116" s="17" t="s">
        <v>2074</v>
      </c>
      <c r="L1116" s="17">
        <v>25.0</v>
      </c>
      <c r="M1116" s="17">
        <v>20.0</v>
      </c>
      <c r="N1116" s="17">
        <v>1.0</v>
      </c>
      <c r="O1116" s="17" t="s">
        <v>96</v>
      </c>
      <c r="P1116" s="17" t="s">
        <v>76</v>
      </c>
      <c r="Q1116" s="17" t="s">
        <v>97</v>
      </c>
      <c r="R1116" s="17" t="s">
        <v>76</v>
      </c>
      <c r="S1116" s="18" t="s">
        <v>4221</v>
      </c>
      <c r="U1116" s="17" t="s">
        <v>4222</v>
      </c>
      <c r="V1116" s="17">
        <v>8.247679019E9</v>
      </c>
      <c r="W1116" s="17" t="s">
        <v>4211</v>
      </c>
      <c r="AA1116" s="17" t="s">
        <v>109</v>
      </c>
      <c r="AT1116" s="17" t="s">
        <v>4223</v>
      </c>
      <c r="AU1116" s="17" t="s">
        <v>76</v>
      </c>
      <c r="AV1116" s="17" t="s">
        <v>88</v>
      </c>
      <c r="AW1116" s="17" t="s">
        <v>4224</v>
      </c>
      <c r="AZ1116" s="17" t="s">
        <v>110</v>
      </c>
      <c r="BA1116" s="17" t="s">
        <v>458</v>
      </c>
      <c r="BB1116" s="17" t="s">
        <v>76</v>
      </c>
      <c r="BL1116" s="17" t="s">
        <v>4225</v>
      </c>
      <c r="BN1116" s="17" t="s">
        <v>4226</v>
      </c>
      <c r="BP1116" s="17" t="s">
        <v>4227</v>
      </c>
      <c r="BR1116" s="24" t="str">
        <f t="shared" si="1"/>
        <v>Meenakshi Cafe</v>
      </c>
    </row>
    <row r="1117" ht="22.5" customHeight="1">
      <c r="A1117" s="14">
        <v>46079.62214230324</v>
      </c>
      <c r="B1117" s="15">
        <v>46079.0</v>
      </c>
      <c r="C1117" s="16">
        <v>0.625</v>
      </c>
      <c r="U1117" s="17" t="s">
        <v>4228</v>
      </c>
      <c r="V1117" s="17">
        <v>6.281419251E9</v>
      </c>
      <c r="W1117" s="17" t="s">
        <v>388</v>
      </c>
      <c r="AA1117" s="17" t="s">
        <v>109</v>
      </c>
      <c r="AT1117" s="17" t="s">
        <v>4229</v>
      </c>
      <c r="AU1117" s="17" t="s">
        <v>76</v>
      </c>
      <c r="AV1117" s="17" t="s">
        <v>472</v>
      </c>
      <c r="AX1117" s="15">
        <v>46080.0</v>
      </c>
      <c r="AY1117" s="16">
        <v>0.41666666666424135</v>
      </c>
      <c r="AZ1117" s="17" t="s">
        <v>110</v>
      </c>
      <c r="BA1117" s="17" t="s">
        <v>458</v>
      </c>
      <c r="BB1117" s="17" t="s">
        <v>109</v>
      </c>
      <c r="BP1117" s="17" t="s">
        <v>4230</v>
      </c>
      <c r="BR1117" s="24" t="str">
        <f t="shared" si="1"/>
        <v>Ram’s Dosa House </v>
      </c>
    </row>
    <row r="1118" ht="22.5" customHeight="1">
      <c r="A1118" s="14">
        <v>46079.6994121412</v>
      </c>
      <c r="B1118" s="15">
        <v>46079.0</v>
      </c>
      <c r="C1118" s="16">
        <v>0.6979166666642413</v>
      </c>
      <c r="U1118" s="17" t="s">
        <v>4231</v>
      </c>
      <c r="V1118" s="17">
        <v>8.80006609E10</v>
      </c>
      <c r="W1118" s="17" t="s">
        <v>4232</v>
      </c>
      <c r="AA1118" s="17" t="s">
        <v>109</v>
      </c>
      <c r="AT1118" s="17" t="s">
        <v>4233</v>
      </c>
      <c r="AU1118" s="17" t="s">
        <v>76</v>
      </c>
      <c r="AV1118" s="17" t="s">
        <v>472</v>
      </c>
      <c r="AW1118" s="17" t="s">
        <v>4218</v>
      </c>
      <c r="AX1118" s="15">
        <v>46080.0</v>
      </c>
      <c r="AY1118" s="16">
        <v>0.5</v>
      </c>
      <c r="AZ1118" s="17" t="s">
        <v>110</v>
      </c>
      <c r="BA1118" s="17" t="s">
        <v>458</v>
      </c>
      <c r="BB1118" s="17" t="s">
        <v>109</v>
      </c>
      <c r="BP1118" s="17" t="s">
        <v>4234</v>
      </c>
      <c r="BR1118" s="24" t="str">
        <f t="shared" si="1"/>
        <v>Audio cup coffee house</v>
      </c>
    </row>
    <row r="1119" ht="22.5" customHeight="1">
      <c r="A1119" s="14">
        <v>46079.75839033565</v>
      </c>
      <c r="B1119" s="15">
        <v>46079.0</v>
      </c>
      <c r="C1119" s="16">
        <v>0.5</v>
      </c>
      <c r="D1119" s="17" t="s">
        <v>111</v>
      </c>
      <c r="T1119" s="17" t="s">
        <v>4235</v>
      </c>
      <c r="U1119" s="17" t="s">
        <v>1597</v>
      </c>
      <c r="V1119" s="17" t="s">
        <v>1598</v>
      </c>
      <c r="W1119" s="17" t="s">
        <v>117</v>
      </c>
      <c r="AA1119" s="17" t="s">
        <v>109</v>
      </c>
      <c r="AT1119" s="17" t="s">
        <v>4236</v>
      </c>
      <c r="AU1119" s="17" t="s">
        <v>76</v>
      </c>
      <c r="AV1119" s="17" t="s">
        <v>472</v>
      </c>
      <c r="AZ1119" s="17" t="s">
        <v>1607</v>
      </c>
      <c r="BA1119" s="17" t="s">
        <v>491</v>
      </c>
      <c r="BP1119" s="17" t="s">
        <v>4235</v>
      </c>
      <c r="BR1119" s="24" t="str">
        <f t="shared" si="1"/>
        <v>Aha DakshinAha Dakshin</v>
      </c>
    </row>
    <row r="1120" ht="22.5" customHeight="1">
      <c r="A1120" s="14">
        <v>46079.76463695602</v>
      </c>
      <c r="B1120" s="15">
        <v>46079.0</v>
      </c>
      <c r="C1120" s="16">
        <v>0.5208333333357587</v>
      </c>
      <c r="D1120" s="17" t="s">
        <v>111</v>
      </c>
      <c r="T1120" s="17" t="s">
        <v>1601</v>
      </c>
      <c r="U1120" s="17" t="s">
        <v>3887</v>
      </c>
      <c r="V1120" s="17" t="s">
        <v>4237</v>
      </c>
      <c r="W1120" s="17" t="s">
        <v>3900</v>
      </c>
      <c r="X1120" s="17" t="s">
        <v>1604</v>
      </c>
      <c r="Y1120" s="17">
        <v>8.123401137E9</v>
      </c>
      <c r="Z1120" s="17" t="s">
        <v>4238</v>
      </c>
      <c r="AA1120" s="17" t="s">
        <v>109</v>
      </c>
      <c r="AT1120" s="17" t="s">
        <v>4239</v>
      </c>
      <c r="AU1120" s="17" t="s">
        <v>76</v>
      </c>
      <c r="AV1120" s="17" t="s">
        <v>373</v>
      </c>
      <c r="AW1120" s="17" t="s">
        <v>4240</v>
      </c>
      <c r="AX1120" s="15">
        <v>46083.0</v>
      </c>
      <c r="AZ1120" s="17" t="s">
        <v>1607</v>
      </c>
      <c r="BA1120" s="17" t="s">
        <v>491</v>
      </c>
      <c r="BP1120" s="17" t="s">
        <v>1601</v>
      </c>
      <c r="BR1120" s="24" t="str">
        <f t="shared" si="1"/>
        <v>Burger KingBurger King</v>
      </c>
    </row>
    <row r="1121" ht="22.5" customHeight="1">
      <c r="A1121" s="14">
        <v>46079.77444959491</v>
      </c>
      <c r="B1121" s="15">
        <v>46079.0</v>
      </c>
      <c r="C1121" s="16">
        <v>0.5416666666642413</v>
      </c>
      <c r="D1121" s="17" t="s">
        <v>111</v>
      </c>
      <c r="T1121" s="17" t="s">
        <v>1608</v>
      </c>
      <c r="U1121" s="17" t="s">
        <v>1611</v>
      </c>
      <c r="V1121" s="17" t="s">
        <v>4241</v>
      </c>
      <c r="W1121" s="17" t="s">
        <v>117</v>
      </c>
      <c r="Y1121" s="17" t="s">
        <v>4242</v>
      </c>
      <c r="AA1121" s="17" t="s">
        <v>109</v>
      </c>
      <c r="AT1121" s="17" t="s">
        <v>4243</v>
      </c>
      <c r="AU1121" s="17" t="s">
        <v>76</v>
      </c>
      <c r="AV1121" s="17" t="s">
        <v>472</v>
      </c>
      <c r="AW1121" s="17" t="s">
        <v>652</v>
      </c>
      <c r="AZ1121" s="17" t="s">
        <v>1607</v>
      </c>
      <c r="BA1121" s="17" t="s">
        <v>491</v>
      </c>
      <c r="BP1121" s="17" t="s">
        <v>1608</v>
      </c>
      <c r="BR1121" s="24" t="str">
        <f t="shared" si="1"/>
        <v>WOW ChinaWOW China</v>
      </c>
    </row>
    <row r="1122" ht="22.5" customHeight="1">
      <c r="A1122" s="14">
        <v>46079.79329832176</v>
      </c>
      <c r="B1122" s="15">
        <v>46079.0</v>
      </c>
      <c r="C1122" s="16">
        <v>0.5625</v>
      </c>
      <c r="D1122" s="17" t="s">
        <v>111</v>
      </c>
      <c r="T1122" s="17" t="s">
        <v>1732</v>
      </c>
      <c r="U1122" s="17" t="s">
        <v>3941</v>
      </c>
      <c r="V1122" s="17">
        <v>9.769343996E9</v>
      </c>
      <c r="W1122" s="17" t="s">
        <v>3942</v>
      </c>
      <c r="AA1122" s="17" t="s">
        <v>109</v>
      </c>
      <c r="AT1122" s="17" t="s">
        <v>4244</v>
      </c>
      <c r="AU1122" s="17" t="s">
        <v>76</v>
      </c>
      <c r="AV1122" s="17" t="s">
        <v>271</v>
      </c>
      <c r="AZ1122" s="17" t="s">
        <v>1607</v>
      </c>
      <c r="BA1122" s="17" t="s">
        <v>491</v>
      </c>
      <c r="BP1122" s="17" t="s">
        <v>1732</v>
      </c>
      <c r="BR1122" s="24" t="str">
        <f t="shared" si="1"/>
        <v>Hard Rock CafeHard Rock Cafe</v>
      </c>
    </row>
    <row r="1123" ht="22.5" customHeight="1">
      <c r="A1123" s="14">
        <v>46079.79534125</v>
      </c>
      <c r="B1123" s="15">
        <v>46079.0</v>
      </c>
      <c r="C1123" s="16">
        <v>0.5833333333357587</v>
      </c>
      <c r="D1123" s="17" t="s">
        <v>111</v>
      </c>
      <c r="T1123" s="17" t="s">
        <v>2024</v>
      </c>
      <c r="U1123" s="17" t="s">
        <v>2025</v>
      </c>
      <c r="V1123" s="17" t="s">
        <v>2026</v>
      </c>
      <c r="W1123" s="17" t="s">
        <v>117</v>
      </c>
      <c r="AA1123" s="17" t="s">
        <v>109</v>
      </c>
      <c r="AT1123" s="17" t="s">
        <v>4245</v>
      </c>
      <c r="AU1123" s="17" t="s">
        <v>76</v>
      </c>
      <c r="AV1123" s="17" t="s">
        <v>271</v>
      </c>
      <c r="AW1123" s="17" t="s">
        <v>2213</v>
      </c>
      <c r="AX1123" s="15">
        <v>46083.0</v>
      </c>
      <c r="AZ1123" s="17" t="s">
        <v>1607</v>
      </c>
      <c r="BA1123" s="17" t="s">
        <v>491</v>
      </c>
      <c r="BP1123" s="17" t="s">
        <v>2024</v>
      </c>
      <c r="BR1123" s="24" t="str">
        <f t="shared" si="1"/>
        <v>PeshawarPeshawar</v>
      </c>
    </row>
    <row r="1124" ht="22.5" customHeight="1">
      <c r="A1124" s="14">
        <v>46079.804169421295</v>
      </c>
      <c r="B1124" s="15">
        <v>46079.0</v>
      </c>
      <c r="C1124" s="16">
        <v>0.625</v>
      </c>
      <c r="D1124" s="17" t="s">
        <v>111</v>
      </c>
      <c r="T1124" s="17" t="s">
        <v>2028</v>
      </c>
      <c r="U1124" s="17" t="s">
        <v>4246</v>
      </c>
      <c r="V1124" s="17">
        <v>6.303556689E9</v>
      </c>
      <c r="W1124" s="17" t="s">
        <v>4247</v>
      </c>
      <c r="AA1124" s="17" t="s">
        <v>109</v>
      </c>
      <c r="AT1124" s="17" t="s">
        <v>4248</v>
      </c>
      <c r="AU1124" s="17" t="s">
        <v>76</v>
      </c>
      <c r="AV1124" s="17" t="s">
        <v>373</v>
      </c>
      <c r="AZ1124" s="17" t="s">
        <v>1607</v>
      </c>
      <c r="BA1124" s="17" t="s">
        <v>491</v>
      </c>
      <c r="BP1124" s="17" t="s">
        <v>2028</v>
      </c>
      <c r="BR1124" s="24" t="str">
        <f t="shared" si="1"/>
        <v>Organic CreameryOrganic Creamery</v>
      </c>
    </row>
    <row r="1125" ht="22.5" customHeight="1">
      <c r="A1125" s="14">
        <v>46079.80603325232</v>
      </c>
      <c r="B1125" s="15">
        <v>46079.0</v>
      </c>
      <c r="C1125" s="16">
        <v>0.6458333333357587</v>
      </c>
      <c r="D1125" s="17" t="s">
        <v>111</v>
      </c>
      <c r="T1125" s="17" t="s">
        <v>2038</v>
      </c>
      <c r="U1125" s="17" t="s">
        <v>2039</v>
      </c>
      <c r="V1125" s="17">
        <v>9.147716232E9</v>
      </c>
      <c r="W1125" s="17" t="s">
        <v>4249</v>
      </c>
      <c r="AA1125" s="17" t="s">
        <v>109</v>
      </c>
      <c r="AT1125" s="17" t="s">
        <v>4250</v>
      </c>
      <c r="AU1125" s="17" t="s">
        <v>76</v>
      </c>
      <c r="AV1125" s="17" t="s">
        <v>373</v>
      </c>
      <c r="AX1125" s="15">
        <v>46083.0</v>
      </c>
      <c r="AZ1125" s="17" t="s">
        <v>1607</v>
      </c>
      <c r="BA1125" s="17" t="s">
        <v>491</v>
      </c>
      <c r="BP1125" s="17" t="s">
        <v>2038</v>
      </c>
      <c r="BR1125" s="24" t="str">
        <f t="shared" si="1"/>
        <v>Shanghai Flavours of ChinaShanghai Flavours of China</v>
      </c>
    </row>
    <row r="1126" ht="22.5" customHeight="1">
      <c r="A1126" s="14">
        <v>46079.807801331015</v>
      </c>
      <c r="B1126" s="15">
        <v>46079.0</v>
      </c>
      <c r="C1126" s="16">
        <v>0.6666666666642413</v>
      </c>
      <c r="D1126" s="17" t="s">
        <v>111</v>
      </c>
      <c r="T1126" s="17" t="s">
        <v>2046</v>
      </c>
      <c r="U1126" s="17" t="s">
        <v>2047</v>
      </c>
      <c r="V1126" s="17">
        <v>7.032888705E9</v>
      </c>
      <c r="W1126" s="17" t="s">
        <v>2048</v>
      </c>
      <c r="AA1126" s="17" t="s">
        <v>109</v>
      </c>
      <c r="AT1126" s="17" t="s">
        <v>4251</v>
      </c>
      <c r="AU1126" s="17" t="s">
        <v>76</v>
      </c>
      <c r="AV1126" s="17" t="s">
        <v>373</v>
      </c>
      <c r="AW1126" s="17" t="s">
        <v>3890</v>
      </c>
      <c r="AX1126" s="15">
        <v>46080.0</v>
      </c>
      <c r="AY1126" s="16">
        <v>0.45833333333575865</v>
      </c>
      <c r="AZ1126" s="17" t="s">
        <v>1607</v>
      </c>
      <c r="BA1126" s="17" t="s">
        <v>491</v>
      </c>
      <c r="BP1126" s="17" t="s">
        <v>2046</v>
      </c>
      <c r="BR1126" s="24" t="str">
        <f t="shared" si="1"/>
        <v>Karachi BakeryKarachi Bakery</v>
      </c>
    </row>
    <row r="1127" ht="22.5" customHeight="1">
      <c r="A1127" s="14">
        <v>46079.81034622685</v>
      </c>
      <c r="B1127" s="15">
        <v>46079.0</v>
      </c>
      <c r="C1127" s="16">
        <v>0.6909722222189885</v>
      </c>
      <c r="D1127" s="17" t="s">
        <v>111</v>
      </c>
      <c r="T1127" s="17" t="s">
        <v>3331</v>
      </c>
      <c r="U1127" s="17" t="s">
        <v>3332</v>
      </c>
      <c r="V1127" s="17">
        <v>9.84863319E9</v>
      </c>
      <c r="W1127" s="17" t="s">
        <v>3333</v>
      </c>
      <c r="AA1127" s="17" t="s">
        <v>109</v>
      </c>
      <c r="AT1127" s="17" t="s">
        <v>4252</v>
      </c>
      <c r="AU1127" s="17" t="s">
        <v>76</v>
      </c>
      <c r="AV1127" s="17" t="s">
        <v>373</v>
      </c>
      <c r="AW1127" s="17" t="s">
        <v>3890</v>
      </c>
      <c r="AX1127" s="15">
        <v>46080.0</v>
      </c>
      <c r="AZ1127" s="17" t="s">
        <v>1607</v>
      </c>
      <c r="BA1127" s="17" t="s">
        <v>491</v>
      </c>
      <c r="BP1127" s="17" t="s">
        <v>3331</v>
      </c>
      <c r="BR1127" s="24" t="str">
        <f t="shared" si="1"/>
        <v>Hotel Greenpark &amp; MarigoldHotel Greenpark &amp; Marigold</v>
      </c>
    </row>
    <row r="1128" ht="22.5" customHeight="1">
      <c r="A1128" s="14">
        <v>46079.81876787037</v>
      </c>
      <c r="B1128" s="15">
        <v>46079.0</v>
      </c>
      <c r="C1128" s="16">
        <v>0.6770833333357587</v>
      </c>
      <c r="D1128" s="17" t="s">
        <v>111</v>
      </c>
      <c r="T1128" s="17" t="s">
        <v>2201</v>
      </c>
      <c r="U1128" s="17" t="s">
        <v>3577</v>
      </c>
      <c r="V1128" s="17">
        <v>7.416022022E9</v>
      </c>
      <c r="W1128" s="17" t="s">
        <v>2203</v>
      </c>
      <c r="AA1128" s="17" t="s">
        <v>109</v>
      </c>
      <c r="AT1128" s="17" t="s">
        <v>4253</v>
      </c>
      <c r="AU1128" s="17" t="s">
        <v>76</v>
      </c>
      <c r="AV1128" s="17" t="s">
        <v>373</v>
      </c>
      <c r="AX1128" s="15">
        <v>46080.0</v>
      </c>
      <c r="AY1128" s="16">
        <v>0.41666666666424135</v>
      </c>
      <c r="AZ1128" s="17" t="s">
        <v>1607</v>
      </c>
      <c r="BA1128" s="17" t="s">
        <v>491</v>
      </c>
      <c r="BP1128" s="17" t="s">
        <v>2201</v>
      </c>
      <c r="BR1128" s="24" t="str">
        <f t="shared" si="1"/>
        <v>Sweets DudeSweets Dude</v>
      </c>
    </row>
    <row r="1129" ht="22.5" customHeight="1">
      <c r="A1129" s="14">
        <v>46079.967546053245</v>
      </c>
      <c r="B1129" s="15">
        <v>46079.0</v>
      </c>
      <c r="C1129" s="16">
        <v>0.49652777778101154</v>
      </c>
      <c r="U1129" s="17" t="s">
        <v>4254</v>
      </c>
      <c r="V1129" s="17">
        <v>9.739852103E9</v>
      </c>
      <c r="W1129" s="17" t="s">
        <v>113</v>
      </c>
      <c r="AA1129" s="17" t="s">
        <v>109</v>
      </c>
      <c r="AT1129" s="17" t="s">
        <v>4255</v>
      </c>
      <c r="AU1129" s="17" t="s">
        <v>76</v>
      </c>
      <c r="AV1129" s="17" t="s">
        <v>271</v>
      </c>
      <c r="AZ1129" s="17" t="s">
        <v>3034</v>
      </c>
      <c r="BA1129" s="17" t="s">
        <v>458</v>
      </c>
      <c r="BB1129" s="17" t="s">
        <v>109</v>
      </c>
      <c r="BP1129" s="17" t="s">
        <v>4256</v>
      </c>
      <c r="BR1129" s="24" t="str">
        <f t="shared" si="1"/>
        <v>Biryaniwalla &amp; co</v>
      </c>
    </row>
    <row r="1130" ht="22.5" customHeight="1">
      <c r="A1130" s="14">
        <v>46079.97024451389</v>
      </c>
      <c r="B1130" s="15">
        <v>46079.0</v>
      </c>
      <c r="C1130" s="16">
        <v>0.5027777777795563</v>
      </c>
      <c r="U1130" s="17" t="s">
        <v>4257</v>
      </c>
      <c r="V1130" s="17">
        <v>9.398380469E9</v>
      </c>
      <c r="W1130" s="17" t="s">
        <v>113</v>
      </c>
      <c r="AA1130" s="17" t="s">
        <v>109</v>
      </c>
      <c r="AT1130" s="17" t="s">
        <v>4258</v>
      </c>
      <c r="AU1130" s="17" t="s">
        <v>76</v>
      </c>
      <c r="AV1130" s="17" t="s">
        <v>271</v>
      </c>
      <c r="AZ1130" s="17" t="s">
        <v>3034</v>
      </c>
      <c r="BA1130" s="17" t="s">
        <v>458</v>
      </c>
      <c r="BB1130" s="17" t="s">
        <v>109</v>
      </c>
      <c r="BP1130" s="17" t="s">
        <v>4259</v>
      </c>
      <c r="BR1130" s="24" t="str">
        <f t="shared" si="1"/>
        <v>All Season Express</v>
      </c>
    </row>
    <row r="1131" ht="22.5" customHeight="1">
      <c r="A1131" s="14">
        <v>46079.97132350694</v>
      </c>
      <c r="B1131" s="15">
        <v>46079.0</v>
      </c>
      <c r="C1131" s="16">
        <v>0.5409722222248092</v>
      </c>
      <c r="U1131" s="17" t="s">
        <v>113</v>
      </c>
      <c r="V1131" s="17" t="s">
        <v>113</v>
      </c>
      <c r="W1131" s="17" t="s">
        <v>4260</v>
      </c>
      <c r="AA1131" s="17" t="s">
        <v>109</v>
      </c>
      <c r="AT1131" s="17" t="s">
        <v>4261</v>
      </c>
      <c r="AU1131" s="17" t="s">
        <v>76</v>
      </c>
      <c r="AV1131" s="17" t="s">
        <v>271</v>
      </c>
      <c r="AZ1131" s="17" t="s">
        <v>3034</v>
      </c>
      <c r="BA1131" s="17" t="s">
        <v>458</v>
      </c>
      <c r="BB1131" s="17" t="s">
        <v>109</v>
      </c>
      <c r="BP1131" s="17" t="s">
        <v>4262</v>
      </c>
      <c r="BR1131" s="24" t="str">
        <f t="shared" si="1"/>
        <v>Mourya Restaurant</v>
      </c>
    </row>
    <row r="1132" ht="22.5" customHeight="1">
      <c r="A1132" s="14">
        <v>46079.97245016204</v>
      </c>
      <c r="B1132" s="15">
        <v>46079.0</v>
      </c>
      <c r="C1132" s="16">
        <v>0.12569444444670808</v>
      </c>
      <c r="U1132" s="17" t="s">
        <v>4263</v>
      </c>
      <c r="V1132" s="17">
        <v>9.64250262E9</v>
      </c>
      <c r="W1132" s="17" t="s">
        <v>117</v>
      </c>
      <c r="AA1132" s="17" t="s">
        <v>109</v>
      </c>
      <c r="AT1132" s="17" t="s">
        <v>4264</v>
      </c>
      <c r="AU1132" s="17" t="s">
        <v>76</v>
      </c>
      <c r="AV1132" s="17" t="s">
        <v>271</v>
      </c>
      <c r="AZ1132" s="17" t="s">
        <v>3034</v>
      </c>
      <c r="BA1132" s="17" t="s">
        <v>458</v>
      </c>
      <c r="BB1132" s="17" t="s">
        <v>109</v>
      </c>
      <c r="BP1132" s="17" t="s">
        <v>4265</v>
      </c>
      <c r="BR1132" s="24" t="str">
        <f t="shared" si="1"/>
        <v>Street view express</v>
      </c>
    </row>
    <row r="1133" ht="22.5" customHeight="1">
      <c r="A1133" s="14">
        <v>46079.97394041667</v>
      </c>
      <c r="B1133" s="15">
        <v>46079.0</v>
      </c>
      <c r="C1133" s="16">
        <v>0.14722222222189885</v>
      </c>
      <c r="U1133" s="17" t="s">
        <v>4266</v>
      </c>
      <c r="V1133" s="17">
        <v>9.67615422E9</v>
      </c>
      <c r="W1133" s="17" t="s">
        <v>4267</v>
      </c>
      <c r="AA1133" s="17" t="s">
        <v>109</v>
      </c>
      <c r="AT1133" s="17" t="s">
        <v>4268</v>
      </c>
      <c r="AU1133" s="17" t="s">
        <v>109</v>
      </c>
      <c r="AV1133" s="17" t="s">
        <v>271</v>
      </c>
      <c r="AZ1133" s="17" t="s">
        <v>3034</v>
      </c>
      <c r="BA1133" s="17" t="s">
        <v>458</v>
      </c>
      <c r="BB1133" s="17" t="s">
        <v>109</v>
      </c>
      <c r="BP1133" s="17" t="s">
        <v>2057</v>
      </c>
      <c r="BR1133" s="24" t="str">
        <f t="shared" si="1"/>
        <v>Baskin Robbins</v>
      </c>
    </row>
    <row r="1134" ht="22.5" customHeight="1">
      <c r="A1134" s="14">
        <v>46079.97489702546</v>
      </c>
      <c r="B1134" s="15">
        <v>46079.0</v>
      </c>
      <c r="C1134" s="16">
        <v>0.14097222222335404</v>
      </c>
      <c r="U1134" s="17" t="s">
        <v>4269</v>
      </c>
      <c r="V1134" s="17">
        <v>8.106872005E9</v>
      </c>
      <c r="W1134" s="17" t="s">
        <v>113</v>
      </c>
      <c r="AA1134" s="17" t="s">
        <v>109</v>
      </c>
      <c r="AT1134" s="17" t="s">
        <v>4270</v>
      </c>
      <c r="AU1134" s="17" t="s">
        <v>109</v>
      </c>
      <c r="AZ1134" s="17" t="s">
        <v>3034</v>
      </c>
      <c r="BA1134" s="17" t="s">
        <v>458</v>
      </c>
      <c r="BB1134" s="17" t="s">
        <v>109</v>
      </c>
      <c r="BP1134" s="17" t="s">
        <v>4271</v>
      </c>
      <c r="BR1134" s="24" t="str">
        <f t="shared" si="1"/>
        <v>Sozo Cakery &amp; Cafe</v>
      </c>
    </row>
    <row r="1135" ht="22.5" customHeight="1">
      <c r="A1135" s="14">
        <v>46080.41664228009</v>
      </c>
      <c r="B1135" s="15">
        <v>46079.0</v>
      </c>
      <c r="C1135" s="16">
        <v>0.49861111110658385</v>
      </c>
      <c r="U1135" s="17" t="s">
        <v>388</v>
      </c>
      <c r="V1135" s="17">
        <v>0.0</v>
      </c>
      <c r="W1135" s="17" t="s">
        <v>388</v>
      </c>
      <c r="AA1135" s="17" t="s">
        <v>109</v>
      </c>
      <c r="AT1135" s="17" t="s">
        <v>388</v>
      </c>
      <c r="AU1135" s="17" t="s">
        <v>76</v>
      </c>
      <c r="AZ1135" s="17" t="s">
        <v>287</v>
      </c>
      <c r="BA1135" s="17" t="s">
        <v>458</v>
      </c>
      <c r="BB1135" s="17" t="s">
        <v>109</v>
      </c>
      <c r="BP1135" s="17" t="s">
        <v>4272</v>
      </c>
      <c r="BR1135" s="24" t="str">
        <f t="shared" si="1"/>
        <v>Kelvin Scale Absolute Ice Cream</v>
      </c>
    </row>
    <row r="1136" ht="22.5" customHeight="1">
      <c r="A1136" s="14">
        <v>46080.41786099537</v>
      </c>
      <c r="B1136" s="15">
        <v>46079.0</v>
      </c>
      <c r="C1136" s="16">
        <v>0.492361111115315</v>
      </c>
      <c r="U1136" s="17" t="s">
        <v>3380</v>
      </c>
      <c r="V1136" s="17">
        <v>9.17781711E8</v>
      </c>
      <c r="W1136" s="17" t="s">
        <v>388</v>
      </c>
      <c r="AA1136" s="17" t="s">
        <v>109</v>
      </c>
      <c r="AT1136" s="17" t="s">
        <v>388</v>
      </c>
      <c r="AU1136" s="17" t="s">
        <v>76</v>
      </c>
      <c r="AV1136" s="17" t="s">
        <v>472</v>
      </c>
      <c r="AX1136" s="15">
        <v>46055.0</v>
      </c>
      <c r="AZ1136" s="17" t="s">
        <v>287</v>
      </c>
      <c r="BA1136" s="17" t="s">
        <v>458</v>
      </c>
      <c r="BB1136" s="17" t="s">
        <v>109</v>
      </c>
      <c r="BP1136" s="17" t="s">
        <v>4273</v>
      </c>
      <c r="BR1136" s="24" t="str">
        <f t="shared" si="1"/>
        <v>Zucifera</v>
      </c>
    </row>
    <row r="1137" ht="22.5" customHeight="1">
      <c r="A1137" s="14">
        <v>46080.419358831015</v>
      </c>
      <c r="B1137" s="15">
        <v>46079.0</v>
      </c>
      <c r="C1137" s="16">
        <v>0.5013888888934162</v>
      </c>
      <c r="U1137" s="17" t="s">
        <v>388</v>
      </c>
      <c r="V1137" s="17">
        <v>9.100028909E9</v>
      </c>
      <c r="W1137" s="17" t="s">
        <v>388</v>
      </c>
      <c r="AA1137" s="17" t="s">
        <v>109</v>
      </c>
      <c r="AT1137" s="17" t="s">
        <v>4274</v>
      </c>
      <c r="AU1137" s="17" t="s">
        <v>76</v>
      </c>
      <c r="AV1137" s="17" t="s">
        <v>472</v>
      </c>
      <c r="AX1137" s="15">
        <v>46055.0</v>
      </c>
      <c r="AZ1137" s="17" t="s">
        <v>287</v>
      </c>
      <c r="BA1137" s="17" t="s">
        <v>458</v>
      </c>
      <c r="BB1137" s="17" t="s">
        <v>109</v>
      </c>
      <c r="BP1137" s="17" t="s">
        <v>4275</v>
      </c>
      <c r="BR1137" s="24" t="str">
        <f t="shared" si="1"/>
        <v>Pulaos and Bagara</v>
      </c>
    </row>
    <row r="1138" ht="22.5" customHeight="1">
      <c r="A1138" s="14">
        <v>46080.42309091435</v>
      </c>
      <c r="B1138" s="15">
        <v>46079.0</v>
      </c>
      <c r="C1138" s="16">
        <v>0.5798611111094942</v>
      </c>
      <c r="D1138" s="17" t="s">
        <v>91</v>
      </c>
      <c r="F1138" s="17">
        <v>10.0</v>
      </c>
      <c r="G1138" s="17">
        <v>300.0</v>
      </c>
      <c r="H1138" s="17" t="s">
        <v>388</v>
      </c>
      <c r="J1138" s="17" t="s">
        <v>94</v>
      </c>
      <c r="M1138" s="17">
        <v>22.0</v>
      </c>
      <c r="N1138" s="17">
        <v>1.0</v>
      </c>
      <c r="O1138" s="17" t="s">
        <v>135</v>
      </c>
      <c r="P1138" s="17" t="s">
        <v>109</v>
      </c>
      <c r="Q1138" s="17" t="s">
        <v>97</v>
      </c>
      <c r="R1138" s="17" t="s">
        <v>109</v>
      </c>
      <c r="S1138" s="17" t="s">
        <v>388</v>
      </c>
      <c r="U1138" s="17" t="s">
        <v>4276</v>
      </c>
      <c r="V1138" s="17">
        <v>7.337595099E9</v>
      </c>
      <c r="W1138" s="17" t="s">
        <v>113</v>
      </c>
      <c r="AA1138" s="17" t="s">
        <v>76</v>
      </c>
      <c r="AC1138" s="18" t="s">
        <v>4277</v>
      </c>
      <c r="AG1138" s="18" t="s">
        <v>4278</v>
      </c>
      <c r="AJ1138" s="18" t="s">
        <v>4279</v>
      </c>
      <c r="AK1138" s="18" t="s">
        <v>4280</v>
      </c>
      <c r="AS1138" s="17" t="s">
        <v>76</v>
      </c>
      <c r="AT1138" s="17" t="s">
        <v>113</v>
      </c>
      <c r="AU1138" s="17" t="s">
        <v>109</v>
      </c>
      <c r="AZ1138" s="17" t="s">
        <v>287</v>
      </c>
      <c r="BA1138" s="17" t="s">
        <v>458</v>
      </c>
      <c r="BB1138" s="17" t="s">
        <v>76</v>
      </c>
      <c r="BM1138" s="17" t="s">
        <v>1088</v>
      </c>
      <c r="BP1138" s="17" t="s">
        <v>4281</v>
      </c>
      <c r="BR1138" s="24" t="str">
        <f t="shared" si="1"/>
        <v>Mexician Fried Chicken</v>
      </c>
    </row>
    <row r="1139" ht="22.5" customHeight="1">
      <c r="A1139" s="14">
        <v>46080.42543659722</v>
      </c>
      <c r="B1139" s="15">
        <v>46079.0</v>
      </c>
      <c r="C1139" s="16">
        <v>0.7083333333357587</v>
      </c>
      <c r="D1139" s="17" t="s">
        <v>91</v>
      </c>
      <c r="F1139" s="17">
        <v>40.0</v>
      </c>
      <c r="G1139" s="17">
        <v>300.0</v>
      </c>
      <c r="H1139" s="17" t="s">
        <v>291</v>
      </c>
      <c r="I1139" s="17">
        <v>40000.0</v>
      </c>
      <c r="J1139" s="17" t="s">
        <v>221</v>
      </c>
      <c r="K1139" s="17" t="s">
        <v>134</v>
      </c>
      <c r="L1139" s="17">
        <v>22.0</v>
      </c>
      <c r="M1139" s="17">
        <v>19.0</v>
      </c>
      <c r="N1139" s="17">
        <v>1.0</v>
      </c>
      <c r="O1139" s="17" t="s">
        <v>135</v>
      </c>
      <c r="P1139" s="17" t="s">
        <v>76</v>
      </c>
      <c r="Q1139" s="17" t="s">
        <v>97</v>
      </c>
      <c r="R1139" s="17" t="s">
        <v>76</v>
      </c>
      <c r="S1139" s="17" t="s">
        <v>4282</v>
      </c>
      <c r="U1139" s="17" t="s">
        <v>4283</v>
      </c>
      <c r="V1139" s="17">
        <v>8.790330858E9</v>
      </c>
      <c r="W1139" s="17" t="s">
        <v>113</v>
      </c>
      <c r="AA1139" s="17" t="s">
        <v>109</v>
      </c>
      <c r="AT1139" s="17" t="s">
        <v>4284</v>
      </c>
      <c r="AU1139" s="17" t="s">
        <v>76</v>
      </c>
      <c r="AV1139" s="17" t="s">
        <v>472</v>
      </c>
      <c r="AZ1139" s="17" t="s">
        <v>131</v>
      </c>
      <c r="BA1139" s="17" t="s">
        <v>458</v>
      </c>
      <c r="BB1139" s="17" t="s">
        <v>76</v>
      </c>
      <c r="BL1139" s="17">
        <v>40.0</v>
      </c>
      <c r="BN1139" s="17" t="s">
        <v>4285</v>
      </c>
      <c r="BP1139" s="17" t="s">
        <v>4286</v>
      </c>
      <c r="BR1139" s="24" t="str">
        <f t="shared" si="1"/>
        <v>Deccan Bawarchi</v>
      </c>
    </row>
    <row r="1140" ht="22.5" customHeight="1">
      <c r="A1140" s="14">
        <v>46080.45872401621</v>
      </c>
      <c r="B1140" s="15">
        <v>46079.0</v>
      </c>
      <c r="C1140" s="16">
        <v>0.5</v>
      </c>
      <c r="D1140" s="17" t="s">
        <v>111</v>
      </c>
      <c r="T1140" s="17" t="s">
        <v>4287</v>
      </c>
      <c r="U1140" s="17" t="s">
        <v>4288</v>
      </c>
      <c r="V1140" s="17">
        <v>9.849869084E9</v>
      </c>
      <c r="W1140" s="17" t="s">
        <v>113</v>
      </c>
      <c r="AA1140" s="17" t="s">
        <v>109</v>
      </c>
      <c r="AT1140" s="17" t="s">
        <v>193</v>
      </c>
      <c r="AU1140" s="17" t="s">
        <v>109</v>
      </c>
      <c r="AZ1140" s="17" t="s">
        <v>243</v>
      </c>
      <c r="BA1140" s="17" t="s">
        <v>458</v>
      </c>
      <c r="BB1140" s="17" t="s">
        <v>76</v>
      </c>
      <c r="BP1140" s="17" t="s">
        <v>4287</v>
      </c>
      <c r="BR1140" s="24" t="str">
        <f t="shared" si="1"/>
        <v>SRG Restro innSRG Restro inn</v>
      </c>
    </row>
    <row r="1141" ht="22.5" customHeight="1">
      <c r="A1141" s="14">
        <v>46080.46052608796</v>
      </c>
      <c r="B1141" s="15">
        <v>46079.0</v>
      </c>
      <c r="C1141" s="16">
        <v>0.5208333333357587</v>
      </c>
      <c r="D1141" s="17" t="s">
        <v>111</v>
      </c>
      <c r="T1141" s="17" t="s">
        <v>4289</v>
      </c>
      <c r="U1141" s="17" t="s">
        <v>4288</v>
      </c>
      <c r="V1141" s="17">
        <v>9.849869084E9</v>
      </c>
      <c r="W1141" s="17" t="s">
        <v>117</v>
      </c>
      <c r="AA1141" s="17" t="s">
        <v>109</v>
      </c>
      <c r="AT1141" s="17" t="s">
        <v>181</v>
      </c>
      <c r="AU1141" s="17" t="s">
        <v>109</v>
      </c>
      <c r="AZ1141" s="17" t="s">
        <v>243</v>
      </c>
      <c r="BA1141" s="17" t="s">
        <v>458</v>
      </c>
      <c r="BB1141" s="17" t="s">
        <v>76</v>
      </c>
      <c r="BP1141" s="17" t="s">
        <v>4289</v>
      </c>
      <c r="BR1141" s="24" t="str">
        <f t="shared" si="1"/>
        <v>Shri balaji chennai spicesShri balaji chennai spices</v>
      </c>
    </row>
    <row r="1142" ht="22.5" customHeight="1">
      <c r="A1142" s="14">
        <v>46080.46154427083</v>
      </c>
      <c r="B1142" s="15">
        <v>46079.0</v>
      </c>
      <c r="C1142" s="16">
        <v>0.5416666666642413</v>
      </c>
      <c r="D1142" s="17" t="s">
        <v>111</v>
      </c>
      <c r="T1142" s="17" t="s">
        <v>4290</v>
      </c>
      <c r="U1142" s="17" t="s">
        <v>289</v>
      </c>
      <c r="V1142" s="17">
        <v>9.505032225E9</v>
      </c>
      <c r="W1142" s="17" t="s">
        <v>113</v>
      </c>
      <c r="AA1142" s="17" t="s">
        <v>109</v>
      </c>
      <c r="AT1142" s="17" t="s">
        <v>181</v>
      </c>
      <c r="AU1142" s="17" t="s">
        <v>109</v>
      </c>
      <c r="AZ1142" s="17" t="s">
        <v>243</v>
      </c>
      <c r="BA1142" s="17" t="s">
        <v>458</v>
      </c>
      <c r="BB1142" s="17" t="s">
        <v>76</v>
      </c>
      <c r="BP1142" s="17" t="s">
        <v>4290</v>
      </c>
      <c r="BR1142" s="24" t="str">
        <f t="shared" si="1"/>
        <v>Nikhils feastNikhils feast</v>
      </c>
    </row>
    <row r="1143" ht="22.5" customHeight="1">
      <c r="A1143" s="14">
        <v>46080.462611180556</v>
      </c>
      <c r="B1143" s="15">
        <v>46079.0</v>
      </c>
      <c r="C1143" s="16">
        <v>0.5833333333357587</v>
      </c>
      <c r="D1143" s="17" t="s">
        <v>111</v>
      </c>
      <c r="T1143" s="17" t="s">
        <v>3697</v>
      </c>
      <c r="U1143" s="17" t="s">
        <v>4291</v>
      </c>
      <c r="V1143" s="17">
        <v>6.30343949E9</v>
      </c>
      <c r="W1143" s="17" t="s">
        <v>113</v>
      </c>
      <c r="AA1143" s="17" t="s">
        <v>109</v>
      </c>
      <c r="AT1143" s="17" t="s">
        <v>181</v>
      </c>
      <c r="AU1143" s="17" t="s">
        <v>109</v>
      </c>
      <c r="AZ1143" s="17" t="s">
        <v>243</v>
      </c>
      <c r="BA1143" s="17" t="s">
        <v>458</v>
      </c>
      <c r="BB1143" s="17" t="s">
        <v>76</v>
      </c>
      <c r="BP1143" s="17" t="s">
        <v>3697</v>
      </c>
      <c r="BR1143" s="24" t="str">
        <f t="shared" si="1"/>
        <v>Manikantas eat spotManikantas eat spot</v>
      </c>
    </row>
    <row r="1144" ht="22.5" customHeight="1">
      <c r="A1144" s="14">
        <v>46080.46392525463</v>
      </c>
      <c r="B1144" s="15">
        <v>46079.0</v>
      </c>
      <c r="C1144" s="16">
        <v>0.7083333333357587</v>
      </c>
      <c r="D1144" s="17" t="s">
        <v>111</v>
      </c>
      <c r="T1144" s="17" t="s">
        <v>4292</v>
      </c>
      <c r="U1144" s="17" t="s">
        <v>4293</v>
      </c>
      <c r="V1144" s="17">
        <v>6.305683109E9</v>
      </c>
      <c r="W1144" s="17" t="s">
        <v>113</v>
      </c>
      <c r="AA1144" s="17" t="s">
        <v>109</v>
      </c>
      <c r="AT1144" s="17" t="s">
        <v>181</v>
      </c>
      <c r="AU1144" s="17" t="s">
        <v>109</v>
      </c>
      <c r="AZ1144" s="17" t="s">
        <v>243</v>
      </c>
      <c r="BA1144" s="17" t="s">
        <v>458</v>
      </c>
      <c r="BB1144" s="17" t="s">
        <v>76</v>
      </c>
      <c r="BP1144" s="17" t="s">
        <v>4292</v>
      </c>
      <c r="BR1144" s="24" t="str">
        <f t="shared" si="1"/>
        <v>Dosa martDosa mart</v>
      </c>
    </row>
    <row r="1145" ht="22.5" customHeight="1">
      <c r="A1145" s="14">
        <v>46080.46510890046</v>
      </c>
      <c r="B1145" s="15">
        <v>46078.0</v>
      </c>
      <c r="C1145" s="16">
        <v>0.625</v>
      </c>
      <c r="D1145" s="17" t="s">
        <v>111</v>
      </c>
      <c r="T1145" s="17" t="s">
        <v>4294</v>
      </c>
      <c r="U1145" s="17" t="s">
        <v>4295</v>
      </c>
      <c r="V1145" s="17">
        <v>7.411228981E9</v>
      </c>
      <c r="W1145" s="17" t="s">
        <v>113</v>
      </c>
      <c r="AA1145" s="17" t="s">
        <v>109</v>
      </c>
      <c r="AT1145" s="17" t="s">
        <v>181</v>
      </c>
      <c r="AU1145" s="17" t="s">
        <v>109</v>
      </c>
      <c r="AZ1145" s="17" t="s">
        <v>243</v>
      </c>
      <c r="BA1145" s="17" t="s">
        <v>458</v>
      </c>
      <c r="BB1145" s="17" t="s">
        <v>76</v>
      </c>
      <c r="BP1145" s="17" t="s">
        <v>4294</v>
      </c>
      <c r="BR1145" s="24" t="str">
        <f t="shared" si="1"/>
        <v>N hot chineseN hot chinese</v>
      </c>
    </row>
    <row r="1146" ht="22.5" customHeight="1">
      <c r="A1146" s="14">
        <v>46080.466149479165</v>
      </c>
      <c r="B1146" s="15">
        <v>46079.0</v>
      </c>
      <c r="C1146" s="16">
        <v>0.625</v>
      </c>
      <c r="D1146" s="17" t="s">
        <v>111</v>
      </c>
      <c r="T1146" s="17" t="s">
        <v>4296</v>
      </c>
      <c r="U1146" s="17" t="s">
        <v>4295</v>
      </c>
      <c r="V1146" s="17">
        <v>7.411228981E9</v>
      </c>
      <c r="W1146" s="17" t="s">
        <v>113</v>
      </c>
      <c r="AA1146" s="17" t="s">
        <v>109</v>
      </c>
      <c r="AT1146" s="17" t="s">
        <v>181</v>
      </c>
      <c r="AU1146" s="17" t="s">
        <v>76</v>
      </c>
      <c r="AZ1146" s="17" t="s">
        <v>243</v>
      </c>
      <c r="BA1146" s="17" t="s">
        <v>458</v>
      </c>
      <c r="BB1146" s="17" t="s">
        <v>76</v>
      </c>
      <c r="BP1146" s="17" t="s">
        <v>4296</v>
      </c>
      <c r="BR1146" s="24" t="str">
        <f t="shared" si="1"/>
        <v>Hot shawarma nd wingsHot shawarma nd wings</v>
      </c>
    </row>
    <row r="1147" ht="22.5" customHeight="1">
      <c r="A1147" s="14">
        <v>46080.47059373843</v>
      </c>
      <c r="B1147" s="15">
        <v>46079.0</v>
      </c>
      <c r="C1147" s="16">
        <v>0.7083333333357587</v>
      </c>
      <c r="D1147" s="17" t="s">
        <v>111</v>
      </c>
      <c r="T1147" s="17" t="s">
        <v>4297</v>
      </c>
      <c r="U1147" s="17" t="s">
        <v>4295</v>
      </c>
      <c r="V1147" s="17">
        <v>7.411228981E9</v>
      </c>
      <c r="W1147" s="17" t="s">
        <v>113</v>
      </c>
      <c r="AA1147" s="17" t="s">
        <v>109</v>
      </c>
      <c r="AT1147" s="17" t="s">
        <v>181</v>
      </c>
      <c r="AU1147" s="17" t="s">
        <v>109</v>
      </c>
      <c r="AZ1147" s="17" t="s">
        <v>243</v>
      </c>
      <c r="BA1147" s="17" t="s">
        <v>458</v>
      </c>
      <c r="BB1147" s="17" t="s">
        <v>76</v>
      </c>
      <c r="BP1147" s="17" t="s">
        <v>4297</v>
      </c>
      <c r="BR1147" s="24" t="str">
        <f t="shared" si="1"/>
        <v>Crispy hot wingsCrispy hot wings</v>
      </c>
    </row>
    <row r="1148" ht="22.5" customHeight="1">
      <c r="A1148" s="14">
        <v>46080.47364141204</v>
      </c>
      <c r="B1148" s="15">
        <v>46079.0</v>
      </c>
      <c r="C1148" s="16">
        <v>0.6458333333357587</v>
      </c>
      <c r="D1148" s="17" t="s">
        <v>111</v>
      </c>
      <c r="T1148" s="17" t="s">
        <v>4298</v>
      </c>
      <c r="U1148" s="17" t="s">
        <v>4295</v>
      </c>
      <c r="V1148" s="17">
        <v>7.411228981E9</v>
      </c>
      <c r="W1148" s="17" t="s">
        <v>113</v>
      </c>
      <c r="AA1148" s="17" t="s">
        <v>109</v>
      </c>
      <c r="AT1148" s="17" t="s">
        <v>181</v>
      </c>
      <c r="AU1148" s="17" t="s">
        <v>109</v>
      </c>
      <c r="AZ1148" s="17" t="s">
        <v>243</v>
      </c>
      <c r="BA1148" s="17" t="s">
        <v>458</v>
      </c>
      <c r="BB1148" s="17" t="s">
        <v>76</v>
      </c>
      <c r="BP1148" s="17" t="s">
        <v>4298</v>
      </c>
      <c r="BR1148" s="24" t="str">
        <f t="shared" si="1"/>
        <v>Hot wingsHot wings</v>
      </c>
    </row>
    <row r="1149" ht="22.5" customHeight="1">
      <c r="A1149" s="14">
        <v>46080.66595163195</v>
      </c>
      <c r="B1149" s="15">
        <v>46080.0</v>
      </c>
      <c r="C1149" s="16">
        <v>0.65625</v>
      </c>
      <c r="D1149" s="17" t="s">
        <v>91</v>
      </c>
      <c r="F1149" s="17">
        <v>100.0</v>
      </c>
      <c r="G1149" s="17">
        <v>700.0</v>
      </c>
      <c r="H1149" s="17" t="s">
        <v>509</v>
      </c>
      <c r="I1149" s="17">
        <v>30000.0</v>
      </c>
      <c r="J1149" s="17" t="s">
        <v>167</v>
      </c>
      <c r="K1149" s="17" t="s">
        <v>134</v>
      </c>
      <c r="L1149" s="17">
        <v>25.0</v>
      </c>
      <c r="M1149" s="17">
        <v>22.0</v>
      </c>
      <c r="N1149" s="17">
        <v>4.0</v>
      </c>
      <c r="O1149" s="17" t="s">
        <v>96</v>
      </c>
      <c r="P1149" s="17" t="s">
        <v>76</v>
      </c>
      <c r="Q1149" s="17" t="s">
        <v>97</v>
      </c>
      <c r="R1149" s="17" t="s">
        <v>76</v>
      </c>
      <c r="S1149" s="18" t="s">
        <v>4299</v>
      </c>
      <c r="U1149" s="17" t="s">
        <v>4300</v>
      </c>
      <c r="V1149" s="17">
        <v>9.381305084E9</v>
      </c>
      <c r="W1149" s="17" t="s">
        <v>388</v>
      </c>
      <c r="AA1149" s="17" t="s">
        <v>109</v>
      </c>
      <c r="AT1149" s="17" t="s">
        <v>4301</v>
      </c>
      <c r="AU1149" s="17" t="s">
        <v>76</v>
      </c>
      <c r="AV1149" s="17" t="s">
        <v>88</v>
      </c>
      <c r="AW1149" s="17" t="s">
        <v>4302</v>
      </c>
      <c r="AX1149" s="15">
        <v>46083.0</v>
      </c>
      <c r="AY1149" s="16">
        <v>0.5416666666642413</v>
      </c>
      <c r="AZ1149" s="17" t="s">
        <v>110</v>
      </c>
      <c r="BA1149" s="17" t="s">
        <v>458</v>
      </c>
      <c r="BB1149" s="17" t="s">
        <v>76</v>
      </c>
      <c r="BL1149" s="17">
        <v>30.0</v>
      </c>
      <c r="BN1149" s="17" t="s">
        <v>978</v>
      </c>
      <c r="BP1149" s="17" t="s">
        <v>4303</v>
      </c>
      <c r="BR1149" s="24" t="str">
        <f t="shared" si="1"/>
        <v>Mandi Bistro</v>
      </c>
    </row>
    <row r="1150" ht="22.5" customHeight="1">
      <c r="A1150" s="14">
        <v>46080.72777668982</v>
      </c>
      <c r="B1150" s="15">
        <v>46080.0</v>
      </c>
      <c r="C1150" s="16">
        <v>0.20486111110949423</v>
      </c>
      <c r="D1150" s="17" t="s">
        <v>925</v>
      </c>
      <c r="T1150" s="17" t="s">
        <v>117</v>
      </c>
      <c r="U1150" s="17" t="s">
        <v>4304</v>
      </c>
      <c r="V1150" s="17" t="s">
        <v>4305</v>
      </c>
      <c r="W1150" s="17" t="s">
        <v>4306</v>
      </c>
      <c r="AA1150" s="17" t="s">
        <v>109</v>
      </c>
      <c r="AT1150" s="17" t="s">
        <v>109</v>
      </c>
      <c r="AU1150" s="17" t="s">
        <v>76</v>
      </c>
      <c r="AZ1150" s="17" t="s">
        <v>182</v>
      </c>
      <c r="BA1150" s="17" t="s">
        <v>491</v>
      </c>
      <c r="BP1150" s="17" t="s">
        <v>4307</v>
      </c>
      <c r="BR1150" s="24" t="str">
        <f t="shared" si="1"/>
        <v>Chamkila NA</v>
      </c>
    </row>
    <row r="1151" ht="22.5" customHeight="1">
      <c r="A1151" s="14">
        <v>46080.729412685185</v>
      </c>
      <c r="B1151" s="15">
        <v>46080.0</v>
      </c>
      <c r="C1151" s="16">
        <v>0.20833333333575865</v>
      </c>
      <c r="U1151" s="17" t="s">
        <v>1642</v>
      </c>
      <c r="V1151" s="17" t="s">
        <v>1643</v>
      </c>
      <c r="W1151" s="17" t="s">
        <v>117</v>
      </c>
      <c r="AA1151" s="17" t="s">
        <v>109</v>
      </c>
      <c r="AT1151" s="17" t="s">
        <v>109</v>
      </c>
      <c r="AU1151" s="17" t="s">
        <v>76</v>
      </c>
      <c r="AV1151" s="17" t="s">
        <v>271</v>
      </c>
      <c r="AZ1151" s="17" t="s">
        <v>182</v>
      </c>
      <c r="BA1151" s="17" t="s">
        <v>458</v>
      </c>
      <c r="BB1151" s="17" t="s">
        <v>109</v>
      </c>
      <c r="BP1151" s="17" t="s">
        <v>1644</v>
      </c>
      <c r="BR1151" s="24" t="str">
        <f t="shared" si="1"/>
        <v>Machili Patnam </v>
      </c>
    </row>
    <row r="1152" ht="22.5" customHeight="1">
      <c r="A1152" s="14">
        <v>46080.732139687505</v>
      </c>
      <c r="B1152" s="15">
        <v>46080.0</v>
      </c>
      <c r="C1152" s="16">
        <v>0.21527777778101154</v>
      </c>
      <c r="U1152" s="17" t="s">
        <v>4308</v>
      </c>
      <c r="V1152" s="17" t="s">
        <v>4309</v>
      </c>
      <c r="W1152" s="17" t="s">
        <v>117</v>
      </c>
      <c r="X1152" s="17" t="s">
        <v>4310</v>
      </c>
      <c r="AA1152" s="17" t="s">
        <v>109</v>
      </c>
      <c r="AT1152" s="17" t="s">
        <v>109</v>
      </c>
      <c r="AU1152" s="17" t="s">
        <v>76</v>
      </c>
      <c r="AV1152" s="17" t="s">
        <v>271</v>
      </c>
      <c r="AZ1152" s="17" t="s">
        <v>182</v>
      </c>
      <c r="BA1152" s="17" t="s">
        <v>458</v>
      </c>
      <c r="BB1152" s="17" t="s">
        <v>109</v>
      </c>
      <c r="BP1152" s="17" t="s">
        <v>4311</v>
      </c>
      <c r="BR1152" s="24" t="str">
        <f t="shared" si="1"/>
        <v>Chaitanyas modern kitchen </v>
      </c>
    </row>
    <row r="1153" ht="22.5" customHeight="1">
      <c r="A1153" s="14">
        <v>46080.73701106482</v>
      </c>
      <c r="B1153" s="15">
        <v>46080.0</v>
      </c>
      <c r="C1153" s="16">
        <v>0.09583333333284827</v>
      </c>
      <c r="D1153" s="17" t="s">
        <v>91</v>
      </c>
      <c r="F1153" s="17">
        <v>1.0</v>
      </c>
      <c r="G1153" s="17">
        <v>250.0</v>
      </c>
      <c r="H1153" s="17" t="s">
        <v>109</v>
      </c>
      <c r="J1153" s="17" t="s">
        <v>221</v>
      </c>
      <c r="K1153" s="17" t="s">
        <v>95</v>
      </c>
      <c r="N1153" s="17">
        <v>1.0</v>
      </c>
      <c r="O1153" s="17" t="s">
        <v>135</v>
      </c>
      <c r="P1153" s="17" t="s">
        <v>76</v>
      </c>
      <c r="Q1153" s="17" t="s">
        <v>97</v>
      </c>
      <c r="R1153" s="17" t="s">
        <v>76</v>
      </c>
      <c r="S1153" s="17" t="s">
        <v>4312</v>
      </c>
      <c r="U1153" s="17" t="s">
        <v>4313</v>
      </c>
      <c r="V1153" s="17" t="s">
        <v>4314</v>
      </c>
      <c r="W1153" s="17" t="s">
        <v>117</v>
      </c>
      <c r="AA1153" s="17" t="s">
        <v>109</v>
      </c>
      <c r="AT1153" s="17" t="s">
        <v>586</v>
      </c>
      <c r="AU1153" s="17" t="s">
        <v>109</v>
      </c>
      <c r="AZ1153" s="17" t="s">
        <v>182</v>
      </c>
      <c r="BA1153" s="17" t="s">
        <v>458</v>
      </c>
      <c r="BB1153" s="17" t="s">
        <v>76</v>
      </c>
      <c r="BN1153" s="17">
        <v>1.0</v>
      </c>
      <c r="BP1153" s="17" t="s">
        <v>4315</v>
      </c>
      <c r="BR1153" s="24" t="str">
        <f t="shared" si="1"/>
        <v>The tasty chapter </v>
      </c>
    </row>
    <row r="1154" ht="22.5" customHeight="1">
      <c r="A1154" s="14">
        <v>46080.739782766206</v>
      </c>
      <c r="B1154" s="15">
        <v>46080.0</v>
      </c>
      <c r="C1154" s="16">
        <v>0.09652777777955635</v>
      </c>
      <c r="D1154" s="17" t="s">
        <v>91</v>
      </c>
      <c r="F1154" s="17">
        <v>1.0</v>
      </c>
      <c r="G1154" s="17">
        <v>250.0</v>
      </c>
      <c r="H1154" s="17" t="s">
        <v>4316</v>
      </c>
      <c r="J1154" s="17" t="s">
        <v>221</v>
      </c>
      <c r="N1154" s="17">
        <v>1.0</v>
      </c>
      <c r="O1154" s="17" t="s">
        <v>135</v>
      </c>
      <c r="P1154" s="17" t="s">
        <v>76</v>
      </c>
      <c r="Q1154" s="17" t="s">
        <v>97</v>
      </c>
      <c r="R1154" s="17" t="s">
        <v>76</v>
      </c>
      <c r="S1154" s="17" t="s">
        <v>117</v>
      </c>
      <c r="U1154" s="17" t="s">
        <v>4317</v>
      </c>
      <c r="V1154" s="17">
        <v>8.886044412E9</v>
      </c>
      <c r="W1154" s="17" t="s">
        <v>117</v>
      </c>
      <c r="AA1154" s="17" t="s">
        <v>109</v>
      </c>
      <c r="AT1154" s="17" t="s">
        <v>586</v>
      </c>
      <c r="AU1154" s="17" t="s">
        <v>109</v>
      </c>
      <c r="AZ1154" s="17" t="s">
        <v>182</v>
      </c>
      <c r="BA1154" s="17" t="s">
        <v>458</v>
      </c>
      <c r="BB1154" s="17" t="s">
        <v>76</v>
      </c>
      <c r="BN1154" s="17">
        <v>1.0</v>
      </c>
      <c r="BP1154" s="17" t="s">
        <v>4318</v>
      </c>
      <c r="BR1154" s="24" t="str">
        <f t="shared" si="1"/>
        <v>Biryani Mandirr </v>
      </c>
    </row>
    <row r="1155" ht="22.5" customHeight="1">
      <c r="A1155" s="14">
        <v>46080.77987143518</v>
      </c>
      <c r="B1155" s="15">
        <v>46079.0</v>
      </c>
      <c r="C1155" s="16">
        <v>0.7083333333357587</v>
      </c>
      <c r="U1155" s="17" t="s">
        <v>388</v>
      </c>
      <c r="V1155" s="17" t="s">
        <v>388</v>
      </c>
      <c r="W1155" s="17" t="s">
        <v>388</v>
      </c>
      <c r="AA1155" s="17" t="s">
        <v>109</v>
      </c>
      <c r="AT1155" s="17" t="s">
        <v>586</v>
      </c>
      <c r="AU1155" s="17" t="s">
        <v>109</v>
      </c>
      <c r="AZ1155" s="17" t="s">
        <v>131</v>
      </c>
      <c r="BA1155" s="17" t="s">
        <v>458</v>
      </c>
      <c r="BB1155" s="17" t="s">
        <v>109</v>
      </c>
      <c r="BP1155" s="17" t="s">
        <v>4319</v>
      </c>
      <c r="BR1155" s="24" t="str">
        <f t="shared" si="1"/>
        <v>zaiqa 11</v>
      </c>
    </row>
    <row r="1156" ht="22.5" customHeight="1">
      <c r="A1156" s="14">
        <v>46080.78336252314</v>
      </c>
      <c r="B1156" s="15">
        <v>46080.0</v>
      </c>
      <c r="C1156" s="16">
        <v>0.5833333333357587</v>
      </c>
      <c r="D1156" s="17" t="s">
        <v>91</v>
      </c>
      <c r="F1156" s="17">
        <v>10.0</v>
      </c>
      <c r="G1156" s="17">
        <v>400.0</v>
      </c>
      <c r="H1156" s="17" t="s">
        <v>863</v>
      </c>
      <c r="I1156" s="17">
        <v>50000.0</v>
      </c>
      <c r="J1156" s="17" t="s">
        <v>94</v>
      </c>
      <c r="K1156" s="17" t="s">
        <v>134</v>
      </c>
      <c r="L1156" s="17">
        <v>22.0</v>
      </c>
      <c r="M1156" s="17">
        <v>18.0</v>
      </c>
      <c r="N1156" s="17">
        <v>9.0</v>
      </c>
      <c r="O1156" s="17" t="s">
        <v>96</v>
      </c>
      <c r="P1156" s="17" t="s">
        <v>76</v>
      </c>
      <c r="Q1156" s="17" t="s">
        <v>97</v>
      </c>
      <c r="R1156" s="17" t="s">
        <v>76</v>
      </c>
      <c r="S1156" s="17" t="s">
        <v>388</v>
      </c>
      <c r="U1156" s="17" t="s">
        <v>4320</v>
      </c>
      <c r="V1156" s="17">
        <v>9.989090291E9</v>
      </c>
      <c r="W1156" s="17" t="s">
        <v>388</v>
      </c>
      <c r="AA1156" s="17" t="s">
        <v>109</v>
      </c>
      <c r="AT1156" s="17" t="s">
        <v>4321</v>
      </c>
      <c r="AU1156" s="17" t="s">
        <v>76</v>
      </c>
      <c r="AV1156" s="17" t="s">
        <v>472</v>
      </c>
      <c r="AX1156" s="15">
        <v>46080.0</v>
      </c>
      <c r="AY1156" s="16">
        <v>0.6666666666642413</v>
      </c>
      <c r="AZ1156" s="17" t="s">
        <v>131</v>
      </c>
      <c r="BA1156" s="17" t="s">
        <v>458</v>
      </c>
      <c r="BB1156" s="17" t="s">
        <v>76</v>
      </c>
      <c r="BL1156" s="17">
        <v>40.0</v>
      </c>
      <c r="BN1156" s="17" t="s">
        <v>865</v>
      </c>
      <c r="BP1156" s="17" t="s">
        <v>4322</v>
      </c>
      <c r="BR1156" s="24" t="str">
        <f t="shared" si="1"/>
        <v>Srijas home foods and currys</v>
      </c>
    </row>
    <row r="1157" ht="22.5" customHeight="1">
      <c r="A1157" s="14">
        <v>46080.78550557871</v>
      </c>
      <c r="B1157" s="15">
        <v>46080.0</v>
      </c>
      <c r="C1157" s="16">
        <v>0.7083333333357587</v>
      </c>
      <c r="D1157" s="17" t="s">
        <v>91</v>
      </c>
      <c r="F1157" s="17">
        <v>15.0</v>
      </c>
      <c r="G1157" s="17">
        <v>200.0</v>
      </c>
      <c r="H1157" s="17" t="s">
        <v>388</v>
      </c>
      <c r="I1157" s="17">
        <v>40000.0</v>
      </c>
      <c r="J1157" s="17" t="s">
        <v>221</v>
      </c>
      <c r="K1157" s="17" t="s">
        <v>273</v>
      </c>
      <c r="L1157" s="17">
        <v>22.0</v>
      </c>
      <c r="M1157" s="17">
        <v>20.0</v>
      </c>
      <c r="N1157" s="17">
        <v>1.0</v>
      </c>
      <c r="O1157" s="17" t="s">
        <v>96</v>
      </c>
      <c r="P1157" s="17" t="s">
        <v>76</v>
      </c>
      <c r="Q1157" s="17" t="s">
        <v>97</v>
      </c>
      <c r="R1157" s="17" t="s">
        <v>109</v>
      </c>
      <c r="S1157" s="17" t="s">
        <v>388</v>
      </c>
      <c r="U1157" s="17" t="s">
        <v>4323</v>
      </c>
      <c r="V1157" s="17">
        <v>9.494406167E9</v>
      </c>
      <c r="W1157" s="17" t="s">
        <v>388</v>
      </c>
      <c r="AA1157" s="17" t="s">
        <v>109</v>
      </c>
      <c r="AT1157" s="17" t="s">
        <v>4324</v>
      </c>
      <c r="AU1157" s="17" t="s">
        <v>76</v>
      </c>
      <c r="AV1157" s="17" t="s">
        <v>271</v>
      </c>
      <c r="AZ1157" s="17" t="s">
        <v>131</v>
      </c>
      <c r="BA1157" s="17" t="s">
        <v>458</v>
      </c>
      <c r="BB1157" s="17" t="s">
        <v>76</v>
      </c>
      <c r="BL1157" s="17">
        <v>40.0</v>
      </c>
      <c r="BN1157" s="17" t="s">
        <v>865</v>
      </c>
      <c r="BP1157" s="17" t="s">
        <v>4325</v>
      </c>
      <c r="BR1157" s="24" t="str">
        <f t="shared" si="1"/>
        <v>Annapurna hotels and tiffins </v>
      </c>
    </row>
    <row r="1158" ht="22.5" customHeight="1">
      <c r="A1158" s="14">
        <v>46081.561938680556</v>
      </c>
      <c r="B1158" s="15">
        <v>46079.0</v>
      </c>
      <c r="C1158" s="16">
        <v>0.5833333333357587</v>
      </c>
      <c r="D1158" s="17" t="s">
        <v>111</v>
      </c>
      <c r="T1158" s="17" t="s">
        <v>4326</v>
      </c>
      <c r="U1158" s="17" t="s">
        <v>4327</v>
      </c>
      <c r="V1158" s="17">
        <v>9.908312934E9</v>
      </c>
      <c r="W1158" s="17" t="s">
        <v>113</v>
      </c>
      <c r="AA1158" s="17" t="s">
        <v>109</v>
      </c>
      <c r="AT1158" s="17" t="s">
        <v>193</v>
      </c>
      <c r="AU1158" s="17" t="s">
        <v>109</v>
      </c>
      <c r="AZ1158" s="17" t="s">
        <v>243</v>
      </c>
      <c r="BA1158" s="17" t="s">
        <v>458</v>
      </c>
      <c r="BB1158" s="17" t="s">
        <v>76</v>
      </c>
      <c r="BP1158" s="17" t="s">
        <v>4326</v>
      </c>
      <c r="BR1158" s="24" t="str">
        <f t="shared" si="1"/>
        <v>Mallesh mama fast foodMallesh mama fast food</v>
      </c>
    </row>
    <row r="1159" ht="22.5" customHeight="1">
      <c r="A1159" s="14">
        <v>46081.56469482639</v>
      </c>
      <c r="B1159" s="15">
        <v>46079.0</v>
      </c>
      <c r="C1159" s="16">
        <v>0.625</v>
      </c>
      <c r="D1159" s="17" t="s">
        <v>111</v>
      </c>
      <c r="T1159" s="17" t="s">
        <v>4328</v>
      </c>
      <c r="U1159" s="17" t="s">
        <v>577</v>
      </c>
      <c r="V1159" s="17" t="s">
        <v>4329</v>
      </c>
      <c r="W1159" s="17" t="s">
        <v>113</v>
      </c>
      <c r="AA1159" s="17" t="s">
        <v>109</v>
      </c>
      <c r="AT1159" s="17" t="s">
        <v>193</v>
      </c>
      <c r="AU1159" s="17" t="s">
        <v>109</v>
      </c>
      <c r="AZ1159" s="17" t="s">
        <v>243</v>
      </c>
      <c r="BA1159" s="17" t="s">
        <v>458</v>
      </c>
      <c r="BB1159" s="17" t="s">
        <v>76</v>
      </c>
      <c r="BP1159" s="17" t="s">
        <v>4328</v>
      </c>
      <c r="BR1159" s="24" t="str">
        <f t="shared" si="1"/>
        <v>Ma oori vantaMa oori vanta</v>
      </c>
    </row>
    <row r="1160" ht="22.5" customHeight="1">
      <c r="A1160" s="14">
        <v>46081.57035064815</v>
      </c>
      <c r="B1160" s="15">
        <v>46080.0</v>
      </c>
      <c r="C1160" s="16">
        <v>0.5833333333357587</v>
      </c>
      <c r="D1160" s="17" t="s">
        <v>111</v>
      </c>
      <c r="T1160" s="17" t="s">
        <v>4330</v>
      </c>
      <c r="U1160" s="17" t="s">
        <v>2857</v>
      </c>
      <c r="V1160" s="17">
        <v>9.901990454E9</v>
      </c>
      <c r="W1160" s="17" t="s">
        <v>113</v>
      </c>
      <c r="AA1160" s="17" t="s">
        <v>109</v>
      </c>
      <c r="AT1160" s="17" t="s">
        <v>181</v>
      </c>
      <c r="AU1160" s="17" t="s">
        <v>109</v>
      </c>
      <c r="AZ1160" s="17" t="s">
        <v>243</v>
      </c>
      <c r="BA1160" s="17" t="s">
        <v>458</v>
      </c>
      <c r="BB1160" s="17" t="s">
        <v>76</v>
      </c>
      <c r="BP1160" s="17" t="s">
        <v>4330</v>
      </c>
      <c r="BR1160" s="24" t="str">
        <f t="shared" si="1"/>
        <v>Monkeys cafe Monkeys cafe </v>
      </c>
    </row>
    <row r="1161" ht="22.5" customHeight="1">
      <c r="A1161" s="14">
        <v>46081.77706071759</v>
      </c>
      <c r="B1161" s="15">
        <v>46080.0</v>
      </c>
      <c r="C1161" s="16">
        <v>0.5416666666642413</v>
      </c>
      <c r="D1161" s="17" t="s">
        <v>111</v>
      </c>
      <c r="T1161" s="17" t="s">
        <v>4330</v>
      </c>
      <c r="U1161" s="17" t="s">
        <v>2857</v>
      </c>
      <c r="V1161" s="17">
        <v>9.901990454E9</v>
      </c>
      <c r="W1161" s="17" t="s">
        <v>113</v>
      </c>
      <c r="AA1161" s="17" t="s">
        <v>109</v>
      </c>
      <c r="AT1161" s="17" t="s">
        <v>181</v>
      </c>
      <c r="AU1161" s="17" t="s">
        <v>76</v>
      </c>
      <c r="AV1161" s="17" t="s">
        <v>88</v>
      </c>
      <c r="AZ1161" s="17" t="s">
        <v>243</v>
      </c>
      <c r="BA1161" s="17" t="s">
        <v>458</v>
      </c>
      <c r="BB1161" s="17" t="s">
        <v>76</v>
      </c>
      <c r="BP1161" s="17" t="s">
        <v>4330</v>
      </c>
      <c r="BR1161" s="24" t="str">
        <f t="shared" si="1"/>
        <v>Monkeys cafe Monkeys cafe </v>
      </c>
    </row>
    <row r="1162" ht="22.5" customHeight="1">
      <c r="A1162" s="14">
        <v>46081.77948989584</v>
      </c>
      <c r="B1162" s="15">
        <v>46080.0</v>
      </c>
      <c r="C1162" s="16">
        <v>0.625</v>
      </c>
      <c r="D1162" s="17" t="s">
        <v>111</v>
      </c>
      <c r="T1162" s="17" t="s">
        <v>4331</v>
      </c>
      <c r="U1162" s="17" t="s">
        <v>4332</v>
      </c>
      <c r="V1162" s="17" t="s">
        <v>113</v>
      </c>
      <c r="W1162" s="17" t="s">
        <v>113</v>
      </c>
      <c r="AA1162" s="17" t="s">
        <v>109</v>
      </c>
      <c r="AT1162" s="17" t="s">
        <v>2685</v>
      </c>
      <c r="AU1162" s="17" t="s">
        <v>76</v>
      </c>
      <c r="AZ1162" s="17" t="s">
        <v>243</v>
      </c>
      <c r="BA1162" s="17" t="s">
        <v>458</v>
      </c>
      <c r="BB1162" s="17" t="s">
        <v>76</v>
      </c>
      <c r="BP1162" s="17" t="s">
        <v>4331</v>
      </c>
      <c r="BR1162" s="24" t="str">
        <f t="shared" si="1"/>
        <v>Best biryanis and curriesBest biryanis and curries</v>
      </c>
    </row>
    <row r="1163" ht="22.5" customHeight="1">
      <c r="A1163" s="14">
        <v>46081.78177487268</v>
      </c>
      <c r="B1163" s="15">
        <v>46080.0</v>
      </c>
      <c r="C1163" s="16">
        <v>0.6666666666642413</v>
      </c>
      <c r="D1163" s="17" t="s">
        <v>111</v>
      </c>
      <c r="T1163" s="17" t="s">
        <v>4333</v>
      </c>
      <c r="U1163" s="17" t="s">
        <v>4334</v>
      </c>
      <c r="V1163" s="17" t="s">
        <v>4335</v>
      </c>
      <c r="W1163" s="17" t="s">
        <v>117</v>
      </c>
      <c r="AA1163" s="17" t="s">
        <v>109</v>
      </c>
      <c r="AT1163" s="17" t="s">
        <v>2561</v>
      </c>
      <c r="AU1163" s="17" t="s">
        <v>76</v>
      </c>
      <c r="AZ1163" s="17" t="s">
        <v>243</v>
      </c>
      <c r="BA1163" s="17" t="s">
        <v>458</v>
      </c>
      <c r="BB1163" s="17" t="s">
        <v>76</v>
      </c>
      <c r="BP1163" s="17" t="s">
        <v>4333</v>
      </c>
      <c r="BR1163" s="24" t="str">
        <f t="shared" si="1"/>
        <v>Koodu the taste of TelanganaKoodu the taste of Telangana</v>
      </c>
    </row>
    <row r="1164" ht="22.5" customHeight="1">
      <c r="A1164" s="14">
        <v>46081.7834958912</v>
      </c>
      <c r="B1164" s="15">
        <v>46080.0</v>
      </c>
      <c r="C1164" s="16">
        <v>0.5833333333357587</v>
      </c>
      <c r="U1164" s="17" t="s">
        <v>4336</v>
      </c>
      <c r="V1164" s="17">
        <v>9.963082999E9</v>
      </c>
      <c r="W1164" s="17" t="s">
        <v>117</v>
      </c>
      <c r="AA1164" s="17" t="s">
        <v>109</v>
      </c>
      <c r="AT1164" s="17" t="s">
        <v>4337</v>
      </c>
      <c r="AU1164" s="17" t="s">
        <v>76</v>
      </c>
      <c r="AZ1164" s="17" t="s">
        <v>243</v>
      </c>
      <c r="BA1164" s="17" t="s">
        <v>458</v>
      </c>
      <c r="BB1164" s="17" t="s">
        <v>109</v>
      </c>
      <c r="BP1164" s="17" t="s">
        <v>4336</v>
      </c>
      <c r="BR1164" s="24" t="str">
        <f t="shared" si="1"/>
        <v>Sankranthi cafe</v>
      </c>
    </row>
    <row r="1165" ht="22.5" customHeight="1">
      <c r="A1165" s="14">
        <v>46081.78513045139</v>
      </c>
      <c r="B1165" s="15">
        <v>46080.0</v>
      </c>
      <c r="C1165" s="16">
        <v>0.625</v>
      </c>
      <c r="U1165" s="17" t="s">
        <v>4338</v>
      </c>
      <c r="V1165" s="17">
        <v>9.392726661E9</v>
      </c>
      <c r="W1165" s="17" t="s">
        <v>113</v>
      </c>
      <c r="AA1165" s="17" t="s">
        <v>109</v>
      </c>
      <c r="AT1165" s="17" t="s">
        <v>4339</v>
      </c>
      <c r="AU1165" s="17" t="s">
        <v>76</v>
      </c>
      <c r="AZ1165" s="17" t="s">
        <v>243</v>
      </c>
      <c r="BA1165" s="17" t="s">
        <v>458</v>
      </c>
      <c r="BB1165" s="17" t="s">
        <v>109</v>
      </c>
      <c r="BP1165" s="17" t="s">
        <v>4340</v>
      </c>
      <c r="BR1165" s="24" t="str">
        <f t="shared" si="1"/>
        <v>Bachelor brothers</v>
      </c>
    </row>
    <row r="1166" ht="22.5" customHeight="1">
      <c r="A1166" s="14">
        <v>46081.78638796296</v>
      </c>
      <c r="B1166" s="15">
        <v>46080.0</v>
      </c>
      <c r="C1166" s="16">
        <v>0.5416666666642413</v>
      </c>
      <c r="U1166" s="17" t="s">
        <v>113</v>
      </c>
      <c r="V1166" s="17">
        <v>7.989325546E9</v>
      </c>
      <c r="W1166" s="17" t="s">
        <v>113</v>
      </c>
      <c r="AA1166" s="17" t="s">
        <v>109</v>
      </c>
      <c r="AT1166" s="17" t="s">
        <v>4341</v>
      </c>
      <c r="AU1166" s="17" t="s">
        <v>76</v>
      </c>
      <c r="AZ1166" s="17" t="s">
        <v>243</v>
      </c>
      <c r="BA1166" s="17" t="s">
        <v>458</v>
      </c>
      <c r="BB1166" s="17" t="s">
        <v>109</v>
      </c>
      <c r="BP1166" s="17" t="s">
        <v>4342</v>
      </c>
      <c r="BR1166" s="24" t="str">
        <f t="shared" si="1"/>
        <v>Arathi  Chinese fast food </v>
      </c>
    </row>
    <row r="1167" ht="22.5" customHeight="1">
      <c r="A1167" s="14">
        <v>46081.78828199074</v>
      </c>
      <c r="B1167" s="15">
        <v>46080.0</v>
      </c>
      <c r="C1167" s="16">
        <v>0.6666666666642413</v>
      </c>
      <c r="U1167" s="17" t="s">
        <v>4343</v>
      </c>
      <c r="V1167" s="17">
        <v>6.30195308E8</v>
      </c>
      <c r="W1167" s="17" t="s">
        <v>113</v>
      </c>
      <c r="AA1167" s="17" t="s">
        <v>109</v>
      </c>
      <c r="AT1167" s="17" t="s">
        <v>4344</v>
      </c>
      <c r="AU1167" s="17" t="s">
        <v>76</v>
      </c>
      <c r="AZ1167" s="17" t="s">
        <v>243</v>
      </c>
      <c r="BA1167" s="17" t="s">
        <v>458</v>
      </c>
      <c r="BB1167" s="17" t="s">
        <v>109</v>
      </c>
      <c r="BP1167" s="17" t="s">
        <v>4345</v>
      </c>
      <c r="BR1167" s="24" t="str">
        <f t="shared" si="1"/>
        <v>Pandemkodi</v>
      </c>
    </row>
    <row r="1168" ht="22.5" customHeight="1">
      <c r="A1168" s="14">
        <v>46081.79174366898</v>
      </c>
      <c r="B1168" s="15">
        <v>46080.0</v>
      </c>
      <c r="C1168" s="16">
        <v>0.6666666666642413</v>
      </c>
      <c r="U1168" s="17" t="s">
        <v>4346</v>
      </c>
      <c r="V1168" s="17" t="s">
        <v>113</v>
      </c>
      <c r="W1168" s="17" t="s">
        <v>113</v>
      </c>
      <c r="AA1168" s="17" t="s">
        <v>109</v>
      </c>
      <c r="AT1168" s="17" t="s">
        <v>4347</v>
      </c>
      <c r="AU1168" s="17" t="s">
        <v>76</v>
      </c>
      <c r="AZ1168" s="17" t="s">
        <v>243</v>
      </c>
      <c r="BA1168" s="17" t="s">
        <v>458</v>
      </c>
      <c r="BB1168" s="17" t="s">
        <v>109</v>
      </c>
      <c r="BP1168" s="17" t="s">
        <v>4346</v>
      </c>
      <c r="BR1168" s="24" t="str">
        <f t="shared" si="1"/>
        <v>Mahalaxmi kitchen </v>
      </c>
    </row>
    <row r="1169" ht="22.5" customHeight="1">
      <c r="A1169" s="14">
        <v>46081.79296177083</v>
      </c>
      <c r="B1169" s="15">
        <v>46080.0</v>
      </c>
      <c r="C1169" s="16">
        <v>0.6666666666642413</v>
      </c>
      <c r="U1169" s="17" t="s">
        <v>4348</v>
      </c>
      <c r="V1169" s="17">
        <v>8.600620057E9</v>
      </c>
      <c r="W1169" s="17" t="s">
        <v>113</v>
      </c>
      <c r="AA1169" s="17" t="s">
        <v>109</v>
      </c>
      <c r="AT1169" s="17" t="s">
        <v>4349</v>
      </c>
      <c r="AU1169" s="17" t="s">
        <v>76</v>
      </c>
      <c r="AZ1169" s="17" t="s">
        <v>243</v>
      </c>
      <c r="BA1169" s="17" t="s">
        <v>458</v>
      </c>
      <c r="BB1169" s="17" t="s">
        <v>109</v>
      </c>
      <c r="BP1169" s="17" t="s">
        <v>4350</v>
      </c>
      <c r="BR1169" s="24" t="str">
        <f t="shared" si="1"/>
        <v>Abhi restaurant </v>
      </c>
    </row>
    <row r="1170" ht="22.5" customHeight="1">
      <c r="A1170" s="14">
        <v>46081.79443559027</v>
      </c>
      <c r="B1170" s="15">
        <v>46080.0</v>
      </c>
      <c r="C1170" s="16">
        <v>0.6666666666642413</v>
      </c>
      <c r="U1170" s="17" t="s">
        <v>2106</v>
      </c>
      <c r="V1170" s="17">
        <v>7.095822597E9</v>
      </c>
      <c r="W1170" s="17" t="s">
        <v>113</v>
      </c>
      <c r="AA1170" s="17" t="s">
        <v>109</v>
      </c>
      <c r="AT1170" s="17" t="s">
        <v>4351</v>
      </c>
      <c r="AU1170" s="17" t="s">
        <v>76</v>
      </c>
      <c r="AZ1170" s="17" t="s">
        <v>243</v>
      </c>
      <c r="BA1170" s="17" t="s">
        <v>458</v>
      </c>
      <c r="BB1170" s="17" t="s">
        <v>109</v>
      </c>
      <c r="BP1170" s="17" t="s">
        <v>4352</v>
      </c>
      <c r="BR1170" s="24" t="str">
        <f t="shared" si="1"/>
        <v>Lotus biryani nd fast good</v>
      </c>
    </row>
    <row r="1171" ht="22.5" customHeight="1">
      <c r="A1171" s="14">
        <v>46081.79554530093</v>
      </c>
      <c r="B1171" s="15">
        <v>46080.0</v>
      </c>
      <c r="C1171" s="16">
        <v>0.625</v>
      </c>
      <c r="U1171" s="17" t="s">
        <v>3564</v>
      </c>
      <c r="V1171" s="17" t="s">
        <v>113</v>
      </c>
      <c r="W1171" s="17" t="s">
        <v>113</v>
      </c>
      <c r="AA1171" s="17" t="s">
        <v>109</v>
      </c>
      <c r="AT1171" s="17" t="s">
        <v>4353</v>
      </c>
      <c r="AU1171" s="17" t="s">
        <v>76</v>
      </c>
      <c r="AZ1171" s="17" t="s">
        <v>243</v>
      </c>
      <c r="BA1171" s="17" t="s">
        <v>458</v>
      </c>
      <c r="BB1171" s="17" t="s">
        <v>109</v>
      </c>
      <c r="BP1171" s="17" t="s">
        <v>4354</v>
      </c>
      <c r="BR1171" s="24" t="str">
        <f t="shared" si="1"/>
        <v>Spicy kitchen</v>
      </c>
    </row>
    <row r="1172" ht="22.5" customHeight="1">
      <c r="A1172" s="14">
        <v>46082.56458481481</v>
      </c>
      <c r="B1172" s="15">
        <v>46080.0</v>
      </c>
      <c r="C1172" s="16">
        <v>0.6319444444452529</v>
      </c>
      <c r="D1172" s="17" t="s">
        <v>91</v>
      </c>
      <c r="F1172" s="17">
        <v>30.0</v>
      </c>
      <c r="G1172" s="17">
        <v>200.0</v>
      </c>
      <c r="H1172" s="17" t="s">
        <v>323</v>
      </c>
      <c r="J1172" s="17" t="s">
        <v>94</v>
      </c>
      <c r="K1172" s="17" t="s">
        <v>95</v>
      </c>
      <c r="M1172" s="17">
        <v>22.0</v>
      </c>
      <c r="N1172" s="17">
        <v>1.0</v>
      </c>
      <c r="O1172" s="17" t="s">
        <v>135</v>
      </c>
      <c r="P1172" s="17" t="s">
        <v>109</v>
      </c>
      <c r="Q1172" s="17" t="s">
        <v>97</v>
      </c>
      <c r="R1172" s="17" t="s">
        <v>76</v>
      </c>
      <c r="S1172" s="17" t="s">
        <v>388</v>
      </c>
      <c r="U1172" s="17" t="s">
        <v>4355</v>
      </c>
      <c r="V1172" s="17">
        <v>8.333936696E9</v>
      </c>
      <c r="W1172" s="17" t="s">
        <v>388</v>
      </c>
      <c r="AA1172" s="17" t="s">
        <v>76</v>
      </c>
      <c r="AC1172" s="18" t="s">
        <v>4356</v>
      </c>
      <c r="AG1172" s="18" t="s">
        <v>4357</v>
      </c>
      <c r="AI1172" s="18" t="s">
        <v>4358</v>
      </c>
      <c r="AK1172" s="18" t="s">
        <v>4359</v>
      </c>
      <c r="AS1172" s="17" t="s">
        <v>76</v>
      </c>
      <c r="AT1172" s="17" t="s">
        <v>4360</v>
      </c>
      <c r="AU1172" s="17" t="s">
        <v>76</v>
      </c>
      <c r="AZ1172" s="17" t="s">
        <v>287</v>
      </c>
      <c r="BA1172" s="17" t="s">
        <v>458</v>
      </c>
      <c r="BB1172" s="17" t="s">
        <v>76</v>
      </c>
      <c r="BM1172" s="17" t="s">
        <v>2114</v>
      </c>
      <c r="BP1172" s="17" t="s">
        <v>4361</v>
      </c>
      <c r="BR1172" s="24" t="str">
        <f t="shared" si="1"/>
        <v>Sri Aadhya Food Court</v>
      </c>
    </row>
    <row r="1173" ht="22.5" customHeight="1">
      <c r="A1173" s="14">
        <v>46082.56858565973</v>
      </c>
      <c r="B1173" s="15">
        <v>46078.0</v>
      </c>
      <c r="C1173" s="16">
        <v>0.6319444444452529</v>
      </c>
      <c r="D1173" s="17" t="s">
        <v>91</v>
      </c>
      <c r="F1173" s="17">
        <v>30.0</v>
      </c>
      <c r="G1173" s="17">
        <v>200.0</v>
      </c>
      <c r="H1173" s="17" t="s">
        <v>388</v>
      </c>
      <c r="J1173" s="17" t="s">
        <v>94</v>
      </c>
      <c r="K1173" s="17" t="s">
        <v>95</v>
      </c>
      <c r="M1173" s="17">
        <v>22.0</v>
      </c>
      <c r="N1173" s="17">
        <v>1.0</v>
      </c>
      <c r="O1173" s="17" t="s">
        <v>96</v>
      </c>
      <c r="P1173" s="17" t="s">
        <v>109</v>
      </c>
      <c r="Q1173" s="17" t="s">
        <v>97</v>
      </c>
      <c r="R1173" s="17" t="s">
        <v>109</v>
      </c>
      <c r="S1173" s="17" t="s">
        <v>388</v>
      </c>
      <c r="U1173" s="17" t="s">
        <v>2532</v>
      </c>
      <c r="V1173" s="17">
        <v>9.885869143E9</v>
      </c>
      <c r="W1173" s="17" t="s">
        <v>113</v>
      </c>
      <c r="AA1173" s="17" t="s">
        <v>76</v>
      </c>
      <c r="AC1173" s="18" t="s">
        <v>4362</v>
      </c>
      <c r="AG1173" s="18" t="s">
        <v>4363</v>
      </c>
      <c r="AK1173" s="18" t="s">
        <v>4364</v>
      </c>
      <c r="AS1173" s="17" t="s">
        <v>76</v>
      </c>
      <c r="AT1173" s="17" t="s">
        <v>4360</v>
      </c>
      <c r="AU1173" s="17" t="s">
        <v>76</v>
      </c>
      <c r="AZ1173" s="17" t="s">
        <v>287</v>
      </c>
      <c r="BA1173" s="17" t="s">
        <v>458</v>
      </c>
      <c r="BB1173" s="17" t="s">
        <v>76</v>
      </c>
      <c r="BM1173" s="17" t="s">
        <v>2114</v>
      </c>
      <c r="BP1173" s="17" t="s">
        <v>4365</v>
      </c>
      <c r="BR1173" s="24" t="str">
        <f t="shared" si="1"/>
        <v>Slice and Bytes Food court</v>
      </c>
    </row>
    <row r="1174" ht="22.5" customHeight="1">
      <c r="A1174" s="14">
        <v>46082.5724372338</v>
      </c>
      <c r="B1174" s="15">
        <v>46079.0</v>
      </c>
      <c r="C1174" s="16">
        <v>0.7361111111094942</v>
      </c>
      <c r="U1174" s="17" t="s">
        <v>4366</v>
      </c>
      <c r="V1174" s="17">
        <v>9.652750853E9</v>
      </c>
      <c r="W1174" s="17" t="s">
        <v>113</v>
      </c>
      <c r="AA1174" s="17" t="s">
        <v>76</v>
      </c>
      <c r="AS1174" s="17" t="s">
        <v>76</v>
      </c>
      <c r="AT1174" s="17" t="s">
        <v>4367</v>
      </c>
      <c r="AU1174" s="17" t="s">
        <v>76</v>
      </c>
      <c r="AV1174" s="17" t="s">
        <v>88</v>
      </c>
      <c r="AZ1174" s="17" t="s">
        <v>287</v>
      </c>
      <c r="BA1174" s="17" t="s">
        <v>458</v>
      </c>
      <c r="BB1174" s="17" t="s">
        <v>109</v>
      </c>
      <c r="BM1174" s="17" t="s">
        <v>2114</v>
      </c>
      <c r="BP1174" s="17" t="s">
        <v>4368</v>
      </c>
      <c r="BR1174" s="24" t="str">
        <f t="shared" si="1"/>
        <v>Rayalaseema Biryani</v>
      </c>
    </row>
    <row r="1175" ht="22.5" customHeight="1">
      <c r="A1175" s="14">
        <v>46082.57357679398</v>
      </c>
      <c r="B1175" s="15">
        <v>46079.0</v>
      </c>
      <c r="C1175" s="16">
        <v>0.7361111111094942</v>
      </c>
      <c r="U1175" s="17" t="s">
        <v>3252</v>
      </c>
      <c r="V1175" s="17">
        <v>9.652750853E9</v>
      </c>
      <c r="W1175" s="17" t="s">
        <v>388</v>
      </c>
      <c r="AA1175" s="17" t="s">
        <v>76</v>
      </c>
      <c r="AS1175" s="17" t="s">
        <v>76</v>
      </c>
      <c r="AT1175" s="17" t="s">
        <v>4367</v>
      </c>
      <c r="AU1175" s="17" t="s">
        <v>76</v>
      </c>
      <c r="AV1175" s="17" t="s">
        <v>88</v>
      </c>
      <c r="AZ1175" s="17" t="s">
        <v>287</v>
      </c>
      <c r="BA1175" s="17" t="s">
        <v>458</v>
      </c>
      <c r="BB1175" s="17" t="s">
        <v>109</v>
      </c>
      <c r="BM1175" s="17" t="s">
        <v>1088</v>
      </c>
      <c r="BP1175" s="17" t="s">
        <v>4369</v>
      </c>
      <c r="BR1175" s="24" t="str">
        <f t="shared" si="1"/>
        <v>Rayalaseema Chinese</v>
      </c>
    </row>
    <row r="1176" ht="22.5" customHeight="1">
      <c r="A1176" s="14">
        <v>46082.574711759255</v>
      </c>
      <c r="B1176" s="15">
        <v>46079.0</v>
      </c>
      <c r="C1176" s="16">
        <v>0.7361111111094942</v>
      </c>
      <c r="U1176" s="17" t="s">
        <v>3252</v>
      </c>
      <c r="V1176" s="17">
        <v>9.652750853E9</v>
      </c>
      <c r="W1176" s="17" t="s">
        <v>388</v>
      </c>
      <c r="AA1176" s="17" t="s">
        <v>76</v>
      </c>
      <c r="AS1176" s="17" t="s">
        <v>76</v>
      </c>
      <c r="AT1176" s="17" t="s">
        <v>4370</v>
      </c>
      <c r="AU1176" s="17" t="s">
        <v>76</v>
      </c>
      <c r="AV1176" s="17" t="s">
        <v>88</v>
      </c>
      <c r="AZ1176" s="17" t="s">
        <v>287</v>
      </c>
      <c r="BA1176" s="17" t="s">
        <v>458</v>
      </c>
      <c r="BB1176" s="17" t="s">
        <v>109</v>
      </c>
      <c r="BM1176" s="17" t="s">
        <v>1088</v>
      </c>
      <c r="BP1176" s="17" t="s">
        <v>4371</v>
      </c>
      <c r="BR1176" s="24" t="str">
        <f t="shared" si="1"/>
        <v>Rayalaseema Meals And Curries</v>
      </c>
    </row>
    <row r="1177" ht="22.5" customHeight="1">
      <c r="A1177" s="14">
        <v>46082.86587005787</v>
      </c>
      <c r="B1177" s="15">
        <v>46080.0</v>
      </c>
      <c r="C1177" s="16">
        <v>0.5625</v>
      </c>
      <c r="D1177" s="17" t="s">
        <v>91</v>
      </c>
      <c r="F1177" s="17">
        <v>50.0</v>
      </c>
      <c r="G1177" s="17">
        <v>300.0</v>
      </c>
      <c r="H1177" s="17" t="s">
        <v>388</v>
      </c>
      <c r="I1177" s="17">
        <v>25000.0</v>
      </c>
      <c r="J1177" s="17" t="s">
        <v>94</v>
      </c>
      <c r="K1177" s="17" t="s">
        <v>134</v>
      </c>
      <c r="N1177" s="17">
        <v>1.0</v>
      </c>
      <c r="O1177" s="17" t="s">
        <v>96</v>
      </c>
      <c r="P1177" s="17" t="s">
        <v>76</v>
      </c>
      <c r="Q1177" s="17" t="s">
        <v>97</v>
      </c>
      <c r="R1177" s="17" t="s">
        <v>109</v>
      </c>
      <c r="S1177" s="18" t="s">
        <v>4372</v>
      </c>
      <c r="U1177" s="17" t="s">
        <v>1501</v>
      </c>
      <c r="V1177" s="17">
        <v>9.094642222E9</v>
      </c>
      <c r="W1177" s="17" t="s">
        <v>388</v>
      </c>
      <c r="AA1177" s="17" t="s">
        <v>76</v>
      </c>
      <c r="AB1177" s="17">
        <v>2.362503200695E13</v>
      </c>
      <c r="AC1177" s="18" t="s">
        <v>4373</v>
      </c>
      <c r="AD1177" s="17" t="s">
        <v>4374</v>
      </c>
      <c r="AE1177" s="18" t="s">
        <v>4375</v>
      </c>
      <c r="AF1177" s="17" t="s">
        <v>4376</v>
      </c>
      <c r="AG1177" s="18" t="s">
        <v>4377</v>
      </c>
      <c r="AK1177" s="18" t="s">
        <v>4378</v>
      </c>
      <c r="AL1177" s="17" t="s">
        <v>4379</v>
      </c>
      <c r="AM1177" s="17" t="s">
        <v>2183</v>
      </c>
      <c r="AN1177" s="17" t="s">
        <v>4380</v>
      </c>
      <c r="AS1177" s="17" t="s">
        <v>76</v>
      </c>
      <c r="AT1177" s="17" t="s">
        <v>388</v>
      </c>
      <c r="AU1177" s="17" t="s">
        <v>109</v>
      </c>
      <c r="AZ1177" s="17" t="s">
        <v>151</v>
      </c>
      <c r="BA1177" s="17" t="s">
        <v>458</v>
      </c>
      <c r="BB1177" s="17" t="s">
        <v>76</v>
      </c>
      <c r="BH1177" s="17">
        <v>22.0</v>
      </c>
      <c r="BI1177" s="17" t="s">
        <v>76</v>
      </c>
      <c r="BJ1177" s="16">
        <v>0.29166666666424135</v>
      </c>
      <c r="BK1177" s="16">
        <v>0.9993055555532919</v>
      </c>
      <c r="BL1177" s="17" t="s">
        <v>388</v>
      </c>
      <c r="BM1177" s="17" t="s">
        <v>3555</v>
      </c>
      <c r="BN1177" s="17" t="s">
        <v>3090</v>
      </c>
      <c r="BP1177" s="17" t="s">
        <v>4381</v>
      </c>
      <c r="BR1177" s="24" t="str">
        <f t="shared" si="1"/>
        <v>Second wifes tiffins</v>
      </c>
    </row>
    <row r="1178" ht="22.5" customHeight="1">
      <c r="A1178" s="14">
        <v>46082.87106513889</v>
      </c>
      <c r="B1178" s="15">
        <v>46080.0</v>
      </c>
      <c r="C1178" s="16">
        <v>0.5416666666642413</v>
      </c>
      <c r="D1178" s="17" t="s">
        <v>91</v>
      </c>
      <c r="F1178" s="17">
        <v>50.0</v>
      </c>
      <c r="G1178" s="17">
        <v>300.0</v>
      </c>
      <c r="H1178" s="17" t="s">
        <v>388</v>
      </c>
      <c r="I1178" s="17">
        <v>25000.0</v>
      </c>
      <c r="J1178" s="17" t="s">
        <v>94</v>
      </c>
      <c r="K1178" s="17" t="s">
        <v>134</v>
      </c>
      <c r="N1178" s="17">
        <v>1.0</v>
      </c>
      <c r="O1178" s="17" t="s">
        <v>96</v>
      </c>
      <c r="P1178" s="17" t="s">
        <v>76</v>
      </c>
      <c r="Q1178" s="17" t="s">
        <v>97</v>
      </c>
      <c r="R1178" s="17" t="s">
        <v>109</v>
      </c>
      <c r="S1178" s="18" t="s">
        <v>4372</v>
      </c>
      <c r="U1178" s="17" t="s">
        <v>1501</v>
      </c>
      <c r="V1178" s="17">
        <v>9.094642222E9</v>
      </c>
      <c r="W1178" s="17" t="s">
        <v>388</v>
      </c>
      <c r="AA1178" s="17" t="s">
        <v>76</v>
      </c>
      <c r="AB1178" s="17">
        <v>2.362503200695E13</v>
      </c>
      <c r="AC1178" s="18" t="s">
        <v>4382</v>
      </c>
      <c r="AD1178" s="17" t="s">
        <v>4374</v>
      </c>
      <c r="AE1178" s="18" t="s">
        <v>4383</v>
      </c>
      <c r="AF1178" s="17" t="s">
        <v>4376</v>
      </c>
      <c r="AG1178" s="18" t="s">
        <v>4384</v>
      </c>
      <c r="AK1178" s="18" t="s">
        <v>4385</v>
      </c>
      <c r="AL1178" s="17" t="s">
        <v>4379</v>
      </c>
      <c r="AM1178" s="17" t="s">
        <v>2183</v>
      </c>
      <c r="AN1178" s="17" t="s">
        <v>3607</v>
      </c>
      <c r="AS1178" s="17" t="s">
        <v>76</v>
      </c>
      <c r="AT1178" s="17" t="s">
        <v>388</v>
      </c>
      <c r="AU1178" s="17" t="s">
        <v>76</v>
      </c>
      <c r="AZ1178" s="17" t="s">
        <v>151</v>
      </c>
      <c r="BA1178" s="17" t="s">
        <v>458</v>
      </c>
      <c r="BB1178" s="17" t="s">
        <v>76</v>
      </c>
      <c r="BH1178" s="17">
        <v>22.0</v>
      </c>
      <c r="BI1178" s="17" t="s">
        <v>76</v>
      </c>
      <c r="BJ1178" s="16">
        <v>0.29166666666424135</v>
      </c>
      <c r="BK1178" s="16">
        <v>0.9993055555532919</v>
      </c>
      <c r="BM1178" s="17" t="s">
        <v>2811</v>
      </c>
      <c r="BN1178" s="17" t="s">
        <v>3090</v>
      </c>
      <c r="BP1178" s="17" t="s">
        <v>4386</v>
      </c>
      <c r="BR1178" s="24" t="str">
        <f t="shared" si="1"/>
        <v>Second wifes Biryanis </v>
      </c>
    </row>
    <row r="1179" ht="22.5" customHeight="1">
      <c r="A1179" s="14">
        <v>46082.87910524306</v>
      </c>
      <c r="B1179" s="15">
        <v>46080.0</v>
      </c>
      <c r="C1179" s="16">
        <v>0.5416666666642413</v>
      </c>
      <c r="D1179" s="17" t="s">
        <v>91</v>
      </c>
      <c r="F1179" s="17">
        <v>50.0</v>
      </c>
      <c r="G1179" s="17">
        <v>300.0</v>
      </c>
      <c r="H1179" s="17" t="s">
        <v>388</v>
      </c>
      <c r="I1179" s="17">
        <v>25000.0</v>
      </c>
      <c r="J1179" s="17" t="s">
        <v>94</v>
      </c>
      <c r="K1179" s="17" t="s">
        <v>134</v>
      </c>
      <c r="N1179" s="17">
        <v>1.0</v>
      </c>
      <c r="O1179" s="17" t="s">
        <v>96</v>
      </c>
      <c r="P1179" s="17" t="s">
        <v>76</v>
      </c>
      <c r="Q1179" s="17" t="s">
        <v>97</v>
      </c>
      <c r="R1179" s="17" t="s">
        <v>109</v>
      </c>
      <c r="S1179" s="18" t="s">
        <v>4372</v>
      </c>
      <c r="U1179" s="17" t="s">
        <v>1501</v>
      </c>
      <c r="V1179" s="17" t="s">
        <v>4387</v>
      </c>
      <c r="W1179" s="17" t="s">
        <v>388</v>
      </c>
      <c r="AA1179" s="17" t="s">
        <v>76</v>
      </c>
      <c r="AB1179" s="17">
        <v>2.362503200695E13</v>
      </c>
      <c r="AC1179" s="18" t="s">
        <v>4388</v>
      </c>
      <c r="AD1179" s="17" t="s">
        <v>4374</v>
      </c>
      <c r="AE1179" s="18" t="s">
        <v>4389</v>
      </c>
      <c r="AF1179" s="17" t="s">
        <v>4376</v>
      </c>
      <c r="AG1179" s="18" t="s">
        <v>4390</v>
      </c>
      <c r="AK1179" s="18" t="s">
        <v>4391</v>
      </c>
      <c r="AL1179" s="17">
        <v>5.0200088449082E13</v>
      </c>
      <c r="AM1179" s="17" t="s">
        <v>4392</v>
      </c>
      <c r="AN1179" s="17" t="s">
        <v>3607</v>
      </c>
      <c r="AS1179" s="17" t="s">
        <v>76</v>
      </c>
      <c r="AT1179" s="17" t="s">
        <v>388</v>
      </c>
      <c r="AU1179" s="17" t="s">
        <v>109</v>
      </c>
      <c r="AZ1179" s="17" t="s">
        <v>151</v>
      </c>
      <c r="BA1179" s="17" t="s">
        <v>458</v>
      </c>
      <c r="BB1179" s="17" t="s">
        <v>76</v>
      </c>
      <c r="BH1179" s="17">
        <v>22.0</v>
      </c>
      <c r="BI1179" s="17" t="s">
        <v>76</v>
      </c>
      <c r="BJ1179" s="16">
        <v>0.3125</v>
      </c>
      <c r="BK1179" s="16">
        <v>0.9993055555532919</v>
      </c>
      <c r="BM1179" s="17" t="s">
        <v>3090</v>
      </c>
      <c r="BN1179" s="17" t="s">
        <v>3090</v>
      </c>
      <c r="BP1179" s="17" t="s">
        <v>4393</v>
      </c>
      <c r="BR1179" s="24" t="str">
        <f t="shared" si="1"/>
        <v>Second wife rolls and snacks</v>
      </c>
    </row>
    <row r="1180" ht="22.5" customHeight="1">
      <c r="A1180" s="14">
        <v>46082.88838600695</v>
      </c>
      <c r="B1180" s="15">
        <v>46080.0</v>
      </c>
      <c r="C1180" s="16">
        <v>0.5416666666642413</v>
      </c>
      <c r="D1180" s="17" t="s">
        <v>91</v>
      </c>
      <c r="F1180" s="17">
        <v>59.0</v>
      </c>
      <c r="G1180" s="17">
        <v>300.0</v>
      </c>
      <c r="H1180" s="17" t="s">
        <v>388</v>
      </c>
      <c r="I1180" s="17">
        <v>2500.0</v>
      </c>
      <c r="J1180" s="17" t="s">
        <v>94</v>
      </c>
      <c r="K1180" s="17" t="s">
        <v>134</v>
      </c>
      <c r="N1180" s="17">
        <v>1.0</v>
      </c>
      <c r="O1180" s="17" t="s">
        <v>96</v>
      </c>
      <c r="P1180" s="17" t="s">
        <v>76</v>
      </c>
      <c r="Q1180" s="17" t="s">
        <v>97</v>
      </c>
      <c r="R1180" s="17" t="s">
        <v>109</v>
      </c>
      <c r="S1180" s="18" t="s">
        <v>4372</v>
      </c>
      <c r="U1180" s="17" t="s">
        <v>1501</v>
      </c>
      <c r="V1180" s="17">
        <v>9.094642222E9</v>
      </c>
      <c r="W1180" s="17" t="s">
        <v>388</v>
      </c>
      <c r="AA1180" s="17" t="s">
        <v>76</v>
      </c>
      <c r="AB1180" s="17">
        <v>2.362503200695E13</v>
      </c>
      <c r="AC1180" s="18" t="s">
        <v>4394</v>
      </c>
      <c r="AD1180" s="17" t="s">
        <v>4374</v>
      </c>
      <c r="AE1180" s="18" t="s">
        <v>4395</v>
      </c>
      <c r="AF1180" s="17" t="s">
        <v>4376</v>
      </c>
      <c r="AG1180" s="18" t="s">
        <v>4396</v>
      </c>
      <c r="AK1180" s="18" t="s">
        <v>4397</v>
      </c>
      <c r="AL1180" s="17" t="s">
        <v>4379</v>
      </c>
      <c r="AM1180" s="17" t="s">
        <v>2183</v>
      </c>
      <c r="AN1180" s="17" t="s">
        <v>3607</v>
      </c>
      <c r="AS1180" s="17" t="s">
        <v>76</v>
      </c>
      <c r="AT1180" s="17" t="s">
        <v>388</v>
      </c>
      <c r="AU1180" s="17" t="s">
        <v>109</v>
      </c>
      <c r="AZ1180" s="17" t="s">
        <v>151</v>
      </c>
      <c r="BA1180" s="17" t="s">
        <v>458</v>
      </c>
      <c r="BB1180" s="17" t="s">
        <v>76</v>
      </c>
      <c r="BH1180" s="17">
        <v>22.0</v>
      </c>
      <c r="BI1180" s="17" t="s">
        <v>76</v>
      </c>
      <c r="BJ1180" s="16">
        <v>0.32638888889050577</v>
      </c>
      <c r="BK1180" s="16">
        <v>0.9993055555532919</v>
      </c>
      <c r="BL1180" s="17" t="s">
        <v>388</v>
      </c>
      <c r="BM1180" s="17" t="s">
        <v>3090</v>
      </c>
      <c r="BN1180" s="17" t="s">
        <v>2811</v>
      </c>
      <c r="BP1180" s="17" t="s">
        <v>4398</v>
      </c>
      <c r="BR1180" s="24" t="str">
        <f t="shared" si="1"/>
        <v>Second wife fast food</v>
      </c>
    </row>
    <row r="1181" ht="22.5" customHeight="1">
      <c r="A1181" s="14">
        <v>46082.89310421296</v>
      </c>
      <c r="B1181" s="15">
        <v>46080.0</v>
      </c>
      <c r="C1181" s="16">
        <v>0.5416666666642413</v>
      </c>
      <c r="D1181" s="17" t="s">
        <v>91</v>
      </c>
      <c r="F1181" s="17">
        <v>50.0</v>
      </c>
      <c r="G1181" s="17">
        <v>300.0</v>
      </c>
      <c r="H1181" s="17" t="s">
        <v>388</v>
      </c>
      <c r="I1181" s="17">
        <v>25000.0</v>
      </c>
      <c r="J1181" s="17" t="s">
        <v>94</v>
      </c>
      <c r="K1181" s="17" t="s">
        <v>134</v>
      </c>
      <c r="N1181" s="17">
        <v>1.0</v>
      </c>
      <c r="O1181" s="17" t="s">
        <v>96</v>
      </c>
      <c r="P1181" s="17" t="s">
        <v>76</v>
      </c>
      <c r="Q1181" s="17" t="s">
        <v>97</v>
      </c>
      <c r="R1181" s="17" t="s">
        <v>109</v>
      </c>
      <c r="S1181" s="18" t="s">
        <v>4372</v>
      </c>
      <c r="U1181" s="17" t="s">
        <v>1501</v>
      </c>
      <c r="V1181" s="17">
        <v>9.094642222E9</v>
      </c>
      <c r="W1181" s="17" t="s">
        <v>388</v>
      </c>
      <c r="AA1181" s="17" t="s">
        <v>76</v>
      </c>
      <c r="AB1181" s="17">
        <v>2.362503200695E13</v>
      </c>
      <c r="AC1181" s="18" t="s">
        <v>4399</v>
      </c>
      <c r="AD1181" s="17" t="s">
        <v>4374</v>
      </c>
      <c r="AE1181" s="18" t="s">
        <v>4400</v>
      </c>
      <c r="AF1181" s="17" t="s">
        <v>4376</v>
      </c>
      <c r="AG1181" s="18" t="s">
        <v>4401</v>
      </c>
      <c r="AK1181" s="18" t="s">
        <v>4402</v>
      </c>
      <c r="AL1181" s="17" t="s">
        <v>4403</v>
      </c>
      <c r="AM1181" s="17" t="s">
        <v>2183</v>
      </c>
      <c r="AN1181" s="17" t="s">
        <v>4380</v>
      </c>
      <c r="AS1181" s="17" t="s">
        <v>76</v>
      </c>
      <c r="AT1181" s="17" t="s">
        <v>388</v>
      </c>
      <c r="AU1181" s="17" t="s">
        <v>109</v>
      </c>
      <c r="AZ1181" s="17" t="s">
        <v>151</v>
      </c>
      <c r="BA1181" s="17" t="s">
        <v>458</v>
      </c>
      <c r="BB1181" s="17" t="s">
        <v>76</v>
      </c>
      <c r="BH1181" s="17">
        <v>22.0</v>
      </c>
      <c r="BI1181" s="17" t="s">
        <v>76</v>
      </c>
      <c r="BJ1181" s="16">
        <v>0.29166666666424135</v>
      </c>
      <c r="BK1181" s="16">
        <v>0.9993055555532919</v>
      </c>
      <c r="BM1181" s="17" t="s">
        <v>3090</v>
      </c>
      <c r="BN1181" s="17" t="s">
        <v>4404</v>
      </c>
      <c r="BP1181" s="17" t="s">
        <v>4405</v>
      </c>
      <c r="BR1181" s="24" t="str">
        <f t="shared" si="1"/>
        <v>Second wife meals C/o guntur</v>
      </c>
    </row>
    <row r="1182" ht="22.5" customHeight="1">
      <c r="A1182" s="14">
        <v>46082.94235143518</v>
      </c>
      <c r="B1182" s="15">
        <v>46108.0</v>
      </c>
      <c r="C1182" s="16">
        <v>0.5791666666627862</v>
      </c>
      <c r="D1182" s="17" t="s">
        <v>91</v>
      </c>
      <c r="F1182" s="17">
        <v>10.0</v>
      </c>
      <c r="G1182" s="17">
        <v>500.0</v>
      </c>
      <c r="H1182" s="17" t="s">
        <v>509</v>
      </c>
      <c r="I1182" s="17">
        <v>40000.0</v>
      </c>
      <c r="J1182" s="17" t="s">
        <v>167</v>
      </c>
      <c r="K1182" s="17" t="s">
        <v>515</v>
      </c>
      <c r="N1182" s="17">
        <v>3.0</v>
      </c>
      <c r="O1182" s="17" t="s">
        <v>135</v>
      </c>
      <c r="P1182" s="17" t="s">
        <v>76</v>
      </c>
      <c r="Q1182" s="17" t="s">
        <v>97</v>
      </c>
      <c r="R1182" s="17" t="s">
        <v>76</v>
      </c>
      <c r="S1182" s="18" t="s">
        <v>4406</v>
      </c>
      <c r="U1182" s="17" t="s">
        <v>4407</v>
      </c>
      <c r="V1182" s="17">
        <v>8.019112034E9</v>
      </c>
      <c r="W1182" s="17" t="s">
        <v>388</v>
      </c>
      <c r="AA1182" s="17" t="s">
        <v>76</v>
      </c>
      <c r="AB1182" s="17">
        <v>2.3625032008742E13</v>
      </c>
      <c r="AC1182" s="18" t="s">
        <v>4408</v>
      </c>
      <c r="AF1182" s="17" t="s">
        <v>4409</v>
      </c>
      <c r="AG1182" s="18" t="s">
        <v>4410</v>
      </c>
      <c r="AK1182" s="18" t="s">
        <v>4411</v>
      </c>
      <c r="AL1182" s="17" t="s">
        <v>4412</v>
      </c>
      <c r="AM1182" s="17" t="s">
        <v>4413</v>
      </c>
      <c r="AN1182" s="17" t="s">
        <v>4414</v>
      </c>
      <c r="AS1182" s="17" t="s">
        <v>76</v>
      </c>
      <c r="AT1182" s="17" t="s">
        <v>388</v>
      </c>
      <c r="AU1182" s="17" t="s">
        <v>109</v>
      </c>
      <c r="AZ1182" s="17" t="s">
        <v>151</v>
      </c>
      <c r="BA1182" s="17" t="s">
        <v>458</v>
      </c>
      <c r="BB1182" s="17" t="s">
        <v>76</v>
      </c>
      <c r="BH1182" s="17">
        <v>15.0</v>
      </c>
      <c r="BI1182" s="17" t="s">
        <v>76</v>
      </c>
      <c r="BJ1182" s="16">
        <v>0.41666666666424135</v>
      </c>
      <c r="BK1182" s="16">
        <v>0.9993055555532919</v>
      </c>
      <c r="BL1182" s="17">
        <v>100.0</v>
      </c>
      <c r="BM1182" s="17" t="s">
        <v>4415</v>
      </c>
      <c r="BN1182" s="17" t="s">
        <v>2811</v>
      </c>
      <c r="BP1182" s="17" t="s">
        <v>4416</v>
      </c>
      <c r="BR1182" s="24" t="str">
        <f t="shared" si="1"/>
        <v>Wok 33</v>
      </c>
    </row>
    <row r="1183" ht="22.5" customHeight="1">
      <c r="A1183" s="14">
        <v>46082.94680686343</v>
      </c>
      <c r="B1183" s="15">
        <v>46108.0</v>
      </c>
      <c r="C1183" s="16">
        <v>0.577777777776646</v>
      </c>
      <c r="D1183" s="17" t="s">
        <v>91</v>
      </c>
      <c r="F1183" s="17">
        <v>20.0</v>
      </c>
      <c r="G1183" s="17">
        <v>500.0</v>
      </c>
      <c r="H1183" s="17" t="s">
        <v>509</v>
      </c>
      <c r="I1183" s="17">
        <v>50000.0</v>
      </c>
      <c r="J1183" s="17" t="s">
        <v>167</v>
      </c>
      <c r="K1183" s="17" t="s">
        <v>515</v>
      </c>
      <c r="N1183" s="17">
        <v>1.0</v>
      </c>
      <c r="O1183" s="17" t="s">
        <v>96</v>
      </c>
      <c r="P1183" s="17" t="s">
        <v>109</v>
      </c>
      <c r="Q1183" s="17" t="s">
        <v>97</v>
      </c>
      <c r="R1183" s="17" t="s">
        <v>109</v>
      </c>
      <c r="S1183" s="18" t="s">
        <v>4406</v>
      </c>
      <c r="U1183" s="17" t="s">
        <v>4417</v>
      </c>
      <c r="V1183" s="17">
        <v>8.019112034E9</v>
      </c>
      <c r="W1183" s="17" t="s">
        <v>388</v>
      </c>
      <c r="AA1183" s="17" t="s">
        <v>76</v>
      </c>
      <c r="AB1183" s="17">
        <v>2.3625032008742E13</v>
      </c>
      <c r="AC1183" s="18" t="s">
        <v>4418</v>
      </c>
      <c r="AF1183" s="17" t="s">
        <v>4409</v>
      </c>
      <c r="AG1183" s="18" t="s">
        <v>4419</v>
      </c>
      <c r="AK1183" s="18" t="s">
        <v>4420</v>
      </c>
      <c r="AL1183" s="17" t="s">
        <v>4421</v>
      </c>
      <c r="AM1183" s="17" t="s">
        <v>4413</v>
      </c>
      <c r="AN1183" s="17" t="s">
        <v>4422</v>
      </c>
      <c r="AS1183" s="17" t="s">
        <v>76</v>
      </c>
      <c r="AT1183" s="17" t="s">
        <v>388</v>
      </c>
      <c r="AU1183" s="17" t="s">
        <v>109</v>
      </c>
      <c r="AZ1183" s="17" t="s">
        <v>151</v>
      </c>
      <c r="BA1183" s="17" t="s">
        <v>458</v>
      </c>
      <c r="BB1183" s="17" t="s">
        <v>76</v>
      </c>
      <c r="BH1183" s="17">
        <v>15.0</v>
      </c>
      <c r="BI1183" s="17" t="s">
        <v>76</v>
      </c>
      <c r="BJ1183" s="16">
        <v>0.41666666666424135</v>
      </c>
      <c r="BK1183" s="16">
        <v>0.9993055555532919</v>
      </c>
      <c r="BL1183" s="17">
        <v>100.0</v>
      </c>
      <c r="BM1183" s="17" t="s">
        <v>3090</v>
      </c>
      <c r="BN1183" s="17" t="s">
        <v>3090</v>
      </c>
      <c r="BP1183" s="17" t="s">
        <v>4423</v>
      </c>
      <c r="BR1183" s="24" t="str">
        <f t="shared" si="1"/>
        <v>Mummy ki rassoi</v>
      </c>
    </row>
    <row r="1184" ht="22.5" customHeight="1">
      <c r="A1184" s="14">
        <v>46083.38837994213</v>
      </c>
      <c r="B1184" s="15">
        <v>46081.0</v>
      </c>
      <c r="C1184" s="16">
        <v>0.7083333333357587</v>
      </c>
      <c r="D1184" s="17" t="s">
        <v>91</v>
      </c>
      <c r="F1184" s="17">
        <v>60.0</v>
      </c>
      <c r="G1184" s="17">
        <v>1500.0</v>
      </c>
      <c r="H1184" s="17" t="s">
        <v>291</v>
      </c>
      <c r="I1184" s="17">
        <v>200000.0</v>
      </c>
      <c r="J1184" s="17" t="s">
        <v>167</v>
      </c>
      <c r="K1184" s="17" t="s">
        <v>118</v>
      </c>
      <c r="L1184" s="17">
        <v>22.0</v>
      </c>
      <c r="M1184" s="17">
        <v>20.0</v>
      </c>
      <c r="N1184" s="17">
        <v>1.0</v>
      </c>
      <c r="O1184" s="17" t="s">
        <v>96</v>
      </c>
      <c r="P1184" s="17" t="s">
        <v>76</v>
      </c>
      <c r="Q1184" s="17" t="s">
        <v>97</v>
      </c>
      <c r="R1184" s="17" t="s">
        <v>76</v>
      </c>
      <c r="S1184" s="17" t="s">
        <v>4424</v>
      </c>
      <c r="U1184" s="17" t="s">
        <v>4425</v>
      </c>
      <c r="V1184" s="17">
        <v>9.032785954E9</v>
      </c>
      <c r="W1184" s="17" t="s">
        <v>113</v>
      </c>
      <c r="AA1184" s="17" t="s">
        <v>109</v>
      </c>
      <c r="AT1184" s="17" t="s">
        <v>4426</v>
      </c>
      <c r="AU1184" s="17" t="s">
        <v>76</v>
      </c>
      <c r="AV1184" s="17" t="s">
        <v>88</v>
      </c>
      <c r="AZ1184" s="17" t="s">
        <v>131</v>
      </c>
      <c r="BA1184" s="17" t="s">
        <v>458</v>
      </c>
      <c r="BB1184" s="17" t="s">
        <v>76</v>
      </c>
      <c r="BL1184" s="17">
        <v>100.0</v>
      </c>
      <c r="BN1184" s="17" t="s">
        <v>4427</v>
      </c>
      <c r="BP1184" s="17" t="s">
        <v>4428</v>
      </c>
      <c r="BR1184" s="24" t="str">
        <f t="shared" si="1"/>
        <v>Golden Barrel Restaurent and pub</v>
      </c>
    </row>
    <row r="1185" ht="22.5" customHeight="1">
      <c r="A1185" s="14">
        <v>46083.39157216436</v>
      </c>
      <c r="B1185" s="15">
        <v>46081.0</v>
      </c>
      <c r="C1185" s="16">
        <v>0.6666666666642413</v>
      </c>
      <c r="D1185" s="17" t="s">
        <v>91</v>
      </c>
      <c r="F1185" s="17">
        <v>30.0</v>
      </c>
      <c r="G1185" s="17">
        <v>300.0</v>
      </c>
      <c r="H1185" s="17" t="s">
        <v>113</v>
      </c>
      <c r="I1185" s="17">
        <v>30000.0</v>
      </c>
      <c r="J1185" s="17" t="s">
        <v>221</v>
      </c>
      <c r="K1185" s="17" t="s">
        <v>4429</v>
      </c>
      <c r="L1185" s="17">
        <v>22.0</v>
      </c>
      <c r="M1185" s="17">
        <v>19.0</v>
      </c>
      <c r="N1185" s="17">
        <v>2.0</v>
      </c>
      <c r="O1185" s="17" t="s">
        <v>96</v>
      </c>
      <c r="P1185" s="17" t="s">
        <v>76</v>
      </c>
      <c r="Q1185" s="17" t="s">
        <v>97</v>
      </c>
      <c r="R1185" s="17" t="s">
        <v>76</v>
      </c>
      <c r="S1185" s="17" t="s">
        <v>4430</v>
      </c>
      <c r="U1185" s="17" t="s">
        <v>4431</v>
      </c>
      <c r="V1185" s="17">
        <v>9.959966551E9</v>
      </c>
      <c r="W1185" s="17" t="s">
        <v>113</v>
      </c>
      <c r="AA1185" s="17" t="s">
        <v>109</v>
      </c>
      <c r="AT1185" s="17" t="s">
        <v>2919</v>
      </c>
      <c r="AU1185" s="17" t="s">
        <v>76</v>
      </c>
      <c r="AV1185" s="17" t="s">
        <v>472</v>
      </c>
      <c r="AZ1185" s="17" t="s">
        <v>131</v>
      </c>
      <c r="BA1185" s="17" t="s">
        <v>458</v>
      </c>
      <c r="BB1185" s="17" t="s">
        <v>76</v>
      </c>
      <c r="BL1185" s="17" t="s">
        <v>4432</v>
      </c>
      <c r="BN1185" s="17" t="s">
        <v>4427</v>
      </c>
      <c r="BP1185" s="17" t="s">
        <v>4433</v>
      </c>
      <c r="BR1185" s="24" t="str">
        <f t="shared" si="1"/>
        <v>Big guys wings and Burgers</v>
      </c>
    </row>
    <row r="1186" ht="22.5" customHeight="1">
      <c r="A1186" s="14">
        <v>46083.39175385417</v>
      </c>
      <c r="B1186" s="15">
        <v>46080.0</v>
      </c>
      <c r="C1186" s="16">
        <v>0.5</v>
      </c>
      <c r="U1186" s="17" t="s">
        <v>4095</v>
      </c>
      <c r="V1186" s="17">
        <v>9.95585646E9</v>
      </c>
      <c r="W1186" s="17" t="s">
        <v>4434</v>
      </c>
      <c r="AA1186" s="17" t="s">
        <v>109</v>
      </c>
      <c r="AT1186" s="17" t="s">
        <v>237</v>
      </c>
      <c r="AU1186" s="17" t="s">
        <v>76</v>
      </c>
      <c r="AV1186" s="17" t="s">
        <v>88</v>
      </c>
      <c r="AX1186" s="15">
        <v>46083.0</v>
      </c>
      <c r="AY1186" s="16">
        <v>0.5625</v>
      </c>
      <c r="AZ1186" s="17" t="s">
        <v>164</v>
      </c>
      <c r="BA1186" s="17" t="s">
        <v>458</v>
      </c>
      <c r="BB1186" s="17" t="s">
        <v>109</v>
      </c>
      <c r="BP1186" s="17" t="s">
        <v>4435</v>
      </c>
      <c r="BR1186" s="24" t="str">
        <f t="shared" si="1"/>
        <v>SREYA  FAST FOFD AND MOMO</v>
      </c>
    </row>
    <row r="1187" ht="22.5" customHeight="1">
      <c r="A1187" s="14">
        <v>46083.396268807875</v>
      </c>
      <c r="B1187" s="15">
        <v>46080.0</v>
      </c>
      <c r="C1187" s="16">
        <v>0.7083333333357587</v>
      </c>
      <c r="D1187" s="17" t="s">
        <v>91</v>
      </c>
      <c r="F1187" s="17">
        <v>10.0</v>
      </c>
      <c r="G1187" s="17">
        <v>300.0</v>
      </c>
      <c r="H1187" s="17" t="s">
        <v>113</v>
      </c>
      <c r="I1187" s="17">
        <v>30000.0</v>
      </c>
      <c r="J1187" s="17" t="s">
        <v>221</v>
      </c>
      <c r="K1187" s="17" t="s">
        <v>4436</v>
      </c>
      <c r="L1187" s="17">
        <v>22.0</v>
      </c>
      <c r="M1187" s="17">
        <v>17.0</v>
      </c>
      <c r="N1187" s="17">
        <v>9.0</v>
      </c>
      <c r="O1187" s="17" t="s">
        <v>96</v>
      </c>
      <c r="P1187" s="17" t="s">
        <v>76</v>
      </c>
      <c r="Q1187" s="17" t="s">
        <v>97</v>
      </c>
      <c r="R1187" s="17" t="s">
        <v>76</v>
      </c>
      <c r="S1187" s="17" t="s">
        <v>4437</v>
      </c>
      <c r="U1187" s="17" t="s">
        <v>4438</v>
      </c>
      <c r="V1187" s="17" t="s">
        <v>113</v>
      </c>
      <c r="W1187" s="17" t="s">
        <v>113</v>
      </c>
      <c r="AA1187" s="17" t="s">
        <v>109</v>
      </c>
      <c r="AT1187" s="17" t="s">
        <v>113</v>
      </c>
      <c r="AU1187" s="17" t="s">
        <v>76</v>
      </c>
      <c r="AV1187" s="17" t="s">
        <v>472</v>
      </c>
      <c r="AX1187" s="15">
        <v>46080.0</v>
      </c>
      <c r="AY1187" s="16">
        <v>0.7083333333357587</v>
      </c>
      <c r="AZ1187" s="17" t="s">
        <v>131</v>
      </c>
      <c r="BA1187" s="17" t="s">
        <v>458</v>
      </c>
      <c r="BB1187" s="17" t="s">
        <v>76</v>
      </c>
      <c r="BL1187" s="17" t="s">
        <v>2083</v>
      </c>
      <c r="BN1187" s="17" t="s">
        <v>758</v>
      </c>
      <c r="BP1187" s="17" t="s">
        <v>4439</v>
      </c>
      <c r="BR1187" s="24" t="str">
        <f t="shared" si="1"/>
        <v>srijas food and currys</v>
      </c>
    </row>
    <row r="1188" ht="22.5" customHeight="1">
      <c r="A1188" s="14">
        <v>46083.39923412037</v>
      </c>
      <c r="B1188" s="15">
        <v>46080.0</v>
      </c>
      <c r="C1188" s="16">
        <v>0.6180555555547471</v>
      </c>
      <c r="U1188" s="17" t="s">
        <v>4440</v>
      </c>
      <c r="V1188" s="17">
        <v>9.391713197E9</v>
      </c>
      <c r="W1188" s="17" t="s">
        <v>113</v>
      </c>
      <c r="AA1188" s="17" t="s">
        <v>76</v>
      </c>
      <c r="AB1188" s="17">
        <v>1.362301300051E13</v>
      </c>
      <c r="AC1188" s="18" t="s">
        <v>4441</v>
      </c>
      <c r="AD1188" s="17" t="s">
        <v>113</v>
      </c>
      <c r="AH1188" s="17" t="s">
        <v>113</v>
      </c>
      <c r="AR1188" s="17" t="s">
        <v>4442</v>
      </c>
      <c r="AS1188" s="17" t="s">
        <v>76</v>
      </c>
      <c r="AT1188" s="17" t="s">
        <v>237</v>
      </c>
      <c r="AU1188" s="17" t="s">
        <v>76</v>
      </c>
      <c r="AV1188" s="17" t="s">
        <v>88</v>
      </c>
      <c r="AX1188" s="15">
        <v>46080.0</v>
      </c>
      <c r="AY1188" s="16">
        <v>0.5</v>
      </c>
      <c r="AZ1188" s="17" t="s">
        <v>164</v>
      </c>
      <c r="BA1188" s="17" t="s">
        <v>458</v>
      </c>
      <c r="BB1188" s="17" t="s">
        <v>109</v>
      </c>
      <c r="BH1188" s="17">
        <v>22.0</v>
      </c>
      <c r="BI1188" s="17" t="s">
        <v>109</v>
      </c>
      <c r="BJ1188" s="16">
        <v>0.47916666666424135</v>
      </c>
      <c r="BK1188" s="16">
        <v>0.9583333333357587</v>
      </c>
      <c r="BM1188" s="17" t="s">
        <v>4443</v>
      </c>
      <c r="BP1188" s="17" t="s">
        <v>4442</v>
      </c>
      <c r="BR1188" s="24" t="str">
        <f t="shared" si="1"/>
        <v>zaiqa bawarchi restaurant</v>
      </c>
    </row>
    <row r="1189" ht="22.5" customHeight="1">
      <c r="A1189" s="14">
        <v>46083.507827106485</v>
      </c>
      <c r="B1189" s="15">
        <v>46083.0</v>
      </c>
      <c r="C1189" s="16">
        <v>0.5069444444452529</v>
      </c>
      <c r="U1189" s="17" t="s">
        <v>4444</v>
      </c>
      <c r="V1189" s="17">
        <v>9.24621305E9</v>
      </c>
      <c r="W1189" s="17" t="s">
        <v>4211</v>
      </c>
      <c r="AA1189" s="17" t="s">
        <v>109</v>
      </c>
      <c r="AT1189" s="17" t="s">
        <v>4445</v>
      </c>
      <c r="AU1189" s="17" t="s">
        <v>76</v>
      </c>
      <c r="AV1189" s="17" t="s">
        <v>472</v>
      </c>
      <c r="AZ1189" s="17" t="s">
        <v>110</v>
      </c>
      <c r="BA1189" s="17" t="s">
        <v>458</v>
      </c>
      <c r="BB1189" s="17" t="s">
        <v>109</v>
      </c>
      <c r="BP1189" s="17" t="s">
        <v>4446</v>
      </c>
      <c r="BR1189" s="24" t="str">
        <f t="shared" si="1"/>
        <v>Ruchi Resturants</v>
      </c>
    </row>
    <row r="1190" ht="22.5" customHeight="1">
      <c r="A1190" s="14">
        <v>46083.517933993055</v>
      </c>
      <c r="B1190" s="15">
        <v>46083.0</v>
      </c>
      <c r="C1190" s="16">
        <v>0.5166666666627862</v>
      </c>
      <c r="U1190" s="17" t="s">
        <v>4447</v>
      </c>
      <c r="V1190" s="17">
        <v>6.303141544E9</v>
      </c>
      <c r="W1190" s="17" t="s">
        <v>388</v>
      </c>
      <c r="AA1190" s="17" t="s">
        <v>109</v>
      </c>
      <c r="AT1190" s="17" t="s">
        <v>3133</v>
      </c>
      <c r="AU1190" s="17" t="s">
        <v>76</v>
      </c>
      <c r="AZ1190" s="17" t="s">
        <v>243</v>
      </c>
      <c r="BA1190" s="17" t="s">
        <v>458</v>
      </c>
      <c r="BB1190" s="17" t="s">
        <v>109</v>
      </c>
      <c r="BP1190" s="17" t="s">
        <v>4448</v>
      </c>
      <c r="BR1190" s="24" t="str">
        <f t="shared" si="1"/>
        <v>Star lite</v>
      </c>
    </row>
    <row r="1191" ht="22.5" customHeight="1">
      <c r="A1191" s="14">
        <v>46083.52106171296</v>
      </c>
      <c r="B1191" s="15">
        <v>46083.0</v>
      </c>
      <c r="C1191" s="16">
        <v>0.5194444444423425</v>
      </c>
      <c r="U1191" s="17" t="s">
        <v>4449</v>
      </c>
      <c r="V1191" s="17">
        <v>9.948407679E9</v>
      </c>
      <c r="W1191" s="17" t="s">
        <v>388</v>
      </c>
      <c r="AA1191" s="17" t="s">
        <v>109</v>
      </c>
      <c r="AT1191" s="17" t="s">
        <v>4450</v>
      </c>
      <c r="AU1191" s="17" t="s">
        <v>76</v>
      </c>
      <c r="AZ1191" s="17" t="s">
        <v>243</v>
      </c>
      <c r="BA1191" s="17" t="s">
        <v>458</v>
      </c>
      <c r="BB1191" s="17" t="s">
        <v>109</v>
      </c>
      <c r="BP1191" s="17" t="s">
        <v>4451</v>
      </c>
      <c r="BR1191" s="24" t="str">
        <f t="shared" si="1"/>
        <v>Arman hotel</v>
      </c>
    </row>
    <row r="1192" ht="22.5" customHeight="1">
      <c r="A1192" s="14">
        <v>46083.52793675926</v>
      </c>
      <c r="B1192" s="15">
        <v>46083.0</v>
      </c>
      <c r="C1192" s="16">
        <v>0.5208333333357587</v>
      </c>
      <c r="D1192" s="17" t="s">
        <v>91</v>
      </c>
      <c r="F1192" s="17">
        <v>25.0</v>
      </c>
      <c r="G1192" s="17">
        <v>200.0</v>
      </c>
      <c r="H1192" s="17" t="s">
        <v>388</v>
      </c>
      <c r="J1192" s="17" t="s">
        <v>94</v>
      </c>
      <c r="N1192" s="17">
        <v>1.0</v>
      </c>
      <c r="O1192" s="17" t="s">
        <v>388</v>
      </c>
      <c r="P1192" s="17" t="s">
        <v>76</v>
      </c>
      <c r="Q1192" s="17" t="s">
        <v>97</v>
      </c>
      <c r="R1192" s="17" t="s">
        <v>76</v>
      </c>
      <c r="S1192" s="17" t="s">
        <v>388</v>
      </c>
      <c r="U1192" s="17" t="s">
        <v>388</v>
      </c>
      <c r="V1192" s="17" t="s">
        <v>388</v>
      </c>
      <c r="W1192" s="17" t="s">
        <v>388</v>
      </c>
      <c r="AA1192" s="17" t="s">
        <v>109</v>
      </c>
      <c r="AT1192" s="17" t="s">
        <v>4452</v>
      </c>
      <c r="AU1192" s="17" t="s">
        <v>109</v>
      </c>
      <c r="AZ1192" s="17" t="s">
        <v>243</v>
      </c>
      <c r="BA1192" s="17" t="s">
        <v>458</v>
      </c>
      <c r="BB1192" s="17" t="s">
        <v>76</v>
      </c>
      <c r="BN1192" s="17" t="s">
        <v>978</v>
      </c>
      <c r="BP1192" s="17" t="s">
        <v>4453</v>
      </c>
      <c r="BR1192" s="24" t="str">
        <f t="shared" si="1"/>
        <v>Ar hotell</v>
      </c>
    </row>
    <row r="1193" ht="22.5" customHeight="1">
      <c r="A1193" s="14">
        <v>46083.52955609954</v>
      </c>
      <c r="B1193" s="15">
        <v>46083.0</v>
      </c>
      <c r="C1193" s="16">
        <v>0.5284722222204437</v>
      </c>
      <c r="U1193" s="17" t="s">
        <v>4454</v>
      </c>
      <c r="V1193" s="17">
        <v>7.680950847E9</v>
      </c>
      <c r="W1193" s="17" t="s">
        <v>388</v>
      </c>
      <c r="AA1193" s="17" t="s">
        <v>109</v>
      </c>
      <c r="AT1193" s="17" t="s">
        <v>4455</v>
      </c>
      <c r="AU1193" s="17" t="s">
        <v>76</v>
      </c>
      <c r="AZ1193" s="17" t="s">
        <v>243</v>
      </c>
      <c r="BA1193" s="17" t="s">
        <v>458</v>
      </c>
      <c r="BB1193" s="17" t="s">
        <v>109</v>
      </c>
      <c r="BP1193" s="17" t="s">
        <v>4456</v>
      </c>
      <c r="BR1193" s="24" t="str">
        <f t="shared" si="1"/>
        <v>Hyderabadi foodie</v>
      </c>
    </row>
    <row r="1194" ht="22.5" customHeight="1">
      <c r="A1194" s="14">
        <v>46083.53293611111</v>
      </c>
      <c r="B1194" s="15">
        <v>46083.0</v>
      </c>
      <c r="C1194" s="16">
        <v>0.5208333333357587</v>
      </c>
      <c r="U1194" s="17" t="s">
        <v>4457</v>
      </c>
      <c r="V1194" s="17">
        <v>7.674800999E9</v>
      </c>
      <c r="W1194" s="17" t="s">
        <v>4458</v>
      </c>
      <c r="AA1194" s="17" t="s">
        <v>109</v>
      </c>
      <c r="AT1194" s="17" t="s">
        <v>4459</v>
      </c>
      <c r="AU1194" s="17" t="s">
        <v>76</v>
      </c>
      <c r="AV1194" s="17" t="s">
        <v>472</v>
      </c>
      <c r="AX1194" s="15">
        <v>46084.0</v>
      </c>
      <c r="AZ1194" s="17" t="s">
        <v>110</v>
      </c>
      <c r="BA1194" s="17" t="s">
        <v>458</v>
      </c>
      <c r="BB1194" s="17" t="s">
        <v>109</v>
      </c>
      <c r="BP1194" s="17" t="s">
        <v>4460</v>
      </c>
      <c r="BR1194" s="24" t="str">
        <f t="shared" si="1"/>
        <v>Konaseema Gummagumalu</v>
      </c>
    </row>
    <row r="1195" ht="22.5" customHeight="1">
      <c r="A1195" s="14">
        <v>46083.545867719906</v>
      </c>
      <c r="B1195" s="15">
        <v>46083.0</v>
      </c>
      <c r="C1195" s="16">
        <v>0.5430555555576575</v>
      </c>
      <c r="D1195" s="17" t="s">
        <v>111</v>
      </c>
      <c r="T1195" s="17" t="s">
        <v>4461</v>
      </c>
      <c r="U1195" s="17" t="s">
        <v>4462</v>
      </c>
      <c r="V1195" s="17" t="s">
        <v>4463</v>
      </c>
      <c r="W1195" s="17" t="s">
        <v>388</v>
      </c>
      <c r="AA1195" s="17" t="s">
        <v>109</v>
      </c>
      <c r="AT1195" s="17" t="s">
        <v>586</v>
      </c>
      <c r="AU1195" s="17" t="s">
        <v>76</v>
      </c>
      <c r="AV1195" s="17" t="s">
        <v>88</v>
      </c>
      <c r="AZ1195" s="17" t="s">
        <v>243</v>
      </c>
      <c r="BA1195" s="17" t="s">
        <v>491</v>
      </c>
      <c r="BP1195" s="17" t="s">
        <v>4464</v>
      </c>
      <c r="BR1195" s="24" t="str">
        <f t="shared" si="1"/>
        <v>Tealogy Tealogy</v>
      </c>
    </row>
    <row r="1196" ht="22.5" customHeight="1">
      <c r="A1196" s="14">
        <v>46083.56323681713</v>
      </c>
      <c r="B1196" s="15">
        <v>46083.0</v>
      </c>
      <c r="C1196" s="16">
        <v>0.5618055555532919</v>
      </c>
      <c r="U1196" s="17" t="s">
        <v>4465</v>
      </c>
      <c r="V1196" s="17">
        <v>8.885727679E9</v>
      </c>
      <c r="W1196" s="17" t="s">
        <v>388</v>
      </c>
      <c r="AA1196" s="17" t="s">
        <v>109</v>
      </c>
      <c r="AT1196" s="17" t="s">
        <v>4466</v>
      </c>
      <c r="AU1196" s="17" t="s">
        <v>76</v>
      </c>
      <c r="AV1196" s="17" t="s">
        <v>472</v>
      </c>
      <c r="AZ1196" s="17" t="s">
        <v>243</v>
      </c>
      <c r="BA1196" s="17" t="s">
        <v>458</v>
      </c>
      <c r="BB1196" s="17" t="s">
        <v>109</v>
      </c>
      <c r="BP1196" s="17" t="s">
        <v>4467</v>
      </c>
      <c r="BR1196" s="24" t="str">
        <f t="shared" si="1"/>
        <v>Nagallas shawarma and kababs</v>
      </c>
    </row>
    <row r="1197" ht="22.5" customHeight="1">
      <c r="A1197" s="14">
        <v>46083.57214193287</v>
      </c>
      <c r="B1197" s="15">
        <v>46083.0</v>
      </c>
      <c r="C1197" s="16">
        <v>0.5625</v>
      </c>
      <c r="D1197" s="17" t="s">
        <v>91</v>
      </c>
      <c r="F1197" s="17">
        <v>15.0</v>
      </c>
      <c r="G1197" s="17">
        <v>300.0</v>
      </c>
      <c r="H1197" s="17" t="s">
        <v>4468</v>
      </c>
      <c r="J1197" s="17" t="s">
        <v>167</v>
      </c>
      <c r="K1197" s="17" t="s">
        <v>134</v>
      </c>
      <c r="L1197" s="17">
        <v>24.0</v>
      </c>
      <c r="N1197" s="17">
        <v>8.0</v>
      </c>
      <c r="O1197" s="17" t="s">
        <v>96</v>
      </c>
      <c r="P1197" s="17" t="s">
        <v>76</v>
      </c>
      <c r="Q1197" s="17" t="s">
        <v>97</v>
      </c>
      <c r="R1197" s="17" t="s">
        <v>76</v>
      </c>
      <c r="S1197" s="18" t="s">
        <v>4469</v>
      </c>
      <c r="U1197" s="17" t="s">
        <v>1238</v>
      </c>
      <c r="V1197" s="17">
        <v>9.951343434E9</v>
      </c>
      <c r="W1197" s="17" t="s">
        <v>4470</v>
      </c>
      <c r="AA1197" s="17" t="s">
        <v>109</v>
      </c>
      <c r="AT1197" s="17" t="s">
        <v>4471</v>
      </c>
      <c r="AU1197" s="17" t="s">
        <v>76</v>
      </c>
      <c r="AV1197" s="17" t="s">
        <v>88</v>
      </c>
      <c r="AZ1197" s="17" t="s">
        <v>110</v>
      </c>
      <c r="BA1197" s="17" t="s">
        <v>458</v>
      </c>
      <c r="BB1197" s="17" t="s">
        <v>76</v>
      </c>
      <c r="BN1197" s="17" t="s">
        <v>779</v>
      </c>
      <c r="BP1197" s="17" t="s">
        <v>4472</v>
      </c>
      <c r="BR1197" s="24" t="str">
        <f t="shared" si="1"/>
        <v>Baburao gari biriyani </v>
      </c>
    </row>
    <row r="1198" ht="22.5" customHeight="1">
      <c r="A1198" s="14">
        <v>46083.5825141088</v>
      </c>
      <c r="B1198" s="15">
        <v>46083.0</v>
      </c>
      <c r="C1198" s="16">
        <v>0.5812500000029104</v>
      </c>
      <c r="U1198" s="17" t="s">
        <v>3145</v>
      </c>
      <c r="V1198" s="17" t="s">
        <v>4473</v>
      </c>
      <c r="W1198" s="17" t="s">
        <v>388</v>
      </c>
      <c r="AA1198" s="17" t="s">
        <v>109</v>
      </c>
      <c r="AT1198" s="17" t="s">
        <v>2725</v>
      </c>
      <c r="AU1198" s="17" t="s">
        <v>76</v>
      </c>
      <c r="AV1198" s="17" t="s">
        <v>88</v>
      </c>
      <c r="AZ1198" s="17" t="s">
        <v>243</v>
      </c>
      <c r="BA1198" s="17" t="s">
        <v>458</v>
      </c>
      <c r="BB1198" s="17" t="s">
        <v>109</v>
      </c>
      <c r="BP1198" s="17" t="s">
        <v>4474</v>
      </c>
      <c r="BR1198" s="24" t="str">
        <f t="shared" si="1"/>
        <v>Jaya laxmi food centre </v>
      </c>
    </row>
    <row r="1199" ht="22.5" customHeight="1">
      <c r="A1199" s="14">
        <v>46083.58408028935</v>
      </c>
      <c r="B1199" s="15">
        <v>46083.0</v>
      </c>
      <c r="C1199" s="16">
        <v>0.5833333333357587</v>
      </c>
      <c r="U1199" s="17" t="s">
        <v>4475</v>
      </c>
      <c r="V1199" s="17">
        <v>9.154181471E9</v>
      </c>
      <c r="W1199" s="17" t="s">
        <v>388</v>
      </c>
      <c r="AA1199" s="17" t="s">
        <v>109</v>
      </c>
      <c r="AT1199" s="17" t="s">
        <v>4476</v>
      </c>
      <c r="AU1199" s="17" t="s">
        <v>76</v>
      </c>
      <c r="AV1199" s="17" t="s">
        <v>472</v>
      </c>
      <c r="AZ1199" s="17" t="s">
        <v>110</v>
      </c>
      <c r="BA1199" s="17" t="s">
        <v>458</v>
      </c>
      <c r="BB1199" s="17" t="s">
        <v>109</v>
      </c>
      <c r="BP1199" s="17" t="s">
        <v>4477</v>
      </c>
      <c r="BR1199" s="24" t="str">
        <f t="shared" si="1"/>
        <v>Prince house family restaurant</v>
      </c>
    </row>
    <row r="1200" ht="22.5" customHeight="1">
      <c r="A1200" s="14">
        <v>46083.59133850694</v>
      </c>
      <c r="B1200" s="15">
        <v>46083.0</v>
      </c>
      <c r="C1200" s="16">
        <v>0.5881944444408873</v>
      </c>
      <c r="D1200" s="17" t="s">
        <v>91</v>
      </c>
      <c r="F1200" s="17">
        <v>150.0</v>
      </c>
      <c r="G1200" s="17">
        <v>350.0</v>
      </c>
      <c r="H1200" s="17" t="s">
        <v>509</v>
      </c>
      <c r="I1200" s="17">
        <v>60000.0</v>
      </c>
      <c r="J1200" s="17" t="s">
        <v>167</v>
      </c>
      <c r="K1200" s="17" t="s">
        <v>134</v>
      </c>
      <c r="L1200" s="17">
        <v>25.0</v>
      </c>
      <c r="M1200" s="17">
        <v>20.0</v>
      </c>
      <c r="N1200" s="17">
        <v>1.0</v>
      </c>
      <c r="O1200" s="17" t="s">
        <v>135</v>
      </c>
      <c r="P1200" s="17" t="s">
        <v>76</v>
      </c>
      <c r="Q1200" s="17" t="s">
        <v>97</v>
      </c>
      <c r="R1200" s="17" t="s">
        <v>76</v>
      </c>
      <c r="S1200" s="18" t="s">
        <v>4478</v>
      </c>
      <c r="U1200" s="17" t="s">
        <v>4479</v>
      </c>
      <c r="V1200" s="17">
        <v>8.688880266E9</v>
      </c>
      <c r="W1200" s="17" t="s">
        <v>4480</v>
      </c>
      <c r="AA1200" s="17" t="s">
        <v>109</v>
      </c>
      <c r="AT1200" s="17" t="s">
        <v>4481</v>
      </c>
      <c r="AU1200" s="17" t="s">
        <v>76</v>
      </c>
      <c r="AV1200" s="17" t="s">
        <v>88</v>
      </c>
      <c r="AW1200" s="17" t="s">
        <v>1740</v>
      </c>
      <c r="AX1200" s="15">
        <v>46085.0</v>
      </c>
      <c r="AY1200" s="16">
        <v>0.5625</v>
      </c>
      <c r="AZ1200" s="17" t="s">
        <v>110</v>
      </c>
      <c r="BA1200" s="17" t="s">
        <v>458</v>
      </c>
      <c r="BB1200" s="17" t="s">
        <v>76</v>
      </c>
      <c r="BL1200" s="17">
        <v>300.0</v>
      </c>
      <c r="BN1200" s="17" t="s">
        <v>1088</v>
      </c>
      <c r="BP1200" s="17" t="s">
        <v>4482</v>
      </c>
      <c r="BR1200" s="24" t="str">
        <f t="shared" si="1"/>
        <v>Athithi Biriyani Ruchulu</v>
      </c>
    </row>
    <row r="1201" ht="22.5" customHeight="1">
      <c r="A1201" s="14">
        <v>46083.59249363426</v>
      </c>
      <c r="B1201" s="15">
        <v>46083.0</v>
      </c>
      <c r="C1201" s="16">
        <v>0.5916666666671517</v>
      </c>
      <c r="U1201" s="17" t="s">
        <v>4483</v>
      </c>
      <c r="V1201" s="17">
        <v>7.993924605E9</v>
      </c>
      <c r="W1201" s="17" t="s">
        <v>388</v>
      </c>
      <c r="AA1201" s="17" t="s">
        <v>109</v>
      </c>
      <c r="AT1201" s="17" t="s">
        <v>4445</v>
      </c>
      <c r="AU1201" s="17" t="s">
        <v>76</v>
      </c>
      <c r="AV1201" s="17" t="s">
        <v>472</v>
      </c>
      <c r="AZ1201" s="17" t="s">
        <v>243</v>
      </c>
      <c r="BA1201" s="17" t="s">
        <v>458</v>
      </c>
      <c r="BB1201" s="17" t="s">
        <v>109</v>
      </c>
      <c r="BP1201" s="17" t="s">
        <v>4484</v>
      </c>
      <c r="BR1201" s="24" t="str">
        <f t="shared" si="1"/>
        <v>Seven stars restaurant </v>
      </c>
    </row>
    <row r="1202" ht="22.5" customHeight="1">
      <c r="A1202" s="14">
        <v>46083.59498040509</v>
      </c>
      <c r="B1202" s="15">
        <v>46083.0</v>
      </c>
      <c r="C1202" s="16">
        <v>0.547222222223354</v>
      </c>
      <c r="D1202" s="17" t="s">
        <v>111</v>
      </c>
      <c r="T1202" s="17" t="s">
        <v>4485</v>
      </c>
      <c r="U1202" s="17" t="s">
        <v>245</v>
      </c>
      <c r="V1202" s="17">
        <v>9.908393938E9</v>
      </c>
      <c r="W1202" s="17" t="s">
        <v>4486</v>
      </c>
      <c r="AA1202" s="17" t="s">
        <v>76</v>
      </c>
      <c r="AG1202" s="18" t="s">
        <v>4487</v>
      </c>
      <c r="AS1202" s="17" t="s">
        <v>76</v>
      </c>
      <c r="AT1202" s="17" t="s">
        <v>4488</v>
      </c>
      <c r="AU1202" s="17" t="s">
        <v>76</v>
      </c>
      <c r="AV1202" s="17" t="s">
        <v>88</v>
      </c>
      <c r="AZ1202" s="17" t="s">
        <v>287</v>
      </c>
      <c r="BA1202" s="17" t="s">
        <v>458</v>
      </c>
      <c r="BB1202" s="17" t="s">
        <v>76</v>
      </c>
      <c r="BM1202" s="17" t="s">
        <v>779</v>
      </c>
      <c r="BP1202" s="17" t="s">
        <v>4489</v>
      </c>
      <c r="BR1202" s="24" t="str">
        <f t="shared" si="1"/>
        <v>  Sri Shakambhari Restaurant (tiffins)Sri Shakambhari Restaurant </v>
      </c>
    </row>
    <row r="1203" ht="22.5" customHeight="1">
      <c r="A1203" s="14">
        <v>46083.59964555556</v>
      </c>
      <c r="B1203" s="15">
        <v>46083.0</v>
      </c>
      <c r="C1203" s="16">
        <v>0.5986111111124046</v>
      </c>
      <c r="U1203" s="17" t="s">
        <v>4490</v>
      </c>
      <c r="V1203" s="17">
        <v>9.703174809E9</v>
      </c>
      <c r="W1203" s="17" t="s">
        <v>4211</v>
      </c>
      <c r="AA1203" s="17" t="s">
        <v>109</v>
      </c>
      <c r="AT1203" s="17" t="s">
        <v>4491</v>
      </c>
      <c r="AU1203" s="17" t="s">
        <v>76</v>
      </c>
      <c r="AV1203" s="17" t="s">
        <v>88</v>
      </c>
      <c r="AZ1203" s="17" t="s">
        <v>110</v>
      </c>
      <c r="BA1203" s="17" t="s">
        <v>458</v>
      </c>
      <c r="BB1203" s="17" t="s">
        <v>109</v>
      </c>
      <c r="BP1203" s="17" t="s">
        <v>4492</v>
      </c>
      <c r="BR1203" s="24" t="str">
        <f t="shared" si="1"/>
        <v>Masala Resturant </v>
      </c>
    </row>
    <row r="1204" ht="22.5" customHeight="1">
      <c r="A1204" s="14">
        <v>46083.60004236111</v>
      </c>
      <c r="B1204" s="15">
        <v>46083.0</v>
      </c>
      <c r="C1204" s="16">
        <v>0.5993055555591127</v>
      </c>
      <c r="U1204" s="17" t="s">
        <v>2172</v>
      </c>
      <c r="V1204" s="17">
        <v>9.9637979E9</v>
      </c>
      <c r="W1204" s="17" t="s">
        <v>388</v>
      </c>
      <c r="AA1204" s="17" t="s">
        <v>109</v>
      </c>
      <c r="AT1204" s="17" t="s">
        <v>4493</v>
      </c>
      <c r="AU1204" s="17" t="s">
        <v>76</v>
      </c>
      <c r="AV1204" s="17" t="s">
        <v>472</v>
      </c>
      <c r="AZ1204" s="17" t="s">
        <v>243</v>
      </c>
      <c r="BA1204" s="17" t="s">
        <v>458</v>
      </c>
      <c r="BB1204" s="17" t="s">
        <v>109</v>
      </c>
      <c r="BP1204" s="17" t="s">
        <v>4494</v>
      </c>
      <c r="BR1204" s="24" t="str">
        <f t="shared" si="1"/>
        <v>Balaji santosh dhaba</v>
      </c>
    </row>
    <row r="1205" ht="22.5" customHeight="1">
      <c r="A1205" s="14">
        <v>46083.61740038195</v>
      </c>
      <c r="B1205" s="15">
        <v>46083.0</v>
      </c>
      <c r="C1205" s="16">
        <v>0.547222222223354</v>
      </c>
      <c r="D1205" s="17" t="s">
        <v>111</v>
      </c>
      <c r="T1205" s="17" t="s">
        <v>4485</v>
      </c>
      <c r="U1205" s="17" t="s">
        <v>1008</v>
      </c>
      <c r="V1205" s="17">
        <v>9.908393938E9</v>
      </c>
      <c r="W1205" s="17" t="s">
        <v>388</v>
      </c>
      <c r="AA1205" s="17" t="s">
        <v>76</v>
      </c>
      <c r="AG1205" s="18" t="s">
        <v>4495</v>
      </c>
      <c r="AS1205" s="17" t="s">
        <v>76</v>
      </c>
      <c r="AT1205" s="17" t="s">
        <v>388</v>
      </c>
      <c r="AU1205" s="17" t="s">
        <v>76</v>
      </c>
      <c r="AV1205" s="17" t="s">
        <v>88</v>
      </c>
      <c r="AZ1205" s="17" t="s">
        <v>287</v>
      </c>
      <c r="BA1205" s="17" t="s">
        <v>458</v>
      </c>
      <c r="BB1205" s="17" t="s">
        <v>76</v>
      </c>
      <c r="BM1205" s="17" t="s">
        <v>779</v>
      </c>
      <c r="BP1205" s="17" t="s">
        <v>4496</v>
      </c>
      <c r="BR1205" s="24" t="str">
        <f t="shared" si="1"/>
        <v>Sri Shakambhari Restaurant (meals and curries)Sri Shakambhari Restaurant </v>
      </c>
    </row>
    <row r="1206" ht="22.5" customHeight="1">
      <c r="A1206" s="14">
        <v>46083.61869804398</v>
      </c>
      <c r="B1206" s="15">
        <v>46083.0</v>
      </c>
      <c r="C1206" s="16">
        <v>0.547222222223354</v>
      </c>
      <c r="D1206" s="17" t="s">
        <v>111</v>
      </c>
      <c r="T1206" s="17" t="s">
        <v>4497</v>
      </c>
      <c r="U1206" s="17" t="s">
        <v>245</v>
      </c>
      <c r="V1206" s="17">
        <v>9.908393938E9</v>
      </c>
      <c r="W1206" s="17" t="s">
        <v>388</v>
      </c>
      <c r="AA1206" s="17" t="s">
        <v>76</v>
      </c>
      <c r="AG1206" s="18" t="s">
        <v>4498</v>
      </c>
      <c r="AS1206" s="17" t="s">
        <v>76</v>
      </c>
      <c r="AT1206" s="17" t="s">
        <v>388</v>
      </c>
      <c r="AU1206" s="17" t="s">
        <v>76</v>
      </c>
      <c r="AV1206" s="17" t="s">
        <v>88</v>
      </c>
      <c r="AZ1206" s="17" t="s">
        <v>287</v>
      </c>
      <c r="BA1206" s="17" t="s">
        <v>458</v>
      </c>
      <c r="BB1206" s="17" t="s">
        <v>76</v>
      </c>
      <c r="BM1206" s="17" t="s">
        <v>779</v>
      </c>
      <c r="BP1206" s="17" t="s">
        <v>4485</v>
      </c>
      <c r="BR1206" s="24" t="str">
        <f t="shared" si="1"/>
        <v>Sri Shakambhari Restaurant Sri Shakambhari Restaurant (Chinese)</v>
      </c>
    </row>
    <row r="1207" ht="22.5" customHeight="1">
      <c r="A1207" s="14">
        <v>46083.619671504624</v>
      </c>
      <c r="B1207" s="15">
        <v>46083.0</v>
      </c>
      <c r="C1207" s="16">
        <v>0.578472222223354</v>
      </c>
      <c r="U1207" s="17" t="s">
        <v>388</v>
      </c>
      <c r="V1207" s="17">
        <v>0.0</v>
      </c>
      <c r="W1207" s="17" t="s">
        <v>388</v>
      </c>
      <c r="AA1207" s="17" t="s">
        <v>109</v>
      </c>
      <c r="AT1207" s="17" t="s">
        <v>4445</v>
      </c>
      <c r="AU1207" s="17" t="s">
        <v>76</v>
      </c>
      <c r="AV1207" s="17" t="s">
        <v>472</v>
      </c>
      <c r="AZ1207" s="17" t="s">
        <v>287</v>
      </c>
      <c r="BA1207" s="17" t="s">
        <v>458</v>
      </c>
      <c r="BB1207" s="17" t="s">
        <v>109</v>
      </c>
      <c r="BP1207" s="17" t="s">
        <v>4499</v>
      </c>
      <c r="BR1207" s="24" t="str">
        <f t="shared" si="1"/>
        <v>Bawarchi mandi and Biryani</v>
      </c>
    </row>
    <row r="1208" ht="22.5" customHeight="1">
      <c r="A1208" s="14">
        <v>46083.62047166667</v>
      </c>
      <c r="B1208" s="15">
        <v>46083.0</v>
      </c>
      <c r="C1208" s="16">
        <v>0.5819444444423425</v>
      </c>
      <c r="U1208" s="17" t="s">
        <v>4500</v>
      </c>
      <c r="V1208" s="17" t="s">
        <v>4501</v>
      </c>
      <c r="W1208" s="17" t="s">
        <v>388</v>
      </c>
      <c r="AA1208" s="17" t="s">
        <v>109</v>
      </c>
      <c r="AT1208" s="17" t="s">
        <v>4502</v>
      </c>
      <c r="AU1208" s="17" t="s">
        <v>76</v>
      </c>
      <c r="AV1208" s="17" t="s">
        <v>271</v>
      </c>
      <c r="AZ1208" s="17" t="s">
        <v>287</v>
      </c>
      <c r="BA1208" s="17" t="s">
        <v>458</v>
      </c>
      <c r="BB1208" s="17" t="s">
        <v>109</v>
      </c>
      <c r="BP1208" s="17" t="s">
        <v>4503</v>
      </c>
      <c r="BR1208" s="24" t="str">
        <f t="shared" si="1"/>
        <v>Mandi Specials and Biryani </v>
      </c>
    </row>
    <row r="1209" ht="22.5" customHeight="1">
      <c r="A1209" s="14">
        <v>46083.621176608794</v>
      </c>
      <c r="B1209" s="15">
        <v>46083.0</v>
      </c>
      <c r="C1209" s="16">
        <v>0.5868055555547471</v>
      </c>
      <c r="U1209" s="17" t="s">
        <v>388</v>
      </c>
      <c r="V1209" s="17">
        <v>0.0</v>
      </c>
      <c r="W1209" s="17" t="s">
        <v>388</v>
      </c>
      <c r="AA1209" s="17" t="s">
        <v>109</v>
      </c>
      <c r="AT1209" s="17" t="s">
        <v>4504</v>
      </c>
      <c r="AU1209" s="17" t="s">
        <v>109</v>
      </c>
      <c r="AZ1209" s="17" t="s">
        <v>287</v>
      </c>
      <c r="BA1209" s="17" t="s">
        <v>458</v>
      </c>
      <c r="BB1209" s="17" t="s">
        <v>109</v>
      </c>
      <c r="BP1209" s="17" t="s">
        <v>4505</v>
      </c>
      <c r="BR1209" s="24" t="str">
        <f t="shared" si="1"/>
        <v>Balaji Dhaba</v>
      </c>
    </row>
    <row r="1210" ht="22.5" customHeight="1">
      <c r="A1210" s="14">
        <v>46083.622300243056</v>
      </c>
      <c r="B1210" s="15">
        <v>46083.0</v>
      </c>
      <c r="C1210" s="16">
        <v>0.6062499999970896</v>
      </c>
      <c r="U1210" s="17" t="s">
        <v>4506</v>
      </c>
      <c r="V1210" s="17" t="s">
        <v>4507</v>
      </c>
      <c r="W1210" s="17" t="s">
        <v>388</v>
      </c>
      <c r="AA1210" s="17" t="s">
        <v>109</v>
      </c>
      <c r="AT1210" s="17" t="s">
        <v>4508</v>
      </c>
      <c r="AU1210" s="17" t="s">
        <v>76</v>
      </c>
      <c r="AV1210" s="17" t="s">
        <v>114</v>
      </c>
      <c r="AX1210" s="15">
        <v>46084.0</v>
      </c>
      <c r="AY1210" s="16">
        <v>0.5416666666642413</v>
      </c>
      <c r="AZ1210" s="17" t="s">
        <v>287</v>
      </c>
      <c r="BA1210" s="17" t="s">
        <v>458</v>
      </c>
      <c r="BB1210" s="17" t="s">
        <v>109</v>
      </c>
      <c r="BP1210" s="17" t="s">
        <v>4509</v>
      </c>
      <c r="BR1210" s="24" t="str">
        <f t="shared" si="1"/>
        <v>Mini Cafe</v>
      </c>
    </row>
    <row r="1211" ht="22.5" customHeight="1">
      <c r="A1211" s="14">
        <v>46083.62326501157</v>
      </c>
      <c r="B1211" s="15">
        <v>46083.0</v>
      </c>
      <c r="C1211" s="16">
        <v>0.6111111111094942</v>
      </c>
      <c r="U1211" s="17" t="s">
        <v>4457</v>
      </c>
      <c r="V1211" s="17">
        <v>9.949098489E9</v>
      </c>
      <c r="W1211" s="17" t="s">
        <v>388</v>
      </c>
      <c r="AA1211" s="17" t="s">
        <v>109</v>
      </c>
      <c r="AT1211" s="17" t="s">
        <v>4445</v>
      </c>
      <c r="AU1211" s="17" t="s">
        <v>76</v>
      </c>
      <c r="AV1211" s="17" t="s">
        <v>271</v>
      </c>
      <c r="AZ1211" s="17" t="s">
        <v>287</v>
      </c>
      <c r="BA1211" s="17" t="s">
        <v>458</v>
      </c>
      <c r="BB1211" s="17" t="s">
        <v>109</v>
      </c>
      <c r="BP1211" s="17" t="s">
        <v>4510</v>
      </c>
      <c r="BR1211" s="24" t="str">
        <f t="shared" si="1"/>
        <v>Rishitha Curries and Biryani</v>
      </c>
    </row>
    <row r="1212" ht="22.5" customHeight="1">
      <c r="A1212" s="14">
        <v>46083.63198481481</v>
      </c>
      <c r="B1212" s="15">
        <v>46080.0</v>
      </c>
      <c r="C1212" s="16">
        <v>0.41666666666424135</v>
      </c>
      <c r="D1212" s="17" t="s">
        <v>91</v>
      </c>
      <c r="F1212" s="17">
        <v>10.0</v>
      </c>
      <c r="G1212" s="17">
        <v>500.0</v>
      </c>
      <c r="H1212" s="17" t="s">
        <v>509</v>
      </c>
      <c r="I1212" s="17">
        <v>50000.0</v>
      </c>
      <c r="J1212" s="17" t="s">
        <v>94</v>
      </c>
      <c r="K1212" s="17" t="s">
        <v>515</v>
      </c>
      <c r="N1212" s="17">
        <v>1.0</v>
      </c>
      <c r="O1212" s="17" t="s">
        <v>96</v>
      </c>
      <c r="P1212" s="17" t="s">
        <v>109</v>
      </c>
      <c r="Q1212" s="17" t="s">
        <v>97</v>
      </c>
      <c r="R1212" s="17" t="s">
        <v>109</v>
      </c>
      <c r="S1212" s="18" t="s">
        <v>4406</v>
      </c>
      <c r="U1212" s="17" t="s">
        <v>4417</v>
      </c>
      <c r="V1212" s="17">
        <v>8.019112033E9</v>
      </c>
      <c r="W1212" s="17" t="s">
        <v>388</v>
      </c>
      <c r="AA1212" s="17" t="s">
        <v>76</v>
      </c>
      <c r="AB1212" s="17">
        <v>2.3625032008742E13</v>
      </c>
      <c r="AC1212" s="18" t="s">
        <v>4511</v>
      </c>
      <c r="AF1212" s="17" t="s">
        <v>4409</v>
      </c>
      <c r="AG1212" s="18" t="s">
        <v>4512</v>
      </c>
      <c r="AK1212" s="18" t="s">
        <v>4513</v>
      </c>
      <c r="AL1212" s="17" t="s">
        <v>4421</v>
      </c>
      <c r="AM1212" s="17" t="s">
        <v>4514</v>
      </c>
      <c r="AN1212" s="17" t="s">
        <v>4422</v>
      </c>
      <c r="AS1212" s="17" t="s">
        <v>76</v>
      </c>
      <c r="AT1212" s="17" t="s">
        <v>388</v>
      </c>
      <c r="AU1212" s="17" t="s">
        <v>109</v>
      </c>
      <c r="AZ1212" s="17" t="s">
        <v>151</v>
      </c>
      <c r="BA1212" s="17" t="s">
        <v>458</v>
      </c>
      <c r="BB1212" s="17" t="s">
        <v>76</v>
      </c>
      <c r="BH1212" s="17">
        <v>15.0</v>
      </c>
      <c r="BI1212" s="17" t="s">
        <v>76</v>
      </c>
      <c r="BJ1212" s="16">
        <v>0.41666666666424135</v>
      </c>
      <c r="BK1212" s="16">
        <v>0.9993055555532919</v>
      </c>
      <c r="BL1212" s="17">
        <v>100.0</v>
      </c>
      <c r="BM1212" s="17" t="s">
        <v>3090</v>
      </c>
      <c r="BN1212" s="17" t="s">
        <v>3090</v>
      </c>
      <c r="BP1212" s="17" t="s">
        <v>4515</v>
      </c>
      <c r="BR1212" s="24" t="str">
        <f t="shared" si="1"/>
        <v>Amristari dabha</v>
      </c>
    </row>
    <row r="1213" ht="22.5" customHeight="1">
      <c r="A1213" s="14">
        <v>46083.63977233796</v>
      </c>
      <c r="B1213" s="15">
        <v>46083.0</v>
      </c>
      <c r="C1213" s="16">
        <v>0.6381944444437977</v>
      </c>
      <c r="D1213" s="17" t="s">
        <v>111</v>
      </c>
      <c r="T1213" s="17" t="s">
        <v>4516</v>
      </c>
      <c r="U1213" s="17" t="s">
        <v>4517</v>
      </c>
      <c r="V1213" s="17" t="s">
        <v>4518</v>
      </c>
      <c r="W1213" s="17" t="s">
        <v>388</v>
      </c>
      <c r="AA1213" s="17" t="s">
        <v>109</v>
      </c>
      <c r="AT1213" s="17" t="s">
        <v>4519</v>
      </c>
      <c r="AU1213" s="17" t="s">
        <v>76</v>
      </c>
      <c r="AV1213" s="17" t="s">
        <v>88</v>
      </c>
      <c r="AZ1213" s="17" t="s">
        <v>243</v>
      </c>
      <c r="BA1213" s="17" t="s">
        <v>458</v>
      </c>
      <c r="BB1213" s="17" t="s">
        <v>76</v>
      </c>
      <c r="BP1213" s="17" t="s">
        <v>4520</v>
      </c>
      <c r="BR1213" s="24" t="str">
        <f t="shared" si="1"/>
        <v>Mekallas shawarma and kababsMekallas shawarma and kababs </v>
      </c>
    </row>
    <row r="1214" ht="22.5" customHeight="1">
      <c r="A1214" s="14">
        <v>46083.641062766204</v>
      </c>
      <c r="B1214" s="15">
        <v>46083.0</v>
      </c>
      <c r="C1214" s="16">
        <v>0.6395833333372138</v>
      </c>
      <c r="D1214" s="17" t="s">
        <v>111</v>
      </c>
      <c r="T1214" s="17" t="s">
        <v>4467</v>
      </c>
      <c r="U1214" s="17" t="s">
        <v>4521</v>
      </c>
      <c r="V1214" s="17" t="s">
        <v>4518</v>
      </c>
      <c r="W1214" s="17" t="s">
        <v>388</v>
      </c>
      <c r="AA1214" s="17" t="s">
        <v>109</v>
      </c>
      <c r="AT1214" s="17" t="s">
        <v>4522</v>
      </c>
      <c r="AU1214" s="17" t="s">
        <v>76</v>
      </c>
      <c r="AV1214" s="17" t="s">
        <v>88</v>
      </c>
      <c r="AZ1214" s="17" t="s">
        <v>243</v>
      </c>
      <c r="BA1214" s="17" t="s">
        <v>458</v>
      </c>
      <c r="BB1214" s="17" t="s">
        <v>76</v>
      </c>
      <c r="BP1214" s="17" t="s">
        <v>4523</v>
      </c>
      <c r="BR1214" s="24" t="str">
        <f t="shared" si="1"/>
        <v>Nagallas shawarma Nagallas shawarma and kababs</v>
      </c>
    </row>
    <row r="1215" ht="22.5" customHeight="1">
      <c r="A1215" s="14">
        <v>46083.652312175924</v>
      </c>
      <c r="B1215" s="15">
        <v>46083.0</v>
      </c>
      <c r="C1215" s="16">
        <v>0.6513888888875954</v>
      </c>
      <c r="U1215" s="17" t="s">
        <v>4524</v>
      </c>
      <c r="V1215" s="17" t="s">
        <v>4525</v>
      </c>
      <c r="W1215" s="17" t="s">
        <v>388</v>
      </c>
      <c r="AA1215" s="17" t="s">
        <v>109</v>
      </c>
      <c r="AT1215" s="17" t="s">
        <v>4526</v>
      </c>
      <c r="AU1215" s="17" t="s">
        <v>76</v>
      </c>
      <c r="AZ1215" s="17" t="s">
        <v>287</v>
      </c>
      <c r="BA1215" s="17" t="s">
        <v>458</v>
      </c>
      <c r="BB1215" s="17" t="s">
        <v>109</v>
      </c>
      <c r="BP1215" s="17" t="s">
        <v>4527</v>
      </c>
      <c r="BR1215" s="24" t="str">
        <f t="shared" si="1"/>
        <v>Sangeetha Kitchen</v>
      </c>
    </row>
    <row r="1216" ht="22.5" customHeight="1">
      <c r="A1216" s="14">
        <v>46083.66278486111</v>
      </c>
      <c r="B1216" s="15">
        <v>46083.0</v>
      </c>
      <c r="C1216" s="16">
        <v>0.6618055555591127</v>
      </c>
      <c r="U1216" s="17" t="s">
        <v>4528</v>
      </c>
      <c r="V1216" s="17">
        <v>9.618033021E9</v>
      </c>
      <c r="W1216" s="17" t="s">
        <v>388</v>
      </c>
      <c r="AA1216" s="17" t="s">
        <v>109</v>
      </c>
      <c r="AT1216" s="17" t="s">
        <v>4529</v>
      </c>
      <c r="AU1216" s="17" t="s">
        <v>76</v>
      </c>
      <c r="AV1216" s="17" t="s">
        <v>472</v>
      </c>
      <c r="AZ1216" s="17" t="s">
        <v>243</v>
      </c>
      <c r="BA1216" s="17" t="s">
        <v>458</v>
      </c>
      <c r="BB1216" s="17" t="s">
        <v>109</v>
      </c>
      <c r="BP1216" s="17" t="s">
        <v>4530</v>
      </c>
      <c r="BR1216" s="24" t="str">
        <f t="shared" si="1"/>
        <v>Bhavani matha curry point </v>
      </c>
    </row>
    <row r="1217" ht="22.5" customHeight="1">
      <c r="A1217" s="14">
        <v>46083.663360624996</v>
      </c>
      <c r="B1217" s="15">
        <v>46083.0</v>
      </c>
      <c r="C1217" s="16">
        <v>0.6624999999985448</v>
      </c>
      <c r="U1217" s="17" t="s">
        <v>388</v>
      </c>
      <c r="V1217" s="17" t="s">
        <v>388</v>
      </c>
      <c r="W1217" s="17" t="s">
        <v>388</v>
      </c>
      <c r="AA1217" s="17" t="s">
        <v>109</v>
      </c>
      <c r="AT1217" s="17" t="s">
        <v>4531</v>
      </c>
      <c r="AU1217" s="17" t="s">
        <v>109</v>
      </c>
      <c r="AZ1217" s="17" t="s">
        <v>243</v>
      </c>
      <c r="BA1217" s="17" t="s">
        <v>458</v>
      </c>
      <c r="BB1217" s="17" t="s">
        <v>109</v>
      </c>
      <c r="BP1217" s="17" t="s">
        <v>4532</v>
      </c>
      <c r="BR1217" s="24" t="str">
        <f t="shared" si="1"/>
        <v>My friend mandi </v>
      </c>
    </row>
    <row r="1218" ht="22.5" customHeight="1">
      <c r="A1218" s="14">
        <v>46083.66446917824</v>
      </c>
      <c r="B1218" s="15">
        <v>46083.0</v>
      </c>
      <c r="C1218" s="16">
        <v>0.6458333333357587</v>
      </c>
      <c r="D1218" s="17" t="s">
        <v>91</v>
      </c>
      <c r="F1218" s="17">
        <v>50.0</v>
      </c>
      <c r="G1218" s="17">
        <v>300.0</v>
      </c>
      <c r="H1218" s="17" t="s">
        <v>509</v>
      </c>
      <c r="J1218" s="17" t="s">
        <v>94</v>
      </c>
      <c r="K1218" s="17" t="s">
        <v>134</v>
      </c>
      <c r="L1218" s="17">
        <v>25.0</v>
      </c>
      <c r="N1218" s="17">
        <v>1.0</v>
      </c>
      <c r="O1218" s="17" t="s">
        <v>371</v>
      </c>
      <c r="P1218" s="17" t="s">
        <v>76</v>
      </c>
      <c r="Q1218" s="17" t="s">
        <v>97</v>
      </c>
      <c r="R1218" s="17" t="s">
        <v>76</v>
      </c>
      <c r="S1218" s="17" t="s">
        <v>388</v>
      </c>
      <c r="U1218" s="17" t="s">
        <v>752</v>
      </c>
      <c r="V1218" s="17">
        <v>7.569105214E9</v>
      </c>
      <c r="W1218" s="17" t="s">
        <v>388</v>
      </c>
      <c r="AA1218" s="17" t="s">
        <v>109</v>
      </c>
      <c r="AT1218" s="17" t="s">
        <v>4533</v>
      </c>
      <c r="AU1218" s="17" t="s">
        <v>76</v>
      </c>
      <c r="AV1218" s="17" t="s">
        <v>472</v>
      </c>
      <c r="AZ1218" s="17" t="s">
        <v>110</v>
      </c>
      <c r="BA1218" s="17" t="s">
        <v>458</v>
      </c>
      <c r="BB1218" s="17" t="s">
        <v>76</v>
      </c>
      <c r="BN1218" s="17" t="s">
        <v>779</v>
      </c>
      <c r="BP1218" s="17" t="s">
        <v>4534</v>
      </c>
      <c r="BR1218" s="24" t="str">
        <f t="shared" si="1"/>
        <v>Gulf Mandi </v>
      </c>
    </row>
    <row r="1219" ht="22.5" customHeight="1">
      <c r="A1219" s="14">
        <v>46083.67228679398</v>
      </c>
      <c r="B1219" s="15">
        <v>46083.0</v>
      </c>
      <c r="C1219" s="16">
        <v>0.5875000000014552</v>
      </c>
      <c r="U1219" s="17" t="s">
        <v>4535</v>
      </c>
      <c r="V1219" s="17">
        <v>9.666313134E9</v>
      </c>
      <c r="W1219" s="17" t="s">
        <v>388</v>
      </c>
      <c r="AA1219" s="17" t="s">
        <v>109</v>
      </c>
      <c r="AT1219" s="17" t="s">
        <v>4536</v>
      </c>
      <c r="AU1219" s="17" t="s">
        <v>76</v>
      </c>
      <c r="AV1219" s="17" t="s">
        <v>472</v>
      </c>
      <c r="AX1219" s="15">
        <v>46084.0</v>
      </c>
      <c r="AZ1219" s="17" t="s">
        <v>110</v>
      </c>
      <c r="BA1219" s="17" t="s">
        <v>458</v>
      </c>
      <c r="BB1219" s="17" t="s">
        <v>109</v>
      </c>
      <c r="BP1219" s="17" t="s">
        <v>4537</v>
      </c>
      <c r="BR1219" s="24" t="str">
        <f t="shared" si="1"/>
        <v>Chittibabu Biriyani </v>
      </c>
    </row>
    <row r="1220" ht="22.5" customHeight="1">
      <c r="A1220" s="14">
        <v>46083.673282766205</v>
      </c>
      <c r="B1220" s="15">
        <v>46083.0</v>
      </c>
      <c r="C1220" s="16">
        <v>0.6708333333372138</v>
      </c>
      <c r="D1220" s="17" t="s">
        <v>91</v>
      </c>
      <c r="F1220" s="17">
        <v>20.0</v>
      </c>
      <c r="G1220" s="17">
        <v>180.0</v>
      </c>
      <c r="H1220" s="17" t="s">
        <v>388</v>
      </c>
      <c r="J1220" s="17" t="s">
        <v>221</v>
      </c>
      <c r="N1220" s="17">
        <v>1.0</v>
      </c>
      <c r="O1220" s="17" t="s">
        <v>96</v>
      </c>
      <c r="P1220" s="17" t="s">
        <v>109</v>
      </c>
      <c r="Q1220" s="17" t="s">
        <v>97</v>
      </c>
      <c r="R1220" s="17" t="s">
        <v>109</v>
      </c>
      <c r="S1220" s="17" t="s">
        <v>2782</v>
      </c>
      <c r="U1220" s="17" t="s">
        <v>2106</v>
      </c>
      <c r="V1220" s="17">
        <v>7.095822597E9</v>
      </c>
      <c r="W1220" s="17" t="s">
        <v>388</v>
      </c>
      <c r="AA1220" s="17" t="s">
        <v>76</v>
      </c>
      <c r="AC1220" s="18" t="s">
        <v>4538</v>
      </c>
      <c r="AS1220" s="17" t="s">
        <v>76</v>
      </c>
      <c r="AT1220" s="17" t="s">
        <v>388</v>
      </c>
      <c r="AU1220" s="17" t="s">
        <v>76</v>
      </c>
      <c r="AV1220" s="17" t="s">
        <v>88</v>
      </c>
      <c r="AZ1220" s="17" t="s">
        <v>287</v>
      </c>
      <c r="BA1220" s="17" t="s">
        <v>458</v>
      </c>
      <c r="BB1220" s="17" t="s">
        <v>76</v>
      </c>
      <c r="BM1220" s="17" t="s">
        <v>779</v>
      </c>
      <c r="BN1220" s="17" t="s">
        <v>779</v>
      </c>
      <c r="BP1220" s="17" t="s">
        <v>4539</v>
      </c>
      <c r="BR1220" s="24" t="str">
        <f t="shared" si="1"/>
        <v>Lotus Biryani and Fast Food Center </v>
      </c>
    </row>
    <row r="1221" ht="22.5" customHeight="1">
      <c r="A1221" s="14">
        <v>46083.69253505787</v>
      </c>
      <c r="B1221" s="15">
        <v>46083.0</v>
      </c>
      <c r="C1221" s="16">
        <v>0.6875</v>
      </c>
      <c r="U1221" s="17" t="s">
        <v>4540</v>
      </c>
      <c r="V1221" s="17">
        <v>9.010000086E9</v>
      </c>
      <c r="W1221" s="17" t="s">
        <v>388</v>
      </c>
      <c r="AA1221" s="17" t="s">
        <v>109</v>
      </c>
      <c r="AT1221" s="17" t="s">
        <v>4541</v>
      </c>
      <c r="AU1221" s="17" t="s">
        <v>76</v>
      </c>
      <c r="AV1221" s="17" t="s">
        <v>472</v>
      </c>
      <c r="AZ1221" s="17" t="s">
        <v>110</v>
      </c>
      <c r="BA1221" s="17" t="s">
        <v>458</v>
      </c>
      <c r="BB1221" s="17" t="s">
        <v>109</v>
      </c>
      <c r="BP1221" s="17" t="s">
        <v>4542</v>
      </c>
      <c r="BR1221" s="24" t="str">
        <f t="shared" si="1"/>
        <v>Sai Darshini Tiffins</v>
      </c>
    </row>
    <row r="1222" ht="22.5" customHeight="1">
      <c r="A1222" s="14">
        <v>46083.708426261575</v>
      </c>
      <c r="B1222" s="15">
        <v>46083.0</v>
      </c>
      <c r="C1222" s="16">
        <v>0.7076388888890506</v>
      </c>
      <c r="U1222" s="17" t="s">
        <v>4543</v>
      </c>
      <c r="V1222" s="17">
        <v>9.959610369E9</v>
      </c>
      <c r="W1222" s="17" t="s">
        <v>388</v>
      </c>
      <c r="AA1222" s="17" t="s">
        <v>109</v>
      </c>
      <c r="AT1222" s="17" t="s">
        <v>4445</v>
      </c>
      <c r="AU1222" s="17" t="s">
        <v>76</v>
      </c>
      <c r="AZ1222" s="17" t="s">
        <v>243</v>
      </c>
      <c r="BA1222" s="17" t="s">
        <v>458</v>
      </c>
      <c r="BB1222" s="17" t="s">
        <v>109</v>
      </c>
      <c r="BP1222" s="17" t="s">
        <v>4544</v>
      </c>
      <c r="BR1222" s="24" t="str">
        <f t="shared" si="1"/>
        <v>Ahmed restaurant </v>
      </c>
    </row>
    <row r="1223" ht="22.5" customHeight="1">
      <c r="A1223" s="14">
        <v>46083.71148038194</v>
      </c>
      <c r="B1223" s="15">
        <v>46083.0</v>
      </c>
      <c r="C1223" s="16">
        <v>0.7083333333357587</v>
      </c>
      <c r="U1223" s="17" t="s">
        <v>4545</v>
      </c>
      <c r="V1223" s="17">
        <v>7.396234446E9</v>
      </c>
      <c r="W1223" s="17" t="s">
        <v>388</v>
      </c>
      <c r="AA1223" s="17" t="s">
        <v>109</v>
      </c>
      <c r="AT1223" s="17" t="s">
        <v>4546</v>
      </c>
      <c r="AU1223" s="17" t="s">
        <v>76</v>
      </c>
      <c r="AZ1223" s="17" t="s">
        <v>243</v>
      </c>
      <c r="BA1223" s="17" t="s">
        <v>458</v>
      </c>
      <c r="BB1223" s="17" t="s">
        <v>109</v>
      </c>
      <c r="BP1223" s="17" t="s">
        <v>4547</v>
      </c>
      <c r="BR1223" s="24" t="str">
        <f t="shared" si="1"/>
        <v>Hotel CVR narsingi</v>
      </c>
    </row>
    <row r="1224" ht="22.5" customHeight="1">
      <c r="A1224" s="14">
        <v>46083.712101736106</v>
      </c>
      <c r="B1224" s="15">
        <v>46083.0</v>
      </c>
      <c r="C1224" s="16">
        <v>0.711111111115315</v>
      </c>
      <c r="U1224" s="17" t="s">
        <v>388</v>
      </c>
      <c r="V1224" s="17" t="s">
        <v>388</v>
      </c>
      <c r="W1224" s="17" t="s">
        <v>388</v>
      </c>
      <c r="AA1224" s="17" t="s">
        <v>109</v>
      </c>
      <c r="AT1224" s="17" t="s">
        <v>4548</v>
      </c>
      <c r="AU1224" s="17" t="s">
        <v>109</v>
      </c>
      <c r="AZ1224" s="17" t="s">
        <v>243</v>
      </c>
      <c r="BA1224" s="17" t="s">
        <v>458</v>
      </c>
      <c r="BB1224" s="17" t="s">
        <v>109</v>
      </c>
      <c r="BP1224" s="17" t="s">
        <v>4549</v>
      </c>
      <c r="BR1224" s="24" t="str">
        <f t="shared" si="1"/>
        <v>Kuthari hotel</v>
      </c>
    </row>
    <row r="1225" ht="22.5" customHeight="1">
      <c r="A1225" s="14">
        <v>46083.716396944445</v>
      </c>
      <c r="B1225" s="15">
        <v>46083.0</v>
      </c>
      <c r="C1225" s="16">
        <v>0.7152777777810115</v>
      </c>
      <c r="U1225" s="17" t="s">
        <v>4550</v>
      </c>
      <c r="V1225" s="17">
        <v>9.642274228E9</v>
      </c>
      <c r="W1225" s="17" t="s">
        <v>388</v>
      </c>
      <c r="AA1225" s="17" t="s">
        <v>109</v>
      </c>
      <c r="AT1225" s="17" t="s">
        <v>4551</v>
      </c>
      <c r="AU1225" s="17" t="s">
        <v>76</v>
      </c>
      <c r="AV1225" s="17" t="s">
        <v>472</v>
      </c>
      <c r="AZ1225" s="17" t="s">
        <v>110</v>
      </c>
      <c r="BA1225" s="17" t="s">
        <v>458</v>
      </c>
      <c r="BB1225" s="17" t="s">
        <v>109</v>
      </c>
      <c r="BP1225" s="17" t="s">
        <v>4552</v>
      </c>
      <c r="BR1225" s="24" t="str">
        <f t="shared" si="1"/>
        <v>Pakka Telangana</v>
      </c>
    </row>
    <row r="1226" ht="22.5" customHeight="1">
      <c r="A1226" s="14">
        <v>46083.722311053236</v>
      </c>
      <c r="B1226" s="15">
        <v>46083.0</v>
      </c>
      <c r="C1226" s="16">
        <v>0.7215277777795563</v>
      </c>
      <c r="D1226" s="17" t="s">
        <v>111</v>
      </c>
      <c r="T1226" s="17" t="s">
        <v>4553</v>
      </c>
      <c r="U1226" s="17" t="s">
        <v>388</v>
      </c>
      <c r="V1226" s="17" t="s">
        <v>388</v>
      </c>
      <c r="W1226" s="17" t="s">
        <v>388</v>
      </c>
      <c r="AA1226" s="17" t="s">
        <v>109</v>
      </c>
      <c r="AT1226" s="17" t="s">
        <v>4554</v>
      </c>
      <c r="AU1226" s="17" t="s">
        <v>76</v>
      </c>
      <c r="AV1226" s="17" t="s">
        <v>472</v>
      </c>
      <c r="AZ1226" s="17" t="s">
        <v>243</v>
      </c>
      <c r="BA1226" s="17" t="s">
        <v>458</v>
      </c>
      <c r="BB1226" s="17" t="s">
        <v>76</v>
      </c>
      <c r="BP1226" s="17" t="s">
        <v>4555</v>
      </c>
      <c r="BR1226" s="24" t="str">
        <f t="shared" si="1"/>
        <v>Rk grand multicuisne Rk multi cuisine </v>
      </c>
    </row>
    <row r="1227" ht="22.5" customHeight="1">
      <c r="A1227" s="14">
        <v>46083.72307046296</v>
      </c>
      <c r="B1227" s="15">
        <v>46083.0</v>
      </c>
      <c r="C1227" s="16">
        <v>0.7222222222189885</v>
      </c>
      <c r="U1227" s="17" t="s">
        <v>2367</v>
      </c>
      <c r="V1227" s="17" t="s">
        <v>388</v>
      </c>
      <c r="W1227" s="17" t="s">
        <v>388</v>
      </c>
      <c r="AA1227" s="17" t="s">
        <v>109</v>
      </c>
      <c r="AT1227" s="17" t="s">
        <v>4556</v>
      </c>
      <c r="AU1227" s="17" t="s">
        <v>76</v>
      </c>
      <c r="AZ1227" s="17" t="s">
        <v>243</v>
      </c>
      <c r="BA1227" s="17" t="s">
        <v>458</v>
      </c>
      <c r="BB1227" s="17" t="s">
        <v>109</v>
      </c>
      <c r="BP1227" s="17" t="s">
        <v>4557</v>
      </c>
      <c r="BR1227" s="24" t="str">
        <f t="shared" si="1"/>
        <v>Tawakkal kalyani biryani</v>
      </c>
    </row>
    <row r="1228" ht="22.5" customHeight="1">
      <c r="A1228" s="14">
        <v>46083.72380061343</v>
      </c>
      <c r="B1228" s="15">
        <v>46083.0</v>
      </c>
      <c r="C1228" s="16">
        <v>0.7229166666656965</v>
      </c>
      <c r="U1228" s="17" t="s">
        <v>388</v>
      </c>
      <c r="V1228" s="17" t="s">
        <v>388</v>
      </c>
      <c r="W1228" s="17" t="s">
        <v>388</v>
      </c>
      <c r="AA1228" s="17" t="s">
        <v>109</v>
      </c>
      <c r="AT1228" s="17" t="s">
        <v>4558</v>
      </c>
      <c r="AU1228" s="17" t="s">
        <v>76</v>
      </c>
      <c r="AV1228" s="17" t="s">
        <v>472</v>
      </c>
      <c r="AZ1228" s="17" t="s">
        <v>243</v>
      </c>
      <c r="BA1228" s="17" t="s">
        <v>458</v>
      </c>
      <c r="BB1228" s="17" t="s">
        <v>109</v>
      </c>
      <c r="BP1228" s="17" t="s">
        <v>4559</v>
      </c>
      <c r="BR1228" s="24" t="str">
        <f t="shared" si="1"/>
        <v>The hungers spot </v>
      </c>
    </row>
    <row r="1229" ht="22.5" customHeight="1">
      <c r="A1229" s="14">
        <v>46083.735558252316</v>
      </c>
      <c r="B1229" s="15">
        <v>46083.0</v>
      </c>
      <c r="C1229" s="16">
        <v>0.19166666666569654</v>
      </c>
      <c r="U1229" s="17" t="s">
        <v>117</v>
      </c>
      <c r="V1229" s="17" t="s">
        <v>117</v>
      </c>
      <c r="W1229" s="17" t="s">
        <v>117</v>
      </c>
      <c r="AA1229" s="17" t="s">
        <v>109</v>
      </c>
      <c r="AT1229" s="17" t="s">
        <v>4560</v>
      </c>
      <c r="AU1229" s="17" t="s">
        <v>76</v>
      </c>
      <c r="AZ1229" s="17" t="s">
        <v>182</v>
      </c>
      <c r="BA1229" s="17" t="s">
        <v>458</v>
      </c>
      <c r="BB1229" s="17" t="s">
        <v>109</v>
      </c>
      <c r="BP1229" s="17" t="s">
        <v>4561</v>
      </c>
      <c r="BR1229" s="24" t="str">
        <f t="shared" si="1"/>
        <v>Burgers and pizzas </v>
      </c>
    </row>
    <row r="1230" ht="22.5" customHeight="1">
      <c r="A1230" s="14">
        <v>46083.73680493055</v>
      </c>
      <c r="B1230" s="15">
        <v>46083.0</v>
      </c>
      <c r="C1230" s="16">
        <v>0.03125</v>
      </c>
      <c r="U1230" s="17" t="s">
        <v>117</v>
      </c>
      <c r="V1230" s="17" t="s">
        <v>117</v>
      </c>
      <c r="W1230" s="17" t="s">
        <v>117</v>
      </c>
      <c r="AA1230" s="17" t="s">
        <v>109</v>
      </c>
      <c r="AT1230" s="17" t="s">
        <v>4562</v>
      </c>
      <c r="AU1230" s="17" t="s">
        <v>109</v>
      </c>
      <c r="AZ1230" s="17" t="s">
        <v>182</v>
      </c>
      <c r="BA1230" s="17" t="s">
        <v>458</v>
      </c>
      <c r="BB1230" s="17" t="s">
        <v>109</v>
      </c>
      <c r="BP1230" s="17" t="s">
        <v>4563</v>
      </c>
      <c r="BR1230" s="24" t="str">
        <f t="shared" si="1"/>
        <v>S D fast food centre </v>
      </c>
    </row>
    <row r="1231" ht="22.5" customHeight="1">
      <c r="A1231" s="14">
        <v>46083.73967350695</v>
      </c>
      <c r="B1231" s="15">
        <v>46083.0</v>
      </c>
      <c r="C1231" s="16">
        <v>0.625</v>
      </c>
      <c r="D1231" s="17" t="s">
        <v>91</v>
      </c>
      <c r="F1231" s="17">
        <v>40.0</v>
      </c>
      <c r="G1231" s="17">
        <v>400.0</v>
      </c>
      <c r="H1231" s="17" t="s">
        <v>76</v>
      </c>
      <c r="I1231" s="17">
        <v>40000.0</v>
      </c>
      <c r="J1231" s="17" t="s">
        <v>94</v>
      </c>
      <c r="K1231" s="17" t="s">
        <v>273</v>
      </c>
      <c r="L1231" s="17">
        <v>22.0</v>
      </c>
      <c r="M1231" s="17">
        <v>17.0</v>
      </c>
      <c r="N1231" s="17">
        <v>2.0</v>
      </c>
      <c r="O1231" s="17" t="s">
        <v>135</v>
      </c>
      <c r="P1231" s="17" t="s">
        <v>76</v>
      </c>
      <c r="Q1231" s="17" t="s">
        <v>97</v>
      </c>
      <c r="R1231" s="17" t="s">
        <v>76</v>
      </c>
      <c r="S1231" s="17" t="s">
        <v>388</v>
      </c>
      <c r="U1231" s="17" t="s">
        <v>1269</v>
      </c>
      <c r="V1231" s="17">
        <v>9.885747504E9</v>
      </c>
      <c r="W1231" s="17" t="s">
        <v>388</v>
      </c>
      <c r="AA1231" s="17" t="s">
        <v>109</v>
      </c>
      <c r="AT1231" s="17" t="s">
        <v>388</v>
      </c>
      <c r="AU1231" s="17" t="s">
        <v>76</v>
      </c>
      <c r="AV1231" s="17" t="s">
        <v>271</v>
      </c>
      <c r="AZ1231" s="17" t="s">
        <v>131</v>
      </c>
      <c r="BA1231" s="17" t="s">
        <v>458</v>
      </c>
      <c r="BB1231" s="17" t="s">
        <v>76</v>
      </c>
      <c r="BL1231" s="17">
        <v>40.0</v>
      </c>
      <c r="BN1231" s="17" t="s">
        <v>4564</v>
      </c>
      <c r="BP1231" s="17" t="s">
        <v>4565</v>
      </c>
      <c r="BR1231" s="24" t="str">
        <f t="shared" si="1"/>
        <v>Ellipaya karam express </v>
      </c>
    </row>
    <row r="1232" ht="22.5" customHeight="1">
      <c r="A1232" s="14">
        <v>46083.740547152775</v>
      </c>
      <c r="B1232" s="15">
        <v>46083.0</v>
      </c>
      <c r="C1232" s="16">
        <v>0.04166666666424135</v>
      </c>
      <c r="D1232" s="17" t="s">
        <v>111</v>
      </c>
      <c r="T1232" s="17" t="s">
        <v>117</v>
      </c>
      <c r="U1232" s="17" t="s">
        <v>4566</v>
      </c>
      <c r="V1232" s="17" t="s">
        <v>4567</v>
      </c>
      <c r="W1232" s="17" t="s">
        <v>117</v>
      </c>
      <c r="AA1232" s="17" t="s">
        <v>109</v>
      </c>
      <c r="AT1232" s="17" t="s">
        <v>4568</v>
      </c>
      <c r="AU1232" s="17" t="s">
        <v>76</v>
      </c>
      <c r="AV1232" s="17" t="s">
        <v>114</v>
      </c>
      <c r="AZ1232" s="17" t="s">
        <v>182</v>
      </c>
      <c r="BA1232" s="17" t="s">
        <v>491</v>
      </c>
      <c r="BP1232" s="17" t="s">
        <v>4569</v>
      </c>
      <c r="BR1232" s="24" t="str">
        <f t="shared" si="1"/>
        <v>Butter bunnies NA</v>
      </c>
    </row>
    <row r="1233" ht="22.5" customHeight="1">
      <c r="A1233" s="14">
        <v>46083.74859981482</v>
      </c>
      <c r="B1233" s="15">
        <v>46083.0</v>
      </c>
      <c r="C1233" s="16">
        <v>0.09305555555329192</v>
      </c>
      <c r="U1233" s="17" t="s">
        <v>117</v>
      </c>
      <c r="V1233" s="17" t="s">
        <v>117</v>
      </c>
      <c r="W1233" s="17" t="s">
        <v>117</v>
      </c>
      <c r="AA1233" s="17" t="s">
        <v>109</v>
      </c>
      <c r="AT1233" s="17" t="s">
        <v>109</v>
      </c>
      <c r="AU1233" s="17" t="s">
        <v>76</v>
      </c>
      <c r="AZ1233" s="17" t="s">
        <v>182</v>
      </c>
      <c r="BA1233" s="17" t="s">
        <v>458</v>
      </c>
      <c r="BB1233" s="17" t="s">
        <v>109</v>
      </c>
      <c r="BP1233" s="17" t="s">
        <v>4570</v>
      </c>
      <c r="BR1233" s="24" t="str">
        <f t="shared" si="1"/>
        <v>Delicia multicusine restaurant </v>
      </c>
    </row>
    <row r="1234" ht="22.5" customHeight="1">
      <c r="A1234" s="14">
        <v>46083.75012405093</v>
      </c>
      <c r="B1234" s="15">
        <v>46083.0</v>
      </c>
      <c r="C1234" s="16">
        <v>0.75</v>
      </c>
      <c r="D1234" s="17" t="s">
        <v>91</v>
      </c>
      <c r="F1234" s="17">
        <v>50.0</v>
      </c>
      <c r="G1234" s="17">
        <v>200.0</v>
      </c>
      <c r="H1234" s="17" t="s">
        <v>388</v>
      </c>
      <c r="I1234" s="17">
        <v>30000.0</v>
      </c>
      <c r="J1234" s="17" t="s">
        <v>221</v>
      </c>
      <c r="K1234" s="17" t="s">
        <v>273</v>
      </c>
      <c r="L1234" s="17">
        <v>22.0</v>
      </c>
      <c r="M1234" s="17">
        <v>19.0</v>
      </c>
      <c r="N1234" s="17">
        <v>1.0</v>
      </c>
      <c r="O1234" s="17" t="s">
        <v>96</v>
      </c>
      <c r="P1234" s="17" t="s">
        <v>76</v>
      </c>
      <c r="Q1234" s="17" t="s">
        <v>97</v>
      </c>
      <c r="R1234" s="17" t="s">
        <v>76</v>
      </c>
      <c r="S1234" s="17" t="s">
        <v>388</v>
      </c>
      <c r="U1234" s="17" t="s">
        <v>956</v>
      </c>
      <c r="V1234" s="17" t="s">
        <v>388</v>
      </c>
      <c r="W1234" s="17" t="s">
        <v>388</v>
      </c>
      <c r="AA1234" s="17" t="s">
        <v>109</v>
      </c>
      <c r="AT1234" s="17" t="s">
        <v>388</v>
      </c>
      <c r="AU1234" s="17" t="s">
        <v>76</v>
      </c>
      <c r="AV1234" s="17" t="s">
        <v>271</v>
      </c>
      <c r="AZ1234" s="17" t="s">
        <v>131</v>
      </c>
      <c r="BA1234" s="17" t="s">
        <v>458</v>
      </c>
      <c r="BB1234" s="17" t="s">
        <v>76</v>
      </c>
      <c r="BL1234" s="17">
        <v>35.0</v>
      </c>
      <c r="BN1234" s="17" t="s">
        <v>865</v>
      </c>
      <c r="BP1234" s="17" t="s">
        <v>4571</v>
      </c>
      <c r="BR1234" s="24" t="str">
        <f t="shared" si="1"/>
        <v>Rayalaseema Karam Dosa</v>
      </c>
    </row>
    <row r="1235" ht="22.5" customHeight="1">
      <c r="A1235" s="14">
        <v>46083.75234157407</v>
      </c>
      <c r="B1235" s="15">
        <v>46083.0</v>
      </c>
      <c r="C1235" s="16">
        <v>0.5208333333357587</v>
      </c>
      <c r="D1235" s="17" t="s">
        <v>91</v>
      </c>
      <c r="F1235" s="17">
        <v>60.0</v>
      </c>
      <c r="G1235" s="17">
        <v>700.0</v>
      </c>
      <c r="H1235" s="17" t="s">
        <v>863</v>
      </c>
      <c r="I1235" s="17">
        <v>49000.0</v>
      </c>
      <c r="J1235" s="17" t="s">
        <v>167</v>
      </c>
      <c r="K1235" s="17" t="s">
        <v>95</v>
      </c>
      <c r="M1235" s="17">
        <v>22.0</v>
      </c>
      <c r="N1235" s="17">
        <v>1.0</v>
      </c>
      <c r="O1235" s="17" t="s">
        <v>135</v>
      </c>
      <c r="P1235" s="17" t="s">
        <v>76</v>
      </c>
      <c r="Q1235" s="17" t="s">
        <v>97</v>
      </c>
      <c r="R1235" s="17" t="s">
        <v>76</v>
      </c>
      <c r="S1235" s="17" t="s">
        <v>4572</v>
      </c>
      <c r="U1235" s="17" t="s">
        <v>4573</v>
      </c>
      <c r="V1235" s="17">
        <v>9.154999897E9</v>
      </c>
      <c r="W1235" s="17" t="s">
        <v>4574</v>
      </c>
      <c r="AA1235" s="17" t="s">
        <v>109</v>
      </c>
      <c r="AT1235" s="17" t="s">
        <v>4575</v>
      </c>
      <c r="AU1235" s="17" t="s">
        <v>76</v>
      </c>
      <c r="AV1235" s="17" t="s">
        <v>472</v>
      </c>
      <c r="AW1235" s="17" t="s">
        <v>4576</v>
      </c>
      <c r="AX1235" s="15">
        <v>46086.0</v>
      </c>
      <c r="AY1235" s="16">
        <v>0.5416666666642413</v>
      </c>
      <c r="AZ1235" s="17" t="s">
        <v>164</v>
      </c>
      <c r="BA1235" s="17" t="s">
        <v>458</v>
      </c>
      <c r="BB1235" s="17" t="s">
        <v>76</v>
      </c>
      <c r="BL1235" s="17">
        <v>70.0</v>
      </c>
      <c r="BN1235" s="17" t="s">
        <v>4577</v>
      </c>
      <c r="BP1235" s="17" t="s">
        <v>4578</v>
      </c>
      <c r="BR1235" s="24" t="str">
        <f t="shared" si="1"/>
        <v>Anmol continental</v>
      </c>
    </row>
    <row r="1236" ht="22.5" customHeight="1">
      <c r="A1236" s="14">
        <v>46083.754022256944</v>
      </c>
      <c r="B1236" s="15">
        <v>46083.0</v>
      </c>
      <c r="C1236" s="16">
        <v>0.5416666666642413</v>
      </c>
      <c r="U1236" s="17" t="s">
        <v>2630</v>
      </c>
      <c r="V1236" s="17" t="s">
        <v>4579</v>
      </c>
      <c r="W1236" s="17" t="s">
        <v>388</v>
      </c>
      <c r="AA1236" s="17" t="s">
        <v>109</v>
      </c>
      <c r="AT1236" s="17" t="s">
        <v>4580</v>
      </c>
      <c r="AU1236" s="17" t="s">
        <v>76</v>
      </c>
      <c r="AV1236" s="17" t="s">
        <v>472</v>
      </c>
      <c r="AW1236" s="17" t="s">
        <v>4581</v>
      </c>
      <c r="AX1236" s="15">
        <v>46085.0</v>
      </c>
      <c r="AY1236" s="16">
        <v>0.10416666666424135</v>
      </c>
      <c r="AZ1236" s="17" t="s">
        <v>164</v>
      </c>
      <c r="BA1236" s="17" t="s">
        <v>458</v>
      </c>
      <c r="BB1236" s="17" t="s">
        <v>109</v>
      </c>
      <c r="BP1236" s="17" t="s">
        <v>4582</v>
      </c>
      <c r="BR1236" s="24" t="str">
        <f t="shared" si="1"/>
        <v>Hare krishna family dhaba </v>
      </c>
    </row>
    <row r="1237" ht="22.5" customHeight="1">
      <c r="A1237" s="14">
        <v>46083.75932878473</v>
      </c>
      <c r="B1237" s="15">
        <v>46083.0</v>
      </c>
      <c r="C1237" s="16">
        <v>0.6041666666642413</v>
      </c>
      <c r="U1237" s="17" t="s">
        <v>3145</v>
      </c>
      <c r="V1237" s="17">
        <v>9.347536751E9</v>
      </c>
      <c r="W1237" s="17" t="s">
        <v>388</v>
      </c>
      <c r="AA1237" s="17" t="s">
        <v>109</v>
      </c>
      <c r="AT1237" s="17" t="s">
        <v>4583</v>
      </c>
      <c r="AU1237" s="17" t="s">
        <v>76</v>
      </c>
      <c r="AV1237" s="17" t="s">
        <v>472</v>
      </c>
      <c r="AW1237" s="17" t="s">
        <v>4584</v>
      </c>
      <c r="AX1237" s="15">
        <v>46085.0</v>
      </c>
      <c r="AY1237" s="16">
        <v>0.6458333333357587</v>
      </c>
      <c r="AZ1237" s="17" t="s">
        <v>164</v>
      </c>
      <c r="BA1237" s="17" t="s">
        <v>458</v>
      </c>
      <c r="BB1237" s="17" t="s">
        <v>109</v>
      </c>
      <c r="BP1237" s="17" t="s">
        <v>4585</v>
      </c>
      <c r="BR1237" s="24" t="str">
        <f t="shared" si="1"/>
        <v>Krishna tiffins and mess</v>
      </c>
    </row>
    <row r="1238" ht="22.5" customHeight="1">
      <c r="A1238" s="14">
        <v>46083.76832130787</v>
      </c>
      <c r="B1238" s="15">
        <v>46083.0</v>
      </c>
      <c r="C1238" s="16">
        <v>0.6458333333357587</v>
      </c>
      <c r="U1238" s="17" t="s">
        <v>957</v>
      </c>
      <c r="V1238" s="17" t="s">
        <v>388</v>
      </c>
      <c r="W1238" s="17" t="s">
        <v>388</v>
      </c>
      <c r="AA1238" s="17" t="s">
        <v>109</v>
      </c>
      <c r="AT1238" s="17" t="s">
        <v>4586</v>
      </c>
      <c r="AU1238" s="17" t="s">
        <v>76</v>
      </c>
      <c r="AV1238" s="17" t="s">
        <v>472</v>
      </c>
      <c r="AW1238" s="17" t="s">
        <v>2833</v>
      </c>
      <c r="AX1238" s="15">
        <v>46083.0</v>
      </c>
      <c r="AY1238" s="16">
        <v>0.29166666666424135</v>
      </c>
      <c r="AZ1238" s="17" t="s">
        <v>164</v>
      </c>
      <c r="BA1238" s="17" t="s">
        <v>458</v>
      </c>
      <c r="BB1238" s="17" t="s">
        <v>109</v>
      </c>
      <c r="BP1238" s="17" t="s">
        <v>4587</v>
      </c>
      <c r="BR1238" s="24" t="str">
        <f t="shared" si="1"/>
        <v>Hillstar</v>
      </c>
    </row>
    <row r="1239" ht="22.5" customHeight="1">
      <c r="A1239" s="14">
        <v>46083.782588194445</v>
      </c>
      <c r="B1239" s="15">
        <v>46083.0</v>
      </c>
      <c r="C1239" s="16">
        <v>0.625</v>
      </c>
      <c r="D1239" s="17" t="s">
        <v>91</v>
      </c>
      <c r="F1239" s="17">
        <v>30.0</v>
      </c>
      <c r="G1239" s="17">
        <v>300.0</v>
      </c>
      <c r="H1239" s="17" t="s">
        <v>388</v>
      </c>
      <c r="I1239" s="17">
        <v>30000.0</v>
      </c>
      <c r="J1239" s="17" t="s">
        <v>221</v>
      </c>
      <c r="K1239" s="17" t="s">
        <v>273</v>
      </c>
      <c r="L1239" s="17">
        <v>22.0</v>
      </c>
      <c r="M1239" s="17">
        <v>20.0</v>
      </c>
      <c r="N1239" s="17">
        <v>3.0</v>
      </c>
      <c r="O1239" s="17" t="s">
        <v>96</v>
      </c>
      <c r="P1239" s="17" t="s">
        <v>76</v>
      </c>
      <c r="Q1239" s="17" t="s">
        <v>97</v>
      </c>
      <c r="R1239" s="17" t="s">
        <v>76</v>
      </c>
      <c r="S1239" s="17" t="s">
        <v>388</v>
      </c>
      <c r="U1239" s="17" t="s">
        <v>4588</v>
      </c>
      <c r="V1239" s="17">
        <v>9.182984761E9</v>
      </c>
      <c r="W1239" s="17" t="s">
        <v>388</v>
      </c>
      <c r="AA1239" s="17" t="s">
        <v>109</v>
      </c>
      <c r="AT1239" s="17" t="s">
        <v>388</v>
      </c>
      <c r="AU1239" s="17" t="s">
        <v>76</v>
      </c>
      <c r="AV1239" s="17" t="s">
        <v>472</v>
      </c>
      <c r="AX1239" s="15">
        <v>46086.0</v>
      </c>
      <c r="AY1239" s="16">
        <v>0.625</v>
      </c>
      <c r="AZ1239" s="17" t="s">
        <v>131</v>
      </c>
      <c r="BA1239" s="17" t="s">
        <v>458</v>
      </c>
      <c r="BB1239" s="17" t="s">
        <v>76</v>
      </c>
      <c r="BL1239" s="17">
        <v>30.0</v>
      </c>
      <c r="BN1239" s="17" t="s">
        <v>865</v>
      </c>
      <c r="BP1239" s="17" t="s">
        <v>4589</v>
      </c>
      <c r="BR1239" s="24" t="str">
        <f t="shared" si="1"/>
        <v>Arambam </v>
      </c>
    </row>
    <row r="1240" ht="22.5" customHeight="1">
      <c r="A1240" s="14">
        <v>46083.785184803244</v>
      </c>
      <c r="B1240" s="15">
        <v>46083.0</v>
      </c>
      <c r="C1240" s="16">
        <v>0.6666666666642413</v>
      </c>
      <c r="D1240" s="17" t="s">
        <v>91</v>
      </c>
      <c r="F1240" s="17">
        <v>50.0</v>
      </c>
      <c r="G1240" s="17">
        <v>200.0</v>
      </c>
      <c r="H1240" s="17" t="s">
        <v>388</v>
      </c>
      <c r="I1240" s="17">
        <v>40000.0</v>
      </c>
      <c r="J1240" s="17" t="s">
        <v>94</v>
      </c>
      <c r="K1240" s="17" t="s">
        <v>273</v>
      </c>
      <c r="L1240" s="17">
        <v>22.0</v>
      </c>
      <c r="M1240" s="17">
        <v>20.0</v>
      </c>
      <c r="N1240" s="17">
        <v>1.0</v>
      </c>
      <c r="O1240" s="17" t="s">
        <v>96</v>
      </c>
      <c r="P1240" s="17" t="s">
        <v>76</v>
      </c>
      <c r="Q1240" s="17" t="s">
        <v>97</v>
      </c>
      <c r="R1240" s="17" t="s">
        <v>76</v>
      </c>
      <c r="S1240" s="17" t="s">
        <v>388</v>
      </c>
      <c r="U1240" s="17" t="s">
        <v>4590</v>
      </c>
      <c r="V1240" s="17" t="s">
        <v>388</v>
      </c>
      <c r="W1240" s="17" t="s">
        <v>388</v>
      </c>
      <c r="AA1240" s="17" t="s">
        <v>109</v>
      </c>
      <c r="AT1240" s="17" t="s">
        <v>388</v>
      </c>
      <c r="AU1240" s="17" t="s">
        <v>76</v>
      </c>
      <c r="AV1240" s="17" t="s">
        <v>271</v>
      </c>
      <c r="AZ1240" s="17" t="s">
        <v>131</v>
      </c>
      <c r="BA1240" s="17" t="s">
        <v>458</v>
      </c>
      <c r="BB1240" s="17" t="s">
        <v>76</v>
      </c>
      <c r="BL1240" s="17">
        <v>15.0</v>
      </c>
      <c r="BN1240" s="17" t="s">
        <v>4564</v>
      </c>
      <c r="BP1240" s="17" t="s">
        <v>4591</v>
      </c>
      <c r="BR1240" s="24" t="str">
        <f t="shared" si="1"/>
        <v>Cafe Hyd</v>
      </c>
    </row>
    <row r="1241" ht="22.5" customHeight="1">
      <c r="A1241" s="14">
        <v>46083.88548570602</v>
      </c>
      <c r="B1241" s="15">
        <v>46083.0</v>
      </c>
      <c r="C1241" s="16">
        <v>0.6145833333357587</v>
      </c>
      <c r="U1241" s="17" t="s">
        <v>4592</v>
      </c>
      <c r="V1241" s="17">
        <v>8.801417049E9</v>
      </c>
      <c r="W1241" s="17" t="s">
        <v>113</v>
      </c>
      <c r="AA1241" s="17" t="s">
        <v>76</v>
      </c>
      <c r="AB1241" s="17">
        <v>2.3624030000025E13</v>
      </c>
      <c r="AC1241" s="18" t="s">
        <v>4593</v>
      </c>
      <c r="AF1241" s="17" t="s">
        <v>4594</v>
      </c>
      <c r="AG1241" s="18" t="s">
        <v>4595</v>
      </c>
      <c r="AO1241" s="17" t="s">
        <v>4596</v>
      </c>
      <c r="AP1241" s="17">
        <v>8.801417049E9</v>
      </c>
      <c r="AS1241" s="17" t="s">
        <v>76</v>
      </c>
      <c r="AT1241" s="17" t="s">
        <v>193</v>
      </c>
      <c r="AU1241" s="17" t="s">
        <v>109</v>
      </c>
      <c r="AZ1241" s="17" t="s">
        <v>164</v>
      </c>
      <c r="BA1241" s="17" t="s">
        <v>458</v>
      </c>
      <c r="BB1241" s="17" t="s">
        <v>109</v>
      </c>
      <c r="BH1241" s="17">
        <v>22.0</v>
      </c>
      <c r="BI1241" s="17" t="s">
        <v>109</v>
      </c>
      <c r="BJ1241" s="16">
        <v>0.5</v>
      </c>
      <c r="BK1241" s="16">
        <v>0.9791666666642413</v>
      </c>
      <c r="BM1241" s="17" t="s">
        <v>4597</v>
      </c>
      <c r="BP1241" s="17" t="s">
        <v>4598</v>
      </c>
      <c r="BR1241" s="24" t="str">
        <f t="shared" si="1"/>
        <v> cheese and mix kitchen</v>
      </c>
    </row>
    <row r="1242" ht="22.5" customHeight="1">
      <c r="A1242" s="14">
        <v>46083.887102256944</v>
      </c>
      <c r="B1242" s="15">
        <v>46083.0</v>
      </c>
      <c r="C1242" s="16">
        <v>0.65625</v>
      </c>
      <c r="U1242" s="17" t="s">
        <v>4599</v>
      </c>
      <c r="V1242" s="17">
        <v>9.490422404E9</v>
      </c>
      <c r="W1242" s="17" t="s">
        <v>117</v>
      </c>
      <c r="AA1242" s="17" t="s">
        <v>109</v>
      </c>
      <c r="AT1242" s="17" t="s">
        <v>4600</v>
      </c>
      <c r="AU1242" s="17" t="s">
        <v>76</v>
      </c>
      <c r="AV1242" s="17" t="s">
        <v>114</v>
      </c>
      <c r="AW1242" s="17" t="s">
        <v>4601</v>
      </c>
      <c r="AX1242" s="15">
        <v>46086.0</v>
      </c>
      <c r="AY1242" s="16">
        <v>0.6041666666642413</v>
      </c>
      <c r="AZ1242" s="17" t="s">
        <v>164</v>
      </c>
      <c r="BA1242" s="17" t="s">
        <v>458</v>
      </c>
      <c r="BB1242" s="17" t="s">
        <v>109</v>
      </c>
      <c r="BP1242" s="17" t="s">
        <v>4602</v>
      </c>
      <c r="BR1242" s="24" t="str">
        <f t="shared" si="1"/>
        <v>HARIKA MESS</v>
      </c>
    </row>
    <row r="1243" ht="22.5" customHeight="1">
      <c r="A1243" s="14">
        <v>46083.888626678236</v>
      </c>
      <c r="B1243" s="15">
        <v>46083.0</v>
      </c>
      <c r="C1243" s="16">
        <v>0.7291666666642413</v>
      </c>
      <c r="U1243" s="17" t="s">
        <v>4603</v>
      </c>
      <c r="V1243" s="17">
        <v>9.989859992E9</v>
      </c>
      <c r="W1243" s="17" t="s">
        <v>117</v>
      </c>
      <c r="AA1243" s="17" t="s">
        <v>109</v>
      </c>
      <c r="AT1243" s="17" t="s">
        <v>3442</v>
      </c>
      <c r="AU1243" s="17" t="s">
        <v>76</v>
      </c>
      <c r="AV1243" s="17" t="s">
        <v>472</v>
      </c>
      <c r="AW1243" s="17" t="s">
        <v>850</v>
      </c>
      <c r="AX1243" s="15">
        <v>46084.0</v>
      </c>
      <c r="AY1243" s="16">
        <v>0.75</v>
      </c>
      <c r="AZ1243" s="17" t="s">
        <v>164</v>
      </c>
      <c r="BA1243" s="17" t="s">
        <v>458</v>
      </c>
      <c r="BB1243" s="17" t="s">
        <v>109</v>
      </c>
      <c r="BP1243" s="17" t="s">
        <v>4604</v>
      </c>
      <c r="BR1243" s="24" t="str">
        <f t="shared" si="1"/>
        <v>sri sai food court </v>
      </c>
    </row>
    <row r="1244" ht="22.5" customHeight="1">
      <c r="A1244" s="14">
        <v>46083.89130886574</v>
      </c>
      <c r="B1244" s="15">
        <v>46083.0</v>
      </c>
      <c r="C1244" s="16">
        <v>0.7916666666642413</v>
      </c>
      <c r="D1244" s="17" t="s">
        <v>111</v>
      </c>
      <c r="T1244" s="17" t="s">
        <v>4605</v>
      </c>
      <c r="U1244" s="17" t="s">
        <v>4606</v>
      </c>
      <c r="V1244" s="17">
        <v>8.297858217E9</v>
      </c>
      <c r="W1244" s="17" t="s">
        <v>117</v>
      </c>
      <c r="AA1244" s="17" t="s">
        <v>109</v>
      </c>
      <c r="AT1244" s="17" t="s">
        <v>4607</v>
      </c>
      <c r="AU1244" s="17" t="s">
        <v>76</v>
      </c>
      <c r="AV1244" s="17" t="s">
        <v>271</v>
      </c>
      <c r="AW1244" s="17" t="s">
        <v>4608</v>
      </c>
      <c r="AX1244" s="15">
        <v>46084.0</v>
      </c>
      <c r="AY1244" s="16">
        <v>0.7916666666642413</v>
      </c>
      <c r="AZ1244" s="17" t="s">
        <v>164</v>
      </c>
      <c r="BA1244" s="17" t="s">
        <v>458</v>
      </c>
      <c r="BB1244" s="17" t="s">
        <v>76</v>
      </c>
      <c r="BP1244" s="17" t="s">
        <v>4605</v>
      </c>
      <c r="BR1244" s="24" t="str">
        <f t="shared" si="1"/>
        <v>hillstar hillstar </v>
      </c>
    </row>
    <row r="1245" ht="22.5" customHeight="1">
      <c r="A1245" s="14">
        <v>46083.91713877315</v>
      </c>
      <c r="B1245" s="15">
        <v>46083.0</v>
      </c>
      <c r="C1245" s="16">
        <v>0.07152777777810115</v>
      </c>
      <c r="U1245" s="17" t="s">
        <v>4343</v>
      </c>
      <c r="V1245" s="17">
        <v>6.301944159E9</v>
      </c>
      <c r="W1245" s="17" t="s">
        <v>113</v>
      </c>
      <c r="AA1245" s="17" t="s">
        <v>109</v>
      </c>
      <c r="AT1245" s="17" t="s">
        <v>4609</v>
      </c>
      <c r="AU1245" s="17" t="s">
        <v>76</v>
      </c>
      <c r="AV1245" s="17" t="s">
        <v>271</v>
      </c>
      <c r="AZ1245" s="17" t="s">
        <v>3034</v>
      </c>
      <c r="BA1245" s="17" t="s">
        <v>458</v>
      </c>
      <c r="BB1245" s="17" t="s">
        <v>109</v>
      </c>
      <c r="BP1245" s="17" t="s">
        <v>4610</v>
      </c>
      <c r="BR1245" s="24" t="str">
        <f t="shared" si="1"/>
        <v>Dumont Creamery</v>
      </c>
    </row>
    <row r="1246" ht="22.5" customHeight="1">
      <c r="A1246" s="14">
        <v>46083.918546898145</v>
      </c>
      <c r="B1246" s="15">
        <v>46083.0</v>
      </c>
      <c r="C1246" s="16">
        <v>0.12430555555329192</v>
      </c>
      <c r="U1246" s="17" t="s">
        <v>113</v>
      </c>
      <c r="V1246" s="17" t="s">
        <v>113</v>
      </c>
      <c r="W1246" s="17" t="s">
        <v>113</v>
      </c>
      <c r="AA1246" s="17" t="s">
        <v>109</v>
      </c>
      <c r="AT1246" s="17" t="s">
        <v>4611</v>
      </c>
      <c r="AU1246" s="17" t="s">
        <v>76</v>
      </c>
      <c r="AV1246" s="17" t="s">
        <v>271</v>
      </c>
      <c r="AZ1246" s="17" t="s">
        <v>3034</v>
      </c>
      <c r="BA1246" s="17" t="s">
        <v>458</v>
      </c>
      <c r="BB1246" s="17" t="s">
        <v>109</v>
      </c>
      <c r="BP1246" s="17" t="s">
        <v>4612</v>
      </c>
      <c r="BR1246" s="24" t="str">
        <f t="shared" si="1"/>
        <v>Swadist Super Sweets &amp; Restaurant</v>
      </c>
    </row>
    <row r="1247" ht="22.5" customHeight="1">
      <c r="A1247" s="14">
        <v>46083.91978869213</v>
      </c>
      <c r="B1247" s="15">
        <v>46083.0</v>
      </c>
      <c r="C1247" s="16">
        <v>0.1430555555562023</v>
      </c>
      <c r="U1247" s="17" t="s">
        <v>4613</v>
      </c>
      <c r="V1247" s="17">
        <v>8.686503599E9</v>
      </c>
      <c r="W1247" s="17" t="s">
        <v>113</v>
      </c>
      <c r="AA1247" s="17" t="s">
        <v>109</v>
      </c>
      <c r="AT1247" s="17" t="s">
        <v>4614</v>
      </c>
      <c r="AU1247" s="17" t="s">
        <v>76</v>
      </c>
      <c r="AV1247" s="17" t="s">
        <v>271</v>
      </c>
      <c r="AZ1247" s="17" t="s">
        <v>3034</v>
      </c>
      <c r="BA1247" s="17" t="s">
        <v>458</v>
      </c>
      <c r="BB1247" s="17" t="s">
        <v>109</v>
      </c>
      <c r="BP1247" s="17" t="s">
        <v>4615</v>
      </c>
      <c r="BR1247" s="24" t="str">
        <f t="shared" si="1"/>
        <v>Friends N Cafe</v>
      </c>
    </row>
    <row r="1248" ht="22.5" customHeight="1">
      <c r="A1248" s="14">
        <v>46083.922217141204</v>
      </c>
      <c r="B1248" s="15">
        <v>46083.0</v>
      </c>
      <c r="C1248" s="16">
        <v>0.1930555555591127</v>
      </c>
      <c r="U1248" s="17" t="s">
        <v>4616</v>
      </c>
      <c r="V1248" s="17">
        <v>8.801417049E9</v>
      </c>
      <c r="W1248" s="17" t="s">
        <v>113</v>
      </c>
      <c r="AA1248" s="17" t="s">
        <v>109</v>
      </c>
      <c r="AT1248" s="17" t="s">
        <v>113</v>
      </c>
      <c r="AU1248" s="17" t="s">
        <v>109</v>
      </c>
      <c r="AZ1248" s="17" t="s">
        <v>3034</v>
      </c>
      <c r="BA1248" s="17" t="s">
        <v>458</v>
      </c>
      <c r="BB1248" s="17" t="s">
        <v>109</v>
      </c>
      <c r="BP1248" s="17" t="s">
        <v>4617</v>
      </c>
      <c r="BR1248" s="24" t="str">
        <f t="shared" si="1"/>
        <v>Mohammedia Shawarma</v>
      </c>
    </row>
    <row r="1249" ht="22.5" customHeight="1">
      <c r="A1249" s="14">
        <v>46083.92356633102</v>
      </c>
      <c r="B1249" s="15">
        <v>46083.0</v>
      </c>
      <c r="C1249" s="16">
        <v>0.21180555555474712</v>
      </c>
      <c r="U1249" s="17" t="s">
        <v>117</v>
      </c>
      <c r="V1249" s="17" t="s">
        <v>117</v>
      </c>
      <c r="W1249" s="17" t="s">
        <v>117</v>
      </c>
      <c r="AA1249" s="17" t="s">
        <v>109</v>
      </c>
      <c r="AT1249" s="17" t="s">
        <v>4618</v>
      </c>
      <c r="AU1249" s="17" t="s">
        <v>109</v>
      </c>
      <c r="AZ1249" s="17" t="s">
        <v>3034</v>
      </c>
      <c r="BA1249" s="17" t="s">
        <v>458</v>
      </c>
      <c r="BB1249" s="17" t="s">
        <v>109</v>
      </c>
      <c r="BP1249" s="17" t="s">
        <v>4619</v>
      </c>
      <c r="BR1249" s="24" t="str">
        <f t="shared" si="1"/>
        <v>By the BAY</v>
      </c>
    </row>
    <row r="1250" ht="22.5" customHeight="1">
      <c r="A1250" s="14">
        <v>46083.92437001158</v>
      </c>
      <c r="B1250" s="15">
        <v>46083.0</v>
      </c>
      <c r="C1250" s="16">
        <v>0.23750000000291038</v>
      </c>
      <c r="U1250" s="17" t="s">
        <v>4620</v>
      </c>
      <c r="V1250" s="17">
        <v>9.01405136E9</v>
      </c>
      <c r="W1250" s="17" t="s">
        <v>113</v>
      </c>
      <c r="AA1250" s="17" t="s">
        <v>109</v>
      </c>
      <c r="AT1250" s="17" t="s">
        <v>4621</v>
      </c>
      <c r="AU1250" s="17" t="s">
        <v>109</v>
      </c>
      <c r="AZ1250" s="17" t="s">
        <v>3034</v>
      </c>
      <c r="BA1250" s="17" t="s">
        <v>458</v>
      </c>
      <c r="BB1250" s="17" t="s">
        <v>109</v>
      </c>
      <c r="BP1250" s="17" t="s">
        <v>4622</v>
      </c>
      <c r="BR1250" s="24" t="str">
        <f t="shared" si="1"/>
        <v>7 Sauces</v>
      </c>
    </row>
    <row r="1251" ht="22.5" customHeight="1">
      <c r="A1251" s="14">
        <v>46083.925050254635</v>
      </c>
      <c r="B1251" s="15">
        <v>46083.0</v>
      </c>
      <c r="C1251" s="16">
        <v>0.24305555555474712</v>
      </c>
      <c r="U1251" s="17" t="s">
        <v>4623</v>
      </c>
      <c r="V1251" s="17">
        <v>8.688612955E9</v>
      </c>
      <c r="W1251" s="17" t="s">
        <v>113</v>
      </c>
      <c r="AA1251" s="17" t="s">
        <v>109</v>
      </c>
      <c r="AT1251" s="17" t="s">
        <v>4624</v>
      </c>
      <c r="AU1251" s="17" t="s">
        <v>76</v>
      </c>
      <c r="AZ1251" s="17" t="s">
        <v>3034</v>
      </c>
      <c r="BA1251" s="17" t="s">
        <v>458</v>
      </c>
      <c r="BB1251" s="17" t="s">
        <v>109</v>
      </c>
      <c r="BP1251" s="17" t="s">
        <v>4625</v>
      </c>
      <c r="BR1251" s="24" t="str">
        <f t="shared" si="1"/>
        <v>Scoops</v>
      </c>
    </row>
    <row r="1252" ht="22.5" customHeight="1">
      <c r="A1252" s="14">
        <v>46083.92586707176</v>
      </c>
      <c r="B1252" s="15">
        <v>46083.0</v>
      </c>
      <c r="C1252" s="16">
        <v>0.25</v>
      </c>
      <c r="U1252" s="17" t="s">
        <v>113</v>
      </c>
      <c r="V1252" s="17" t="s">
        <v>113</v>
      </c>
      <c r="W1252" s="17" t="s">
        <v>113</v>
      </c>
      <c r="AA1252" s="17" t="s">
        <v>109</v>
      </c>
      <c r="AT1252" s="17" t="s">
        <v>4626</v>
      </c>
      <c r="AU1252" s="17" t="s">
        <v>109</v>
      </c>
      <c r="AZ1252" s="17" t="s">
        <v>3034</v>
      </c>
      <c r="BA1252" s="17" t="s">
        <v>458</v>
      </c>
      <c r="BB1252" s="17" t="s">
        <v>109</v>
      </c>
      <c r="BP1252" s="17" t="s">
        <v>4627</v>
      </c>
      <c r="BR1252" s="24" t="str">
        <f t="shared" si="1"/>
        <v>Chicha's</v>
      </c>
    </row>
    <row r="1253" ht="22.5" customHeight="1">
      <c r="A1253" s="14">
        <v>46083.92676785879</v>
      </c>
      <c r="B1253" s="15">
        <v>46083.0</v>
      </c>
      <c r="C1253" s="16">
        <v>0.2743055555547471</v>
      </c>
      <c r="U1253" s="17" t="s">
        <v>4628</v>
      </c>
      <c r="V1253" s="17">
        <v>8.8018589E9</v>
      </c>
      <c r="W1253" s="17" t="s">
        <v>113</v>
      </c>
      <c r="AA1253" s="17" t="s">
        <v>109</v>
      </c>
      <c r="AT1253" s="17" t="s">
        <v>4629</v>
      </c>
      <c r="AU1253" s="17" t="s">
        <v>109</v>
      </c>
      <c r="AZ1253" s="17" t="s">
        <v>3034</v>
      </c>
      <c r="BA1253" s="17" t="s">
        <v>458</v>
      </c>
      <c r="BB1253" s="17" t="s">
        <v>109</v>
      </c>
      <c r="BP1253" s="17" t="s">
        <v>4630</v>
      </c>
      <c r="BR1253" s="24" t="str">
        <f t="shared" si="1"/>
        <v>Kathmandu Momos</v>
      </c>
    </row>
    <row r="1254" ht="22.5" customHeight="1">
      <c r="A1254" s="14">
        <v>46083.93804670139</v>
      </c>
      <c r="B1254" s="15">
        <v>46083.0</v>
      </c>
      <c r="C1254" s="16">
        <v>0.09027777778101154</v>
      </c>
      <c r="D1254" s="17" t="s">
        <v>91</v>
      </c>
      <c r="F1254" s="17">
        <v>10.0</v>
      </c>
      <c r="G1254" s="17">
        <v>300.0</v>
      </c>
      <c r="H1254" s="17" t="s">
        <v>113</v>
      </c>
      <c r="J1254" s="17" t="s">
        <v>4631</v>
      </c>
      <c r="K1254" s="17" t="s">
        <v>134</v>
      </c>
      <c r="M1254" s="17">
        <v>20.0</v>
      </c>
      <c r="N1254" s="17">
        <v>1.0</v>
      </c>
      <c r="O1254" s="17" t="s">
        <v>96</v>
      </c>
      <c r="P1254" s="17" t="s">
        <v>109</v>
      </c>
      <c r="Q1254" s="17" t="s">
        <v>97</v>
      </c>
      <c r="R1254" s="17" t="s">
        <v>109</v>
      </c>
      <c r="S1254" s="17" t="s">
        <v>113</v>
      </c>
      <c r="U1254" s="17" t="s">
        <v>4632</v>
      </c>
      <c r="V1254" s="17" t="s">
        <v>4633</v>
      </c>
      <c r="W1254" s="17" t="s">
        <v>4634</v>
      </c>
      <c r="AA1254" s="17" t="s">
        <v>76</v>
      </c>
      <c r="AB1254" s="17">
        <v>2.3624030000025E13</v>
      </c>
      <c r="AC1254" s="18" t="s">
        <v>4635</v>
      </c>
      <c r="AD1254" s="17" t="s">
        <v>113</v>
      </c>
      <c r="AF1254" s="17" t="s">
        <v>4594</v>
      </c>
      <c r="AG1254" s="18" t="s">
        <v>4636</v>
      </c>
      <c r="AH1254" s="17" t="s">
        <v>117</v>
      </c>
      <c r="AK1254" s="18" t="s">
        <v>4637</v>
      </c>
      <c r="AL1254" s="17">
        <v>9.21010003523141E14</v>
      </c>
      <c r="AM1254" s="17" t="s">
        <v>4638</v>
      </c>
      <c r="AN1254" s="17" t="s">
        <v>4639</v>
      </c>
      <c r="AO1254" s="17" t="s">
        <v>4639</v>
      </c>
      <c r="AP1254" s="17">
        <v>8.801417049E9</v>
      </c>
      <c r="AQ1254" s="17" t="s">
        <v>4634</v>
      </c>
      <c r="AR1254" s="17" t="s">
        <v>4639</v>
      </c>
      <c r="AS1254" s="17" t="s">
        <v>76</v>
      </c>
      <c r="AT1254" s="17" t="s">
        <v>3797</v>
      </c>
      <c r="AU1254" s="17" t="s">
        <v>76</v>
      </c>
      <c r="AZ1254" s="17" t="s">
        <v>3034</v>
      </c>
      <c r="BA1254" s="17" t="s">
        <v>458</v>
      </c>
      <c r="BB1254" s="17" t="s">
        <v>76</v>
      </c>
      <c r="BH1254" s="17">
        <v>20.0</v>
      </c>
      <c r="BI1254" s="17" t="s">
        <v>109</v>
      </c>
      <c r="BJ1254" s="16">
        <v>0.45833333333575865</v>
      </c>
      <c r="BK1254" s="16">
        <v>0.45833333333575865</v>
      </c>
      <c r="BM1254" s="17" t="s">
        <v>4640</v>
      </c>
      <c r="BN1254" s="17" t="s">
        <v>4577</v>
      </c>
      <c r="BP1254" s="17" t="s">
        <v>4617</v>
      </c>
      <c r="BR1254" s="24" t="str">
        <f t="shared" si="1"/>
        <v>Mohammedia Shawarma</v>
      </c>
    </row>
    <row r="1255" ht="22.5" customHeight="1">
      <c r="A1255" s="14">
        <v>46083.94374295139</v>
      </c>
      <c r="B1255" s="15">
        <v>46083.0</v>
      </c>
      <c r="C1255" s="16">
        <v>0.5</v>
      </c>
      <c r="D1255" s="17" t="s">
        <v>91</v>
      </c>
      <c r="F1255" s="17">
        <v>60.0</v>
      </c>
      <c r="G1255" s="17">
        <v>400.0</v>
      </c>
      <c r="H1255" s="17" t="s">
        <v>291</v>
      </c>
      <c r="J1255" s="17" t="s">
        <v>94</v>
      </c>
      <c r="K1255" s="17" t="s">
        <v>515</v>
      </c>
      <c r="N1255" s="17">
        <v>2.0</v>
      </c>
      <c r="O1255" s="17" t="s">
        <v>96</v>
      </c>
      <c r="P1255" s="17" t="s">
        <v>76</v>
      </c>
      <c r="Q1255" s="17" t="s">
        <v>97</v>
      </c>
      <c r="R1255" s="17" t="s">
        <v>76</v>
      </c>
      <c r="S1255" s="17" t="s">
        <v>113</v>
      </c>
      <c r="U1255" s="17" t="s">
        <v>4641</v>
      </c>
      <c r="V1255" s="17">
        <v>9.030058654E9</v>
      </c>
      <c r="W1255" s="17" t="s">
        <v>3808</v>
      </c>
      <c r="AA1255" s="17" t="s">
        <v>76</v>
      </c>
      <c r="AB1255" s="17">
        <v>1.362401000017E13</v>
      </c>
      <c r="AC1255" s="18" t="s">
        <v>4642</v>
      </c>
      <c r="AD1255" s="17" t="s">
        <v>4643</v>
      </c>
      <c r="AE1255" s="18" t="s">
        <v>4644</v>
      </c>
      <c r="AF1255" s="17" t="s">
        <v>3812</v>
      </c>
      <c r="AG1255" s="18" t="s">
        <v>4645</v>
      </c>
      <c r="AL1255" s="17">
        <v>1.97405500141E11</v>
      </c>
      <c r="AM1255" s="17" t="s">
        <v>4646</v>
      </c>
      <c r="AN1255" s="17" t="s">
        <v>3816</v>
      </c>
      <c r="AP1255" s="17">
        <v>9.030058654E9</v>
      </c>
      <c r="AQ1255" s="17" t="s">
        <v>3808</v>
      </c>
      <c r="AR1255" s="17" t="s">
        <v>3816</v>
      </c>
      <c r="AS1255" s="17" t="s">
        <v>76</v>
      </c>
      <c r="AT1255" s="17" t="s">
        <v>4647</v>
      </c>
      <c r="AU1255" s="17" t="s">
        <v>76</v>
      </c>
      <c r="AZ1255" s="17" t="s">
        <v>3034</v>
      </c>
      <c r="BA1255" s="17" t="s">
        <v>458</v>
      </c>
      <c r="BB1255" s="17" t="s">
        <v>76</v>
      </c>
      <c r="BH1255" s="17">
        <v>22.0</v>
      </c>
      <c r="BI1255" s="17" t="s">
        <v>109</v>
      </c>
      <c r="BJ1255" s="16">
        <v>0.45833333333575865</v>
      </c>
      <c r="BK1255" s="16">
        <v>0.45833333333575865</v>
      </c>
      <c r="BM1255" s="17" t="s">
        <v>4648</v>
      </c>
      <c r="BN1255" s="17" t="s">
        <v>4036</v>
      </c>
      <c r="BP1255" s="17" t="s">
        <v>4649</v>
      </c>
      <c r="BR1255" s="24" t="str">
        <f t="shared" si="1"/>
        <v>The Boat house</v>
      </c>
    </row>
    <row r="1256" ht="22.5" customHeight="1">
      <c r="A1256" s="14">
        <v>46084.481622928244</v>
      </c>
      <c r="B1256" s="15">
        <v>46084.0</v>
      </c>
      <c r="C1256" s="16">
        <v>0.4805555555576575</v>
      </c>
      <c r="U1256" s="17" t="s">
        <v>388</v>
      </c>
      <c r="V1256" s="17">
        <v>9.701997097E9</v>
      </c>
      <c r="W1256" s="17" t="s">
        <v>388</v>
      </c>
      <c r="AA1256" s="17" t="s">
        <v>109</v>
      </c>
      <c r="AT1256" s="17" t="s">
        <v>4650</v>
      </c>
      <c r="AU1256" s="17" t="s">
        <v>109</v>
      </c>
      <c r="AZ1256" s="17" t="s">
        <v>243</v>
      </c>
      <c r="BA1256" s="17" t="s">
        <v>458</v>
      </c>
      <c r="BB1256" s="17" t="s">
        <v>109</v>
      </c>
      <c r="BP1256" s="17" t="s">
        <v>4651</v>
      </c>
      <c r="BR1256" s="24" t="str">
        <f t="shared" si="1"/>
        <v>Swaad curries and tiffins </v>
      </c>
    </row>
    <row r="1257" ht="22.5" customHeight="1">
      <c r="A1257" s="14">
        <v>46084.48749266204</v>
      </c>
      <c r="B1257" s="15">
        <v>46084.0</v>
      </c>
      <c r="C1257" s="16">
        <v>0.48611111110949423</v>
      </c>
      <c r="U1257" s="17" t="s">
        <v>4652</v>
      </c>
      <c r="V1257" s="17">
        <v>9.652727251E9</v>
      </c>
      <c r="W1257" s="17" t="s">
        <v>388</v>
      </c>
      <c r="AA1257" s="17" t="s">
        <v>109</v>
      </c>
      <c r="AT1257" s="17" t="s">
        <v>4653</v>
      </c>
      <c r="AU1257" s="17" t="s">
        <v>76</v>
      </c>
      <c r="AZ1257" s="17" t="s">
        <v>243</v>
      </c>
      <c r="BA1257" s="17" t="s">
        <v>458</v>
      </c>
      <c r="BB1257" s="17" t="s">
        <v>109</v>
      </c>
      <c r="BP1257" s="17" t="s">
        <v>4654</v>
      </c>
      <c r="BR1257" s="24" t="str">
        <f t="shared" si="1"/>
        <v>Idv kitchen </v>
      </c>
    </row>
    <row r="1258" ht="22.5" customHeight="1">
      <c r="A1258" s="14">
        <v>46084.488286817126</v>
      </c>
      <c r="B1258" s="15">
        <v>46084.0</v>
      </c>
      <c r="C1258" s="16">
        <v>0.4875000000029104</v>
      </c>
      <c r="U1258" s="17" t="s">
        <v>2055</v>
      </c>
      <c r="V1258" s="17">
        <v>9.550045222E9</v>
      </c>
      <c r="W1258" s="17" t="s">
        <v>388</v>
      </c>
      <c r="AA1258" s="17" t="s">
        <v>109</v>
      </c>
      <c r="AT1258" s="17" t="s">
        <v>4655</v>
      </c>
      <c r="AU1258" s="17" t="s">
        <v>76</v>
      </c>
      <c r="AZ1258" s="17" t="s">
        <v>243</v>
      </c>
      <c r="BA1258" s="17" t="s">
        <v>458</v>
      </c>
      <c r="BB1258" s="17" t="s">
        <v>109</v>
      </c>
      <c r="BP1258" s="17" t="s">
        <v>4656</v>
      </c>
      <c r="BR1258" s="24" t="str">
        <f t="shared" si="1"/>
        <v>Muntha masala </v>
      </c>
    </row>
    <row r="1259" ht="22.5" customHeight="1">
      <c r="A1259" s="14">
        <v>46084.48960748843</v>
      </c>
      <c r="B1259" s="15">
        <v>46084.0</v>
      </c>
      <c r="C1259" s="16">
        <v>0.47916666666424135</v>
      </c>
      <c r="U1259" s="17" t="s">
        <v>117</v>
      </c>
      <c r="V1259" s="17" t="s">
        <v>117</v>
      </c>
      <c r="W1259" s="17" t="s">
        <v>117</v>
      </c>
      <c r="X1259" s="17" t="s">
        <v>117</v>
      </c>
      <c r="AA1259" s="17" t="s">
        <v>109</v>
      </c>
      <c r="AT1259" s="17" t="s">
        <v>109</v>
      </c>
      <c r="AU1259" s="17" t="s">
        <v>76</v>
      </c>
      <c r="AV1259" s="17" t="s">
        <v>271</v>
      </c>
      <c r="AZ1259" s="17" t="s">
        <v>182</v>
      </c>
      <c r="BA1259" s="17" t="s">
        <v>458</v>
      </c>
      <c r="BB1259" s="17" t="s">
        <v>109</v>
      </c>
      <c r="BP1259" s="17" t="s">
        <v>4657</v>
      </c>
      <c r="BR1259" s="24" t="str">
        <f t="shared" si="1"/>
        <v>Lucky Restaurant </v>
      </c>
    </row>
    <row r="1260" ht="22.5" customHeight="1">
      <c r="A1260" s="14">
        <v>46084.49063760416</v>
      </c>
      <c r="B1260" s="15">
        <v>46084.0</v>
      </c>
      <c r="C1260" s="16">
        <v>0.48611111110949423</v>
      </c>
      <c r="U1260" s="17" t="s">
        <v>4658</v>
      </c>
      <c r="V1260" s="17" t="s">
        <v>4659</v>
      </c>
      <c r="W1260" s="17" t="s">
        <v>117</v>
      </c>
      <c r="AA1260" s="17" t="s">
        <v>109</v>
      </c>
      <c r="AT1260" s="17" t="s">
        <v>109</v>
      </c>
      <c r="AU1260" s="17" t="s">
        <v>76</v>
      </c>
      <c r="AV1260" s="17" t="s">
        <v>271</v>
      </c>
      <c r="AZ1260" s="17" t="s">
        <v>182</v>
      </c>
      <c r="BA1260" s="17" t="s">
        <v>458</v>
      </c>
      <c r="BB1260" s="17" t="s">
        <v>109</v>
      </c>
      <c r="BP1260" s="17" t="s">
        <v>4660</v>
      </c>
      <c r="BR1260" s="24" t="str">
        <f t="shared" si="1"/>
        <v>Bhadrachalam cafe </v>
      </c>
    </row>
    <row r="1261" ht="22.5" customHeight="1">
      <c r="A1261" s="14">
        <v>46084.494220092594</v>
      </c>
      <c r="B1261" s="15">
        <v>46084.0</v>
      </c>
      <c r="C1261" s="16">
        <v>0.4930555555547471</v>
      </c>
      <c r="U1261" s="17" t="s">
        <v>4661</v>
      </c>
      <c r="V1261" s="17">
        <v>9.652233332E9</v>
      </c>
      <c r="W1261" s="17" t="s">
        <v>388</v>
      </c>
      <c r="AA1261" s="17" t="s">
        <v>109</v>
      </c>
      <c r="AT1261" s="17" t="s">
        <v>4662</v>
      </c>
      <c r="AU1261" s="17" t="s">
        <v>76</v>
      </c>
      <c r="AV1261" s="17" t="s">
        <v>472</v>
      </c>
      <c r="AZ1261" s="17" t="s">
        <v>110</v>
      </c>
      <c r="BA1261" s="17" t="s">
        <v>458</v>
      </c>
      <c r="BB1261" s="17" t="s">
        <v>109</v>
      </c>
      <c r="BP1261" s="17" t="s">
        <v>4663</v>
      </c>
      <c r="BR1261" s="24" t="str">
        <f t="shared" si="1"/>
        <v>Ideal Kitchen</v>
      </c>
    </row>
    <row r="1262" ht="22.5" customHeight="1">
      <c r="A1262" s="14">
        <v>46084.495212905094</v>
      </c>
      <c r="B1262" s="15">
        <v>46084.0</v>
      </c>
      <c r="C1262" s="16">
        <v>0.4937500000014552</v>
      </c>
      <c r="U1262" s="17" t="s">
        <v>4664</v>
      </c>
      <c r="V1262" s="17">
        <v>7.032537092E9</v>
      </c>
      <c r="W1262" s="17" t="s">
        <v>388</v>
      </c>
      <c r="AA1262" s="17" t="s">
        <v>109</v>
      </c>
      <c r="AT1262" s="17" t="s">
        <v>4665</v>
      </c>
      <c r="AU1262" s="17" t="s">
        <v>76</v>
      </c>
      <c r="AZ1262" s="17" t="s">
        <v>243</v>
      </c>
      <c r="BA1262" s="17" t="s">
        <v>458</v>
      </c>
      <c r="BB1262" s="17" t="s">
        <v>109</v>
      </c>
      <c r="BP1262" s="17" t="s">
        <v>4666</v>
      </c>
      <c r="BR1262" s="24" t="str">
        <f t="shared" si="1"/>
        <v>Hotel the Nawabi zaiqa </v>
      </c>
    </row>
    <row r="1263" ht="22.5" customHeight="1">
      <c r="A1263" s="14">
        <v>46084.49810232639</v>
      </c>
      <c r="B1263" s="15">
        <v>46084.0</v>
      </c>
      <c r="C1263" s="16">
        <v>0.49722222222044365</v>
      </c>
      <c r="U1263" s="17" t="s">
        <v>4667</v>
      </c>
      <c r="V1263" s="17">
        <v>9.849847665E9</v>
      </c>
      <c r="W1263" s="17" t="s">
        <v>388</v>
      </c>
      <c r="AA1263" s="17" t="s">
        <v>109</v>
      </c>
      <c r="AT1263" s="17" t="s">
        <v>4445</v>
      </c>
      <c r="AU1263" s="17" t="s">
        <v>76</v>
      </c>
      <c r="AV1263" s="17" t="s">
        <v>472</v>
      </c>
      <c r="AZ1263" s="17" t="s">
        <v>243</v>
      </c>
      <c r="BA1263" s="17" t="s">
        <v>458</v>
      </c>
      <c r="BB1263" s="17" t="s">
        <v>109</v>
      </c>
      <c r="BP1263" s="17" t="s">
        <v>4668</v>
      </c>
      <c r="BR1263" s="24" t="str">
        <f t="shared" si="1"/>
        <v>Shringeri kitchen </v>
      </c>
    </row>
    <row r="1264" ht="22.5" customHeight="1">
      <c r="A1264" s="14">
        <v>46084.51185113426</v>
      </c>
      <c r="B1264" s="15">
        <v>46084.0</v>
      </c>
      <c r="C1264" s="16">
        <v>0.5104166666642413</v>
      </c>
      <c r="D1264" s="17" t="s">
        <v>91</v>
      </c>
      <c r="F1264" s="17">
        <v>20.0</v>
      </c>
      <c r="G1264" s="17">
        <v>150.0</v>
      </c>
      <c r="H1264" s="17" t="s">
        <v>388</v>
      </c>
      <c r="J1264" s="17" t="s">
        <v>94</v>
      </c>
      <c r="N1264" s="17">
        <v>1.0</v>
      </c>
      <c r="O1264" s="17" t="s">
        <v>388</v>
      </c>
      <c r="P1264" s="17" t="s">
        <v>76</v>
      </c>
      <c r="Q1264" s="17" t="s">
        <v>97</v>
      </c>
      <c r="R1264" s="17" t="s">
        <v>98</v>
      </c>
      <c r="S1264" s="17" t="s">
        <v>388</v>
      </c>
      <c r="U1264" s="17" t="s">
        <v>388</v>
      </c>
      <c r="V1264" s="17" t="s">
        <v>388</v>
      </c>
      <c r="W1264" s="17" t="s">
        <v>388</v>
      </c>
      <c r="AA1264" s="17" t="s">
        <v>109</v>
      </c>
      <c r="AT1264" s="17" t="s">
        <v>4669</v>
      </c>
      <c r="AU1264" s="17" t="s">
        <v>109</v>
      </c>
      <c r="AZ1264" s="17" t="s">
        <v>243</v>
      </c>
      <c r="BA1264" s="17" t="s">
        <v>458</v>
      </c>
      <c r="BB1264" s="17" t="s">
        <v>76</v>
      </c>
      <c r="BN1264" s="17" t="s">
        <v>779</v>
      </c>
      <c r="BP1264" s="17" t="s">
        <v>4670</v>
      </c>
      <c r="BR1264" s="24" t="str">
        <f t="shared" si="1"/>
        <v>Manchidhana tiffins and fast food </v>
      </c>
    </row>
    <row r="1265" ht="22.5" customHeight="1">
      <c r="A1265" s="14">
        <v>46084.55319493056</v>
      </c>
      <c r="B1265" s="15">
        <v>46084.0</v>
      </c>
      <c r="C1265" s="16">
        <v>0.5520833333357587</v>
      </c>
      <c r="D1265" s="17" t="s">
        <v>111</v>
      </c>
      <c r="T1265" s="17" t="s">
        <v>4671</v>
      </c>
      <c r="U1265" s="17" t="s">
        <v>1143</v>
      </c>
      <c r="V1265" s="17">
        <v>8.328047934E9</v>
      </c>
      <c r="W1265" s="17" t="s">
        <v>4672</v>
      </c>
      <c r="AA1265" s="17" t="s">
        <v>109</v>
      </c>
      <c r="AT1265" s="17" t="s">
        <v>181</v>
      </c>
      <c r="AU1265" s="17" t="s">
        <v>76</v>
      </c>
      <c r="AV1265" s="17" t="s">
        <v>88</v>
      </c>
      <c r="AZ1265" s="17" t="s">
        <v>243</v>
      </c>
      <c r="BA1265" s="17" t="s">
        <v>458</v>
      </c>
      <c r="BB1265" s="17" t="s">
        <v>76</v>
      </c>
      <c r="BP1265" s="17" t="s">
        <v>4671</v>
      </c>
      <c r="BR1265" s="24" t="str">
        <f t="shared" si="1"/>
        <v>Udipis ahaara arogyaUdipis ahaara arogya</v>
      </c>
    </row>
    <row r="1266" ht="22.5" customHeight="1">
      <c r="A1266" s="14">
        <v>46084.553983564816</v>
      </c>
      <c r="B1266" s="15">
        <v>46084.0</v>
      </c>
      <c r="C1266" s="16">
        <v>0.5527777777751908</v>
      </c>
      <c r="U1266" s="17" t="s">
        <v>846</v>
      </c>
      <c r="V1266" s="17">
        <v>7.406466642E9</v>
      </c>
      <c r="W1266" s="17" t="s">
        <v>388</v>
      </c>
      <c r="AA1266" s="17" t="s">
        <v>109</v>
      </c>
      <c r="AT1266" s="17" t="s">
        <v>2725</v>
      </c>
      <c r="AU1266" s="17" t="s">
        <v>76</v>
      </c>
      <c r="AV1266" s="17" t="s">
        <v>472</v>
      </c>
      <c r="AZ1266" s="17" t="s">
        <v>243</v>
      </c>
      <c r="BA1266" s="17" t="s">
        <v>458</v>
      </c>
      <c r="BB1266" s="17" t="s">
        <v>109</v>
      </c>
      <c r="BP1266" s="17" t="s">
        <v>2448</v>
      </c>
      <c r="BR1266" s="24" t="str">
        <f t="shared" si="1"/>
        <v>Rao gari military hotel</v>
      </c>
    </row>
    <row r="1267" ht="22.5" customHeight="1">
      <c r="A1267" s="14">
        <v>46084.567138576385</v>
      </c>
      <c r="B1267" s="15">
        <v>46084.0</v>
      </c>
      <c r="C1267" s="16">
        <v>0.5659722222189885</v>
      </c>
      <c r="D1267" s="17" t="s">
        <v>111</v>
      </c>
      <c r="T1267" s="17" t="s">
        <v>4673</v>
      </c>
      <c r="U1267" s="17" t="s">
        <v>4674</v>
      </c>
      <c r="V1267" s="17">
        <v>7.981958799E9</v>
      </c>
      <c r="W1267" s="17" t="s">
        <v>388</v>
      </c>
      <c r="AA1267" s="17" t="s">
        <v>109</v>
      </c>
      <c r="AT1267" s="17" t="s">
        <v>4675</v>
      </c>
      <c r="AU1267" s="17" t="s">
        <v>76</v>
      </c>
      <c r="AV1267" s="17" t="s">
        <v>88</v>
      </c>
      <c r="AZ1267" s="17" t="s">
        <v>243</v>
      </c>
      <c r="BA1267" s="17" t="s">
        <v>458</v>
      </c>
      <c r="BB1267" s="17" t="s">
        <v>76</v>
      </c>
      <c r="BP1267" s="17" t="s">
        <v>4673</v>
      </c>
      <c r="BR1267" s="24" t="str">
        <f t="shared" si="1"/>
        <v>DosteaDostea</v>
      </c>
    </row>
    <row r="1268" ht="22.5" customHeight="1">
      <c r="A1268" s="14">
        <v>46084.57195236111</v>
      </c>
      <c r="B1268" s="15">
        <v>46084.0</v>
      </c>
      <c r="C1268" s="16">
        <v>0.570138888884685</v>
      </c>
      <c r="U1268" s="17" t="s">
        <v>4676</v>
      </c>
      <c r="V1268" s="17">
        <v>7.780194279E9</v>
      </c>
      <c r="W1268" s="17" t="s">
        <v>388</v>
      </c>
      <c r="AA1268" s="17" t="s">
        <v>109</v>
      </c>
      <c r="AT1268" s="17" t="s">
        <v>4677</v>
      </c>
      <c r="AU1268" s="17" t="s">
        <v>76</v>
      </c>
      <c r="AV1268" s="17" t="s">
        <v>472</v>
      </c>
      <c r="AZ1268" s="17" t="s">
        <v>243</v>
      </c>
      <c r="BA1268" s="17" t="s">
        <v>458</v>
      </c>
      <c r="BB1268" s="17" t="s">
        <v>109</v>
      </c>
      <c r="BP1268" s="17" t="s">
        <v>4678</v>
      </c>
      <c r="BR1268" s="24" t="str">
        <f t="shared" si="1"/>
        <v>Udipis upahar </v>
      </c>
    </row>
    <row r="1269" ht="22.5" customHeight="1">
      <c r="A1269" s="14">
        <v>46084.583663171295</v>
      </c>
      <c r="B1269" s="15">
        <v>46084.0</v>
      </c>
      <c r="C1269" s="16">
        <v>0.5826388888890506</v>
      </c>
      <c r="D1269" s="17" t="s">
        <v>91</v>
      </c>
      <c r="F1269" s="17">
        <v>50.0</v>
      </c>
      <c r="G1269" s="17">
        <v>150.0</v>
      </c>
      <c r="H1269" s="17" t="s">
        <v>388</v>
      </c>
      <c r="J1269" s="17" t="s">
        <v>94</v>
      </c>
      <c r="N1269" s="17">
        <v>1.0</v>
      </c>
      <c r="O1269" s="17" t="s">
        <v>926</v>
      </c>
      <c r="P1269" s="17" t="s">
        <v>109</v>
      </c>
      <c r="Q1269" s="17" t="s">
        <v>97</v>
      </c>
      <c r="R1269" s="17" t="s">
        <v>98</v>
      </c>
      <c r="S1269" s="17" t="s">
        <v>388</v>
      </c>
      <c r="U1269" s="17" t="s">
        <v>4679</v>
      </c>
      <c r="V1269" s="17" t="s">
        <v>4680</v>
      </c>
      <c r="W1269" s="17" t="s">
        <v>388</v>
      </c>
      <c r="AA1269" s="17" t="s">
        <v>109</v>
      </c>
      <c r="AT1269" s="17" t="s">
        <v>181</v>
      </c>
      <c r="AU1269" s="17" t="s">
        <v>76</v>
      </c>
      <c r="AV1269" s="17" t="s">
        <v>88</v>
      </c>
      <c r="AZ1269" s="17" t="s">
        <v>243</v>
      </c>
      <c r="BA1269" s="17" t="s">
        <v>458</v>
      </c>
      <c r="BB1269" s="17" t="s">
        <v>76</v>
      </c>
      <c r="BN1269" s="17" t="s">
        <v>779</v>
      </c>
      <c r="BP1269" s="17" t="s">
        <v>4681</v>
      </c>
      <c r="BR1269" s="24" t="str">
        <f t="shared" si="1"/>
        <v>Sri Sai Raghavendra tiffins and meals </v>
      </c>
    </row>
    <row r="1270" ht="22.5" customHeight="1">
      <c r="A1270" s="14">
        <v>46084.59683915509</v>
      </c>
      <c r="B1270" s="15">
        <v>46084.0</v>
      </c>
      <c r="C1270" s="16">
        <v>0.5958333333328483</v>
      </c>
      <c r="U1270" s="17" t="s">
        <v>4676</v>
      </c>
      <c r="V1270" s="17">
        <v>9.177056777E9</v>
      </c>
      <c r="W1270" s="17" t="s">
        <v>388</v>
      </c>
      <c r="AA1270" s="17" t="s">
        <v>109</v>
      </c>
      <c r="AT1270" s="17" t="s">
        <v>4682</v>
      </c>
      <c r="AU1270" s="17" t="s">
        <v>76</v>
      </c>
      <c r="AV1270" s="17" t="s">
        <v>472</v>
      </c>
      <c r="AZ1270" s="17" t="s">
        <v>243</v>
      </c>
      <c r="BA1270" s="17" t="s">
        <v>458</v>
      </c>
      <c r="BB1270" s="17" t="s">
        <v>109</v>
      </c>
      <c r="BP1270" s="17" t="s">
        <v>4683</v>
      </c>
      <c r="BR1270" s="24" t="str">
        <f t="shared" si="1"/>
        <v>Sri bakers </v>
      </c>
    </row>
    <row r="1271" ht="22.5" customHeight="1">
      <c r="A1271" s="14">
        <v>46084.603764513886</v>
      </c>
      <c r="B1271" s="15">
        <v>46084.0</v>
      </c>
      <c r="C1271" s="16">
        <v>0.6020833333313931</v>
      </c>
      <c r="D1271" s="17" t="s">
        <v>91</v>
      </c>
      <c r="F1271" s="17">
        <v>100.0</v>
      </c>
      <c r="G1271" s="17">
        <v>250.0</v>
      </c>
      <c r="H1271" s="17" t="s">
        <v>388</v>
      </c>
      <c r="J1271" s="17" t="s">
        <v>94</v>
      </c>
      <c r="N1271" s="17">
        <v>1.0</v>
      </c>
      <c r="O1271" s="17" t="s">
        <v>135</v>
      </c>
      <c r="P1271" s="17" t="s">
        <v>76</v>
      </c>
      <c r="Q1271" s="17" t="s">
        <v>97</v>
      </c>
      <c r="R1271" s="17" t="s">
        <v>98</v>
      </c>
      <c r="S1271" s="17" t="s">
        <v>117</v>
      </c>
      <c r="U1271" s="17" t="s">
        <v>4684</v>
      </c>
      <c r="V1271" s="17">
        <v>9.352613128E9</v>
      </c>
      <c r="W1271" s="17" t="s">
        <v>388</v>
      </c>
      <c r="AA1271" s="17" t="s">
        <v>109</v>
      </c>
      <c r="AT1271" s="17" t="s">
        <v>4685</v>
      </c>
      <c r="AU1271" s="17" t="s">
        <v>76</v>
      </c>
      <c r="AV1271" s="17" t="s">
        <v>271</v>
      </c>
      <c r="AZ1271" s="17" t="s">
        <v>243</v>
      </c>
      <c r="BA1271" s="17" t="s">
        <v>491</v>
      </c>
      <c r="BN1271" s="17" t="s">
        <v>779</v>
      </c>
      <c r="BP1271" s="17" t="s">
        <v>4686</v>
      </c>
      <c r="BR1271" s="24" t="str">
        <f t="shared" si="1"/>
        <v>Balaji family dhaba</v>
      </c>
    </row>
    <row r="1272" ht="22.5" customHeight="1">
      <c r="A1272" s="14">
        <v>46084.64123376158</v>
      </c>
      <c r="B1272" s="15">
        <v>46084.0</v>
      </c>
      <c r="C1272" s="16">
        <v>0.640277777776646</v>
      </c>
      <c r="D1272" s="17" t="s">
        <v>111</v>
      </c>
      <c r="T1272" s="17" t="s">
        <v>4687</v>
      </c>
      <c r="U1272" s="17" t="s">
        <v>4688</v>
      </c>
      <c r="V1272" s="17" t="s">
        <v>4689</v>
      </c>
      <c r="W1272" s="17" t="s">
        <v>388</v>
      </c>
      <c r="AA1272" s="17" t="s">
        <v>109</v>
      </c>
      <c r="AT1272" s="17" t="s">
        <v>586</v>
      </c>
      <c r="AU1272" s="17" t="s">
        <v>76</v>
      </c>
      <c r="AV1272" s="17" t="s">
        <v>4690</v>
      </c>
      <c r="AZ1272" s="17" t="s">
        <v>243</v>
      </c>
      <c r="BA1272" s="17" t="s">
        <v>458</v>
      </c>
      <c r="BB1272" s="17" t="s">
        <v>76</v>
      </c>
      <c r="BP1272" s="17" t="s">
        <v>4691</v>
      </c>
      <c r="BR1272" s="24" t="str">
        <f t="shared" si="1"/>
        <v>Rajahmundry vaari real rose milk Rajamundry vaari real rose milk </v>
      </c>
    </row>
    <row r="1273" ht="22.5" customHeight="1">
      <c r="A1273" s="14">
        <v>46084.64209922454</v>
      </c>
      <c r="B1273" s="15">
        <v>46084.0</v>
      </c>
      <c r="C1273" s="16">
        <v>0.640972222223354</v>
      </c>
      <c r="D1273" s="17" t="s">
        <v>111</v>
      </c>
      <c r="T1273" s="17" t="s">
        <v>4692</v>
      </c>
      <c r="U1273" s="17" t="s">
        <v>4688</v>
      </c>
      <c r="V1273" s="17" t="s">
        <v>4689</v>
      </c>
      <c r="W1273" s="17" t="s">
        <v>388</v>
      </c>
      <c r="AA1273" s="17" t="s">
        <v>109</v>
      </c>
      <c r="AT1273" s="17" t="s">
        <v>586</v>
      </c>
      <c r="AU1273" s="17" t="s">
        <v>76</v>
      </c>
      <c r="AV1273" s="17" t="s">
        <v>4690</v>
      </c>
      <c r="AZ1273" s="17" t="s">
        <v>243</v>
      </c>
      <c r="BA1273" s="17" t="s">
        <v>458</v>
      </c>
      <c r="BB1273" s="17" t="s">
        <v>76</v>
      </c>
      <c r="BP1273" s="17" t="s">
        <v>4692</v>
      </c>
      <c r="BR1273" s="24" t="str">
        <f t="shared" si="1"/>
        <v>Open heart restaurant Open heart restaurant </v>
      </c>
    </row>
    <row r="1274" ht="22.5" customHeight="1">
      <c r="A1274" s="14">
        <v>46084.64283520833</v>
      </c>
      <c r="B1274" s="15">
        <v>46084.0</v>
      </c>
      <c r="C1274" s="16">
        <v>0.6416666666627862</v>
      </c>
      <c r="D1274" s="17" t="s">
        <v>111</v>
      </c>
      <c r="T1274" s="17" t="s">
        <v>4693</v>
      </c>
      <c r="U1274" s="17" t="s">
        <v>4694</v>
      </c>
      <c r="V1274" s="17" t="s">
        <v>4689</v>
      </c>
      <c r="W1274" s="17" t="s">
        <v>388</v>
      </c>
      <c r="AA1274" s="17" t="s">
        <v>109</v>
      </c>
      <c r="AT1274" s="17" t="s">
        <v>586</v>
      </c>
      <c r="AU1274" s="17" t="s">
        <v>76</v>
      </c>
      <c r="AV1274" s="17" t="s">
        <v>4690</v>
      </c>
      <c r="AZ1274" s="17" t="s">
        <v>243</v>
      </c>
      <c r="BA1274" s="17" t="s">
        <v>458</v>
      </c>
      <c r="BB1274" s="17" t="s">
        <v>76</v>
      </c>
      <c r="BP1274" s="17" t="s">
        <v>4695</v>
      </c>
      <c r="BR1274" s="24" t="str">
        <f t="shared" si="1"/>
        <v>Gen Z flavoria Gen Z flavoria</v>
      </c>
    </row>
    <row r="1275" ht="22.5" customHeight="1">
      <c r="A1275" s="14">
        <v>46084.65302677083</v>
      </c>
      <c r="B1275" s="15">
        <v>46084.0</v>
      </c>
      <c r="C1275" s="16">
        <v>0.6520833333343035</v>
      </c>
      <c r="U1275" s="17" t="s">
        <v>388</v>
      </c>
      <c r="V1275" s="17" t="s">
        <v>388</v>
      </c>
      <c r="W1275" s="17" t="s">
        <v>388</v>
      </c>
      <c r="AA1275" s="17" t="s">
        <v>109</v>
      </c>
      <c r="AT1275" s="17" t="s">
        <v>4696</v>
      </c>
      <c r="AU1275" s="17" t="s">
        <v>76</v>
      </c>
      <c r="AV1275" s="17" t="s">
        <v>472</v>
      </c>
      <c r="AZ1275" s="17" t="s">
        <v>243</v>
      </c>
      <c r="BA1275" s="17" t="s">
        <v>458</v>
      </c>
      <c r="BB1275" s="17" t="s">
        <v>109</v>
      </c>
      <c r="BP1275" s="17" t="s">
        <v>4697</v>
      </c>
      <c r="BR1275" s="24" t="str">
        <f t="shared" si="1"/>
        <v>Iyengar bakery</v>
      </c>
    </row>
    <row r="1276" ht="22.5" customHeight="1">
      <c r="A1276" s="14">
        <v>46084.668685173616</v>
      </c>
      <c r="B1276" s="15">
        <v>46084.0</v>
      </c>
      <c r="C1276" s="16">
        <v>0.6673611111109494</v>
      </c>
      <c r="U1276" s="17" t="s">
        <v>388</v>
      </c>
      <c r="V1276" s="17">
        <v>9.989762336E9</v>
      </c>
      <c r="W1276" s="17" t="s">
        <v>388</v>
      </c>
      <c r="AA1276" s="17" t="s">
        <v>109</v>
      </c>
      <c r="AT1276" s="17" t="s">
        <v>4529</v>
      </c>
      <c r="AU1276" s="17" t="s">
        <v>76</v>
      </c>
      <c r="AZ1276" s="17" t="s">
        <v>243</v>
      </c>
      <c r="BA1276" s="17" t="s">
        <v>458</v>
      </c>
      <c r="BB1276" s="17" t="s">
        <v>109</v>
      </c>
      <c r="BP1276" s="17" t="s">
        <v>4698</v>
      </c>
      <c r="BR1276" s="24" t="str">
        <f t="shared" si="1"/>
        <v>RAM hotel</v>
      </c>
    </row>
    <row r="1277" ht="22.5" customHeight="1">
      <c r="A1277" s="14">
        <v>46084.68869306713</v>
      </c>
      <c r="B1277" s="15">
        <v>46084.0</v>
      </c>
      <c r="C1277" s="16">
        <v>0.4694444444467081</v>
      </c>
      <c r="D1277" s="17" t="s">
        <v>111</v>
      </c>
      <c r="T1277" s="17" t="s">
        <v>4699</v>
      </c>
      <c r="U1277" s="17" t="s">
        <v>4700</v>
      </c>
      <c r="V1277" s="17">
        <v>9.849794341E9</v>
      </c>
      <c r="W1277" s="17" t="s">
        <v>388</v>
      </c>
      <c r="AA1277" s="17" t="s">
        <v>76</v>
      </c>
      <c r="AC1277" s="18" t="s">
        <v>4701</v>
      </c>
      <c r="AE1277" s="18" t="s">
        <v>4702</v>
      </c>
      <c r="AG1277" s="18" t="s">
        <v>4703</v>
      </c>
      <c r="AI1277" s="18" t="s">
        <v>4704</v>
      </c>
      <c r="AK1277" s="18" t="s">
        <v>4705</v>
      </c>
      <c r="AS1277" s="17" t="s">
        <v>76</v>
      </c>
      <c r="AT1277" s="17" t="s">
        <v>388</v>
      </c>
      <c r="AU1277" s="17" t="s">
        <v>109</v>
      </c>
      <c r="AZ1277" s="17" t="s">
        <v>287</v>
      </c>
      <c r="BA1277" s="17" t="s">
        <v>458</v>
      </c>
      <c r="BB1277" s="17" t="s">
        <v>76</v>
      </c>
      <c r="BM1277" s="17" t="s">
        <v>4706</v>
      </c>
      <c r="BP1277" s="17" t="s">
        <v>4707</v>
      </c>
      <c r="BR1277" s="24" t="str">
        <f t="shared" si="1"/>
        <v>Arya BhavanAraya Bhavan</v>
      </c>
    </row>
    <row r="1278" ht="22.5" customHeight="1">
      <c r="A1278" s="14">
        <v>46084.68997040509</v>
      </c>
      <c r="B1278" s="15">
        <v>46084.0</v>
      </c>
      <c r="C1278" s="16">
        <v>0.48958333333575865</v>
      </c>
      <c r="U1278" s="17" t="s">
        <v>4708</v>
      </c>
      <c r="V1278" s="17">
        <v>8.374165833E9</v>
      </c>
      <c r="W1278" s="17" t="s">
        <v>388</v>
      </c>
      <c r="AA1278" s="17" t="s">
        <v>109</v>
      </c>
      <c r="AT1278" s="17" t="s">
        <v>4709</v>
      </c>
      <c r="AU1278" s="17" t="s">
        <v>76</v>
      </c>
      <c r="AV1278" s="17" t="s">
        <v>472</v>
      </c>
      <c r="AZ1278" s="17" t="s">
        <v>287</v>
      </c>
      <c r="BA1278" s="17" t="s">
        <v>458</v>
      </c>
      <c r="BB1278" s="17" t="s">
        <v>109</v>
      </c>
      <c r="BP1278" s="17" t="s">
        <v>4710</v>
      </c>
      <c r="BR1278" s="24" t="str">
        <f t="shared" si="1"/>
        <v>Poruginti Chapala Pulsu</v>
      </c>
    </row>
    <row r="1279" ht="22.5" customHeight="1">
      <c r="A1279" s="14">
        <v>46084.69154645833</v>
      </c>
      <c r="B1279" s="15">
        <v>46084.0</v>
      </c>
      <c r="C1279" s="16">
        <v>0.5034722222189885</v>
      </c>
      <c r="U1279" s="17" t="s">
        <v>1868</v>
      </c>
      <c r="V1279" s="17">
        <v>8.008712749E9</v>
      </c>
      <c r="W1279" s="17" t="s">
        <v>388</v>
      </c>
      <c r="AA1279" s="17" t="s">
        <v>109</v>
      </c>
      <c r="AT1279" s="17" t="s">
        <v>2051</v>
      </c>
      <c r="AU1279" s="17" t="s">
        <v>76</v>
      </c>
      <c r="AV1279" s="17" t="s">
        <v>271</v>
      </c>
      <c r="AZ1279" s="17" t="s">
        <v>287</v>
      </c>
      <c r="BA1279" s="17" t="s">
        <v>458</v>
      </c>
      <c r="BB1279" s="17" t="s">
        <v>109</v>
      </c>
      <c r="BP1279" s="17" t="s">
        <v>4711</v>
      </c>
      <c r="BR1279" s="24" t="str">
        <f t="shared" si="1"/>
        <v>Prathiyaka The kitchen</v>
      </c>
    </row>
    <row r="1280" ht="22.5" customHeight="1">
      <c r="A1280" s="14">
        <v>46084.69251512732</v>
      </c>
      <c r="B1280" s="15">
        <v>46084.0</v>
      </c>
      <c r="C1280" s="16">
        <v>0.5069444444452529</v>
      </c>
      <c r="U1280" s="17" t="s">
        <v>388</v>
      </c>
      <c r="V1280" s="17">
        <v>7.680960113E9</v>
      </c>
      <c r="W1280" s="17" t="s">
        <v>388</v>
      </c>
      <c r="AA1280" s="17" t="s">
        <v>109</v>
      </c>
      <c r="AT1280" s="17" t="s">
        <v>4712</v>
      </c>
      <c r="AU1280" s="17" t="s">
        <v>76</v>
      </c>
      <c r="AV1280" s="17" t="s">
        <v>271</v>
      </c>
      <c r="AZ1280" s="17" t="s">
        <v>287</v>
      </c>
      <c r="BA1280" s="17" t="s">
        <v>458</v>
      </c>
      <c r="BB1280" s="17" t="s">
        <v>109</v>
      </c>
      <c r="BP1280" s="17" t="s">
        <v>4713</v>
      </c>
      <c r="BR1280" s="24" t="str">
        <f t="shared" si="1"/>
        <v>Dum marro dum</v>
      </c>
    </row>
    <row r="1281" ht="22.5" customHeight="1">
      <c r="A1281" s="14">
        <v>46084.69361609954</v>
      </c>
      <c r="B1281" s="15">
        <v>46084.0</v>
      </c>
      <c r="C1281" s="16">
        <v>0.5138888888905058</v>
      </c>
      <c r="U1281" s="17" t="s">
        <v>4714</v>
      </c>
      <c r="V1281" s="17">
        <v>9.95901137E9</v>
      </c>
      <c r="W1281" s="17" t="s">
        <v>388</v>
      </c>
      <c r="AA1281" s="17" t="s">
        <v>109</v>
      </c>
      <c r="AT1281" s="17" t="s">
        <v>4715</v>
      </c>
      <c r="AU1281" s="17" t="s">
        <v>76</v>
      </c>
      <c r="AV1281" s="17" t="s">
        <v>271</v>
      </c>
      <c r="AZ1281" s="17" t="s">
        <v>287</v>
      </c>
      <c r="BA1281" s="17" t="s">
        <v>458</v>
      </c>
      <c r="BB1281" s="17" t="s">
        <v>109</v>
      </c>
      <c r="BP1281" s="17" t="s">
        <v>4716</v>
      </c>
      <c r="BR1281" s="24" t="str">
        <f t="shared" si="1"/>
        <v>Rushibha Kitchen</v>
      </c>
    </row>
    <row r="1282" ht="22.5" customHeight="1">
      <c r="A1282" s="14">
        <v>46084.69471344908</v>
      </c>
      <c r="B1282" s="15">
        <v>46084.0</v>
      </c>
      <c r="C1282" s="16">
        <v>0.5555555555547471</v>
      </c>
      <c r="U1282" s="17" t="s">
        <v>4717</v>
      </c>
      <c r="V1282" s="17">
        <v>7.981180887E9</v>
      </c>
      <c r="W1282" s="17" t="s">
        <v>388</v>
      </c>
      <c r="AA1282" s="17" t="s">
        <v>109</v>
      </c>
      <c r="AT1282" s="17" t="s">
        <v>4709</v>
      </c>
      <c r="AU1282" s="17" t="s">
        <v>76</v>
      </c>
      <c r="AV1282" s="17" t="s">
        <v>271</v>
      </c>
      <c r="AZ1282" s="17" t="s">
        <v>287</v>
      </c>
      <c r="BA1282" s="17" t="s">
        <v>458</v>
      </c>
      <c r="BB1282" s="17" t="s">
        <v>109</v>
      </c>
      <c r="BP1282" s="17" t="s">
        <v>4718</v>
      </c>
      <c r="BR1282" s="24" t="str">
        <f t="shared" si="1"/>
        <v>Pulaos kitchen.com</v>
      </c>
    </row>
    <row r="1283" ht="22.5" customHeight="1">
      <c r="A1283" s="14">
        <v>46084.69756533565</v>
      </c>
      <c r="B1283" s="15">
        <v>46084.0</v>
      </c>
      <c r="C1283" s="16">
        <v>0.6666666666642413</v>
      </c>
      <c r="D1283" s="17" t="s">
        <v>111</v>
      </c>
      <c r="T1283" s="17" t="s">
        <v>4719</v>
      </c>
      <c r="U1283" s="17" t="s">
        <v>4720</v>
      </c>
      <c r="V1283" s="17">
        <v>8.125401252E9</v>
      </c>
      <c r="W1283" s="17" t="s">
        <v>388</v>
      </c>
      <c r="AA1283" s="17" t="s">
        <v>76</v>
      </c>
      <c r="AC1283" s="18" t="s">
        <v>4721</v>
      </c>
      <c r="AG1283" s="18" t="s">
        <v>4722</v>
      </c>
      <c r="AS1283" s="17" t="s">
        <v>76</v>
      </c>
      <c r="AT1283" s="17" t="s">
        <v>388</v>
      </c>
      <c r="AU1283" s="17" t="s">
        <v>76</v>
      </c>
      <c r="AV1283" s="17" t="s">
        <v>88</v>
      </c>
      <c r="AZ1283" s="17" t="s">
        <v>287</v>
      </c>
      <c r="BA1283" s="17" t="s">
        <v>458</v>
      </c>
      <c r="BB1283" s="17" t="s">
        <v>76</v>
      </c>
      <c r="BM1283" s="17" t="s">
        <v>779</v>
      </c>
      <c r="BP1283" s="17" t="s">
        <v>4723</v>
      </c>
      <c r="BR1283" s="24" t="str">
        <f t="shared" si="1"/>
        <v>Mini cafe biryani and mealsMini cafe</v>
      </c>
    </row>
    <row r="1284" ht="22.5" customHeight="1">
      <c r="A1284" s="14">
        <v>46084.69891548611</v>
      </c>
      <c r="B1284" s="15">
        <v>46084.0</v>
      </c>
      <c r="C1284" s="16">
        <v>0.6666666666642413</v>
      </c>
      <c r="D1284" s="17" t="s">
        <v>111</v>
      </c>
      <c r="T1284" s="17" t="s">
        <v>4719</v>
      </c>
      <c r="U1284" s="17" t="s">
        <v>4724</v>
      </c>
      <c r="V1284" s="17">
        <v>8.125401252E9</v>
      </c>
      <c r="W1284" s="17" t="s">
        <v>388</v>
      </c>
      <c r="AA1284" s="17" t="s">
        <v>76</v>
      </c>
      <c r="AC1284" s="18" t="s">
        <v>4725</v>
      </c>
      <c r="AG1284" s="18" t="s">
        <v>4726</v>
      </c>
      <c r="AS1284" s="17" t="s">
        <v>76</v>
      </c>
      <c r="AT1284" s="17" t="s">
        <v>388</v>
      </c>
      <c r="AU1284" s="17" t="s">
        <v>76</v>
      </c>
      <c r="AZ1284" s="17" t="s">
        <v>287</v>
      </c>
      <c r="BA1284" s="17" t="s">
        <v>458</v>
      </c>
      <c r="BB1284" s="17" t="s">
        <v>76</v>
      </c>
      <c r="BM1284" s="17" t="s">
        <v>779</v>
      </c>
      <c r="BP1284" s="17" t="s">
        <v>4727</v>
      </c>
      <c r="BR1284" s="24" t="str">
        <f t="shared" si="1"/>
        <v>Mini cafe Chinese Mini cafe</v>
      </c>
    </row>
    <row r="1285" ht="22.5" customHeight="1">
      <c r="A1285" s="14">
        <v>46084.699685659725</v>
      </c>
      <c r="B1285" s="15">
        <v>46084.0</v>
      </c>
      <c r="C1285" s="16">
        <v>0.6986111111109494</v>
      </c>
      <c r="U1285" s="17" t="s">
        <v>1127</v>
      </c>
      <c r="V1285" s="17">
        <v>9.100028909E9</v>
      </c>
      <c r="W1285" s="17" t="s">
        <v>388</v>
      </c>
      <c r="AA1285" s="17" t="s">
        <v>109</v>
      </c>
      <c r="AT1285" s="17" t="s">
        <v>4709</v>
      </c>
      <c r="AU1285" s="17" t="s">
        <v>76</v>
      </c>
      <c r="AV1285" s="17" t="s">
        <v>271</v>
      </c>
      <c r="AZ1285" s="17" t="s">
        <v>287</v>
      </c>
      <c r="BA1285" s="17" t="s">
        <v>458</v>
      </c>
      <c r="BB1285" s="17" t="s">
        <v>109</v>
      </c>
      <c r="BP1285" s="17" t="s">
        <v>4728</v>
      </c>
      <c r="BR1285" s="24" t="str">
        <f t="shared" si="1"/>
        <v>Pulaos and bagara</v>
      </c>
    </row>
    <row r="1286" ht="22.5" customHeight="1">
      <c r="A1286" s="14">
        <v>46084.767218912035</v>
      </c>
      <c r="B1286" s="15">
        <v>46084.0</v>
      </c>
      <c r="C1286" s="16">
        <v>0.7083333333357587</v>
      </c>
      <c r="D1286" s="17" t="s">
        <v>91</v>
      </c>
      <c r="F1286" s="17">
        <v>40.0</v>
      </c>
      <c r="G1286" s="17">
        <v>200.0</v>
      </c>
      <c r="H1286" s="17" t="s">
        <v>113</v>
      </c>
      <c r="I1286" s="17">
        <v>5000.0</v>
      </c>
      <c r="J1286" s="17" t="s">
        <v>221</v>
      </c>
      <c r="K1286" s="17" t="s">
        <v>4729</v>
      </c>
      <c r="L1286" s="17">
        <v>22.0</v>
      </c>
      <c r="M1286" s="17">
        <v>20.0</v>
      </c>
      <c r="N1286" s="17">
        <v>1.0</v>
      </c>
      <c r="O1286" s="17" t="s">
        <v>135</v>
      </c>
      <c r="P1286" s="17" t="s">
        <v>76</v>
      </c>
      <c r="Q1286" s="17" t="s">
        <v>97</v>
      </c>
      <c r="R1286" s="17" t="s">
        <v>76</v>
      </c>
      <c r="S1286" s="17" t="s">
        <v>113</v>
      </c>
      <c r="U1286" s="17" t="s">
        <v>2661</v>
      </c>
      <c r="V1286" s="17">
        <v>7.569171589E9</v>
      </c>
      <c r="W1286" s="17" t="s">
        <v>388</v>
      </c>
      <c r="AA1286" s="17" t="s">
        <v>109</v>
      </c>
      <c r="AT1286" s="17" t="s">
        <v>4324</v>
      </c>
      <c r="AU1286" s="17" t="s">
        <v>76</v>
      </c>
      <c r="AV1286" s="17" t="s">
        <v>271</v>
      </c>
      <c r="AZ1286" s="17" t="s">
        <v>131</v>
      </c>
      <c r="BA1286" s="17" t="s">
        <v>458</v>
      </c>
      <c r="BB1286" s="17" t="s">
        <v>76</v>
      </c>
      <c r="BL1286" s="17">
        <v>0.0</v>
      </c>
      <c r="BN1286" s="17" t="s">
        <v>4730</v>
      </c>
      <c r="BP1286" s="17" t="s">
        <v>4731</v>
      </c>
      <c r="BR1286" s="24" t="str">
        <f t="shared" si="1"/>
        <v>Kokkaroko</v>
      </c>
    </row>
    <row r="1287" ht="22.5" customHeight="1">
      <c r="A1287" s="14">
        <v>46084.76910991898</v>
      </c>
      <c r="B1287" s="15">
        <v>46084.0</v>
      </c>
      <c r="C1287" s="16">
        <v>0.7083333333357587</v>
      </c>
      <c r="D1287" s="17" t="s">
        <v>91</v>
      </c>
      <c r="F1287" s="17">
        <v>30.0</v>
      </c>
      <c r="G1287" s="17">
        <v>200.0</v>
      </c>
      <c r="H1287" s="17" t="s">
        <v>113</v>
      </c>
      <c r="I1287" s="17">
        <v>15000.0</v>
      </c>
      <c r="J1287" s="17" t="s">
        <v>221</v>
      </c>
      <c r="K1287" s="17" t="s">
        <v>118</v>
      </c>
      <c r="L1287" s="17">
        <v>22.0</v>
      </c>
      <c r="M1287" s="17">
        <v>20.0</v>
      </c>
      <c r="N1287" s="17">
        <v>1.0</v>
      </c>
      <c r="O1287" s="17" t="s">
        <v>96</v>
      </c>
      <c r="P1287" s="17" t="s">
        <v>76</v>
      </c>
      <c r="Q1287" s="17" t="s">
        <v>97</v>
      </c>
      <c r="R1287" s="17" t="s">
        <v>109</v>
      </c>
      <c r="S1287" s="17" t="s">
        <v>388</v>
      </c>
      <c r="U1287" s="17" t="s">
        <v>4732</v>
      </c>
      <c r="V1287" s="17" t="s">
        <v>388</v>
      </c>
      <c r="W1287" s="17" t="s">
        <v>388</v>
      </c>
      <c r="AA1287" s="17" t="s">
        <v>109</v>
      </c>
      <c r="AT1287" s="17" t="s">
        <v>4324</v>
      </c>
      <c r="AU1287" s="17" t="s">
        <v>76</v>
      </c>
      <c r="AV1287" s="17" t="s">
        <v>472</v>
      </c>
      <c r="AZ1287" s="17" t="s">
        <v>131</v>
      </c>
      <c r="BA1287" s="17" t="s">
        <v>458</v>
      </c>
      <c r="BB1287" s="17" t="s">
        <v>76</v>
      </c>
      <c r="BL1287" s="17">
        <v>10.0</v>
      </c>
      <c r="BN1287" s="17" t="s">
        <v>1100</v>
      </c>
      <c r="BP1287" s="17" t="s">
        <v>4733</v>
      </c>
      <c r="BR1287" s="24" t="str">
        <f t="shared" si="1"/>
        <v>Abhiruchi food court </v>
      </c>
    </row>
    <row r="1288" ht="22.5" customHeight="1">
      <c r="A1288" s="14">
        <v>46084.77094079861</v>
      </c>
      <c r="B1288" s="15">
        <v>46084.0</v>
      </c>
      <c r="C1288" s="16">
        <v>0.6666666666642413</v>
      </c>
      <c r="D1288" s="17" t="s">
        <v>91</v>
      </c>
      <c r="F1288" s="17">
        <v>40.0</v>
      </c>
      <c r="G1288" s="17">
        <v>300.0</v>
      </c>
      <c r="H1288" s="17" t="s">
        <v>388</v>
      </c>
      <c r="I1288" s="17">
        <v>45000.0</v>
      </c>
      <c r="J1288" s="17" t="s">
        <v>94</v>
      </c>
      <c r="L1288" s="17">
        <v>22.0</v>
      </c>
      <c r="M1288" s="17">
        <v>20.0</v>
      </c>
      <c r="N1288" s="17">
        <v>1.0</v>
      </c>
      <c r="O1288" s="17" t="s">
        <v>96</v>
      </c>
      <c r="P1288" s="17" t="s">
        <v>76</v>
      </c>
      <c r="Q1288" s="17" t="s">
        <v>97</v>
      </c>
      <c r="R1288" s="17" t="s">
        <v>109</v>
      </c>
      <c r="S1288" s="17" t="s">
        <v>388</v>
      </c>
      <c r="U1288" s="17" t="s">
        <v>4734</v>
      </c>
      <c r="V1288" s="17">
        <v>9.603039045E9</v>
      </c>
      <c r="W1288" s="17" t="s">
        <v>388</v>
      </c>
      <c r="X1288" s="17" t="s">
        <v>4717</v>
      </c>
      <c r="AA1288" s="17" t="s">
        <v>109</v>
      </c>
      <c r="AT1288" s="17" t="s">
        <v>4324</v>
      </c>
      <c r="AU1288" s="17" t="s">
        <v>76</v>
      </c>
      <c r="AV1288" s="17" t="s">
        <v>472</v>
      </c>
      <c r="AZ1288" s="17" t="s">
        <v>131</v>
      </c>
      <c r="BA1288" s="17" t="s">
        <v>458</v>
      </c>
      <c r="BB1288" s="17" t="s">
        <v>76</v>
      </c>
      <c r="BL1288" s="17">
        <v>50.0</v>
      </c>
      <c r="BN1288" s="17" t="s">
        <v>1100</v>
      </c>
      <c r="BP1288" s="17" t="s">
        <v>4735</v>
      </c>
      <c r="BR1288" s="24" t="str">
        <f t="shared" si="1"/>
        <v>Victoria Restaurant </v>
      </c>
    </row>
    <row r="1289" ht="22.5" customHeight="1">
      <c r="A1289" s="14">
        <v>46084.772661689814</v>
      </c>
      <c r="B1289" s="15">
        <v>46084.0</v>
      </c>
      <c r="C1289" s="16">
        <v>0.6666666666642413</v>
      </c>
      <c r="D1289" s="17" t="s">
        <v>91</v>
      </c>
      <c r="F1289" s="17">
        <v>50.0</v>
      </c>
      <c r="G1289" s="17">
        <v>200.0</v>
      </c>
      <c r="H1289" s="17" t="s">
        <v>113</v>
      </c>
      <c r="I1289" s="17">
        <v>40000.0</v>
      </c>
      <c r="J1289" s="17" t="s">
        <v>94</v>
      </c>
      <c r="K1289" s="17" t="s">
        <v>273</v>
      </c>
      <c r="L1289" s="17">
        <v>22.0</v>
      </c>
      <c r="M1289" s="17">
        <v>20.0</v>
      </c>
      <c r="N1289" s="17">
        <v>2.0</v>
      </c>
      <c r="O1289" s="17" t="s">
        <v>96</v>
      </c>
      <c r="P1289" s="17" t="s">
        <v>76</v>
      </c>
      <c r="Q1289" s="17" t="s">
        <v>97</v>
      </c>
      <c r="R1289" s="17" t="s">
        <v>76</v>
      </c>
      <c r="S1289" s="17" t="s">
        <v>388</v>
      </c>
      <c r="U1289" s="17" t="s">
        <v>4736</v>
      </c>
      <c r="V1289" s="17" t="s">
        <v>388</v>
      </c>
      <c r="W1289" s="17" t="s">
        <v>388</v>
      </c>
      <c r="AA1289" s="17" t="s">
        <v>109</v>
      </c>
      <c r="AT1289" s="17" t="s">
        <v>4324</v>
      </c>
      <c r="AU1289" s="17" t="s">
        <v>76</v>
      </c>
      <c r="AV1289" s="17" t="s">
        <v>271</v>
      </c>
      <c r="AZ1289" s="17" t="s">
        <v>131</v>
      </c>
      <c r="BA1289" s="17" t="s">
        <v>458</v>
      </c>
      <c r="BB1289" s="17" t="s">
        <v>76</v>
      </c>
      <c r="BL1289" s="17">
        <v>50.0</v>
      </c>
      <c r="BN1289" s="17" t="s">
        <v>1100</v>
      </c>
      <c r="BP1289" s="17" t="s">
        <v>4737</v>
      </c>
      <c r="BR1289" s="24" t="str">
        <f t="shared" si="1"/>
        <v>Sri Raghavendra bhavan </v>
      </c>
    </row>
    <row r="1290" ht="22.5" customHeight="1">
      <c r="A1290" s="14">
        <v>46084.7745775463</v>
      </c>
      <c r="B1290" s="15">
        <v>46084.0</v>
      </c>
      <c r="C1290" s="16">
        <v>0.625</v>
      </c>
      <c r="D1290" s="17" t="s">
        <v>91</v>
      </c>
      <c r="F1290" s="17">
        <v>80.0</v>
      </c>
      <c r="G1290" s="17">
        <v>300.0</v>
      </c>
      <c r="H1290" s="17" t="s">
        <v>388</v>
      </c>
      <c r="I1290" s="17">
        <v>100000.0</v>
      </c>
      <c r="J1290" s="17" t="s">
        <v>94</v>
      </c>
      <c r="L1290" s="17">
        <v>22.0</v>
      </c>
      <c r="M1290" s="17">
        <v>20.0</v>
      </c>
      <c r="N1290" s="17">
        <v>3.0</v>
      </c>
      <c r="O1290" s="17" t="s">
        <v>96</v>
      </c>
      <c r="P1290" s="17" t="s">
        <v>76</v>
      </c>
      <c r="Q1290" s="17" t="s">
        <v>97</v>
      </c>
      <c r="R1290" s="17" t="s">
        <v>76</v>
      </c>
      <c r="S1290" s="17" t="s">
        <v>388</v>
      </c>
      <c r="U1290" s="17" t="s">
        <v>388</v>
      </c>
      <c r="V1290" s="17" t="s">
        <v>388</v>
      </c>
      <c r="W1290" s="17" t="s">
        <v>388</v>
      </c>
      <c r="AA1290" s="17" t="s">
        <v>109</v>
      </c>
      <c r="AT1290" s="17" t="s">
        <v>4324</v>
      </c>
      <c r="AU1290" s="17" t="s">
        <v>76</v>
      </c>
      <c r="AV1290" s="17" t="s">
        <v>271</v>
      </c>
      <c r="AZ1290" s="17" t="s">
        <v>131</v>
      </c>
      <c r="BA1290" s="17" t="s">
        <v>458</v>
      </c>
      <c r="BB1290" s="17" t="s">
        <v>76</v>
      </c>
      <c r="BL1290" s="17">
        <v>70.0</v>
      </c>
      <c r="BN1290" s="17" t="s">
        <v>1100</v>
      </c>
      <c r="BP1290" s="17" t="s">
        <v>4738</v>
      </c>
      <c r="BR1290" s="24" t="str">
        <f t="shared" si="1"/>
        <v>Al saba Restaurant </v>
      </c>
    </row>
    <row r="1291" ht="22.5" customHeight="1">
      <c r="A1291" s="14">
        <v>46084.85611674769</v>
      </c>
      <c r="B1291" s="15">
        <v>46084.0</v>
      </c>
      <c r="C1291" s="16">
        <v>0.7388888888890506</v>
      </c>
      <c r="D1291" s="17" t="s">
        <v>111</v>
      </c>
      <c r="T1291" s="17" t="s">
        <v>4739</v>
      </c>
      <c r="U1291" s="17" t="s">
        <v>2029</v>
      </c>
      <c r="V1291" s="17">
        <v>9.177781711E9</v>
      </c>
      <c r="W1291" s="17" t="s">
        <v>388</v>
      </c>
      <c r="AA1291" s="17" t="s">
        <v>76</v>
      </c>
      <c r="AG1291" s="18" t="s">
        <v>4740</v>
      </c>
      <c r="AJ1291" s="18" t="s">
        <v>4741</v>
      </c>
      <c r="AS1291" s="17" t="s">
        <v>76</v>
      </c>
      <c r="AT1291" s="17" t="s">
        <v>4742</v>
      </c>
      <c r="AU1291" s="17" t="s">
        <v>76</v>
      </c>
      <c r="AV1291" s="17" t="s">
        <v>88</v>
      </c>
      <c r="AZ1291" s="17" t="s">
        <v>287</v>
      </c>
      <c r="BA1291" s="17" t="s">
        <v>458</v>
      </c>
      <c r="BB1291" s="17" t="s">
        <v>76</v>
      </c>
      <c r="BI1291" s="17" t="s">
        <v>109</v>
      </c>
      <c r="BM1291" s="17" t="s">
        <v>1531</v>
      </c>
      <c r="BP1291" s="17" t="s">
        <v>4739</v>
      </c>
      <c r="BR1291" s="24" t="str">
        <f t="shared" si="1"/>
        <v>Zucifera Zucifera </v>
      </c>
    </row>
    <row r="1292" ht="22.5" customHeight="1">
      <c r="A1292" s="14">
        <v>46084.85797388889</v>
      </c>
      <c r="B1292" s="15">
        <v>46084.0</v>
      </c>
      <c r="C1292" s="16">
        <v>0.75</v>
      </c>
      <c r="U1292" s="17" t="s">
        <v>4743</v>
      </c>
      <c r="V1292" s="17">
        <v>9.966887205E9</v>
      </c>
      <c r="W1292" s="17" t="s">
        <v>388</v>
      </c>
      <c r="AA1292" s="17" t="s">
        <v>109</v>
      </c>
      <c r="AT1292" s="17" t="s">
        <v>4744</v>
      </c>
      <c r="AU1292" s="17" t="s">
        <v>76</v>
      </c>
      <c r="AV1292" s="17" t="s">
        <v>114</v>
      </c>
      <c r="AX1292" s="15">
        <v>46086.0</v>
      </c>
      <c r="AZ1292" s="17" t="s">
        <v>287</v>
      </c>
      <c r="BA1292" s="17" t="s">
        <v>458</v>
      </c>
      <c r="BB1292" s="17" t="s">
        <v>109</v>
      </c>
      <c r="BP1292" s="17" t="s">
        <v>4745</v>
      </c>
      <c r="BR1292" s="24" t="str">
        <f t="shared" si="1"/>
        <v>Aroma Cafe</v>
      </c>
    </row>
    <row r="1293" ht="22.5" customHeight="1">
      <c r="A1293" s="14">
        <v>46085.446491932875</v>
      </c>
      <c r="B1293" s="15">
        <v>46084.0</v>
      </c>
      <c r="C1293" s="16">
        <v>0.47916666666424135</v>
      </c>
      <c r="U1293" s="17" t="s">
        <v>4746</v>
      </c>
      <c r="V1293" s="17" t="s">
        <v>113</v>
      </c>
      <c r="W1293" s="17" t="s">
        <v>113</v>
      </c>
      <c r="AA1293" s="17" t="s">
        <v>109</v>
      </c>
      <c r="AT1293" s="17" t="s">
        <v>4747</v>
      </c>
      <c r="AU1293" s="17" t="s">
        <v>76</v>
      </c>
      <c r="AV1293" s="17" t="s">
        <v>271</v>
      </c>
      <c r="AX1293" s="15">
        <v>46084.0</v>
      </c>
      <c r="AY1293" s="16">
        <v>0.5625</v>
      </c>
      <c r="AZ1293" s="17" t="s">
        <v>164</v>
      </c>
      <c r="BA1293" s="17" t="s">
        <v>458</v>
      </c>
      <c r="BB1293" s="17" t="s">
        <v>109</v>
      </c>
      <c r="BP1293" s="17" t="s">
        <v>4748</v>
      </c>
      <c r="BR1293" s="24" t="str">
        <f t="shared" si="1"/>
        <v>marjaan hotel </v>
      </c>
    </row>
    <row r="1294" ht="22.5" customHeight="1">
      <c r="A1294" s="14">
        <v>46085.448414479164</v>
      </c>
      <c r="B1294" s="15">
        <v>46084.0</v>
      </c>
      <c r="C1294" s="16">
        <v>0.6180555555547471</v>
      </c>
      <c r="U1294" s="17" t="s">
        <v>4749</v>
      </c>
      <c r="V1294" s="17">
        <v>9.703972766E9</v>
      </c>
      <c r="W1294" s="17" t="s">
        <v>113</v>
      </c>
      <c r="AA1294" s="17" t="s">
        <v>109</v>
      </c>
      <c r="AT1294" s="17" t="s">
        <v>4750</v>
      </c>
      <c r="AU1294" s="17" t="s">
        <v>76</v>
      </c>
      <c r="AV1294" s="17" t="s">
        <v>271</v>
      </c>
      <c r="AW1294" s="17" t="s">
        <v>4751</v>
      </c>
      <c r="AX1294" s="15">
        <v>46086.0</v>
      </c>
      <c r="AY1294" s="16">
        <v>0.6041666666642413</v>
      </c>
      <c r="AZ1294" s="17" t="s">
        <v>164</v>
      </c>
      <c r="BA1294" s="17" t="s">
        <v>458</v>
      </c>
      <c r="BB1294" s="17" t="s">
        <v>109</v>
      </c>
      <c r="BP1294" s="17" t="s">
        <v>4752</v>
      </c>
      <c r="BR1294" s="24" t="str">
        <f t="shared" si="1"/>
        <v> makers of milkshake</v>
      </c>
    </row>
    <row r="1295" ht="22.5" customHeight="1">
      <c r="A1295" s="14">
        <v>46085.450497777776</v>
      </c>
      <c r="B1295" s="15">
        <v>46084.0</v>
      </c>
      <c r="C1295" s="16">
        <v>0.6041666666642413</v>
      </c>
      <c r="U1295" s="17" t="s">
        <v>4753</v>
      </c>
      <c r="V1295" s="17">
        <v>9.703736799E9</v>
      </c>
      <c r="W1295" s="17" t="s">
        <v>113</v>
      </c>
      <c r="AA1295" s="17" t="s">
        <v>109</v>
      </c>
      <c r="AT1295" s="17" t="s">
        <v>4754</v>
      </c>
      <c r="AU1295" s="17" t="s">
        <v>76</v>
      </c>
      <c r="AV1295" s="17" t="s">
        <v>271</v>
      </c>
      <c r="AX1295" s="15">
        <v>46086.0</v>
      </c>
      <c r="AY1295" s="16">
        <v>0.625</v>
      </c>
      <c r="AZ1295" s="17" t="s">
        <v>164</v>
      </c>
      <c r="BA1295" s="17" t="s">
        <v>458</v>
      </c>
      <c r="BB1295" s="17" t="s">
        <v>109</v>
      </c>
      <c r="BP1295" s="17" t="s">
        <v>4755</v>
      </c>
      <c r="BR1295" s="24" t="str">
        <f t="shared" si="1"/>
        <v> makhayad al arabi restaurant</v>
      </c>
    </row>
    <row r="1296" ht="22.5" customHeight="1">
      <c r="A1296" s="14">
        <v>46085.453158055556</v>
      </c>
      <c r="B1296" s="15">
        <v>46084.0</v>
      </c>
      <c r="C1296" s="16">
        <v>0.625</v>
      </c>
      <c r="U1296" s="17" t="s">
        <v>4756</v>
      </c>
      <c r="V1296" s="17">
        <v>9.885748057E9</v>
      </c>
      <c r="W1296" s="17" t="s">
        <v>117</v>
      </c>
      <c r="AA1296" s="17" t="s">
        <v>109</v>
      </c>
      <c r="AT1296" s="17" t="s">
        <v>4757</v>
      </c>
      <c r="AU1296" s="17" t="s">
        <v>76</v>
      </c>
      <c r="AV1296" s="17" t="s">
        <v>271</v>
      </c>
      <c r="AX1296" s="15">
        <v>46084.0</v>
      </c>
      <c r="AY1296" s="16">
        <v>0.6458333333357587</v>
      </c>
      <c r="AZ1296" s="17" t="s">
        <v>164</v>
      </c>
      <c r="BA1296" s="17" t="s">
        <v>458</v>
      </c>
      <c r="BB1296" s="17" t="s">
        <v>109</v>
      </c>
      <c r="BP1296" s="17" t="s">
        <v>4758</v>
      </c>
      <c r="BR1296" s="24" t="str">
        <f t="shared" si="1"/>
        <v> felfelah</v>
      </c>
    </row>
    <row r="1297" ht="22.5" customHeight="1">
      <c r="A1297" s="14">
        <v>46085.455796469905</v>
      </c>
      <c r="B1297" s="15">
        <v>46084.0</v>
      </c>
      <c r="C1297" s="16">
        <v>0.6666666666642413</v>
      </c>
      <c r="U1297" s="17" t="s">
        <v>117</v>
      </c>
      <c r="V1297" s="17">
        <v>9.000777275E9</v>
      </c>
      <c r="W1297" s="17" t="s">
        <v>117</v>
      </c>
      <c r="AA1297" s="17" t="s">
        <v>109</v>
      </c>
      <c r="AT1297" s="17" t="s">
        <v>4759</v>
      </c>
      <c r="AU1297" s="17" t="s">
        <v>76</v>
      </c>
      <c r="AV1297" s="17" t="s">
        <v>271</v>
      </c>
      <c r="AX1297" s="15">
        <v>46084.0</v>
      </c>
      <c r="AY1297" s="16">
        <v>0.6666666666642413</v>
      </c>
      <c r="AZ1297" s="17" t="s">
        <v>164</v>
      </c>
      <c r="BA1297" s="17" t="s">
        <v>458</v>
      </c>
      <c r="BB1297" s="17" t="s">
        <v>109</v>
      </c>
      <c r="BP1297" s="17" t="s">
        <v>4760</v>
      </c>
      <c r="BR1297" s="24" t="str">
        <f t="shared" si="1"/>
        <v>azebo </v>
      </c>
    </row>
    <row r="1298" ht="22.5" customHeight="1">
      <c r="A1298" s="14">
        <v>46085.45781486111</v>
      </c>
      <c r="B1298" s="15">
        <v>46084.0</v>
      </c>
      <c r="C1298" s="16">
        <v>0.6666666666642413</v>
      </c>
      <c r="U1298" s="17" t="s">
        <v>4761</v>
      </c>
      <c r="V1298" s="17">
        <v>9.985294783E9</v>
      </c>
      <c r="W1298" s="17" t="s">
        <v>117</v>
      </c>
      <c r="AA1298" s="17" t="s">
        <v>109</v>
      </c>
      <c r="AT1298" s="17" t="s">
        <v>4762</v>
      </c>
      <c r="AU1298" s="17" t="s">
        <v>76</v>
      </c>
      <c r="AV1298" s="17" t="s">
        <v>271</v>
      </c>
      <c r="AX1298" s="15">
        <v>46084.0</v>
      </c>
      <c r="AY1298" s="16">
        <v>0.7291666666642413</v>
      </c>
      <c r="AZ1298" s="17" t="s">
        <v>164</v>
      </c>
      <c r="BA1298" s="17" t="s">
        <v>458</v>
      </c>
      <c r="BB1298" s="17" t="s">
        <v>109</v>
      </c>
      <c r="BP1298" s="17" t="s">
        <v>4763</v>
      </c>
      <c r="BR1298" s="24" t="str">
        <f t="shared" si="1"/>
        <v>ice station</v>
      </c>
    </row>
    <row r="1299" ht="22.5" customHeight="1">
      <c r="A1299" s="14">
        <v>46085.459399907406</v>
      </c>
      <c r="B1299" s="15">
        <v>46084.0</v>
      </c>
      <c r="C1299" s="16">
        <v>0.625</v>
      </c>
      <c r="U1299" s="17" t="s">
        <v>4764</v>
      </c>
      <c r="V1299" s="17">
        <v>9.3910197604E10</v>
      </c>
      <c r="W1299" s="17" t="s">
        <v>117</v>
      </c>
      <c r="AA1299" s="17" t="s">
        <v>109</v>
      </c>
      <c r="AT1299" s="17" t="s">
        <v>4765</v>
      </c>
      <c r="AU1299" s="17" t="s">
        <v>76</v>
      </c>
      <c r="AV1299" s="17" t="s">
        <v>373</v>
      </c>
      <c r="AW1299" s="17" t="s">
        <v>4765</v>
      </c>
      <c r="AX1299" s="15">
        <v>46084.0</v>
      </c>
      <c r="AY1299" s="16">
        <v>0.625</v>
      </c>
      <c r="AZ1299" s="17" t="s">
        <v>164</v>
      </c>
      <c r="BA1299" s="17" t="s">
        <v>458</v>
      </c>
      <c r="BB1299" s="17" t="s">
        <v>109</v>
      </c>
      <c r="BP1299" s="17" t="s">
        <v>4766</v>
      </c>
      <c r="BR1299" s="24" t="str">
        <f t="shared" si="1"/>
        <v>go fresh </v>
      </c>
    </row>
    <row r="1300" ht="22.5" customHeight="1">
      <c r="A1300" s="14">
        <v>46085.46097951389</v>
      </c>
      <c r="B1300" s="15">
        <v>46084.0</v>
      </c>
      <c r="C1300" s="16">
        <v>0.7083333333357587</v>
      </c>
      <c r="U1300" s="17" t="s">
        <v>4767</v>
      </c>
      <c r="V1300" s="17">
        <v>7.989506022E9</v>
      </c>
      <c r="W1300" s="17" t="s">
        <v>117</v>
      </c>
      <c r="AA1300" s="17" t="s">
        <v>109</v>
      </c>
      <c r="AT1300" s="17" t="s">
        <v>4768</v>
      </c>
      <c r="AU1300" s="17" t="s">
        <v>76</v>
      </c>
      <c r="AV1300" s="17" t="s">
        <v>373</v>
      </c>
      <c r="AW1300" s="17" t="s">
        <v>4768</v>
      </c>
      <c r="AX1300" s="15">
        <v>46084.0</v>
      </c>
      <c r="AY1300" s="16">
        <v>0.7291666666642413</v>
      </c>
      <c r="AZ1300" s="17" t="s">
        <v>164</v>
      </c>
      <c r="BA1300" s="17" t="s">
        <v>458</v>
      </c>
      <c r="BB1300" s="17" t="s">
        <v>109</v>
      </c>
      <c r="BP1300" s="17" t="s">
        <v>4769</v>
      </c>
      <c r="BR1300" s="24" t="str">
        <f t="shared" si="1"/>
        <v>shawarma zone </v>
      </c>
    </row>
    <row r="1301" ht="22.5" customHeight="1">
      <c r="A1301" s="14">
        <v>46085.493086319446</v>
      </c>
      <c r="B1301" s="15">
        <v>46084.0</v>
      </c>
      <c r="C1301" s="16">
        <v>0.625</v>
      </c>
      <c r="D1301" s="17" t="s">
        <v>91</v>
      </c>
      <c r="F1301" s="17">
        <v>40.0</v>
      </c>
      <c r="G1301" s="17">
        <v>350.0</v>
      </c>
      <c r="H1301" s="17" t="s">
        <v>184</v>
      </c>
      <c r="I1301" s="17">
        <v>21000.0</v>
      </c>
      <c r="J1301" s="17" t="s">
        <v>167</v>
      </c>
      <c r="K1301" s="17" t="s">
        <v>134</v>
      </c>
      <c r="M1301" s="17">
        <v>18.0</v>
      </c>
      <c r="N1301" s="17">
        <v>2.0</v>
      </c>
      <c r="O1301" s="17" t="s">
        <v>96</v>
      </c>
      <c r="P1301" s="17" t="s">
        <v>109</v>
      </c>
      <c r="Q1301" s="17" t="s">
        <v>97</v>
      </c>
      <c r="R1301" s="17" t="s">
        <v>76</v>
      </c>
      <c r="S1301" s="18" t="s">
        <v>4770</v>
      </c>
      <c r="U1301" s="17" t="s">
        <v>4771</v>
      </c>
      <c r="V1301" s="17">
        <v>8.885303345E9</v>
      </c>
      <c r="W1301" s="17" t="s">
        <v>4772</v>
      </c>
      <c r="AA1301" s="17" t="s">
        <v>76</v>
      </c>
      <c r="AB1301" s="17">
        <v>1.3622013001321E13</v>
      </c>
      <c r="AC1301" s="18" t="s">
        <v>4773</v>
      </c>
      <c r="AF1301" s="17" t="s">
        <v>4774</v>
      </c>
      <c r="AG1301" s="18" t="s">
        <v>4775</v>
      </c>
      <c r="AK1301" s="18" t="s">
        <v>4776</v>
      </c>
      <c r="AL1301" s="17">
        <v>1.0036566072E10</v>
      </c>
      <c r="AM1301" s="17" t="s">
        <v>4777</v>
      </c>
      <c r="AN1301" s="17" t="s">
        <v>4778</v>
      </c>
      <c r="AO1301" s="17" t="s">
        <v>4771</v>
      </c>
      <c r="AP1301" s="17" t="s">
        <v>4779</v>
      </c>
      <c r="AQ1301" s="17" t="s">
        <v>4772</v>
      </c>
      <c r="AR1301" s="17" t="s">
        <v>4771</v>
      </c>
      <c r="AS1301" s="17" t="s">
        <v>76</v>
      </c>
      <c r="AT1301" s="17" t="s">
        <v>193</v>
      </c>
      <c r="AU1301" s="17" t="s">
        <v>109</v>
      </c>
      <c r="AZ1301" s="17" t="s">
        <v>164</v>
      </c>
      <c r="BA1301" s="17" t="s">
        <v>458</v>
      </c>
      <c r="BB1301" s="17" t="s">
        <v>76</v>
      </c>
      <c r="BJ1301" s="16">
        <v>0.47916666666424135</v>
      </c>
      <c r="BK1301" s="16">
        <v>0.9791666666642413</v>
      </c>
      <c r="BL1301" s="17">
        <v>60.0</v>
      </c>
      <c r="BM1301" s="17" t="s">
        <v>4780</v>
      </c>
      <c r="BN1301" s="17" t="s">
        <v>992</v>
      </c>
      <c r="BP1301" s="17" t="s">
        <v>4781</v>
      </c>
      <c r="BR1301" s="24" t="str">
        <f t="shared" si="1"/>
        <v>madhapur bawarchi </v>
      </c>
    </row>
    <row r="1302" ht="22.5" customHeight="1">
      <c r="A1302" s="14">
        <v>46085.97518916667</v>
      </c>
      <c r="B1302" s="15">
        <v>46084.0</v>
      </c>
      <c r="C1302" s="16">
        <v>0.49791666666715173</v>
      </c>
      <c r="D1302" s="17" t="s">
        <v>91</v>
      </c>
      <c r="F1302" s="17">
        <v>20.0</v>
      </c>
      <c r="G1302" s="17">
        <v>400.0</v>
      </c>
      <c r="H1302" s="17" t="s">
        <v>113</v>
      </c>
      <c r="J1302" s="17" t="s">
        <v>94</v>
      </c>
      <c r="K1302" s="17" t="s">
        <v>134</v>
      </c>
      <c r="N1302" s="17">
        <v>1.0</v>
      </c>
      <c r="O1302" s="17" t="s">
        <v>96</v>
      </c>
      <c r="P1302" s="17" t="s">
        <v>109</v>
      </c>
      <c r="Q1302" s="17" t="s">
        <v>97</v>
      </c>
      <c r="R1302" s="17" t="s">
        <v>76</v>
      </c>
      <c r="S1302" s="17" t="s">
        <v>113</v>
      </c>
      <c r="U1302" s="17" t="s">
        <v>113</v>
      </c>
      <c r="V1302" s="17">
        <v>8.801729791E9</v>
      </c>
      <c r="W1302" s="17" t="s">
        <v>113</v>
      </c>
      <c r="AA1302" s="17" t="s">
        <v>109</v>
      </c>
      <c r="AT1302" s="17" t="s">
        <v>113</v>
      </c>
      <c r="AU1302" s="17" t="s">
        <v>76</v>
      </c>
      <c r="AZ1302" s="17" t="s">
        <v>539</v>
      </c>
      <c r="BA1302" s="17" t="s">
        <v>458</v>
      </c>
      <c r="BB1302" s="17" t="s">
        <v>76</v>
      </c>
      <c r="BN1302" s="17" t="s">
        <v>3368</v>
      </c>
      <c r="BP1302" s="17" t="s">
        <v>1536</v>
      </c>
      <c r="BR1302" s="24" t="str">
        <f t="shared" si="1"/>
        <v>mirza </v>
      </c>
    </row>
    <row r="1303" ht="22.5" customHeight="1">
      <c r="A1303" s="14">
        <v>46085.97602724537</v>
      </c>
      <c r="B1303" s="15">
        <v>46084.0</v>
      </c>
      <c r="C1303" s="16">
        <v>0.086111111115315</v>
      </c>
      <c r="U1303" s="17" t="s">
        <v>113</v>
      </c>
      <c r="V1303" s="17" t="s">
        <v>113</v>
      </c>
      <c r="W1303" s="17" t="s">
        <v>113</v>
      </c>
      <c r="AA1303" s="17" t="s">
        <v>109</v>
      </c>
      <c r="AT1303" s="17" t="s">
        <v>113</v>
      </c>
      <c r="AU1303" s="17" t="s">
        <v>76</v>
      </c>
      <c r="AV1303" s="17" t="s">
        <v>472</v>
      </c>
      <c r="AZ1303" s="17" t="s">
        <v>539</v>
      </c>
      <c r="BA1303" s="17" t="s">
        <v>458</v>
      </c>
      <c r="BB1303" s="17" t="s">
        <v>109</v>
      </c>
      <c r="BP1303" s="17" t="s">
        <v>4782</v>
      </c>
      <c r="BR1303" s="24" t="str">
        <f t="shared" si="1"/>
        <v>ustaad</v>
      </c>
    </row>
    <row r="1304" ht="22.5" customHeight="1">
      <c r="A1304" s="14">
        <v>46085.976532546294</v>
      </c>
      <c r="B1304" s="15">
        <v>46084.0</v>
      </c>
      <c r="C1304" s="16">
        <v>0.08680555555474712</v>
      </c>
      <c r="U1304" s="17" t="s">
        <v>113</v>
      </c>
      <c r="V1304" s="17" t="s">
        <v>113</v>
      </c>
      <c r="W1304" s="17" t="s">
        <v>113</v>
      </c>
      <c r="AA1304" s="17" t="s">
        <v>109</v>
      </c>
      <c r="AT1304" s="17" t="s">
        <v>113</v>
      </c>
      <c r="AU1304" s="17" t="s">
        <v>76</v>
      </c>
      <c r="AZ1304" s="17" t="s">
        <v>539</v>
      </c>
      <c r="BA1304" s="17" t="s">
        <v>458</v>
      </c>
      <c r="BB1304" s="17" t="s">
        <v>109</v>
      </c>
      <c r="BP1304" s="17" t="s">
        <v>4783</v>
      </c>
      <c r="BR1304" s="24" t="str">
        <f t="shared" si="1"/>
        <v>lebanase grill</v>
      </c>
    </row>
    <row r="1305" ht="22.5" customHeight="1">
      <c r="A1305" s="14">
        <v>46085.97725008102</v>
      </c>
      <c r="B1305" s="15">
        <v>46084.0</v>
      </c>
      <c r="C1305" s="16">
        <v>0.10069444444525288</v>
      </c>
      <c r="U1305" s="17" t="s">
        <v>4784</v>
      </c>
      <c r="V1305" s="17">
        <v>9.347762647E9</v>
      </c>
      <c r="W1305" s="17" t="s">
        <v>113</v>
      </c>
      <c r="AA1305" s="17" t="s">
        <v>109</v>
      </c>
      <c r="AT1305" s="17" t="s">
        <v>113</v>
      </c>
      <c r="AU1305" s="17" t="s">
        <v>76</v>
      </c>
      <c r="AZ1305" s="17" t="s">
        <v>539</v>
      </c>
      <c r="BA1305" s="17" t="s">
        <v>458</v>
      </c>
      <c r="BB1305" s="17" t="s">
        <v>109</v>
      </c>
      <c r="BP1305" s="17" t="s">
        <v>4785</v>
      </c>
      <c r="BR1305" s="24" t="str">
        <f t="shared" si="1"/>
        <v>mc cafe</v>
      </c>
    </row>
    <row r="1306" ht="22.5" customHeight="1">
      <c r="A1306" s="14">
        <v>46085.97837103009</v>
      </c>
      <c r="B1306" s="15">
        <v>46084.0</v>
      </c>
      <c r="C1306" s="16">
        <v>0.10486111111094942</v>
      </c>
      <c r="D1306" s="17" t="s">
        <v>91</v>
      </c>
      <c r="F1306" s="17">
        <v>200.0</v>
      </c>
      <c r="G1306" s="17">
        <v>400.0</v>
      </c>
      <c r="H1306" s="17" t="s">
        <v>113</v>
      </c>
      <c r="J1306" s="17" t="s">
        <v>167</v>
      </c>
      <c r="K1306" s="17" t="s">
        <v>134</v>
      </c>
      <c r="N1306" s="17">
        <v>34.0</v>
      </c>
      <c r="O1306" s="17" t="s">
        <v>96</v>
      </c>
      <c r="P1306" s="17" t="s">
        <v>76</v>
      </c>
      <c r="Q1306" s="17" t="s">
        <v>97</v>
      </c>
      <c r="R1306" s="17" t="s">
        <v>76</v>
      </c>
      <c r="S1306" s="17" t="s">
        <v>113</v>
      </c>
      <c r="U1306" s="17" t="s">
        <v>4786</v>
      </c>
      <c r="V1306" s="17" t="s">
        <v>113</v>
      </c>
      <c r="W1306" s="17" t="s">
        <v>113</v>
      </c>
      <c r="AA1306" s="17" t="s">
        <v>109</v>
      </c>
      <c r="AT1306" s="17" t="s">
        <v>113</v>
      </c>
      <c r="AU1306" s="17" t="s">
        <v>76</v>
      </c>
      <c r="AV1306" s="17" t="s">
        <v>472</v>
      </c>
      <c r="AZ1306" s="17" t="s">
        <v>539</v>
      </c>
      <c r="BA1306" s="17" t="s">
        <v>458</v>
      </c>
      <c r="BB1306" s="17" t="s">
        <v>76</v>
      </c>
      <c r="BN1306" s="17" t="s">
        <v>4787</v>
      </c>
      <c r="BP1306" s="17" t="s">
        <v>4788</v>
      </c>
      <c r="BR1306" s="24" t="str">
        <f t="shared" si="1"/>
        <v>paradise </v>
      </c>
    </row>
    <row r="1307" ht="22.5" customHeight="1">
      <c r="A1307" s="14">
        <v>46085.97936125</v>
      </c>
      <c r="B1307" s="15">
        <v>46084.0</v>
      </c>
      <c r="C1307" s="16">
        <v>0.10833333333721384</v>
      </c>
      <c r="D1307" s="17" t="s">
        <v>91</v>
      </c>
      <c r="F1307" s="17">
        <v>200.0</v>
      </c>
      <c r="G1307" s="17">
        <v>600.0</v>
      </c>
      <c r="H1307" s="17" t="s">
        <v>113</v>
      </c>
      <c r="J1307" s="17" t="s">
        <v>167</v>
      </c>
      <c r="K1307" s="17" t="s">
        <v>134</v>
      </c>
      <c r="N1307" s="17">
        <v>27.0</v>
      </c>
      <c r="O1307" s="17" t="s">
        <v>96</v>
      </c>
      <c r="P1307" s="17" t="s">
        <v>76</v>
      </c>
      <c r="Q1307" s="17" t="s">
        <v>97</v>
      </c>
      <c r="R1307" s="17" t="s">
        <v>76</v>
      </c>
      <c r="S1307" s="17" t="s">
        <v>113</v>
      </c>
      <c r="U1307" s="17" t="s">
        <v>113</v>
      </c>
      <c r="V1307" s="17">
        <v>9.652374967E9</v>
      </c>
      <c r="W1307" s="17" t="s">
        <v>113</v>
      </c>
      <c r="AA1307" s="17" t="s">
        <v>109</v>
      </c>
      <c r="AT1307" s="17" t="s">
        <v>113</v>
      </c>
      <c r="AU1307" s="17" t="s">
        <v>76</v>
      </c>
      <c r="AV1307" s="17" t="s">
        <v>472</v>
      </c>
      <c r="AZ1307" s="17" t="s">
        <v>539</v>
      </c>
      <c r="BA1307" s="17" t="s">
        <v>458</v>
      </c>
      <c r="BB1307" s="17" t="s">
        <v>76</v>
      </c>
      <c r="BN1307" s="17" t="s">
        <v>2900</v>
      </c>
      <c r="BP1307" s="17" t="s">
        <v>4789</v>
      </c>
      <c r="BR1307" s="24" t="str">
        <f t="shared" si="1"/>
        <v>pizza hut </v>
      </c>
    </row>
    <row r="1308" ht="22.5" customHeight="1">
      <c r="A1308" s="14">
        <v>46085.98044328704</v>
      </c>
      <c r="B1308" s="15">
        <v>46084.0</v>
      </c>
      <c r="C1308" s="16">
        <v>0.11180555555620231</v>
      </c>
      <c r="D1308" s="17" t="s">
        <v>91</v>
      </c>
      <c r="F1308" s="17">
        <v>200.0</v>
      </c>
      <c r="G1308" s="17">
        <v>600.0</v>
      </c>
      <c r="H1308" s="17" t="s">
        <v>113</v>
      </c>
      <c r="J1308" s="17" t="s">
        <v>167</v>
      </c>
      <c r="K1308" s="17" t="s">
        <v>134</v>
      </c>
      <c r="N1308" s="17">
        <v>38.0</v>
      </c>
      <c r="O1308" s="17" t="s">
        <v>96</v>
      </c>
      <c r="P1308" s="17" t="s">
        <v>76</v>
      </c>
      <c r="Q1308" s="17" t="s">
        <v>97</v>
      </c>
      <c r="R1308" s="17" t="s">
        <v>76</v>
      </c>
      <c r="S1308" s="17" t="s">
        <v>113</v>
      </c>
      <c r="U1308" s="17" t="s">
        <v>113</v>
      </c>
      <c r="V1308" s="17">
        <v>9.398596919E9</v>
      </c>
      <c r="W1308" s="17" t="s">
        <v>113</v>
      </c>
      <c r="AA1308" s="17" t="s">
        <v>109</v>
      </c>
      <c r="AT1308" s="17" t="s">
        <v>4790</v>
      </c>
      <c r="AU1308" s="17" t="s">
        <v>76</v>
      </c>
      <c r="AZ1308" s="17" t="s">
        <v>539</v>
      </c>
      <c r="BA1308" s="17" t="s">
        <v>458</v>
      </c>
      <c r="BB1308" s="17" t="s">
        <v>76</v>
      </c>
      <c r="BN1308" s="17" t="s">
        <v>2900</v>
      </c>
      <c r="BP1308" s="17" t="s">
        <v>4791</v>
      </c>
      <c r="BR1308" s="24" t="str">
        <f t="shared" si="1"/>
        <v>kfc </v>
      </c>
    </row>
    <row r="1309" ht="22.5" customHeight="1">
      <c r="A1309" s="14">
        <v>46085.98129725695</v>
      </c>
      <c r="B1309" s="15">
        <v>46084.0</v>
      </c>
      <c r="C1309" s="16">
        <v>0.11527777777519077</v>
      </c>
      <c r="D1309" s="17" t="s">
        <v>111</v>
      </c>
      <c r="T1309" s="17" t="s">
        <v>4792</v>
      </c>
      <c r="U1309" s="17">
        <v>7.995259345E9</v>
      </c>
      <c r="V1309" s="17" t="s">
        <v>4793</v>
      </c>
      <c r="W1309" s="17" t="s">
        <v>4066</v>
      </c>
      <c r="AA1309" s="17" t="s">
        <v>109</v>
      </c>
      <c r="AT1309" s="17" t="s">
        <v>113</v>
      </c>
      <c r="AU1309" s="17" t="s">
        <v>76</v>
      </c>
      <c r="AZ1309" s="17" t="s">
        <v>539</v>
      </c>
      <c r="BA1309" s="17" t="s">
        <v>458</v>
      </c>
      <c r="BB1309" s="17" t="s">
        <v>76</v>
      </c>
      <c r="BP1309" s="17" t="s">
        <v>4794</v>
      </c>
      <c r="BR1309" s="24" t="str">
        <f t="shared" si="1"/>
        <v>mfc mfc</v>
      </c>
    </row>
    <row r="1310" ht="22.5" customHeight="1">
      <c r="A1310" s="14">
        <v>46085.982453055556</v>
      </c>
      <c r="B1310" s="15">
        <v>46084.0</v>
      </c>
      <c r="C1310" s="16">
        <v>0.11805555555474712</v>
      </c>
      <c r="D1310" s="17" t="s">
        <v>91</v>
      </c>
      <c r="F1310" s="17">
        <v>300.0</v>
      </c>
      <c r="G1310" s="17">
        <v>400.0</v>
      </c>
      <c r="H1310" s="17" t="s">
        <v>113</v>
      </c>
      <c r="J1310" s="17" t="s">
        <v>167</v>
      </c>
      <c r="N1310" s="17">
        <v>3.0</v>
      </c>
      <c r="O1310" s="17" t="s">
        <v>96</v>
      </c>
      <c r="P1310" s="17" t="s">
        <v>76</v>
      </c>
      <c r="Q1310" s="17" t="s">
        <v>97</v>
      </c>
      <c r="R1310" s="17" t="s">
        <v>76</v>
      </c>
      <c r="S1310" s="17" t="s">
        <v>113</v>
      </c>
      <c r="U1310" s="17" t="s">
        <v>4795</v>
      </c>
      <c r="V1310" s="17">
        <v>9.100086888E9</v>
      </c>
      <c r="W1310" s="17" t="s">
        <v>113</v>
      </c>
      <c r="AA1310" s="17" t="s">
        <v>109</v>
      </c>
      <c r="AT1310" s="17" t="s">
        <v>113</v>
      </c>
      <c r="AU1310" s="17" t="s">
        <v>76</v>
      </c>
      <c r="AV1310" s="17" t="s">
        <v>472</v>
      </c>
      <c r="AZ1310" s="17" t="s">
        <v>539</v>
      </c>
      <c r="BA1310" s="17" t="s">
        <v>458</v>
      </c>
      <c r="BB1310" s="17" t="s">
        <v>76</v>
      </c>
      <c r="BN1310" s="17" t="s">
        <v>2900</v>
      </c>
      <c r="BP1310" s="17" t="s">
        <v>4796</v>
      </c>
      <c r="BR1310" s="24" t="str">
        <f t="shared" si="1"/>
        <v>momo street</v>
      </c>
    </row>
    <row r="1311" ht="22.5" customHeight="1">
      <c r="A1311" s="14">
        <v>46085.98353671296</v>
      </c>
      <c r="B1311" s="15">
        <v>46084.0</v>
      </c>
      <c r="C1311" s="16">
        <v>0.12152777778101154</v>
      </c>
      <c r="D1311" s="17" t="s">
        <v>91</v>
      </c>
      <c r="F1311" s="17">
        <v>300.0</v>
      </c>
      <c r="G1311" s="17">
        <v>400.0</v>
      </c>
      <c r="H1311" s="17" t="s">
        <v>651</v>
      </c>
      <c r="J1311" s="17" t="s">
        <v>167</v>
      </c>
      <c r="K1311" s="17" t="s">
        <v>134</v>
      </c>
      <c r="N1311" s="17">
        <v>23.0</v>
      </c>
      <c r="O1311" s="17" t="s">
        <v>96</v>
      </c>
      <c r="P1311" s="17" t="s">
        <v>76</v>
      </c>
      <c r="Q1311" s="17" t="s">
        <v>97</v>
      </c>
      <c r="R1311" s="17" t="s">
        <v>76</v>
      </c>
      <c r="S1311" s="17" t="s">
        <v>113</v>
      </c>
      <c r="U1311" s="17" t="s">
        <v>4797</v>
      </c>
      <c r="V1311" s="17">
        <v>9.392458705E9</v>
      </c>
      <c r="W1311" s="17" t="s">
        <v>113</v>
      </c>
      <c r="AA1311" s="17" t="s">
        <v>109</v>
      </c>
      <c r="AT1311" s="17" t="s">
        <v>4798</v>
      </c>
      <c r="AU1311" s="17" t="s">
        <v>76</v>
      </c>
      <c r="AZ1311" s="17" t="s">
        <v>539</v>
      </c>
      <c r="BA1311" s="17" t="s">
        <v>458</v>
      </c>
      <c r="BB1311" s="17" t="s">
        <v>76</v>
      </c>
      <c r="BN1311" s="17" t="s">
        <v>4799</v>
      </c>
      <c r="BP1311" s="17" t="s">
        <v>4800</v>
      </c>
      <c r="BR1311" s="24" t="str">
        <f t="shared" si="1"/>
        <v>pista house</v>
      </c>
    </row>
    <row r="1312" ht="22.5" customHeight="1">
      <c r="A1312" s="14">
        <v>46085.984609340274</v>
      </c>
      <c r="B1312" s="15">
        <v>46084.0</v>
      </c>
      <c r="C1312" s="16">
        <v>0.125</v>
      </c>
      <c r="D1312" s="17" t="s">
        <v>91</v>
      </c>
      <c r="F1312" s="17">
        <v>300.0</v>
      </c>
      <c r="G1312" s="17">
        <v>200.0</v>
      </c>
      <c r="H1312" s="17" t="s">
        <v>113</v>
      </c>
      <c r="J1312" s="17" t="s">
        <v>167</v>
      </c>
      <c r="N1312" s="17">
        <v>112.0</v>
      </c>
      <c r="O1312" s="17" t="s">
        <v>96</v>
      </c>
      <c r="P1312" s="17" t="s">
        <v>76</v>
      </c>
      <c r="Q1312" s="17" t="s">
        <v>97</v>
      </c>
      <c r="R1312" s="17" t="s">
        <v>76</v>
      </c>
      <c r="S1312" s="17" t="s">
        <v>113</v>
      </c>
      <c r="U1312" s="17" t="s">
        <v>4801</v>
      </c>
      <c r="V1312" s="17">
        <v>7.397400542E9</v>
      </c>
      <c r="W1312" s="17" t="s">
        <v>113</v>
      </c>
      <c r="AA1312" s="17" t="s">
        <v>109</v>
      </c>
      <c r="AT1312" s="17" t="s">
        <v>113</v>
      </c>
      <c r="AU1312" s="17" t="s">
        <v>76</v>
      </c>
      <c r="AZ1312" s="17" t="s">
        <v>539</v>
      </c>
      <c r="BA1312" s="17" t="s">
        <v>458</v>
      </c>
      <c r="BB1312" s="17" t="s">
        <v>76</v>
      </c>
      <c r="BN1312" s="17" t="s">
        <v>2900</v>
      </c>
      <c r="BP1312" s="17" t="s">
        <v>3095</v>
      </c>
      <c r="BR1312" s="24" t="str">
        <f t="shared" si="1"/>
        <v>cafe coffee day</v>
      </c>
    </row>
    <row r="1313" ht="22.5" customHeight="1">
      <c r="A1313" s="14">
        <v>46085.9852114699</v>
      </c>
      <c r="B1313" s="15">
        <v>46084.0</v>
      </c>
      <c r="C1313" s="16">
        <v>0.20833333333575865</v>
      </c>
      <c r="U1313" s="17" t="s">
        <v>113</v>
      </c>
      <c r="V1313" s="17" t="s">
        <v>113</v>
      </c>
      <c r="W1313" s="17" t="s">
        <v>113</v>
      </c>
      <c r="AA1313" s="17" t="s">
        <v>109</v>
      </c>
      <c r="AT1313" s="17" t="s">
        <v>113</v>
      </c>
      <c r="AU1313" s="17" t="s">
        <v>76</v>
      </c>
      <c r="AZ1313" s="17" t="s">
        <v>539</v>
      </c>
      <c r="BA1313" s="17" t="s">
        <v>458</v>
      </c>
      <c r="BB1313" s="17" t="s">
        <v>109</v>
      </c>
      <c r="BP1313" s="17" t="s">
        <v>4802</v>
      </c>
      <c r="BR1313" s="24" t="str">
        <f t="shared" si="1"/>
        <v>toops</v>
      </c>
    </row>
    <row r="1314" ht="22.5" customHeight="1">
      <c r="A1314" s="14">
        <v>46085.98566547454</v>
      </c>
      <c r="B1314" s="15">
        <v>46084.0</v>
      </c>
      <c r="C1314" s="16">
        <v>0.22222222221898846</v>
      </c>
      <c r="U1314" s="17" t="s">
        <v>113</v>
      </c>
      <c r="V1314" s="17" t="s">
        <v>113</v>
      </c>
      <c r="W1314" s="17" t="s">
        <v>4803</v>
      </c>
      <c r="AA1314" s="17" t="s">
        <v>109</v>
      </c>
      <c r="AT1314" s="17" t="s">
        <v>113</v>
      </c>
      <c r="AU1314" s="17" t="s">
        <v>76</v>
      </c>
      <c r="AZ1314" s="17" t="s">
        <v>539</v>
      </c>
      <c r="BA1314" s="17" t="s">
        <v>458</v>
      </c>
      <c r="BB1314" s="17" t="s">
        <v>109</v>
      </c>
      <c r="BP1314" s="17" t="s">
        <v>4804</v>
      </c>
      <c r="BR1314" s="24" t="str">
        <f t="shared" si="1"/>
        <v>the whole in the wall</v>
      </c>
    </row>
    <row r="1315" ht="22.5" customHeight="1">
      <c r="A1315" s="14">
        <v>46085.98628429398</v>
      </c>
      <c r="B1315" s="15">
        <v>46084.0</v>
      </c>
      <c r="C1315" s="16">
        <v>0.25</v>
      </c>
      <c r="U1315" s="17" t="s">
        <v>113</v>
      </c>
      <c r="V1315" s="17" t="s">
        <v>113</v>
      </c>
      <c r="W1315" s="17" t="s">
        <v>113</v>
      </c>
      <c r="AA1315" s="17" t="s">
        <v>109</v>
      </c>
      <c r="AT1315" s="17" t="s">
        <v>113</v>
      </c>
      <c r="AU1315" s="17" t="s">
        <v>109</v>
      </c>
      <c r="AZ1315" s="17" t="s">
        <v>539</v>
      </c>
      <c r="BA1315" s="17" t="s">
        <v>458</v>
      </c>
      <c r="BB1315" s="17" t="s">
        <v>109</v>
      </c>
      <c r="BP1315" s="17" t="s">
        <v>4805</v>
      </c>
      <c r="BR1315" s="24" t="str">
        <f t="shared" si="1"/>
        <v>rs biryani</v>
      </c>
    </row>
    <row r="1316" ht="22.5" customHeight="1">
      <c r="A1316" s="14">
        <v>46085.98665712963</v>
      </c>
      <c r="B1316" s="15">
        <v>46084.0</v>
      </c>
      <c r="C1316" s="16">
        <v>0.25</v>
      </c>
      <c r="U1316" s="17" t="s">
        <v>113</v>
      </c>
      <c r="V1316" s="17" t="s">
        <v>113</v>
      </c>
      <c r="W1316" s="17" t="s">
        <v>113</v>
      </c>
      <c r="AA1316" s="17" t="s">
        <v>109</v>
      </c>
      <c r="AT1316" s="17" t="s">
        <v>113</v>
      </c>
      <c r="AU1316" s="17" t="s">
        <v>109</v>
      </c>
      <c r="AZ1316" s="17" t="s">
        <v>539</v>
      </c>
      <c r="BA1316" s="17" t="s">
        <v>458</v>
      </c>
      <c r="BB1316" s="17" t="s">
        <v>109</v>
      </c>
      <c r="BP1316" s="17" t="s">
        <v>3779</v>
      </c>
      <c r="BR1316" s="24" t="str">
        <f t="shared" si="1"/>
        <v>shake it up</v>
      </c>
    </row>
    <row r="1317" ht="22.5" customHeight="1">
      <c r="A1317" s="14">
        <v>46085.987568125</v>
      </c>
      <c r="B1317" s="15">
        <v>46084.0</v>
      </c>
      <c r="C1317" s="16">
        <v>0.27083333333575865</v>
      </c>
      <c r="D1317" s="17" t="s">
        <v>91</v>
      </c>
      <c r="F1317" s="17">
        <v>20.0</v>
      </c>
      <c r="G1317" s="17">
        <v>300.0</v>
      </c>
      <c r="H1317" s="17" t="s">
        <v>113</v>
      </c>
      <c r="J1317" s="17" t="s">
        <v>167</v>
      </c>
      <c r="K1317" s="17" t="s">
        <v>273</v>
      </c>
      <c r="N1317" s="17">
        <v>12.0</v>
      </c>
      <c r="O1317" s="17" t="s">
        <v>96</v>
      </c>
      <c r="P1317" s="17" t="s">
        <v>76</v>
      </c>
      <c r="Q1317" s="17" t="s">
        <v>97</v>
      </c>
      <c r="R1317" s="17" t="s">
        <v>76</v>
      </c>
      <c r="S1317" s="17" t="s">
        <v>4798</v>
      </c>
      <c r="U1317" s="17" t="s">
        <v>113</v>
      </c>
      <c r="V1317" s="17" t="s">
        <v>113</v>
      </c>
      <c r="W1317" s="17" t="s">
        <v>113</v>
      </c>
      <c r="AA1317" s="17" t="s">
        <v>109</v>
      </c>
      <c r="AT1317" s="17" t="s">
        <v>113</v>
      </c>
      <c r="AU1317" s="17" t="s">
        <v>76</v>
      </c>
      <c r="AZ1317" s="17" t="s">
        <v>539</v>
      </c>
      <c r="BA1317" s="17" t="s">
        <v>458</v>
      </c>
      <c r="BB1317" s="17" t="s">
        <v>76</v>
      </c>
      <c r="BN1317" s="17" t="s">
        <v>4806</v>
      </c>
      <c r="BP1317" s="17" t="s">
        <v>4807</v>
      </c>
      <c r="BR1317" s="24" t="str">
        <f t="shared" si="1"/>
        <v>scandy </v>
      </c>
    </row>
    <row r="1318" ht="22.5" customHeight="1">
      <c r="A1318" s="14">
        <v>46085.989863090275</v>
      </c>
      <c r="B1318" s="15">
        <v>46083.0</v>
      </c>
      <c r="C1318" s="16">
        <v>0.45833333333575865</v>
      </c>
      <c r="D1318" s="17" t="s">
        <v>91</v>
      </c>
      <c r="F1318" s="17">
        <v>75.0</v>
      </c>
      <c r="G1318" s="17">
        <v>300.0</v>
      </c>
      <c r="H1318" s="17" t="s">
        <v>291</v>
      </c>
      <c r="J1318" s="17" t="s">
        <v>167</v>
      </c>
      <c r="K1318" s="17" t="s">
        <v>134</v>
      </c>
      <c r="N1318" s="17">
        <v>7.0</v>
      </c>
      <c r="O1318" s="17" t="s">
        <v>135</v>
      </c>
      <c r="P1318" s="17" t="s">
        <v>76</v>
      </c>
      <c r="Q1318" s="17" t="s">
        <v>97</v>
      </c>
      <c r="R1318" s="17" t="s">
        <v>76</v>
      </c>
      <c r="S1318" s="17" t="s">
        <v>113</v>
      </c>
      <c r="U1318" s="17" t="s">
        <v>4808</v>
      </c>
      <c r="V1318" s="17" t="s">
        <v>113</v>
      </c>
      <c r="W1318" s="17" t="s">
        <v>113</v>
      </c>
      <c r="AA1318" s="17" t="s">
        <v>109</v>
      </c>
      <c r="AT1318" s="17" t="s">
        <v>4809</v>
      </c>
      <c r="AU1318" s="17" t="s">
        <v>109</v>
      </c>
      <c r="AZ1318" s="17" t="s">
        <v>539</v>
      </c>
      <c r="BA1318" s="17" t="s">
        <v>458</v>
      </c>
      <c r="BB1318" s="17" t="s">
        <v>76</v>
      </c>
      <c r="BN1318" s="17" t="s">
        <v>4810</v>
      </c>
      <c r="BP1318" s="17" t="s">
        <v>4005</v>
      </c>
      <c r="BR1318" s="24" t="str">
        <f t="shared" si="1"/>
        <v>taaza tiffens </v>
      </c>
    </row>
    <row r="1319" ht="22.5" customHeight="1">
      <c r="A1319" s="14">
        <v>46085.99052987268</v>
      </c>
      <c r="B1319" s="15">
        <v>46084.0</v>
      </c>
      <c r="C1319" s="16">
        <v>0.5</v>
      </c>
      <c r="U1319" s="17" t="s">
        <v>113</v>
      </c>
      <c r="V1319" s="17" t="s">
        <v>113</v>
      </c>
      <c r="W1319" s="17" t="s">
        <v>113</v>
      </c>
      <c r="AA1319" s="17" t="s">
        <v>109</v>
      </c>
      <c r="AT1319" s="17" t="s">
        <v>4811</v>
      </c>
      <c r="AU1319" s="17" t="s">
        <v>109</v>
      </c>
      <c r="AZ1319" s="17" t="s">
        <v>539</v>
      </c>
      <c r="BA1319" s="17" t="s">
        <v>458</v>
      </c>
      <c r="BB1319" s="17" t="s">
        <v>109</v>
      </c>
      <c r="BP1319" s="17" t="s">
        <v>4812</v>
      </c>
      <c r="BR1319" s="24" t="str">
        <f t="shared" si="1"/>
        <v>darbar street</v>
      </c>
    </row>
    <row r="1320" ht="22.5" customHeight="1">
      <c r="A1320" s="14">
        <v>46085.99124265046</v>
      </c>
      <c r="B1320" s="15">
        <v>46083.0</v>
      </c>
      <c r="C1320" s="16">
        <v>0.08333333333575865</v>
      </c>
      <c r="U1320" s="17" t="s">
        <v>3099</v>
      </c>
      <c r="V1320" s="17" t="s">
        <v>113</v>
      </c>
      <c r="W1320" s="17" t="s">
        <v>113</v>
      </c>
      <c r="AA1320" s="17" t="s">
        <v>109</v>
      </c>
      <c r="AT1320" s="17" t="s">
        <v>4813</v>
      </c>
      <c r="AU1320" s="17" t="s">
        <v>109</v>
      </c>
      <c r="AZ1320" s="17" t="s">
        <v>539</v>
      </c>
      <c r="BA1320" s="17" t="s">
        <v>458</v>
      </c>
      <c r="BB1320" s="17" t="s">
        <v>109</v>
      </c>
      <c r="BP1320" s="17" t="s">
        <v>2911</v>
      </c>
      <c r="BR1320" s="24" t="str">
        <f t="shared" si="1"/>
        <v>avani restraunt </v>
      </c>
    </row>
    <row r="1321" ht="22.5" customHeight="1">
      <c r="A1321" s="14">
        <v>46085.99209575231</v>
      </c>
      <c r="B1321" s="15">
        <v>46083.0</v>
      </c>
      <c r="C1321" s="16">
        <v>0.125</v>
      </c>
      <c r="D1321" s="17" t="s">
        <v>111</v>
      </c>
      <c r="T1321" s="17" t="s">
        <v>4814</v>
      </c>
      <c r="U1321" s="17" t="s">
        <v>4815</v>
      </c>
      <c r="V1321" s="17">
        <v>8.1795347E9</v>
      </c>
      <c r="W1321" s="17" t="s">
        <v>113</v>
      </c>
      <c r="AA1321" s="17" t="s">
        <v>109</v>
      </c>
      <c r="AT1321" s="17" t="s">
        <v>113</v>
      </c>
      <c r="AU1321" s="17" t="s">
        <v>76</v>
      </c>
      <c r="AZ1321" s="17" t="s">
        <v>539</v>
      </c>
      <c r="BA1321" s="17" t="s">
        <v>458</v>
      </c>
      <c r="BB1321" s="17" t="s">
        <v>76</v>
      </c>
      <c r="BP1321" s="17" t="s">
        <v>4814</v>
      </c>
      <c r="BR1321" s="24" t="str">
        <f t="shared" si="1"/>
        <v>kamat hotel kamat hotel </v>
      </c>
    </row>
    <row r="1322" ht="22.5" customHeight="1">
      <c r="A1322" s="14">
        <v>46085.993177118056</v>
      </c>
      <c r="B1322" s="15">
        <v>46083.0</v>
      </c>
      <c r="C1322" s="16">
        <v>0.20833333333575865</v>
      </c>
      <c r="D1322" s="17" t="s">
        <v>91</v>
      </c>
      <c r="F1322" s="17">
        <v>50.0</v>
      </c>
      <c r="G1322" s="17">
        <v>300.0</v>
      </c>
      <c r="H1322" s="17" t="s">
        <v>113</v>
      </c>
      <c r="J1322" s="17" t="s">
        <v>167</v>
      </c>
      <c r="K1322" s="17" t="s">
        <v>134</v>
      </c>
      <c r="N1322" s="17">
        <v>1.0</v>
      </c>
      <c r="O1322" s="17" t="s">
        <v>96</v>
      </c>
      <c r="P1322" s="17" t="s">
        <v>109</v>
      </c>
      <c r="Q1322" s="17" t="s">
        <v>97</v>
      </c>
      <c r="R1322" s="17" t="s">
        <v>76</v>
      </c>
      <c r="S1322" s="17" t="s">
        <v>113</v>
      </c>
      <c r="U1322" s="17" t="s">
        <v>4816</v>
      </c>
      <c r="V1322" s="17">
        <v>9.030944113E9</v>
      </c>
      <c r="W1322" s="17" t="s">
        <v>113</v>
      </c>
      <c r="AA1322" s="17" t="s">
        <v>109</v>
      </c>
      <c r="AT1322" s="17" t="s">
        <v>113</v>
      </c>
      <c r="AU1322" s="17" t="s">
        <v>76</v>
      </c>
      <c r="AZ1322" s="17" t="s">
        <v>539</v>
      </c>
      <c r="BA1322" s="17" t="s">
        <v>458</v>
      </c>
      <c r="BB1322" s="17" t="s">
        <v>76</v>
      </c>
      <c r="BN1322" s="17" t="s">
        <v>2900</v>
      </c>
      <c r="BP1322" s="17" t="s">
        <v>4817</v>
      </c>
      <c r="BR1322" s="24" t="str">
        <f t="shared" si="1"/>
        <v>the eatary hub </v>
      </c>
    </row>
    <row r="1323" ht="22.5" customHeight="1">
      <c r="A1323" s="14">
        <v>46085.99397664352</v>
      </c>
      <c r="B1323" s="15">
        <v>46084.0</v>
      </c>
      <c r="C1323" s="16">
        <v>0.25</v>
      </c>
      <c r="U1323" s="17" t="s">
        <v>113</v>
      </c>
      <c r="V1323" s="17" t="s">
        <v>113</v>
      </c>
      <c r="W1323" s="17" t="s">
        <v>113</v>
      </c>
      <c r="AA1323" s="17" t="s">
        <v>109</v>
      </c>
      <c r="AT1323" s="17" t="s">
        <v>113</v>
      </c>
      <c r="AU1323" s="17" t="s">
        <v>76</v>
      </c>
      <c r="AZ1323" s="17" t="s">
        <v>539</v>
      </c>
      <c r="BA1323" s="17" t="s">
        <v>458</v>
      </c>
      <c r="BB1323" s="17" t="s">
        <v>109</v>
      </c>
      <c r="BP1323" s="17" t="s">
        <v>4818</v>
      </c>
      <c r="BR1323" s="24" t="str">
        <f t="shared" si="1"/>
        <v>bhwaneee multicsine</v>
      </c>
    </row>
    <row r="1324" ht="22.5" customHeight="1">
      <c r="A1324" s="14">
        <v>46086.59644291666</v>
      </c>
      <c r="B1324" s="15">
        <v>46086.0</v>
      </c>
      <c r="C1324" s="16">
        <v>0.5944444444467081</v>
      </c>
      <c r="D1324" s="17" t="s">
        <v>111</v>
      </c>
      <c r="T1324" s="17" t="s">
        <v>4819</v>
      </c>
      <c r="U1324" s="17" t="s">
        <v>4820</v>
      </c>
      <c r="V1324" s="17">
        <v>9.550045222E9</v>
      </c>
      <c r="W1324" s="17" t="s">
        <v>388</v>
      </c>
      <c r="AA1324" s="17" t="s">
        <v>109</v>
      </c>
      <c r="AT1324" s="17" t="s">
        <v>4821</v>
      </c>
      <c r="AU1324" s="17" t="s">
        <v>76</v>
      </c>
      <c r="AV1324" s="17" t="s">
        <v>4822</v>
      </c>
      <c r="AZ1324" s="17" t="s">
        <v>243</v>
      </c>
      <c r="BA1324" s="17" t="s">
        <v>458</v>
      </c>
      <c r="BB1324" s="17" t="s">
        <v>76</v>
      </c>
      <c r="BP1324" s="17" t="s">
        <v>4823</v>
      </c>
      <c r="BR1324" s="24" t="str">
        <f t="shared" si="1"/>
        <v>Idv kitchen munthamasalaIDV muntha masala</v>
      </c>
    </row>
    <row r="1325" ht="22.5" customHeight="1">
      <c r="A1325" s="14">
        <v>46086.601387372684</v>
      </c>
      <c r="B1325" s="15">
        <v>46086.0</v>
      </c>
      <c r="C1325" s="16">
        <v>0.6006944444452529</v>
      </c>
      <c r="U1325" s="17" t="s">
        <v>388</v>
      </c>
      <c r="V1325" s="17">
        <v>6.300703058E9</v>
      </c>
      <c r="W1325" s="17" t="s">
        <v>388</v>
      </c>
      <c r="AA1325" s="17" t="s">
        <v>109</v>
      </c>
      <c r="AT1325" s="17" t="s">
        <v>4824</v>
      </c>
      <c r="AU1325" s="17" t="s">
        <v>76</v>
      </c>
      <c r="AZ1325" s="17" t="s">
        <v>243</v>
      </c>
      <c r="BA1325" s="17" t="s">
        <v>458</v>
      </c>
      <c r="BB1325" s="17" t="s">
        <v>109</v>
      </c>
      <c r="BP1325" s="17" t="s">
        <v>4825</v>
      </c>
      <c r="BR1325" s="24" t="str">
        <f t="shared" si="1"/>
        <v>Balaji mitai bhander</v>
      </c>
    </row>
    <row r="1326" ht="22.5" customHeight="1">
      <c r="A1326" s="14">
        <v>46086.60342126158</v>
      </c>
      <c r="B1326" s="15">
        <v>46086.0</v>
      </c>
      <c r="C1326" s="16">
        <v>0.6027777777781012</v>
      </c>
      <c r="U1326" s="17" t="s">
        <v>4826</v>
      </c>
      <c r="V1326" s="17">
        <v>8.4660342E9</v>
      </c>
      <c r="W1326" s="17" t="s">
        <v>388</v>
      </c>
      <c r="AA1326" s="17" t="s">
        <v>109</v>
      </c>
      <c r="AT1326" s="17" t="s">
        <v>4827</v>
      </c>
      <c r="AU1326" s="17" t="s">
        <v>76</v>
      </c>
      <c r="AZ1326" s="17" t="s">
        <v>243</v>
      </c>
      <c r="BA1326" s="17" t="s">
        <v>458</v>
      </c>
      <c r="BB1326" s="17" t="s">
        <v>109</v>
      </c>
      <c r="BP1326" s="17" t="s">
        <v>4651</v>
      </c>
      <c r="BR1326" s="24" t="str">
        <f t="shared" si="1"/>
        <v>Swaad curries and tiffins </v>
      </c>
    </row>
    <row r="1327" ht="22.5" customHeight="1">
      <c r="A1327" s="14">
        <v>46086.60816422454</v>
      </c>
      <c r="B1327" s="15">
        <v>46086.0</v>
      </c>
      <c r="C1327" s="16">
        <v>0.6069444444437977</v>
      </c>
      <c r="U1327" s="17" t="s">
        <v>957</v>
      </c>
      <c r="V1327" s="17" t="s">
        <v>388</v>
      </c>
      <c r="W1327" s="17" t="s">
        <v>388</v>
      </c>
      <c r="AA1327" s="17" t="s">
        <v>109</v>
      </c>
      <c r="AT1327" s="17" t="s">
        <v>4828</v>
      </c>
      <c r="AU1327" s="17" t="s">
        <v>109</v>
      </c>
      <c r="AZ1327" s="17" t="s">
        <v>243</v>
      </c>
      <c r="BA1327" s="17" t="s">
        <v>458</v>
      </c>
      <c r="BB1327" s="17" t="s">
        <v>109</v>
      </c>
      <c r="BP1327" s="17" t="s">
        <v>4829</v>
      </c>
      <c r="BR1327" s="24" t="str">
        <f t="shared" si="1"/>
        <v>Laxmi godavari ruchulu </v>
      </c>
    </row>
    <row r="1328" ht="22.5" customHeight="1">
      <c r="A1328" s="14">
        <v>46086.6146102662</v>
      </c>
      <c r="B1328" s="15">
        <v>46086.0</v>
      </c>
      <c r="C1328" s="16">
        <v>0.6138888888890506</v>
      </c>
      <c r="U1328" s="17" t="s">
        <v>4830</v>
      </c>
      <c r="V1328" s="17">
        <v>9.849183812E9</v>
      </c>
      <c r="W1328" s="17" t="s">
        <v>388</v>
      </c>
      <c r="AA1328" s="17" t="s">
        <v>109</v>
      </c>
      <c r="AT1328" s="17" t="s">
        <v>4831</v>
      </c>
      <c r="AU1328" s="17" t="s">
        <v>76</v>
      </c>
      <c r="AZ1328" s="17" t="s">
        <v>243</v>
      </c>
      <c r="BA1328" s="17" t="s">
        <v>458</v>
      </c>
      <c r="BB1328" s="17" t="s">
        <v>109</v>
      </c>
      <c r="BP1328" s="17" t="s">
        <v>4832</v>
      </c>
      <c r="BR1328" s="24" t="str">
        <f t="shared" si="1"/>
        <v>Brown bear baking </v>
      </c>
    </row>
    <row r="1329" ht="22.5" customHeight="1">
      <c r="A1329" s="14">
        <v>46086.62221489583</v>
      </c>
      <c r="B1329" s="15">
        <v>46086.0</v>
      </c>
      <c r="C1329" s="16">
        <v>0.5868055555547471</v>
      </c>
      <c r="D1329" s="17" t="s">
        <v>111</v>
      </c>
      <c r="T1329" s="17" t="s">
        <v>4833</v>
      </c>
      <c r="U1329" s="17" t="s">
        <v>4834</v>
      </c>
      <c r="V1329" s="17" t="s">
        <v>957</v>
      </c>
      <c r="W1329" s="17" t="s">
        <v>388</v>
      </c>
      <c r="AA1329" s="17" t="s">
        <v>109</v>
      </c>
      <c r="AT1329" s="17" t="s">
        <v>4835</v>
      </c>
      <c r="AU1329" s="17" t="s">
        <v>76</v>
      </c>
      <c r="AZ1329" s="17" t="s">
        <v>243</v>
      </c>
      <c r="BA1329" s="17" t="s">
        <v>491</v>
      </c>
      <c r="BP1329" s="17" t="s">
        <v>4833</v>
      </c>
      <c r="BR1329" s="24" t="str">
        <f t="shared" si="1"/>
        <v>Sreeja home foodsSreeja home foods</v>
      </c>
    </row>
    <row r="1330" ht="22.5" customHeight="1">
      <c r="A1330" s="14">
        <v>46086.62473997685</v>
      </c>
      <c r="B1330" s="15">
        <v>46086.0</v>
      </c>
      <c r="C1330" s="16">
        <v>0.6236111111065838</v>
      </c>
      <c r="U1330" s="17" t="s">
        <v>4836</v>
      </c>
      <c r="V1330" s="17">
        <v>9.030785244E9</v>
      </c>
      <c r="W1330" s="17" t="s">
        <v>388</v>
      </c>
      <c r="AA1330" s="17" t="s">
        <v>109</v>
      </c>
      <c r="AT1330" s="17" t="s">
        <v>4837</v>
      </c>
      <c r="AU1330" s="17" t="s">
        <v>76</v>
      </c>
      <c r="AZ1330" s="17" t="s">
        <v>243</v>
      </c>
      <c r="BA1330" s="17" t="s">
        <v>458</v>
      </c>
      <c r="BB1330" s="17" t="s">
        <v>109</v>
      </c>
      <c r="BP1330" s="17" t="s">
        <v>4838</v>
      </c>
      <c r="BR1330" s="24" t="str">
        <f t="shared" si="1"/>
        <v>Hotel the Nawabi zaiqa</v>
      </c>
    </row>
    <row r="1331" ht="22.5" customHeight="1">
      <c r="A1331" s="14">
        <v>46086.62596752315</v>
      </c>
      <c r="B1331" s="15">
        <v>46086.0</v>
      </c>
      <c r="C1331" s="16">
        <v>0.625</v>
      </c>
      <c r="U1331" s="17" t="s">
        <v>4839</v>
      </c>
      <c r="V1331" s="17">
        <v>9.849555522E9</v>
      </c>
      <c r="W1331" s="17" t="s">
        <v>388</v>
      </c>
      <c r="AA1331" s="17" t="s">
        <v>109</v>
      </c>
      <c r="AT1331" s="17" t="s">
        <v>2725</v>
      </c>
      <c r="AU1331" s="17" t="s">
        <v>76</v>
      </c>
      <c r="AZ1331" s="17" t="s">
        <v>243</v>
      </c>
      <c r="BA1331" s="17" t="s">
        <v>458</v>
      </c>
      <c r="BB1331" s="17" t="s">
        <v>109</v>
      </c>
      <c r="BP1331" s="17" t="s">
        <v>4840</v>
      </c>
      <c r="BR1331" s="24" t="str">
        <f t="shared" si="1"/>
        <v>Kalpana tiffins and meals </v>
      </c>
    </row>
    <row r="1332" ht="22.5" customHeight="1">
      <c r="A1332" s="14">
        <v>46086.63712292824</v>
      </c>
      <c r="B1332" s="15">
        <v>46086.0</v>
      </c>
      <c r="C1332" s="16">
        <v>0.11458333333575865</v>
      </c>
      <c r="U1332" s="17" t="s">
        <v>4841</v>
      </c>
      <c r="V1332" s="17" t="s">
        <v>4842</v>
      </c>
      <c r="W1332" s="17" t="s">
        <v>117</v>
      </c>
      <c r="AA1332" s="17" t="s">
        <v>109</v>
      </c>
      <c r="AT1332" s="17" t="s">
        <v>4843</v>
      </c>
      <c r="AU1332" s="17" t="s">
        <v>76</v>
      </c>
      <c r="AV1332" s="17" t="s">
        <v>271</v>
      </c>
      <c r="AZ1332" s="17" t="s">
        <v>182</v>
      </c>
      <c r="BA1332" s="17" t="s">
        <v>458</v>
      </c>
      <c r="BB1332" s="17" t="s">
        <v>109</v>
      </c>
      <c r="BP1332" s="17" t="s">
        <v>4844</v>
      </c>
      <c r="BR1332" s="24" t="str">
        <f t="shared" si="1"/>
        <v>Souskis foodies club </v>
      </c>
    </row>
    <row r="1333" ht="22.5" customHeight="1">
      <c r="A1333" s="14">
        <v>46086.63831621528</v>
      </c>
      <c r="B1333" s="15">
        <v>46086.0</v>
      </c>
      <c r="C1333" s="16">
        <v>0.12361111110658385</v>
      </c>
      <c r="U1333" s="17" t="s">
        <v>117</v>
      </c>
      <c r="V1333" s="17" t="s">
        <v>117</v>
      </c>
      <c r="W1333" s="17" t="s">
        <v>117</v>
      </c>
      <c r="AA1333" s="17" t="s">
        <v>109</v>
      </c>
      <c r="AT1333" s="17" t="s">
        <v>4845</v>
      </c>
      <c r="AU1333" s="17" t="s">
        <v>76</v>
      </c>
      <c r="AV1333" s="17" t="s">
        <v>271</v>
      </c>
      <c r="AZ1333" s="17" t="s">
        <v>182</v>
      </c>
      <c r="BA1333" s="17" t="s">
        <v>458</v>
      </c>
      <c r="BB1333" s="17" t="s">
        <v>109</v>
      </c>
      <c r="BP1333" s="17" t="s">
        <v>4846</v>
      </c>
      <c r="BR1333" s="24" t="str">
        <f t="shared" si="1"/>
        <v>Kohinoor restaurant </v>
      </c>
    </row>
    <row r="1334" ht="22.5" customHeight="1">
      <c r="A1334" s="14">
        <v>46086.639683078705</v>
      </c>
      <c r="B1334" s="15">
        <v>46086.0</v>
      </c>
      <c r="C1334" s="16">
        <v>0.13402777777810115</v>
      </c>
      <c r="U1334" s="17" t="s">
        <v>4847</v>
      </c>
      <c r="V1334" s="17" t="s">
        <v>4848</v>
      </c>
      <c r="W1334" s="17" t="s">
        <v>117</v>
      </c>
      <c r="AA1334" s="17" t="s">
        <v>109</v>
      </c>
      <c r="AT1334" s="17" t="s">
        <v>4849</v>
      </c>
      <c r="AU1334" s="17" t="s">
        <v>76</v>
      </c>
      <c r="AV1334" s="17" t="s">
        <v>271</v>
      </c>
      <c r="AZ1334" s="17" t="s">
        <v>182</v>
      </c>
      <c r="BA1334" s="17" t="s">
        <v>458</v>
      </c>
      <c r="BB1334" s="17" t="s">
        <v>109</v>
      </c>
      <c r="BP1334" s="17" t="s">
        <v>4850</v>
      </c>
      <c r="BR1334" s="24" t="str">
        <f t="shared" si="1"/>
        <v>Satti Babu Biryani </v>
      </c>
    </row>
    <row r="1335" ht="22.5" customHeight="1">
      <c r="A1335" s="14">
        <v>46086.64080148148</v>
      </c>
      <c r="B1335" s="15">
        <v>46086.0</v>
      </c>
      <c r="C1335" s="16">
        <v>0.6340277777781012</v>
      </c>
      <c r="U1335" s="17" t="s">
        <v>4851</v>
      </c>
      <c r="V1335" s="17" t="s">
        <v>388</v>
      </c>
      <c r="W1335" s="17" t="s">
        <v>388</v>
      </c>
      <c r="AA1335" s="17" t="s">
        <v>109</v>
      </c>
      <c r="AT1335" s="17" t="s">
        <v>4852</v>
      </c>
      <c r="AU1335" s="17" t="s">
        <v>76</v>
      </c>
      <c r="AZ1335" s="17" t="s">
        <v>243</v>
      </c>
      <c r="BA1335" s="17" t="s">
        <v>458</v>
      </c>
      <c r="BB1335" s="17" t="s">
        <v>109</v>
      </c>
      <c r="BP1335" s="17" t="s">
        <v>4853</v>
      </c>
      <c r="BR1335" s="24" t="str">
        <f t="shared" si="1"/>
        <v>Geetha hotel</v>
      </c>
    </row>
    <row r="1336" ht="22.5" customHeight="1">
      <c r="A1336" s="14">
        <v>46086.64497193287</v>
      </c>
      <c r="B1336" s="15">
        <v>46086.0</v>
      </c>
      <c r="C1336" s="16">
        <v>0.640972222223354</v>
      </c>
      <c r="U1336" s="17" t="s">
        <v>4717</v>
      </c>
      <c r="V1336" s="17">
        <v>7.396581234E9</v>
      </c>
      <c r="W1336" s="17" t="s">
        <v>388</v>
      </c>
      <c r="AA1336" s="17" t="s">
        <v>109</v>
      </c>
      <c r="AT1336" s="17" t="s">
        <v>2725</v>
      </c>
      <c r="AU1336" s="17" t="s">
        <v>76</v>
      </c>
      <c r="AZ1336" s="17" t="s">
        <v>243</v>
      </c>
      <c r="BA1336" s="17" t="s">
        <v>458</v>
      </c>
      <c r="BB1336" s="17" t="s">
        <v>109</v>
      </c>
      <c r="BP1336" s="17" t="s">
        <v>4854</v>
      </c>
      <c r="BR1336" s="24" t="str">
        <f t="shared" si="1"/>
        <v>Om sai kitchens </v>
      </c>
    </row>
    <row r="1337" ht="22.5" customHeight="1">
      <c r="A1337" s="14">
        <v>46086.64576571759</v>
      </c>
      <c r="B1337" s="15">
        <v>46086.0</v>
      </c>
      <c r="C1337" s="16">
        <v>0.1444444444423425</v>
      </c>
      <c r="U1337" s="17" t="s">
        <v>4855</v>
      </c>
      <c r="V1337" s="17" t="s">
        <v>388</v>
      </c>
      <c r="W1337" s="17" t="s">
        <v>388</v>
      </c>
      <c r="AA1337" s="17" t="s">
        <v>109</v>
      </c>
      <c r="AT1337" s="17" t="s">
        <v>4856</v>
      </c>
      <c r="AU1337" s="17" t="s">
        <v>76</v>
      </c>
      <c r="AZ1337" s="17" t="s">
        <v>539</v>
      </c>
      <c r="BA1337" s="17" t="s">
        <v>458</v>
      </c>
      <c r="BB1337" s="17" t="s">
        <v>109</v>
      </c>
      <c r="BP1337" s="17" t="s">
        <v>4857</v>
      </c>
      <c r="BR1337" s="24" t="str">
        <f t="shared" si="1"/>
        <v>On Sai kitchens </v>
      </c>
    </row>
    <row r="1338" ht="22.5" customHeight="1">
      <c r="A1338" s="14">
        <v>46086.651376828704</v>
      </c>
      <c r="B1338" s="15">
        <v>46086.0</v>
      </c>
      <c r="C1338" s="16">
        <v>0.6506944444408873</v>
      </c>
      <c r="U1338" s="17" t="s">
        <v>388</v>
      </c>
      <c r="V1338" s="17">
        <v>9.948859827E9</v>
      </c>
      <c r="W1338" s="17" t="s">
        <v>388</v>
      </c>
      <c r="AA1338" s="17" t="s">
        <v>109</v>
      </c>
      <c r="AT1338" s="17" t="s">
        <v>4858</v>
      </c>
      <c r="AU1338" s="17" t="s">
        <v>76</v>
      </c>
      <c r="AZ1338" s="17" t="s">
        <v>243</v>
      </c>
      <c r="BA1338" s="17" t="s">
        <v>458</v>
      </c>
      <c r="BB1338" s="17" t="s">
        <v>109</v>
      </c>
      <c r="BP1338" s="17" t="s">
        <v>4859</v>
      </c>
      <c r="BR1338" s="24" t="str">
        <f t="shared" si="1"/>
        <v>Hakka Chinese food</v>
      </c>
    </row>
    <row r="1339" ht="22.5" customHeight="1">
      <c r="A1339" s="14">
        <v>46086.65504334491</v>
      </c>
      <c r="B1339" s="15">
        <v>46086.0</v>
      </c>
      <c r="C1339" s="16">
        <v>0.6534722222204437</v>
      </c>
      <c r="U1339" s="17" t="s">
        <v>388</v>
      </c>
      <c r="V1339" s="17">
        <v>9.13169973E9</v>
      </c>
      <c r="W1339" s="17" t="s">
        <v>388</v>
      </c>
      <c r="AA1339" s="17" t="s">
        <v>109</v>
      </c>
      <c r="AT1339" s="17" t="s">
        <v>2725</v>
      </c>
      <c r="AU1339" s="17" t="s">
        <v>76</v>
      </c>
      <c r="AZ1339" s="17" t="s">
        <v>243</v>
      </c>
      <c r="BA1339" s="17" t="s">
        <v>458</v>
      </c>
      <c r="BB1339" s="17" t="s">
        <v>109</v>
      </c>
      <c r="BP1339" s="17" t="s">
        <v>4860</v>
      </c>
      <c r="BR1339" s="24" t="str">
        <f t="shared" si="1"/>
        <v>Kks bakers</v>
      </c>
    </row>
    <row r="1340" ht="22.5" customHeight="1">
      <c r="A1340" s="14">
        <v>46086.65921844907</v>
      </c>
      <c r="B1340" s="15">
        <v>46086.0</v>
      </c>
      <c r="C1340" s="16">
        <v>0.15833333333284827</v>
      </c>
      <c r="D1340" s="17" t="s">
        <v>91</v>
      </c>
      <c r="F1340" s="17">
        <v>20.0</v>
      </c>
      <c r="G1340" s="17">
        <v>200.0</v>
      </c>
      <c r="H1340" s="17" t="s">
        <v>388</v>
      </c>
      <c r="J1340" s="17" t="s">
        <v>221</v>
      </c>
      <c r="K1340" s="17" t="s">
        <v>95</v>
      </c>
      <c r="N1340" s="17">
        <v>1.0</v>
      </c>
      <c r="O1340" s="17" t="s">
        <v>96</v>
      </c>
      <c r="P1340" s="17" t="s">
        <v>109</v>
      </c>
      <c r="Q1340" s="17" t="s">
        <v>97</v>
      </c>
      <c r="R1340" s="17" t="s">
        <v>76</v>
      </c>
      <c r="S1340" s="17" t="s">
        <v>388</v>
      </c>
      <c r="U1340" s="17" t="s">
        <v>4861</v>
      </c>
      <c r="V1340" s="17">
        <v>6.301975575E9</v>
      </c>
      <c r="W1340" s="17" t="s">
        <v>388</v>
      </c>
      <c r="AA1340" s="17" t="s">
        <v>109</v>
      </c>
      <c r="AT1340" s="17" t="s">
        <v>388</v>
      </c>
      <c r="AU1340" s="17" t="s">
        <v>76</v>
      </c>
      <c r="AZ1340" s="17" t="s">
        <v>539</v>
      </c>
      <c r="BA1340" s="17" t="s">
        <v>458</v>
      </c>
      <c r="BB1340" s="17" t="s">
        <v>76</v>
      </c>
      <c r="BN1340" s="17" t="s">
        <v>4862</v>
      </c>
      <c r="BP1340" s="17" t="s">
        <v>4863</v>
      </c>
      <c r="BR1340" s="24" t="str">
        <f t="shared" si="1"/>
        <v>Butta biryani</v>
      </c>
    </row>
    <row r="1341" ht="22.5" customHeight="1">
      <c r="A1341" s="14">
        <v>46086.660908125</v>
      </c>
      <c r="B1341" s="15">
        <v>46086.0</v>
      </c>
      <c r="C1341" s="16">
        <v>0.6597222222189885</v>
      </c>
      <c r="U1341" s="17" t="s">
        <v>388</v>
      </c>
      <c r="V1341" s="17">
        <v>6.301975575E9</v>
      </c>
      <c r="W1341" s="17" t="s">
        <v>388</v>
      </c>
      <c r="AA1341" s="17" t="s">
        <v>109</v>
      </c>
      <c r="AT1341" s="17" t="s">
        <v>4864</v>
      </c>
      <c r="AU1341" s="17" t="s">
        <v>76</v>
      </c>
      <c r="AZ1341" s="17" t="s">
        <v>243</v>
      </c>
      <c r="BA1341" s="17" t="s">
        <v>458</v>
      </c>
      <c r="BB1341" s="17" t="s">
        <v>109</v>
      </c>
      <c r="BP1341" s="17" t="s">
        <v>4863</v>
      </c>
      <c r="BR1341" s="24" t="str">
        <f t="shared" si="1"/>
        <v>Butta biryani</v>
      </c>
    </row>
    <row r="1342" ht="22.5" customHeight="1">
      <c r="A1342" s="14">
        <v>46086.6668187037</v>
      </c>
      <c r="B1342" s="15">
        <v>46086.0</v>
      </c>
      <c r="C1342" s="16">
        <v>0.6631944444452529</v>
      </c>
      <c r="U1342" s="17" t="s">
        <v>4865</v>
      </c>
      <c r="V1342" s="17">
        <v>8.125638358E9</v>
      </c>
      <c r="W1342" s="17" t="s">
        <v>388</v>
      </c>
      <c r="AA1342" s="17" t="s">
        <v>109</v>
      </c>
      <c r="AT1342" s="17" t="s">
        <v>4866</v>
      </c>
      <c r="AU1342" s="17" t="s">
        <v>76</v>
      </c>
      <c r="AV1342" s="17" t="s">
        <v>271</v>
      </c>
      <c r="AZ1342" s="17" t="s">
        <v>287</v>
      </c>
      <c r="BA1342" s="17" t="s">
        <v>458</v>
      </c>
      <c r="BB1342" s="17" t="s">
        <v>109</v>
      </c>
      <c r="BP1342" s="17" t="s">
        <v>4867</v>
      </c>
      <c r="BR1342" s="24" t="str">
        <f t="shared" si="1"/>
        <v>Kolkata food plaza</v>
      </c>
    </row>
    <row r="1343" ht="22.5" customHeight="1">
      <c r="A1343" s="14">
        <v>46086.66764986111</v>
      </c>
      <c r="B1343" s="15">
        <v>46086.0</v>
      </c>
      <c r="C1343" s="16">
        <v>0.6666666666642413</v>
      </c>
      <c r="U1343" s="17" t="s">
        <v>4868</v>
      </c>
      <c r="V1343" s="17">
        <v>9.831175306E9</v>
      </c>
      <c r="W1343" s="17" t="s">
        <v>388</v>
      </c>
      <c r="AA1343" s="17" t="s">
        <v>109</v>
      </c>
      <c r="AT1343" s="17" t="s">
        <v>2725</v>
      </c>
      <c r="AU1343" s="17" t="s">
        <v>76</v>
      </c>
      <c r="AZ1343" s="17" t="s">
        <v>243</v>
      </c>
      <c r="BA1343" s="17" t="s">
        <v>458</v>
      </c>
      <c r="BB1343" s="17" t="s">
        <v>109</v>
      </c>
      <c r="BP1343" s="17" t="s">
        <v>4869</v>
      </c>
      <c r="BR1343" s="24" t="str">
        <f t="shared" si="1"/>
        <v>Shawarma by roxtarz</v>
      </c>
    </row>
    <row r="1344" ht="22.5" customHeight="1">
      <c r="A1344" s="14">
        <v>46086.66781297454</v>
      </c>
      <c r="B1344" s="15">
        <v>46086.0</v>
      </c>
      <c r="C1344" s="16">
        <v>0.6069444444437977</v>
      </c>
      <c r="U1344" s="17" t="s">
        <v>388</v>
      </c>
      <c r="V1344" s="17">
        <v>0.0</v>
      </c>
      <c r="W1344" s="17" t="s">
        <v>388</v>
      </c>
      <c r="AA1344" s="17" t="s">
        <v>109</v>
      </c>
      <c r="AT1344" s="17" t="s">
        <v>4548</v>
      </c>
      <c r="AU1344" s="17" t="s">
        <v>109</v>
      </c>
      <c r="AZ1344" s="17" t="s">
        <v>287</v>
      </c>
      <c r="BA1344" s="17" t="s">
        <v>458</v>
      </c>
      <c r="BB1344" s="17" t="s">
        <v>109</v>
      </c>
      <c r="BP1344" s="17" t="s">
        <v>4870</v>
      </c>
      <c r="BR1344" s="24" t="str">
        <f t="shared" si="1"/>
        <v>Sri vijaya laxmi  food court </v>
      </c>
    </row>
    <row r="1345" ht="22.5" customHeight="1">
      <c r="A1345" s="14">
        <v>46086.668937118055</v>
      </c>
      <c r="B1345" s="15">
        <v>46086.0</v>
      </c>
      <c r="C1345" s="16">
        <v>0.5833333333357587</v>
      </c>
      <c r="U1345" s="17" t="s">
        <v>4871</v>
      </c>
      <c r="V1345" s="17">
        <v>8.686464689E9</v>
      </c>
      <c r="W1345" s="17" t="s">
        <v>388</v>
      </c>
      <c r="AA1345" s="17" t="s">
        <v>109</v>
      </c>
      <c r="AT1345" s="17" t="s">
        <v>4872</v>
      </c>
      <c r="AU1345" s="17" t="s">
        <v>76</v>
      </c>
      <c r="AV1345" s="17" t="s">
        <v>271</v>
      </c>
      <c r="AZ1345" s="17" t="s">
        <v>287</v>
      </c>
      <c r="BA1345" s="17" t="s">
        <v>458</v>
      </c>
      <c r="BB1345" s="17" t="s">
        <v>109</v>
      </c>
      <c r="BP1345" s="17" t="s">
        <v>4873</v>
      </c>
      <c r="BR1345" s="24" t="str">
        <f t="shared" si="1"/>
        <v>Imperial Restaurant </v>
      </c>
    </row>
    <row r="1346" ht="22.5" customHeight="1">
      <c r="A1346" s="14">
        <v>46086.67170013889</v>
      </c>
      <c r="B1346" s="15">
        <v>46086.0</v>
      </c>
      <c r="C1346" s="16">
        <v>0.6708333333372138</v>
      </c>
      <c r="U1346" s="17" t="s">
        <v>388</v>
      </c>
      <c r="V1346" s="17">
        <v>6.281337544E9</v>
      </c>
      <c r="W1346" s="17" t="s">
        <v>388</v>
      </c>
      <c r="AA1346" s="17" t="s">
        <v>109</v>
      </c>
      <c r="AT1346" s="17" t="s">
        <v>4831</v>
      </c>
      <c r="AU1346" s="17" t="s">
        <v>76</v>
      </c>
      <c r="AZ1346" s="17" t="s">
        <v>243</v>
      </c>
      <c r="BA1346" s="17" t="s">
        <v>458</v>
      </c>
      <c r="BB1346" s="17" t="s">
        <v>109</v>
      </c>
      <c r="BP1346" s="17" t="s">
        <v>4874</v>
      </c>
      <c r="BR1346" s="24" t="str">
        <f t="shared" si="1"/>
        <v>Karthikeya chitti nethi idly </v>
      </c>
    </row>
    <row r="1347" ht="22.5" customHeight="1">
      <c r="A1347" s="14">
        <v>46086.672332939816</v>
      </c>
      <c r="B1347" s="15">
        <v>46086.0</v>
      </c>
      <c r="C1347" s="16">
        <v>0.671527777776646</v>
      </c>
      <c r="U1347" s="17" t="s">
        <v>388</v>
      </c>
      <c r="V1347" s="17">
        <v>9.700603719E9</v>
      </c>
      <c r="W1347" s="17" t="s">
        <v>388</v>
      </c>
      <c r="AA1347" s="17" t="s">
        <v>109</v>
      </c>
      <c r="AT1347" s="17" t="s">
        <v>2725</v>
      </c>
      <c r="AU1347" s="17" t="s">
        <v>76</v>
      </c>
      <c r="AZ1347" s="17" t="s">
        <v>243</v>
      </c>
      <c r="BA1347" s="17" t="s">
        <v>458</v>
      </c>
      <c r="BB1347" s="17" t="s">
        <v>109</v>
      </c>
      <c r="BP1347" s="17" t="s">
        <v>4875</v>
      </c>
      <c r="BR1347" s="24" t="str">
        <f t="shared" si="1"/>
        <v>Chaat baazar</v>
      </c>
    </row>
    <row r="1348" ht="22.5" customHeight="1">
      <c r="A1348" s="14">
        <v>46086.67358545139</v>
      </c>
      <c r="B1348" s="15">
        <v>46086.0</v>
      </c>
      <c r="C1348" s="16">
        <v>0.17222222222335404</v>
      </c>
      <c r="D1348" s="17" t="s">
        <v>91</v>
      </c>
      <c r="F1348" s="17">
        <v>25.0</v>
      </c>
      <c r="G1348" s="17">
        <v>200.0</v>
      </c>
      <c r="H1348" s="17" t="s">
        <v>388</v>
      </c>
      <c r="J1348" s="17" t="s">
        <v>221</v>
      </c>
      <c r="K1348" s="17" t="s">
        <v>134</v>
      </c>
      <c r="N1348" s="17">
        <v>1.0</v>
      </c>
      <c r="O1348" s="17" t="s">
        <v>96</v>
      </c>
      <c r="P1348" s="17" t="s">
        <v>109</v>
      </c>
      <c r="Q1348" s="17" t="s">
        <v>97</v>
      </c>
      <c r="R1348" s="17" t="s">
        <v>109</v>
      </c>
      <c r="S1348" s="17" t="s">
        <v>388</v>
      </c>
      <c r="U1348" s="17" t="s">
        <v>4876</v>
      </c>
      <c r="V1348" s="17">
        <v>9.700603719E9</v>
      </c>
      <c r="W1348" s="17" t="s">
        <v>388</v>
      </c>
      <c r="AA1348" s="17" t="s">
        <v>109</v>
      </c>
      <c r="AT1348" s="17" t="s">
        <v>388</v>
      </c>
      <c r="AU1348" s="17" t="s">
        <v>76</v>
      </c>
      <c r="AZ1348" s="17" t="s">
        <v>539</v>
      </c>
      <c r="BA1348" s="17" t="s">
        <v>458</v>
      </c>
      <c r="BB1348" s="17" t="s">
        <v>76</v>
      </c>
      <c r="BN1348" s="17" t="s">
        <v>4862</v>
      </c>
      <c r="BP1348" s="17" t="s">
        <v>4877</v>
      </c>
      <c r="BR1348" s="24" t="str">
        <f t="shared" si="1"/>
        <v>Chat bazar </v>
      </c>
    </row>
    <row r="1349" ht="22.5" customHeight="1">
      <c r="A1349" s="14">
        <v>46086.675503425926</v>
      </c>
      <c r="B1349" s="15">
        <v>46086.0</v>
      </c>
      <c r="C1349" s="16">
        <v>0.6673611111109494</v>
      </c>
      <c r="U1349" s="17" t="s">
        <v>4338</v>
      </c>
      <c r="V1349" s="17">
        <v>9.177813356E9</v>
      </c>
      <c r="W1349" s="17" t="s">
        <v>388</v>
      </c>
      <c r="AA1349" s="17" t="s">
        <v>109</v>
      </c>
      <c r="AT1349" s="17" t="s">
        <v>4878</v>
      </c>
      <c r="AU1349" s="17" t="s">
        <v>76</v>
      </c>
      <c r="AV1349" s="17" t="s">
        <v>271</v>
      </c>
      <c r="AZ1349" s="17" t="s">
        <v>287</v>
      </c>
      <c r="BA1349" s="17" t="s">
        <v>458</v>
      </c>
      <c r="BB1349" s="17" t="s">
        <v>109</v>
      </c>
      <c r="BP1349" s="17" t="s">
        <v>4879</v>
      </c>
      <c r="BR1349" s="24" t="str">
        <f t="shared" si="1"/>
        <v>Amogha Cafe</v>
      </c>
    </row>
    <row r="1350" ht="22.5" customHeight="1">
      <c r="A1350" s="14">
        <v>46086.680598923616</v>
      </c>
      <c r="B1350" s="15">
        <v>46086.0</v>
      </c>
      <c r="C1350" s="16">
        <v>0.6770833333357587</v>
      </c>
      <c r="U1350" s="17" t="s">
        <v>388</v>
      </c>
      <c r="V1350" s="17" t="s">
        <v>388</v>
      </c>
      <c r="W1350" s="17" t="s">
        <v>388</v>
      </c>
      <c r="AA1350" s="17" t="s">
        <v>109</v>
      </c>
      <c r="AT1350" s="17" t="s">
        <v>4491</v>
      </c>
      <c r="AU1350" s="17" t="s">
        <v>76</v>
      </c>
      <c r="AZ1350" s="17" t="s">
        <v>287</v>
      </c>
      <c r="BA1350" s="17" t="s">
        <v>458</v>
      </c>
      <c r="BB1350" s="17" t="s">
        <v>109</v>
      </c>
      <c r="BP1350" s="17" t="s">
        <v>4880</v>
      </c>
      <c r="BR1350" s="24" t="str">
        <f t="shared" si="1"/>
        <v>Tibb’s Frankie</v>
      </c>
    </row>
    <row r="1351" ht="22.5" customHeight="1">
      <c r="A1351" s="14">
        <v>46086.68168756945</v>
      </c>
      <c r="B1351" s="15">
        <v>46086.0</v>
      </c>
      <c r="C1351" s="16">
        <v>0.6812500000014552</v>
      </c>
      <c r="U1351" s="17" t="s">
        <v>388</v>
      </c>
      <c r="V1351" s="17" t="s">
        <v>4881</v>
      </c>
      <c r="W1351" s="17" t="s">
        <v>388</v>
      </c>
      <c r="AA1351" s="17" t="s">
        <v>109</v>
      </c>
      <c r="AT1351" s="17" t="s">
        <v>4882</v>
      </c>
      <c r="AU1351" s="17" t="s">
        <v>76</v>
      </c>
      <c r="AZ1351" s="17" t="s">
        <v>243</v>
      </c>
      <c r="BA1351" s="17" t="s">
        <v>458</v>
      </c>
      <c r="BB1351" s="17" t="s">
        <v>109</v>
      </c>
      <c r="BP1351" s="17" t="s">
        <v>4883</v>
      </c>
      <c r="BR1351" s="24" t="str">
        <f t="shared" si="1"/>
        <v>Godhavari bajji mirchi </v>
      </c>
    </row>
    <row r="1352" ht="22.5" customHeight="1">
      <c r="A1352" s="14">
        <v>46086.68462826389</v>
      </c>
      <c r="B1352" s="15">
        <v>46086.0</v>
      </c>
      <c r="C1352" s="16">
        <v>0.14583333333575865</v>
      </c>
      <c r="U1352" s="17" t="s">
        <v>4884</v>
      </c>
      <c r="V1352" s="17" t="s">
        <v>4885</v>
      </c>
      <c r="W1352" s="17" t="s">
        <v>117</v>
      </c>
      <c r="AA1352" s="17" t="s">
        <v>109</v>
      </c>
      <c r="AT1352" s="17" t="s">
        <v>4849</v>
      </c>
      <c r="AU1352" s="17" t="s">
        <v>76</v>
      </c>
      <c r="AV1352" s="17" t="s">
        <v>271</v>
      </c>
      <c r="AX1352" s="15">
        <v>46087.0</v>
      </c>
      <c r="AZ1352" s="17" t="s">
        <v>182</v>
      </c>
      <c r="BA1352" s="17" t="s">
        <v>458</v>
      </c>
      <c r="BB1352" s="17" t="s">
        <v>109</v>
      </c>
      <c r="BP1352" s="17" t="s">
        <v>4886</v>
      </c>
      <c r="BR1352" s="24" t="str">
        <f t="shared" si="1"/>
        <v>Bakers Corner</v>
      </c>
    </row>
    <row r="1353" ht="22.5" customHeight="1">
      <c r="A1353" s="14">
        <v>46086.68530482639</v>
      </c>
      <c r="B1353" s="15">
        <v>46086.0</v>
      </c>
      <c r="C1353" s="16">
        <v>0.16666666666424135</v>
      </c>
      <c r="U1353" s="17" t="s">
        <v>117</v>
      </c>
      <c r="V1353" s="17" t="s">
        <v>117</v>
      </c>
      <c r="W1353" s="17" t="s">
        <v>117</v>
      </c>
      <c r="AA1353" s="17" t="s">
        <v>109</v>
      </c>
      <c r="AT1353" s="17" t="s">
        <v>109</v>
      </c>
      <c r="AU1353" s="17" t="s">
        <v>76</v>
      </c>
      <c r="AV1353" s="17" t="s">
        <v>271</v>
      </c>
      <c r="AZ1353" s="17" t="s">
        <v>182</v>
      </c>
      <c r="BA1353" s="17" t="s">
        <v>458</v>
      </c>
      <c r="BB1353" s="17" t="s">
        <v>109</v>
      </c>
      <c r="BP1353" s="17" t="s">
        <v>4887</v>
      </c>
      <c r="BR1353" s="24" t="str">
        <f t="shared" si="1"/>
        <v>Captain cook </v>
      </c>
    </row>
    <row r="1354" ht="22.5" customHeight="1">
      <c r="A1354" s="14">
        <v>46086.8973922338</v>
      </c>
      <c r="B1354" s="15">
        <v>46086.0</v>
      </c>
      <c r="C1354" s="16">
        <v>0.5416666666642413</v>
      </c>
      <c r="U1354" s="17" t="s">
        <v>3145</v>
      </c>
      <c r="V1354" s="17" t="s">
        <v>388</v>
      </c>
      <c r="W1354" s="17" t="s">
        <v>388</v>
      </c>
      <c r="AA1354" s="17" t="s">
        <v>109</v>
      </c>
      <c r="AT1354" s="17" t="s">
        <v>388</v>
      </c>
      <c r="AU1354" s="17" t="s">
        <v>76</v>
      </c>
      <c r="AV1354" s="17" t="s">
        <v>472</v>
      </c>
      <c r="AX1354" s="15">
        <v>46087.0</v>
      </c>
      <c r="AY1354" s="16">
        <v>0.45833333333575865</v>
      </c>
      <c r="AZ1354" s="17" t="s">
        <v>151</v>
      </c>
      <c r="BA1354" s="17" t="s">
        <v>458</v>
      </c>
      <c r="BB1354" s="17" t="s">
        <v>109</v>
      </c>
      <c r="BP1354" s="17" t="s">
        <v>4888</v>
      </c>
      <c r="BR1354" s="24" t="str">
        <f t="shared" si="1"/>
        <v>Adbatuha </v>
      </c>
    </row>
    <row r="1355" ht="22.5" customHeight="1">
      <c r="A1355" s="14">
        <v>46086.89806760417</v>
      </c>
      <c r="B1355" s="15">
        <v>46086.0</v>
      </c>
      <c r="C1355" s="16">
        <v>0.45833333333575865</v>
      </c>
      <c r="U1355" s="17" t="s">
        <v>3145</v>
      </c>
      <c r="V1355" s="17" t="s">
        <v>388</v>
      </c>
      <c r="W1355" s="17" t="s">
        <v>388</v>
      </c>
      <c r="AA1355" s="17" t="s">
        <v>109</v>
      </c>
      <c r="AT1355" s="17" t="s">
        <v>4889</v>
      </c>
      <c r="AU1355" s="17" t="s">
        <v>76</v>
      </c>
      <c r="AX1355" s="15">
        <v>46087.0</v>
      </c>
      <c r="AY1355" s="16">
        <v>0.47916666666424135</v>
      </c>
      <c r="AZ1355" s="17" t="s">
        <v>151</v>
      </c>
      <c r="BA1355" s="17" t="s">
        <v>458</v>
      </c>
      <c r="BB1355" s="17" t="s">
        <v>109</v>
      </c>
      <c r="BP1355" s="17" t="s">
        <v>4890</v>
      </c>
      <c r="BR1355" s="24" t="str">
        <f t="shared" si="1"/>
        <v>Ravi Babu food court</v>
      </c>
    </row>
    <row r="1356" ht="22.5" customHeight="1">
      <c r="A1356" s="14">
        <v>46086.899206539354</v>
      </c>
      <c r="B1356" s="15">
        <v>46086.0</v>
      </c>
      <c r="C1356" s="16">
        <v>0.6458333333357587</v>
      </c>
      <c r="U1356" s="17" t="s">
        <v>4308</v>
      </c>
      <c r="V1356" s="17">
        <v>9.13399102E9</v>
      </c>
      <c r="W1356" s="17" t="s">
        <v>388</v>
      </c>
      <c r="AA1356" s="17" t="s">
        <v>109</v>
      </c>
      <c r="AT1356" s="17" t="s">
        <v>4891</v>
      </c>
      <c r="AU1356" s="17" t="s">
        <v>76</v>
      </c>
      <c r="AX1356" s="15">
        <v>46089.0</v>
      </c>
      <c r="AY1356" s="16">
        <v>0.515972222223354</v>
      </c>
      <c r="AZ1356" s="17" t="s">
        <v>151</v>
      </c>
      <c r="BA1356" s="17" t="s">
        <v>458</v>
      </c>
      <c r="BB1356" s="17" t="s">
        <v>109</v>
      </c>
      <c r="BP1356" s="17" t="s">
        <v>4892</v>
      </c>
      <c r="BR1356" s="24" t="str">
        <f t="shared" si="1"/>
        <v>Hitech food court</v>
      </c>
    </row>
    <row r="1357" ht="22.5" customHeight="1">
      <c r="A1357" s="14">
        <v>46086.8997891551</v>
      </c>
      <c r="B1357" s="15">
        <v>46086.0</v>
      </c>
      <c r="C1357" s="16">
        <v>0.5416666666642413</v>
      </c>
      <c r="U1357" s="17" t="s">
        <v>4893</v>
      </c>
      <c r="V1357" s="17" t="s">
        <v>388</v>
      </c>
      <c r="W1357" s="17" t="s">
        <v>388</v>
      </c>
      <c r="AA1357" s="17" t="s">
        <v>109</v>
      </c>
      <c r="AT1357" s="17" t="s">
        <v>4894</v>
      </c>
      <c r="AU1357" s="17" t="s">
        <v>109</v>
      </c>
      <c r="AZ1357" s="17" t="s">
        <v>151</v>
      </c>
      <c r="BA1357" s="17" t="s">
        <v>458</v>
      </c>
      <c r="BB1357" s="17" t="s">
        <v>109</v>
      </c>
      <c r="BP1357" s="17" t="s">
        <v>4895</v>
      </c>
      <c r="BR1357" s="24" t="str">
        <f t="shared" si="1"/>
        <v>Omg bites</v>
      </c>
    </row>
    <row r="1358" ht="22.5" customHeight="1">
      <c r="A1358" s="14">
        <v>46086.90059538194</v>
      </c>
      <c r="B1358" s="15">
        <v>46086.0</v>
      </c>
      <c r="C1358" s="16">
        <v>0.6666666666642413</v>
      </c>
      <c r="U1358" s="17" t="s">
        <v>4190</v>
      </c>
      <c r="V1358" s="17">
        <v>7.097575173E9</v>
      </c>
      <c r="W1358" s="17" t="s">
        <v>388</v>
      </c>
      <c r="AA1358" s="17" t="s">
        <v>109</v>
      </c>
      <c r="AT1358" s="17" t="s">
        <v>4896</v>
      </c>
      <c r="AU1358" s="17" t="s">
        <v>76</v>
      </c>
      <c r="AV1358" s="17" t="s">
        <v>114</v>
      </c>
      <c r="AX1358" s="15">
        <v>46087.0</v>
      </c>
      <c r="AY1358" s="16">
        <v>0.7916666666642413</v>
      </c>
      <c r="AZ1358" s="17" t="s">
        <v>151</v>
      </c>
      <c r="BA1358" s="17" t="s">
        <v>458</v>
      </c>
      <c r="BB1358" s="17" t="s">
        <v>109</v>
      </c>
      <c r="BP1358" s="17" t="s">
        <v>4897</v>
      </c>
      <c r="BR1358" s="24" t="str">
        <f t="shared" si="1"/>
        <v>Masti 4am biryani</v>
      </c>
    </row>
    <row r="1359" ht="22.5" customHeight="1">
      <c r="A1359" s="14">
        <v>46086.9019178125</v>
      </c>
      <c r="B1359" s="15">
        <v>46086.0</v>
      </c>
      <c r="C1359" s="16">
        <v>0.75</v>
      </c>
      <c r="U1359" s="17" t="s">
        <v>4898</v>
      </c>
      <c r="V1359" s="17">
        <v>9.95885047E9</v>
      </c>
      <c r="W1359" s="17" t="s">
        <v>388</v>
      </c>
      <c r="AA1359" s="17" t="s">
        <v>109</v>
      </c>
      <c r="AT1359" s="17" t="s">
        <v>4899</v>
      </c>
      <c r="AU1359" s="17" t="s">
        <v>76</v>
      </c>
      <c r="AV1359" s="17" t="s">
        <v>114</v>
      </c>
      <c r="AX1359" s="15">
        <v>46087.0</v>
      </c>
      <c r="AY1359" s="16">
        <v>0.6666666666642413</v>
      </c>
      <c r="AZ1359" s="17" t="s">
        <v>151</v>
      </c>
      <c r="BA1359" s="17" t="s">
        <v>458</v>
      </c>
      <c r="BB1359" s="17" t="s">
        <v>109</v>
      </c>
      <c r="BP1359" s="17" t="s">
        <v>4900</v>
      </c>
      <c r="BR1359" s="24" t="str">
        <f t="shared" si="1"/>
        <v>Charminar biryani</v>
      </c>
    </row>
    <row r="1360" ht="22.5" customHeight="1">
      <c r="A1360" s="14">
        <v>46086.90285991898</v>
      </c>
      <c r="B1360" s="15">
        <v>46086.0</v>
      </c>
      <c r="C1360" s="16">
        <v>0.625</v>
      </c>
      <c r="U1360" s="17" t="s">
        <v>3145</v>
      </c>
      <c r="V1360" s="17">
        <v>9.963612578E9</v>
      </c>
      <c r="W1360" s="17" t="s">
        <v>388</v>
      </c>
      <c r="AA1360" s="17" t="s">
        <v>109</v>
      </c>
      <c r="AT1360" s="17" t="s">
        <v>4901</v>
      </c>
      <c r="AU1360" s="17" t="s">
        <v>76</v>
      </c>
      <c r="AV1360" s="17" t="s">
        <v>114</v>
      </c>
      <c r="AX1360" s="15">
        <v>46087.0</v>
      </c>
      <c r="AY1360" s="16">
        <v>0.5416666666642413</v>
      </c>
      <c r="AZ1360" s="17" t="s">
        <v>151</v>
      </c>
      <c r="BA1360" s="17" t="s">
        <v>458</v>
      </c>
      <c r="BB1360" s="17" t="s">
        <v>109</v>
      </c>
      <c r="BP1360" s="17" t="s">
        <v>4902</v>
      </c>
      <c r="BR1360" s="24" t="str">
        <f t="shared" si="1"/>
        <v>Konaseema Ruchulu</v>
      </c>
    </row>
    <row r="1361" ht="22.5" customHeight="1">
      <c r="A1361" s="14">
        <v>46086.90838434028</v>
      </c>
      <c r="B1361" s="15">
        <v>46086.0</v>
      </c>
      <c r="C1361" s="16">
        <v>0.5416666666642413</v>
      </c>
      <c r="U1361" s="17" t="s">
        <v>4903</v>
      </c>
      <c r="V1361" s="17" t="s">
        <v>388</v>
      </c>
      <c r="W1361" s="17" t="s">
        <v>388</v>
      </c>
      <c r="AA1361" s="17" t="s">
        <v>109</v>
      </c>
      <c r="AT1361" s="17" t="s">
        <v>4894</v>
      </c>
      <c r="AU1361" s="17" t="s">
        <v>109</v>
      </c>
      <c r="AZ1361" s="17" t="s">
        <v>151</v>
      </c>
      <c r="BA1361" s="17" t="s">
        <v>458</v>
      </c>
      <c r="BB1361" s="17" t="s">
        <v>109</v>
      </c>
      <c r="BP1361" s="17" t="s">
        <v>1767</v>
      </c>
      <c r="BR1361" s="24" t="str">
        <f t="shared" si="1"/>
        <v>Qubz</v>
      </c>
    </row>
    <row r="1362" ht="22.5" customHeight="1">
      <c r="A1362" s="14">
        <v>46086.90968232639</v>
      </c>
      <c r="B1362" s="15">
        <v>46086.0</v>
      </c>
      <c r="C1362" s="16">
        <v>0.5416666666642413</v>
      </c>
      <c r="U1362" s="17" t="s">
        <v>4904</v>
      </c>
      <c r="V1362" s="17">
        <v>9.963612578E9</v>
      </c>
      <c r="W1362" s="17" t="s">
        <v>388</v>
      </c>
      <c r="AA1362" s="17" t="s">
        <v>109</v>
      </c>
      <c r="AT1362" s="17" t="s">
        <v>4905</v>
      </c>
      <c r="AU1362" s="17" t="s">
        <v>76</v>
      </c>
      <c r="AV1362" s="17" t="s">
        <v>271</v>
      </c>
      <c r="AX1362" s="15">
        <v>46088.0</v>
      </c>
      <c r="AY1362" s="16">
        <v>0.6458333333357587</v>
      </c>
      <c r="AZ1362" s="17" t="s">
        <v>151</v>
      </c>
      <c r="BA1362" s="17" t="s">
        <v>458</v>
      </c>
      <c r="BB1362" s="17" t="s">
        <v>109</v>
      </c>
      <c r="BP1362" s="17" t="s">
        <v>4906</v>
      </c>
      <c r="BR1362" s="24" t="str">
        <f t="shared" si="1"/>
        <v>Sri pratyeka kitchen</v>
      </c>
    </row>
    <row r="1363" ht="22.5" customHeight="1">
      <c r="A1363" s="14">
        <v>46086.9116877662</v>
      </c>
      <c r="B1363" s="15">
        <v>46086.0</v>
      </c>
      <c r="C1363" s="16">
        <v>0.625</v>
      </c>
      <c r="U1363" s="17" t="s">
        <v>4907</v>
      </c>
      <c r="V1363" s="17" t="s">
        <v>388</v>
      </c>
      <c r="W1363" s="17" t="s">
        <v>388</v>
      </c>
      <c r="AA1363" s="17" t="s">
        <v>109</v>
      </c>
      <c r="AT1363" s="17" t="s">
        <v>4894</v>
      </c>
      <c r="AU1363" s="17" t="s">
        <v>109</v>
      </c>
      <c r="AZ1363" s="17" t="s">
        <v>151</v>
      </c>
      <c r="BA1363" s="17" t="s">
        <v>458</v>
      </c>
      <c r="BB1363" s="17" t="s">
        <v>109</v>
      </c>
      <c r="BP1363" s="17" t="s">
        <v>4908</v>
      </c>
      <c r="BR1363" s="24" t="str">
        <f t="shared" si="1"/>
        <v>Diamond food court</v>
      </c>
    </row>
    <row r="1364" ht="22.5" customHeight="1">
      <c r="A1364" s="14">
        <v>46086.98029327547</v>
      </c>
      <c r="B1364" s="15">
        <v>46086.0</v>
      </c>
      <c r="C1364" s="16">
        <v>0.47916666666424135</v>
      </c>
      <c r="D1364" s="17" t="s">
        <v>111</v>
      </c>
      <c r="T1364" s="17" t="s">
        <v>4909</v>
      </c>
      <c r="U1364" s="17" t="s">
        <v>4910</v>
      </c>
      <c r="V1364" s="17">
        <v>9.573281025E9</v>
      </c>
      <c r="W1364" s="17" t="s">
        <v>113</v>
      </c>
      <c r="AA1364" s="17" t="s">
        <v>109</v>
      </c>
      <c r="AT1364" s="17" t="s">
        <v>4911</v>
      </c>
      <c r="AU1364" s="17" t="s">
        <v>76</v>
      </c>
      <c r="AV1364" s="17" t="s">
        <v>373</v>
      </c>
      <c r="AW1364" s="17" t="s">
        <v>4912</v>
      </c>
      <c r="AX1364" s="15">
        <v>46087.0</v>
      </c>
      <c r="AY1364" s="16">
        <v>0.7916666666642413</v>
      </c>
      <c r="AZ1364" s="17" t="s">
        <v>164</v>
      </c>
      <c r="BA1364" s="17" t="s">
        <v>458</v>
      </c>
      <c r="BB1364" s="17" t="s">
        <v>76</v>
      </c>
      <c r="BP1364" s="17" t="s">
        <v>4909</v>
      </c>
      <c r="BR1364" s="24" t="str">
        <f t="shared" si="1"/>
        <v> prime deccan restaurant  prime deccan restaurant </v>
      </c>
    </row>
    <row r="1365" ht="22.5" customHeight="1">
      <c r="A1365" s="14">
        <v>46086.98223097222</v>
      </c>
      <c r="B1365" s="15">
        <v>46086.0</v>
      </c>
      <c r="C1365" s="16">
        <v>0.5</v>
      </c>
      <c r="U1365" s="17" t="s">
        <v>4913</v>
      </c>
      <c r="V1365" s="17">
        <v>9.398645876E9</v>
      </c>
      <c r="W1365" s="17" t="s">
        <v>113</v>
      </c>
      <c r="AA1365" s="17" t="s">
        <v>109</v>
      </c>
      <c r="AT1365" s="17" t="s">
        <v>4914</v>
      </c>
      <c r="AU1365" s="17" t="s">
        <v>76</v>
      </c>
      <c r="AV1365" s="17" t="s">
        <v>271</v>
      </c>
      <c r="AW1365" s="17" t="s">
        <v>4914</v>
      </c>
      <c r="AX1365" s="15">
        <v>46086.0</v>
      </c>
      <c r="AY1365" s="16">
        <v>0.7916666666642413</v>
      </c>
      <c r="AZ1365" s="17" t="s">
        <v>164</v>
      </c>
      <c r="BA1365" s="17" t="s">
        <v>458</v>
      </c>
      <c r="BB1365" s="17" t="s">
        <v>109</v>
      </c>
      <c r="BP1365" s="17" t="s">
        <v>4915</v>
      </c>
      <c r="BR1365" s="24" t="str">
        <f t="shared" si="1"/>
        <v>royal family dhaba</v>
      </c>
    </row>
    <row r="1366" ht="22.5" customHeight="1">
      <c r="A1366" s="14">
        <v>46086.983543333336</v>
      </c>
      <c r="B1366" s="15">
        <v>46086.0</v>
      </c>
      <c r="C1366" s="16">
        <v>0.53125</v>
      </c>
      <c r="U1366" s="17" t="s">
        <v>1899</v>
      </c>
      <c r="V1366" s="17">
        <v>9.15489371E9</v>
      </c>
      <c r="W1366" s="17" t="s">
        <v>117</v>
      </c>
      <c r="AA1366" s="17" t="s">
        <v>109</v>
      </c>
      <c r="AT1366" s="17" t="s">
        <v>4916</v>
      </c>
      <c r="AU1366" s="17" t="s">
        <v>76</v>
      </c>
      <c r="AV1366" s="17" t="s">
        <v>271</v>
      </c>
      <c r="AW1366" s="17" t="s">
        <v>4916</v>
      </c>
      <c r="AX1366" s="15">
        <v>46087.0</v>
      </c>
      <c r="AY1366" s="16">
        <v>0.47916666666424135</v>
      </c>
      <c r="AZ1366" s="17" t="s">
        <v>164</v>
      </c>
      <c r="BA1366" s="17" t="s">
        <v>458</v>
      </c>
      <c r="BB1366" s="17" t="s">
        <v>109</v>
      </c>
      <c r="BP1366" s="17" t="s">
        <v>4917</v>
      </c>
      <c r="BR1366" s="24" t="str">
        <f t="shared" si="1"/>
        <v>sai martha food court</v>
      </c>
    </row>
    <row r="1367" ht="22.5" customHeight="1">
      <c r="A1367" s="14">
        <v>46086.985030185184</v>
      </c>
      <c r="B1367" s="15">
        <v>46086.0</v>
      </c>
      <c r="C1367" s="16">
        <v>0.5416666666642413</v>
      </c>
      <c r="D1367" s="17" t="s">
        <v>111</v>
      </c>
      <c r="T1367" s="17" t="s">
        <v>3194</v>
      </c>
      <c r="U1367" s="17" t="s">
        <v>4918</v>
      </c>
      <c r="V1367" s="17">
        <v>9.642302809E9</v>
      </c>
      <c r="W1367" s="17" t="s">
        <v>117</v>
      </c>
      <c r="AA1367" s="17" t="s">
        <v>109</v>
      </c>
      <c r="AT1367" s="17" t="s">
        <v>4919</v>
      </c>
      <c r="AU1367" s="17" t="s">
        <v>109</v>
      </c>
      <c r="AW1367" s="17" t="s">
        <v>4920</v>
      </c>
      <c r="AZ1367" s="17" t="s">
        <v>164</v>
      </c>
      <c r="BA1367" s="17" t="s">
        <v>458</v>
      </c>
      <c r="BB1367" s="17" t="s">
        <v>76</v>
      </c>
      <c r="BP1367" s="17" t="s">
        <v>3194</v>
      </c>
      <c r="BR1367" s="24" t="str">
        <f t="shared" si="1"/>
        <v>Arabian mandiArabian mandi</v>
      </c>
    </row>
    <row r="1368" ht="22.5" customHeight="1">
      <c r="A1368" s="14">
        <v>46086.986322199074</v>
      </c>
      <c r="B1368" s="15">
        <v>46086.0</v>
      </c>
      <c r="C1368" s="16">
        <v>0.5625</v>
      </c>
      <c r="U1368" s="17" t="s">
        <v>4921</v>
      </c>
      <c r="V1368" s="17" t="s">
        <v>117</v>
      </c>
      <c r="W1368" s="17" t="s">
        <v>117</v>
      </c>
      <c r="AA1368" s="17" t="s">
        <v>109</v>
      </c>
      <c r="AT1368" s="17" t="s">
        <v>4922</v>
      </c>
      <c r="AU1368" s="17" t="s">
        <v>109</v>
      </c>
      <c r="AW1368" s="17" t="s">
        <v>4922</v>
      </c>
      <c r="AZ1368" s="17" t="s">
        <v>164</v>
      </c>
      <c r="BA1368" s="17" t="s">
        <v>458</v>
      </c>
      <c r="BB1368" s="17" t="s">
        <v>109</v>
      </c>
      <c r="BP1368" s="17" t="s">
        <v>4923</v>
      </c>
      <c r="BR1368" s="24" t="str">
        <f t="shared" si="1"/>
        <v> almas restaurant </v>
      </c>
    </row>
    <row r="1369" ht="22.5" customHeight="1">
      <c r="A1369" s="14">
        <v>46087.69850305555</v>
      </c>
      <c r="B1369" s="15">
        <v>46087.0</v>
      </c>
      <c r="C1369" s="16">
        <v>0.48611111110949423</v>
      </c>
      <c r="U1369" s="17" t="s">
        <v>4924</v>
      </c>
      <c r="V1369" s="17">
        <v>8.019975006E9</v>
      </c>
      <c r="W1369" s="17" t="s">
        <v>113</v>
      </c>
      <c r="AA1369" s="17" t="s">
        <v>109</v>
      </c>
      <c r="AT1369" s="17" t="s">
        <v>4925</v>
      </c>
      <c r="AU1369" s="17" t="s">
        <v>76</v>
      </c>
      <c r="AV1369" s="17" t="s">
        <v>472</v>
      </c>
      <c r="AX1369" s="15">
        <v>46090.0</v>
      </c>
      <c r="AZ1369" s="17" t="s">
        <v>287</v>
      </c>
      <c r="BA1369" s="17" t="s">
        <v>458</v>
      </c>
      <c r="BB1369" s="17" t="s">
        <v>109</v>
      </c>
      <c r="BP1369" s="17" t="s">
        <v>4926</v>
      </c>
      <c r="BR1369" s="24" t="str">
        <f t="shared" si="1"/>
        <v>AG Food Court</v>
      </c>
    </row>
    <row r="1370" ht="22.5" customHeight="1">
      <c r="A1370" s="14">
        <v>46086.98868342592</v>
      </c>
      <c r="B1370" s="15">
        <v>46086.0</v>
      </c>
      <c r="C1370" s="16">
        <v>0.5833333333357587</v>
      </c>
      <c r="U1370" s="17" t="s">
        <v>991</v>
      </c>
      <c r="V1370" s="17">
        <v>7.780181321E9</v>
      </c>
      <c r="W1370" s="17" t="s">
        <v>117</v>
      </c>
      <c r="AA1370" s="17" t="s">
        <v>109</v>
      </c>
      <c r="AT1370" s="17" t="s">
        <v>4927</v>
      </c>
      <c r="AU1370" s="17" t="s">
        <v>76</v>
      </c>
      <c r="AV1370" s="17" t="s">
        <v>271</v>
      </c>
      <c r="AW1370" s="17" t="s">
        <v>4927</v>
      </c>
      <c r="AX1370" s="15">
        <v>46087.0</v>
      </c>
      <c r="AY1370" s="16">
        <v>0.6041666666642413</v>
      </c>
      <c r="AZ1370" s="17" t="s">
        <v>164</v>
      </c>
      <c r="BA1370" s="17" t="s">
        <v>458</v>
      </c>
      <c r="BB1370" s="17" t="s">
        <v>109</v>
      </c>
      <c r="BP1370" s="17" t="s">
        <v>4928</v>
      </c>
      <c r="BR1370" s="24" t="str">
        <f t="shared" si="1"/>
        <v>santosh dhaba </v>
      </c>
    </row>
    <row r="1371" ht="22.5" customHeight="1">
      <c r="A1371" s="14">
        <v>46086.98748236111</v>
      </c>
      <c r="B1371" s="15">
        <v>46086.0</v>
      </c>
      <c r="C1371" s="16">
        <v>0.5729166666642413</v>
      </c>
      <c r="U1371" s="17" t="s">
        <v>4929</v>
      </c>
      <c r="V1371" s="17">
        <v>8.008645443E9</v>
      </c>
      <c r="W1371" s="17" t="s">
        <v>117</v>
      </c>
      <c r="AA1371" s="17" t="s">
        <v>109</v>
      </c>
      <c r="AT1371" s="17" t="s">
        <v>1242</v>
      </c>
      <c r="AU1371" s="17" t="s">
        <v>76</v>
      </c>
      <c r="AW1371" s="17" t="s">
        <v>1242</v>
      </c>
      <c r="AX1371" s="15">
        <v>46090.0</v>
      </c>
      <c r="AY1371" s="16">
        <v>0.6875</v>
      </c>
      <c r="AZ1371" s="17" t="s">
        <v>164</v>
      </c>
      <c r="BA1371" s="17" t="s">
        <v>458</v>
      </c>
      <c r="BB1371" s="17" t="s">
        <v>109</v>
      </c>
      <c r="BP1371" s="17" t="s">
        <v>4930</v>
      </c>
      <c r="BR1371" s="24" t="str">
        <f t="shared" si="1"/>
        <v>Al faizan arabian mandi </v>
      </c>
    </row>
    <row r="1372" ht="22.5" customHeight="1">
      <c r="A1372" s="14">
        <v>46086.99051722222</v>
      </c>
      <c r="B1372" s="15">
        <v>46087.0</v>
      </c>
      <c r="C1372" s="16">
        <v>0.6041666666642413</v>
      </c>
      <c r="U1372" s="17" t="s">
        <v>488</v>
      </c>
      <c r="V1372" s="17">
        <v>9.989445803E9</v>
      </c>
      <c r="W1372" s="17" t="s">
        <v>117</v>
      </c>
      <c r="AA1372" s="17" t="s">
        <v>109</v>
      </c>
      <c r="AT1372" s="17" t="s">
        <v>4931</v>
      </c>
      <c r="AU1372" s="17" t="s">
        <v>76</v>
      </c>
      <c r="AV1372" s="17" t="s">
        <v>271</v>
      </c>
      <c r="AW1372" s="17" t="s">
        <v>4931</v>
      </c>
      <c r="AX1372" s="15">
        <v>46090.0</v>
      </c>
      <c r="AY1372" s="16">
        <v>0.625</v>
      </c>
      <c r="AZ1372" s="17" t="s">
        <v>164</v>
      </c>
      <c r="BA1372" s="17" t="s">
        <v>458</v>
      </c>
      <c r="BB1372" s="17" t="s">
        <v>109</v>
      </c>
      <c r="BP1372" s="17" t="s">
        <v>4932</v>
      </c>
      <c r="BR1372" s="24" t="str">
        <f t="shared" si="1"/>
        <v>  krishna udipi  park </v>
      </c>
    </row>
    <row r="1373" ht="22.5" customHeight="1">
      <c r="A1373" s="14">
        <v>46087.00658428241</v>
      </c>
      <c r="B1373" s="15">
        <v>46086.0</v>
      </c>
      <c r="C1373" s="16">
        <v>0.7916666666642413</v>
      </c>
      <c r="D1373" s="17" t="s">
        <v>91</v>
      </c>
      <c r="F1373" s="17">
        <v>50.0</v>
      </c>
      <c r="G1373" s="17">
        <v>350.0</v>
      </c>
      <c r="H1373" s="17" t="s">
        <v>4933</v>
      </c>
      <c r="I1373" s="17">
        <v>21000.0</v>
      </c>
      <c r="J1373" s="17" t="s">
        <v>94</v>
      </c>
      <c r="K1373" s="17" t="s">
        <v>95</v>
      </c>
      <c r="M1373" s="17">
        <v>22.0</v>
      </c>
      <c r="N1373" s="17">
        <v>2.0</v>
      </c>
      <c r="O1373" s="17" t="s">
        <v>96</v>
      </c>
      <c r="P1373" s="17" t="s">
        <v>109</v>
      </c>
      <c r="Q1373" s="17" t="s">
        <v>97</v>
      </c>
      <c r="R1373" s="17" t="s">
        <v>76</v>
      </c>
      <c r="S1373" s="18" t="s">
        <v>4934</v>
      </c>
      <c r="U1373" s="17" t="s">
        <v>4935</v>
      </c>
      <c r="V1373" s="17" t="s">
        <v>4936</v>
      </c>
      <c r="W1373" s="17" t="s">
        <v>4937</v>
      </c>
      <c r="AA1373" s="17" t="s">
        <v>76</v>
      </c>
      <c r="AB1373" s="17">
        <v>2.3626032001637E13</v>
      </c>
      <c r="AC1373" s="18" t="s">
        <v>4938</v>
      </c>
      <c r="AD1373" s="17" t="s">
        <v>117</v>
      </c>
      <c r="AF1373" s="17" t="s">
        <v>4939</v>
      </c>
      <c r="AG1373" s="18" t="s">
        <v>4940</v>
      </c>
      <c r="AK1373" s="18" t="s">
        <v>4941</v>
      </c>
      <c r="AL1373" s="17">
        <v>3.8834634507E10</v>
      </c>
      <c r="AM1373" s="17" t="s">
        <v>4942</v>
      </c>
      <c r="AN1373" s="17" t="s">
        <v>4935</v>
      </c>
      <c r="AO1373" s="17" t="s">
        <v>4935</v>
      </c>
      <c r="AP1373" s="17" t="s">
        <v>4936</v>
      </c>
      <c r="AQ1373" s="17" t="s">
        <v>4937</v>
      </c>
      <c r="AR1373" s="17" t="s">
        <v>4935</v>
      </c>
      <c r="AS1373" s="17" t="s">
        <v>76</v>
      </c>
      <c r="AT1373" s="17" t="s">
        <v>193</v>
      </c>
      <c r="AU1373" s="17" t="s">
        <v>76</v>
      </c>
      <c r="AV1373" s="17" t="s">
        <v>88</v>
      </c>
      <c r="AW1373" s="17" t="s">
        <v>4943</v>
      </c>
      <c r="AZ1373" s="17" t="s">
        <v>164</v>
      </c>
      <c r="BA1373" s="17" t="s">
        <v>458</v>
      </c>
      <c r="BB1373" s="17" t="s">
        <v>76</v>
      </c>
      <c r="BH1373" s="17">
        <v>22.0</v>
      </c>
      <c r="BI1373" s="17" t="s">
        <v>109</v>
      </c>
      <c r="BJ1373" s="16">
        <v>0.47916666666424135</v>
      </c>
      <c r="BK1373" s="16">
        <v>0.9930555555547471</v>
      </c>
      <c r="BL1373" s="17">
        <v>60.0</v>
      </c>
      <c r="BM1373" s="17" t="s">
        <v>4944</v>
      </c>
      <c r="BN1373" s="17" t="s">
        <v>992</v>
      </c>
      <c r="BP1373" s="17" t="s">
        <v>4945</v>
      </c>
      <c r="BR1373" s="24" t="str">
        <f t="shared" si="1"/>
        <v>Royal family dhaba  snackes</v>
      </c>
    </row>
    <row r="1374" ht="22.5" customHeight="1">
      <c r="A1374" s="14">
        <v>46087.44066003472</v>
      </c>
      <c r="B1374" s="15">
        <v>46058.0</v>
      </c>
      <c r="C1374" s="16">
        <v>0.6979166666642413</v>
      </c>
      <c r="D1374" s="17" t="s">
        <v>111</v>
      </c>
      <c r="T1374" s="17" t="s">
        <v>3919</v>
      </c>
      <c r="U1374" s="17" t="s">
        <v>2044</v>
      </c>
      <c r="V1374" s="17">
        <v>9.615550066E9</v>
      </c>
      <c r="W1374" s="17" t="s">
        <v>4946</v>
      </c>
      <c r="AA1374" s="17" t="s">
        <v>76</v>
      </c>
      <c r="AC1374" s="18" t="s">
        <v>4947</v>
      </c>
      <c r="AG1374" s="18" t="s">
        <v>4948</v>
      </c>
      <c r="AJ1374" s="18" t="s">
        <v>4949</v>
      </c>
      <c r="AK1374" s="18" t="s">
        <v>4950</v>
      </c>
      <c r="AS1374" s="17" t="s">
        <v>76</v>
      </c>
      <c r="AT1374" s="17" t="s">
        <v>181</v>
      </c>
      <c r="AU1374" s="17" t="s">
        <v>109</v>
      </c>
      <c r="AZ1374" s="17" t="s">
        <v>287</v>
      </c>
      <c r="BA1374" s="17" t="s">
        <v>458</v>
      </c>
      <c r="BB1374" s="17" t="s">
        <v>76</v>
      </c>
      <c r="BM1374" s="17" t="s">
        <v>1088</v>
      </c>
      <c r="BP1374" s="17" t="s">
        <v>3919</v>
      </c>
      <c r="BR1374" s="24" t="str">
        <f t="shared" si="1"/>
        <v>Slice and SauceSlice and Sauce</v>
      </c>
    </row>
    <row r="1375" ht="22.5" customHeight="1">
      <c r="A1375" s="14">
        <v>46087.44743864583</v>
      </c>
      <c r="B1375" s="15">
        <v>46058.0</v>
      </c>
      <c r="C1375" s="16">
        <v>0.7041666666627862</v>
      </c>
      <c r="D1375" s="17" t="s">
        <v>91</v>
      </c>
      <c r="F1375" s="17">
        <v>1.0</v>
      </c>
      <c r="G1375" s="17">
        <v>250.0</v>
      </c>
      <c r="H1375" s="17" t="s">
        <v>388</v>
      </c>
      <c r="J1375" s="17" t="s">
        <v>94</v>
      </c>
      <c r="K1375" s="17" t="s">
        <v>134</v>
      </c>
      <c r="M1375" s="17">
        <v>22.0</v>
      </c>
      <c r="N1375" s="17">
        <v>1.0</v>
      </c>
      <c r="O1375" s="17" t="s">
        <v>96</v>
      </c>
      <c r="P1375" s="17" t="s">
        <v>109</v>
      </c>
      <c r="Q1375" s="17" t="s">
        <v>97</v>
      </c>
      <c r="R1375" s="17" t="s">
        <v>109</v>
      </c>
      <c r="S1375" s="17" t="s">
        <v>388</v>
      </c>
      <c r="U1375" s="17" t="s">
        <v>4951</v>
      </c>
      <c r="V1375" s="17">
        <v>9.615550066E9</v>
      </c>
      <c r="W1375" s="17" t="s">
        <v>388</v>
      </c>
      <c r="AA1375" s="17" t="s">
        <v>76</v>
      </c>
      <c r="AC1375" s="18" t="s">
        <v>4952</v>
      </c>
      <c r="AG1375" s="18" t="s">
        <v>4953</v>
      </c>
      <c r="AK1375" s="18" t="s">
        <v>4954</v>
      </c>
      <c r="AS1375" s="17" t="s">
        <v>76</v>
      </c>
      <c r="AT1375" s="17" t="s">
        <v>3797</v>
      </c>
      <c r="AU1375" s="17" t="s">
        <v>76</v>
      </c>
      <c r="AZ1375" s="17" t="s">
        <v>287</v>
      </c>
      <c r="BA1375" s="17" t="s">
        <v>458</v>
      </c>
      <c r="BB1375" s="17" t="s">
        <v>76</v>
      </c>
      <c r="BM1375" s="17" t="s">
        <v>1088</v>
      </c>
      <c r="BN1375" s="17" t="s">
        <v>4955</v>
      </c>
      <c r="BP1375" s="17" t="s">
        <v>4956</v>
      </c>
      <c r="BR1375" s="24" t="str">
        <f t="shared" si="1"/>
        <v>Ruchi Chupistha</v>
      </c>
    </row>
    <row r="1376" ht="22.5" customHeight="1">
      <c r="A1376" s="14">
        <v>46087.45015600695</v>
      </c>
      <c r="B1376" s="15">
        <v>46086.0</v>
      </c>
      <c r="C1376" s="16">
        <v>0.8659722222218988</v>
      </c>
      <c r="U1376" s="17" t="s">
        <v>4865</v>
      </c>
      <c r="V1376" s="17">
        <v>8.125638368E9</v>
      </c>
      <c r="W1376" s="17" t="s">
        <v>388</v>
      </c>
      <c r="AA1376" s="17" t="s">
        <v>109</v>
      </c>
      <c r="AT1376" s="17" t="s">
        <v>4957</v>
      </c>
      <c r="AU1376" s="17" t="s">
        <v>76</v>
      </c>
      <c r="AV1376" s="17" t="s">
        <v>114</v>
      </c>
      <c r="AX1376" s="15">
        <v>46086.0</v>
      </c>
      <c r="AY1376" s="16">
        <v>0.625</v>
      </c>
      <c r="AZ1376" s="17" t="s">
        <v>287</v>
      </c>
      <c r="BA1376" s="17" t="s">
        <v>458</v>
      </c>
      <c r="BB1376" s="17" t="s">
        <v>109</v>
      </c>
      <c r="BP1376" s="17" t="s">
        <v>4958</v>
      </c>
      <c r="BR1376" s="24" t="str">
        <f t="shared" si="1"/>
        <v>Kolkata Food Plaza</v>
      </c>
    </row>
    <row r="1377" ht="22.5" customHeight="1">
      <c r="A1377" s="14">
        <v>46087.531345219904</v>
      </c>
      <c r="B1377" s="15">
        <v>46087.0</v>
      </c>
      <c r="C1377" s="16">
        <v>0.5305555555532919</v>
      </c>
      <c r="U1377" s="17" t="s">
        <v>4959</v>
      </c>
      <c r="V1377" s="17" t="s">
        <v>388</v>
      </c>
      <c r="W1377" s="17" t="s">
        <v>388</v>
      </c>
      <c r="AA1377" s="17" t="s">
        <v>109</v>
      </c>
      <c r="AT1377" s="17" t="s">
        <v>4960</v>
      </c>
      <c r="AU1377" s="17" t="s">
        <v>76</v>
      </c>
      <c r="AZ1377" s="17" t="s">
        <v>243</v>
      </c>
      <c r="BA1377" s="17" t="s">
        <v>458</v>
      </c>
      <c r="BB1377" s="17" t="s">
        <v>109</v>
      </c>
      <c r="BP1377" s="17" t="s">
        <v>4961</v>
      </c>
      <c r="BR1377" s="24" t="str">
        <f t="shared" si="1"/>
        <v>Dakshina desapu ruchulu </v>
      </c>
    </row>
    <row r="1378" ht="22.5" customHeight="1">
      <c r="A1378" s="14">
        <v>46087.546232395835</v>
      </c>
      <c r="B1378" s="15">
        <v>46087.0</v>
      </c>
      <c r="C1378" s="16">
        <v>0.5451388888905058</v>
      </c>
      <c r="U1378" s="17" t="s">
        <v>289</v>
      </c>
      <c r="V1378" s="17">
        <v>7.799956667E9</v>
      </c>
      <c r="W1378" s="17" t="s">
        <v>388</v>
      </c>
      <c r="AA1378" s="17" t="s">
        <v>109</v>
      </c>
      <c r="AT1378" s="17" t="s">
        <v>4962</v>
      </c>
      <c r="AU1378" s="17" t="s">
        <v>76</v>
      </c>
      <c r="AZ1378" s="17" t="s">
        <v>243</v>
      </c>
      <c r="BA1378" s="17" t="s">
        <v>458</v>
      </c>
      <c r="BB1378" s="17" t="s">
        <v>109</v>
      </c>
      <c r="BP1378" s="17" t="s">
        <v>4963</v>
      </c>
      <c r="BR1378" s="24" t="str">
        <f t="shared" si="1"/>
        <v>President dhabha</v>
      </c>
    </row>
    <row r="1379" ht="22.5" customHeight="1">
      <c r="A1379" s="14">
        <v>46087.54829042824</v>
      </c>
      <c r="B1379" s="15">
        <v>46087.0</v>
      </c>
      <c r="C1379" s="16">
        <v>0.5458333333372138</v>
      </c>
      <c r="U1379" s="17" t="s">
        <v>4964</v>
      </c>
      <c r="V1379" s="17">
        <v>9.985690739E9</v>
      </c>
      <c r="W1379" s="17" t="s">
        <v>388</v>
      </c>
      <c r="AA1379" s="17" t="s">
        <v>109</v>
      </c>
      <c r="AT1379" s="17" t="s">
        <v>4445</v>
      </c>
      <c r="AU1379" s="17" t="s">
        <v>76</v>
      </c>
      <c r="AZ1379" s="17" t="s">
        <v>243</v>
      </c>
      <c r="BA1379" s="17" t="s">
        <v>458</v>
      </c>
      <c r="BB1379" s="17" t="s">
        <v>109</v>
      </c>
      <c r="BP1379" s="17" t="s">
        <v>4965</v>
      </c>
      <c r="BR1379" s="24" t="str">
        <f t="shared" si="1"/>
        <v>Minyu</v>
      </c>
    </row>
    <row r="1380" ht="22.5" customHeight="1">
      <c r="A1380" s="14">
        <v>46087.54953202546</v>
      </c>
      <c r="B1380" s="15">
        <v>46087.0</v>
      </c>
      <c r="C1380" s="16">
        <v>0.5479166666627862</v>
      </c>
      <c r="U1380" s="17" t="s">
        <v>388</v>
      </c>
      <c r="V1380" s="17" t="s">
        <v>4966</v>
      </c>
      <c r="W1380" s="17" t="s">
        <v>388</v>
      </c>
      <c r="AA1380" s="17" t="s">
        <v>109</v>
      </c>
      <c r="AT1380" s="17" t="s">
        <v>4967</v>
      </c>
      <c r="AU1380" s="17" t="s">
        <v>76</v>
      </c>
      <c r="AZ1380" s="17" t="s">
        <v>243</v>
      </c>
      <c r="BA1380" s="17" t="s">
        <v>458</v>
      </c>
      <c r="BB1380" s="17" t="s">
        <v>109</v>
      </c>
      <c r="BP1380" s="17" t="s">
        <v>4968</v>
      </c>
      <c r="BR1380" s="24" t="str">
        <f t="shared" si="1"/>
        <v>Hamara adda</v>
      </c>
    </row>
    <row r="1381" ht="22.5" customHeight="1">
      <c r="A1381" s="14">
        <v>46087.56740122685</v>
      </c>
      <c r="B1381" s="15">
        <v>46087.0</v>
      </c>
      <c r="C1381" s="16">
        <v>0.16666666666424135</v>
      </c>
      <c r="U1381" s="17" t="s">
        <v>388</v>
      </c>
      <c r="V1381" s="17" t="s">
        <v>388</v>
      </c>
      <c r="W1381" s="17" t="s">
        <v>388</v>
      </c>
      <c r="AA1381" s="17" t="s">
        <v>109</v>
      </c>
      <c r="AT1381" s="17" t="s">
        <v>4969</v>
      </c>
      <c r="AU1381" s="17" t="s">
        <v>76</v>
      </c>
      <c r="AV1381" s="17" t="s">
        <v>88</v>
      </c>
      <c r="AZ1381" s="17" t="s">
        <v>539</v>
      </c>
      <c r="BA1381" s="17" t="s">
        <v>458</v>
      </c>
      <c r="BB1381" s="17" t="s">
        <v>109</v>
      </c>
      <c r="BP1381" s="17" t="s">
        <v>4970</v>
      </c>
      <c r="BR1381" s="24" t="str">
        <f t="shared" si="1"/>
        <v>11 • food court </v>
      </c>
    </row>
    <row r="1382" ht="22.5" customHeight="1">
      <c r="A1382" s="14">
        <v>46087.657116365735</v>
      </c>
      <c r="B1382" s="15">
        <v>46087.0</v>
      </c>
      <c r="C1382" s="16">
        <v>0.6541666666671517</v>
      </c>
      <c r="U1382" s="17" t="s">
        <v>4971</v>
      </c>
      <c r="V1382" s="17">
        <v>8.978532143E9</v>
      </c>
      <c r="W1382" s="17" t="s">
        <v>388</v>
      </c>
      <c r="AA1382" s="17" t="s">
        <v>109</v>
      </c>
      <c r="AT1382" s="17" t="s">
        <v>4831</v>
      </c>
      <c r="AU1382" s="17" t="s">
        <v>109</v>
      </c>
      <c r="AZ1382" s="17" t="s">
        <v>243</v>
      </c>
      <c r="BA1382" s="17" t="s">
        <v>458</v>
      </c>
      <c r="BB1382" s="17" t="s">
        <v>109</v>
      </c>
      <c r="BP1382" s="17" t="s">
        <v>4972</v>
      </c>
      <c r="BR1382" s="24" t="str">
        <f t="shared" si="1"/>
        <v>The friger co </v>
      </c>
    </row>
    <row r="1383" ht="22.5" customHeight="1">
      <c r="A1383" s="14">
        <v>46087.658784189814</v>
      </c>
      <c r="B1383" s="15">
        <v>46087.0</v>
      </c>
      <c r="C1383" s="16">
        <v>0.6576388888934162</v>
      </c>
      <c r="U1383" s="17" t="s">
        <v>4973</v>
      </c>
      <c r="V1383" s="17">
        <v>6.36198949E9</v>
      </c>
      <c r="W1383" s="17" t="s">
        <v>388</v>
      </c>
      <c r="AA1383" s="17" t="s">
        <v>109</v>
      </c>
      <c r="AT1383" s="17" t="s">
        <v>4974</v>
      </c>
      <c r="AU1383" s="17" t="s">
        <v>76</v>
      </c>
      <c r="AZ1383" s="17" t="s">
        <v>243</v>
      </c>
      <c r="BA1383" s="17" t="s">
        <v>458</v>
      </c>
      <c r="BB1383" s="17" t="s">
        <v>109</v>
      </c>
      <c r="BP1383" s="17" t="s">
        <v>4975</v>
      </c>
      <c r="BR1383" s="24" t="str">
        <f t="shared" si="1"/>
        <v>Btech tiffins </v>
      </c>
    </row>
    <row r="1384" ht="22.5" customHeight="1">
      <c r="A1384" s="14">
        <v>46087.6783575463</v>
      </c>
      <c r="B1384" s="15">
        <v>46087.0</v>
      </c>
      <c r="C1384" s="16">
        <v>0.6770833333357587</v>
      </c>
      <c r="U1384" s="17" t="s">
        <v>4976</v>
      </c>
      <c r="V1384" s="17" t="s">
        <v>388</v>
      </c>
      <c r="W1384" s="17" t="s">
        <v>388</v>
      </c>
      <c r="AA1384" s="17" t="s">
        <v>109</v>
      </c>
      <c r="AT1384" s="17" t="s">
        <v>4977</v>
      </c>
      <c r="AU1384" s="17" t="s">
        <v>76</v>
      </c>
      <c r="AZ1384" s="17" t="s">
        <v>243</v>
      </c>
      <c r="BA1384" s="17" t="s">
        <v>458</v>
      </c>
      <c r="BB1384" s="17" t="s">
        <v>109</v>
      </c>
      <c r="BP1384" s="17" t="s">
        <v>4978</v>
      </c>
      <c r="BR1384" s="24" t="str">
        <f t="shared" si="1"/>
        <v>Paasa local</v>
      </c>
    </row>
    <row r="1385" ht="22.5" customHeight="1">
      <c r="A1385" s="14">
        <v>46086.99864875</v>
      </c>
      <c r="B1385" s="15">
        <v>46086.0</v>
      </c>
      <c r="C1385" s="16">
        <v>0.7916666666642413</v>
      </c>
      <c r="D1385" s="17" t="s">
        <v>91</v>
      </c>
      <c r="F1385" s="17">
        <v>50.0</v>
      </c>
      <c r="G1385" s="17">
        <v>350.0</v>
      </c>
      <c r="H1385" s="17" t="s">
        <v>4933</v>
      </c>
      <c r="I1385" s="17">
        <v>21000.0</v>
      </c>
      <c r="J1385" s="17" t="s">
        <v>94</v>
      </c>
      <c r="K1385" s="17" t="s">
        <v>95</v>
      </c>
      <c r="M1385" s="17">
        <v>22.0</v>
      </c>
      <c r="N1385" s="17">
        <v>2.0</v>
      </c>
      <c r="O1385" s="17" t="s">
        <v>96</v>
      </c>
      <c r="P1385" s="17" t="s">
        <v>109</v>
      </c>
      <c r="Q1385" s="17" t="s">
        <v>97</v>
      </c>
      <c r="R1385" s="17" t="s">
        <v>109</v>
      </c>
      <c r="S1385" s="18" t="s">
        <v>4979</v>
      </c>
      <c r="U1385" s="17" t="s">
        <v>4935</v>
      </c>
      <c r="V1385" s="17" t="s">
        <v>4980</v>
      </c>
      <c r="W1385" s="17" t="s">
        <v>4937</v>
      </c>
      <c r="AA1385" s="17" t="s">
        <v>76</v>
      </c>
      <c r="AB1385" s="17">
        <v>2.3626032001637E13</v>
      </c>
      <c r="AC1385" s="18" t="s">
        <v>4981</v>
      </c>
      <c r="AD1385" s="17" t="s">
        <v>117</v>
      </c>
      <c r="AF1385" s="17" t="s">
        <v>4939</v>
      </c>
      <c r="AG1385" s="18" t="s">
        <v>4982</v>
      </c>
      <c r="AH1385" s="17" t="s">
        <v>117</v>
      </c>
      <c r="AL1385" s="17">
        <v>3.8834634507E10</v>
      </c>
      <c r="AM1385" s="17" t="s">
        <v>4942</v>
      </c>
      <c r="AN1385" s="17" t="s">
        <v>4983</v>
      </c>
      <c r="AO1385" s="17" t="s">
        <v>4983</v>
      </c>
      <c r="AP1385" s="17" t="s">
        <v>4936</v>
      </c>
      <c r="AQ1385" s="17" t="s">
        <v>4937</v>
      </c>
      <c r="AR1385" s="17" t="s">
        <v>4983</v>
      </c>
      <c r="AS1385" s="17" t="s">
        <v>76</v>
      </c>
      <c r="AT1385" s="17" t="s">
        <v>193</v>
      </c>
      <c r="AU1385" s="17" t="s">
        <v>76</v>
      </c>
      <c r="AV1385" s="17" t="s">
        <v>88</v>
      </c>
      <c r="AW1385" s="17" t="s">
        <v>4984</v>
      </c>
      <c r="AX1385" s="15">
        <v>46090.0</v>
      </c>
      <c r="AY1385" s="16">
        <v>0.5208333333357587</v>
      </c>
      <c r="AZ1385" s="17" t="s">
        <v>164</v>
      </c>
      <c r="BA1385" s="17" t="s">
        <v>458</v>
      </c>
      <c r="BB1385" s="17" t="s">
        <v>76</v>
      </c>
      <c r="BH1385" s="17">
        <v>22.0</v>
      </c>
      <c r="BI1385" s="17" t="s">
        <v>109</v>
      </c>
      <c r="BJ1385" s="16">
        <v>0.47916666666424135</v>
      </c>
      <c r="BK1385" s="16">
        <v>0.9930555555547471</v>
      </c>
      <c r="BL1385" s="17">
        <v>60.0</v>
      </c>
      <c r="BM1385" s="17" t="s">
        <v>4944</v>
      </c>
      <c r="BN1385" s="17" t="s">
        <v>992</v>
      </c>
      <c r="BP1385" s="17" t="s">
        <v>4985</v>
      </c>
      <c r="BR1385" s="24" t="str">
        <f t="shared" si="1"/>
        <v>Royal family dhaba</v>
      </c>
    </row>
    <row r="1386" ht="22.5" customHeight="1">
      <c r="A1386" s="14">
        <v>46087.70013082176</v>
      </c>
      <c r="B1386" s="15">
        <v>46087.0</v>
      </c>
      <c r="C1386" s="16">
        <v>0.6458333333357587</v>
      </c>
      <c r="D1386" s="17" t="s">
        <v>91</v>
      </c>
      <c r="F1386" s="17">
        <v>30.0</v>
      </c>
      <c r="G1386" s="17">
        <v>250.0</v>
      </c>
      <c r="H1386" s="17" t="s">
        <v>388</v>
      </c>
      <c r="J1386" s="17" t="s">
        <v>221</v>
      </c>
      <c r="K1386" s="17" t="s">
        <v>95</v>
      </c>
      <c r="N1386" s="17">
        <v>1.0</v>
      </c>
      <c r="O1386" s="17" t="s">
        <v>96</v>
      </c>
      <c r="P1386" s="17" t="s">
        <v>109</v>
      </c>
      <c r="Q1386" s="17" t="s">
        <v>97</v>
      </c>
      <c r="R1386" s="17" t="s">
        <v>109</v>
      </c>
      <c r="S1386" s="18" t="s">
        <v>4986</v>
      </c>
      <c r="U1386" s="17" t="s">
        <v>4987</v>
      </c>
      <c r="V1386" s="17" t="s">
        <v>4988</v>
      </c>
      <c r="W1386" s="17" t="s">
        <v>388</v>
      </c>
      <c r="AA1386" s="17" t="s">
        <v>76</v>
      </c>
      <c r="AB1386" s="17">
        <v>2.3626032001539E13</v>
      </c>
      <c r="AC1386" s="18" t="s">
        <v>4989</v>
      </c>
      <c r="AF1386" s="17" t="s">
        <v>4990</v>
      </c>
      <c r="AG1386" s="18" t="s">
        <v>4991</v>
      </c>
      <c r="AK1386" s="18" t="s">
        <v>4992</v>
      </c>
      <c r="AL1386" s="17">
        <v>1.83410100007985E14</v>
      </c>
      <c r="AM1386" s="17" t="s">
        <v>4993</v>
      </c>
      <c r="AN1386" s="17" t="s">
        <v>4994</v>
      </c>
      <c r="AS1386" s="17" t="s">
        <v>76</v>
      </c>
      <c r="AT1386" s="17" t="s">
        <v>388</v>
      </c>
      <c r="AU1386" s="17" t="s">
        <v>109</v>
      </c>
      <c r="AZ1386" s="17" t="s">
        <v>151</v>
      </c>
      <c r="BA1386" s="17" t="s">
        <v>458</v>
      </c>
      <c r="BB1386" s="17" t="s">
        <v>76</v>
      </c>
      <c r="BH1386" s="17">
        <v>23.0</v>
      </c>
      <c r="BI1386" s="17" t="s">
        <v>109</v>
      </c>
      <c r="BJ1386" s="16">
        <v>0.41666666666424135</v>
      </c>
      <c r="BK1386" s="16">
        <v>0.9583333333357587</v>
      </c>
      <c r="BM1386" s="17" t="s">
        <v>4995</v>
      </c>
      <c r="BN1386" s="17" t="s">
        <v>4995</v>
      </c>
      <c r="BP1386" s="17" t="s">
        <v>4996</v>
      </c>
      <c r="BR1386" s="24" t="str">
        <f t="shared" si="1"/>
        <v>Om Sri Hanuman Foods</v>
      </c>
    </row>
    <row r="1387" ht="22.5" customHeight="1">
      <c r="A1387" s="14">
        <v>46087.70922710648</v>
      </c>
      <c r="B1387" s="15">
        <v>46087.0</v>
      </c>
      <c r="C1387" s="16">
        <v>0.5451388888905058</v>
      </c>
      <c r="D1387" s="17" t="s">
        <v>91</v>
      </c>
      <c r="F1387" s="17">
        <v>40.0</v>
      </c>
      <c r="G1387" s="17">
        <v>250.0</v>
      </c>
      <c r="H1387" s="17" t="s">
        <v>388</v>
      </c>
      <c r="I1387" s="17">
        <v>20000.0</v>
      </c>
      <c r="J1387" s="17" t="s">
        <v>221</v>
      </c>
      <c r="K1387" s="17" t="s">
        <v>273</v>
      </c>
      <c r="N1387" s="17">
        <v>1.0</v>
      </c>
      <c r="O1387" s="17" t="s">
        <v>96</v>
      </c>
      <c r="P1387" s="17" t="s">
        <v>109</v>
      </c>
      <c r="Q1387" s="17" t="s">
        <v>97</v>
      </c>
      <c r="R1387" s="17" t="s">
        <v>109</v>
      </c>
      <c r="S1387" s="18" t="s">
        <v>4997</v>
      </c>
      <c r="U1387" s="17" t="s">
        <v>4998</v>
      </c>
      <c r="V1387" s="17" t="s">
        <v>4999</v>
      </c>
      <c r="W1387" s="17" t="s">
        <v>388</v>
      </c>
      <c r="AA1387" s="17" t="s">
        <v>76</v>
      </c>
      <c r="AB1387" s="17">
        <v>2.3625032001874E13</v>
      </c>
      <c r="AC1387" s="18" t="s">
        <v>5000</v>
      </c>
      <c r="AF1387" s="17" t="s">
        <v>5001</v>
      </c>
      <c r="AG1387" s="18" t="s">
        <v>5002</v>
      </c>
      <c r="AL1387" s="17">
        <v>3.3401005475E11</v>
      </c>
      <c r="AM1387" s="17" t="s">
        <v>5003</v>
      </c>
      <c r="AN1387" s="17" t="s">
        <v>1737</v>
      </c>
      <c r="AS1387" s="17" t="s">
        <v>76</v>
      </c>
      <c r="AT1387" s="17" t="s">
        <v>388</v>
      </c>
      <c r="AU1387" s="17" t="s">
        <v>109</v>
      </c>
      <c r="AZ1387" s="17" t="s">
        <v>151</v>
      </c>
      <c r="BA1387" s="17" t="s">
        <v>458</v>
      </c>
      <c r="BB1387" s="17" t="s">
        <v>76</v>
      </c>
      <c r="BH1387" s="17">
        <v>23.0</v>
      </c>
      <c r="BJ1387" s="16">
        <v>0.41666666666424135</v>
      </c>
      <c r="BK1387" s="16">
        <v>0.9583333333357587</v>
      </c>
      <c r="BM1387" s="17" t="s">
        <v>5004</v>
      </c>
      <c r="BN1387" s="17" t="s">
        <v>4995</v>
      </c>
      <c r="BP1387" s="17" t="s">
        <v>5005</v>
      </c>
      <c r="BR1387" s="24" t="str">
        <f t="shared" si="1"/>
        <v>Balaji Muntha Masala</v>
      </c>
    </row>
    <row r="1388" ht="22.5" customHeight="1">
      <c r="A1388" s="14">
        <v>46087.713880324074</v>
      </c>
      <c r="B1388" s="15">
        <v>46087.0</v>
      </c>
      <c r="C1388" s="16">
        <v>0.5416666666642413</v>
      </c>
      <c r="D1388" s="17" t="s">
        <v>91</v>
      </c>
      <c r="F1388" s="17">
        <v>40.0</v>
      </c>
      <c r="G1388" s="17">
        <v>250.0</v>
      </c>
      <c r="H1388" s="17" t="s">
        <v>388</v>
      </c>
      <c r="I1388" s="17">
        <v>50000.0</v>
      </c>
      <c r="J1388" s="17" t="s">
        <v>221</v>
      </c>
      <c r="K1388" s="17" t="s">
        <v>95</v>
      </c>
      <c r="N1388" s="17">
        <v>1.0</v>
      </c>
      <c r="O1388" s="17" t="s">
        <v>96</v>
      </c>
      <c r="P1388" s="17" t="s">
        <v>109</v>
      </c>
      <c r="Q1388" s="17" t="s">
        <v>97</v>
      </c>
      <c r="R1388" s="17" t="s">
        <v>109</v>
      </c>
      <c r="S1388" s="18" t="s">
        <v>5006</v>
      </c>
      <c r="U1388" s="17" t="s">
        <v>2835</v>
      </c>
      <c r="V1388" s="17" t="s">
        <v>4999</v>
      </c>
      <c r="W1388" s="17" t="s">
        <v>388</v>
      </c>
      <c r="AA1388" s="17" t="s">
        <v>76</v>
      </c>
      <c r="AB1388" s="17">
        <v>2.3626032001539E13</v>
      </c>
      <c r="AC1388" s="18" t="s">
        <v>5007</v>
      </c>
      <c r="AF1388" s="17" t="s">
        <v>5001</v>
      </c>
      <c r="AG1388" s="18" t="s">
        <v>5008</v>
      </c>
      <c r="AL1388" s="17">
        <v>3.3401005475E11</v>
      </c>
      <c r="AM1388" s="17" t="s">
        <v>5009</v>
      </c>
      <c r="AN1388" s="17" t="s">
        <v>5010</v>
      </c>
      <c r="AS1388" s="17" t="s">
        <v>76</v>
      </c>
      <c r="AT1388" s="17" t="s">
        <v>388</v>
      </c>
      <c r="AU1388" s="17" t="s">
        <v>109</v>
      </c>
      <c r="AZ1388" s="17" t="s">
        <v>151</v>
      </c>
      <c r="BA1388" s="17" t="s">
        <v>458</v>
      </c>
      <c r="BB1388" s="17" t="s">
        <v>76</v>
      </c>
      <c r="BH1388" s="17">
        <v>23.0</v>
      </c>
      <c r="BJ1388" s="16">
        <v>0.41666666666424135</v>
      </c>
      <c r="BK1388" s="16">
        <v>0.9993055555532919</v>
      </c>
      <c r="BM1388" s="17" t="s">
        <v>5011</v>
      </c>
      <c r="BN1388" s="17" t="s">
        <v>5012</v>
      </c>
      <c r="BP1388" s="17" t="s">
        <v>5013</v>
      </c>
      <c r="BR1388" s="24" t="str">
        <f t="shared" si="1"/>
        <v>Balaji Kitchens</v>
      </c>
    </row>
    <row r="1389" ht="22.5" customHeight="1">
      <c r="A1389" s="14">
        <v>46087.721132858795</v>
      </c>
      <c r="B1389" s="15">
        <v>46087.0</v>
      </c>
      <c r="C1389" s="16">
        <v>0.5763888888905058</v>
      </c>
      <c r="D1389" s="17" t="s">
        <v>91</v>
      </c>
      <c r="F1389" s="17">
        <v>250.0</v>
      </c>
      <c r="G1389" s="17">
        <v>300.0</v>
      </c>
      <c r="H1389" s="17" t="s">
        <v>388</v>
      </c>
      <c r="J1389" s="17" t="s">
        <v>94</v>
      </c>
      <c r="K1389" s="17" t="s">
        <v>95</v>
      </c>
      <c r="N1389" s="17">
        <v>1.0</v>
      </c>
      <c r="O1389" s="17" t="s">
        <v>135</v>
      </c>
      <c r="P1389" s="17" t="s">
        <v>109</v>
      </c>
      <c r="Q1389" s="17" t="s">
        <v>97</v>
      </c>
      <c r="R1389" s="17" t="s">
        <v>109</v>
      </c>
      <c r="S1389" s="18" t="s">
        <v>5014</v>
      </c>
      <c r="U1389" s="17" t="s">
        <v>5015</v>
      </c>
      <c r="V1389" s="17">
        <v>9.392580216E9</v>
      </c>
      <c r="W1389" s="17" t="s">
        <v>388</v>
      </c>
      <c r="AA1389" s="17" t="s">
        <v>76</v>
      </c>
      <c r="AB1389" s="17">
        <v>2.3626032001236E13</v>
      </c>
      <c r="AC1389" s="18" t="s">
        <v>5016</v>
      </c>
      <c r="AG1389" s="18" t="s">
        <v>5017</v>
      </c>
      <c r="AL1389" s="17">
        <v>9.20010059932943E14</v>
      </c>
      <c r="AM1389" s="17" t="s">
        <v>5018</v>
      </c>
      <c r="AN1389" s="17" t="s">
        <v>5019</v>
      </c>
      <c r="AS1389" s="17" t="s">
        <v>76</v>
      </c>
      <c r="AT1389" s="17" t="s">
        <v>388</v>
      </c>
      <c r="AU1389" s="17" t="s">
        <v>109</v>
      </c>
      <c r="AZ1389" s="17" t="s">
        <v>151</v>
      </c>
      <c r="BA1389" s="17" t="s">
        <v>458</v>
      </c>
      <c r="BB1389" s="17" t="s">
        <v>76</v>
      </c>
      <c r="BH1389" s="17">
        <v>22.0</v>
      </c>
      <c r="BJ1389" s="16">
        <v>0.5</v>
      </c>
      <c r="BK1389" s="16">
        <v>0.9993055555532919</v>
      </c>
      <c r="BM1389" s="17" t="s">
        <v>5020</v>
      </c>
      <c r="BN1389" s="17" t="s">
        <v>4995</v>
      </c>
      <c r="BP1389" s="17" t="s">
        <v>5021</v>
      </c>
      <c r="BR1389" s="24" t="str">
        <f t="shared" si="1"/>
        <v>Aroma Biryanis &amp; palauos</v>
      </c>
    </row>
    <row r="1390" ht="22.5" customHeight="1">
      <c r="A1390" s="14">
        <v>46087.72649011574</v>
      </c>
      <c r="B1390" s="15">
        <v>46087.0</v>
      </c>
      <c r="C1390" s="16">
        <v>0.41666666666424135</v>
      </c>
      <c r="D1390" s="17" t="s">
        <v>91</v>
      </c>
      <c r="F1390" s="17">
        <v>30.0</v>
      </c>
      <c r="G1390" s="17">
        <v>300.0</v>
      </c>
      <c r="H1390" s="17" t="s">
        <v>388</v>
      </c>
      <c r="I1390" s="17">
        <v>50000.0</v>
      </c>
      <c r="J1390" s="17" t="s">
        <v>94</v>
      </c>
      <c r="K1390" s="17" t="s">
        <v>95</v>
      </c>
      <c r="N1390" s="17">
        <v>1.0</v>
      </c>
      <c r="O1390" s="17" t="s">
        <v>135</v>
      </c>
      <c r="P1390" s="17" t="s">
        <v>109</v>
      </c>
      <c r="Q1390" s="17" t="s">
        <v>97</v>
      </c>
      <c r="R1390" s="17" t="s">
        <v>109</v>
      </c>
      <c r="S1390" s="18" t="s">
        <v>5022</v>
      </c>
      <c r="U1390" s="17" t="s">
        <v>5015</v>
      </c>
      <c r="V1390" s="17">
        <v>9.392580216E9</v>
      </c>
      <c r="W1390" s="17" t="s">
        <v>388</v>
      </c>
      <c r="AA1390" s="17" t="s">
        <v>76</v>
      </c>
      <c r="AB1390" s="17">
        <v>2.3626032001236E13</v>
      </c>
      <c r="AC1390" s="18" t="s">
        <v>5023</v>
      </c>
      <c r="AF1390" s="17" t="s">
        <v>5024</v>
      </c>
      <c r="AG1390" s="18" t="s">
        <v>5025</v>
      </c>
      <c r="AL1390" s="17">
        <v>9.20010059932943E14</v>
      </c>
      <c r="AM1390" s="17" t="s">
        <v>5026</v>
      </c>
      <c r="AN1390" s="17" t="s">
        <v>5019</v>
      </c>
      <c r="AS1390" s="17" t="s">
        <v>76</v>
      </c>
      <c r="AT1390" s="17" t="s">
        <v>388</v>
      </c>
      <c r="AU1390" s="17" t="s">
        <v>109</v>
      </c>
      <c r="AZ1390" s="17" t="s">
        <v>151</v>
      </c>
      <c r="BA1390" s="17" t="s">
        <v>458</v>
      </c>
      <c r="BB1390" s="17" t="s">
        <v>76</v>
      </c>
      <c r="BH1390" s="17">
        <v>22.0</v>
      </c>
      <c r="BI1390" s="17" t="s">
        <v>109</v>
      </c>
      <c r="BJ1390" s="16">
        <v>0.45833333333575865</v>
      </c>
      <c r="BK1390" s="16">
        <v>0.9756944444452529</v>
      </c>
      <c r="BM1390" s="17" t="s">
        <v>5020</v>
      </c>
      <c r="BN1390" s="17" t="s">
        <v>4995</v>
      </c>
      <c r="BP1390" s="17" t="s">
        <v>5027</v>
      </c>
      <c r="BR1390" s="24" t="str">
        <f t="shared" si="1"/>
        <v>Aroma Meals and chineese</v>
      </c>
    </row>
    <row r="1391" ht="22.5" customHeight="1">
      <c r="A1391" s="14">
        <v>46087.79208637732</v>
      </c>
      <c r="B1391" s="15">
        <v>46086.0</v>
      </c>
      <c r="C1391" s="16">
        <v>0.20833333333575865</v>
      </c>
      <c r="U1391" s="17" t="s">
        <v>1737</v>
      </c>
      <c r="V1391" s="17">
        <v>7.760502088E9</v>
      </c>
      <c r="W1391" s="17" t="s">
        <v>388</v>
      </c>
      <c r="AA1391" s="17" t="s">
        <v>109</v>
      </c>
      <c r="AT1391" s="17" t="s">
        <v>388</v>
      </c>
      <c r="AU1391" s="17" t="s">
        <v>109</v>
      </c>
      <c r="AZ1391" s="17" t="s">
        <v>539</v>
      </c>
      <c r="BA1391" s="17" t="s">
        <v>458</v>
      </c>
      <c r="BB1391" s="17" t="s">
        <v>109</v>
      </c>
      <c r="BP1391" s="17" t="s">
        <v>5028</v>
      </c>
      <c r="BR1391" s="24" t="str">
        <f t="shared" si="1"/>
        <v>Dfc </v>
      </c>
    </row>
    <row r="1392" ht="22.5" customHeight="1">
      <c r="A1392" s="14">
        <v>46087.79300074074</v>
      </c>
      <c r="B1392" s="15">
        <v>46086.0</v>
      </c>
      <c r="C1392" s="16">
        <v>0.20833333333575865</v>
      </c>
      <c r="U1392" s="17" t="s">
        <v>5029</v>
      </c>
      <c r="V1392" s="17">
        <v>8.143777074E9</v>
      </c>
      <c r="W1392" s="17" t="s">
        <v>388</v>
      </c>
      <c r="AA1392" s="17" t="s">
        <v>109</v>
      </c>
      <c r="AT1392" s="17" t="s">
        <v>388</v>
      </c>
      <c r="AU1392" s="17" t="s">
        <v>76</v>
      </c>
      <c r="AZ1392" s="17" t="s">
        <v>539</v>
      </c>
      <c r="BA1392" s="17" t="s">
        <v>458</v>
      </c>
      <c r="BB1392" s="17" t="s">
        <v>109</v>
      </c>
      <c r="BP1392" s="17" t="s">
        <v>5030</v>
      </c>
      <c r="BR1392" s="24" t="str">
        <f t="shared" si="1"/>
        <v>Govadarai baji mirchi </v>
      </c>
    </row>
    <row r="1393" ht="22.5" customHeight="1">
      <c r="A1393" s="14">
        <v>46087.79302254629</v>
      </c>
      <c r="B1393" s="15">
        <v>46087.0</v>
      </c>
      <c r="C1393" s="16">
        <v>0.0034722222189884633</v>
      </c>
      <c r="U1393" s="17" t="s">
        <v>5031</v>
      </c>
      <c r="V1393" s="17" t="s">
        <v>5032</v>
      </c>
      <c r="W1393" s="17" t="s">
        <v>117</v>
      </c>
      <c r="AA1393" s="17" t="s">
        <v>109</v>
      </c>
      <c r="AT1393" s="17" t="s">
        <v>4849</v>
      </c>
      <c r="AU1393" s="17" t="s">
        <v>76</v>
      </c>
      <c r="AV1393" s="17" t="s">
        <v>271</v>
      </c>
      <c r="AZ1393" s="17" t="s">
        <v>182</v>
      </c>
      <c r="BA1393" s="17" t="s">
        <v>458</v>
      </c>
      <c r="BB1393" s="17" t="s">
        <v>109</v>
      </c>
      <c r="BP1393" s="17" t="s">
        <v>5033</v>
      </c>
      <c r="BR1393" s="24" t="str">
        <f t="shared" si="1"/>
        <v>The one and only tasty </v>
      </c>
    </row>
    <row r="1394" ht="22.5" customHeight="1">
      <c r="A1394" s="14">
        <v>46087.793520590276</v>
      </c>
      <c r="B1394" s="15">
        <v>46086.0</v>
      </c>
      <c r="C1394" s="16">
        <v>0.16666666666424135</v>
      </c>
      <c r="U1394" s="17" t="s">
        <v>388</v>
      </c>
      <c r="V1394" s="17">
        <v>9.700603719E9</v>
      </c>
      <c r="W1394" s="17" t="s">
        <v>388</v>
      </c>
      <c r="AA1394" s="17" t="s">
        <v>109</v>
      </c>
      <c r="AT1394" s="17" t="s">
        <v>388</v>
      </c>
      <c r="AU1394" s="17" t="s">
        <v>76</v>
      </c>
      <c r="AZ1394" s="17" t="s">
        <v>539</v>
      </c>
      <c r="BA1394" s="17" t="s">
        <v>458</v>
      </c>
      <c r="BB1394" s="17" t="s">
        <v>109</v>
      </c>
      <c r="BP1394" s="17" t="s">
        <v>4876</v>
      </c>
      <c r="BR1394" s="24" t="str">
        <f t="shared" si="1"/>
        <v>Chat baazar</v>
      </c>
    </row>
    <row r="1395" ht="22.5" customHeight="1">
      <c r="A1395" s="14">
        <v>46087.79396831019</v>
      </c>
      <c r="B1395" s="15">
        <v>46087.0</v>
      </c>
      <c r="C1395" s="16">
        <v>0.010416666664241347</v>
      </c>
      <c r="U1395" s="17" t="s">
        <v>117</v>
      </c>
      <c r="V1395" s="17" t="s">
        <v>117</v>
      </c>
      <c r="W1395" s="17" t="s">
        <v>117</v>
      </c>
      <c r="X1395" s="17" t="s">
        <v>117</v>
      </c>
      <c r="AA1395" s="17" t="s">
        <v>109</v>
      </c>
      <c r="AT1395" s="17" t="s">
        <v>109</v>
      </c>
      <c r="AU1395" s="17" t="s">
        <v>76</v>
      </c>
      <c r="AV1395" s="17" t="s">
        <v>271</v>
      </c>
      <c r="AZ1395" s="17" t="s">
        <v>182</v>
      </c>
      <c r="BA1395" s="17" t="s">
        <v>458</v>
      </c>
      <c r="BB1395" s="17" t="s">
        <v>109</v>
      </c>
      <c r="BP1395" s="17" t="s">
        <v>5034</v>
      </c>
      <c r="BR1395" s="24" t="str">
        <f t="shared" si="1"/>
        <v>Kings bakers </v>
      </c>
    </row>
    <row r="1396" ht="22.5" customHeight="1">
      <c r="A1396" s="14">
        <v>46087.79455731482</v>
      </c>
      <c r="B1396" s="15">
        <v>46086.0</v>
      </c>
      <c r="C1396" s="16">
        <v>0.20833333333575865</v>
      </c>
      <c r="D1396" s="17" t="s">
        <v>91</v>
      </c>
      <c r="F1396" s="17">
        <v>50.0</v>
      </c>
      <c r="G1396" s="17">
        <v>200.0</v>
      </c>
      <c r="H1396" s="17" t="s">
        <v>388</v>
      </c>
      <c r="J1396" s="17" t="s">
        <v>94</v>
      </c>
      <c r="K1396" s="17" t="s">
        <v>134</v>
      </c>
      <c r="N1396" s="17">
        <v>2.0</v>
      </c>
      <c r="O1396" s="17" t="s">
        <v>96</v>
      </c>
      <c r="P1396" s="17" t="s">
        <v>109</v>
      </c>
      <c r="Q1396" s="17" t="s">
        <v>97</v>
      </c>
      <c r="R1396" s="17" t="s">
        <v>109</v>
      </c>
      <c r="S1396" s="17" t="s">
        <v>388</v>
      </c>
      <c r="U1396" s="17" t="s">
        <v>577</v>
      </c>
      <c r="V1396" s="17">
        <v>6.281337544E9</v>
      </c>
      <c r="W1396" s="17" t="s">
        <v>388</v>
      </c>
      <c r="AA1396" s="17" t="s">
        <v>109</v>
      </c>
      <c r="AT1396" s="17" t="s">
        <v>181</v>
      </c>
      <c r="AU1396" s="17" t="s">
        <v>76</v>
      </c>
      <c r="AZ1396" s="17" t="s">
        <v>539</v>
      </c>
      <c r="BA1396" s="17" t="s">
        <v>458</v>
      </c>
      <c r="BB1396" s="17" t="s">
        <v>76</v>
      </c>
      <c r="BN1396" s="17" t="s">
        <v>4862</v>
      </c>
      <c r="BP1396" s="17" t="s">
        <v>5035</v>
      </c>
      <c r="BR1396" s="24" t="str">
        <f t="shared" si="1"/>
        <v>Karthikeya ghee and dosa</v>
      </c>
    </row>
    <row r="1397" ht="22.5" customHeight="1">
      <c r="A1397" s="14">
        <v>46087.79515922454</v>
      </c>
      <c r="B1397" s="15">
        <v>46087.0</v>
      </c>
      <c r="C1397" s="16">
        <v>0.027777777781011537</v>
      </c>
      <c r="U1397" s="17" t="s">
        <v>117</v>
      </c>
      <c r="V1397" s="17" t="s">
        <v>117</v>
      </c>
      <c r="W1397" s="17" t="s">
        <v>117</v>
      </c>
      <c r="AA1397" s="17" t="s">
        <v>109</v>
      </c>
      <c r="AT1397" s="17" t="s">
        <v>109</v>
      </c>
      <c r="AU1397" s="17" t="s">
        <v>76</v>
      </c>
      <c r="AZ1397" s="17" t="s">
        <v>182</v>
      </c>
      <c r="BA1397" s="17" t="s">
        <v>458</v>
      </c>
      <c r="BB1397" s="17" t="s">
        <v>109</v>
      </c>
      <c r="BP1397" s="17" t="s">
        <v>5036</v>
      </c>
      <c r="BR1397" s="24" t="str">
        <f t="shared" si="1"/>
        <v>Allamduillah hotel </v>
      </c>
    </row>
    <row r="1398" ht="22.5" customHeight="1">
      <c r="A1398" s="14">
        <v>46087.79605548611</v>
      </c>
      <c r="B1398" s="15">
        <v>46087.0</v>
      </c>
      <c r="C1398" s="16">
        <v>0.08333333333575865</v>
      </c>
      <c r="U1398" s="17" t="s">
        <v>117</v>
      </c>
      <c r="V1398" s="17" t="s">
        <v>117</v>
      </c>
      <c r="W1398" s="17" t="s">
        <v>117</v>
      </c>
      <c r="AA1398" s="17" t="s">
        <v>109</v>
      </c>
      <c r="AT1398" s="17" t="s">
        <v>5037</v>
      </c>
      <c r="AU1398" s="17" t="s">
        <v>109</v>
      </c>
      <c r="AZ1398" s="17" t="s">
        <v>182</v>
      </c>
      <c r="BA1398" s="17" t="s">
        <v>458</v>
      </c>
      <c r="BB1398" s="17" t="s">
        <v>109</v>
      </c>
      <c r="BP1398" s="17" t="s">
        <v>5038</v>
      </c>
      <c r="BR1398" s="24" t="str">
        <f t="shared" si="1"/>
        <v>Sangamesh fast food </v>
      </c>
    </row>
    <row r="1399" ht="22.5" customHeight="1">
      <c r="A1399" s="14">
        <v>46087.797202291666</v>
      </c>
      <c r="B1399" s="15">
        <v>46087.0</v>
      </c>
      <c r="C1399" s="16">
        <v>0.16666666666424135</v>
      </c>
      <c r="U1399" s="17" t="s">
        <v>5039</v>
      </c>
      <c r="V1399" s="17" t="s">
        <v>5040</v>
      </c>
      <c r="W1399" s="17" t="s">
        <v>117</v>
      </c>
      <c r="AA1399" s="17" t="s">
        <v>109</v>
      </c>
      <c r="AT1399" s="17" t="s">
        <v>5041</v>
      </c>
      <c r="AU1399" s="17" t="s">
        <v>76</v>
      </c>
      <c r="AZ1399" s="17" t="s">
        <v>182</v>
      </c>
      <c r="BA1399" s="17" t="s">
        <v>458</v>
      </c>
      <c r="BB1399" s="17" t="s">
        <v>109</v>
      </c>
      <c r="BP1399" s="17" t="s">
        <v>5042</v>
      </c>
      <c r="BR1399" s="24" t="str">
        <f t="shared" si="1"/>
        <v>Maa Bhojanam </v>
      </c>
    </row>
    <row r="1400" ht="22.5" customHeight="1">
      <c r="A1400" s="14">
        <v>46087.79745319445</v>
      </c>
      <c r="B1400" s="15">
        <v>46083.0</v>
      </c>
      <c r="C1400" s="16">
        <v>0.45833333333575865</v>
      </c>
      <c r="U1400" s="17" t="s">
        <v>388</v>
      </c>
      <c r="V1400" s="17" t="s">
        <v>388</v>
      </c>
      <c r="W1400" s="17" t="s">
        <v>388</v>
      </c>
      <c r="AA1400" s="17" t="s">
        <v>109</v>
      </c>
      <c r="AT1400" s="17" t="s">
        <v>181</v>
      </c>
      <c r="AU1400" s="17" t="s">
        <v>109</v>
      </c>
      <c r="AZ1400" s="17" t="s">
        <v>539</v>
      </c>
      <c r="BA1400" s="17" t="s">
        <v>458</v>
      </c>
      <c r="BB1400" s="17" t="s">
        <v>109</v>
      </c>
      <c r="BP1400" s="17" t="s">
        <v>5043</v>
      </c>
      <c r="BR1400" s="24" t="str">
        <f t="shared" si="1"/>
        <v>Darbar street</v>
      </c>
    </row>
    <row r="1401" ht="22.5" customHeight="1">
      <c r="A1401" s="14">
        <v>46087.79805038194</v>
      </c>
      <c r="B1401" s="15">
        <v>46083.0</v>
      </c>
      <c r="C1401" s="16">
        <v>0.04166666666424135</v>
      </c>
      <c r="U1401" s="17" t="s">
        <v>5044</v>
      </c>
      <c r="V1401" s="17" t="s">
        <v>388</v>
      </c>
      <c r="W1401" s="17" t="s">
        <v>388</v>
      </c>
      <c r="AA1401" s="17" t="s">
        <v>109</v>
      </c>
      <c r="AT1401" s="17" t="s">
        <v>5045</v>
      </c>
      <c r="AU1401" s="17" t="s">
        <v>109</v>
      </c>
      <c r="AZ1401" s="17" t="s">
        <v>539</v>
      </c>
      <c r="BA1401" s="17" t="s">
        <v>458</v>
      </c>
      <c r="BB1401" s="17" t="s">
        <v>109</v>
      </c>
      <c r="BP1401" s="17" t="s">
        <v>5046</v>
      </c>
      <c r="BR1401" s="24" t="str">
        <f t="shared" si="1"/>
        <v>Taaza tiffens</v>
      </c>
    </row>
    <row r="1402" ht="22.5" customHeight="1">
      <c r="A1402" s="14">
        <v>46087.79869678241</v>
      </c>
      <c r="B1402" s="15">
        <v>46083.0</v>
      </c>
      <c r="C1402" s="16">
        <v>0.04166666666424135</v>
      </c>
      <c r="U1402" s="17" t="s">
        <v>5047</v>
      </c>
      <c r="V1402" s="17" t="s">
        <v>388</v>
      </c>
      <c r="W1402" s="17" t="s">
        <v>388</v>
      </c>
      <c r="AA1402" s="17" t="s">
        <v>109</v>
      </c>
      <c r="AT1402" s="17" t="s">
        <v>388</v>
      </c>
      <c r="AU1402" s="17" t="s">
        <v>109</v>
      </c>
      <c r="AZ1402" s="17" t="s">
        <v>539</v>
      </c>
      <c r="BA1402" s="17" t="s">
        <v>458</v>
      </c>
      <c r="BB1402" s="17" t="s">
        <v>109</v>
      </c>
      <c r="BP1402" s="17" t="s">
        <v>5048</v>
      </c>
      <c r="BR1402" s="24" t="str">
        <f t="shared" si="1"/>
        <v>Avani restraunt </v>
      </c>
    </row>
    <row r="1403" ht="22.5" customHeight="1">
      <c r="A1403" s="14">
        <v>46087.79947621528</v>
      </c>
      <c r="B1403" s="15">
        <v>46087.0</v>
      </c>
      <c r="C1403" s="16">
        <v>0.19999999999708962</v>
      </c>
      <c r="U1403" s="17" t="s">
        <v>1737</v>
      </c>
      <c r="V1403" s="17" t="s">
        <v>5049</v>
      </c>
      <c r="W1403" s="17" t="s">
        <v>117</v>
      </c>
      <c r="AA1403" s="17" t="s">
        <v>109</v>
      </c>
      <c r="AT1403" s="17" t="s">
        <v>4849</v>
      </c>
      <c r="AU1403" s="17" t="s">
        <v>76</v>
      </c>
      <c r="AV1403" s="17" t="s">
        <v>88</v>
      </c>
      <c r="AZ1403" s="17" t="s">
        <v>182</v>
      </c>
      <c r="BA1403" s="17" t="s">
        <v>458</v>
      </c>
      <c r="BB1403" s="17" t="s">
        <v>109</v>
      </c>
      <c r="BP1403" s="17" t="s">
        <v>5050</v>
      </c>
      <c r="BR1403" s="24" t="str">
        <f t="shared" si="1"/>
        <v>Madrasi military hotel </v>
      </c>
    </row>
    <row r="1404" ht="22.5" customHeight="1">
      <c r="A1404" s="14">
        <v>46087.800547164356</v>
      </c>
      <c r="B1404" s="15">
        <v>46083.0</v>
      </c>
      <c r="C1404" s="16">
        <v>0.125</v>
      </c>
      <c r="D1404" s="17" t="s">
        <v>91</v>
      </c>
      <c r="F1404" s="17">
        <v>200.0</v>
      </c>
      <c r="G1404" s="17">
        <v>200.0</v>
      </c>
      <c r="H1404" s="17" t="s">
        <v>388</v>
      </c>
      <c r="J1404" s="17" t="s">
        <v>167</v>
      </c>
      <c r="K1404" s="17" t="s">
        <v>134</v>
      </c>
      <c r="N1404" s="17">
        <v>1.0</v>
      </c>
      <c r="O1404" s="17" t="s">
        <v>96</v>
      </c>
      <c r="P1404" s="17" t="s">
        <v>76</v>
      </c>
      <c r="Q1404" s="17" t="s">
        <v>97</v>
      </c>
      <c r="R1404" s="17" t="s">
        <v>109</v>
      </c>
      <c r="S1404" s="17" t="s">
        <v>388</v>
      </c>
      <c r="U1404" s="17" t="s">
        <v>388</v>
      </c>
      <c r="V1404" s="17" t="s">
        <v>388</v>
      </c>
      <c r="W1404" s="17" t="s">
        <v>388</v>
      </c>
      <c r="AA1404" s="17" t="s">
        <v>109</v>
      </c>
      <c r="AT1404" s="17" t="s">
        <v>388</v>
      </c>
      <c r="AU1404" s="17" t="s">
        <v>76</v>
      </c>
      <c r="AZ1404" s="17" t="s">
        <v>539</v>
      </c>
      <c r="BA1404" s="17" t="s">
        <v>458</v>
      </c>
      <c r="BB1404" s="17" t="s">
        <v>76</v>
      </c>
      <c r="BP1404" s="17" t="s">
        <v>5051</v>
      </c>
      <c r="BR1404" s="24" t="str">
        <f t="shared" si="1"/>
        <v>Kamat hotel </v>
      </c>
    </row>
    <row r="1405" ht="22.5" customHeight="1">
      <c r="A1405" s="14">
        <v>46087.80179831019</v>
      </c>
      <c r="B1405" s="15">
        <v>46083.0</v>
      </c>
      <c r="C1405" s="16">
        <v>0.25</v>
      </c>
      <c r="U1405" s="17" t="s">
        <v>5052</v>
      </c>
      <c r="V1405" s="17">
        <v>9.030944113E9</v>
      </c>
      <c r="W1405" s="17" t="s">
        <v>388</v>
      </c>
      <c r="AA1405" s="17" t="s">
        <v>109</v>
      </c>
      <c r="AT1405" s="17" t="s">
        <v>388</v>
      </c>
      <c r="AU1405" s="17" t="s">
        <v>76</v>
      </c>
      <c r="AZ1405" s="17" t="s">
        <v>539</v>
      </c>
      <c r="BA1405" s="17" t="s">
        <v>458</v>
      </c>
      <c r="BB1405" s="17" t="s">
        <v>109</v>
      </c>
      <c r="BP1405" s="17" t="s">
        <v>5053</v>
      </c>
      <c r="BR1405" s="24" t="str">
        <f t="shared" si="1"/>
        <v>Eatery hub </v>
      </c>
    </row>
    <row r="1406" ht="22.5" customHeight="1">
      <c r="A1406" s="14">
        <v>46087.80184206019</v>
      </c>
      <c r="B1406" s="15">
        <v>46087.0</v>
      </c>
      <c r="C1406" s="16">
        <v>0.04166666666424135</v>
      </c>
      <c r="D1406" s="17" t="s">
        <v>91</v>
      </c>
      <c r="F1406" s="17">
        <v>20.0</v>
      </c>
      <c r="G1406" s="17">
        <v>200.0</v>
      </c>
      <c r="H1406" s="17" t="s">
        <v>117</v>
      </c>
      <c r="J1406" s="17" t="s">
        <v>221</v>
      </c>
      <c r="K1406" s="17" t="s">
        <v>95</v>
      </c>
      <c r="N1406" s="17">
        <v>1.0</v>
      </c>
      <c r="O1406" s="17" t="s">
        <v>96</v>
      </c>
      <c r="P1406" s="17" t="s">
        <v>109</v>
      </c>
      <c r="Q1406" s="17" t="s">
        <v>97</v>
      </c>
      <c r="R1406" s="17" t="s">
        <v>76</v>
      </c>
      <c r="S1406" s="17" t="s">
        <v>2551</v>
      </c>
      <c r="U1406" s="17" t="s">
        <v>5054</v>
      </c>
      <c r="V1406" s="17" t="s">
        <v>5055</v>
      </c>
      <c r="W1406" s="17" t="s">
        <v>117</v>
      </c>
      <c r="AA1406" s="17" t="s">
        <v>109</v>
      </c>
      <c r="AT1406" s="17" t="s">
        <v>586</v>
      </c>
      <c r="AU1406" s="17" t="s">
        <v>109</v>
      </c>
      <c r="AZ1406" s="17" t="s">
        <v>182</v>
      </c>
      <c r="BA1406" s="17" t="s">
        <v>458</v>
      </c>
      <c r="BB1406" s="17" t="s">
        <v>76</v>
      </c>
      <c r="BN1406" s="17">
        <v>1.0</v>
      </c>
      <c r="BP1406" s="17" t="s">
        <v>5056</v>
      </c>
      <c r="BR1406" s="24" t="str">
        <f t="shared" si="1"/>
        <v>Hotel valentine </v>
      </c>
    </row>
    <row r="1407" ht="22.5" customHeight="1">
      <c r="A1407" s="14">
        <v>46087.80242013889</v>
      </c>
      <c r="B1407" s="15">
        <v>46083.0</v>
      </c>
      <c r="C1407" s="16">
        <v>0.23958333333575865</v>
      </c>
      <c r="U1407" s="17" t="s">
        <v>5057</v>
      </c>
      <c r="V1407" s="17">
        <v>8.303445729E9</v>
      </c>
      <c r="W1407" s="17" t="s">
        <v>388</v>
      </c>
      <c r="AA1407" s="17" t="s">
        <v>109</v>
      </c>
      <c r="AT1407" s="17" t="s">
        <v>388</v>
      </c>
      <c r="AU1407" s="17" t="s">
        <v>76</v>
      </c>
      <c r="AZ1407" s="17" t="s">
        <v>539</v>
      </c>
      <c r="BA1407" s="17" t="s">
        <v>458</v>
      </c>
      <c r="BB1407" s="17" t="s">
        <v>109</v>
      </c>
      <c r="BP1407" s="17" t="s">
        <v>5058</v>
      </c>
      <c r="BR1407" s="24" t="str">
        <f t="shared" si="1"/>
        <v>Lebanese girl </v>
      </c>
    </row>
    <row r="1408" ht="22.5" customHeight="1">
      <c r="A1408" s="14">
        <v>46087.80285172454</v>
      </c>
      <c r="B1408" s="15">
        <v>46083.0</v>
      </c>
      <c r="C1408" s="16">
        <v>0.25</v>
      </c>
      <c r="U1408" s="17" t="s">
        <v>388</v>
      </c>
      <c r="V1408" s="17" t="s">
        <v>388</v>
      </c>
      <c r="W1408" s="17" t="s">
        <v>388</v>
      </c>
      <c r="AA1408" s="17" t="s">
        <v>109</v>
      </c>
      <c r="AT1408" s="17" t="s">
        <v>181</v>
      </c>
      <c r="AU1408" s="17" t="s">
        <v>109</v>
      </c>
      <c r="AZ1408" s="17" t="s">
        <v>539</v>
      </c>
      <c r="BA1408" s="17" t="s">
        <v>458</v>
      </c>
      <c r="BB1408" s="17" t="s">
        <v>109</v>
      </c>
      <c r="BP1408" s="17" t="s">
        <v>5059</v>
      </c>
      <c r="BR1408" s="24" t="str">
        <f t="shared" si="1"/>
        <v>Bhawaanee multi cusine</v>
      </c>
    </row>
    <row r="1409" ht="22.5" customHeight="1">
      <c r="A1409" s="14">
        <v>46087.80479488426</v>
      </c>
      <c r="B1409" s="15">
        <v>46087.0</v>
      </c>
      <c r="C1409" s="16">
        <v>0.5</v>
      </c>
      <c r="D1409" s="17" t="s">
        <v>111</v>
      </c>
      <c r="T1409" s="17" t="s">
        <v>5060</v>
      </c>
      <c r="U1409" s="17" t="s">
        <v>5061</v>
      </c>
      <c r="V1409" s="17">
        <v>9.396420235E9</v>
      </c>
      <c r="W1409" s="17" t="s">
        <v>388</v>
      </c>
      <c r="AA1409" s="17" t="s">
        <v>109</v>
      </c>
      <c r="AT1409" s="17" t="s">
        <v>586</v>
      </c>
      <c r="AU1409" s="17" t="s">
        <v>109</v>
      </c>
      <c r="AZ1409" s="17" t="s">
        <v>243</v>
      </c>
      <c r="BA1409" s="17" t="s">
        <v>458</v>
      </c>
      <c r="BB1409" s="17" t="s">
        <v>76</v>
      </c>
      <c r="BP1409" s="17" t="s">
        <v>5060</v>
      </c>
      <c r="BR1409" s="24" t="str">
        <f t="shared" si="1"/>
        <v>Rk Chinese Rk Chinese </v>
      </c>
    </row>
    <row r="1410" ht="22.5" customHeight="1">
      <c r="A1410" s="14">
        <v>46087.80583498842</v>
      </c>
      <c r="B1410" s="15">
        <v>46087.0</v>
      </c>
      <c r="C1410" s="16">
        <v>0.5208333333357587</v>
      </c>
      <c r="D1410" s="17" t="s">
        <v>111</v>
      </c>
      <c r="T1410" s="17" t="s">
        <v>5062</v>
      </c>
      <c r="U1410" s="17" t="s">
        <v>5061</v>
      </c>
      <c r="V1410" s="17">
        <v>9.396420235E9</v>
      </c>
      <c r="W1410" s="17" t="s">
        <v>388</v>
      </c>
      <c r="AA1410" s="17" t="s">
        <v>109</v>
      </c>
      <c r="AT1410" s="17" t="s">
        <v>586</v>
      </c>
      <c r="AU1410" s="17" t="s">
        <v>109</v>
      </c>
      <c r="AZ1410" s="17" t="s">
        <v>243</v>
      </c>
      <c r="BA1410" s="17" t="s">
        <v>458</v>
      </c>
      <c r="BB1410" s="17" t="s">
        <v>76</v>
      </c>
      <c r="BP1410" s="17" t="s">
        <v>5063</v>
      </c>
      <c r="BR1410" s="24" t="str">
        <f t="shared" si="1"/>
        <v>Vinyaka tiffins Alekhya </v>
      </c>
    </row>
    <row r="1411" ht="22.5" customHeight="1">
      <c r="A1411" s="14">
        <v>46087.80689186342</v>
      </c>
      <c r="B1411" s="15">
        <v>46086.0</v>
      </c>
      <c r="C1411" s="16">
        <v>0.16666666666424135</v>
      </c>
      <c r="U1411" s="17" t="s">
        <v>5064</v>
      </c>
      <c r="V1411" s="17" t="s">
        <v>5065</v>
      </c>
      <c r="W1411" s="17" t="s">
        <v>957</v>
      </c>
      <c r="AA1411" s="17" t="s">
        <v>109</v>
      </c>
      <c r="AT1411" s="17" t="s">
        <v>388</v>
      </c>
      <c r="AU1411" s="17" t="s">
        <v>109</v>
      </c>
      <c r="AZ1411" s="17" t="s">
        <v>539</v>
      </c>
      <c r="BA1411" s="17" t="s">
        <v>458</v>
      </c>
      <c r="BB1411" s="17" t="s">
        <v>109</v>
      </c>
      <c r="BP1411" s="17" t="s">
        <v>5066</v>
      </c>
      <c r="BR1411" s="24" t="str">
        <f t="shared" si="1"/>
        <v>Shawarma by rock star</v>
      </c>
    </row>
    <row r="1412" ht="22.5" customHeight="1">
      <c r="A1412" s="14">
        <v>46087.80745579861</v>
      </c>
      <c r="B1412" s="15">
        <v>46086.0</v>
      </c>
      <c r="C1412" s="16">
        <v>0.15555555555329192</v>
      </c>
      <c r="U1412" s="17" t="s">
        <v>4861</v>
      </c>
      <c r="V1412" s="17">
        <v>6.301975575E9</v>
      </c>
      <c r="W1412" s="17" t="s">
        <v>388</v>
      </c>
      <c r="AA1412" s="17" t="s">
        <v>109</v>
      </c>
      <c r="AT1412" s="17" t="s">
        <v>960</v>
      </c>
      <c r="AU1412" s="17" t="s">
        <v>76</v>
      </c>
      <c r="AZ1412" s="17" t="s">
        <v>539</v>
      </c>
      <c r="BA1412" s="17" t="s">
        <v>458</v>
      </c>
      <c r="BB1412" s="17" t="s">
        <v>109</v>
      </c>
      <c r="BP1412" s="17" t="s">
        <v>5067</v>
      </c>
      <c r="BR1412" s="24" t="str">
        <f t="shared" si="1"/>
        <v>Butta biryani </v>
      </c>
    </row>
    <row r="1413" ht="22.5" customHeight="1">
      <c r="A1413" s="14">
        <v>46087.80794827546</v>
      </c>
      <c r="B1413" s="15">
        <v>46086.0</v>
      </c>
      <c r="C1413" s="16">
        <v>0.15277777778101154</v>
      </c>
      <c r="U1413" s="17" t="s">
        <v>5068</v>
      </c>
      <c r="V1413" s="17" t="s">
        <v>388</v>
      </c>
      <c r="W1413" s="17" t="s">
        <v>388</v>
      </c>
      <c r="AA1413" s="17" t="s">
        <v>109</v>
      </c>
      <c r="AT1413" s="17" t="s">
        <v>388</v>
      </c>
      <c r="AU1413" s="17" t="s">
        <v>109</v>
      </c>
      <c r="AZ1413" s="17" t="s">
        <v>539</v>
      </c>
      <c r="BA1413" s="17" t="s">
        <v>458</v>
      </c>
      <c r="BB1413" s="17" t="s">
        <v>109</v>
      </c>
      <c r="BP1413" s="17" t="s">
        <v>5069</v>
      </c>
      <c r="BR1413" s="24" t="str">
        <f t="shared" si="1"/>
        <v>Kks bakers </v>
      </c>
    </row>
    <row r="1414" ht="22.5" customHeight="1">
      <c r="A1414" s="14">
        <v>46087.80851451389</v>
      </c>
      <c r="B1414" s="15">
        <v>46086.0</v>
      </c>
      <c r="C1414" s="16">
        <v>0.1500000000014552</v>
      </c>
      <c r="U1414" s="17" t="s">
        <v>388</v>
      </c>
      <c r="V1414" s="17">
        <v>8.9784063E8</v>
      </c>
      <c r="W1414" s="17" t="s">
        <v>388</v>
      </c>
      <c r="AA1414" s="17" t="s">
        <v>109</v>
      </c>
      <c r="AT1414" s="17" t="s">
        <v>388</v>
      </c>
      <c r="AU1414" s="17" t="s">
        <v>76</v>
      </c>
      <c r="AZ1414" s="17" t="s">
        <v>539</v>
      </c>
      <c r="BA1414" s="17" t="s">
        <v>458</v>
      </c>
      <c r="BB1414" s="17" t="s">
        <v>109</v>
      </c>
      <c r="BP1414" s="17" t="s">
        <v>5070</v>
      </c>
      <c r="BR1414" s="24" t="str">
        <f t="shared" si="1"/>
        <v>Hakka Chinese foods</v>
      </c>
    </row>
    <row r="1415" ht="22.5" customHeight="1">
      <c r="A1415" s="14">
        <v>46087.80890548611</v>
      </c>
      <c r="B1415" s="15">
        <v>46086.0</v>
      </c>
      <c r="C1415" s="16">
        <v>0.16666666666424135</v>
      </c>
      <c r="U1415" s="17" t="s">
        <v>388</v>
      </c>
      <c r="V1415" s="17" t="s">
        <v>388</v>
      </c>
      <c r="W1415" s="17" t="s">
        <v>388</v>
      </c>
      <c r="AA1415" s="17" t="s">
        <v>109</v>
      </c>
      <c r="AT1415" s="17" t="s">
        <v>388</v>
      </c>
      <c r="AU1415" s="17" t="s">
        <v>76</v>
      </c>
      <c r="AZ1415" s="17" t="s">
        <v>539</v>
      </c>
      <c r="BA1415" s="17" t="s">
        <v>458</v>
      </c>
      <c r="BB1415" s="17" t="s">
        <v>109</v>
      </c>
      <c r="BP1415" s="17" t="s">
        <v>4857</v>
      </c>
      <c r="BR1415" s="24" t="str">
        <f t="shared" si="1"/>
        <v>On Sai kitchens </v>
      </c>
    </row>
    <row r="1416" ht="22.5" customHeight="1">
      <c r="A1416" s="14">
        <v>46087.809337557876</v>
      </c>
      <c r="B1416" s="15">
        <v>46086.0</v>
      </c>
      <c r="C1416" s="16">
        <v>0.14583333333575865</v>
      </c>
      <c r="U1416" s="17" t="s">
        <v>388</v>
      </c>
      <c r="V1416" s="17" t="s">
        <v>388</v>
      </c>
      <c r="W1416" s="17" t="s">
        <v>388</v>
      </c>
      <c r="AA1416" s="17" t="s">
        <v>109</v>
      </c>
      <c r="AT1416" s="17" t="s">
        <v>5071</v>
      </c>
      <c r="AU1416" s="17" t="s">
        <v>109</v>
      </c>
      <c r="AZ1416" s="17" t="s">
        <v>539</v>
      </c>
      <c r="BA1416" s="17" t="s">
        <v>458</v>
      </c>
      <c r="BB1416" s="17" t="s">
        <v>109</v>
      </c>
      <c r="BP1416" s="17" t="s">
        <v>5072</v>
      </c>
      <c r="BR1416" s="24" t="str">
        <f t="shared" si="1"/>
        <v>Geetha hotel </v>
      </c>
    </row>
    <row r="1417" ht="22.5" customHeight="1">
      <c r="A1417" s="14">
        <v>46087.80957445602</v>
      </c>
      <c r="B1417" s="15">
        <v>46087.0</v>
      </c>
      <c r="C1417" s="16">
        <v>0.5833333333357587</v>
      </c>
      <c r="D1417" s="17" t="s">
        <v>91</v>
      </c>
      <c r="F1417" s="17">
        <v>35.0</v>
      </c>
      <c r="G1417" s="17">
        <v>400.0</v>
      </c>
      <c r="H1417" s="17" t="s">
        <v>133</v>
      </c>
      <c r="I1417" s="17">
        <v>30000.0</v>
      </c>
      <c r="J1417" s="17" t="s">
        <v>167</v>
      </c>
      <c r="K1417" s="17" t="s">
        <v>118</v>
      </c>
      <c r="L1417" s="17">
        <v>22.0</v>
      </c>
      <c r="M1417" s="17">
        <v>18.0</v>
      </c>
      <c r="N1417" s="17">
        <v>1.0</v>
      </c>
      <c r="O1417" s="17" t="s">
        <v>96</v>
      </c>
      <c r="P1417" s="17" t="s">
        <v>76</v>
      </c>
      <c r="Q1417" s="17" t="s">
        <v>97</v>
      </c>
      <c r="R1417" s="17" t="s">
        <v>109</v>
      </c>
      <c r="S1417" s="17" t="s">
        <v>388</v>
      </c>
      <c r="U1417" s="17" t="s">
        <v>3036</v>
      </c>
      <c r="V1417" s="17" t="s">
        <v>388</v>
      </c>
      <c r="W1417" s="17" t="s">
        <v>388</v>
      </c>
      <c r="AA1417" s="17" t="s">
        <v>109</v>
      </c>
      <c r="AT1417" s="17" t="s">
        <v>586</v>
      </c>
      <c r="AU1417" s="17" t="s">
        <v>109</v>
      </c>
      <c r="AZ1417" s="17" t="s">
        <v>131</v>
      </c>
      <c r="BA1417" s="17" t="s">
        <v>458</v>
      </c>
      <c r="BB1417" s="17" t="s">
        <v>76</v>
      </c>
      <c r="BL1417" s="17">
        <v>40.0</v>
      </c>
      <c r="BN1417" s="17" t="s">
        <v>779</v>
      </c>
      <c r="BP1417" s="17" t="s">
        <v>5073</v>
      </c>
      <c r="BR1417" s="24" t="str">
        <f t="shared" si="1"/>
        <v>Ala konaseemalo </v>
      </c>
    </row>
    <row r="1418" ht="22.5" customHeight="1">
      <c r="A1418" s="14">
        <v>46087.81000803241</v>
      </c>
      <c r="B1418" s="15">
        <v>46086.0</v>
      </c>
      <c r="C1418" s="16">
        <v>0.20833333333575865</v>
      </c>
      <c r="U1418" s="17" t="s">
        <v>5074</v>
      </c>
      <c r="V1418" s="17">
        <v>9.030785244E9</v>
      </c>
      <c r="W1418" s="17" t="s">
        <v>388</v>
      </c>
      <c r="AA1418" s="17" t="s">
        <v>109</v>
      </c>
      <c r="AT1418" s="17" t="s">
        <v>5075</v>
      </c>
      <c r="AU1418" s="17" t="s">
        <v>109</v>
      </c>
      <c r="AZ1418" s="17" t="s">
        <v>539</v>
      </c>
      <c r="BA1418" s="17" t="s">
        <v>458</v>
      </c>
      <c r="BB1418" s="17" t="s">
        <v>109</v>
      </c>
      <c r="BP1418" s="17" t="s">
        <v>4838</v>
      </c>
      <c r="BR1418" s="24" t="str">
        <f t="shared" si="1"/>
        <v>Hotel the Nawabi zaiqa</v>
      </c>
    </row>
    <row r="1419" ht="22.5" customHeight="1">
      <c r="A1419" s="14">
        <v>46087.8105005324</v>
      </c>
      <c r="B1419" s="15">
        <v>46086.0</v>
      </c>
      <c r="C1419" s="16">
        <v>0.12083333333430346</v>
      </c>
      <c r="U1419" s="17" t="s">
        <v>4839</v>
      </c>
      <c r="V1419" s="17">
        <v>9.849555522E9</v>
      </c>
      <c r="W1419" s="17" t="s">
        <v>388</v>
      </c>
      <c r="AA1419" s="17" t="s">
        <v>109</v>
      </c>
      <c r="AT1419" s="17" t="s">
        <v>388</v>
      </c>
      <c r="AU1419" s="17" t="s">
        <v>76</v>
      </c>
      <c r="AZ1419" s="17" t="s">
        <v>539</v>
      </c>
      <c r="BA1419" s="17" t="s">
        <v>458</v>
      </c>
      <c r="BB1419" s="17" t="s">
        <v>109</v>
      </c>
      <c r="BP1419" s="17" t="s">
        <v>5076</v>
      </c>
      <c r="BR1419" s="24" t="str">
        <f t="shared" si="1"/>
        <v>Kalpana tiffens and melas </v>
      </c>
    </row>
    <row r="1420" ht="22.5" customHeight="1">
      <c r="A1420" s="14">
        <v>46087.81098731481</v>
      </c>
      <c r="B1420" s="15">
        <v>46086.0</v>
      </c>
      <c r="C1420" s="16">
        <v>0.16666666666424135</v>
      </c>
      <c r="U1420" s="17" t="s">
        <v>5077</v>
      </c>
      <c r="V1420" s="17">
        <v>9.849183812E9</v>
      </c>
      <c r="W1420" s="17" t="s">
        <v>388</v>
      </c>
      <c r="AA1420" s="17" t="s">
        <v>109</v>
      </c>
      <c r="AT1420" s="17" t="s">
        <v>388</v>
      </c>
      <c r="AU1420" s="17" t="s">
        <v>109</v>
      </c>
      <c r="AZ1420" s="17" t="s">
        <v>539</v>
      </c>
      <c r="BA1420" s="17" t="s">
        <v>458</v>
      </c>
      <c r="BB1420" s="17" t="s">
        <v>109</v>
      </c>
      <c r="BP1420" s="17" t="s">
        <v>5078</v>
      </c>
      <c r="BR1420" s="24" t="str">
        <f t="shared" si="1"/>
        <v>Brown bear bakery </v>
      </c>
    </row>
    <row r="1421" ht="22.5" customHeight="1">
      <c r="A1421" s="14">
        <v>46087.85656381944</v>
      </c>
      <c r="B1421" s="15">
        <v>46086.0</v>
      </c>
      <c r="C1421" s="16">
        <v>0.5833333333357587</v>
      </c>
      <c r="U1421" s="17" t="s">
        <v>5079</v>
      </c>
      <c r="V1421" s="17">
        <v>6.281371177E9</v>
      </c>
      <c r="W1421" s="17" t="s">
        <v>113</v>
      </c>
      <c r="AA1421" s="17" t="s">
        <v>109</v>
      </c>
      <c r="AT1421" s="17" t="s">
        <v>111</v>
      </c>
      <c r="AU1421" s="17" t="s">
        <v>76</v>
      </c>
      <c r="AV1421" s="17" t="s">
        <v>271</v>
      </c>
      <c r="AZ1421" s="17" t="s">
        <v>287</v>
      </c>
      <c r="BA1421" s="17" t="s">
        <v>458</v>
      </c>
      <c r="BB1421" s="17" t="s">
        <v>109</v>
      </c>
      <c r="BP1421" s="17" t="s">
        <v>3306</v>
      </c>
      <c r="BR1421" s="24" t="str">
        <f t="shared" si="1"/>
        <v>Royal Bawarchi</v>
      </c>
    </row>
    <row r="1422" ht="22.5" customHeight="1">
      <c r="A1422" s="14">
        <v>46087.859578449075</v>
      </c>
      <c r="B1422" s="15">
        <v>46086.0</v>
      </c>
      <c r="C1422" s="16">
        <v>0.6958333333313931</v>
      </c>
      <c r="D1422" s="17" t="s">
        <v>111</v>
      </c>
      <c r="T1422" s="17" t="s">
        <v>3919</v>
      </c>
      <c r="U1422" s="17" t="s">
        <v>2044</v>
      </c>
      <c r="V1422" s="17">
        <v>9.615550066E9</v>
      </c>
      <c r="W1422" s="17" t="s">
        <v>113</v>
      </c>
      <c r="AA1422" s="17" t="s">
        <v>76</v>
      </c>
      <c r="AC1422" s="18" t="s">
        <v>5080</v>
      </c>
      <c r="AG1422" s="18" t="s">
        <v>5081</v>
      </c>
      <c r="AJ1422" s="18" t="s">
        <v>5082</v>
      </c>
      <c r="AK1422" s="18" t="s">
        <v>5083</v>
      </c>
      <c r="AS1422" s="17" t="s">
        <v>76</v>
      </c>
      <c r="AT1422" s="17" t="s">
        <v>181</v>
      </c>
      <c r="AU1422" s="17" t="s">
        <v>109</v>
      </c>
      <c r="AZ1422" s="17" t="s">
        <v>287</v>
      </c>
      <c r="BA1422" s="17" t="s">
        <v>458</v>
      </c>
      <c r="BB1422" s="17" t="s">
        <v>76</v>
      </c>
      <c r="BM1422" s="17" t="s">
        <v>1088</v>
      </c>
      <c r="BP1422" s="17" t="s">
        <v>3919</v>
      </c>
      <c r="BR1422" s="24" t="str">
        <f t="shared" si="1"/>
        <v>Slice and SauceSlice and Sauce</v>
      </c>
    </row>
    <row r="1423" ht="22.5" customHeight="1">
      <c r="A1423" s="14">
        <v>46087.8701330787</v>
      </c>
      <c r="B1423" s="15">
        <v>46086.0</v>
      </c>
      <c r="C1423" s="16">
        <v>0.7048611111094942</v>
      </c>
      <c r="D1423" s="17" t="s">
        <v>91</v>
      </c>
      <c r="F1423" s="17">
        <v>1.0</v>
      </c>
      <c r="G1423" s="17">
        <v>250.0</v>
      </c>
      <c r="H1423" s="17" t="s">
        <v>113</v>
      </c>
      <c r="J1423" s="17" t="s">
        <v>221</v>
      </c>
      <c r="N1423" s="17">
        <v>1.0</v>
      </c>
      <c r="O1423" s="17" t="s">
        <v>96</v>
      </c>
      <c r="P1423" s="17" t="s">
        <v>109</v>
      </c>
      <c r="Q1423" s="17" t="s">
        <v>97</v>
      </c>
      <c r="R1423" s="17" t="s">
        <v>76</v>
      </c>
      <c r="S1423" s="17" t="s">
        <v>113</v>
      </c>
      <c r="U1423" s="17" t="s">
        <v>5084</v>
      </c>
      <c r="V1423" s="17">
        <v>9.615550066E9</v>
      </c>
      <c r="W1423" s="17" t="s">
        <v>113</v>
      </c>
      <c r="AA1423" s="17" t="s">
        <v>76</v>
      </c>
      <c r="AC1423" s="18" t="s">
        <v>5085</v>
      </c>
      <c r="AG1423" s="18" t="s">
        <v>5086</v>
      </c>
      <c r="AK1423" s="18" t="s">
        <v>5087</v>
      </c>
      <c r="AS1423" s="17" t="s">
        <v>76</v>
      </c>
      <c r="AT1423" s="17" t="s">
        <v>181</v>
      </c>
      <c r="AU1423" s="17" t="s">
        <v>109</v>
      </c>
      <c r="AZ1423" s="17" t="s">
        <v>287</v>
      </c>
      <c r="BA1423" s="17" t="s">
        <v>458</v>
      </c>
      <c r="BB1423" s="17" t="s">
        <v>76</v>
      </c>
      <c r="BM1423" s="17" t="s">
        <v>1088</v>
      </c>
      <c r="BN1423" s="17" t="s">
        <v>1088</v>
      </c>
      <c r="BP1423" s="17" t="s">
        <v>4956</v>
      </c>
      <c r="BR1423" s="24" t="str">
        <f t="shared" si="1"/>
        <v>Ruchi Chupistha</v>
      </c>
    </row>
    <row r="1424" ht="22.5" customHeight="1">
      <c r="A1424" s="14">
        <v>46087.87818642361</v>
      </c>
      <c r="B1424" s="15">
        <v>46087.0</v>
      </c>
      <c r="C1424" s="16">
        <v>0.875</v>
      </c>
      <c r="D1424" s="17" t="s">
        <v>91</v>
      </c>
      <c r="F1424" s="17">
        <v>30.0</v>
      </c>
      <c r="G1424" s="17">
        <v>200.0</v>
      </c>
      <c r="H1424" s="17" t="s">
        <v>388</v>
      </c>
      <c r="I1424" s="17">
        <v>30000.0</v>
      </c>
      <c r="J1424" s="17" t="s">
        <v>221</v>
      </c>
      <c r="K1424" s="17" t="s">
        <v>134</v>
      </c>
      <c r="M1424" s="17">
        <v>18.0</v>
      </c>
      <c r="N1424" s="17">
        <v>1.0</v>
      </c>
      <c r="O1424" s="17" t="s">
        <v>96</v>
      </c>
      <c r="P1424" s="17" t="s">
        <v>76</v>
      </c>
      <c r="Q1424" s="17" t="s">
        <v>97</v>
      </c>
      <c r="R1424" s="17" t="s">
        <v>109</v>
      </c>
      <c r="S1424" s="17" t="s">
        <v>388</v>
      </c>
      <c r="U1424" s="17" t="s">
        <v>5088</v>
      </c>
      <c r="V1424" s="17" t="s">
        <v>388</v>
      </c>
      <c r="W1424" s="17" t="s">
        <v>388</v>
      </c>
      <c r="AA1424" s="17" t="s">
        <v>109</v>
      </c>
      <c r="AT1424" s="17" t="s">
        <v>4324</v>
      </c>
      <c r="AU1424" s="17" t="s">
        <v>109</v>
      </c>
      <c r="AZ1424" s="17" t="s">
        <v>131</v>
      </c>
      <c r="BA1424" s="17" t="s">
        <v>458</v>
      </c>
      <c r="BB1424" s="17" t="s">
        <v>76</v>
      </c>
      <c r="BL1424" s="17">
        <v>40.0</v>
      </c>
      <c r="BN1424" s="17" t="s">
        <v>779</v>
      </c>
      <c r="BP1424" s="17" t="s">
        <v>5089</v>
      </c>
      <c r="BR1424" s="24" t="str">
        <f t="shared" si="1"/>
        <v>Babuvgaru ruchulu</v>
      </c>
    </row>
    <row r="1425" ht="22.5" customHeight="1">
      <c r="A1425" s="14">
        <v>46088.37199054398</v>
      </c>
      <c r="B1425" s="15">
        <v>46087.0</v>
      </c>
      <c r="C1425" s="16">
        <v>0.5</v>
      </c>
      <c r="U1425" s="17" t="s">
        <v>5090</v>
      </c>
      <c r="V1425" s="17" t="s">
        <v>388</v>
      </c>
      <c r="W1425" s="17" t="s">
        <v>388</v>
      </c>
      <c r="AA1425" s="17" t="s">
        <v>109</v>
      </c>
      <c r="AT1425" s="17" t="s">
        <v>388</v>
      </c>
      <c r="AU1425" s="17" t="s">
        <v>109</v>
      </c>
      <c r="AZ1425" s="17" t="s">
        <v>151</v>
      </c>
      <c r="BA1425" s="17" t="s">
        <v>458</v>
      </c>
      <c r="BB1425" s="17" t="s">
        <v>109</v>
      </c>
      <c r="BP1425" s="17" t="s">
        <v>5091</v>
      </c>
      <c r="BR1425" s="24" t="str">
        <f t="shared" si="1"/>
        <v>Babu Bagunnava biryani</v>
      </c>
    </row>
    <row r="1426" ht="22.5" customHeight="1">
      <c r="A1426" s="14">
        <v>46088.37338134259</v>
      </c>
      <c r="B1426" s="15">
        <v>46087.0</v>
      </c>
      <c r="C1426" s="16">
        <v>0.6458333333357587</v>
      </c>
      <c r="U1426" s="17" t="s">
        <v>1107</v>
      </c>
      <c r="V1426" s="17" t="s">
        <v>388</v>
      </c>
      <c r="W1426" s="17" t="s">
        <v>388</v>
      </c>
      <c r="AA1426" s="17" t="s">
        <v>109</v>
      </c>
      <c r="AT1426" s="17" t="s">
        <v>388</v>
      </c>
      <c r="AU1426" s="17" t="s">
        <v>109</v>
      </c>
      <c r="AZ1426" s="17" t="s">
        <v>151</v>
      </c>
      <c r="BA1426" s="17" t="s">
        <v>458</v>
      </c>
      <c r="BB1426" s="17" t="s">
        <v>109</v>
      </c>
      <c r="BP1426" s="17" t="s">
        <v>5092</v>
      </c>
      <c r="BR1426" s="24" t="str">
        <f t="shared" si="1"/>
        <v>Bandababu palau</v>
      </c>
    </row>
    <row r="1427" ht="22.5" customHeight="1">
      <c r="A1427" s="14">
        <v>46088.373933842595</v>
      </c>
      <c r="B1427" s="15">
        <v>46087.0</v>
      </c>
      <c r="C1427" s="16">
        <v>0.5208333333357587</v>
      </c>
      <c r="U1427" s="17" t="s">
        <v>2772</v>
      </c>
      <c r="V1427" s="17" t="s">
        <v>388</v>
      </c>
      <c r="W1427" s="17" t="s">
        <v>388</v>
      </c>
      <c r="AA1427" s="17" t="s">
        <v>109</v>
      </c>
      <c r="AT1427" s="17" t="s">
        <v>4894</v>
      </c>
      <c r="AU1427" s="17" t="s">
        <v>109</v>
      </c>
      <c r="AZ1427" s="17" t="s">
        <v>151</v>
      </c>
      <c r="BA1427" s="17" t="s">
        <v>458</v>
      </c>
      <c r="BB1427" s="17" t="s">
        <v>109</v>
      </c>
      <c r="BP1427" s="17" t="s">
        <v>5093</v>
      </c>
      <c r="BR1427" s="24" t="str">
        <f t="shared" si="1"/>
        <v>Mana oori mess</v>
      </c>
    </row>
    <row r="1428" ht="22.5" customHeight="1">
      <c r="A1428" s="14">
        <v>46088.41546045139</v>
      </c>
      <c r="B1428" s="15">
        <v>46087.0</v>
      </c>
      <c r="C1428" s="16">
        <v>0.5</v>
      </c>
      <c r="U1428" s="17" t="s">
        <v>5094</v>
      </c>
      <c r="V1428" s="17" t="s">
        <v>117</v>
      </c>
      <c r="W1428" s="17" t="s">
        <v>117</v>
      </c>
      <c r="AA1428" s="17" t="s">
        <v>109</v>
      </c>
      <c r="AT1428" s="17" t="s">
        <v>1230</v>
      </c>
      <c r="AU1428" s="17" t="s">
        <v>76</v>
      </c>
      <c r="AV1428" s="17" t="s">
        <v>271</v>
      </c>
      <c r="AW1428" s="17" t="s">
        <v>1230</v>
      </c>
      <c r="AX1428" s="15">
        <v>46090.0</v>
      </c>
      <c r="AY1428" s="16">
        <v>0.6041666666642413</v>
      </c>
      <c r="AZ1428" s="17" t="s">
        <v>164</v>
      </c>
      <c r="BA1428" s="17" t="s">
        <v>458</v>
      </c>
      <c r="BB1428" s="17" t="s">
        <v>109</v>
      </c>
      <c r="BP1428" s="17" t="s">
        <v>5095</v>
      </c>
      <c r="BR1428" s="24" t="str">
        <f t="shared" si="1"/>
        <v>Anandobhrahma</v>
      </c>
    </row>
    <row r="1429" ht="22.5" customHeight="1">
      <c r="A1429" s="14">
        <v>46088.37531570602</v>
      </c>
      <c r="B1429" s="15">
        <v>46087.0</v>
      </c>
      <c r="C1429" s="16">
        <v>0.5208333333357587</v>
      </c>
      <c r="U1429" s="17" t="s">
        <v>1727</v>
      </c>
      <c r="V1429" s="17" t="s">
        <v>388</v>
      </c>
      <c r="W1429" s="17" t="s">
        <v>388</v>
      </c>
      <c r="AA1429" s="17" t="s">
        <v>109</v>
      </c>
      <c r="AT1429" s="17" t="s">
        <v>388</v>
      </c>
      <c r="AU1429" s="17" t="s">
        <v>109</v>
      </c>
      <c r="AZ1429" s="17" t="s">
        <v>151</v>
      </c>
      <c r="BA1429" s="17" t="s">
        <v>458</v>
      </c>
      <c r="BB1429" s="17" t="s">
        <v>109</v>
      </c>
      <c r="BP1429" s="17" t="s">
        <v>5096</v>
      </c>
      <c r="BR1429" s="24" t="str">
        <f t="shared" si="1"/>
        <v>Biryani and biryanis</v>
      </c>
    </row>
    <row r="1430" ht="22.5" customHeight="1">
      <c r="A1430" s="14">
        <v>46088.37601954861</v>
      </c>
      <c r="B1430" s="15">
        <v>46087.0</v>
      </c>
      <c r="C1430" s="16">
        <v>0.8055555555547471</v>
      </c>
      <c r="U1430" s="17" t="s">
        <v>1107</v>
      </c>
      <c r="V1430" s="17" t="s">
        <v>388</v>
      </c>
      <c r="W1430" s="17" t="s">
        <v>388</v>
      </c>
      <c r="AA1430" s="17" t="s">
        <v>109</v>
      </c>
      <c r="AT1430" s="17" t="s">
        <v>4894</v>
      </c>
      <c r="AU1430" s="17" t="s">
        <v>109</v>
      </c>
      <c r="AZ1430" s="17" t="s">
        <v>151</v>
      </c>
      <c r="BA1430" s="17" t="s">
        <v>458</v>
      </c>
      <c r="BB1430" s="17" t="s">
        <v>109</v>
      </c>
      <c r="BP1430" s="17" t="s">
        <v>5097</v>
      </c>
      <c r="BR1430" s="24" t="str">
        <f t="shared" si="1"/>
        <v>Shiva food court</v>
      </c>
    </row>
    <row r="1431" ht="22.5" customHeight="1">
      <c r="A1431" s="14">
        <v>46088.37693755787</v>
      </c>
      <c r="B1431" s="15">
        <v>46087.0</v>
      </c>
      <c r="C1431" s="16">
        <v>0.9736111111124046</v>
      </c>
      <c r="U1431" s="17" t="s">
        <v>5098</v>
      </c>
      <c r="V1431" s="17" t="s">
        <v>388</v>
      </c>
      <c r="W1431" s="17" t="s">
        <v>388</v>
      </c>
      <c r="AA1431" s="17" t="s">
        <v>109</v>
      </c>
      <c r="AT1431" s="17" t="s">
        <v>5099</v>
      </c>
      <c r="AU1431" s="17" t="s">
        <v>109</v>
      </c>
      <c r="AZ1431" s="17" t="s">
        <v>151</v>
      </c>
      <c r="BA1431" s="17" t="s">
        <v>458</v>
      </c>
      <c r="BB1431" s="17" t="s">
        <v>109</v>
      </c>
      <c r="BP1431" s="17" t="s">
        <v>5100</v>
      </c>
      <c r="BR1431" s="24" t="str">
        <f t="shared" si="1"/>
        <v>Vaarahi foods</v>
      </c>
    </row>
    <row r="1432" ht="22.5" customHeight="1">
      <c r="A1432" s="14">
        <v>46088.419223136574</v>
      </c>
      <c r="B1432" s="15">
        <v>46087.0</v>
      </c>
      <c r="C1432" s="16">
        <v>0.53125</v>
      </c>
      <c r="U1432" s="17" t="s">
        <v>991</v>
      </c>
      <c r="V1432" s="17">
        <v>7.780181321E9</v>
      </c>
      <c r="W1432" s="17" t="s">
        <v>117</v>
      </c>
      <c r="AA1432" s="17" t="s">
        <v>109</v>
      </c>
      <c r="AT1432" s="17" t="s">
        <v>5101</v>
      </c>
      <c r="AU1432" s="17" t="s">
        <v>76</v>
      </c>
      <c r="AV1432" s="17" t="s">
        <v>373</v>
      </c>
      <c r="AW1432" s="17" t="s">
        <v>5101</v>
      </c>
      <c r="AX1432" s="15">
        <v>46090.0</v>
      </c>
      <c r="AY1432" s="16">
        <v>0.6145833333357587</v>
      </c>
      <c r="AZ1432" s="17" t="s">
        <v>164</v>
      </c>
      <c r="BA1432" s="17" t="s">
        <v>458</v>
      </c>
      <c r="BB1432" s="17" t="s">
        <v>109</v>
      </c>
      <c r="BP1432" s="17" t="s">
        <v>4928</v>
      </c>
      <c r="BR1432" s="24" t="str">
        <f t="shared" si="1"/>
        <v>santosh dhaba </v>
      </c>
    </row>
    <row r="1433" ht="22.5" customHeight="1">
      <c r="A1433" s="14">
        <v>46088.42231180555</v>
      </c>
      <c r="B1433" s="15">
        <v>46087.0</v>
      </c>
      <c r="C1433" s="16">
        <v>0.5625</v>
      </c>
      <c r="D1433" s="17" t="s">
        <v>111</v>
      </c>
      <c r="T1433" s="17" t="s">
        <v>5102</v>
      </c>
      <c r="U1433" s="17" t="s">
        <v>2603</v>
      </c>
      <c r="V1433" s="17">
        <v>9.15489371E9</v>
      </c>
      <c r="W1433" s="17" t="s">
        <v>117</v>
      </c>
      <c r="AA1433" s="17" t="s">
        <v>109</v>
      </c>
      <c r="AT1433" s="17" t="s">
        <v>5103</v>
      </c>
      <c r="AU1433" s="17" t="s">
        <v>76</v>
      </c>
      <c r="AV1433" s="17" t="s">
        <v>271</v>
      </c>
      <c r="AW1433" s="17" t="s">
        <v>5103</v>
      </c>
      <c r="AX1433" s="15">
        <v>46090.0</v>
      </c>
      <c r="AY1433" s="16">
        <v>0.6145833333357587</v>
      </c>
      <c r="AZ1433" s="17" t="s">
        <v>164</v>
      </c>
      <c r="BA1433" s="17" t="s">
        <v>458</v>
      </c>
      <c r="BB1433" s="17" t="s">
        <v>76</v>
      </c>
      <c r="BP1433" s="17" t="s">
        <v>5102</v>
      </c>
      <c r="BR1433" s="24" t="str">
        <f t="shared" si="1"/>
        <v>sai martha food court sai martha food court </v>
      </c>
    </row>
    <row r="1434" ht="22.5" customHeight="1">
      <c r="A1434" s="14">
        <v>46088.42590582176</v>
      </c>
      <c r="B1434" s="15">
        <v>46087.0</v>
      </c>
      <c r="C1434" s="16">
        <v>0.6458333333357587</v>
      </c>
      <c r="U1434" s="17" t="s">
        <v>5104</v>
      </c>
      <c r="V1434" s="17">
        <v>9.573281025E9</v>
      </c>
      <c r="W1434" s="17" t="s">
        <v>117</v>
      </c>
      <c r="AA1434" s="17" t="s">
        <v>109</v>
      </c>
      <c r="AT1434" s="17" t="s">
        <v>1242</v>
      </c>
      <c r="AU1434" s="17" t="s">
        <v>76</v>
      </c>
      <c r="AV1434" s="17" t="s">
        <v>271</v>
      </c>
      <c r="AW1434" s="17" t="s">
        <v>1242</v>
      </c>
      <c r="AX1434" s="15">
        <v>46090.0</v>
      </c>
      <c r="AY1434" s="16">
        <v>0.6458333333357587</v>
      </c>
      <c r="AZ1434" s="17" t="s">
        <v>164</v>
      </c>
      <c r="BA1434" s="17" t="s">
        <v>458</v>
      </c>
      <c r="BB1434" s="17" t="s">
        <v>109</v>
      </c>
      <c r="BP1434" s="17" t="s">
        <v>4909</v>
      </c>
      <c r="BR1434" s="24" t="str">
        <f t="shared" si="1"/>
        <v> prime deccan restaurant </v>
      </c>
    </row>
    <row r="1435" ht="22.5" customHeight="1">
      <c r="A1435" s="14">
        <v>46088.510791782406</v>
      </c>
      <c r="B1435" s="15">
        <v>46087.0</v>
      </c>
      <c r="C1435" s="16">
        <v>0.6354166666642413</v>
      </c>
      <c r="D1435" s="17" t="s">
        <v>91</v>
      </c>
      <c r="F1435" s="17">
        <v>20.0</v>
      </c>
      <c r="G1435" s="17">
        <v>200.0</v>
      </c>
      <c r="H1435" s="17" t="s">
        <v>4933</v>
      </c>
      <c r="I1435" s="17">
        <v>10000.0</v>
      </c>
      <c r="J1435" s="17" t="s">
        <v>221</v>
      </c>
      <c r="K1435" s="17" t="s">
        <v>5105</v>
      </c>
      <c r="M1435" s="17">
        <v>22.0</v>
      </c>
      <c r="N1435" s="17">
        <v>1.0</v>
      </c>
      <c r="O1435" s="17" t="s">
        <v>96</v>
      </c>
      <c r="P1435" s="17" t="s">
        <v>76</v>
      </c>
      <c r="Q1435" s="17" t="s">
        <v>97</v>
      </c>
      <c r="R1435" s="17" t="s">
        <v>76</v>
      </c>
      <c r="S1435" s="18" t="s">
        <v>5106</v>
      </c>
      <c r="U1435" s="17" t="s">
        <v>5107</v>
      </c>
      <c r="V1435" s="17" t="s">
        <v>5108</v>
      </c>
      <c r="W1435" s="17" t="s">
        <v>117</v>
      </c>
      <c r="AA1435" s="17" t="s">
        <v>109</v>
      </c>
      <c r="AT1435" s="17" t="s">
        <v>193</v>
      </c>
      <c r="AU1435" s="17" t="s">
        <v>76</v>
      </c>
      <c r="AV1435" s="17" t="s">
        <v>88</v>
      </c>
      <c r="AW1435" s="17" t="s">
        <v>5109</v>
      </c>
      <c r="AX1435" s="15">
        <v>46090.0</v>
      </c>
      <c r="AY1435" s="16">
        <v>0.6111111111094942</v>
      </c>
      <c r="AZ1435" s="17" t="s">
        <v>164</v>
      </c>
      <c r="BA1435" s="17" t="s">
        <v>458</v>
      </c>
      <c r="BB1435" s="17" t="s">
        <v>76</v>
      </c>
      <c r="BL1435" s="17">
        <v>50.0</v>
      </c>
      <c r="BN1435" s="17" t="s">
        <v>5110</v>
      </c>
      <c r="BP1435" s="17" t="s">
        <v>5111</v>
      </c>
      <c r="BR1435" s="24" t="str">
        <f t="shared" si="1"/>
        <v>babu garu ruchulu and curry point </v>
      </c>
    </row>
    <row r="1436" ht="22.5" customHeight="1">
      <c r="A1436" s="14">
        <v>46088.37464563658</v>
      </c>
      <c r="B1436" s="15">
        <v>46087.0</v>
      </c>
      <c r="C1436" s="16">
        <v>0.640972222223354</v>
      </c>
      <c r="U1436" s="17" t="s">
        <v>5015</v>
      </c>
      <c r="V1436" s="17" t="s">
        <v>388</v>
      </c>
      <c r="W1436" s="17" t="s">
        <v>388</v>
      </c>
      <c r="AA1436" s="17" t="s">
        <v>109</v>
      </c>
      <c r="AT1436" s="17" t="s">
        <v>5112</v>
      </c>
      <c r="AU1436" s="17" t="s">
        <v>76</v>
      </c>
      <c r="AX1436" s="15">
        <v>46090.0</v>
      </c>
      <c r="AY1436" s="16">
        <v>0.5208333333357587</v>
      </c>
      <c r="AZ1436" s="17" t="s">
        <v>151</v>
      </c>
      <c r="BA1436" s="17" t="s">
        <v>458</v>
      </c>
      <c r="BB1436" s="17" t="s">
        <v>109</v>
      </c>
      <c r="BP1436" s="17" t="s">
        <v>5113</v>
      </c>
      <c r="BR1436" s="24" t="str">
        <f t="shared" si="1"/>
        <v>Dolphin drivn</v>
      </c>
    </row>
    <row r="1437" ht="22.5" customHeight="1">
      <c r="A1437" s="14">
        <v>46088.46635700231</v>
      </c>
      <c r="B1437" s="15">
        <v>46087.0</v>
      </c>
      <c r="C1437" s="16">
        <v>0.5729166666642413</v>
      </c>
      <c r="D1437" s="17" t="s">
        <v>91</v>
      </c>
      <c r="F1437" s="17">
        <v>15.0</v>
      </c>
      <c r="G1437" s="17">
        <v>200.0</v>
      </c>
      <c r="H1437" s="17" t="s">
        <v>4933</v>
      </c>
      <c r="I1437" s="17">
        <v>12000.0</v>
      </c>
      <c r="J1437" s="17" t="s">
        <v>221</v>
      </c>
      <c r="K1437" s="17" t="s">
        <v>273</v>
      </c>
      <c r="M1437" s="17">
        <v>22.0</v>
      </c>
      <c r="N1437" s="17">
        <v>1.0</v>
      </c>
      <c r="O1437" s="17" t="s">
        <v>96</v>
      </c>
      <c r="P1437" s="17" t="s">
        <v>109</v>
      </c>
      <c r="Q1437" s="17" t="s">
        <v>97</v>
      </c>
      <c r="R1437" s="17" t="s">
        <v>76</v>
      </c>
      <c r="S1437" s="18" t="s">
        <v>5114</v>
      </c>
      <c r="U1437" s="17" t="s">
        <v>5115</v>
      </c>
      <c r="V1437" s="17">
        <v>9.177015185E9</v>
      </c>
      <c r="W1437" s="17" t="s">
        <v>5116</v>
      </c>
      <c r="AA1437" s="17" t="s">
        <v>76</v>
      </c>
      <c r="AB1437" s="17">
        <v>2.3623032002732E13</v>
      </c>
      <c r="AC1437" s="18" t="s">
        <v>5117</v>
      </c>
      <c r="AD1437" s="17" t="s">
        <v>117</v>
      </c>
      <c r="AF1437" s="17" t="s">
        <v>5118</v>
      </c>
      <c r="AG1437" s="18" t="s">
        <v>5119</v>
      </c>
      <c r="AK1437" s="18" t="s">
        <v>5120</v>
      </c>
      <c r="AL1437" s="17">
        <v>1.011014000017E12</v>
      </c>
      <c r="AM1437" s="17" t="s">
        <v>5121</v>
      </c>
      <c r="AN1437" s="17" t="s">
        <v>5122</v>
      </c>
      <c r="AO1437" s="17" t="s">
        <v>5123</v>
      </c>
      <c r="AP1437" s="17">
        <v>9.177015185E9</v>
      </c>
      <c r="AQ1437" s="17" t="s">
        <v>5124</v>
      </c>
      <c r="AR1437" s="17" t="s">
        <v>5123</v>
      </c>
      <c r="AS1437" s="17" t="s">
        <v>76</v>
      </c>
      <c r="AT1437" s="17" t="s">
        <v>193</v>
      </c>
      <c r="AU1437" s="17" t="s">
        <v>109</v>
      </c>
      <c r="AZ1437" s="17" t="s">
        <v>164</v>
      </c>
      <c r="BA1437" s="17" t="s">
        <v>458</v>
      </c>
      <c r="BB1437" s="17" t="s">
        <v>76</v>
      </c>
      <c r="BH1437" s="17">
        <v>22.0</v>
      </c>
      <c r="BI1437" s="17" t="s">
        <v>109</v>
      </c>
      <c r="BJ1437" s="16">
        <v>0.33333333333575865</v>
      </c>
      <c r="BK1437" s="16">
        <v>0.9166666666642413</v>
      </c>
      <c r="BL1437" s="17">
        <v>60.0</v>
      </c>
      <c r="BM1437" s="17" t="s">
        <v>5125</v>
      </c>
      <c r="BN1437" s="17" t="s">
        <v>5126</v>
      </c>
      <c r="BP1437" s="17" t="s">
        <v>5127</v>
      </c>
      <c r="BR1437" s="24" t="str">
        <f t="shared" si="1"/>
        <v>Dwaraka Mai Tiffins</v>
      </c>
    </row>
    <row r="1438" ht="22.5" customHeight="1">
      <c r="A1438" s="14">
        <v>46088.37781822917</v>
      </c>
      <c r="B1438" s="15">
        <v>46087.0</v>
      </c>
      <c r="C1438" s="16">
        <v>0.8333333333357587</v>
      </c>
      <c r="U1438" s="17" t="s">
        <v>2367</v>
      </c>
      <c r="V1438" s="17" t="s">
        <v>388</v>
      </c>
      <c r="W1438" s="17" t="s">
        <v>388</v>
      </c>
      <c r="AA1438" s="17" t="s">
        <v>109</v>
      </c>
      <c r="AT1438" s="17" t="s">
        <v>5128</v>
      </c>
      <c r="AU1438" s="17" t="s">
        <v>76</v>
      </c>
      <c r="AV1438" s="17" t="s">
        <v>114</v>
      </c>
      <c r="AX1438" s="15">
        <v>46090.0</v>
      </c>
      <c r="AY1438" s="16">
        <v>0.5208333333357587</v>
      </c>
      <c r="AZ1438" s="17" t="s">
        <v>151</v>
      </c>
      <c r="BA1438" s="17" t="s">
        <v>458</v>
      </c>
      <c r="BB1438" s="17" t="s">
        <v>109</v>
      </c>
      <c r="BP1438" s="17" t="s">
        <v>4900</v>
      </c>
      <c r="BR1438" s="24" t="str">
        <f t="shared" si="1"/>
        <v>Charminar biryani</v>
      </c>
    </row>
    <row r="1439" ht="22.5" customHeight="1">
      <c r="A1439" s="14">
        <v>46088.571457349535</v>
      </c>
      <c r="B1439" s="15">
        <v>46087.0</v>
      </c>
      <c r="C1439" s="16">
        <v>0.7083333333357587</v>
      </c>
      <c r="D1439" s="17" t="s">
        <v>91</v>
      </c>
      <c r="F1439" s="17">
        <v>50.0</v>
      </c>
      <c r="G1439" s="17">
        <v>300.0</v>
      </c>
      <c r="H1439" s="17" t="s">
        <v>4933</v>
      </c>
      <c r="I1439" s="17">
        <v>24000.0</v>
      </c>
      <c r="J1439" s="17" t="s">
        <v>94</v>
      </c>
      <c r="K1439" s="17" t="s">
        <v>134</v>
      </c>
      <c r="M1439" s="17">
        <v>20.0</v>
      </c>
      <c r="N1439" s="17">
        <v>1.0</v>
      </c>
      <c r="O1439" s="17" t="s">
        <v>96</v>
      </c>
      <c r="P1439" s="17" t="s">
        <v>109</v>
      </c>
      <c r="Q1439" s="17" t="s">
        <v>97</v>
      </c>
      <c r="R1439" s="17" t="s">
        <v>76</v>
      </c>
      <c r="S1439" s="18" t="s">
        <v>5129</v>
      </c>
      <c r="U1439" s="17" t="s">
        <v>5130</v>
      </c>
      <c r="V1439" s="17">
        <v>9.381245681E9</v>
      </c>
      <c r="W1439" s="17" t="s">
        <v>117</v>
      </c>
      <c r="AA1439" s="17" t="s">
        <v>76</v>
      </c>
      <c r="AB1439" s="17">
        <v>2.3626032001312E13</v>
      </c>
      <c r="AC1439" s="18" t="s">
        <v>5131</v>
      </c>
      <c r="AF1439" s="17" t="s">
        <v>5132</v>
      </c>
      <c r="AG1439" s="18" t="s">
        <v>5133</v>
      </c>
      <c r="AK1439" s="18" t="s">
        <v>5134</v>
      </c>
      <c r="AL1439" s="20" t="s">
        <v>5135</v>
      </c>
      <c r="AM1439" s="17" t="s">
        <v>5136</v>
      </c>
      <c r="AN1439" s="17" t="s">
        <v>5137</v>
      </c>
      <c r="AO1439" s="17" t="s">
        <v>5138</v>
      </c>
      <c r="AP1439" s="17" t="s">
        <v>5139</v>
      </c>
      <c r="AR1439" s="17" t="s">
        <v>5138</v>
      </c>
      <c r="AS1439" s="17" t="s">
        <v>76</v>
      </c>
      <c r="AT1439" s="17" t="s">
        <v>193</v>
      </c>
      <c r="AU1439" s="17" t="s">
        <v>109</v>
      </c>
      <c r="AZ1439" s="17" t="s">
        <v>164</v>
      </c>
      <c r="BA1439" s="17" t="s">
        <v>458</v>
      </c>
      <c r="BB1439" s="17" t="s">
        <v>76</v>
      </c>
      <c r="BH1439" s="17">
        <v>18.0</v>
      </c>
      <c r="BI1439" s="17" t="s">
        <v>109</v>
      </c>
      <c r="BJ1439" s="16">
        <v>0.47916666666424135</v>
      </c>
      <c r="BK1439" s="16">
        <v>0.9583333333357587</v>
      </c>
      <c r="BL1439" s="17">
        <v>80.0</v>
      </c>
      <c r="BM1439" s="17" t="s">
        <v>5140</v>
      </c>
      <c r="BN1439" s="17" t="s">
        <v>5141</v>
      </c>
      <c r="BP1439" s="17" t="s">
        <v>5142</v>
      </c>
      <c r="BR1439" s="24" t="str">
        <f t="shared" si="1"/>
        <v> mammu's kitchen </v>
      </c>
    </row>
    <row r="1440" ht="22.5" customHeight="1">
      <c r="A1440" s="14">
        <v>46088.600653622685</v>
      </c>
      <c r="B1440" s="15">
        <v>46087.0</v>
      </c>
      <c r="C1440" s="16">
        <v>0.7916666666642413</v>
      </c>
      <c r="D1440" s="17" t="s">
        <v>91</v>
      </c>
      <c r="F1440" s="17">
        <v>50.0</v>
      </c>
      <c r="G1440" s="17">
        <v>400.0</v>
      </c>
      <c r="H1440" s="17" t="s">
        <v>1904</v>
      </c>
      <c r="I1440" s="17">
        <v>24000.0</v>
      </c>
      <c r="J1440" s="17" t="s">
        <v>94</v>
      </c>
      <c r="K1440" s="17" t="s">
        <v>134</v>
      </c>
      <c r="M1440" s="17">
        <v>18.0</v>
      </c>
      <c r="N1440" s="17">
        <v>1.0</v>
      </c>
      <c r="O1440" s="17" t="s">
        <v>96</v>
      </c>
      <c r="P1440" s="17" t="s">
        <v>109</v>
      </c>
      <c r="Q1440" s="17" t="s">
        <v>97</v>
      </c>
      <c r="R1440" s="17" t="s">
        <v>109</v>
      </c>
      <c r="S1440" s="18" t="s">
        <v>5143</v>
      </c>
      <c r="U1440" s="17" t="s">
        <v>5144</v>
      </c>
      <c r="V1440" s="17" t="s">
        <v>5145</v>
      </c>
      <c r="W1440" s="17" t="s">
        <v>113</v>
      </c>
      <c r="AA1440" s="17" t="s">
        <v>76</v>
      </c>
      <c r="AB1440" s="17" t="s">
        <v>5146</v>
      </c>
      <c r="AC1440" s="18" t="s">
        <v>5147</v>
      </c>
      <c r="AF1440" s="17" t="s">
        <v>5148</v>
      </c>
      <c r="AG1440" s="18" t="s">
        <v>5149</v>
      </c>
      <c r="AL1440" s="17">
        <v>9.2502003302611E14</v>
      </c>
      <c r="AM1440" s="17" t="s">
        <v>5150</v>
      </c>
      <c r="AN1440" s="17" t="s">
        <v>5151</v>
      </c>
      <c r="AO1440" s="17" t="s">
        <v>5152</v>
      </c>
      <c r="AP1440" s="17" t="s">
        <v>5153</v>
      </c>
      <c r="AR1440" s="17" t="s">
        <v>5151</v>
      </c>
      <c r="AS1440" s="17" t="s">
        <v>76</v>
      </c>
      <c r="AT1440" s="17" t="s">
        <v>193</v>
      </c>
      <c r="AU1440" s="17" t="s">
        <v>109</v>
      </c>
      <c r="AZ1440" s="17" t="s">
        <v>164</v>
      </c>
      <c r="BA1440" s="17" t="s">
        <v>458</v>
      </c>
      <c r="BB1440" s="17" t="s">
        <v>76</v>
      </c>
      <c r="BH1440" s="17">
        <v>18.0</v>
      </c>
      <c r="BI1440" s="17" t="s">
        <v>109</v>
      </c>
      <c r="BJ1440" s="16">
        <v>0.47916666666424135</v>
      </c>
      <c r="BK1440" s="16">
        <v>0.9930555555547471</v>
      </c>
      <c r="BL1440" s="17">
        <v>60.0</v>
      </c>
      <c r="BM1440" s="17" t="s">
        <v>5154</v>
      </c>
      <c r="BN1440" s="17" t="s">
        <v>4955</v>
      </c>
      <c r="BP1440" s="17" t="s">
        <v>5155</v>
      </c>
      <c r="BR1440" s="24" t="str">
        <f t="shared" si="1"/>
        <v> ala konaseemaloo  </v>
      </c>
    </row>
    <row r="1441" ht="22.5" customHeight="1">
      <c r="A1441" s="14">
        <v>46089.450004872684</v>
      </c>
      <c r="B1441" s="15">
        <v>46087.0</v>
      </c>
      <c r="C1441" s="16">
        <v>0.5833333333357587</v>
      </c>
      <c r="D1441" s="17" t="s">
        <v>91</v>
      </c>
      <c r="F1441" s="17">
        <v>40.0</v>
      </c>
      <c r="G1441" s="17">
        <v>200.0</v>
      </c>
      <c r="H1441" s="17" t="s">
        <v>863</v>
      </c>
      <c r="I1441" s="17">
        <v>30000.0</v>
      </c>
      <c r="J1441" s="17" t="s">
        <v>94</v>
      </c>
      <c r="K1441" s="17" t="s">
        <v>134</v>
      </c>
      <c r="L1441" s="17">
        <v>22.0</v>
      </c>
      <c r="M1441" s="17">
        <v>20.0</v>
      </c>
      <c r="N1441" s="17">
        <v>1.0</v>
      </c>
      <c r="O1441" s="17" t="s">
        <v>96</v>
      </c>
      <c r="P1441" s="17" t="s">
        <v>76</v>
      </c>
      <c r="Q1441" s="17" t="s">
        <v>97</v>
      </c>
      <c r="R1441" s="17" t="s">
        <v>109</v>
      </c>
      <c r="S1441" s="17" t="s">
        <v>388</v>
      </c>
      <c r="U1441" s="17" t="s">
        <v>388</v>
      </c>
      <c r="V1441" s="17">
        <v>7.799810105E9</v>
      </c>
      <c r="W1441" s="17" t="s">
        <v>388</v>
      </c>
      <c r="AA1441" s="17" t="s">
        <v>109</v>
      </c>
      <c r="AT1441" s="17" t="s">
        <v>5156</v>
      </c>
      <c r="AU1441" s="17" t="s">
        <v>76</v>
      </c>
      <c r="AV1441" s="17" t="s">
        <v>271</v>
      </c>
      <c r="AZ1441" s="17" t="s">
        <v>131</v>
      </c>
      <c r="BA1441" s="17" t="s">
        <v>458</v>
      </c>
      <c r="BB1441" s="17" t="s">
        <v>76</v>
      </c>
      <c r="BL1441" s="17">
        <v>30.0</v>
      </c>
      <c r="BN1441" s="17" t="s">
        <v>779</v>
      </c>
      <c r="BP1441" s="17" t="s">
        <v>5157</v>
      </c>
      <c r="BR1441" s="24" t="str">
        <f t="shared" si="1"/>
        <v>Sri Harsha deluxe mess</v>
      </c>
    </row>
    <row r="1442" ht="22.5" customHeight="1">
      <c r="A1442" s="14">
        <v>46089.45279048611</v>
      </c>
      <c r="B1442" s="15">
        <v>46089.0</v>
      </c>
      <c r="C1442" s="16">
        <v>0.6666666666642413</v>
      </c>
      <c r="D1442" s="17" t="s">
        <v>91</v>
      </c>
      <c r="F1442" s="17">
        <v>15.0</v>
      </c>
      <c r="G1442" s="17">
        <v>200.0</v>
      </c>
      <c r="H1442" s="17" t="s">
        <v>388</v>
      </c>
      <c r="I1442" s="17">
        <v>5000.0</v>
      </c>
      <c r="J1442" s="17" t="s">
        <v>221</v>
      </c>
      <c r="K1442" s="17" t="s">
        <v>4729</v>
      </c>
      <c r="L1442" s="17">
        <v>22.0</v>
      </c>
      <c r="M1442" s="17">
        <v>20.0</v>
      </c>
      <c r="N1442" s="17">
        <v>1.0</v>
      </c>
      <c r="O1442" s="17" t="s">
        <v>96</v>
      </c>
      <c r="P1442" s="17" t="s">
        <v>109</v>
      </c>
      <c r="Q1442" s="17" t="s">
        <v>97</v>
      </c>
      <c r="R1442" s="17" t="s">
        <v>109</v>
      </c>
      <c r="S1442" s="17" t="s">
        <v>388</v>
      </c>
      <c r="U1442" s="17" t="s">
        <v>5158</v>
      </c>
      <c r="V1442" s="17">
        <v>7.601018276E9</v>
      </c>
      <c r="W1442" s="17" t="s">
        <v>388</v>
      </c>
      <c r="AA1442" s="17" t="s">
        <v>109</v>
      </c>
      <c r="AT1442" s="17" t="s">
        <v>5159</v>
      </c>
      <c r="AU1442" s="17" t="s">
        <v>76</v>
      </c>
      <c r="AV1442" s="17" t="s">
        <v>271</v>
      </c>
      <c r="AZ1442" s="17" t="s">
        <v>131</v>
      </c>
      <c r="BA1442" s="17" t="s">
        <v>458</v>
      </c>
      <c r="BB1442" s="17" t="s">
        <v>76</v>
      </c>
      <c r="BL1442" s="17">
        <v>0.0</v>
      </c>
      <c r="BN1442" s="17" t="s">
        <v>779</v>
      </c>
      <c r="BP1442" s="17" t="s">
        <v>5160</v>
      </c>
      <c r="BR1442" s="24" t="str">
        <f t="shared" si="1"/>
        <v>Godavari food court </v>
      </c>
    </row>
    <row r="1443" ht="22.5" customHeight="1">
      <c r="A1443" s="14">
        <v>46089.456651053246</v>
      </c>
      <c r="B1443" s="15">
        <v>46087.0</v>
      </c>
      <c r="C1443" s="16">
        <v>0.7083333333357587</v>
      </c>
      <c r="D1443" s="17" t="s">
        <v>91</v>
      </c>
      <c r="F1443" s="17">
        <v>30.0</v>
      </c>
      <c r="G1443" s="17">
        <v>200.0</v>
      </c>
      <c r="H1443" s="17" t="s">
        <v>388</v>
      </c>
      <c r="I1443" s="17">
        <v>20000.0</v>
      </c>
      <c r="J1443" s="17" t="s">
        <v>221</v>
      </c>
      <c r="K1443" s="17" t="s">
        <v>134</v>
      </c>
      <c r="L1443" s="17">
        <v>22.0</v>
      </c>
      <c r="M1443" s="17">
        <v>20.0</v>
      </c>
      <c r="N1443" s="17">
        <v>1.0</v>
      </c>
      <c r="O1443" s="17" t="s">
        <v>96</v>
      </c>
      <c r="P1443" s="17" t="s">
        <v>109</v>
      </c>
      <c r="Q1443" s="17" t="s">
        <v>97</v>
      </c>
      <c r="R1443" s="17" t="s">
        <v>109</v>
      </c>
      <c r="S1443" s="17" t="s">
        <v>388</v>
      </c>
      <c r="U1443" s="17" t="s">
        <v>5161</v>
      </c>
      <c r="V1443" s="17">
        <v>8.106599233E9</v>
      </c>
      <c r="W1443" s="17" t="s">
        <v>388</v>
      </c>
      <c r="AA1443" s="17" t="s">
        <v>109</v>
      </c>
      <c r="AT1443" s="17" t="s">
        <v>5162</v>
      </c>
      <c r="AU1443" s="17" t="s">
        <v>76</v>
      </c>
      <c r="AV1443" s="17" t="s">
        <v>373</v>
      </c>
      <c r="AZ1443" s="17" t="s">
        <v>131</v>
      </c>
      <c r="BA1443" s="17" t="s">
        <v>458</v>
      </c>
      <c r="BB1443" s="17" t="s">
        <v>76</v>
      </c>
      <c r="BL1443" s="17">
        <v>30.0</v>
      </c>
      <c r="BN1443" s="17" t="s">
        <v>779</v>
      </c>
      <c r="BP1443" s="17" t="s">
        <v>5163</v>
      </c>
      <c r="BR1443" s="24" t="str">
        <f t="shared" si="1"/>
        <v>Lakshmi Prasanna Andhra mess</v>
      </c>
    </row>
    <row r="1444" ht="22.5" customHeight="1">
      <c r="A1444" s="14">
        <v>46089.45884371528</v>
      </c>
      <c r="B1444" s="15">
        <v>46087.0</v>
      </c>
      <c r="C1444" s="16">
        <v>0.75</v>
      </c>
      <c r="U1444" s="17" t="s">
        <v>388</v>
      </c>
      <c r="V1444" s="17" t="s">
        <v>388</v>
      </c>
      <c r="W1444" s="17" t="s">
        <v>388</v>
      </c>
      <c r="AA1444" s="17" t="s">
        <v>109</v>
      </c>
      <c r="AT1444" s="17" t="s">
        <v>5164</v>
      </c>
      <c r="AU1444" s="17" t="s">
        <v>76</v>
      </c>
      <c r="AV1444" s="17" t="s">
        <v>472</v>
      </c>
      <c r="AX1444" s="15">
        <v>46087.0</v>
      </c>
      <c r="AZ1444" s="17" t="s">
        <v>131</v>
      </c>
      <c r="BA1444" s="17" t="s">
        <v>458</v>
      </c>
      <c r="BB1444" s="17" t="s">
        <v>109</v>
      </c>
      <c r="BP1444" s="17" t="s">
        <v>5165</v>
      </c>
      <c r="BR1444" s="24" t="str">
        <f t="shared" si="1"/>
        <v>Pondy parrottas </v>
      </c>
    </row>
    <row r="1445" ht="22.5" customHeight="1">
      <c r="A1445" s="14">
        <v>46089.46057582176</v>
      </c>
      <c r="B1445" s="15">
        <v>46087.0</v>
      </c>
      <c r="C1445" s="16">
        <v>0.6666666666642413</v>
      </c>
      <c r="U1445" s="17" t="s">
        <v>4736</v>
      </c>
      <c r="V1445" s="17" t="s">
        <v>388</v>
      </c>
      <c r="W1445" s="17" t="s">
        <v>388</v>
      </c>
      <c r="AA1445" s="17" t="s">
        <v>109</v>
      </c>
      <c r="AT1445" s="17" t="s">
        <v>388</v>
      </c>
      <c r="AU1445" s="17" t="s">
        <v>76</v>
      </c>
      <c r="AV1445" s="17" t="s">
        <v>373</v>
      </c>
      <c r="AX1445" s="15">
        <v>46087.0</v>
      </c>
      <c r="AY1445" s="16">
        <v>0.7083333333357587</v>
      </c>
      <c r="AZ1445" s="17" t="s">
        <v>131</v>
      </c>
      <c r="BA1445" s="17" t="s">
        <v>458</v>
      </c>
      <c r="BB1445" s="17" t="s">
        <v>109</v>
      </c>
      <c r="BP1445" s="17" t="s">
        <v>5166</v>
      </c>
      <c r="BR1445" s="24" t="str">
        <f t="shared" si="1"/>
        <v>Shadruchulu </v>
      </c>
    </row>
    <row r="1446" ht="22.5" customHeight="1">
      <c r="A1446" s="14">
        <v>46089.46280137732</v>
      </c>
      <c r="B1446" s="15">
        <v>46087.0</v>
      </c>
      <c r="C1446" s="16">
        <v>0.7083333333357587</v>
      </c>
      <c r="D1446" s="17" t="s">
        <v>111</v>
      </c>
      <c r="T1446" s="17" t="s">
        <v>388</v>
      </c>
      <c r="U1446" s="17" t="s">
        <v>2661</v>
      </c>
      <c r="V1446" s="17">
        <v>7.569171589E9</v>
      </c>
      <c r="W1446" s="17" t="s">
        <v>388</v>
      </c>
      <c r="AA1446" s="17" t="s">
        <v>109</v>
      </c>
      <c r="AT1446" s="17" t="s">
        <v>5167</v>
      </c>
      <c r="AU1446" s="17" t="s">
        <v>76</v>
      </c>
      <c r="AV1446" s="17" t="s">
        <v>271</v>
      </c>
      <c r="AZ1446" s="17" t="s">
        <v>131</v>
      </c>
      <c r="BA1446" s="17" t="s">
        <v>458</v>
      </c>
      <c r="BB1446" s="17" t="s">
        <v>76</v>
      </c>
      <c r="BP1446" s="17" t="s">
        <v>5168</v>
      </c>
      <c r="BR1446" s="24" t="str">
        <f t="shared" si="1"/>
        <v>Kokko Roko Na</v>
      </c>
    </row>
    <row r="1447" ht="22.5" customHeight="1">
      <c r="A1447" s="14">
        <v>46089.464706666666</v>
      </c>
      <c r="B1447" s="15">
        <v>46087.0</v>
      </c>
      <c r="C1447" s="16">
        <v>0.6666666666642413</v>
      </c>
      <c r="D1447" s="17" t="s">
        <v>91</v>
      </c>
      <c r="F1447" s="17">
        <v>30.0</v>
      </c>
      <c r="G1447" s="17">
        <v>200.0</v>
      </c>
      <c r="H1447" s="17" t="s">
        <v>388</v>
      </c>
      <c r="I1447" s="17">
        <v>30000.0</v>
      </c>
      <c r="J1447" s="17" t="s">
        <v>94</v>
      </c>
      <c r="K1447" s="17" t="s">
        <v>118</v>
      </c>
      <c r="L1447" s="17">
        <v>22.0</v>
      </c>
      <c r="M1447" s="17">
        <v>20.0</v>
      </c>
      <c r="N1447" s="17">
        <v>1.0</v>
      </c>
      <c r="O1447" s="17" t="s">
        <v>96</v>
      </c>
      <c r="P1447" s="17" t="s">
        <v>109</v>
      </c>
      <c r="Q1447" s="17" t="s">
        <v>97</v>
      </c>
      <c r="R1447" s="17" t="s">
        <v>109</v>
      </c>
      <c r="S1447" s="17" t="s">
        <v>388</v>
      </c>
      <c r="U1447" s="17" t="s">
        <v>5169</v>
      </c>
      <c r="V1447" s="17" t="s">
        <v>388</v>
      </c>
      <c r="W1447" s="17" t="s">
        <v>388</v>
      </c>
      <c r="AA1447" s="17" t="s">
        <v>109</v>
      </c>
      <c r="AT1447" s="17" t="s">
        <v>388</v>
      </c>
      <c r="AU1447" s="17" t="s">
        <v>76</v>
      </c>
      <c r="AV1447" s="17" t="s">
        <v>373</v>
      </c>
      <c r="AZ1447" s="17" t="s">
        <v>131</v>
      </c>
      <c r="BA1447" s="17" t="s">
        <v>458</v>
      </c>
      <c r="BB1447" s="17" t="s">
        <v>76</v>
      </c>
      <c r="BL1447" s="17">
        <v>40.0</v>
      </c>
      <c r="BN1447" s="17" t="s">
        <v>1100</v>
      </c>
      <c r="BP1447" s="17" t="s">
        <v>5170</v>
      </c>
      <c r="BR1447" s="24" t="str">
        <f t="shared" si="1"/>
        <v>Cafe Melli And Bakery </v>
      </c>
    </row>
    <row r="1448" ht="22.5" customHeight="1">
      <c r="A1448" s="14">
        <v>46089.85061181713</v>
      </c>
      <c r="B1448" s="15">
        <v>46087.0</v>
      </c>
      <c r="C1448" s="16">
        <v>0.44791666666424135</v>
      </c>
      <c r="D1448" s="17" t="s">
        <v>91</v>
      </c>
      <c r="F1448" s="17">
        <v>30.0</v>
      </c>
      <c r="G1448" s="17">
        <v>300.0</v>
      </c>
      <c r="H1448" s="17" t="s">
        <v>113</v>
      </c>
      <c r="J1448" s="17" t="s">
        <v>221</v>
      </c>
      <c r="K1448" s="17" t="s">
        <v>95</v>
      </c>
      <c r="N1448" s="17">
        <v>1.0</v>
      </c>
      <c r="O1448" s="17" t="s">
        <v>96</v>
      </c>
      <c r="P1448" s="17" t="s">
        <v>109</v>
      </c>
      <c r="Q1448" s="17" t="s">
        <v>97</v>
      </c>
      <c r="R1448" s="17" t="s">
        <v>109</v>
      </c>
      <c r="S1448" s="17" t="s">
        <v>113</v>
      </c>
      <c r="U1448" s="17" t="s">
        <v>5171</v>
      </c>
      <c r="V1448" s="17">
        <v>8.919308595E9</v>
      </c>
      <c r="W1448" s="17" t="s">
        <v>113</v>
      </c>
      <c r="AA1448" s="17" t="s">
        <v>109</v>
      </c>
      <c r="AT1448" s="17" t="s">
        <v>5172</v>
      </c>
      <c r="AU1448" s="17" t="s">
        <v>109</v>
      </c>
      <c r="AV1448" s="17" t="s">
        <v>88</v>
      </c>
      <c r="AZ1448" s="17" t="s">
        <v>3034</v>
      </c>
      <c r="BA1448" s="17" t="s">
        <v>458</v>
      </c>
      <c r="BB1448" s="17" t="s">
        <v>76</v>
      </c>
      <c r="BP1448" s="17" t="s">
        <v>5173</v>
      </c>
      <c r="BR1448" s="24" t="str">
        <f t="shared" si="1"/>
        <v>The Hazelnut Co</v>
      </c>
    </row>
    <row r="1449" ht="22.5" customHeight="1">
      <c r="A1449" s="14">
        <v>46090.64934096065</v>
      </c>
      <c r="B1449" s="15">
        <v>46090.0</v>
      </c>
      <c r="C1449" s="16">
        <v>0.6444444444423425</v>
      </c>
      <c r="D1449" s="17" t="s">
        <v>91</v>
      </c>
      <c r="F1449" s="17">
        <v>80.0</v>
      </c>
      <c r="G1449" s="17">
        <v>400.0</v>
      </c>
      <c r="H1449" s="17" t="s">
        <v>423</v>
      </c>
      <c r="I1449" s="17">
        <v>40000.0</v>
      </c>
      <c r="J1449" s="17" t="s">
        <v>167</v>
      </c>
      <c r="K1449" s="17" t="s">
        <v>273</v>
      </c>
      <c r="N1449" s="17">
        <v>1.0</v>
      </c>
      <c r="O1449" s="17" t="s">
        <v>135</v>
      </c>
      <c r="P1449" s="17" t="s">
        <v>109</v>
      </c>
      <c r="Q1449" s="17" t="s">
        <v>97</v>
      </c>
      <c r="R1449" s="17" t="s">
        <v>109</v>
      </c>
      <c r="S1449" s="18" t="s">
        <v>5174</v>
      </c>
      <c r="U1449" s="17" t="s">
        <v>5175</v>
      </c>
      <c r="V1449" s="17" t="s">
        <v>5176</v>
      </c>
      <c r="W1449" s="17" t="s">
        <v>5177</v>
      </c>
      <c r="AA1449" s="17" t="s">
        <v>76</v>
      </c>
      <c r="AB1449" s="17">
        <v>2.3625032008215E13</v>
      </c>
      <c r="AC1449" s="18" t="s">
        <v>5178</v>
      </c>
      <c r="AF1449" s="17" t="s">
        <v>5179</v>
      </c>
      <c r="AG1449" s="18" t="s">
        <v>5180</v>
      </c>
      <c r="AL1449" s="17">
        <v>7.7770109390035E13</v>
      </c>
      <c r="AM1449" s="17" t="s">
        <v>5181</v>
      </c>
      <c r="AN1449" s="17" t="s">
        <v>5182</v>
      </c>
      <c r="AS1449" s="17" t="s">
        <v>76</v>
      </c>
      <c r="AT1449" s="17" t="s">
        <v>388</v>
      </c>
      <c r="AU1449" s="17" t="s">
        <v>109</v>
      </c>
      <c r="AZ1449" s="17" t="s">
        <v>151</v>
      </c>
      <c r="BA1449" s="17" t="s">
        <v>458</v>
      </c>
      <c r="BB1449" s="17" t="s">
        <v>76</v>
      </c>
      <c r="BH1449" s="17">
        <v>20.0</v>
      </c>
      <c r="BI1449" s="17" t="s">
        <v>76</v>
      </c>
      <c r="BJ1449" s="16">
        <v>0.41666666666424135</v>
      </c>
      <c r="BK1449" s="16">
        <v>0.9583333333357587</v>
      </c>
      <c r="BL1449" s="17">
        <v>50.0</v>
      </c>
      <c r="BM1449" s="17" t="s">
        <v>4995</v>
      </c>
      <c r="BN1449" s="17" t="s">
        <v>4995</v>
      </c>
      <c r="BP1449" s="17" t="s">
        <v>5183</v>
      </c>
      <c r="BR1449" s="24" t="str">
        <f t="shared" si="1"/>
        <v>Celebs</v>
      </c>
    </row>
    <row r="1450" ht="22.5" customHeight="1">
      <c r="A1450" s="14">
        <v>46090.684329236115</v>
      </c>
      <c r="B1450" s="15">
        <v>46090.0</v>
      </c>
      <c r="C1450" s="16">
        <v>0.5416666666642413</v>
      </c>
      <c r="U1450" s="17" t="s">
        <v>4457</v>
      </c>
      <c r="V1450" s="17" t="s">
        <v>960</v>
      </c>
      <c r="W1450" s="17" t="s">
        <v>388</v>
      </c>
      <c r="AA1450" s="17" t="s">
        <v>109</v>
      </c>
      <c r="AT1450" s="17" t="s">
        <v>5184</v>
      </c>
      <c r="AU1450" s="17" t="s">
        <v>109</v>
      </c>
      <c r="AZ1450" s="17" t="s">
        <v>151</v>
      </c>
      <c r="BA1450" s="17" t="s">
        <v>458</v>
      </c>
      <c r="BB1450" s="17" t="s">
        <v>109</v>
      </c>
      <c r="BP1450" s="17" t="s">
        <v>5185</v>
      </c>
      <c r="BR1450" s="24" t="str">
        <f t="shared" si="1"/>
        <v>Lakshmi villas</v>
      </c>
    </row>
    <row r="1451" ht="22.5" customHeight="1">
      <c r="A1451" s="14">
        <v>46090.68541505787</v>
      </c>
      <c r="B1451" s="15">
        <v>46090.0</v>
      </c>
      <c r="C1451" s="16">
        <v>0.5833333333357587</v>
      </c>
      <c r="U1451" s="17" t="s">
        <v>5186</v>
      </c>
      <c r="V1451" s="17" t="s">
        <v>388</v>
      </c>
      <c r="W1451" s="17" t="s">
        <v>388</v>
      </c>
      <c r="AA1451" s="17" t="s">
        <v>109</v>
      </c>
      <c r="AT1451" s="17" t="s">
        <v>5187</v>
      </c>
      <c r="AU1451" s="17" t="s">
        <v>109</v>
      </c>
      <c r="AZ1451" s="17" t="s">
        <v>151</v>
      </c>
      <c r="BA1451" s="17" t="s">
        <v>458</v>
      </c>
      <c r="BB1451" s="17" t="s">
        <v>109</v>
      </c>
      <c r="BP1451" s="17" t="s">
        <v>5188</v>
      </c>
      <c r="BR1451" s="24" t="str">
        <f t="shared" si="1"/>
        <v>Telugu authentic ruchulu</v>
      </c>
    </row>
    <row r="1452" ht="22.5" customHeight="1">
      <c r="A1452" s="14">
        <v>46090.68644942129</v>
      </c>
      <c r="B1452" s="15">
        <v>46090.0</v>
      </c>
      <c r="C1452" s="16">
        <v>0.6041666666642413</v>
      </c>
      <c r="U1452" s="17" t="s">
        <v>5189</v>
      </c>
      <c r="V1452" s="17" t="s">
        <v>388</v>
      </c>
      <c r="W1452" s="17" t="s">
        <v>388</v>
      </c>
      <c r="AA1452" s="17" t="s">
        <v>109</v>
      </c>
      <c r="AT1452" s="17" t="s">
        <v>5190</v>
      </c>
      <c r="AU1452" s="17" t="s">
        <v>109</v>
      </c>
      <c r="AZ1452" s="17" t="s">
        <v>151</v>
      </c>
      <c r="BA1452" s="17" t="s">
        <v>458</v>
      </c>
      <c r="BB1452" s="17" t="s">
        <v>109</v>
      </c>
      <c r="BP1452" s="17" t="s">
        <v>5191</v>
      </c>
      <c r="BR1452" s="24" t="str">
        <f t="shared" si="1"/>
        <v>Hotel sarvanam</v>
      </c>
    </row>
    <row r="1453" ht="22.5" customHeight="1">
      <c r="A1453" s="14">
        <v>46090.68717837963</v>
      </c>
      <c r="B1453" s="15">
        <v>46090.0</v>
      </c>
      <c r="C1453" s="16">
        <v>0.625</v>
      </c>
      <c r="U1453" s="17" t="s">
        <v>5192</v>
      </c>
      <c r="V1453" s="17" t="s">
        <v>388</v>
      </c>
      <c r="W1453" s="17" t="s">
        <v>388</v>
      </c>
      <c r="AA1453" s="17" t="s">
        <v>109</v>
      </c>
      <c r="AT1453" s="17" t="s">
        <v>4894</v>
      </c>
      <c r="AU1453" s="17" t="s">
        <v>109</v>
      </c>
      <c r="AZ1453" s="17" t="s">
        <v>151</v>
      </c>
      <c r="BA1453" s="17" t="s">
        <v>458</v>
      </c>
      <c r="BB1453" s="17" t="s">
        <v>109</v>
      </c>
      <c r="BP1453" s="17" t="s">
        <v>5193</v>
      </c>
      <c r="BR1453" s="24" t="str">
        <f t="shared" si="1"/>
        <v>Mithra vindha mess</v>
      </c>
    </row>
    <row r="1454" ht="22.5" customHeight="1">
      <c r="A1454" s="14">
        <v>46090.68821388889</v>
      </c>
      <c r="B1454" s="15">
        <v>46090.0</v>
      </c>
      <c r="C1454" s="16">
        <v>0.6666666666642413</v>
      </c>
      <c r="U1454" s="17" t="s">
        <v>3103</v>
      </c>
      <c r="V1454" s="17" t="s">
        <v>388</v>
      </c>
      <c r="W1454" s="17" t="s">
        <v>388</v>
      </c>
      <c r="AA1454" s="17" t="s">
        <v>109</v>
      </c>
      <c r="AT1454" s="17" t="s">
        <v>5194</v>
      </c>
      <c r="AU1454" s="17" t="s">
        <v>109</v>
      </c>
      <c r="AZ1454" s="17" t="s">
        <v>151</v>
      </c>
      <c r="BA1454" s="17" t="s">
        <v>458</v>
      </c>
      <c r="BB1454" s="17" t="s">
        <v>109</v>
      </c>
      <c r="BP1454" s="17" t="s">
        <v>5195</v>
      </c>
      <c r="BR1454" s="24" t="str">
        <f t="shared" si="1"/>
        <v>Bandodu palauu</v>
      </c>
    </row>
    <row r="1455" ht="22.5" customHeight="1">
      <c r="A1455" s="14">
        <v>46090.6891396412</v>
      </c>
      <c r="B1455" s="15">
        <v>46090.0</v>
      </c>
      <c r="C1455" s="16">
        <v>0.6666666666642413</v>
      </c>
      <c r="U1455" s="17" t="s">
        <v>5196</v>
      </c>
      <c r="V1455" s="17" t="s">
        <v>388</v>
      </c>
      <c r="W1455" s="17" t="s">
        <v>388</v>
      </c>
      <c r="AA1455" s="17" t="s">
        <v>109</v>
      </c>
      <c r="AT1455" s="17" t="s">
        <v>4548</v>
      </c>
      <c r="AU1455" s="17" t="s">
        <v>109</v>
      </c>
      <c r="AZ1455" s="17" t="s">
        <v>151</v>
      </c>
      <c r="BA1455" s="17" t="s">
        <v>458</v>
      </c>
      <c r="BB1455" s="17" t="s">
        <v>109</v>
      </c>
      <c r="BP1455" s="17" t="s">
        <v>5197</v>
      </c>
      <c r="BR1455" s="24" t="str">
        <f t="shared" si="1"/>
        <v>Thinu ra mawa</v>
      </c>
    </row>
    <row r="1456" ht="22.5" customHeight="1">
      <c r="A1456" s="14">
        <v>46090.69040086806</v>
      </c>
      <c r="B1456" s="15">
        <v>46090.0</v>
      </c>
      <c r="C1456" s="16">
        <v>0.6458333333357587</v>
      </c>
      <c r="U1456" s="17" t="s">
        <v>5198</v>
      </c>
      <c r="V1456" s="17">
        <v>9.989016111E9</v>
      </c>
      <c r="W1456" s="17" t="s">
        <v>388</v>
      </c>
      <c r="AA1456" s="17" t="s">
        <v>109</v>
      </c>
      <c r="AT1456" s="17" t="s">
        <v>5199</v>
      </c>
      <c r="AU1456" s="17" t="s">
        <v>109</v>
      </c>
      <c r="AZ1456" s="17" t="s">
        <v>151</v>
      </c>
      <c r="BA1456" s="17" t="s">
        <v>458</v>
      </c>
      <c r="BB1456" s="17" t="s">
        <v>109</v>
      </c>
      <c r="BP1456" s="17" t="s">
        <v>5200</v>
      </c>
      <c r="BR1456" s="24" t="str">
        <f t="shared" si="1"/>
        <v>Golden toast bakery</v>
      </c>
    </row>
    <row r="1457" ht="22.5" customHeight="1">
      <c r="A1457" s="14">
        <v>46090.69207467593</v>
      </c>
      <c r="B1457" s="15">
        <v>46090.0</v>
      </c>
      <c r="C1457" s="16">
        <v>0.6659722222248092</v>
      </c>
      <c r="U1457" s="17" t="s">
        <v>5201</v>
      </c>
      <c r="V1457" s="17">
        <v>9.014794304E9</v>
      </c>
      <c r="W1457" s="17" t="s">
        <v>388</v>
      </c>
      <c r="AA1457" s="17" t="s">
        <v>109</v>
      </c>
      <c r="AT1457" s="17" t="s">
        <v>5202</v>
      </c>
      <c r="AU1457" s="17" t="s">
        <v>76</v>
      </c>
      <c r="AV1457" s="17" t="s">
        <v>271</v>
      </c>
      <c r="AX1457" s="15">
        <v>46091.0</v>
      </c>
      <c r="AZ1457" s="17" t="s">
        <v>151</v>
      </c>
      <c r="BA1457" s="17" t="s">
        <v>458</v>
      </c>
      <c r="BB1457" s="17" t="s">
        <v>109</v>
      </c>
      <c r="BP1457" s="17" t="s">
        <v>5203</v>
      </c>
      <c r="BR1457" s="24" t="str">
        <f t="shared" si="1"/>
        <v>Broast cafe</v>
      </c>
    </row>
    <row r="1458" ht="22.5" customHeight="1">
      <c r="A1458" s="14">
        <v>46090.69319822917</v>
      </c>
      <c r="B1458" s="15">
        <v>46090.0</v>
      </c>
      <c r="C1458" s="16">
        <v>0.6666666666642413</v>
      </c>
      <c r="U1458" s="17" t="s">
        <v>717</v>
      </c>
      <c r="V1458" s="17" t="s">
        <v>388</v>
      </c>
      <c r="W1458" s="17" t="s">
        <v>388</v>
      </c>
      <c r="AA1458" s="17" t="s">
        <v>109</v>
      </c>
      <c r="AT1458" s="17" t="s">
        <v>5204</v>
      </c>
      <c r="AU1458" s="17" t="s">
        <v>109</v>
      </c>
      <c r="AZ1458" s="17" t="s">
        <v>151</v>
      </c>
      <c r="BA1458" s="17" t="s">
        <v>458</v>
      </c>
      <c r="BB1458" s="17" t="s">
        <v>109</v>
      </c>
      <c r="BP1458" s="17" t="s">
        <v>5205</v>
      </c>
      <c r="BR1458" s="24" t="str">
        <f t="shared" si="1"/>
        <v>Balaji kitchens</v>
      </c>
    </row>
    <row r="1459" ht="22.5" customHeight="1">
      <c r="A1459" s="14">
        <v>46090.698348715276</v>
      </c>
      <c r="B1459" s="15">
        <v>46090.0</v>
      </c>
      <c r="C1459" s="16">
        <v>0.625</v>
      </c>
      <c r="D1459" s="17" t="s">
        <v>91</v>
      </c>
      <c r="F1459" s="17">
        <v>50.0</v>
      </c>
      <c r="G1459" s="17">
        <v>300.0</v>
      </c>
      <c r="H1459" s="17" t="s">
        <v>388</v>
      </c>
      <c r="I1459" s="17">
        <v>30000.0</v>
      </c>
      <c r="J1459" s="17" t="s">
        <v>94</v>
      </c>
      <c r="K1459" s="17" t="s">
        <v>95</v>
      </c>
      <c r="N1459" s="17">
        <v>1.0</v>
      </c>
      <c r="O1459" s="17" t="s">
        <v>96</v>
      </c>
      <c r="P1459" s="17" t="s">
        <v>109</v>
      </c>
      <c r="Q1459" s="17" t="s">
        <v>97</v>
      </c>
      <c r="R1459" s="17" t="s">
        <v>109</v>
      </c>
      <c r="S1459" s="18" t="s">
        <v>5206</v>
      </c>
      <c r="U1459" s="17" t="s">
        <v>5207</v>
      </c>
      <c r="V1459" s="17">
        <v>9.392583121E9</v>
      </c>
      <c r="W1459" s="17" t="s">
        <v>388</v>
      </c>
      <c r="AA1459" s="17" t="s">
        <v>76</v>
      </c>
      <c r="AB1459" s="17">
        <v>2.3625032008557E13</v>
      </c>
      <c r="AC1459" s="18" t="s">
        <v>5208</v>
      </c>
      <c r="AF1459" s="17" t="s">
        <v>5209</v>
      </c>
      <c r="AG1459" s="18" t="s">
        <v>5210</v>
      </c>
      <c r="AK1459" s="18" t="s">
        <v>5211</v>
      </c>
      <c r="AL1459" s="17">
        <v>2.0287776633E10</v>
      </c>
      <c r="AM1459" s="17" t="s">
        <v>5212</v>
      </c>
      <c r="AN1459" s="17" t="s">
        <v>5213</v>
      </c>
      <c r="AS1459" s="17" t="s">
        <v>76</v>
      </c>
      <c r="AT1459" s="17" t="s">
        <v>388</v>
      </c>
      <c r="AU1459" s="17" t="s">
        <v>109</v>
      </c>
      <c r="AZ1459" s="17" t="s">
        <v>151</v>
      </c>
      <c r="BA1459" s="17" t="s">
        <v>458</v>
      </c>
      <c r="BB1459" s="17" t="s">
        <v>76</v>
      </c>
      <c r="BH1459" s="17">
        <v>23.0</v>
      </c>
      <c r="BJ1459" s="16">
        <v>0.45833333333575865</v>
      </c>
      <c r="BK1459" s="16">
        <v>0.9993055555532919</v>
      </c>
      <c r="BM1459" s="17" t="s">
        <v>3609</v>
      </c>
      <c r="BN1459" s="17" t="s">
        <v>3062</v>
      </c>
      <c r="BP1459" s="17" t="s">
        <v>5214</v>
      </c>
      <c r="BR1459" s="24" t="str">
        <f t="shared" si="1"/>
        <v>Mathani Juice hub</v>
      </c>
    </row>
    <row r="1460" ht="22.5" customHeight="1">
      <c r="A1460" s="14">
        <v>46090.75031721065</v>
      </c>
      <c r="B1460" s="15">
        <v>46087.0</v>
      </c>
      <c r="C1460" s="16">
        <v>0.5368055555591127</v>
      </c>
      <c r="U1460" s="17" t="s">
        <v>4708</v>
      </c>
      <c r="V1460" s="17">
        <v>8.374165833E9</v>
      </c>
      <c r="W1460" s="17" t="s">
        <v>388</v>
      </c>
      <c r="AA1460" s="17" t="s">
        <v>109</v>
      </c>
      <c r="AT1460" s="17" t="s">
        <v>5215</v>
      </c>
      <c r="AU1460" s="17" t="s">
        <v>76</v>
      </c>
      <c r="AZ1460" s="17" t="s">
        <v>287</v>
      </c>
      <c r="BA1460" s="17" t="s">
        <v>458</v>
      </c>
      <c r="BB1460" s="17" t="s">
        <v>109</v>
      </c>
      <c r="BP1460" s="17" t="s">
        <v>5216</v>
      </c>
      <c r="BR1460" s="24" t="str">
        <f t="shared" si="1"/>
        <v>Poriginti Chapala Pulsu</v>
      </c>
    </row>
    <row r="1461" ht="22.5" customHeight="1">
      <c r="A1461" s="14">
        <v>46090.75118773148</v>
      </c>
      <c r="B1461" s="15">
        <v>46087.0</v>
      </c>
      <c r="C1461" s="16">
        <v>0.5500000000029104</v>
      </c>
      <c r="U1461" s="17" t="s">
        <v>388</v>
      </c>
      <c r="V1461" s="17">
        <v>7.981180887E9</v>
      </c>
      <c r="W1461" s="17" t="s">
        <v>388</v>
      </c>
      <c r="AA1461" s="17" t="s">
        <v>109</v>
      </c>
      <c r="AT1461" s="17" t="s">
        <v>5217</v>
      </c>
      <c r="AU1461" s="17" t="s">
        <v>76</v>
      </c>
      <c r="AV1461" s="17" t="s">
        <v>271</v>
      </c>
      <c r="AZ1461" s="17" t="s">
        <v>287</v>
      </c>
      <c r="BA1461" s="17" t="s">
        <v>458</v>
      </c>
      <c r="BB1461" s="17" t="s">
        <v>109</v>
      </c>
      <c r="BP1461" s="17" t="s">
        <v>5218</v>
      </c>
      <c r="BR1461" s="24" t="str">
        <f t="shared" si="1"/>
        <v>Pulao Kitchen com</v>
      </c>
    </row>
    <row r="1462" ht="22.5" customHeight="1">
      <c r="A1462" s="14">
        <v>46090.7539991088</v>
      </c>
      <c r="B1462" s="15">
        <v>46087.0</v>
      </c>
      <c r="C1462" s="16">
        <v>0.5833333333357587</v>
      </c>
      <c r="D1462" s="17" t="s">
        <v>111</v>
      </c>
      <c r="T1462" s="17" t="s">
        <v>3294</v>
      </c>
      <c r="U1462" s="17" t="s">
        <v>5219</v>
      </c>
      <c r="V1462" s="17">
        <v>9.949390399E9</v>
      </c>
      <c r="W1462" s="17" t="s">
        <v>388</v>
      </c>
      <c r="AA1462" s="17" t="s">
        <v>109</v>
      </c>
      <c r="AT1462" s="17" t="s">
        <v>111</v>
      </c>
      <c r="AU1462" s="17" t="s">
        <v>76</v>
      </c>
      <c r="AV1462" s="17" t="s">
        <v>271</v>
      </c>
      <c r="AZ1462" s="17" t="s">
        <v>287</v>
      </c>
      <c r="BA1462" s="17" t="s">
        <v>491</v>
      </c>
      <c r="BP1462" s="17" t="s">
        <v>3294</v>
      </c>
      <c r="BR1462" s="24" t="str">
        <f t="shared" si="1"/>
        <v>RokaliRokali</v>
      </c>
    </row>
    <row r="1463" ht="22.5" customHeight="1">
      <c r="A1463" s="14">
        <v>46090.874258819444</v>
      </c>
      <c r="B1463" s="15">
        <v>46087.0</v>
      </c>
      <c r="C1463" s="16">
        <v>0.5562500000014552</v>
      </c>
      <c r="U1463" s="17" t="s">
        <v>2999</v>
      </c>
      <c r="V1463" s="17">
        <v>9.705805877E9</v>
      </c>
      <c r="W1463" s="17" t="s">
        <v>113</v>
      </c>
      <c r="AA1463" s="17" t="s">
        <v>109</v>
      </c>
      <c r="AT1463" s="17" t="s">
        <v>5220</v>
      </c>
      <c r="AU1463" s="17" t="s">
        <v>76</v>
      </c>
      <c r="AZ1463" s="17" t="s">
        <v>287</v>
      </c>
      <c r="BA1463" s="17" t="s">
        <v>458</v>
      </c>
      <c r="BB1463" s="17" t="s">
        <v>109</v>
      </c>
      <c r="BP1463" s="17" t="s">
        <v>5221</v>
      </c>
      <c r="BR1463" s="24" t="str">
        <f t="shared" si="1"/>
        <v>Mandilicious</v>
      </c>
    </row>
    <row r="1464" ht="22.5" customHeight="1">
      <c r="A1464" s="14">
        <v>46090.87527334491</v>
      </c>
      <c r="B1464" s="15">
        <v>46087.0</v>
      </c>
      <c r="C1464" s="16">
        <v>0.5833333333357587</v>
      </c>
      <c r="U1464" s="17" t="s">
        <v>5222</v>
      </c>
      <c r="V1464" s="17">
        <v>9.390851792E9</v>
      </c>
      <c r="W1464" s="17" t="s">
        <v>113</v>
      </c>
      <c r="AA1464" s="17" t="s">
        <v>109</v>
      </c>
      <c r="AT1464" s="17" t="s">
        <v>111</v>
      </c>
      <c r="AU1464" s="17" t="s">
        <v>76</v>
      </c>
      <c r="AZ1464" s="17" t="s">
        <v>287</v>
      </c>
      <c r="BA1464" s="17" t="s">
        <v>458</v>
      </c>
      <c r="BB1464" s="17" t="s">
        <v>109</v>
      </c>
      <c r="BP1464" s="17" t="s">
        <v>5223</v>
      </c>
      <c r="BR1464" s="24" t="str">
        <f t="shared" si="1"/>
        <v>RK brundavan Food Court</v>
      </c>
    </row>
    <row r="1465" ht="22.5" customHeight="1">
      <c r="A1465" s="14">
        <v>46090.87634857639</v>
      </c>
      <c r="B1465" s="15">
        <v>46087.0</v>
      </c>
      <c r="C1465" s="16">
        <v>0.5916666666671517</v>
      </c>
      <c r="U1465" s="17" t="s">
        <v>2835</v>
      </c>
      <c r="V1465" s="17">
        <v>9.100692616E9</v>
      </c>
      <c r="W1465" s="17" t="s">
        <v>113</v>
      </c>
      <c r="AA1465" s="17" t="s">
        <v>109</v>
      </c>
      <c r="AT1465" s="17" t="s">
        <v>5224</v>
      </c>
      <c r="AU1465" s="17" t="s">
        <v>76</v>
      </c>
      <c r="AZ1465" s="17" t="s">
        <v>287</v>
      </c>
      <c r="BA1465" s="17" t="s">
        <v>458</v>
      </c>
      <c r="BB1465" s="17" t="s">
        <v>109</v>
      </c>
      <c r="BP1465" s="17" t="s">
        <v>5225</v>
      </c>
      <c r="BR1465" s="24" t="str">
        <f t="shared" si="1"/>
        <v>Sr Food Court</v>
      </c>
    </row>
    <row r="1466" ht="22.5" customHeight="1">
      <c r="A1466" s="14">
        <v>46090.87753885417</v>
      </c>
      <c r="B1466" s="15">
        <v>46087.0</v>
      </c>
      <c r="C1466" s="16">
        <v>0.5979166666656965</v>
      </c>
      <c r="U1466" s="17" t="s">
        <v>1107</v>
      </c>
      <c r="V1466" s="17">
        <v>9.666368516E9</v>
      </c>
      <c r="W1466" s="17" t="s">
        <v>113</v>
      </c>
      <c r="AA1466" s="17" t="s">
        <v>109</v>
      </c>
      <c r="AT1466" s="17" t="s">
        <v>5226</v>
      </c>
      <c r="AU1466" s="17" t="s">
        <v>76</v>
      </c>
      <c r="AZ1466" s="17" t="s">
        <v>287</v>
      </c>
      <c r="BA1466" s="17" t="s">
        <v>458</v>
      </c>
      <c r="BB1466" s="17" t="s">
        <v>109</v>
      </c>
      <c r="BP1466" s="17" t="s">
        <v>5227</v>
      </c>
      <c r="BR1466" s="24" t="str">
        <f t="shared" si="1"/>
        <v>Sri Tiffins And Meals</v>
      </c>
    </row>
    <row r="1467" ht="22.5" customHeight="1">
      <c r="A1467" s="14">
        <v>46090.87888423611</v>
      </c>
      <c r="B1467" s="15">
        <v>46087.0</v>
      </c>
      <c r="C1467" s="16">
        <v>0.6076388888905058</v>
      </c>
      <c r="U1467" s="17" t="s">
        <v>5228</v>
      </c>
      <c r="V1467" s="17">
        <v>9.505976437E9</v>
      </c>
      <c r="W1467" s="17" t="s">
        <v>113</v>
      </c>
      <c r="X1467" s="17" t="s">
        <v>5229</v>
      </c>
      <c r="Y1467" s="17">
        <v>9.502041334E9</v>
      </c>
      <c r="Z1467" s="17" t="s">
        <v>113</v>
      </c>
      <c r="AA1467" s="17" t="s">
        <v>109</v>
      </c>
      <c r="AT1467" s="17" t="s">
        <v>113</v>
      </c>
      <c r="AU1467" s="17" t="s">
        <v>76</v>
      </c>
      <c r="AV1467" s="17" t="s">
        <v>271</v>
      </c>
      <c r="AZ1467" s="17" t="s">
        <v>287</v>
      </c>
      <c r="BA1467" s="17" t="s">
        <v>458</v>
      </c>
      <c r="BB1467" s="17" t="s">
        <v>109</v>
      </c>
      <c r="BP1467" s="17" t="s">
        <v>5230</v>
      </c>
      <c r="BR1467" s="24" t="str">
        <f t="shared" si="1"/>
        <v>Cream Town</v>
      </c>
    </row>
    <row r="1468" ht="22.5" customHeight="1">
      <c r="A1468" s="14">
        <v>46090.88224431713</v>
      </c>
      <c r="B1468" s="15">
        <v>46087.0</v>
      </c>
      <c r="C1468" s="16">
        <v>0.7277777777781012</v>
      </c>
      <c r="D1468" s="17" t="s">
        <v>111</v>
      </c>
      <c r="T1468" s="17" t="s">
        <v>4745</v>
      </c>
      <c r="U1468" s="17" t="s">
        <v>2720</v>
      </c>
      <c r="V1468" s="17">
        <v>9.966887205E9</v>
      </c>
      <c r="W1468" s="17" t="s">
        <v>113</v>
      </c>
      <c r="AA1468" s="17" t="s">
        <v>76</v>
      </c>
      <c r="AC1468" s="18" t="s">
        <v>5231</v>
      </c>
      <c r="AG1468" s="18" t="s">
        <v>5232</v>
      </c>
      <c r="AK1468" s="18" t="s">
        <v>5233</v>
      </c>
      <c r="AS1468" s="17" t="s">
        <v>76</v>
      </c>
      <c r="AT1468" s="17" t="s">
        <v>388</v>
      </c>
      <c r="AU1468" s="17" t="s">
        <v>109</v>
      </c>
      <c r="AZ1468" s="17" t="s">
        <v>287</v>
      </c>
      <c r="BA1468" s="17" t="s">
        <v>458</v>
      </c>
      <c r="BB1468" s="17" t="s">
        <v>76</v>
      </c>
      <c r="BM1468" s="17" t="s">
        <v>4955</v>
      </c>
      <c r="BP1468" s="17" t="s">
        <v>4745</v>
      </c>
      <c r="BR1468" s="24" t="str">
        <f t="shared" si="1"/>
        <v>Aroma CafeAroma Cafe</v>
      </c>
    </row>
    <row r="1469" ht="22.5" customHeight="1">
      <c r="A1469" s="14">
        <v>46090.883158240744</v>
      </c>
      <c r="B1469" s="15">
        <v>46087.0</v>
      </c>
      <c r="C1469" s="16">
        <v>0.7680555555562023</v>
      </c>
      <c r="U1469" s="17" t="s">
        <v>952</v>
      </c>
      <c r="V1469" s="17">
        <v>9.700651582E9</v>
      </c>
      <c r="W1469" s="17" t="s">
        <v>113</v>
      </c>
      <c r="AA1469" s="17" t="s">
        <v>109</v>
      </c>
      <c r="AT1469" s="17" t="s">
        <v>113</v>
      </c>
      <c r="AU1469" s="17" t="s">
        <v>76</v>
      </c>
      <c r="AZ1469" s="17" t="s">
        <v>287</v>
      </c>
      <c r="BA1469" s="17" t="s">
        <v>458</v>
      </c>
      <c r="BB1469" s="17" t="s">
        <v>109</v>
      </c>
      <c r="BP1469" s="17" t="s">
        <v>5234</v>
      </c>
      <c r="BR1469" s="24" t="str">
        <f t="shared" si="1"/>
        <v>Ayan Foods</v>
      </c>
    </row>
    <row r="1470" ht="22.5" customHeight="1">
      <c r="A1470" s="14">
        <v>46090.885879884256</v>
      </c>
      <c r="B1470" s="15">
        <v>46090.0</v>
      </c>
      <c r="C1470" s="16">
        <v>0.5270833333343035</v>
      </c>
      <c r="U1470" s="17" t="s">
        <v>1333</v>
      </c>
      <c r="V1470" s="17">
        <v>7.671075758E9</v>
      </c>
      <c r="W1470" s="17" t="s">
        <v>113</v>
      </c>
      <c r="AA1470" s="17" t="s">
        <v>109</v>
      </c>
      <c r="AT1470" s="17" t="s">
        <v>113</v>
      </c>
      <c r="AU1470" s="17" t="s">
        <v>76</v>
      </c>
      <c r="AV1470" s="17" t="s">
        <v>271</v>
      </c>
      <c r="AZ1470" s="17" t="s">
        <v>287</v>
      </c>
      <c r="BA1470" s="17" t="s">
        <v>458</v>
      </c>
      <c r="BB1470" s="17" t="s">
        <v>109</v>
      </c>
      <c r="BP1470" s="17" t="s">
        <v>5235</v>
      </c>
      <c r="BR1470" s="24" t="str">
        <f t="shared" si="1"/>
        <v>Prasthista Food Court</v>
      </c>
    </row>
    <row r="1471" ht="22.5" customHeight="1">
      <c r="A1471" s="14">
        <v>46090.890452465275</v>
      </c>
      <c r="B1471" s="15">
        <v>46090.0</v>
      </c>
      <c r="C1471" s="16">
        <v>0.6979166666642413</v>
      </c>
      <c r="D1471" s="17" t="s">
        <v>111</v>
      </c>
      <c r="T1471" s="17" t="s">
        <v>4958</v>
      </c>
      <c r="U1471" s="17" t="s">
        <v>4865</v>
      </c>
      <c r="V1471" s="17">
        <v>8.125638358E9</v>
      </c>
      <c r="W1471" s="17" t="s">
        <v>113</v>
      </c>
      <c r="AA1471" s="17" t="s">
        <v>76</v>
      </c>
      <c r="AC1471" s="18" t="s">
        <v>5236</v>
      </c>
      <c r="AE1471" s="18" t="s">
        <v>5237</v>
      </c>
      <c r="AG1471" s="18" t="s">
        <v>5238</v>
      </c>
      <c r="AK1471" s="18" t="s">
        <v>5239</v>
      </c>
      <c r="AS1471" s="17" t="s">
        <v>76</v>
      </c>
      <c r="AT1471" s="17" t="s">
        <v>113</v>
      </c>
      <c r="AU1471" s="17" t="s">
        <v>109</v>
      </c>
      <c r="AZ1471" s="17" t="s">
        <v>287</v>
      </c>
      <c r="BA1471" s="17" t="s">
        <v>458</v>
      </c>
      <c r="BB1471" s="17" t="s">
        <v>76</v>
      </c>
      <c r="BM1471" s="17" t="s">
        <v>978</v>
      </c>
      <c r="BP1471" s="17" t="s">
        <v>4958</v>
      </c>
      <c r="BR1471" s="24" t="str">
        <f t="shared" si="1"/>
        <v>Kolkata Food PlazaKolkata Food Plaza</v>
      </c>
    </row>
    <row r="1472" ht="22.5" customHeight="1">
      <c r="A1472" s="14">
        <v>46090.89125126158</v>
      </c>
      <c r="B1472" s="15">
        <v>46090.0</v>
      </c>
      <c r="C1472" s="16">
        <v>0.7118055555547471</v>
      </c>
      <c r="U1472" s="17" t="s">
        <v>113</v>
      </c>
      <c r="V1472" s="17">
        <v>0.0</v>
      </c>
      <c r="W1472" s="17" t="s">
        <v>113</v>
      </c>
      <c r="AA1472" s="17" t="s">
        <v>109</v>
      </c>
      <c r="AT1472" s="17" t="s">
        <v>5240</v>
      </c>
      <c r="AU1472" s="17" t="s">
        <v>109</v>
      </c>
      <c r="AZ1472" s="17" t="s">
        <v>287</v>
      </c>
      <c r="BA1472" s="17" t="s">
        <v>458</v>
      </c>
      <c r="BB1472" s="17" t="s">
        <v>109</v>
      </c>
      <c r="BP1472" s="17" t="s">
        <v>5241</v>
      </c>
      <c r="BR1472" s="24" t="str">
        <f t="shared" si="1"/>
        <v>Ganesh Foods</v>
      </c>
    </row>
    <row r="1473" ht="22.5" customHeight="1">
      <c r="A1473" s="14">
        <v>46090.89225935185</v>
      </c>
      <c r="B1473" s="15">
        <v>46090.0</v>
      </c>
      <c r="C1473" s="16">
        <v>0.7229166666656965</v>
      </c>
      <c r="U1473" s="17" t="s">
        <v>5242</v>
      </c>
      <c r="V1473" s="17">
        <v>9.948711846E9</v>
      </c>
      <c r="W1473" s="17" t="s">
        <v>113</v>
      </c>
      <c r="AA1473" s="17" t="s">
        <v>109</v>
      </c>
      <c r="AT1473" s="17" t="s">
        <v>753</v>
      </c>
      <c r="AU1473" s="17" t="s">
        <v>76</v>
      </c>
      <c r="AZ1473" s="17" t="s">
        <v>287</v>
      </c>
      <c r="BA1473" s="17" t="s">
        <v>458</v>
      </c>
      <c r="BB1473" s="17" t="s">
        <v>109</v>
      </c>
      <c r="BP1473" s="17" t="s">
        <v>5243</v>
      </c>
      <c r="BR1473" s="24" t="str">
        <f t="shared" si="1"/>
        <v>Abhiruchi</v>
      </c>
    </row>
    <row r="1474" ht="22.5" customHeight="1">
      <c r="A1474" s="14">
        <v>46090.89354619213</v>
      </c>
      <c r="B1474" s="15">
        <v>46090.0</v>
      </c>
      <c r="C1474" s="16">
        <v>0.7284722222248092</v>
      </c>
      <c r="U1474" s="17" t="s">
        <v>5244</v>
      </c>
      <c r="V1474" s="17">
        <v>9.121417638E9</v>
      </c>
      <c r="W1474" s="17" t="s">
        <v>113</v>
      </c>
      <c r="AA1474" s="17" t="s">
        <v>109</v>
      </c>
      <c r="AT1474" s="17" t="s">
        <v>5245</v>
      </c>
      <c r="AU1474" s="17" t="s">
        <v>76</v>
      </c>
      <c r="AZ1474" s="17" t="s">
        <v>287</v>
      </c>
      <c r="BA1474" s="17" t="s">
        <v>458</v>
      </c>
      <c r="BB1474" s="17" t="s">
        <v>109</v>
      </c>
      <c r="BP1474" s="17" t="s">
        <v>5246</v>
      </c>
      <c r="BR1474" s="24" t="str">
        <f t="shared" si="1"/>
        <v>Moksh Food Corner</v>
      </c>
    </row>
    <row r="1475" ht="22.5" customHeight="1">
      <c r="A1475" s="14">
        <v>46090.910471944444</v>
      </c>
      <c r="B1475" s="15">
        <v>46084.0</v>
      </c>
      <c r="C1475" s="16">
        <v>0.53125</v>
      </c>
      <c r="D1475" s="17" t="s">
        <v>91</v>
      </c>
      <c r="F1475" s="17">
        <v>80.0</v>
      </c>
      <c r="G1475" s="17">
        <v>300.0</v>
      </c>
      <c r="H1475" s="17" t="s">
        <v>117</v>
      </c>
      <c r="J1475" s="17" t="s">
        <v>94</v>
      </c>
      <c r="K1475" s="17" t="s">
        <v>134</v>
      </c>
      <c r="M1475" s="17">
        <v>18.0</v>
      </c>
      <c r="N1475" s="17">
        <v>1.0</v>
      </c>
      <c r="O1475" s="17" t="s">
        <v>96</v>
      </c>
      <c r="P1475" s="17" t="s">
        <v>76</v>
      </c>
      <c r="Q1475" s="17" t="s">
        <v>97</v>
      </c>
      <c r="R1475" s="17" t="s">
        <v>109</v>
      </c>
      <c r="S1475" s="18" t="s">
        <v>5247</v>
      </c>
      <c r="U1475" s="17" t="s">
        <v>5248</v>
      </c>
      <c r="V1475" s="17">
        <v>9.000200207E9</v>
      </c>
      <c r="W1475" s="17" t="s">
        <v>5249</v>
      </c>
      <c r="AA1475" s="17" t="s">
        <v>76</v>
      </c>
      <c r="AB1475" s="17">
        <v>2.3625030002496E13</v>
      </c>
      <c r="AC1475" s="18" t="s">
        <v>5250</v>
      </c>
      <c r="AD1475" s="17" t="s">
        <v>5251</v>
      </c>
      <c r="AE1475" s="18" t="s">
        <v>5252</v>
      </c>
      <c r="AF1475" s="17" t="s">
        <v>5253</v>
      </c>
      <c r="AG1475" s="18" t="s">
        <v>5254</v>
      </c>
      <c r="AH1475" s="17" t="s">
        <v>117</v>
      </c>
      <c r="AK1475" s="18" t="s">
        <v>5255</v>
      </c>
      <c r="AL1475" s="17">
        <v>4.4167291537E10</v>
      </c>
      <c r="AM1475" s="17" t="s">
        <v>5256</v>
      </c>
      <c r="AN1475" s="17" t="s">
        <v>5257</v>
      </c>
      <c r="AO1475" s="17" t="s">
        <v>5258</v>
      </c>
      <c r="AP1475" s="17">
        <v>8.142006008E9</v>
      </c>
      <c r="AR1475" s="17" t="s">
        <v>5259</v>
      </c>
      <c r="AS1475" s="17" t="s">
        <v>76</v>
      </c>
      <c r="AT1475" s="17" t="s">
        <v>5260</v>
      </c>
      <c r="AU1475" s="17" t="s">
        <v>109</v>
      </c>
      <c r="AZ1475" s="17" t="s">
        <v>3034</v>
      </c>
      <c r="BA1475" s="17" t="s">
        <v>458</v>
      </c>
      <c r="BB1475" s="17" t="s">
        <v>76</v>
      </c>
      <c r="BH1475" s="17">
        <v>18.0</v>
      </c>
      <c r="BI1475" s="17" t="s">
        <v>109</v>
      </c>
      <c r="BJ1475" s="16">
        <v>0.47916666666424135</v>
      </c>
      <c r="BK1475" s="16">
        <v>0.47916666666424135</v>
      </c>
      <c r="BM1475" s="17" t="s">
        <v>5261</v>
      </c>
      <c r="BN1475" s="17" t="s">
        <v>4226</v>
      </c>
      <c r="BP1475" s="17" t="s">
        <v>5262</v>
      </c>
      <c r="BR1475" s="24" t="str">
        <f t="shared" si="1"/>
        <v>Sri Vengamamba Deluxe Mess</v>
      </c>
    </row>
    <row r="1476" ht="22.5" customHeight="1">
      <c r="A1476" s="14">
        <v>46090.91452498843</v>
      </c>
      <c r="B1476" s="15">
        <v>46084.0</v>
      </c>
      <c r="C1476" s="16">
        <v>0.53125</v>
      </c>
      <c r="D1476" s="17" t="s">
        <v>91</v>
      </c>
      <c r="F1476" s="17">
        <v>80.0</v>
      </c>
      <c r="G1476" s="17">
        <v>300.0</v>
      </c>
      <c r="H1476" s="17" t="s">
        <v>113</v>
      </c>
      <c r="J1476" s="17" t="s">
        <v>94</v>
      </c>
      <c r="N1476" s="17">
        <v>1.0</v>
      </c>
      <c r="O1476" s="17" t="s">
        <v>96</v>
      </c>
      <c r="P1476" s="17" t="s">
        <v>76</v>
      </c>
      <c r="Q1476" s="17" t="s">
        <v>97</v>
      </c>
      <c r="R1476" s="17" t="s">
        <v>109</v>
      </c>
      <c r="S1476" s="17" t="s">
        <v>113</v>
      </c>
      <c r="U1476" s="17" t="s">
        <v>5263</v>
      </c>
      <c r="V1476" s="17">
        <v>9.000200207E9</v>
      </c>
      <c r="W1476" s="17" t="s">
        <v>5249</v>
      </c>
      <c r="AA1476" s="17" t="s">
        <v>76</v>
      </c>
      <c r="AB1476" s="17">
        <v>2.3625030002496E13</v>
      </c>
      <c r="AC1476" s="18" t="s">
        <v>5264</v>
      </c>
      <c r="AD1476" s="17" t="s">
        <v>5251</v>
      </c>
      <c r="AE1476" s="18" t="s">
        <v>5265</v>
      </c>
      <c r="AF1476" s="17" t="s">
        <v>5253</v>
      </c>
      <c r="AG1476" s="18" t="s">
        <v>5266</v>
      </c>
      <c r="AH1476" s="17" t="s">
        <v>117</v>
      </c>
      <c r="AK1476" s="18" t="s">
        <v>5267</v>
      </c>
      <c r="AS1476" s="17" t="s">
        <v>76</v>
      </c>
      <c r="AT1476" s="17" t="s">
        <v>5268</v>
      </c>
      <c r="AU1476" s="17" t="s">
        <v>109</v>
      </c>
      <c r="AZ1476" s="17" t="s">
        <v>3034</v>
      </c>
      <c r="BA1476" s="17" t="s">
        <v>458</v>
      </c>
      <c r="BB1476" s="17" t="s">
        <v>76</v>
      </c>
      <c r="BH1476" s="17">
        <v>18.0</v>
      </c>
      <c r="BI1476" s="17" t="s">
        <v>109</v>
      </c>
      <c r="BM1476" s="17" t="s">
        <v>5261</v>
      </c>
      <c r="BN1476" s="17" t="s">
        <v>5269</v>
      </c>
      <c r="BP1476" s="17" t="s">
        <v>5270</v>
      </c>
      <c r="BR1476" s="24" t="str">
        <f t="shared" si="1"/>
        <v>Sri vengamamba Tiffins</v>
      </c>
    </row>
    <row r="1477" ht="22.5" customHeight="1">
      <c r="A1477" s="14">
        <v>46090.91937944444</v>
      </c>
      <c r="B1477" s="15">
        <v>46090.0</v>
      </c>
      <c r="C1477" s="16">
        <v>0.14583333333575865</v>
      </c>
      <c r="D1477" s="17" t="s">
        <v>91</v>
      </c>
      <c r="F1477" s="17">
        <v>40.0</v>
      </c>
      <c r="G1477" s="17">
        <v>300.0</v>
      </c>
      <c r="H1477" s="17" t="s">
        <v>113</v>
      </c>
      <c r="J1477" s="17" t="s">
        <v>94</v>
      </c>
      <c r="K1477" s="17" t="s">
        <v>134</v>
      </c>
      <c r="M1477" s="17">
        <v>20.0</v>
      </c>
      <c r="N1477" s="17">
        <v>1.0</v>
      </c>
      <c r="O1477" s="17" t="s">
        <v>96</v>
      </c>
      <c r="P1477" s="17" t="s">
        <v>109</v>
      </c>
      <c r="Q1477" s="17" t="s">
        <v>97</v>
      </c>
      <c r="R1477" s="17" t="s">
        <v>109</v>
      </c>
      <c r="S1477" s="18" t="s">
        <v>5271</v>
      </c>
      <c r="U1477" s="17" t="s">
        <v>5272</v>
      </c>
      <c r="V1477" s="17">
        <v>9.353196139E9</v>
      </c>
      <c r="W1477" s="17" t="s">
        <v>5273</v>
      </c>
      <c r="AA1477" s="17" t="s">
        <v>76</v>
      </c>
      <c r="AB1477" s="17">
        <v>2.3625032007391E13</v>
      </c>
      <c r="AC1477" s="18" t="s">
        <v>5274</v>
      </c>
      <c r="AD1477" s="17" t="s">
        <v>113</v>
      </c>
      <c r="AF1477" s="17" t="s">
        <v>5275</v>
      </c>
      <c r="AG1477" s="18" t="s">
        <v>5276</v>
      </c>
      <c r="AK1477" s="18" t="s">
        <v>5277</v>
      </c>
      <c r="AS1477" s="17" t="s">
        <v>76</v>
      </c>
      <c r="AT1477" s="17" t="s">
        <v>5268</v>
      </c>
      <c r="AU1477" s="17" t="s">
        <v>109</v>
      </c>
      <c r="AZ1477" s="17" t="s">
        <v>3034</v>
      </c>
      <c r="BA1477" s="17" t="s">
        <v>458</v>
      </c>
      <c r="BB1477" s="17" t="s">
        <v>76</v>
      </c>
      <c r="BH1477" s="17">
        <v>20.0</v>
      </c>
      <c r="BI1477" s="17" t="s">
        <v>109</v>
      </c>
      <c r="BJ1477" s="16">
        <v>0.125</v>
      </c>
      <c r="BK1477" s="16">
        <v>0.5</v>
      </c>
      <c r="BM1477" s="17" t="s">
        <v>5278</v>
      </c>
      <c r="BN1477" s="17" t="s">
        <v>1088</v>
      </c>
      <c r="BP1477" s="17" t="s">
        <v>1767</v>
      </c>
      <c r="BR1477" s="24" t="str">
        <f t="shared" si="1"/>
        <v>Qubz</v>
      </c>
    </row>
    <row r="1478" ht="22.5" customHeight="1">
      <c r="A1478" s="14">
        <v>46090.92370788194</v>
      </c>
      <c r="B1478" s="15">
        <v>46084.0</v>
      </c>
      <c r="C1478" s="16">
        <v>0.53125</v>
      </c>
      <c r="D1478" s="17" t="s">
        <v>91</v>
      </c>
      <c r="F1478" s="17">
        <v>80.0</v>
      </c>
      <c r="G1478" s="17">
        <v>300.0</v>
      </c>
      <c r="H1478" s="17" t="s">
        <v>113</v>
      </c>
      <c r="J1478" s="17" t="s">
        <v>94</v>
      </c>
      <c r="K1478" s="17" t="s">
        <v>134</v>
      </c>
      <c r="N1478" s="17">
        <v>1.0</v>
      </c>
      <c r="O1478" s="17" t="s">
        <v>96</v>
      </c>
      <c r="P1478" s="17" t="s">
        <v>76</v>
      </c>
      <c r="Q1478" s="17" t="s">
        <v>97</v>
      </c>
      <c r="R1478" s="17" t="s">
        <v>109</v>
      </c>
      <c r="S1478" s="17" t="s">
        <v>113</v>
      </c>
      <c r="U1478" s="17" t="s">
        <v>5279</v>
      </c>
      <c r="V1478" s="17">
        <v>9.000200207E9</v>
      </c>
      <c r="W1478" s="17" t="s">
        <v>5280</v>
      </c>
      <c r="AA1478" s="17" t="s">
        <v>76</v>
      </c>
      <c r="AB1478" s="17">
        <v>2.3625030002496E13</v>
      </c>
      <c r="AC1478" s="18" t="s">
        <v>5281</v>
      </c>
      <c r="AD1478" s="17">
        <v>2.3625030002496E13</v>
      </c>
      <c r="AE1478" s="18" t="s">
        <v>5282</v>
      </c>
      <c r="AF1478" s="17" t="s">
        <v>5253</v>
      </c>
      <c r="AG1478" s="18" t="s">
        <v>5283</v>
      </c>
      <c r="AH1478" s="17" t="s">
        <v>117</v>
      </c>
      <c r="AS1478" s="17" t="s">
        <v>76</v>
      </c>
      <c r="AT1478" s="17" t="s">
        <v>5268</v>
      </c>
      <c r="AU1478" s="17" t="s">
        <v>109</v>
      </c>
      <c r="AZ1478" s="17" t="s">
        <v>3034</v>
      </c>
      <c r="BA1478" s="17" t="s">
        <v>458</v>
      </c>
      <c r="BB1478" s="17" t="s">
        <v>76</v>
      </c>
      <c r="BH1478" s="17">
        <v>18.0</v>
      </c>
      <c r="BI1478" s="17" t="s">
        <v>109</v>
      </c>
      <c r="BM1478" s="17" t="s">
        <v>5261</v>
      </c>
      <c r="BN1478" s="17" t="s">
        <v>4226</v>
      </c>
      <c r="BP1478" s="17" t="s">
        <v>5284</v>
      </c>
      <c r="BR1478" s="24" t="str">
        <f t="shared" si="1"/>
        <v>Sri vengamamba Chinese Foods</v>
      </c>
    </row>
    <row r="1479" ht="22.5" customHeight="1">
      <c r="A1479" s="14">
        <v>46090.95306494213</v>
      </c>
      <c r="B1479" s="15">
        <v>46090.0</v>
      </c>
      <c r="C1479" s="16">
        <v>0.7562499999985448</v>
      </c>
      <c r="U1479" s="17" t="s">
        <v>5285</v>
      </c>
      <c r="V1479" s="17">
        <v>6.305311698E9</v>
      </c>
      <c r="W1479" s="17" t="s">
        <v>113</v>
      </c>
      <c r="AA1479" s="17" t="s">
        <v>109</v>
      </c>
      <c r="AT1479" s="17" t="s">
        <v>5286</v>
      </c>
      <c r="AU1479" s="17" t="s">
        <v>76</v>
      </c>
      <c r="AV1479" s="17" t="s">
        <v>271</v>
      </c>
      <c r="AX1479" s="15">
        <v>46093.0</v>
      </c>
      <c r="AY1479" s="16">
        <v>0.45833333333575865</v>
      </c>
      <c r="AZ1479" s="17" t="s">
        <v>3034</v>
      </c>
      <c r="BA1479" s="17" t="s">
        <v>458</v>
      </c>
      <c r="BB1479" s="17" t="s">
        <v>109</v>
      </c>
      <c r="BP1479" s="17" t="s">
        <v>5287</v>
      </c>
      <c r="BR1479" s="24" t="str">
        <f t="shared" si="1"/>
        <v>Apsara Badam Milk</v>
      </c>
    </row>
    <row r="1480" ht="22.5" customHeight="1">
      <c r="A1480" s="14">
        <v>46090.954818495375</v>
      </c>
      <c r="B1480" s="15">
        <v>46090.0</v>
      </c>
      <c r="C1480" s="16">
        <v>0.7520833333328483</v>
      </c>
      <c r="U1480" s="17" t="s">
        <v>5288</v>
      </c>
      <c r="V1480" s="17">
        <v>8.897575075E9</v>
      </c>
      <c r="W1480" s="17" t="s">
        <v>5289</v>
      </c>
      <c r="AA1480" s="17" t="s">
        <v>109</v>
      </c>
      <c r="AT1480" s="17" t="s">
        <v>5290</v>
      </c>
      <c r="AU1480" s="17" t="s">
        <v>109</v>
      </c>
      <c r="AV1480" s="17" t="s">
        <v>271</v>
      </c>
      <c r="AX1480" s="15">
        <v>46094.0</v>
      </c>
      <c r="AY1480" s="16">
        <v>0.45833333333575865</v>
      </c>
      <c r="AZ1480" s="17" t="s">
        <v>3034</v>
      </c>
      <c r="BA1480" s="17" t="s">
        <v>458</v>
      </c>
      <c r="BB1480" s="17" t="s">
        <v>109</v>
      </c>
      <c r="BP1480" s="17" t="s">
        <v>5291</v>
      </c>
      <c r="BR1480" s="24" t="str">
        <f t="shared" si="1"/>
        <v>Lickees</v>
      </c>
    </row>
    <row r="1481" ht="22.5" customHeight="1">
      <c r="A1481" s="14">
        <v>46090.95596898148</v>
      </c>
      <c r="B1481" s="15">
        <v>46090.0</v>
      </c>
      <c r="C1481" s="16">
        <v>0.6041666666642413</v>
      </c>
      <c r="U1481" s="17" t="s">
        <v>3862</v>
      </c>
      <c r="V1481" s="17">
        <v>9.230997403E9</v>
      </c>
      <c r="W1481" s="17" t="s">
        <v>113</v>
      </c>
      <c r="AA1481" s="17" t="s">
        <v>109</v>
      </c>
      <c r="AT1481" s="17" t="s">
        <v>5292</v>
      </c>
      <c r="AU1481" s="17" t="s">
        <v>76</v>
      </c>
      <c r="AV1481" s="17" t="s">
        <v>271</v>
      </c>
      <c r="AZ1481" s="17" t="s">
        <v>3034</v>
      </c>
      <c r="BA1481" s="17" t="s">
        <v>458</v>
      </c>
      <c r="BB1481" s="17" t="s">
        <v>109</v>
      </c>
      <c r="BP1481" s="17" t="s">
        <v>5293</v>
      </c>
      <c r="BR1481" s="24" t="str">
        <f t="shared" si="1"/>
        <v>Chowman</v>
      </c>
    </row>
    <row r="1482" ht="22.5" customHeight="1">
      <c r="A1482" s="14">
        <v>46090.9570112963</v>
      </c>
      <c r="B1482" s="15">
        <v>46090.0</v>
      </c>
      <c r="C1482" s="16">
        <v>0.6437500000029104</v>
      </c>
      <c r="U1482" s="17" t="s">
        <v>5294</v>
      </c>
      <c r="V1482" s="17">
        <v>9.90370419E9</v>
      </c>
      <c r="W1482" s="17" t="s">
        <v>113</v>
      </c>
      <c r="AA1482" s="17" t="s">
        <v>109</v>
      </c>
      <c r="AT1482" s="17" t="s">
        <v>5295</v>
      </c>
      <c r="AU1482" s="17" t="s">
        <v>76</v>
      </c>
      <c r="AV1482" s="17" t="s">
        <v>271</v>
      </c>
      <c r="AZ1482" s="17" t="s">
        <v>3034</v>
      </c>
      <c r="BA1482" s="17" t="s">
        <v>458</v>
      </c>
      <c r="BB1482" s="17" t="s">
        <v>109</v>
      </c>
      <c r="BP1482" s="17" t="s">
        <v>5296</v>
      </c>
      <c r="BR1482" s="24" t="str">
        <f t="shared" si="1"/>
        <v>Chowman - Madhapur</v>
      </c>
    </row>
    <row r="1483" ht="22.5" customHeight="1">
      <c r="A1483" s="14">
        <v>46090.95831805556</v>
      </c>
      <c r="B1483" s="15">
        <v>46090.0</v>
      </c>
      <c r="C1483" s="16">
        <v>0.5333333333328483</v>
      </c>
      <c r="U1483" s="17" t="s">
        <v>5297</v>
      </c>
      <c r="V1483" s="17">
        <v>8.686506624E9</v>
      </c>
      <c r="W1483" s="17" t="s">
        <v>113</v>
      </c>
      <c r="AA1483" s="17" t="s">
        <v>109</v>
      </c>
      <c r="AT1483" s="17" t="s">
        <v>5298</v>
      </c>
      <c r="AU1483" s="17" t="s">
        <v>109</v>
      </c>
      <c r="AV1483" s="17" t="s">
        <v>181</v>
      </c>
      <c r="AZ1483" s="17" t="s">
        <v>3034</v>
      </c>
      <c r="BA1483" s="17" t="s">
        <v>458</v>
      </c>
      <c r="BB1483" s="17" t="s">
        <v>109</v>
      </c>
      <c r="BP1483" s="17" t="s">
        <v>5299</v>
      </c>
      <c r="BR1483" s="24" t="str">
        <f t="shared" si="1"/>
        <v>Hotel Yousufain Kalyani</v>
      </c>
    </row>
    <row r="1484" ht="22.5" customHeight="1">
      <c r="A1484" s="14">
        <v>46090.95992976852</v>
      </c>
      <c r="B1484" s="15">
        <v>46090.0</v>
      </c>
      <c r="C1484" s="16">
        <v>0.53125</v>
      </c>
      <c r="U1484" s="17" t="s">
        <v>1154</v>
      </c>
      <c r="V1484" s="17">
        <v>8.688077052E9</v>
      </c>
      <c r="W1484" s="17" t="s">
        <v>113</v>
      </c>
      <c r="AA1484" s="17" t="s">
        <v>109</v>
      </c>
      <c r="AT1484" s="17" t="s">
        <v>5300</v>
      </c>
      <c r="AU1484" s="17" t="s">
        <v>76</v>
      </c>
      <c r="AV1484" s="17" t="s">
        <v>373</v>
      </c>
      <c r="AZ1484" s="17" t="s">
        <v>3034</v>
      </c>
      <c r="BA1484" s="17" t="s">
        <v>458</v>
      </c>
      <c r="BB1484" s="17" t="s">
        <v>109</v>
      </c>
      <c r="BP1484" s="17" t="s">
        <v>5301</v>
      </c>
      <c r="BR1484" s="24" t="str">
        <f t="shared" si="1"/>
        <v>Zamindar's Cafe</v>
      </c>
    </row>
    <row r="1485" ht="22.5" customHeight="1">
      <c r="A1485" s="14">
        <v>46090.9620407176</v>
      </c>
      <c r="B1485" s="15">
        <v>46090.0</v>
      </c>
      <c r="C1485" s="16">
        <v>0.5416666666642413</v>
      </c>
      <c r="U1485" s="17" t="s">
        <v>2747</v>
      </c>
      <c r="V1485" s="17">
        <v>9.44004922E9</v>
      </c>
      <c r="W1485" s="17" t="s">
        <v>113</v>
      </c>
      <c r="AA1485" s="17" t="s">
        <v>109</v>
      </c>
      <c r="AT1485" s="17" t="s">
        <v>5302</v>
      </c>
      <c r="AU1485" s="17" t="s">
        <v>76</v>
      </c>
      <c r="AV1485" s="17" t="s">
        <v>5302</v>
      </c>
      <c r="AZ1485" s="17" t="s">
        <v>3034</v>
      </c>
      <c r="BA1485" s="17" t="s">
        <v>458</v>
      </c>
      <c r="BB1485" s="17" t="s">
        <v>109</v>
      </c>
      <c r="BP1485" s="17" t="s">
        <v>5303</v>
      </c>
      <c r="BR1485" s="24" t="str">
        <f t="shared" si="1"/>
        <v>Chickpet Donne Biryani House</v>
      </c>
    </row>
    <row r="1486" ht="22.5" customHeight="1">
      <c r="A1486" s="14">
        <v>46091.491327627315</v>
      </c>
      <c r="B1486" s="15">
        <v>46091.0</v>
      </c>
      <c r="C1486" s="16">
        <v>0.47916666666424135</v>
      </c>
      <c r="D1486" s="17" t="s">
        <v>91</v>
      </c>
      <c r="F1486" s="17">
        <v>80.0</v>
      </c>
      <c r="G1486" s="17">
        <v>400.0</v>
      </c>
      <c r="H1486" s="17" t="s">
        <v>388</v>
      </c>
      <c r="J1486" s="17" t="s">
        <v>167</v>
      </c>
      <c r="N1486" s="17">
        <v>10.0</v>
      </c>
      <c r="O1486" s="17" t="s">
        <v>388</v>
      </c>
      <c r="P1486" s="17" t="s">
        <v>76</v>
      </c>
      <c r="Q1486" s="17" t="s">
        <v>97</v>
      </c>
      <c r="R1486" s="17" t="s">
        <v>76</v>
      </c>
      <c r="S1486" s="17" t="s">
        <v>388</v>
      </c>
      <c r="U1486" s="17" t="s">
        <v>5304</v>
      </c>
      <c r="V1486" s="17">
        <v>9.949391723E9</v>
      </c>
      <c r="W1486" s="17" t="s">
        <v>5305</v>
      </c>
      <c r="AA1486" s="17" t="s">
        <v>109</v>
      </c>
      <c r="AT1486" s="17" t="s">
        <v>5306</v>
      </c>
      <c r="AU1486" s="17" t="s">
        <v>76</v>
      </c>
      <c r="AZ1486" s="17" t="s">
        <v>243</v>
      </c>
      <c r="BA1486" s="17" t="s">
        <v>458</v>
      </c>
      <c r="BB1486" s="17" t="s">
        <v>76</v>
      </c>
      <c r="BN1486" s="17" t="s">
        <v>5269</v>
      </c>
      <c r="BP1486" s="17" t="s">
        <v>5307</v>
      </c>
      <c r="BR1486" s="24" t="str">
        <f t="shared" si="1"/>
        <v>Chutneys </v>
      </c>
    </row>
    <row r="1487" ht="22.5" customHeight="1">
      <c r="A1487" s="14">
        <v>46091.49288203704</v>
      </c>
      <c r="B1487" s="15">
        <v>46091.0</v>
      </c>
      <c r="C1487" s="16">
        <v>0.4916666666686069</v>
      </c>
      <c r="U1487" s="17" t="s">
        <v>5229</v>
      </c>
      <c r="V1487" s="17">
        <v>8.688820076E9</v>
      </c>
      <c r="W1487" s="17" t="s">
        <v>388</v>
      </c>
      <c r="AA1487" s="17" t="s">
        <v>109</v>
      </c>
      <c r="AT1487" s="17" t="s">
        <v>5308</v>
      </c>
      <c r="AU1487" s="17" t="s">
        <v>76</v>
      </c>
      <c r="AZ1487" s="17" t="s">
        <v>243</v>
      </c>
      <c r="BA1487" s="17" t="s">
        <v>458</v>
      </c>
      <c r="BB1487" s="17" t="s">
        <v>109</v>
      </c>
      <c r="BP1487" s="17" t="s">
        <v>5309</v>
      </c>
      <c r="BR1487" s="24" t="str">
        <f t="shared" si="1"/>
        <v>Goorang kitchen </v>
      </c>
    </row>
    <row r="1488" ht="22.5" customHeight="1">
      <c r="A1488" s="14">
        <v>46091.50772929398</v>
      </c>
      <c r="B1488" s="15">
        <v>46091.0</v>
      </c>
      <c r="C1488" s="16">
        <v>0.4944444444408873</v>
      </c>
      <c r="U1488" s="17" t="s">
        <v>5310</v>
      </c>
      <c r="V1488" s="17">
        <v>7.675017029E9</v>
      </c>
      <c r="W1488" s="17" t="s">
        <v>388</v>
      </c>
      <c r="AA1488" s="17" t="s">
        <v>109</v>
      </c>
      <c r="AT1488" s="17" t="s">
        <v>5311</v>
      </c>
      <c r="AU1488" s="17" t="s">
        <v>76</v>
      </c>
      <c r="AZ1488" s="17" t="s">
        <v>243</v>
      </c>
      <c r="BA1488" s="17" t="s">
        <v>458</v>
      </c>
      <c r="BB1488" s="17" t="s">
        <v>109</v>
      </c>
      <c r="BP1488" s="17" t="s">
        <v>5312</v>
      </c>
      <c r="BR1488" s="24" t="str">
        <f t="shared" si="1"/>
        <v>Bhojanam thayaru</v>
      </c>
    </row>
    <row r="1489" ht="22.5" customHeight="1">
      <c r="A1489" s="14">
        <v>46091.51775747685</v>
      </c>
      <c r="B1489" s="15">
        <v>46091.0</v>
      </c>
      <c r="C1489" s="16">
        <v>0.5138888888905058</v>
      </c>
      <c r="U1489" s="17" t="s">
        <v>5313</v>
      </c>
      <c r="V1489" s="17">
        <v>9.398262097E9</v>
      </c>
      <c r="W1489" s="17" t="s">
        <v>388</v>
      </c>
      <c r="AA1489" s="17" t="s">
        <v>109</v>
      </c>
      <c r="AT1489" s="17" t="s">
        <v>5314</v>
      </c>
      <c r="AU1489" s="17" t="s">
        <v>76</v>
      </c>
      <c r="AZ1489" s="17" t="s">
        <v>243</v>
      </c>
      <c r="BA1489" s="17" t="s">
        <v>458</v>
      </c>
      <c r="BB1489" s="17" t="s">
        <v>109</v>
      </c>
      <c r="BP1489" s="17" t="s">
        <v>5315</v>
      </c>
      <c r="BR1489" s="24" t="str">
        <f t="shared" si="1"/>
        <v>The hole in the wall</v>
      </c>
    </row>
    <row r="1490" ht="22.5" customHeight="1">
      <c r="A1490" s="14">
        <v>46091.5735934838</v>
      </c>
      <c r="B1490" s="15">
        <v>46091.0</v>
      </c>
      <c r="C1490" s="16">
        <v>0.5715277777781012</v>
      </c>
      <c r="U1490" s="17" t="s">
        <v>5316</v>
      </c>
      <c r="V1490" s="17" t="s">
        <v>5317</v>
      </c>
      <c r="W1490" s="17" t="s">
        <v>388</v>
      </c>
      <c r="AA1490" s="17" t="s">
        <v>109</v>
      </c>
      <c r="AT1490" s="17" t="s">
        <v>5318</v>
      </c>
      <c r="AU1490" s="17" t="s">
        <v>76</v>
      </c>
      <c r="AZ1490" s="17" t="s">
        <v>243</v>
      </c>
      <c r="BA1490" s="17" t="s">
        <v>458</v>
      </c>
      <c r="BB1490" s="17" t="s">
        <v>109</v>
      </c>
      <c r="BP1490" s="17" t="s">
        <v>5319</v>
      </c>
      <c r="BR1490" s="24" t="str">
        <f t="shared" si="1"/>
        <v>The soul curry and kadalipathra</v>
      </c>
    </row>
    <row r="1491" ht="22.5" customHeight="1">
      <c r="A1491" s="14">
        <v>46091.58803704861</v>
      </c>
      <c r="B1491" s="15">
        <v>46091.0</v>
      </c>
      <c r="C1491" s="16">
        <v>0.5875000000014552</v>
      </c>
      <c r="U1491" s="17" t="s">
        <v>577</v>
      </c>
      <c r="V1491" s="17" t="s">
        <v>5320</v>
      </c>
      <c r="W1491" s="17" t="s">
        <v>388</v>
      </c>
      <c r="AA1491" s="17" t="s">
        <v>109</v>
      </c>
      <c r="AT1491" s="17" t="s">
        <v>5321</v>
      </c>
      <c r="AU1491" s="17" t="s">
        <v>76</v>
      </c>
      <c r="AZ1491" s="17" t="s">
        <v>243</v>
      </c>
      <c r="BA1491" s="17" t="s">
        <v>458</v>
      </c>
      <c r="BB1491" s="17" t="s">
        <v>109</v>
      </c>
      <c r="BP1491" s="17" t="s">
        <v>5322</v>
      </c>
      <c r="BR1491" s="24" t="str">
        <f t="shared" si="1"/>
        <v>Nataka</v>
      </c>
    </row>
    <row r="1492" ht="22.5" customHeight="1">
      <c r="A1492" s="14">
        <v>46091.59732357639</v>
      </c>
      <c r="B1492" s="15">
        <v>46091.0</v>
      </c>
      <c r="C1492" s="16">
        <v>0.5965277777795563</v>
      </c>
      <c r="U1492" s="17" t="s">
        <v>5323</v>
      </c>
      <c r="V1492" s="17">
        <v>8.978532143E9</v>
      </c>
      <c r="W1492" s="17" t="s">
        <v>388</v>
      </c>
      <c r="AA1492" s="17" t="s">
        <v>109</v>
      </c>
      <c r="AT1492" s="17" t="s">
        <v>5324</v>
      </c>
      <c r="AU1492" s="17" t="s">
        <v>76</v>
      </c>
      <c r="AZ1492" s="17" t="s">
        <v>243</v>
      </c>
      <c r="BA1492" s="17" t="s">
        <v>458</v>
      </c>
      <c r="BB1492" s="17" t="s">
        <v>109</v>
      </c>
      <c r="BP1492" s="17" t="s">
        <v>4972</v>
      </c>
      <c r="BR1492" s="24" t="str">
        <f t="shared" si="1"/>
        <v>The friger co </v>
      </c>
    </row>
    <row r="1493" ht="22.5" customHeight="1">
      <c r="A1493" s="14">
        <v>46091.624702719906</v>
      </c>
      <c r="B1493" s="15">
        <v>46091.0</v>
      </c>
      <c r="C1493" s="16">
        <v>0.4375</v>
      </c>
      <c r="D1493" s="17" t="s">
        <v>91</v>
      </c>
      <c r="F1493" s="17">
        <v>100.0</v>
      </c>
      <c r="G1493" s="17">
        <v>400.0</v>
      </c>
      <c r="H1493" s="17" t="s">
        <v>5325</v>
      </c>
      <c r="I1493" s="17">
        <v>60000.0</v>
      </c>
      <c r="J1493" s="17" t="s">
        <v>167</v>
      </c>
      <c r="K1493" s="17" t="s">
        <v>95</v>
      </c>
      <c r="N1493" s="17">
        <v>1.0</v>
      </c>
      <c r="O1493" s="17" t="s">
        <v>96</v>
      </c>
      <c r="P1493" s="17" t="s">
        <v>76</v>
      </c>
      <c r="Q1493" s="17" t="s">
        <v>97</v>
      </c>
      <c r="R1493" s="17" t="s">
        <v>109</v>
      </c>
      <c r="S1493" s="18" t="s">
        <v>5326</v>
      </c>
      <c r="U1493" s="17" t="s">
        <v>5327</v>
      </c>
      <c r="V1493" s="17">
        <v>9.03501996E8</v>
      </c>
      <c r="W1493" s="17" t="s">
        <v>5328</v>
      </c>
      <c r="AA1493" s="17" t="s">
        <v>76</v>
      </c>
      <c r="AB1493" s="17">
        <v>1.3622013001786E13</v>
      </c>
      <c r="AC1493" s="18" t="s">
        <v>5329</v>
      </c>
      <c r="AS1493" s="17" t="s">
        <v>76</v>
      </c>
      <c r="AT1493" s="17" t="s">
        <v>388</v>
      </c>
      <c r="AU1493" s="17" t="s">
        <v>109</v>
      </c>
      <c r="AZ1493" s="17" t="s">
        <v>151</v>
      </c>
      <c r="BA1493" s="17" t="s">
        <v>458</v>
      </c>
      <c r="BB1493" s="17" t="s">
        <v>76</v>
      </c>
      <c r="BH1493" s="17">
        <v>20.0</v>
      </c>
      <c r="BI1493" s="17" t="s">
        <v>76</v>
      </c>
      <c r="BJ1493" s="16">
        <v>0.29166666666424135</v>
      </c>
      <c r="BK1493" s="16">
        <v>0.9993055555532919</v>
      </c>
      <c r="BM1493" s="17" t="s">
        <v>5330</v>
      </c>
      <c r="BN1493" s="17" t="s">
        <v>3090</v>
      </c>
      <c r="BP1493" s="17" t="s">
        <v>5331</v>
      </c>
      <c r="BR1493" s="24" t="str">
        <f t="shared" si="1"/>
        <v>Monday Restaurant </v>
      </c>
    </row>
    <row r="1494" ht="22.5" customHeight="1">
      <c r="A1494" s="14">
        <v>46091.62725422454</v>
      </c>
      <c r="B1494" s="15">
        <v>46091.0</v>
      </c>
      <c r="C1494" s="16">
        <v>0.45833333333575865</v>
      </c>
      <c r="D1494" s="17" t="s">
        <v>91</v>
      </c>
      <c r="F1494" s="17">
        <v>100.0</v>
      </c>
      <c r="G1494" s="17">
        <v>400.0</v>
      </c>
      <c r="H1494" s="17" t="s">
        <v>5325</v>
      </c>
      <c r="I1494" s="17">
        <v>50000.0</v>
      </c>
      <c r="J1494" s="17" t="s">
        <v>167</v>
      </c>
      <c r="K1494" s="17" t="s">
        <v>95</v>
      </c>
      <c r="N1494" s="17">
        <v>1.0</v>
      </c>
      <c r="O1494" s="17" t="s">
        <v>96</v>
      </c>
      <c r="P1494" s="17" t="s">
        <v>76</v>
      </c>
      <c r="Q1494" s="17" t="s">
        <v>97</v>
      </c>
      <c r="R1494" s="17" t="s">
        <v>109</v>
      </c>
      <c r="S1494" s="18" t="s">
        <v>5332</v>
      </c>
      <c r="U1494" s="17" t="s">
        <v>5171</v>
      </c>
      <c r="V1494" s="17" t="s">
        <v>388</v>
      </c>
      <c r="W1494" s="17" t="s">
        <v>5328</v>
      </c>
      <c r="AA1494" s="17" t="s">
        <v>76</v>
      </c>
      <c r="AS1494" s="17" t="s">
        <v>76</v>
      </c>
      <c r="AT1494" s="17" t="s">
        <v>388</v>
      </c>
      <c r="AU1494" s="17" t="s">
        <v>109</v>
      </c>
      <c r="AZ1494" s="17" t="s">
        <v>151</v>
      </c>
      <c r="BA1494" s="17" t="s">
        <v>458</v>
      </c>
      <c r="BB1494" s="17" t="s">
        <v>76</v>
      </c>
      <c r="BH1494" s="17">
        <v>20.0</v>
      </c>
      <c r="BI1494" s="17" t="s">
        <v>76</v>
      </c>
      <c r="BJ1494" s="16">
        <v>0.5833333333357587</v>
      </c>
      <c r="BK1494" s="16">
        <v>0.125</v>
      </c>
      <c r="BM1494" s="17" t="s">
        <v>3609</v>
      </c>
      <c r="BN1494" s="17" t="s">
        <v>3609</v>
      </c>
      <c r="BP1494" s="17" t="s">
        <v>5333</v>
      </c>
      <c r="BR1494" s="24" t="str">
        <f t="shared" si="1"/>
        <v>Kunafa Cravings </v>
      </c>
    </row>
    <row r="1495" ht="22.5" customHeight="1">
      <c r="A1495" s="14">
        <v>46091.629310000004</v>
      </c>
      <c r="B1495" s="15">
        <v>46091.0</v>
      </c>
      <c r="C1495" s="16">
        <v>0.47916666666424135</v>
      </c>
      <c r="D1495" s="17" t="s">
        <v>91</v>
      </c>
      <c r="F1495" s="17">
        <v>100.0</v>
      </c>
      <c r="G1495" s="17">
        <v>400.0</v>
      </c>
      <c r="H1495" s="17" t="s">
        <v>5325</v>
      </c>
      <c r="J1495" s="17" t="s">
        <v>167</v>
      </c>
      <c r="K1495" s="17" t="s">
        <v>95</v>
      </c>
      <c r="N1495" s="17">
        <v>1.0</v>
      </c>
      <c r="O1495" s="17" t="s">
        <v>96</v>
      </c>
      <c r="P1495" s="17" t="s">
        <v>76</v>
      </c>
      <c r="Q1495" s="17" t="s">
        <v>97</v>
      </c>
      <c r="R1495" s="17" t="s">
        <v>109</v>
      </c>
      <c r="S1495" s="18" t="s">
        <v>5334</v>
      </c>
      <c r="U1495" s="17" t="s">
        <v>5171</v>
      </c>
      <c r="V1495" s="17" t="s">
        <v>388</v>
      </c>
      <c r="W1495" s="17" t="s">
        <v>5335</v>
      </c>
      <c r="AA1495" s="17" t="s">
        <v>76</v>
      </c>
      <c r="AS1495" s="17" t="s">
        <v>76</v>
      </c>
      <c r="AT1495" s="17" t="s">
        <v>388</v>
      </c>
      <c r="AU1495" s="17" t="s">
        <v>109</v>
      </c>
      <c r="AZ1495" s="17" t="s">
        <v>151</v>
      </c>
      <c r="BA1495" s="17" t="s">
        <v>458</v>
      </c>
      <c r="BB1495" s="17" t="s">
        <v>76</v>
      </c>
      <c r="BH1495" s="17">
        <v>20.0</v>
      </c>
      <c r="BI1495" s="17" t="s">
        <v>76</v>
      </c>
      <c r="BM1495" s="17" t="s">
        <v>4196</v>
      </c>
      <c r="BN1495" s="17" t="s">
        <v>4196</v>
      </c>
      <c r="BP1495" s="17" t="s">
        <v>5336</v>
      </c>
      <c r="BR1495" s="24" t="str">
        <f t="shared" si="1"/>
        <v>Monday Hotel </v>
      </c>
    </row>
    <row r="1496" ht="22.5" customHeight="1">
      <c r="A1496" s="14">
        <v>46091.631570763886</v>
      </c>
      <c r="B1496" s="15">
        <v>46091.0</v>
      </c>
      <c r="C1496" s="16">
        <v>0.5</v>
      </c>
      <c r="D1496" s="17" t="s">
        <v>91</v>
      </c>
      <c r="F1496" s="17">
        <v>80.0</v>
      </c>
      <c r="G1496" s="17">
        <v>500.0</v>
      </c>
      <c r="H1496" s="17" t="s">
        <v>5325</v>
      </c>
      <c r="J1496" s="17" t="s">
        <v>167</v>
      </c>
      <c r="K1496" s="17" t="s">
        <v>95</v>
      </c>
      <c r="N1496" s="17">
        <v>1.0</v>
      </c>
      <c r="O1496" s="17" t="s">
        <v>96</v>
      </c>
      <c r="P1496" s="17" t="s">
        <v>76</v>
      </c>
      <c r="Q1496" s="17" t="s">
        <v>97</v>
      </c>
      <c r="R1496" s="17" t="s">
        <v>76</v>
      </c>
      <c r="S1496" s="18" t="s">
        <v>5337</v>
      </c>
      <c r="U1496" s="17" t="s">
        <v>5171</v>
      </c>
      <c r="V1496" s="17" t="s">
        <v>388</v>
      </c>
      <c r="W1496" s="17" t="s">
        <v>388</v>
      </c>
      <c r="AA1496" s="17" t="s">
        <v>76</v>
      </c>
      <c r="AS1496" s="17" t="s">
        <v>76</v>
      </c>
      <c r="AT1496" s="17" t="s">
        <v>388</v>
      </c>
      <c r="AU1496" s="17" t="s">
        <v>109</v>
      </c>
      <c r="AZ1496" s="17" t="s">
        <v>151</v>
      </c>
      <c r="BA1496" s="17" t="s">
        <v>458</v>
      </c>
      <c r="BB1496" s="17" t="s">
        <v>76</v>
      </c>
      <c r="BH1496" s="17">
        <v>20.0</v>
      </c>
      <c r="BI1496" s="17" t="s">
        <v>76</v>
      </c>
      <c r="BJ1496" s="16">
        <v>0.0</v>
      </c>
      <c r="BK1496" s="16">
        <v>0.9993055555532919</v>
      </c>
      <c r="BM1496" s="17" t="s">
        <v>3087</v>
      </c>
      <c r="BN1496" s="17" t="s">
        <v>3087</v>
      </c>
      <c r="BP1496" s="17" t="s">
        <v>5331</v>
      </c>
      <c r="BR1496" s="24" t="str">
        <f t="shared" si="1"/>
        <v>Monday Restaurant </v>
      </c>
    </row>
    <row r="1497" ht="22.5" customHeight="1">
      <c r="A1497" s="14">
        <v>46091.63344305556</v>
      </c>
      <c r="B1497" s="15">
        <v>46091.0</v>
      </c>
      <c r="C1497" s="16">
        <v>0.04166666666424135</v>
      </c>
      <c r="D1497" s="17" t="s">
        <v>91</v>
      </c>
      <c r="F1497" s="17">
        <v>100.0</v>
      </c>
      <c r="G1497" s="17">
        <v>400.0</v>
      </c>
      <c r="H1497" s="17" t="s">
        <v>5325</v>
      </c>
      <c r="J1497" s="17" t="s">
        <v>167</v>
      </c>
      <c r="K1497" s="17" t="s">
        <v>95</v>
      </c>
      <c r="N1497" s="17">
        <v>1.0</v>
      </c>
      <c r="O1497" s="17" t="s">
        <v>96</v>
      </c>
      <c r="P1497" s="17" t="s">
        <v>76</v>
      </c>
      <c r="Q1497" s="17" t="s">
        <v>97</v>
      </c>
      <c r="R1497" s="17" t="s">
        <v>109</v>
      </c>
      <c r="S1497" s="18" t="s">
        <v>5338</v>
      </c>
      <c r="U1497" s="17" t="s">
        <v>5171</v>
      </c>
      <c r="V1497" s="17" t="s">
        <v>388</v>
      </c>
      <c r="W1497" s="17" t="s">
        <v>388</v>
      </c>
      <c r="AA1497" s="17" t="s">
        <v>76</v>
      </c>
      <c r="AS1497" s="17" t="s">
        <v>76</v>
      </c>
      <c r="AT1497" s="17" t="s">
        <v>926</v>
      </c>
      <c r="AU1497" s="17" t="s">
        <v>109</v>
      </c>
      <c r="AZ1497" s="17" t="s">
        <v>151</v>
      </c>
      <c r="BA1497" s="17" t="s">
        <v>458</v>
      </c>
      <c r="BB1497" s="17" t="s">
        <v>76</v>
      </c>
      <c r="BH1497" s="17">
        <v>20.0</v>
      </c>
      <c r="BI1497" s="17" t="s">
        <v>76</v>
      </c>
      <c r="BJ1497" s="16">
        <v>0.41666666666424135</v>
      </c>
      <c r="BK1497" s="16">
        <v>0.9993055555532919</v>
      </c>
      <c r="BM1497" s="17" t="s">
        <v>3087</v>
      </c>
      <c r="BN1497" s="17" t="s">
        <v>3087</v>
      </c>
      <c r="BP1497" s="17" t="s">
        <v>5339</v>
      </c>
      <c r="BR1497" s="24" t="str">
        <f t="shared" si="1"/>
        <v>Elysium Restaurant </v>
      </c>
    </row>
    <row r="1498" ht="22.5" customHeight="1">
      <c r="A1498" s="14">
        <v>46091.77237497685</v>
      </c>
      <c r="B1498" s="15">
        <v>46091.0</v>
      </c>
      <c r="C1498" s="16">
        <v>0.6458333333357587</v>
      </c>
      <c r="D1498" s="17" t="s">
        <v>91</v>
      </c>
      <c r="F1498" s="17">
        <v>50.0</v>
      </c>
      <c r="G1498" s="17">
        <v>400.0</v>
      </c>
      <c r="H1498" s="17" t="s">
        <v>509</v>
      </c>
      <c r="I1498" s="17">
        <v>50000.0</v>
      </c>
      <c r="J1498" s="17" t="s">
        <v>167</v>
      </c>
      <c r="K1498" s="17" t="s">
        <v>515</v>
      </c>
      <c r="N1498" s="17">
        <v>30.0</v>
      </c>
      <c r="O1498" s="17" t="s">
        <v>135</v>
      </c>
      <c r="P1498" s="17" t="s">
        <v>76</v>
      </c>
      <c r="Q1498" s="17" t="s">
        <v>97</v>
      </c>
      <c r="R1498" s="17" t="s">
        <v>76</v>
      </c>
      <c r="S1498" s="17" t="s">
        <v>5340</v>
      </c>
      <c r="U1498" s="17" t="s">
        <v>5341</v>
      </c>
      <c r="V1498" s="17" t="s">
        <v>388</v>
      </c>
      <c r="W1498" s="17" t="s">
        <v>388</v>
      </c>
      <c r="AA1498" s="17" t="s">
        <v>109</v>
      </c>
      <c r="AT1498" s="17" t="s">
        <v>5342</v>
      </c>
      <c r="AU1498" s="17" t="s">
        <v>76</v>
      </c>
      <c r="AV1498" s="17" t="s">
        <v>114</v>
      </c>
      <c r="AX1498" s="15">
        <v>46093.0</v>
      </c>
      <c r="AZ1498" s="17" t="s">
        <v>151</v>
      </c>
      <c r="BA1498" s="17" t="s">
        <v>458</v>
      </c>
      <c r="BB1498" s="17" t="s">
        <v>76</v>
      </c>
      <c r="BP1498" s="17" t="s">
        <v>5340</v>
      </c>
      <c r="BR1498" s="24" t="str">
        <f t="shared" si="1"/>
        <v>Minerva</v>
      </c>
    </row>
    <row r="1499" ht="22.5" customHeight="1">
      <c r="A1499" s="14">
        <v>46091.77550878472</v>
      </c>
      <c r="B1499" s="15">
        <v>46091.0</v>
      </c>
      <c r="C1499" s="16">
        <v>0.625</v>
      </c>
      <c r="D1499" s="17" t="s">
        <v>91</v>
      </c>
      <c r="F1499" s="17">
        <v>100.0</v>
      </c>
      <c r="G1499" s="17">
        <v>600.0</v>
      </c>
      <c r="H1499" s="17" t="s">
        <v>509</v>
      </c>
      <c r="J1499" s="17" t="s">
        <v>167</v>
      </c>
      <c r="K1499" s="17" t="s">
        <v>134</v>
      </c>
      <c r="N1499" s="17">
        <v>20.0</v>
      </c>
      <c r="O1499" s="17" t="s">
        <v>96</v>
      </c>
      <c r="P1499" s="17" t="s">
        <v>76</v>
      </c>
      <c r="Q1499" s="17" t="s">
        <v>97</v>
      </c>
      <c r="R1499" s="17" t="s">
        <v>76</v>
      </c>
      <c r="S1499" s="17" t="s">
        <v>388</v>
      </c>
      <c r="U1499" s="17" t="s">
        <v>5343</v>
      </c>
      <c r="V1499" s="17" t="s">
        <v>388</v>
      </c>
      <c r="W1499" s="17" t="s">
        <v>388</v>
      </c>
      <c r="AA1499" s="17" t="s">
        <v>109</v>
      </c>
      <c r="AT1499" s="17" t="s">
        <v>5344</v>
      </c>
      <c r="AU1499" s="17" t="s">
        <v>76</v>
      </c>
      <c r="AV1499" s="17" t="s">
        <v>373</v>
      </c>
      <c r="AZ1499" s="17" t="s">
        <v>151</v>
      </c>
      <c r="BA1499" s="17" t="s">
        <v>458</v>
      </c>
      <c r="BB1499" s="17" t="s">
        <v>76</v>
      </c>
      <c r="BN1499" s="17" t="s">
        <v>5345</v>
      </c>
      <c r="BP1499" s="17" t="s">
        <v>5346</v>
      </c>
      <c r="BR1499" s="24" t="str">
        <f t="shared" si="1"/>
        <v>Iron hill</v>
      </c>
    </row>
    <row r="1500" ht="22.5" customHeight="1">
      <c r="A1500" s="14">
        <v>46091.77875644676</v>
      </c>
      <c r="B1500" s="15">
        <v>46091.0</v>
      </c>
      <c r="C1500" s="16">
        <v>0.7013888888905058</v>
      </c>
      <c r="D1500" s="17" t="s">
        <v>91</v>
      </c>
      <c r="F1500" s="17">
        <v>250.0</v>
      </c>
      <c r="G1500" s="17">
        <v>300.0</v>
      </c>
      <c r="H1500" s="17" t="s">
        <v>509</v>
      </c>
      <c r="J1500" s="17" t="s">
        <v>167</v>
      </c>
      <c r="K1500" s="17" t="s">
        <v>118</v>
      </c>
      <c r="N1500" s="17">
        <v>1.0</v>
      </c>
      <c r="O1500" s="17" t="s">
        <v>96</v>
      </c>
      <c r="P1500" s="17" t="s">
        <v>109</v>
      </c>
      <c r="Q1500" s="17" t="s">
        <v>97</v>
      </c>
      <c r="R1500" s="17" t="s">
        <v>109</v>
      </c>
      <c r="S1500" s="17" t="s">
        <v>388</v>
      </c>
      <c r="U1500" s="17" t="s">
        <v>5347</v>
      </c>
      <c r="V1500" s="17" t="s">
        <v>388</v>
      </c>
      <c r="W1500" s="17" t="s">
        <v>388</v>
      </c>
      <c r="AA1500" s="17" t="s">
        <v>109</v>
      </c>
      <c r="AT1500" s="17" t="s">
        <v>4548</v>
      </c>
      <c r="AU1500" s="17" t="s">
        <v>109</v>
      </c>
      <c r="AZ1500" s="17" t="s">
        <v>151</v>
      </c>
      <c r="BA1500" s="17" t="s">
        <v>458</v>
      </c>
      <c r="BB1500" s="17" t="s">
        <v>76</v>
      </c>
      <c r="BN1500" s="17" t="s">
        <v>3609</v>
      </c>
      <c r="BP1500" s="17" t="s">
        <v>5348</v>
      </c>
      <c r="BR1500" s="24" t="str">
        <f t="shared" si="1"/>
        <v>Palao and pulavus</v>
      </c>
    </row>
    <row r="1501" ht="22.5" customHeight="1">
      <c r="A1501" s="14">
        <v>46091.77978591435</v>
      </c>
      <c r="B1501" s="15">
        <v>46091.0</v>
      </c>
      <c r="C1501" s="16">
        <v>0.625</v>
      </c>
      <c r="U1501" s="17" t="s">
        <v>1154</v>
      </c>
      <c r="V1501" s="17">
        <v>9.133277966E9</v>
      </c>
      <c r="W1501" s="17" t="s">
        <v>388</v>
      </c>
      <c r="AA1501" s="17" t="s">
        <v>109</v>
      </c>
      <c r="AT1501" s="17" t="s">
        <v>5349</v>
      </c>
      <c r="AU1501" s="17" t="s">
        <v>109</v>
      </c>
      <c r="AZ1501" s="17" t="s">
        <v>151</v>
      </c>
      <c r="BA1501" s="17" t="s">
        <v>458</v>
      </c>
      <c r="BB1501" s="17" t="s">
        <v>109</v>
      </c>
      <c r="BP1501" s="17" t="s">
        <v>5350</v>
      </c>
      <c r="BR1501" s="24" t="str">
        <f t="shared" si="1"/>
        <v>Thugo</v>
      </c>
    </row>
    <row r="1502" ht="22.5" customHeight="1">
      <c r="A1502" s="14">
        <v>46091.78106861111</v>
      </c>
      <c r="B1502" s="15">
        <v>46091.0</v>
      </c>
      <c r="C1502" s="16">
        <v>0.6875</v>
      </c>
      <c r="D1502" s="17" t="s">
        <v>111</v>
      </c>
      <c r="T1502" s="17" t="s">
        <v>388</v>
      </c>
      <c r="U1502" s="17" t="s">
        <v>2772</v>
      </c>
      <c r="V1502" s="17" t="s">
        <v>388</v>
      </c>
      <c r="W1502" s="17" t="s">
        <v>388</v>
      </c>
      <c r="AA1502" s="17" t="s">
        <v>109</v>
      </c>
      <c r="AT1502" s="17" t="s">
        <v>5349</v>
      </c>
      <c r="AU1502" s="17" t="s">
        <v>109</v>
      </c>
      <c r="AZ1502" s="17" t="s">
        <v>151</v>
      </c>
      <c r="BA1502" s="17" t="s">
        <v>458</v>
      </c>
      <c r="BB1502" s="17" t="s">
        <v>76</v>
      </c>
      <c r="BP1502" s="17" t="s">
        <v>5351</v>
      </c>
      <c r="BR1502" s="24" t="str">
        <f t="shared" si="1"/>
        <v>Desert cornerNa</v>
      </c>
    </row>
    <row r="1503" ht="22.5" customHeight="1">
      <c r="A1503" s="14">
        <v>46091.78366372685</v>
      </c>
      <c r="B1503" s="15">
        <v>46091.0</v>
      </c>
      <c r="C1503" s="16">
        <v>0.5833333333357587</v>
      </c>
      <c r="U1503" s="17" t="s">
        <v>1107</v>
      </c>
      <c r="V1503" s="17" t="s">
        <v>388</v>
      </c>
      <c r="W1503" s="17" t="s">
        <v>926</v>
      </c>
      <c r="AA1503" s="17" t="s">
        <v>109</v>
      </c>
      <c r="AT1503" s="17" t="s">
        <v>5352</v>
      </c>
      <c r="AU1503" s="17" t="s">
        <v>109</v>
      </c>
      <c r="AZ1503" s="17" t="s">
        <v>151</v>
      </c>
      <c r="BA1503" s="17" t="s">
        <v>458</v>
      </c>
      <c r="BB1503" s="17" t="s">
        <v>109</v>
      </c>
      <c r="BP1503" s="17" t="s">
        <v>5203</v>
      </c>
      <c r="BR1503" s="24" t="str">
        <f t="shared" si="1"/>
        <v>Broast cafe</v>
      </c>
    </row>
    <row r="1504" ht="22.5" customHeight="1">
      <c r="A1504" s="14">
        <v>46091.898164791666</v>
      </c>
      <c r="B1504" s="15">
        <v>46091.0</v>
      </c>
      <c r="C1504" s="16">
        <v>0.5208333333357587</v>
      </c>
      <c r="D1504" s="17" t="s">
        <v>91</v>
      </c>
      <c r="F1504" s="17">
        <v>100.0</v>
      </c>
      <c r="G1504" s="17">
        <v>400.0</v>
      </c>
      <c r="H1504" s="17" t="s">
        <v>388</v>
      </c>
      <c r="J1504" s="17" t="s">
        <v>167</v>
      </c>
      <c r="N1504" s="17">
        <v>3.0</v>
      </c>
      <c r="O1504" s="17" t="s">
        <v>135</v>
      </c>
      <c r="P1504" s="17" t="s">
        <v>76</v>
      </c>
      <c r="Q1504" s="17" t="s">
        <v>97</v>
      </c>
      <c r="R1504" s="17" t="s">
        <v>76</v>
      </c>
      <c r="S1504" s="17" t="s">
        <v>388</v>
      </c>
      <c r="U1504" s="17" t="s">
        <v>926</v>
      </c>
      <c r="V1504" s="17" t="s">
        <v>1643</v>
      </c>
      <c r="W1504" s="17" t="s">
        <v>388</v>
      </c>
      <c r="AA1504" s="17" t="s">
        <v>109</v>
      </c>
      <c r="AT1504" s="17" t="s">
        <v>5353</v>
      </c>
      <c r="AU1504" s="17" t="s">
        <v>109</v>
      </c>
      <c r="AZ1504" s="17" t="s">
        <v>243</v>
      </c>
      <c r="BA1504" s="17" t="s">
        <v>458</v>
      </c>
      <c r="BB1504" s="17" t="s">
        <v>76</v>
      </c>
      <c r="BN1504" s="17" t="s">
        <v>978</v>
      </c>
      <c r="BP1504" s="17" t="s">
        <v>5354</v>
      </c>
      <c r="BR1504" s="24" t="str">
        <f t="shared" si="1"/>
        <v>Machilipatnam</v>
      </c>
    </row>
    <row r="1505" ht="22.5" customHeight="1">
      <c r="A1505" s="14">
        <v>46091.89970927083</v>
      </c>
      <c r="B1505" s="15">
        <v>46091.0</v>
      </c>
      <c r="C1505" s="16">
        <v>0.6875</v>
      </c>
      <c r="D1505" s="17" t="s">
        <v>111</v>
      </c>
      <c r="T1505" s="17" t="s">
        <v>819</v>
      </c>
      <c r="U1505" s="17" t="s">
        <v>5355</v>
      </c>
      <c r="V1505" s="17" t="s">
        <v>5356</v>
      </c>
      <c r="W1505" s="17" t="s">
        <v>388</v>
      </c>
      <c r="AA1505" s="17" t="s">
        <v>109</v>
      </c>
      <c r="AT1505" s="17" t="s">
        <v>5357</v>
      </c>
      <c r="AU1505" s="17" t="s">
        <v>109</v>
      </c>
      <c r="AZ1505" s="17" t="s">
        <v>243</v>
      </c>
      <c r="BA1505" s="17" t="s">
        <v>458</v>
      </c>
      <c r="BB1505" s="17" t="s">
        <v>76</v>
      </c>
      <c r="BP1505" s="17" t="s">
        <v>5358</v>
      </c>
      <c r="BR1505" s="24" t="str">
        <f t="shared" si="1"/>
        <v>Raw bakers Raw bakers</v>
      </c>
    </row>
    <row r="1506" ht="22.5" customHeight="1">
      <c r="A1506" s="14">
        <v>46091.90108753472</v>
      </c>
      <c r="B1506" s="15">
        <v>46091.0</v>
      </c>
      <c r="C1506" s="16">
        <v>0.6458333333357587</v>
      </c>
      <c r="U1506" s="17" t="s">
        <v>2172</v>
      </c>
      <c r="V1506" s="17">
        <v>9.352613128E9</v>
      </c>
      <c r="W1506" s="17" t="s">
        <v>388</v>
      </c>
      <c r="AA1506" s="17" t="s">
        <v>109</v>
      </c>
      <c r="AT1506" s="17" t="s">
        <v>5359</v>
      </c>
      <c r="AU1506" s="17" t="s">
        <v>76</v>
      </c>
      <c r="AZ1506" s="17" t="s">
        <v>243</v>
      </c>
      <c r="BA1506" s="17" t="s">
        <v>458</v>
      </c>
      <c r="BB1506" s="17" t="s">
        <v>109</v>
      </c>
      <c r="BP1506" s="17" t="s">
        <v>5360</v>
      </c>
      <c r="BR1506" s="24" t="str">
        <f t="shared" si="1"/>
        <v>Balaji santhosh dhabha</v>
      </c>
    </row>
    <row r="1507" ht="22.5" customHeight="1">
      <c r="A1507" s="14">
        <v>46091.90205416667</v>
      </c>
      <c r="B1507" s="15">
        <v>46091.0</v>
      </c>
      <c r="C1507" s="16">
        <v>0.75</v>
      </c>
      <c r="U1507" s="17" t="s">
        <v>4667</v>
      </c>
      <c r="V1507" s="17">
        <v>9.849847665E9</v>
      </c>
      <c r="W1507" s="17" t="s">
        <v>388</v>
      </c>
      <c r="AA1507" s="17" t="s">
        <v>109</v>
      </c>
      <c r="AT1507" s="17" t="s">
        <v>5361</v>
      </c>
      <c r="AU1507" s="17" t="s">
        <v>76</v>
      </c>
      <c r="AZ1507" s="17" t="s">
        <v>243</v>
      </c>
      <c r="BA1507" s="17" t="s">
        <v>458</v>
      </c>
      <c r="BB1507" s="17" t="s">
        <v>109</v>
      </c>
      <c r="BP1507" s="17" t="s">
        <v>5362</v>
      </c>
      <c r="BR1507" s="24" t="str">
        <f t="shared" si="1"/>
        <v>Shringeri kitchen</v>
      </c>
    </row>
    <row r="1508" ht="22.5" customHeight="1">
      <c r="A1508" s="14">
        <v>46091.90295753472</v>
      </c>
      <c r="B1508" s="15">
        <v>46091.0</v>
      </c>
      <c r="C1508" s="16">
        <v>0.9020833333343035</v>
      </c>
      <c r="U1508" s="17" t="s">
        <v>2661</v>
      </c>
      <c r="V1508" s="17">
        <v>9.652727251E9</v>
      </c>
      <c r="W1508" s="17" t="s">
        <v>388</v>
      </c>
      <c r="AA1508" s="17" t="s">
        <v>109</v>
      </c>
      <c r="AT1508" s="17" t="s">
        <v>5363</v>
      </c>
      <c r="AU1508" s="17" t="s">
        <v>76</v>
      </c>
      <c r="AZ1508" s="17" t="s">
        <v>243</v>
      </c>
      <c r="BA1508" s="17" t="s">
        <v>458</v>
      </c>
      <c r="BB1508" s="17" t="s">
        <v>109</v>
      </c>
      <c r="BP1508" s="17" t="s">
        <v>5364</v>
      </c>
      <c r="BR1508" s="24" t="str">
        <f t="shared" si="1"/>
        <v>IDV kitchen</v>
      </c>
    </row>
    <row r="1509" ht="22.5" customHeight="1">
      <c r="A1509" s="14">
        <v>46091.93656258102</v>
      </c>
      <c r="B1509" s="15">
        <v>46091.0</v>
      </c>
      <c r="C1509" s="16">
        <v>0.7493055555532919</v>
      </c>
      <c r="D1509" s="17" t="s">
        <v>91</v>
      </c>
      <c r="F1509" s="17">
        <v>30.0</v>
      </c>
      <c r="G1509" s="17">
        <v>300.0</v>
      </c>
      <c r="H1509" s="17" t="s">
        <v>113</v>
      </c>
      <c r="J1509" s="17" t="s">
        <v>94</v>
      </c>
      <c r="K1509" s="17" t="s">
        <v>134</v>
      </c>
      <c r="N1509" s="17">
        <v>2.0</v>
      </c>
      <c r="O1509" s="17" t="s">
        <v>135</v>
      </c>
      <c r="P1509" s="17" t="s">
        <v>109</v>
      </c>
      <c r="Q1509" s="17" t="s">
        <v>97</v>
      </c>
      <c r="R1509" s="17" t="s">
        <v>76</v>
      </c>
      <c r="S1509" s="17" t="s">
        <v>113</v>
      </c>
      <c r="U1509" s="17" t="s">
        <v>5365</v>
      </c>
      <c r="V1509" s="17">
        <v>7.794963658E9</v>
      </c>
      <c r="W1509" s="17" t="s">
        <v>113</v>
      </c>
      <c r="AA1509" s="17" t="s">
        <v>109</v>
      </c>
      <c r="AT1509" s="17" t="s">
        <v>5366</v>
      </c>
      <c r="AU1509" s="17" t="s">
        <v>109</v>
      </c>
      <c r="AV1509" s="17" t="s">
        <v>271</v>
      </c>
      <c r="AX1509" s="15">
        <v>46093.0</v>
      </c>
      <c r="AY1509" s="16">
        <v>0.16666666666424135</v>
      </c>
      <c r="AZ1509" s="17" t="s">
        <v>3034</v>
      </c>
      <c r="BA1509" s="17" t="s">
        <v>458</v>
      </c>
      <c r="BB1509" s="17" t="s">
        <v>76</v>
      </c>
      <c r="BN1509" s="17" t="s">
        <v>1088</v>
      </c>
      <c r="BP1509" s="17" t="s">
        <v>5367</v>
      </c>
      <c r="BR1509" s="24" t="str">
        <f t="shared" si="1"/>
        <v>Delizia Cafe</v>
      </c>
    </row>
    <row r="1510" ht="22.5" customHeight="1">
      <c r="A1510" s="14">
        <v>46091.937511412034</v>
      </c>
      <c r="B1510" s="15">
        <v>46091.0</v>
      </c>
      <c r="C1510" s="16">
        <v>0.18958333333284827</v>
      </c>
      <c r="U1510" s="17" t="s">
        <v>4717</v>
      </c>
      <c r="V1510" s="17">
        <v>7.032536269E9</v>
      </c>
      <c r="W1510" s="17" t="s">
        <v>113</v>
      </c>
      <c r="AA1510" s="17" t="s">
        <v>109</v>
      </c>
      <c r="AT1510" s="17" t="s">
        <v>5368</v>
      </c>
      <c r="AU1510" s="17" t="s">
        <v>109</v>
      </c>
      <c r="AV1510" s="17" t="s">
        <v>271</v>
      </c>
      <c r="AX1510" s="15">
        <v>46093.0</v>
      </c>
      <c r="AY1510" s="16">
        <v>0.125</v>
      </c>
      <c r="AZ1510" s="17" t="s">
        <v>3034</v>
      </c>
      <c r="BA1510" s="17" t="s">
        <v>458</v>
      </c>
      <c r="BB1510" s="17" t="s">
        <v>109</v>
      </c>
      <c r="BP1510" s="17" t="s">
        <v>5369</v>
      </c>
      <c r="BR1510" s="24" t="str">
        <f t="shared" si="1"/>
        <v>Konaseema Vantillu</v>
      </c>
    </row>
    <row r="1511" ht="22.5" customHeight="1">
      <c r="A1511" s="14">
        <v>46091.938722824074</v>
      </c>
      <c r="B1511" s="15">
        <v>46091.0</v>
      </c>
      <c r="C1511" s="16">
        <v>0.18958333333284827</v>
      </c>
      <c r="U1511" s="17" t="s">
        <v>5370</v>
      </c>
      <c r="V1511" s="17">
        <v>8.143334411E9</v>
      </c>
      <c r="W1511" s="17" t="s">
        <v>113</v>
      </c>
      <c r="AA1511" s="17" t="s">
        <v>109</v>
      </c>
      <c r="AT1511" s="17" t="s">
        <v>5371</v>
      </c>
      <c r="AU1511" s="17" t="s">
        <v>109</v>
      </c>
      <c r="AV1511" s="17" t="s">
        <v>5372</v>
      </c>
      <c r="AZ1511" s="17" t="s">
        <v>3034</v>
      </c>
      <c r="BA1511" s="17" t="s">
        <v>458</v>
      </c>
      <c r="BB1511" s="17" t="s">
        <v>109</v>
      </c>
      <c r="BP1511" s="17" t="s">
        <v>5373</v>
      </c>
      <c r="BR1511" s="24" t="str">
        <f t="shared" si="1"/>
        <v>Srinidhi Food Zone</v>
      </c>
    </row>
    <row r="1512" ht="22.5" customHeight="1">
      <c r="A1512" s="14">
        <v>46091.94098811343</v>
      </c>
      <c r="B1512" s="15">
        <v>46091.0</v>
      </c>
      <c r="C1512" s="16">
        <v>0.13541666666424135</v>
      </c>
      <c r="U1512" s="17" t="s">
        <v>5374</v>
      </c>
      <c r="V1512" s="17">
        <v>8.46686234E9</v>
      </c>
      <c r="W1512" s="17" t="s">
        <v>113</v>
      </c>
      <c r="AA1512" s="17" t="s">
        <v>109</v>
      </c>
      <c r="AT1512" s="17" t="s">
        <v>5375</v>
      </c>
      <c r="AU1512" s="17" t="s">
        <v>76</v>
      </c>
      <c r="AV1512" s="17" t="s">
        <v>271</v>
      </c>
      <c r="AX1512" s="15">
        <v>46094.0</v>
      </c>
      <c r="AY1512" s="16">
        <v>0.16666666666424135</v>
      </c>
      <c r="AZ1512" s="17" t="s">
        <v>3034</v>
      </c>
      <c r="BA1512" s="17" t="s">
        <v>458</v>
      </c>
      <c r="BB1512" s="17" t="s">
        <v>109</v>
      </c>
      <c r="BP1512" s="17" t="s">
        <v>5376</v>
      </c>
      <c r="BR1512" s="24" t="str">
        <f t="shared" si="1"/>
        <v>Godavari Chepala Pulusu</v>
      </c>
    </row>
    <row r="1513" ht="22.5" customHeight="1">
      <c r="A1513" s="14">
        <v>46091.94227346065</v>
      </c>
      <c r="B1513" s="15">
        <v>46091.0</v>
      </c>
      <c r="C1513" s="16">
        <v>0.13194444444525288</v>
      </c>
      <c r="D1513" s="17" t="s">
        <v>91</v>
      </c>
      <c r="F1513" s="17">
        <v>40.0</v>
      </c>
      <c r="G1513" s="17">
        <v>300.0</v>
      </c>
      <c r="H1513" s="17" t="s">
        <v>113</v>
      </c>
      <c r="J1513" s="17" t="s">
        <v>94</v>
      </c>
      <c r="K1513" s="17" t="s">
        <v>134</v>
      </c>
      <c r="N1513" s="17">
        <v>4.0</v>
      </c>
      <c r="O1513" s="17" t="s">
        <v>96</v>
      </c>
      <c r="P1513" s="17" t="s">
        <v>76</v>
      </c>
      <c r="Q1513" s="17" t="s">
        <v>97</v>
      </c>
      <c r="R1513" s="17" t="s">
        <v>76</v>
      </c>
      <c r="S1513" s="17" t="s">
        <v>113</v>
      </c>
      <c r="U1513" s="17" t="s">
        <v>5377</v>
      </c>
      <c r="V1513" s="17">
        <v>7.20771366E9</v>
      </c>
      <c r="W1513" s="17" t="s">
        <v>113</v>
      </c>
      <c r="AA1513" s="17" t="s">
        <v>109</v>
      </c>
      <c r="AT1513" s="17" t="s">
        <v>5378</v>
      </c>
      <c r="AU1513" s="17" t="s">
        <v>76</v>
      </c>
      <c r="AV1513" s="17" t="s">
        <v>271</v>
      </c>
      <c r="AX1513" s="15">
        <v>46094.0</v>
      </c>
      <c r="AY1513" s="16">
        <v>0.125</v>
      </c>
      <c r="AZ1513" s="17" t="s">
        <v>3034</v>
      </c>
      <c r="BA1513" s="17" t="s">
        <v>458</v>
      </c>
      <c r="BB1513" s="17" t="s">
        <v>76</v>
      </c>
      <c r="BN1513" s="17" t="s">
        <v>1088</v>
      </c>
      <c r="BP1513" s="17" t="s">
        <v>5379</v>
      </c>
      <c r="BR1513" s="24" t="str">
        <f t="shared" si="1"/>
        <v>Eerababu Pulav</v>
      </c>
    </row>
    <row r="1514" ht="22.5" customHeight="1">
      <c r="A1514" s="14">
        <v>46091.943130694446</v>
      </c>
      <c r="B1514" s="15">
        <v>46091.0</v>
      </c>
      <c r="C1514" s="16">
        <v>0.12777777777955635</v>
      </c>
      <c r="U1514" s="17" t="s">
        <v>5380</v>
      </c>
      <c r="V1514" s="17">
        <v>8.374917077E9</v>
      </c>
      <c r="W1514" s="17" t="s">
        <v>117</v>
      </c>
      <c r="AA1514" s="17" t="s">
        <v>109</v>
      </c>
      <c r="AT1514" s="17" t="s">
        <v>5381</v>
      </c>
      <c r="AU1514" s="17" t="s">
        <v>76</v>
      </c>
      <c r="AV1514" s="17" t="s">
        <v>271</v>
      </c>
      <c r="AX1514" s="15">
        <v>46101.0</v>
      </c>
      <c r="AY1514" s="16">
        <v>0.29166666666424135</v>
      </c>
      <c r="AZ1514" s="17" t="s">
        <v>3034</v>
      </c>
      <c r="BA1514" s="17" t="s">
        <v>458</v>
      </c>
      <c r="BB1514" s="17" t="s">
        <v>109</v>
      </c>
      <c r="BP1514" s="17" t="s">
        <v>5382</v>
      </c>
      <c r="BR1514" s="24" t="str">
        <f t="shared" si="1"/>
        <v>Wine dine Restaurant</v>
      </c>
    </row>
    <row r="1515" ht="22.5" customHeight="1">
      <c r="A1515" s="14">
        <v>46091.944204432875</v>
      </c>
      <c r="B1515" s="15">
        <v>46091.0</v>
      </c>
      <c r="C1515" s="16">
        <v>0.11388888888905058</v>
      </c>
      <c r="U1515" s="17" t="s">
        <v>5383</v>
      </c>
      <c r="V1515" s="17">
        <v>6.281752314E9</v>
      </c>
      <c r="W1515" s="17" t="s">
        <v>113</v>
      </c>
      <c r="AA1515" s="17" t="s">
        <v>109</v>
      </c>
      <c r="AT1515" s="17" t="s">
        <v>5384</v>
      </c>
      <c r="AU1515" s="17" t="s">
        <v>76</v>
      </c>
      <c r="AV1515" s="17" t="s">
        <v>271</v>
      </c>
      <c r="AX1515" s="15">
        <v>46092.0</v>
      </c>
      <c r="AY1515" s="16">
        <v>0.25</v>
      </c>
      <c r="AZ1515" s="17" t="s">
        <v>3034</v>
      </c>
      <c r="BA1515" s="17" t="s">
        <v>458</v>
      </c>
      <c r="BB1515" s="17" t="s">
        <v>109</v>
      </c>
      <c r="BP1515" s="17" t="s">
        <v>5385</v>
      </c>
      <c r="BR1515" s="24" t="str">
        <f t="shared" si="1"/>
        <v>The Red Box</v>
      </c>
    </row>
    <row r="1516" ht="22.5" customHeight="1">
      <c r="A1516" s="14">
        <v>46091.94527010417</v>
      </c>
      <c r="B1516" s="15">
        <v>46091.0</v>
      </c>
      <c r="C1516" s="16">
        <v>0.07638888889050577</v>
      </c>
      <c r="U1516" s="17" t="s">
        <v>4417</v>
      </c>
      <c r="V1516" s="17">
        <v>8.121677227E9</v>
      </c>
      <c r="W1516" s="17" t="s">
        <v>113</v>
      </c>
      <c r="AA1516" s="17" t="s">
        <v>109</v>
      </c>
      <c r="AT1516" s="17" t="s">
        <v>5386</v>
      </c>
      <c r="AU1516" s="17" t="s">
        <v>76</v>
      </c>
      <c r="AV1516" s="17" t="s">
        <v>271</v>
      </c>
      <c r="AX1516" s="15">
        <v>46093.0</v>
      </c>
      <c r="AY1516" s="16">
        <v>0.41666666666424135</v>
      </c>
      <c r="AZ1516" s="17" t="s">
        <v>3034</v>
      </c>
      <c r="BA1516" s="17" t="s">
        <v>458</v>
      </c>
      <c r="BB1516" s="17" t="s">
        <v>109</v>
      </c>
      <c r="BP1516" s="17" t="s">
        <v>5387</v>
      </c>
      <c r="BR1516" s="24" t="str">
        <f t="shared" si="1"/>
        <v>SRI SAI FAMOUS UDIPI &amp; TIFFINS</v>
      </c>
    </row>
    <row r="1517" ht="22.5" customHeight="1">
      <c r="A1517" s="14">
        <v>46091.94644157407</v>
      </c>
      <c r="B1517" s="15">
        <v>46091.0</v>
      </c>
      <c r="C1517" s="16">
        <v>0.5222222222218988</v>
      </c>
      <c r="U1517" s="17" t="s">
        <v>1107</v>
      </c>
      <c r="V1517" s="17">
        <v>6.38397829E9</v>
      </c>
      <c r="W1517" s="17" t="s">
        <v>113</v>
      </c>
      <c r="AA1517" s="17" t="s">
        <v>109</v>
      </c>
      <c r="AT1517" s="17" t="s">
        <v>5388</v>
      </c>
      <c r="AU1517" s="17" t="s">
        <v>76</v>
      </c>
      <c r="AV1517" s="17" t="s">
        <v>271</v>
      </c>
      <c r="AX1517" s="15">
        <v>46106.0</v>
      </c>
      <c r="AY1517" s="16">
        <v>0.45833333333575865</v>
      </c>
      <c r="AZ1517" s="17" t="s">
        <v>3034</v>
      </c>
      <c r="BA1517" s="17" t="s">
        <v>458</v>
      </c>
      <c r="BB1517" s="17" t="s">
        <v>109</v>
      </c>
      <c r="BP1517" s="17" t="s">
        <v>4617</v>
      </c>
      <c r="BR1517" s="24" t="str">
        <f t="shared" si="1"/>
        <v>Mohammedia Shawarma</v>
      </c>
    </row>
    <row r="1518" ht="22.5" customHeight="1">
      <c r="A1518" s="14">
        <v>46091.94734490741</v>
      </c>
      <c r="B1518" s="15">
        <v>46091.0</v>
      </c>
      <c r="C1518" s="16">
        <v>0.5041666666656965</v>
      </c>
      <c r="U1518" s="17" t="s">
        <v>2055</v>
      </c>
      <c r="V1518" s="17">
        <v>7.39660009E9</v>
      </c>
      <c r="W1518" s="17" t="s">
        <v>113</v>
      </c>
      <c r="AA1518" s="17" t="s">
        <v>109</v>
      </c>
      <c r="AT1518" s="17" t="s">
        <v>5389</v>
      </c>
      <c r="AU1518" s="17" t="s">
        <v>76</v>
      </c>
      <c r="AV1518" s="17" t="s">
        <v>271</v>
      </c>
      <c r="AX1518" s="15">
        <v>46092.0</v>
      </c>
      <c r="AY1518" s="16">
        <v>0.16666666666424135</v>
      </c>
      <c r="AZ1518" s="17" t="s">
        <v>3034</v>
      </c>
      <c r="BA1518" s="17" t="s">
        <v>458</v>
      </c>
      <c r="BB1518" s="17" t="s">
        <v>109</v>
      </c>
      <c r="BP1518" s="17" t="s">
        <v>5390</v>
      </c>
      <c r="BR1518" s="24" t="str">
        <f t="shared" si="1"/>
        <v>Vada pav station</v>
      </c>
    </row>
    <row r="1519" ht="22.5" customHeight="1">
      <c r="A1519" s="14">
        <v>46091.95734043981</v>
      </c>
      <c r="B1519" s="15">
        <v>46091.0</v>
      </c>
      <c r="C1519" s="16">
        <v>0.25</v>
      </c>
      <c r="D1519" s="17" t="s">
        <v>91</v>
      </c>
      <c r="F1519" s="17">
        <v>30.0</v>
      </c>
      <c r="G1519" s="17">
        <v>250.0</v>
      </c>
      <c r="H1519" s="17" t="s">
        <v>113</v>
      </c>
      <c r="J1519" s="17" t="s">
        <v>94</v>
      </c>
      <c r="N1519" s="17">
        <v>1.0</v>
      </c>
      <c r="O1519" s="17" t="s">
        <v>96</v>
      </c>
      <c r="P1519" s="17" t="s">
        <v>109</v>
      </c>
      <c r="Q1519" s="17" t="s">
        <v>97</v>
      </c>
      <c r="R1519" s="17" t="s">
        <v>109</v>
      </c>
      <c r="S1519" s="18" t="s">
        <v>5391</v>
      </c>
      <c r="U1519" s="17">
        <v>7.989383201E9</v>
      </c>
      <c r="V1519" s="17" t="s">
        <v>5392</v>
      </c>
      <c r="W1519" s="17" t="s">
        <v>5393</v>
      </c>
      <c r="AA1519" s="17" t="s">
        <v>76</v>
      </c>
      <c r="AB1519" s="17">
        <v>2.3625032003923E13</v>
      </c>
      <c r="AC1519" s="18" t="s">
        <v>5394</v>
      </c>
      <c r="AD1519" s="17" t="s">
        <v>113</v>
      </c>
      <c r="AF1519" s="17" t="s">
        <v>5395</v>
      </c>
      <c r="AG1519" s="18" t="s">
        <v>5396</v>
      </c>
      <c r="AH1519" s="17" t="s">
        <v>117</v>
      </c>
      <c r="AK1519" s="18" t="s">
        <v>5397</v>
      </c>
      <c r="AL1519" s="17">
        <v>1.45361900002201E14</v>
      </c>
      <c r="AM1519" s="17" t="s">
        <v>3515</v>
      </c>
      <c r="AN1519" s="17" t="s">
        <v>5398</v>
      </c>
      <c r="AO1519" s="17" t="s">
        <v>5399</v>
      </c>
      <c r="AP1519" s="17">
        <v>7.989383201E9</v>
      </c>
      <c r="AS1519" s="17" t="s">
        <v>76</v>
      </c>
      <c r="AT1519" s="17" t="s">
        <v>5400</v>
      </c>
      <c r="AU1519" s="17" t="s">
        <v>109</v>
      </c>
      <c r="AZ1519" s="17" t="s">
        <v>3034</v>
      </c>
      <c r="BA1519" s="17" t="s">
        <v>458</v>
      </c>
      <c r="BB1519" s="17" t="s">
        <v>76</v>
      </c>
      <c r="BH1519" s="17">
        <v>20.0</v>
      </c>
      <c r="BI1519" s="17" t="s">
        <v>109</v>
      </c>
      <c r="BM1519" s="17" t="s">
        <v>5401</v>
      </c>
      <c r="BN1519" s="17" t="s">
        <v>1088</v>
      </c>
      <c r="BP1519" s="17" t="s">
        <v>5402</v>
      </c>
      <c r="BR1519" s="24" t="str">
        <f t="shared" si="1"/>
        <v>Rainbow Foods</v>
      </c>
    </row>
    <row r="1520" ht="22.5" customHeight="1">
      <c r="A1520" s="14">
        <v>46091.96084584491</v>
      </c>
      <c r="B1520" s="15">
        <v>46091.0</v>
      </c>
      <c r="C1520" s="16">
        <v>0.23958333333575865</v>
      </c>
      <c r="D1520" s="17" t="s">
        <v>91</v>
      </c>
      <c r="F1520" s="17">
        <v>40.0</v>
      </c>
      <c r="G1520" s="17">
        <v>300.0</v>
      </c>
      <c r="H1520" s="17" t="s">
        <v>113</v>
      </c>
      <c r="J1520" s="17" t="s">
        <v>94</v>
      </c>
      <c r="K1520" s="17" t="s">
        <v>134</v>
      </c>
      <c r="N1520" s="17">
        <v>4.0</v>
      </c>
      <c r="O1520" s="17" t="s">
        <v>96</v>
      </c>
      <c r="P1520" s="17" t="s">
        <v>109</v>
      </c>
      <c r="Q1520" s="17" t="s">
        <v>97</v>
      </c>
      <c r="R1520" s="17" t="s">
        <v>109</v>
      </c>
      <c r="S1520" s="17" t="s">
        <v>113</v>
      </c>
      <c r="U1520" s="17" t="s">
        <v>5403</v>
      </c>
      <c r="V1520" s="17">
        <v>9.000314794E9</v>
      </c>
      <c r="W1520" s="17" t="s">
        <v>5404</v>
      </c>
      <c r="AA1520" s="17" t="s">
        <v>76</v>
      </c>
      <c r="AB1520" s="17">
        <v>2.3625032008333E13</v>
      </c>
      <c r="AC1520" s="18" t="s">
        <v>5405</v>
      </c>
      <c r="AD1520" s="17" t="s">
        <v>113</v>
      </c>
      <c r="AF1520" s="17" t="s">
        <v>5406</v>
      </c>
      <c r="AG1520" s="18" t="s">
        <v>5407</v>
      </c>
      <c r="AH1520" s="17" t="s">
        <v>117</v>
      </c>
      <c r="AJ1520" s="18" t="s">
        <v>5408</v>
      </c>
      <c r="AK1520" s="18" t="s">
        <v>5409</v>
      </c>
      <c r="AS1520" s="17" t="s">
        <v>76</v>
      </c>
      <c r="AT1520" s="17" t="s">
        <v>5400</v>
      </c>
      <c r="AU1520" s="17" t="s">
        <v>109</v>
      </c>
      <c r="AZ1520" s="17" t="s">
        <v>3034</v>
      </c>
      <c r="BA1520" s="17" t="s">
        <v>458</v>
      </c>
      <c r="BB1520" s="17" t="s">
        <v>76</v>
      </c>
      <c r="BH1520" s="17">
        <v>20.0</v>
      </c>
      <c r="BI1520" s="17" t="s">
        <v>109</v>
      </c>
      <c r="BM1520" s="17" t="s">
        <v>5410</v>
      </c>
      <c r="BN1520" s="17" t="s">
        <v>4955</v>
      </c>
      <c r="BP1520" s="17" t="s">
        <v>5411</v>
      </c>
      <c r="BR1520" s="24" t="str">
        <f t="shared" si="1"/>
        <v>Maska Chaska - The fastfoods company</v>
      </c>
    </row>
    <row r="1521" ht="22.5" customHeight="1">
      <c r="A1521" s="14">
        <v>46092.47328387732</v>
      </c>
      <c r="B1521" s="15">
        <v>46086.0</v>
      </c>
      <c r="C1521" s="16">
        <v>0.101388888884685</v>
      </c>
      <c r="U1521" s="17" t="s">
        <v>388</v>
      </c>
      <c r="V1521" s="17">
        <v>6.300703058E9</v>
      </c>
      <c r="W1521" s="17" t="s">
        <v>388</v>
      </c>
      <c r="AA1521" s="17" t="s">
        <v>109</v>
      </c>
      <c r="AT1521" s="17" t="s">
        <v>4548</v>
      </c>
      <c r="AU1521" s="17" t="s">
        <v>109</v>
      </c>
      <c r="AZ1521" s="17" t="s">
        <v>539</v>
      </c>
      <c r="BA1521" s="17" t="s">
        <v>458</v>
      </c>
      <c r="BB1521" s="17" t="s">
        <v>109</v>
      </c>
      <c r="BP1521" s="17" t="s">
        <v>5412</v>
      </c>
      <c r="BR1521" s="24" t="str">
        <f t="shared" si="1"/>
        <v>Balaji mithai bhandar </v>
      </c>
    </row>
    <row r="1522" ht="22.5" customHeight="1">
      <c r="A1522" s="14">
        <v>46092.4738734375</v>
      </c>
      <c r="B1522" s="15">
        <v>46086.0</v>
      </c>
      <c r="C1522" s="16">
        <v>0.10347222222480923</v>
      </c>
      <c r="U1522" s="17" t="s">
        <v>388</v>
      </c>
      <c r="V1522" s="17">
        <v>8.4660342E9</v>
      </c>
      <c r="W1522" s="17" t="s">
        <v>388</v>
      </c>
      <c r="AA1522" s="17" t="s">
        <v>109</v>
      </c>
      <c r="AT1522" s="17" t="s">
        <v>388</v>
      </c>
      <c r="AU1522" s="17" t="s">
        <v>109</v>
      </c>
      <c r="AZ1522" s="17" t="s">
        <v>539</v>
      </c>
      <c r="BA1522" s="17" t="s">
        <v>458</v>
      </c>
      <c r="BB1522" s="17" t="s">
        <v>109</v>
      </c>
      <c r="BP1522" s="17" t="s">
        <v>5413</v>
      </c>
      <c r="BR1522" s="24" t="str">
        <f t="shared" si="1"/>
        <v>Seas curries </v>
      </c>
    </row>
    <row r="1523" ht="22.5" customHeight="1">
      <c r="A1523" s="14">
        <v>46092.474584930555</v>
      </c>
      <c r="B1523" s="15">
        <v>46086.0</v>
      </c>
      <c r="C1523" s="16">
        <v>0.11527777777519077</v>
      </c>
      <c r="U1523" s="17" t="s">
        <v>5077</v>
      </c>
      <c r="V1523" s="17">
        <v>9.849183812E9</v>
      </c>
      <c r="W1523" s="17" t="s">
        <v>388</v>
      </c>
      <c r="AA1523" s="17" t="s">
        <v>109</v>
      </c>
      <c r="AT1523" s="17" t="s">
        <v>388</v>
      </c>
      <c r="AU1523" s="17" t="s">
        <v>109</v>
      </c>
      <c r="AZ1523" s="17" t="s">
        <v>539</v>
      </c>
      <c r="BA1523" s="17" t="s">
        <v>458</v>
      </c>
      <c r="BB1523" s="17" t="s">
        <v>109</v>
      </c>
      <c r="BP1523" s="17" t="s">
        <v>5414</v>
      </c>
      <c r="BR1523" s="24" t="str">
        <f t="shared" si="1"/>
        <v>Brown bear bakers </v>
      </c>
    </row>
    <row r="1524" ht="22.5" customHeight="1">
      <c r="A1524" s="14">
        <v>46092.475257812504</v>
      </c>
      <c r="B1524" s="15">
        <v>46086.0</v>
      </c>
      <c r="C1524" s="16">
        <v>0.12083333333430346</v>
      </c>
      <c r="U1524" s="17" t="s">
        <v>4839</v>
      </c>
      <c r="V1524" s="17">
        <v>9.849555522E9</v>
      </c>
      <c r="W1524" s="17" t="s">
        <v>388</v>
      </c>
      <c r="AA1524" s="17" t="s">
        <v>109</v>
      </c>
      <c r="AT1524" s="17" t="s">
        <v>388</v>
      </c>
      <c r="AU1524" s="17" t="s">
        <v>76</v>
      </c>
      <c r="AZ1524" s="17" t="s">
        <v>539</v>
      </c>
      <c r="BA1524" s="17" t="s">
        <v>458</v>
      </c>
      <c r="BB1524" s="17" t="s">
        <v>109</v>
      </c>
      <c r="BP1524" s="17" t="s">
        <v>5415</v>
      </c>
      <c r="BR1524" s="24" t="str">
        <f t="shared" si="1"/>
        <v>Kalpana tiffens and meals </v>
      </c>
    </row>
    <row r="1525" ht="22.5" customHeight="1">
      <c r="A1525" s="14">
        <v>46092.47582076389</v>
      </c>
      <c r="B1525" s="15">
        <v>46086.0</v>
      </c>
      <c r="C1525" s="16">
        <v>0.125</v>
      </c>
      <c r="U1525" s="17" t="s">
        <v>388</v>
      </c>
      <c r="V1525" s="17">
        <v>9.030785244E9</v>
      </c>
      <c r="W1525" s="17" t="s">
        <v>388</v>
      </c>
      <c r="AA1525" s="17" t="s">
        <v>109</v>
      </c>
      <c r="AT1525" s="17" t="s">
        <v>586</v>
      </c>
      <c r="AU1525" s="17" t="s">
        <v>109</v>
      </c>
      <c r="AZ1525" s="17" t="s">
        <v>539</v>
      </c>
      <c r="BA1525" s="17" t="s">
        <v>458</v>
      </c>
      <c r="BB1525" s="17" t="s">
        <v>109</v>
      </c>
      <c r="BP1525" s="17" t="s">
        <v>5416</v>
      </c>
      <c r="BR1525" s="24" t="str">
        <f t="shared" si="1"/>
        <v>Hotel Nawabi </v>
      </c>
    </row>
    <row r="1526" ht="22.5" customHeight="1">
      <c r="A1526" s="14">
        <v>46092.47627284723</v>
      </c>
      <c r="B1526" s="15">
        <v>46086.0</v>
      </c>
      <c r="C1526" s="16">
        <v>0.14027777777664596</v>
      </c>
      <c r="U1526" s="17" t="s">
        <v>388</v>
      </c>
      <c r="V1526" s="17" t="s">
        <v>388</v>
      </c>
      <c r="W1526" s="17" t="s">
        <v>388</v>
      </c>
      <c r="AA1526" s="17" t="s">
        <v>109</v>
      </c>
      <c r="AT1526" s="17" t="s">
        <v>4548</v>
      </c>
      <c r="AU1526" s="17" t="s">
        <v>109</v>
      </c>
      <c r="AZ1526" s="17" t="s">
        <v>539</v>
      </c>
      <c r="BA1526" s="17" t="s">
        <v>458</v>
      </c>
      <c r="BB1526" s="17" t="s">
        <v>109</v>
      </c>
      <c r="BP1526" s="17" t="s">
        <v>5417</v>
      </c>
      <c r="BR1526" s="24" t="str">
        <f t="shared" si="1"/>
        <v>Geetha hotels </v>
      </c>
    </row>
    <row r="1527" ht="22.5" customHeight="1">
      <c r="A1527" s="14">
        <v>46092.47708203703</v>
      </c>
      <c r="B1527" s="15">
        <v>46086.0</v>
      </c>
      <c r="C1527" s="16">
        <v>0.16597222222480923</v>
      </c>
      <c r="U1527" s="17" t="s">
        <v>388</v>
      </c>
      <c r="V1527" s="17" t="s">
        <v>388</v>
      </c>
      <c r="W1527" s="17" t="s">
        <v>388</v>
      </c>
      <c r="AA1527" s="17" t="s">
        <v>109</v>
      </c>
      <c r="AT1527" s="17" t="s">
        <v>388</v>
      </c>
      <c r="AU1527" s="17" t="s">
        <v>109</v>
      </c>
      <c r="AZ1527" s="17" t="s">
        <v>539</v>
      </c>
      <c r="BA1527" s="17" t="s">
        <v>458</v>
      </c>
      <c r="BB1527" s="17" t="s">
        <v>109</v>
      </c>
      <c r="BP1527" s="17" t="s">
        <v>5418</v>
      </c>
      <c r="BR1527" s="24" t="str">
        <f t="shared" si="1"/>
        <v>Om Sai kitchens </v>
      </c>
    </row>
    <row r="1528" ht="22.5" customHeight="1">
      <c r="A1528" s="14">
        <v>46092.47801385417</v>
      </c>
      <c r="B1528" s="15">
        <v>46086.0</v>
      </c>
      <c r="C1528" s="16">
        <v>0.16527777777810115</v>
      </c>
      <c r="U1528" s="17" t="s">
        <v>388</v>
      </c>
      <c r="V1528" s="17">
        <v>8.97840633E9</v>
      </c>
      <c r="W1528" s="17" t="s">
        <v>388</v>
      </c>
      <c r="AA1528" s="17" t="s">
        <v>109</v>
      </c>
      <c r="AT1528" s="17" t="s">
        <v>5419</v>
      </c>
      <c r="AU1528" s="17" t="s">
        <v>109</v>
      </c>
      <c r="AZ1528" s="17" t="s">
        <v>539</v>
      </c>
      <c r="BA1528" s="17" t="s">
        <v>458</v>
      </c>
      <c r="BB1528" s="17" t="s">
        <v>109</v>
      </c>
      <c r="BP1528" s="17" t="s">
        <v>5420</v>
      </c>
      <c r="BR1528" s="24" t="str">
        <f t="shared" si="1"/>
        <v>Hakka Chinese foods </v>
      </c>
    </row>
    <row r="1529" ht="22.5" customHeight="1">
      <c r="A1529" s="14">
        <v>46092.47881359953</v>
      </c>
      <c r="B1529" s="15">
        <v>46086.0</v>
      </c>
      <c r="C1529" s="16">
        <v>0.15277777778101154</v>
      </c>
      <c r="U1529" s="17" t="s">
        <v>5421</v>
      </c>
      <c r="V1529" s="17">
        <v>9.13169973E9</v>
      </c>
      <c r="W1529" s="17" t="s">
        <v>388</v>
      </c>
      <c r="AA1529" s="17" t="s">
        <v>109</v>
      </c>
      <c r="AT1529" s="17" t="s">
        <v>5422</v>
      </c>
      <c r="AU1529" s="17" t="s">
        <v>109</v>
      </c>
      <c r="AZ1529" s="17" t="s">
        <v>539</v>
      </c>
      <c r="BA1529" s="17" t="s">
        <v>458</v>
      </c>
      <c r="BB1529" s="17" t="s">
        <v>109</v>
      </c>
      <c r="BP1529" s="17" t="s">
        <v>5423</v>
      </c>
      <c r="BR1529" s="24" t="str">
        <f t="shared" si="1"/>
        <v>Kk bakers </v>
      </c>
    </row>
    <row r="1530" ht="22.5" customHeight="1">
      <c r="A1530" s="14">
        <v>46092.47943409722</v>
      </c>
      <c r="B1530" s="15">
        <v>46086.0</v>
      </c>
      <c r="C1530" s="16">
        <v>0.15555555555329192</v>
      </c>
      <c r="U1530" s="17" t="s">
        <v>4861</v>
      </c>
      <c r="V1530" s="17">
        <v>6.301975575E9</v>
      </c>
      <c r="W1530" s="17" t="s">
        <v>388</v>
      </c>
      <c r="AA1530" s="17" t="s">
        <v>109</v>
      </c>
      <c r="AT1530" s="17" t="s">
        <v>388</v>
      </c>
      <c r="AU1530" s="17" t="s">
        <v>76</v>
      </c>
      <c r="AZ1530" s="17" t="s">
        <v>539</v>
      </c>
      <c r="BA1530" s="17" t="s">
        <v>458</v>
      </c>
      <c r="BB1530" s="17" t="s">
        <v>109</v>
      </c>
      <c r="BP1530" s="17" t="s">
        <v>5067</v>
      </c>
      <c r="BR1530" s="24" t="str">
        <f t="shared" si="1"/>
        <v>Butta biryani </v>
      </c>
    </row>
    <row r="1531" ht="22.5" customHeight="1">
      <c r="A1531" s="14">
        <v>46092.48017195602</v>
      </c>
      <c r="B1531" s="15">
        <v>46086.0</v>
      </c>
      <c r="C1531" s="16">
        <v>0.16666666666424135</v>
      </c>
      <c r="U1531" s="17" t="s">
        <v>5424</v>
      </c>
      <c r="V1531" s="17">
        <v>9.831175306E9</v>
      </c>
      <c r="W1531" s="17" t="s">
        <v>388</v>
      </c>
      <c r="AA1531" s="17" t="s">
        <v>109</v>
      </c>
      <c r="AT1531" s="17" t="s">
        <v>388</v>
      </c>
      <c r="AU1531" s="17" t="s">
        <v>76</v>
      </c>
      <c r="AZ1531" s="17" t="s">
        <v>539</v>
      </c>
      <c r="BA1531" s="17" t="s">
        <v>458</v>
      </c>
      <c r="BB1531" s="17" t="s">
        <v>109</v>
      </c>
      <c r="BP1531" s="17" t="s">
        <v>5425</v>
      </c>
      <c r="BR1531" s="24" t="str">
        <f t="shared" si="1"/>
        <v>Shawarma by to roxtarz</v>
      </c>
    </row>
    <row r="1532" ht="22.5" customHeight="1">
      <c r="A1532" s="14">
        <v>46092.48108049769</v>
      </c>
      <c r="B1532" s="15">
        <v>46086.0</v>
      </c>
      <c r="C1532" s="16">
        <v>0.1680555555576575</v>
      </c>
      <c r="U1532" s="17" t="s">
        <v>388</v>
      </c>
      <c r="V1532" s="17">
        <v>6.281337544E9</v>
      </c>
      <c r="W1532" s="17" t="s">
        <v>388</v>
      </c>
      <c r="AA1532" s="17" t="s">
        <v>109</v>
      </c>
      <c r="AT1532" s="17" t="s">
        <v>388</v>
      </c>
      <c r="AU1532" s="17" t="s">
        <v>109</v>
      </c>
      <c r="AZ1532" s="17" t="s">
        <v>539</v>
      </c>
      <c r="BA1532" s="17" t="s">
        <v>458</v>
      </c>
      <c r="BB1532" s="17" t="s">
        <v>109</v>
      </c>
      <c r="BP1532" s="17" t="s">
        <v>4874</v>
      </c>
      <c r="BR1532" s="24" t="str">
        <f t="shared" si="1"/>
        <v>Karthikeya chitti nethi idly </v>
      </c>
    </row>
    <row r="1533" ht="22.5" customHeight="1">
      <c r="A1533" s="14">
        <v>46092.48193328704</v>
      </c>
      <c r="B1533" s="15">
        <v>46086.0</v>
      </c>
      <c r="C1533" s="16">
        <v>0.17083333333721384</v>
      </c>
      <c r="U1533" s="17" t="s">
        <v>5426</v>
      </c>
      <c r="V1533" s="17">
        <v>8.143777074E9</v>
      </c>
      <c r="W1533" s="17" t="s">
        <v>388</v>
      </c>
      <c r="AA1533" s="17" t="s">
        <v>109</v>
      </c>
      <c r="AT1533" s="17" t="s">
        <v>388</v>
      </c>
      <c r="AU1533" s="17" t="s">
        <v>109</v>
      </c>
      <c r="AZ1533" s="17" t="s">
        <v>539</v>
      </c>
      <c r="BA1533" s="17" t="s">
        <v>458</v>
      </c>
      <c r="BB1533" s="17" t="s">
        <v>109</v>
      </c>
      <c r="BP1533" s="17" t="s">
        <v>5427</v>
      </c>
      <c r="BR1533" s="24" t="str">
        <f t="shared" si="1"/>
        <v>Chaat bazzar</v>
      </c>
    </row>
    <row r="1534" ht="22.5" customHeight="1">
      <c r="A1534" s="14">
        <v>46092.48271113426</v>
      </c>
      <c r="B1534" s="15">
        <v>46086.0</v>
      </c>
      <c r="C1534" s="16">
        <v>0.1819444444408873</v>
      </c>
      <c r="U1534" s="17" t="s">
        <v>388</v>
      </c>
      <c r="V1534" s="17" t="s">
        <v>5428</v>
      </c>
      <c r="W1534" s="17" t="s">
        <v>388</v>
      </c>
      <c r="AA1534" s="17" t="s">
        <v>109</v>
      </c>
      <c r="AT1534" s="17" t="s">
        <v>388</v>
      </c>
      <c r="AU1534" s="17" t="s">
        <v>109</v>
      </c>
      <c r="AZ1534" s="17" t="s">
        <v>539</v>
      </c>
      <c r="BA1534" s="17" t="s">
        <v>458</v>
      </c>
      <c r="BB1534" s="17" t="s">
        <v>109</v>
      </c>
      <c r="BP1534" s="17" t="s">
        <v>5429</v>
      </c>
      <c r="BR1534" s="24" t="str">
        <f t="shared" si="1"/>
        <v>Godavari bajji Mirchi </v>
      </c>
    </row>
    <row r="1535" ht="22.5" customHeight="1">
      <c r="A1535" s="14">
        <v>46092.48342693287</v>
      </c>
      <c r="B1535" s="15">
        <v>46086.0</v>
      </c>
      <c r="C1535" s="16">
        <v>0.2680555555562023</v>
      </c>
      <c r="U1535" s="17" t="s">
        <v>1737</v>
      </c>
      <c r="V1535" s="17">
        <v>7.760502088E9</v>
      </c>
      <c r="W1535" s="17" t="s">
        <v>388</v>
      </c>
      <c r="AA1535" s="17" t="s">
        <v>109</v>
      </c>
      <c r="AT1535" s="17" t="s">
        <v>5430</v>
      </c>
      <c r="AU1535" s="17" t="s">
        <v>109</v>
      </c>
      <c r="AZ1535" s="17" t="s">
        <v>539</v>
      </c>
      <c r="BA1535" s="17" t="s">
        <v>458</v>
      </c>
      <c r="BB1535" s="17" t="s">
        <v>109</v>
      </c>
      <c r="BP1535" s="17" t="s">
        <v>5028</v>
      </c>
      <c r="BR1535" s="24" t="str">
        <f t="shared" si="1"/>
        <v>Dfc </v>
      </c>
    </row>
    <row r="1536" ht="22.5" customHeight="1">
      <c r="A1536" s="14">
        <v>46092.48428016204</v>
      </c>
      <c r="B1536" s="15">
        <v>46087.0</v>
      </c>
      <c r="C1536" s="16">
        <v>0.5319444444467081</v>
      </c>
      <c r="U1536" s="17" t="s">
        <v>5431</v>
      </c>
      <c r="V1536" s="17" t="s">
        <v>388</v>
      </c>
      <c r="W1536" s="17" t="s">
        <v>388</v>
      </c>
      <c r="AA1536" s="17" t="s">
        <v>109</v>
      </c>
      <c r="AT1536" s="17" t="s">
        <v>388</v>
      </c>
      <c r="AU1536" s="17" t="s">
        <v>76</v>
      </c>
      <c r="AZ1536" s="17" t="s">
        <v>539</v>
      </c>
      <c r="BA1536" s="17" t="s">
        <v>458</v>
      </c>
      <c r="BB1536" s="17" t="s">
        <v>109</v>
      </c>
      <c r="BP1536" s="17" t="s">
        <v>4961</v>
      </c>
      <c r="BR1536" s="24" t="str">
        <f t="shared" si="1"/>
        <v>Dakshina desapu ruchulu </v>
      </c>
    </row>
    <row r="1537" ht="22.5" customHeight="1">
      <c r="A1537" s="14">
        <v>46092.48508109954</v>
      </c>
      <c r="B1537" s="15">
        <v>46087.0</v>
      </c>
      <c r="C1537" s="16">
        <v>0.538888888884685</v>
      </c>
      <c r="U1537" s="17" t="s">
        <v>5432</v>
      </c>
      <c r="V1537" s="17">
        <v>7.799956667E9</v>
      </c>
      <c r="W1537" s="17" t="s">
        <v>388</v>
      </c>
      <c r="AA1537" s="17" t="s">
        <v>109</v>
      </c>
      <c r="AT1537" s="17" t="s">
        <v>5433</v>
      </c>
      <c r="AU1537" s="17" t="s">
        <v>109</v>
      </c>
      <c r="AZ1537" s="17" t="s">
        <v>539</v>
      </c>
      <c r="BA1537" s="17" t="s">
        <v>458</v>
      </c>
      <c r="BB1537" s="17" t="s">
        <v>109</v>
      </c>
      <c r="BP1537" s="17" t="s">
        <v>5434</v>
      </c>
      <c r="BR1537" s="24" t="str">
        <f t="shared" si="1"/>
        <v>President dhaba </v>
      </c>
    </row>
    <row r="1538" ht="22.5" customHeight="1">
      <c r="A1538" s="14">
        <v>46092.48612231482</v>
      </c>
      <c r="B1538" s="15">
        <v>46087.0</v>
      </c>
      <c r="C1538" s="16">
        <v>0.5409722222248092</v>
      </c>
      <c r="U1538" s="17" t="s">
        <v>5432</v>
      </c>
      <c r="V1538" s="17">
        <v>9.985690739E9</v>
      </c>
      <c r="W1538" s="17" t="s">
        <v>388</v>
      </c>
      <c r="AA1538" s="17" t="s">
        <v>109</v>
      </c>
      <c r="AT1538" s="17" t="s">
        <v>388</v>
      </c>
      <c r="AU1538" s="17" t="s">
        <v>76</v>
      </c>
      <c r="AZ1538" s="17" t="s">
        <v>539</v>
      </c>
      <c r="BA1538" s="17" t="s">
        <v>458</v>
      </c>
      <c r="BB1538" s="17" t="s">
        <v>109</v>
      </c>
      <c r="BP1538" s="17" t="s">
        <v>5435</v>
      </c>
      <c r="BR1538" s="24" t="str">
        <f t="shared" si="1"/>
        <v>Minyu </v>
      </c>
    </row>
    <row r="1539" ht="22.5" customHeight="1">
      <c r="A1539" s="14">
        <v>46092.487212418986</v>
      </c>
      <c r="B1539" s="15">
        <v>46087.0</v>
      </c>
      <c r="C1539" s="16">
        <v>0.125</v>
      </c>
      <c r="U1539" s="17" t="s">
        <v>388</v>
      </c>
      <c r="V1539" s="17" t="s">
        <v>388</v>
      </c>
      <c r="W1539" s="17" t="s">
        <v>388</v>
      </c>
      <c r="AA1539" s="17" t="s">
        <v>109</v>
      </c>
      <c r="AT1539" s="17" t="s">
        <v>388</v>
      </c>
      <c r="AU1539" s="17" t="s">
        <v>76</v>
      </c>
      <c r="AZ1539" s="17" t="s">
        <v>539</v>
      </c>
      <c r="BA1539" s="17" t="s">
        <v>458</v>
      </c>
      <c r="BB1539" s="17" t="s">
        <v>109</v>
      </c>
      <c r="BP1539" s="17" t="s">
        <v>5436</v>
      </c>
      <c r="BR1539" s="24" t="str">
        <f t="shared" si="1"/>
        <v>Betech tiffens </v>
      </c>
    </row>
    <row r="1540" ht="22.5" customHeight="1">
      <c r="A1540" s="14">
        <v>46092.48860376157</v>
      </c>
      <c r="B1540" s="15">
        <v>46087.0</v>
      </c>
      <c r="C1540" s="16">
        <v>0.125</v>
      </c>
      <c r="U1540" s="17" t="s">
        <v>388</v>
      </c>
      <c r="V1540" s="17" t="s">
        <v>388</v>
      </c>
      <c r="W1540" s="17" t="s">
        <v>388</v>
      </c>
      <c r="AA1540" s="17" t="s">
        <v>109</v>
      </c>
      <c r="AT1540" s="17" t="s">
        <v>388</v>
      </c>
      <c r="AU1540" s="17" t="s">
        <v>76</v>
      </c>
      <c r="AZ1540" s="17" t="s">
        <v>539</v>
      </c>
      <c r="BA1540" s="17" t="s">
        <v>458</v>
      </c>
      <c r="BB1540" s="17" t="s">
        <v>109</v>
      </c>
      <c r="BP1540" s="17" t="s">
        <v>4968</v>
      </c>
      <c r="BR1540" s="24" t="str">
        <f t="shared" si="1"/>
        <v>Hamara adda</v>
      </c>
    </row>
    <row r="1541" ht="22.5" customHeight="1">
      <c r="A1541" s="14">
        <v>46092.48920863426</v>
      </c>
      <c r="B1541" s="15">
        <v>46087.0</v>
      </c>
      <c r="C1541" s="16">
        <v>0.16666666666424135</v>
      </c>
      <c r="U1541" s="17" t="s">
        <v>388</v>
      </c>
      <c r="V1541" s="17" t="s">
        <v>388</v>
      </c>
      <c r="W1541" s="17" t="s">
        <v>388</v>
      </c>
      <c r="AA1541" s="17" t="s">
        <v>109</v>
      </c>
      <c r="AT1541" s="17" t="s">
        <v>388</v>
      </c>
      <c r="AU1541" s="17" t="s">
        <v>76</v>
      </c>
      <c r="AZ1541" s="17" t="s">
        <v>539</v>
      </c>
      <c r="BA1541" s="17" t="s">
        <v>458</v>
      </c>
      <c r="BB1541" s="17" t="s">
        <v>109</v>
      </c>
      <c r="BP1541" s="17" t="s">
        <v>5437</v>
      </c>
      <c r="BR1541" s="24" t="str">
        <f t="shared" si="1"/>
        <v>Mr cook</v>
      </c>
    </row>
    <row r="1542" ht="22.5" customHeight="1">
      <c r="A1542" s="14">
        <v>46092.490221423606</v>
      </c>
      <c r="B1542" s="15">
        <v>46087.0</v>
      </c>
      <c r="C1542" s="16">
        <v>0.19791666666424135</v>
      </c>
      <c r="U1542" s="17" t="s">
        <v>388</v>
      </c>
      <c r="V1542" s="17" t="s">
        <v>388</v>
      </c>
      <c r="W1542" s="17" t="s">
        <v>388</v>
      </c>
      <c r="AA1542" s="17" t="s">
        <v>109</v>
      </c>
      <c r="AT1542" s="17" t="s">
        <v>388</v>
      </c>
      <c r="AU1542" s="17" t="s">
        <v>76</v>
      </c>
      <c r="AZ1542" s="17" t="s">
        <v>539</v>
      </c>
      <c r="BA1542" s="17" t="s">
        <v>458</v>
      </c>
      <c r="BB1542" s="17" t="s">
        <v>109</v>
      </c>
      <c r="BP1542" s="17" t="s">
        <v>5418</v>
      </c>
      <c r="BR1542" s="24" t="str">
        <f t="shared" si="1"/>
        <v>Om Sai kitchens </v>
      </c>
    </row>
    <row r="1543" ht="22.5" customHeight="1">
      <c r="A1543" s="14">
        <v>46092.49353528935</v>
      </c>
      <c r="B1543" s="15">
        <v>46087.0</v>
      </c>
      <c r="C1543" s="16">
        <v>0.16666666666424135</v>
      </c>
      <c r="U1543" s="17" t="s">
        <v>388</v>
      </c>
      <c r="V1543" s="17" t="s">
        <v>388</v>
      </c>
      <c r="W1543" s="17" t="s">
        <v>388</v>
      </c>
      <c r="AA1543" s="17" t="s">
        <v>109</v>
      </c>
      <c r="AT1543" s="17" t="s">
        <v>388</v>
      </c>
      <c r="AU1543" s="17" t="s">
        <v>76</v>
      </c>
      <c r="AZ1543" s="17" t="s">
        <v>539</v>
      </c>
      <c r="BA1543" s="17" t="s">
        <v>458</v>
      </c>
      <c r="BB1543" s="17" t="s">
        <v>109</v>
      </c>
      <c r="BP1543" s="17" t="s">
        <v>5438</v>
      </c>
      <c r="BR1543" s="24" t="str">
        <f t="shared" si="1"/>
        <v>Kssr bakers </v>
      </c>
    </row>
    <row r="1544" ht="22.5" customHeight="1">
      <c r="A1544" s="14">
        <v>46092.4945450463</v>
      </c>
      <c r="B1544" s="15">
        <v>46087.0</v>
      </c>
      <c r="C1544" s="16">
        <v>0.27083333333575865</v>
      </c>
      <c r="U1544" s="17" t="s">
        <v>388</v>
      </c>
      <c r="V1544" s="17" t="s">
        <v>388</v>
      </c>
      <c r="W1544" s="17" t="s">
        <v>388</v>
      </c>
      <c r="AA1544" s="17" t="s">
        <v>109</v>
      </c>
      <c r="AT1544" s="17" t="s">
        <v>388</v>
      </c>
      <c r="AU1544" s="17" t="s">
        <v>109</v>
      </c>
      <c r="AZ1544" s="17" t="s">
        <v>539</v>
      </c>
      <c r="BA1544" s="17" t="s">
        <v>458</v>
      </c>
      <c r="BB1544" s="17" t="s">
        <v>109</v>
      </c>
      <c r="BP1544" s="17" t="s">
        <v>5439</v>
      </c>
      <c r="BR1544" s="24" t="str">
        <f t="shared" si="1"/>
        <v>The whole in the wall </v>
      </c>
    </row>
    <row r="1545" ht="22.5" customHeight="1">
      <c r="A1545" s="14">
        <v>46092.49535221065</v>
      </c>
      <c r="B1545" s="15">
        <v>46087.0</v>
      </c>
      <c r="C1545" s="16">
        <v>0.1875</v>
      </c>
      <c r="U1545" s="17" t="s">
        <v>388</v>
      </c>
      <c r="V1545" s="17" t="s">
        <v>388</v>
      </c>
      <c r="W1545" s="17" t="s">
        <v>388</v>
      </c>
      <c r="AA1545" s="17" t="s">
        <v>109</v>
      </c>
      <c r="AT1545" s="17" t="s">
        <v>388</v>
      </c>
      <c r="AU1545" s="17" t="s">
        <v>109</v>
      </c>
      <c r="AZ1545" s="17" t="s">
        <v>539</v>
      </c>
      <c r="BA1545" s="17" t="s">
        <v>458</v>
      </c>
      <c r="BB1545" s="17" t="s">
        <v>109</v>
      </c>
      <c r="BP1545" s="17" t="s">
        <v>5440</v>
      </c>
      <c r="BR1545" s="24" t="str">
        <f t="shared" si="1"/>
        <v>Krishnapatanam</v>
      </c>
    </row>
    <row r="1546" ht="22.5" customHeight="1">
      <c r="A1546" s="14">
        <v>46092.49644394676</v>
      </c>
      <c r="B1546" s="15">
        <v>46090.0</v>
      </c>
      <c r="C1546" s="16">
        <v>0.49583333333430346</v>
      </c>
      <c r="U1546" s="17" t="s">
        <v>388</v>
      </c>
      <c r="V1546" s="17" t="s">
        <v>5441</v>
      </c>
      <c r="W1546" s="17" t="s">
        <v>388</v>
      </c>
      <c r="AA1546" s="17" t="s">
        <v>109</v>
      </c>
      <c r="AT1546" s="17" t="s">
        <v>388</v>
      </c>
      <c r="AU1546" s="17" t="s">
        <v>109</v>
      </c>
      <c r="AZ1546" s="17" t="s">
        <v>539</v>
      </c>
      <c r="BA1546" s="17" t="s">
        <v>458</v>
      </c>
      <c r="BB1546" s="17" t="s">
        <v>109</v>
      </c>
      <c r="BP1546" s="17" t="s">
        <v>3396</v>
      </c>
      <c r="BR1546" s="24" t="str">
        <f t="shared" si="1"/>
        <v>Chutneys</v>
      </c>
    </row>
    <row r="1547" ht="22.5" customHeight="1">
      <c r="A1547" s="14">
        <v>46092.496937523145</v>
      </c>
      <c r="B1547" s="15">
        <v>46090.0</v>
      </c>
      <c r="C1547" s="16">
        <v>0.49722222222044365</v>
      </c>
      <c r="U1547" s="17" t="s">
        <v>388</v>
      </c>
      <c r="V1547" s="17" t="s">
        <v>388</v>
      </c>
      <c r="W1547" s="17" t="s">
        <v>388</v>
      </c>
      <c r="AA1547" s="17" t="s">
        <v>109</v>
      </c>
      <c r="AT1547" s="17" t="s">
        <v>388</v>
      </c>
      <c r="AU1547" s="17" t="s">
        <v>76</v>
      </c>
      <c r="AZ1547" s="17" t="s">
        <v>539</v>
      </c>
      <c r="BA1547" s="17" t="s">
        <v>458</v>
      </c>
      <c r="BB1547" s="17" t="s">
        <v>109</v>
      </c>
      <c r="BP1547" s="17" t="s">
        <v>5442</v>
      </c>
      <c r="BR1547" s="24" t="str">
        <f t="shared" si="1"/>
        <v>Goorangs kitchen </v>
      </c>
    </row>
    <row r="1548" ht="22.5" customHeight="1">
      <c r="A1548" s="14">
        <v>46092.498176064815</v>
      </c>
      <c r="B1548" s="15">
        <v>46090.0</v>
      </c>
      <c r="C1548" s="16">
        <v>0.5055555555591127</v>
      </c>
      <c r="U1548" s="17" t="s">
        <v>5443</v>
      </c>
      <c r="V1548" s="17">
        <v>7.675017029E9</v>
      </c>
      <c r="W1548" s="17" t="s">
        <v>388</v>
      </c>
      <c r="AA1548" s="17" t="s">
        <v>109</v>
      </c>
      <c r="AT1548" s="17" t="s">
        <v>3589</v>
      </c>
      <c r="AU1548" s="17" t="s">
        <v>76</v>
      </c>
      <c r="AZ1548" s="17" t="s">
        <v>539</v>
      </c>
      <c r="BA1548" s="17" t="s">
        <v>458</v>
      </c>
      <c r="BB1548" s="17" t="s">
        <v>109</v>
      </c>
      <c r="BP1548" s="17" t="s">
        <v>5444</v>
      </c>
      <c r="BR1548" s="24" t="str">
        <f t="shared" si="1"/>
        <v>Boojanam thayaru </v>
      </c>
    </row>
    <row r="1549" ht="22.5" customHeight="1">
      <c r="A1549" s="14">
        <v>46092.49888587963</v>
      </c>
      <c r="B1549" s="15">
        <v>46090.0</v>
      </c>
      <c r="C1549" s="16">
        <v>0.07083333333139308</v>
      </c>
      <c r="U1549" s="17" t="s">
        <v>5445</v>
      </c>
      <c r="V1549" s="17">
        <v>9.502922661E9</v>
      </c>
      <c r="W1549" s="17" t="s">
        <v>388</v>
      </c>
      <c r="AA1549" s="17" t="s">
        <v>109</v>
      </c>
      <c r="AT1549" s="17" t="s">
        <v>5446</v>
      </c>
      <c r="AU1549" s="17" t="s">
        <v>109</v>
      </c>
      <c r="AZ1549" s="17" t="s">
        <v>539</v>
      </c>
      <c r="BA1549" s="17" t="s">
        <v>458</v>
      </c>
      <c r="BB1549" s="17" t="s">
        <v>109</v>
      </c>
      <c r="BP1549" s="17" t="s">
        <v>5447</v>
      </c>
      <c r="BR1549" s="24" t="str">
        <f t="shared" si="1"/>
        <v>The soul curry kadali path pathra</v>
      </c>
    </row>
    <row r="1550" ht="22.5" customHeight="1">
      <c r="A1550" s="14">
        <v>46092.499424803245</v>
      </c>
      <c r="B1550" s="15">
        <v>46090.0</v>
      </c>
      <c r="C1550" s="16">
        <v>0.08680555555474712</v>
      </c>
      <c r="U1550" s="17" t="s">
        <v>5448</v>
      </c>
      <c r="V1550" s="17">
        <v>9.00089059E9</v>
      </c>
      <c r="W1550" s="17" t="s">
        <v>388</v>
      </c>
      <c r="AA1550" s="17" t="s">
        <v>109</v>
      </c>
      <c r="AT1550" s="17" t="s">
        <v>388</v>
      </c>
      <c r="AU1550" s="17" t="s">
        <v>109</v>
      </c>
      <c r="AZ1550" s="17" t="s">
        <v>539</v>
      </c>
      <c r="BA1550" s="17" t="s">
        <v>458</v>
      </c>
      <c r="BB1550" s="17" t="s">
        <v>109</v>
      </c>
      <c r="BP1550" s="17" t="s">
        <v>5322</v>
      </c>
      <c r="BR1550" s="24" t="str">
        <f t="shared" si="1"/>
        <v>Nataka</v>
      </c>
    </row>
    <row r="1551" ht="22.5" customHeight="1">
      <c r="A1551" s="14">
        <v>46092.49992342593</v>
      </c>
      <c r="B1551" s="15">
        <v>46090.0</v>
      </c>
      <c r="C1551" s="16">
        <v>0.125</v>
      </c>
      <c r="U1551" s="17" t="s">
        <v>957</v>
      </c>
      <c r="V1551" s="17" t="s">
        <v>388</v>
      </c>
      <c r="W1551" s="17" t="s">
        <v>388</v>
      </c>
      <c r="AA1551" s="17" t="s">
        <v>109</v>
      </c>
      <c r="AT1551" s="17" t="s">
        <v>5449</v>
      </c>
      <c r="AU1551" s="17" t="s">
        <v>109</v>
      </c>
      <c r="AZ1551" s="17" t="s">
        <v>539</v>
      </c>
      <c r="BA1551" s="17" t="s">
        <v>458</v>
      </c>
      <c r="BB1551" s="17" t="s">
        <v>109</v>
      </c>
      <c r="BP1551" s="17" t="s">
        <v>5450</v>
      </c>
      <c r="BR1551" s="24" t="str">
        <f t="shared" si="1"/>
        <v>Maharaja </v>
      </c>
    </row>
    <row r="1552" ht="22.5" customHeight="1">
      <c r="A1552" s="14">
        <v>46092.50062503472</v>
      </c>
      <c r="B1552" s="15">
        <v>46092.0</v>
      </c>
      <c r="C1552" s="16">
        <v>0.6666666666642413</v>
      </c>
      <c r="U1552" s="17" t="s">
        <v>388</v>
      </c>
      <c r="V1552" s="17" t="s">
        <v>388</v>
      </c>
      <c r="W1552" s="17" t="s">
        <v>388</v>
      </c>
      <c r="AA1552" s="17" t="s">
        <v>109</v>
      </c>
      <c r="AT1552" s="17" t="s">
        <v>388</v>
      </c>
      <c r="AU1552" s="17" t="s">
        <v>109</v>
      </c>
      <c r="AZ1552" s="17" t="s">
        <v>539</v>
      </c>
      <c r="BA1552" s="17" t="s">
        <v>458</v>
      </c>
      <c r="BB1552" s="17" t="s">
        <v>109</v>
      </c>
      <c r="BP1552" s="17" t="s">
        <v>5451</v>
      </c>
      <c r="BR1552" s="24" t="str">
        <f t="shared" si="1"/>
        <v> Dhaba food Court </v>
      </c>
    </row>
    <row r="1553" ht="22.5" customHeight="1">
      <c r="A1553" s="14">
        <v>46092.50111333333</v>
      </c>
      <c r="B1553" s="15">
        <v>46090.0</v>
      </c>
      <c r="C1553" s="16">
        <v>0.16666666666424135</v>
      </c>
      <c r="U1553" s="17" t="s">
        <v>388</v>
      </c>
      <c r="V1553" s="17" t="s">
        <v>388</v>
      </c>
      <c r="W1553" s="17" t="s">
        <v>388</v>
      </c>
      <c r="AA1553" s="17" t="s">
        <v>109</v>
      </c>
      <c r="AT1553" s="17" t="s">
        <v>5452</v>
      </c>
      <c r="AU1553" s="17" t="s">
        <v>76</v>
      </c>
      <c r="AZ1553" s="17" t="s">
        <v>539</v>
      </c>
      <c r="BA1553" s="17" t="s">
        <v>458</v>
      </c>
      <c r="BB1553" s="17" t="s">
        <v>109</v>
      </c>
      <c r="BP1553" s="17" t="s">
        <v>989</v>
      </c>
      <c r="BR1553" s="24" t="str">
        <f t="shared" si="1"/>
        <v>Polar bear </v>
      </c>
    </row>
    <row r="1554" ht="22.5" customHeight="1">
      <c r="A1554" s="14">
        <v>46092.50597542824</v>
      </c>
      <c r="B1554" s="15">
        <v>46091.0</v>
      </c>
      <c r="C1554" s="16">
        <v>0.5</v>
      </c>
      <c r="U1554" s="17" t="s">
        <v>5453</v>
      </c>
      <c r="V1554" s="17" t="s">
        <v>388</v>
      </c>
      <c r="W1554" s="17" t="s">
        <v>5428</v>
      </c>
      <c r="AA1554" s="17" t="s">
        <v>109</v>
      </c>
      <c r="AT1554" s="17" t="s">
        <v>5454</v>
      </c>
      <c r="AU1554" s="17" t="s">
        <v>76</v>
      </c>
      <c r="AZ1554" s="17" t="s">
        <v>539</v>
      </c>
      <c r="BA1554" s="17" t="s">
        <v>458</v>
      </c>
      <c r="BB1554" s="17" t="s">
        <v>109</v>
      </c>
      <c r="BP1554" s="17" t="s">
        <v>5455</v>
      </c>
      <c r="BR1554" s="24" t="str">
        <f t="shared" si="1"/>
        <v>Machillipatanam </v>
      </c>
    </row>
    <row r="1555" ht="22.5" customHeight="1">
      <c r="A1555" s="14">
        <v>46092.50725040509</v>
      </c>
      <c r="B1555" s="15">
        <v>46091.0</v>
      </c>
      <c r="C1555" s="16">
        <v>0.5</v>
      </c>
      <c r="U1555" s="17" t="s">
        <v>388</v>
      </c>
      <c r="V1555" s="17" t="s">
        <v>388</v>
      </c>
      <c r="W1555" s="17" t="s">
        <v>388</v>
      </c>
      <c r="AA1555" s="17" t="s">
        <v>109</v>
      </c>
      <c r="AT1555" s="17" t="s">
        <v>5456</v>
      </c>
      <c r="AU1555" s="17" t="s">
        <v>76</v>
      </c>
      <c r="AZ1555" s="17" t="s">
        <v>539</v>
      </c>
      <c r="BA1555" s="17" t="s">
        <v>458</v>
      </c>
      <c r="BB1555" s="17" t="s">
        <v>109</v>
      </c>
      <c r="BP1555" s="17" t="s">
        <v>5457</v>
      </c>
      <c r="BR1555" s="24" t="str">
        <f t="shared" si="1"/>
        <v>Swayarasa</v>
      </c>
    </row>
    <row r="1556" ht="22.5" customHeight="1">
      <c r="A1556" s="14">
        <v>46092.50775064815</v>
      </c>
      <c r="B1556" s="15">
        <v>46091.0</v>
      </c>
      <c r="C1556" s="16">
        <v>0.04166666666424135</v>
      </c>
      <c r="U1556" s="17" t="s">
        <v>5453</v>
      </c>
      <c r="V1556" s="17" t="s">
        <v>5441</v>
      </c>
      <c r="W1556" s="17" t="s">
        <v>388</v>
      </c>
      <c r="AA1556" s="17" t="s">
        <v>109</v>
      </c>
      <c r="AT1556" s="17" t="s">
        <v>5458</v>
      </c>
      <c r="AU1556" s="17" t="s">
        <v>76</v>
      </c>
      <c r="AZ1556" s="17" t="s">
        <v>539</v>
      </c>
      <c r="BA1556" s="17" t="s">
        <v>458</v>
      </c>
      <c r="BB1556" s="17" t="s">
        <v>109</v>
      </c>
      <c r="BP1556" s="17" t="s">
        <v>5459</v>
      </c>
      <c r="BR1556" s="24" t="str">
        <f t="shared" si="1"/>
        <v>Mekong </v>
      </c>
    </row>
    <row r="1557" ht="22.5" customHeight="1">
      <c r="A1557" s="14">
        <v>46092.50878616898</v>
      </c>
      <c r="B1557" s="15">
        <v>46091.0</v>
      </c>
      <c r="C1557" s="16">
        <v>0.08333333333575865</v>
      </c>
      <c r="U1557" s="17" t="s">
        <v>5460</v>
      </c>
      <c r="V1557" s="17" t="s">
        <v>388</v>
      </c>
      <c r="W1557" s="17" t="s">
        <v>388</v>
      </c>
      <c r="AA1557" s="17" t="s">
        <v>109</v>
      </c>
      <c r="AT1557" s="17" t="s">
        <v>5461</v>
      </c>
      <c r="AU1557" s="17" t="s">
        <v>76</v>
      </c>
      <c r="AZ1557" s="17" t="s">
        <v>539</v>
      </c>
      <c r="BA1557" s="17" t="s">
        <v>458</v>
      </c>
      <c r="BB1557" s="17" t="s">
        <v>109</v>
      </c>
      <c r="BP1557" s="17" t="s">
        <v>5462</v>
      </c>
      <c r="BR1557" s="24" t="str">
        <f t="shared" si="1"/>
        <v>Go rang </v>
      </c>
    </row>
    <row r="1558" ht="22.5" customHeight="1">
      <c r="A1558" s="14">
        <v>46092.50971449074</v>
      </c>
      <c r="B1558" s="15">
        <v>46091.0</v>
      </c>
      <c r="C1558" s="16">
        <v>0.125</v>
      </c>
      <c r="U1558" s="17" t="s">
        <v>5463</v>
      </c>
      <c r="V1558" s="17" t="s">
        <v>388</v>
      </c>
      <c r="W1558" s="17" t="s">
        <v>388</v>
      </c>
      <c r="AA1558" s="17" t="s">
        <v>109</v>
      </c>
      <c r="AT1558" s="17" t="s">
        <v>5464</v>
      </c>
      <c r="AU1558" s="17" t="s">
        <v>76</v>
      </c>
      <c r="AZ1558" s="17" t="s">
        <v>539</v>
      </c>
      <c r="BA1558" s="17" t="s">
        <v>458</v>
      </c>
      <c r="BB1558" s="17" t="s">
        <v>109</v>
      </c>
      <c r="BP1558" s="17" t="s">
        <v>5465</v>
      </c>
      <c r="BR1558" s="24" t="str">
        <f t="shared" si="1"/>
        <v>Boojanam thayaru</v>
      </c>
    </row>
    <row r="1559" ht="22.5" customHeight="1">
      <c r="A1559" s="14">
        <v>46092.510326504635</v>
      </c>
      <c r="B1559" s="15">
        <v>46091.0</v>
      </c>
      <c r="C1559" s="16">
        <v>0.5</v>
      </c>
      <c r="U1559" s="17" t="s">
        <v>388</v>
      </c>
      <c r="V1559" s="17" t="s">
        <v>388</v>
      </c>
      <c r="W1559" s="17" t="s">
        <v>388</v>
      </c>
      <c r="AA1559" s="17" t="s">
        <v>109</v>
      </c>
      <c r="AT1559" s="17" t="s">
        <v>5466</v>
      </c>
      <c r="AU1559" s="17" t="s">
        <v>76</v>
      </c>
      <c r="AZ1559" s="17" t="s">
        <v>539</v>
      </c>
      <c r="BA1559" s="17" t="s">
        <v>458</v>
      </c>
      <c r="BB1559" s="17" t="s">
        <v>109</v>
      </c>
      <c r="BP1559" s="17" t="s">
        <v>5467</v>
      </c>
      <c r="BR1559" s="24" t="str">
        <f t="shared" si="1"/>
        <v>Fusion 9 </v>
      </c>
    </row>
    <row r="1560" ht="22.5" customHeight="1">
      <c r="A1560" s="14">
        <v>46092.51103447917</v>
      </c>
      <c r="B1560" s="15">
        <v>46091.0</v>
      </c>
      <c r="C1560" s="16">
        <v>0.125</v>
      </c>
      <c r="U1560" s="17" t="s">
        <v>388</v>
      </c>
      <c r="V1560" s="17" t="s">
        <v>388</v>
      </c>
      <c r="W1560" s="17" t="s">
        <v>388</v>
      </c>
      <c r="AA1560" s="17" t="s">
        <v>109</v>
      </c>
      <c r="AT1560" s="17" t="s">
        <v>5468</v>
      </c>
      <c r="AU1560" s="17" t="s">
        <v>76</v>
      </c>
      <c r="AZ1560" s="17" t="s">
        <v>539</v>
      </c>
      <c r="BA1560" s="17" t="s">
        <v>458</v>
      </c>
      <c r="BB1560" s="17" t="s">
        <v>109</v>
      </c>
      <c r="BP1560" s="17" t="s">
        <v>5469</v>
      </c>
      <c r="BR1560" s="24" t="str">
        <f t="shared" si="1"/>
        <v>Red Box </v>
      </c>
    </row>
    <row r="1561" ht="22.5" customHeight="1">
      <c r="A1561" s="14">
        <v>46092.51191743056</v>
      </c>
      <c r="B1561" s="15">
        <v>46091.0</v>
      </c>
      <c r="C1561" s="16">
        <v>0.16666666666424135</v>
      </c>
      <c r="U1561" s="17" t="s">
        <v>388</v>
      </c>
      <c r="V1561" s="17" t="s">
        <v>388</v>
      </c>
      <c r="W1561" s="17" t="s">
        <v>388</v>
      </c>
      <c r="AA1561" s="17" t="s">
        <v>109</v>
      </c>
      <c r="AT1561" s="17" t="s">
        <v>5470</v>
      </c>
      <c r="AU1561" s="17" t="s">
        <v>76</v>
      </c>
      <c r="AZ1561" s="17" t="s">
        <v>539</v>
      </c>
      <c r="BA1561" s="17" t="s">
        <v>458</v>
      </c>
      <c r="BB1561" s="17" t="s">
        <v>109</v>
      </c>
      <c r="BP1561" s="17" t="s">
        <v>5471</v>
      </c>
      <c r="BR1561" s="24" t="str">
        <f t="shared" si="1"/>
        <v>Pot biryani </v>
      </c>
    </row>
    <row r="1562" ht="22.5" customHeight="1">
      <c r="A1562" s="14">
        <v>46092.5126897338</v>
      </c>
      <c r="B1562" s="15">
        <v>46091.0</v>
      </c>
      <c r="C1562" s="16">
        <v>0.20416666666278616</v>
      </c>
      <c r="U1562" s="17" t="s">
        <v>388</v>
      </c>
      <c r="V1562" s="17" t="s">
        <v>388</v>
      </c>
      <c r="W1562" s="17" t="s">
        <v>388</v>
      </c>
      <c r="AA1562" s="17" t="s">
        <v>109</v>
      </c>
      <c r="AT1562" s="17" t="s">
        <v>5472</v>
      </c>
      <c r="AU1562" s="17" t="s">
        <v>76</v>
      </c>
      <c r="AZ1562" s="17" t="s">
        <v>539</v>
      </c>
      <c r="BA1562" s="17" t="s">
        <v>458</v>
      </c>
      <c r="BB1562" s="17" t="s">
        <v>109</v>
      </c>
      <c r="BP1562" s="17" t="s">
        <v>5473</v>
      </c>
      <c r="BR1562" s="24" t="str">
        <f t="shared" si="1"/>
        <v>Mughals </v>
      </c>
    </row>
    <row r="1563" ht="22.5" customHeight="1">
      <c r="A1563" s="14">
        <v>46092.5139802662</v>
      </c>
      <c r="B1563" s="15">
        <v>46091.0</v>
      </c>
      <c r="C1563" s="16">
        <v>0.20833333333575865</v>
      </c>
      <c r="U1563" s="17" t="s">
        <v>388</v>
      </c>
      <c r="V1563" s="17" t="s">
        <v>388</v>
      </c>
      <c r="W1563" s="17" t="s">
        <v>388</v>
      </c>
      <c r="AA1563" s="17" t="s">
        <v>109</v>
      </c>
      <c r="AT1563" s="17" t="s">
        <v>5474</v>
      </c>
      <c r="AU1563" s="17" t="s">
        <v>109</v>
      </c>
      <c r="AZ1563" s="17" t="s">
        <v>539</v>
      </c>
      <c r="BA1563" s="17" t="s">
        <v>458</v>
      </c>
      <c r="BB1563" s="17" t="s">
        <v>109</v>
      </c>
      <c r="BP1563" s="17" t="s">
        <v>5475</v>
      </c>
      <c r="BR1563" s="24" t="str">
        <f t="shared" si="1"/>
        <v>Glow sip</v>
      </c>
    </row>
    <row r="1564" ht="22.5" customHeight="1">
      <c r="A1564" s="14">
        <v>46092.51450415509</v>
      </c>
      <c r="B1564" s="15">
        <v>46091.0</v>
      </c>
      <c r="C1564" s="16">
        <v>0.5</v>
      </c>
      <c r="U1564" s="17" t="s">
        <v>5476</v>
      </c>
      <c r="V1564" s="17" t="s">
        <v>388</v>
      </c>
      <c r="W1564" s="17" t="s">
        <v>5441</v>
      </c>
      <c r="AA1564" s="17" t="s">
        <v>109</v>
      </c>
      <c r="AT1564" s="17" t="s">
        <v>5477</v>
      </c>
      <c r="AU1564" s="17" t="s">
        <v>76</v>
      </c>
      <c r="AZ1564" s="17" t="s">
        <v>539</v>
      </c>
      <c r="BA1564" s="17" t="s">
        <v>458</v>
      </c>
      <c r="BB1564" s="17" t="s">
        <v>109</v>
      </c>
      <c r="BP1564" s="17" t="s">
        <v>5478</v>
      </c>
      <c r="BR1564" s="24" t="str">
        <f t="shared" si="1"/>
        <v>Palamuru grill </v>
      </c>
    </row>
    <row r="1565" ht="22.5" customHeight="1">
      <c r="A1565" s="14">
        <v>46092.51523685185</v>
      </c>
      <c r="B1565" s="15">
        <v>46091.0</v>
      </c>
      <c r="C1565" s="16">
        <v>0.163888888884685</v>
      </c>
      <c r="U1565" s="17" t="s">
        <v>5479</v>
      </c>
      <c r="V1565" s="17" t="s">
        <v>388</v>
      </c>
      <c r="W1565" s="17" t="s">
        <v>388</v>
      </c>
      <c r="AA1565" s="17" t="s">
        <v>109</v>
      </c>
      <c r="AT1565" s="17" t="s">
        <v>5480</v>
      </c>
      <c r="AU1565" s="17" t="s">
        <v>76</v>
      </c>
      <c r="AZ1565" s="17" t="s">
        <v>539</v>
      </c>
      <c r="BA1565" s="17" t="s">
        <v>458</v>
      </c>
      <c r="BB1565" s="17" t="s">
        <v>109</v>
      </c>
      <c r="BP1565" s="17" t="s">
        <v>5481</v>
      </c>
      <c r="BR1565" s="24" t="str">
        <f t="shared" si="1"/>
        <v>Toops </v>
      </c>
    </row>
    <row r="1566" ht="22.5" customHeight="1">
      <c r="A1566" s="14">
        <v>46092.5895958912</v>
      </c>
      <c r="B1566" s="15">
        <v>46092.0</v>
      </c>
      <c r="C1566" s="16">
        <v>0.08333333333575865</v>
      </c>
      <c r="U1566" s="17" t="s">
        <v>5482</v>
      </c>
      <c r="V1566" s="17">
        <v>9.581009911E9</v>
      </c>
      <c r="W1566" s="17" t="s">
        <v>388</v>
      </c>
      <c r="AA1566" s="17" t="s">
        <v>109</v>
      </c>
      <c r="AT1566" s="17" t="s">
        <v>5483</v>
      </c>
      <c r="AU1566" s="17" t="s">
        <v>76</v>
      </c>
      <c r="AZ1566" s="17" t="s">
        <v>539</v>
      </c>
      <c r="BA1566" s="17" t="s">
        <v>458</v>
      </c>
      <c r="BB1566" s="17" t="s">
        <v>109</v>
      </c>
      <c r="BP1566" s="17" t="s">
        <v>5484</v>
      </c>
      <c r="BR1566" s="24" t="str">
        <f t="shared" si="1"/>
        <v>Ahobilam millets </v>
      </c>
    </row>
    <row r="1567" ht="22.5" customHeight="1">
      <c r="A1567" s="14">
        <v>46092.59023199074</v>
      </c>
      <c r="B1567" s="15">
        <v>46092.0</v>
      </c>
      <c r="C1567" s="16">
        <v>0.0625</v>
      </c>
      <c r="U1567" s="17" t="s">
        <v>5485</v>
      </c>
      <c r="V1567" s="17" t="s">
        <v>388</v>
      </c>
      <c r="W1567" s="17" t="s">
        <v>388</v>
      </c>
      <c r="AA1567" s="17" t="s">
        <v>109</v>
      </c>
      <c r="AT1567" s="17" t="s">
        <v>5486</v>
      </c>
      <c r="AU1567" s="17" t="s">
        <v>76</v>
      </c>
      <c r="AZ1567" s="17" t="s">
        <v>539</v>
      </c>
      <c r="BA1567" s="17" t="s">
        <v>458</v>
      </c>
      <c r="BB1567" s="17" t="s">
        <v>109</v>
      </c>
      <c r="BP1567" s="17" t="s">
        <v>5487</v>
      </c>
      <c r="BR1567" s="24" t="str">
        <f t="shared" si="1"/>
        <v>Sai ram curries and meals</v>
      </c>
    </row>
    <row r="1568" ht="22.5" customHeight="1">
      <c r="A1568" s="14">
        <v>46092.59104384259</v>
      </c>
      <c r="B1568" s="15">
        <v>46092.0</v>
      </c>
      <c r="C1568" s="16">
        <v>0.06944444444525288</v>
      </c>
      <c r="U1568" s="17" t="s">
        <v>5327</v>
      </c>
      <c r="V1568" s="17">
        <v>9.390573556E9</v>
      </c>
      <c r="W1568" s="17" t="s">
        <v>388</v>
      </c>
      <c r="AA1568" s="17" t="s">
        <v>109</v>
      </c>
      <c r="AT1568" s="17" t="s">
        <v>5488</v>
      </c>
      <c r="AU1568" s="17" t="s">
        <v>76</v>
      </c>
      <c r="AZ1568" s="17" t="s">
        <v>539</v>
      </c>
      <c r="BA1568" s="17" t="s">
        <v>458</v>
      </c>
      <c r="BB1568" s="17" t="s">
        <v>109</v>
      </c>
      <c r="BP1568" s="17" t="s">
        <v>5489</v>
      </c>
      <c r="BR1568" s="24" t="str">
        <f t="shared" si="1"/>
        <v>KL spice kitchen </v>
      </c>
    </row>
    <row r="1569" ht="22.5" customHeight="1">
      <c r="A1569" s="14">
        <v>46092.60680087963</v>
      </c>
      <c r="B1569" s="15">
        <v>46092.0</v>
      </c>
      <c r="C1569" s="16">
        <v>0.10694444444379769</v>
      </c>
      <c r="U1569" s="17" t="s">
        <v>5490</v>
      </c>
      <c r="V1569" s="17" t="s">
        <v>5491</v>
      </c>
      <c r="W1569" s="17" t="s">
        <v>117</v>
      </c>
      <c r="AA1569" s="17" t="s">
        <v>109</v>
      </c>
      <c r="AT1569" s="17" t="s">
        <v>5492</v>
      </c>
      <c r="AU1569" s="17" t="s">
        <v>76</v>
      </c>
      <c r="AZ1569" s="17" t="s">
        <v>539</v>
      </c>
      <c r="BA1569" s="17" t="s">
        <v>458</v>
      </c>
      <c r="BB1569" s="17" t="s">
        <v>109</v>
      </c>
      <c r="BP1569" s="17" t="s">
        <v>5490</v>
      </c>
      <c r="BR1569" s="24" t="str">
        <f t="shared" si="1"/>
        <v>Mainland china </v>
      </c>
    </row>
    <row r="1570" ht="22.5" customHeight="1">
      <c r="A1570" s="14">
        <v>46092.609745</v>
      </c>
      <c r="B1570" s="15">
        <v>46092.0</v>
      </c>
      <c r="C1570" s="16">
        <v>0.10902777777664596</v>
      </c>
      <c r="U1570" s="17" t="s">
        <v>5493</v>
      </c>
      <c r="V1570" s="17" t="s">
        <v>957</v>
      </c>
      <c r="W1570" s="17" t="s">
        <v>926</v>
      </c>
      <c r="AA1570" s="17" t="s">
        <v>109</v>
      </c>
      <c r="AT1570" s="17" t="s">
        <v>5494</v>
      </c>
      <c r="AU1570" s="17" t="s">
        <v>76</v>
      </c>
      <c r="AZ1570" s="17" t="s">
        <v>539</v>
      </c>
      <c r="BA1570" s="17" t="s">
        <v>458</v>
      </c>
      <c r="BB1570" s="17" t="s">
        <v>109</v>
      </c>
      <c r="BP1570" s="17" t="s">
        <v>5495</v>
      </c>
      <c r="BR1570" s="24" t="str">
        <f t="shared" si="1"/>
        <v>Ohh Calicut </v>
      </c>
    </row>
    <row r="1571" ht="22.5" customHeight="1">
      <c r="A1571" s="14">
        <v>46092.64323306713</v>
      </c>
      <c r="B1571" s="15">
        <v>46092.0</v>
      </c>
      <c r="C1571" s="16">
        <v>0.5763888888905058</v>
      </c>
      <c r="D1571" s="17" t="s">
        <v>91</v>
      </c>
      <c r="F1571" s="17">
        <v>80.0</v>
      </c>
      <c r="G1571" s="17">
        <v>400.0</v>
      </c>
      <c r="H1571" s="17" t="s">
        <v>423</v>
      </c>
      <c r="J1571" s="17" t="s">
        <v>167</v>
      </c>
      <c r="K1571" s="17" t="s">
        <v>134</v>
      </c>
      <c r="L1571" s="17">
        <v>25.0</v>
      </c>
      <c r="M1571" s="17">
        <v>18.0</v>
      </c>
      <c r="N1571" s="17">
        <v>1.0</v>
      </c>
      <c r="O1571" s="17" t="s">
        <v>96</v>
      </c>
      <c r="P1571" s="17" t="s">
        <v>76</v>
      </c>
      <c r="Q1571" s="17" t="s">
        <v>97</v>
      </c>
      <c r="R1571" s="17" t="s">
        <v>76</v>
      </c>
      <c r="S1571" s="18" t="s">
        <v>5496</v>
      </c>
      <c r="U1571" s="17" t="s">
        <v>5497</v>
      </c>
      <c r="V1571" s="17">
        <v>8.867857222E9</v>
      </c>
      <c r="W1571" s="17" t="s">
        <v>117</v>
      </c>
      <c r="AA1571" s="17" t="s">
        <v>109</v>
      </c>
      <c r="AT1571" s="17" t="s">
        <v>5498</v>
      </c>
      <c r="AU1571" s="17" t="s">
        <v>76</v>
      </c>
      <c r="AV1571" s="17" t="s">
        <v>472</v>
      </c>
      <c r="AZ1571" s="17" t="s">
        <v>110</v>
      </c>
      <c r="BA1571" s="17" t="s">
        <v>458</v>
      </c>
      <c r="BB1571" s="17" t="s">
        <v>76</v>
      </c>
      <c r="BN1571" s="17" t="s">
        <v>5499</v>
      </c>
      <c r="BP1571" s="17" t="s">
        <v>5500</v>
      </c>
      <c r="BR1571" s="24" t="str">
        <f t="shared" si="1"/>
        <v>Salt Indian Restaurant</v>
      </c>
    </row>
    <row r="1572" ht="22.5" customHeight="1">
      <c r="A1572" s="14">
        <v>46092.64534981482</v>
      </c>
      <c r="B1572" s="15">
        <v>46092.0</v>
      </c>
      <c r="C1572" s="16">
        <v>0.14375000000291038</v>
      </c>
      <c r="U1572" s="17" t="s">
        <v>1057</v>
      </c>
      <c r="V1572" s="17" t="s">
        <v>388</v>
      </c>
      <c r="W1572" s="17" t="s">
        <v>388</v>
      </c>
      <c r="AA1572" s="17" t="s">
        <v>109</v>
      </c>
      <c r="AT1572" s="17" t="s">
        <v>5501</v>
      </c>
      <c r="AU1572" s="17" t="s">
        <v>76</v>
      </c>
      <c r="AZ1572" s="17" t="s">
        <v>539</v>
      </c>
      <c r="BA1572" s="17" t="s">
        <v>458</v>
      </c>
      <c r="BB1572" s="17" t="s">
        <v>109</v>
      </c>
      <c r="BP1572" s="17" t="s">
        <v>5502</v>
      </c>
      <c r="BR1572" s="24" t="str">
        <f t="shared" si="1"/>
        <v>Nivedhya </v>
      </c>
    </row>
    <row r="1573" ht="22.5" customHeight="1">
      <c r="A1573" s="14">
        <v>46092.6463833912</v>
      </c>
      <c r="B1573" s="15">
        <v>46092.0</v>
      </c>
      <c r="C1573" s="16">
        <v>0.13194444444525288</v>
      </c>
      <c r="U1573" s="17" t="s">
        <v>388</v>
      </c>
      <c r="V1573" s="17" t="s">
        <v>388</v>
      </c>
      <c r="W1573" s="17" t="s">
        <v>388</v>
      </c>
      <c r="AA1573" s="17" t="s">
        <v>109</v>
      </c>
      <c r="AT1573" s="17" t="s">
        <v>5503</v>
      </c>
      <c r="AU1573" s="17" t="s">
        <v>76</v>
      </c>
      <c r="AZ1573" s="17" t="s">
        <v>539</v>
      </c>
      <c r="BA1573" s="17" t="s">
        <v>458</v>
      </c>
      <c r="BB1573" s="17" t="s">
        <v>109</v>
      </c>
      <c r="BP1573" s="17" t="s">
        <v>5504</v>
      </c>
      <c r="BR1573" s="24" t="str">
        <f t="shared" si="1"/>
        <v>Pav baji</v>
      </c>
    </row>
    <row r="1574" ht="22.5" customHeight="1">
      <c r="A1574" s="14">
        <v>46092.70443900463</v>
      </c>
      <c r="B1574" s="15">
        <v>46092.0</v>
      </c>
      <c r="C1574" s="16">
        <v>0.20347222222335404</v>
      </c>
      <c r="U1574" s="17" t="s">
        <v>388</v>
      </c>
      <c r="V1574" s="17" t="s">
        <v>388</v>
      </c>
      <c r="W1574" s="17" t="s">
        <v>388</v>
      </c>
      <c r="AA1574" s="17" t="s">
        <v>109</v>
      </c>
      <c r="AT1574" s="17" t="s">
        <v>586</v>
      </c>
      <c r="AU1574" s="17" t="s">
        <v>109</v>
      </c>
      <c r="AZ1574" s="17" t="s">
        <v>539</v>
      </c>
      <c r="BA1574" s="17" t="s">
        <v>458</v>
      </c>
      <c r="BB1574" s="17" t="s">
        <v>109</v>
      </c>
      <c r="BP1574" s="17" t="s">
        <v>5505</v>
      </c>
      <c r="BR1574" s="24" t="str">
        <f t="shared" si="1"/>
        <v>Navideya </v>
      </c>
    </row>
    <row r="1575" ht="22.5" customHeight="1">
      <c r="A1575" s="14">
        <v>46092.70756819444</v>
      </c>
      <c r="B1575" s="15">
        <v>46092.0</v>
      </c>
      <c r="C1575" s="16">
        <v>0.17361111110949423</v>
      </c>
      <c r="U1575" s="17" t="s">
        <v>5506</v>
      </c>
      <c r="V1575" s="17" t="s">
        <v>388</v>
      </c>
      <c r="W1575" s="17" t="s">
        <v>388</v>
      </c>
      <c r="AA1575" s="17" t="s">
        <v>109</v>
      </c>
      <c r="AT1575" s="17" t="s">
        <v>4548</v>
      </c>
      <c r="AU1575" s="17" t="s">
        <v>109</v>
      </c>
      <c r="AZ1575" s="17" t="s">
        <v>539</v>
      </c>
      <c r="BA1575" s="17" t="s">
        <v>458</v>
      </c>
      <c r="BB1575" s="17" t="s">
        <v>109</v>
      </c>
      <c r="BP1575" s="17" t="s">
        <v>5507</v>
      </c>
      <c r="BR1575" s="24" t="str">
        <f t="shared" si="1"/>
        <v>Momo ghar </v>
      </c>
    </row>
    <row r="1576" ht="22.5" customHeight="1">
      <c r="A1576" s="14">
        <v>46092.70831495371</v>
      </c>
      <c r="B1576" s="15">
        <v>46092.0</v>
      </c>
      <c r="C1576" s="16">
        <v>0.16666666666424135</v>
      </c>
      <c r="U1576" s="17" t="s">
        <v>5508</v>
      </c>
      <c r="V1576" s="17" t="s">
        <v>388</v>
      </c>
      <c r="W1576" s="17" t="s">
        <v>388</v>
      </c>
      <c r="AA1576" s="17" t="s">
        <v>109</v>
      </c>
      <c r="AT1576" s="17" t="s">
        <v>5509</v>
      </c>
      <c r="AU1576" s="17" t="s">
        <v>109</v>
      </c>
      <c r="AZ1576" s="17" t="s">
        <v>539</v>
      </c>
      <c r="BA1576" s="17" t="s">
        <v>458</v>
      </c>
      <c r="BB1576" s="17" t="s">
        <v>109</v>
      </c>
      <c r="BP1576" s="17" t="s">
        <v>5510</v>
      </c>
      <c r="BR1576" s="24" t="str">
        <f t="shared" si="1"/>
        <v>Chinese hawk </v>
      </c>
    </row>
    <row r="1577" ht="22.5" customHeight="1">
      <c r="A1577" s="14">
        <v>46092.70836682871</v>
      </c>
      <c r="B1577" s="15">
        <v>46092.0</v>
      </c>
      <c r="C1577" s="16">
        <v>0.7076388888890506</v>
      </c>
      <c r="D1577" s="17" t="s">
        <v>111</v>
      </c>
      <c r="T1577" s="17" t="s">
        <v>5511</v>
      </c>
      <c r="U1577" s="17" t="s">
        <v>5512</v>
      </c>
      <c r="V1577" s="17" t="s">
        <v>5513</v>
      </c>
      <c r="W1577" s="17" t="s">
        <v>388</v>
      </c>
      <c r="AA1577" s="17" t="s">
        <v>109</v>
      </c>
      <c r="AT1577" s="17" t="s">
        <v>586</v>
      </c>
      <c r="AU1577" s="17" t="s">
        <v>109</v>
      </c>
      <c r="AZ1577" s="17" t="s">
        <v>243</v>
      </c>
      <c r="BA1577" s="17" t="s">
        <v>458</v>
      </c>
      <c r="BB1577" s="17" t="s">
        <v>76</v>
      </c>
      <c r="BP1577" s="17" t="s">
        <v>5514</v>
      </c>
      <c r="BR1577" s="24" t="str">
        <f t="shared" si="1"/>
        <v>Zufra mandi Zufra mandi</v>
      </c>
    </row>
    <row r="1578" ht="22.5" customHeight="1">
      <c r="A1578" s="14">
        <v>46092.709416770835</v>
      </c>
      <c r="B1578" s="15">
        <v>46092.0</v>
      </c>
      <c r="C1578" s="16">
        <v>0.7083333333357587</v>
      </c>
      <c r="U1578" s="17" t="s">
        <v>388</v>
      </c>
      <c r="V1578" s="17" t="s">
        <v>388</v>
      </c>
      <c r="W1578" s="17" t="s">
        <v>388</v>
      </c>
      <c r="AA1578" s="17" t="s">
        <v>109</v>
      </c>
      <c r="AT1578" s="17" t="s">
        <v>5515</v>
      </c>
      <c r="AU1578" s="17" t="s">
        <v>76</v>
      </c>
      <c r="AZ1578" s="17" t="s">
        <v>243</v>
      </c>
      <c r="BA1578" s="17" t="s">
        <v>458</v>
      </c>
      <c r="BB1578" s="17" t="s">
        <v>109</v>
      </c>
      <c r="BP1578" s="17" t="s">
        <v>5516</v>
      </c>
      <c r="BR1578" s="24" t="str">
        <f t="shared" si="1"/>
        <v>Amul ice cream parlour</v>
      </c>
    </row>
    <row r="1579" ht="22.5" customHeight="1">
      <c r="A1579" s="14">
        <v>46092.71033686343</v>
      </c>
      <c r="B1579" s="15">
        <v>46092.0</v>
      </c>
      <c r="C1579" s="16">
        <v>0.5423611111109494</v>
      </c>
      <c r="U1579" s="17" t="s">
        <v>5517</v>
      </c>
      <c r="V1579" s="17">
        <v>7.993924605E9</v>
      </c>
      <c r="W1579" s="17" t="s">
        <v>388</v>
      </c>
      <c r="AA1579" s="17" t="s">
        <v>109</v>
      </c>
      <c r="AT1579" s="17" t="s">
        <v>5518</v>
      </c>
      <c r="AU1579" s="17" t="s">
        <v>76</v>
      </c>
      <c r="AZ1579" s="17" t="s">
        <v>243</v>
      </c>
      <c r="BA1579" s="17" t="s">
        <v>458</v>
      </c>
      <c r="BB1579" s="17" t="s">
        <v>109</v>
      </c>
      <c r="BP1579" s="17" t="s">
        <v>5519</v>
      </c>
      <c r="BR1579" s="24" t="str">
        <f t="shared" si="1"/>
        <v>Seven starts restaurant </v>
      </c>
    </row>
    <row r="1580" ht="22.5" customHeight="1">
      <c r="A1580" s="14">
        <v>46092.71162552084</v>
      </c>
      <c r="B1580" s="15">
        <v>46092.0</v>
      </c>
      <c r="C1580" s="16">
        <v>0.6666666666642413</v>
      </c>
      <c r="U1580" s="17" t="s">
        <v>5520</v>
      </c>
      <c r="V1580" s="17">
        <v>9.06357174E9</v>
      </c>
      <c r="W1580" s="17" t="s">
        <v>388</v>
      </c>
      <c r="AA1580" s="17" t="s">
        <v>109</v>
      </c>
      <c r="AT1580" s="17" t="s">
        <v>5521</v>
      </c>
      <c r="AU1580" s="17" t="s">
        <v>76</v>
      </c>
      <c r="AZ1580" s="17" t="s">
        <v>243</v>
      </c>
      <c r="BA1580" s="17" t="s">
        <v>458</v>
      </c>
      <c r="BB1580" s="17" t="s">
        <v>109</v>
      </c>
      <c r="BP1580" s="17" t="s">
        <v>5522</v>
      </c>
      <c r="BR1580" s="24" t="str">
        <f t="shared" si="1"/>
        <v>Janapriya restaurant </v>
      </c>
    </row>
    <row r="1581" ht="22.5" customHeight="1">
      <c r="A1581" s="14">
        <v>46092.712485219905</v>
      </c>
      <c r="B1581" s="15">
        <v>46092.0</v>
      </c>
      <c r="C1581" s="16">
        <v>0.7118055555547471</v>
      </c>
      <c r="U1581" s="17" t="s">
        <v>5523</v>
      </c>
      <c r="V1581" s="17">
        <v>9.866609233E9</v>
      </c>
      <c r="W1581" s="17" t="s">
        <v>388</v>
      </c>
      <c r="AA1581" s="17" t="s">
        <v>109</v>
      </c>
      <c r="AT1581" s="17" t="s">
        <v>5524</v>
      </c>
      <c r="AU1581" s="17" t="s">
        <v>76</v>
      </c>
      <c r="AZ1581" s="17" t="s">
        <v>243</v>
      </c>
      <c r="BA1581" s="17" t="s">
        <v>458</v>
      </c>
      <c r="BB1581" s="17" t="s">
        <v>109</v>
      </c>
      <c r="BP1581" s="17" t="s">
        <v>5525</v>
      </c>
      <c r="BR1581" s="24" t="str">
        <f t="shared" si="1"/>
        <v>Raghavendra food hub</v>
      </c>
    </row>
    <row r="1582" ht="22.5" customHeight="1">
      <c r="A1582" s="14">
        <v>46092.71375756944</v>
      </c>
      <c r="B1582" s="15">
        <v>46092.0</v>
      </c>
      <c r="C1582" s="16">
        <v>0.5868055555547471</v>
      </c>
      <c r="U1582" s="17" t="s">
        <v>5526</v>
      </c>
      <c r="V1582" s="17">
        <v>7.799456778E9</v>
      </c>
      <c r="W1582" s="17" t="s">
        <v>388</v>
      </c>
      <c r="AA1582" s="17" t="s">
        <v>109</v>
      </c>
      <c r="AT1582" s="17" t="s">
        <v>5527</v>
      </c>
      <c r="AU1582" s="17" t="s">
        <v>76</v>
      </c>
      <c r="AZ1582" s="17" t="s">
        <v>243</v>
      </c>
      <c r="BA1582" s="17" t="s">
        <v>458</v>
      </c>
      <c r="BB1582" s="17" t="s">
        <v>109</v>
      </c>
      <c r="BP1582" s="17" t="s">
        <v>5528</v>
      </c>
      <c r="BR1582" s="24" t="str">
        <f t="shared" si="1"/>
        <v>Shreeshan kitchen </v>
      </c>
    </row>
    <row r="1583" ht="22.5" customHeight="1">
      <c r="A1583" s="14">
        <v>46092.71620596065</v>
      </c>
      <c r="B1583" s="15">
        <v>46092.0</v>
      </c>
      <c r="C1583" s="16">
        <v>0.6041666666642413</v>
      </c>
      <c r="D1583" s="17" t="s">
        <v>91</v>
      </c>
      <c r="F1583" s="17">
        <v>50.0</v>
      </c>
      <c r="G1583" s="17">
        <v>250.0</v>
      </c>
      <c r="H1583" s="17" t="s">
        <v>388</v>
      </c>
      <c r="J1583" s="17" t="s">
        <v>94</v>
      </c>
      <c r="N1583" s="17">
        <v>1.0</v>
      </c>
      <c r="O1583" s="17" t="s">
        <v>135</v>
      </c>
      <c r="P1583" s="17" t="s">
        <v>76</v>
      </c>
      <c r="Q1583" s="17" t="s">
        <v>97</v>
      </c>
      <c r="R1583" s="17" t="s">
        <v>76</v>
      </c>
      <c r="S1583" s="17" t="s">
        <v>388</v>
      </c>
      <c r="U1583" s="17" t="s">
        <v>1333</v>
      </c>
      <c r="V1583" s="17">
        <v>7.801043438E9</v>
      </c>
      <c r="W1583" s="17" t="s">
        <v>388</v>
      </c>
      <c r="AA1583" s="17" t="s">
        <v>109</v>
      </c>
      <c r="AT1583" s="17" t="s">
        <v>5529</v>
      </c>
      <c r="AU1583" s="17" t="s">
        <v>76</v>
      </c>
      <c r="AZ1583" s="17" t="s">
        <v>243</v>
      </c>
      <c r="BA1583" s="17" t="s">
        <v>458</v>
      </c>
      <c r="BB1583" s="17" t="s">
        <v>76</v>
      </c>
      <c r="BN1583" s="17" t="s">
        <v>3609</v>
      </c>
      <c r="BP1583" s="17" t="s">
        <v>5530</v>
      </c>
      <c r="BR1583" s="24" t="str">
        <f t="shared" si="1"/>
        <v>The burger company </v>
      </c>
    </row>
    <row r="1584" ht="22.5" customHeight="1">
      <c r="A1584" s="14">
        <v>46092.71757853009</v>
      </c>
      <c r="B1584" s="15">
        <v>46092.0</v>
      </c>
      <c r="C1584" s="16">
        <v>0.6875</v>
      </c>
      <c r="U1584" s="17" t="s">
        <v>5531</v>
      </c>
      <c r="V1584" s="17">
        <v>8.333802404E9</v>
      </c>
      <c r="W1584" s="17" t="s">
        <v>5532</v>
      </c>
      <c r="AA1584" s="17" t="s">
        <v>109</v>
      </c>
      <c r="AT1584" s="17" t="s">
        <v>5533</v>
      </c>
      <c r="AU1584" s="17" t="s">
        <v>109</v>
      </c>
      <c r="AZ1584" s="17" t="s">
        <v>243</v>
      </c>
      <c r="BA1584" s="17" t="s">
        <v>458</v>
      </c>
      <c r="BB1584" s="17" t="s">
        <v>109</v>
      </c>
      <c r="BP1584" s="17" t="s">
        <v>5534</v>
      </c>
      <c r="BR1584" s="24" t="str">
        <f t="shared" si="1"/>
        <v>Ahla adha kitchen</v>
      </c>
    </row>
    <row r="1585" ht="22.5" customHeight="1">
      <c r="A1585" s="14">
        <v>46092.71896138889</v>
      </c>
      <c r="B1585" s="15">
        <v>46092.0</v>
      </c>
      <c r="C1585" s="16">
        <v>0.5729166666642413</v>
      </c>
      <c r="U1585" s="17" t="s">
        <v>3986</v>
      </c>
      <c r="V1585" s="17">
        <v>9.550997309E9</v>
      </c>
      <c r="W1585" s="17" t="s">
        <v>388</v>
      </c>
      <c r="AA1585" s="17" t="s">
        <v>109</v>
      </c>
      <c r="AT1585" s="17" t="s">
        <v>5535</v>
      </c>
      <c r="AU1585" s="17" t="s">
        <v>76</v>
      </c>
      <c r="AZ1585" s="17" t="s">
        <v>243</v>
      </c>
      <c r="BA1585" s="17" t="s">
        <v>458</v>
      </c>
      <c r="BB1585" s="17" t="s">
        <v>109</v>
      </c>
      <c r="BP1585" s="17" t="s">
        <v>5536</v>
      </c>
      <c r="BR1585" s="24" t="str">
        <f t="shared" si="1"/>
        <v>Big byte cafe </v>
      </c>
    </row>
    <row r="1586" ht="22.5" customHeight="1">
      <c r="A1586" s="14">
        <v>46092.72001925926</v>
      </c>
      <c r="B1586" s="15">
        <v>46092.0</v>
      </c>
      <c r="C1586" s="16">
        <v>0.6666666666642413</v>
      </c>
      <c r="D1586" s="17" t="s">
        <v>111</v>
      </c>
      <c r="T1586" s="17" t="s">
        <v>5537</v>
      </c>
      <c r="U1586" s="17" t="s">
        <v>5538</v>
      </c>
      <c r="V1586" s="17">
        <v>8.530280062E9</v>
      </c>
      <c r="W1586" s="17" t="s">
        <v>388</v>
      </c>
      <c r="AA1586" s="17" t="s">
        <v>109</v>
      </c>
      <c r="AT1586" s="17" t="s">
        <v>5539</v>
      </c>
      <c r="AU1586" s="17" t="s">
        <v>109</v>
      </c>
      <c r="AZ1586" s="17" t="s">
        <v>243</v>
      </c>
      <c r="BA1586" s="17" t="s">
        <v>458</v>
      </c>
      <c r="BB1586" s="17" t="s">
        <v>76</v>
      </c>
      <c r="BP1586" s="17" t="s">
        <v>5540</v>
      </c>
      <c r="BR1586" s="24" t="str">
        <f t="shared" si="1"/>
        <v>GrizzlyGrizzlly</v>
      </c>
    </row>
    <row r="1587" ht="22.5" customHeight="1">
      <c r="A1587" s="14">
        <v>46092.72129016204</v>
      </c>
      <c r="B1587" s="15">
        <v>46092.0</v>
      </c>
      <c r="C1587" s="16">
        <v>0.6493055555547471</v>
      </c>
      <c r="D1587" s="17" t="s">
        <v>111</v>
      </c>
      <c r="T1587" s="17" t="s">
        <v>5541</v>
      </c>
      <c r="U1587" s="17" t="s">
        <v>5542</v>
      </c>
      <c r="V1587" s="17">
        <v>8.125063777E9</v>
      </c>
      <c r="W1587" s="17" t="s">
        <v>388</v>
      </c>
      <c r="AA1587" s="17" t="s">
        <v>109</v>
      </c>
      <c r="AT1587" s="17" t="s">
        <v>5543</v>
      </c>
      <c r="AU1587" s="17" t="s">
        <v>109</v>
      </c>
      <c r="AZ1587" s="17" t="s">
        <v>243</v>
      </c>
      <c r="BA1587" s="17" t="s">
        <v>458</v>
      </c>
      <c r="BB1587" s="17" t="s">
        <v>76</v>
      </c>
      <c r="BP1587" s="17" t="s">
        <v>5541</v>
      </c>
      <c r="BR1587" s="24" t="str">
        <f t="shared" si="1"/>
        <v>The shawarma coThe shawarma co</v>
      </c>
    </row>
    <row r="1588" ht="22.5" customHeight="1">
      <c r="A1588" s="14">
        <v>46092.833376678245</v>
      </c>
      <c r="B1588" s="15">
        <v>46092.0</v>
      </c>
      <c r="C1588" s="16">
        <v>0.6118055555562023</v>
      </c>
      <c r="U1588" s="17" t="s">
        <v>1107</v>
      </c>
      <c r="V1588" s="17">
        <v>9.908889944E9</v>
      </c>
      <c r="W1588" s="17" t="s">
        <v>113</v>
      </c>
      <c r="AA1588" s="17" t="s">
        <v>109</v>
      </c>
      <c r="AT1588" s="17" t="s">
        <v>5544</v>
      </c>
      <c r="AU1588" s="17" t="s">
        <v>76</v>
      </c>
      <c r="AV1588" s="17" t="s">
        <v>271</v>
      </c>
      <c r="AZ1588" s="17" t="s">
        <v>287</v>
      </c>
      <c r="BA1588" s="17" t="s">
        <v>458</v>
      </c>
      <c r="BB1588" s="17" t="s">
        <v>109</v>
      </c>
      <c r="BP1588" s="17" t="s">
        <v>5545</v>
      </c>
      <c r="BR1588" s="24" t="str">
        <f t="shared" si="1"/>
        <v>Panchabhakshya</v>
      </c>
    </row>
    <row r="1589" ht="22.5" customHeight="1">
      <c r="A1589" s="14">
        <v>46092.83499243055</v>
      </c>
      <c r="B1589" s="15">
        <v>46092.0</v>
      </c>
      <c r="C1589" s="16">
        <v>0.7166666666671517</v>
      </c>
      <c r="U1589" s="17" t="s">
        <v>5546</v>
      </c>
      <c r="V1589" s="17">
        <v>9.059693328E9</v>
      </c>
      <c r="W1589" s="17" t="s">
        <v>113</v>
      </c>
      <c r="AA1589" s="17" t="s">
        <v>109</v>
      </c>
      <c r="AT1589" s="17" t="s">
        <v>5547</v>
      </c>
      <c r="AU1589" s="17" t="s">
        <v>76</v>
      </c>
      <c r="AV1589" s="17" t="s">
        <v>5548</v>
      </c>
      <c r="AZ1589" s="17" t="s">
        <v>287</v>
      </c>
      <c r="BA1589" s="17" t="s">
        <v>458</v>
      </c>
      <c r="BB1589" s="17" t="s">
        <v>109</v>
      </c>
      <c r="BP1589" s="17" t="s">
        <v>5549</v>
      </c>
      <c r="BR1589" s="24" t="str">
        <f t="shared" si="1"/>
        <v>Vijwal Grand Resturant</v>
      </c>
    </row>
    <row r="1590" ht="22.5" customHeight="1">
      <c r="A1590" s="14">
        <v>46092.835758009256</v>
      </c>
      <c r="B1590" s="15">
        <v>46092.0</v>
      </c>
      <c r="C1590" s="16">
        <v>0.7166666666671517</v>
      </c>
      <c r="U1590" s="17" t="s">
        <v>113</v>
      </c>
      <c r="V1590" s="17">
        <v>0.0</v>
      </c>
      <c r="W1590" s="17" t="s">
        <v>113</v>
      </c>
      <c r="AA1590" s="17" t="s">
        <v>109</v>
      </c>
      <c r="AT1590" s="17" t="s">
        <v>5547</v>
      </c>
      <c r="AU1590" s="17" t="s">
        <v>76</v>
      </c>
      <c r="AV1590" s="17" t="s">
        <v>5548</v>
      </c>
      <c r="AZ1590" s="17" t="s">
        <v>287</v>
      </c>
      <c r="BA1590" s="17" t="s">
        <v>458</v>
      </c>
      <c r="BB1590" s="17" t="s">
        <v>109</v>
      </c>
      <c r="BP1590" s="17" t="s">
        <v>5550</v>
      </c>
      <c r="BR1590" s="24" t="str">
        <f t="shared" si="1"/>
        <v>Vaibhav Resturant</v>
      </c>
    </row>
    <row r="1591" ht="22.5" customHeight="1">
      <c r="A1591" s="14">
        <v>46092.83674233797</v>
      </c>
      <c r="B1591" s="15">
        <v>46092.0</v>
      </c>
      <c r="C1591" s="16">
        <v>0.7298611111109494</v>
      </c>
      <c r="U1591" s="17" t="s">
        <v>5551</v>
      </c>
      <c r="V1591" s="17">
        <v>9.985876885E9</v>
      </c>
      <c r="W1591" s="17" t="s">
        <v>113</v>
      </c>
      <c r="AA1591" s="17" t="s">
        <v>109</v>
      </c>
      <c r="AT1591" s="17" t="s">
        <v>753</v>
      </c>
      <c r="AU1591" s="17" t="s">
        <v>76</v>
      </c>
      <c r="AV1591" s="17" t="s">
        <v>271</v>
      </c>
      <c r="AZ1591" s="17" t="s">
        <v>287</v>
      </c>
      <c r="BA1591" s="17" t="s">
        <v>458</v>
      </c>
      <c r="BB1591" s="17" t="s">
        <v>109</v>
      </c>
      <c r="BP1591" s="17" t="s">
        <v>5552</v>
      </c>
      <c r="BR1591" s="24" t="str">
        <f t="shared" si="1"/>
        <v>Sri Ankapur Bhojanam</v>
      </c>
    </row>
    <row r="1592" ht="22.5" customHeight="1">
      <c r="A1592" s="14">
        <v>46092.838124409725</v>
      </c>
      <c r="B1592" s="15">
        <v>46092.0</v>
      </c>
      <c r="C1592" s="16">
        <v>0.7541666666656965</v>
      </c>
      <c r="U1592" s="17" t="s">
        <v>5553</v>
      </c>
      <c r="V1592" s="17">
        <v>9.632710669E9</v>
      </c>
      <c r="W1592" s="17" t="s">
        <v>113</v>
      </c>
      <c r="AA1592" s="17" t="s">
        <v>109</v>
      </c>
      <c r="AT1592" s="17" t="s">
        <v>5554</v>
      </c>
      <c r="AU1592" s="17" t="s">
        <v>76</v>
      </c>
      <c r="AV1592" s="17" t="s">
        <v>5548</v>
      </c>
      <c r="AZ1592" s="17" t="s">
        <v>287</v>
      </c>
      <c r="BA1592" s="17" t="s">
        <v>458</v>
      </c>
      <c r="BB1592" s="17" t="s">
        <v>109</v>
      </c>
      <c r="BP1592" s="17" t="s">
        <v>5555</v>
      </c>
      <c r="BR1592" s="24" t="str">
        <f t="shared" si="1"/>
        <v>Ravulapalem Vantillu</v>
      </c>
    </row>
    <row r="1593" ht="22.5" customHeight="1">
      <c r="A1593" s="14">
        <v>46092.83957283565</v>
      </c>
      <c r="B1593" s="15">
        <v>46092.0</v>
      </c>
      <c r="C1593" s="16">
        <v>0.765972222223354</v>
      </c>
      <c r="U1593" s="17" t="s">
        <v>5556</v>
      </c>
      <c r="V1593" s="17">
        <v>9.911990304E9</v>
      </c>
      <c r="W1593" s="17" t="s">
        <v>113</v>
      </c>
      <c r="AA1593" s="17" t="s">
        <v>109</v>
      </c>
      <c r="AT1593" s="17" t="s">
        <v>5557</v>
      </c>
      <c r="AU1593" s="17" t="s">
        <v>76</v>
      </c>
      <c r="AZ1593" s="17" t="s">
        <v>287</v>
      </c>
      <c r="BA1593" s="17" t="s">
        <v>458</v>
      </c>
      <c r="BB1593" s="17" t="s">
        <v>109</v>
      </c>
      <c r="BP1593" s="17" t="s">
        <v>5558</v>
      </c>
      <c r="BR1593" s="24" t="str">
        <f t="shared" si="1"/>
        <v>Sri Vasista Foods</v>
      </c>
    </row>
    <row r="1594" ht="22.5" customHeight="1">
      <c r="A1594" s="14">
        <v>46092.84052611111</v>
      </c>
      <c r="B1594" s="15">
        <v>46092.0</v>
      </c>
      <c r="C1594" s="16">
        <v>0.765972222223354</v>
      </c>
      <c r="U1594" s="17" t="s">
        <v>5556</v>
      </c>
      <c r="V1594" s="17">
        <v>9.911990304E9</v>
      </c>
      <c r="W1594" s="17" t="s">
        <v>113</v>
      </c>
      <c r="AA1594" s="17" t="s">
        <v>109</v>
      </c>
      <c r="AT1594" s="17" t="s">
        <v>5557</v>
      </c>
      <c r="AU1594" s="17" t="s">
        <v>76</v>
      </c>
      <c r="AZ1594" s="17" t="s">
        <v>287</v>
      </c>
      <c r="BA1594" s="17" t="s">
        <v>458</v>
      </c>
      <c r="BB1594" s="17" t="s">
        <v>109</v>
      </c>
      <c r="BP1594" s="17" t="s">
        <v>5559</v>
      </c>
      <c r="BR1594" s="24" t="str">
        <f t="shared" si="1"/>
        <v>Mr.Shawarma and Ms.Shawarma</v>
      </c>
    </row>
    <row r="1595" ht="22.5" customHeight="1">
      <c r="A1595" s="14">
        <v>46092.841979398145</v>
      </c>
      <c r="B1595" s="15">
        <v>46092.0</v>
      </c>
      <c r="C1595" s="16">
        <v>0.7791666666671517</v>
      </c>
      <c r="U1595" s="17" t="s">
        <v>5560</v>
      </c>
      <c r="V1595" s="17">
        <v>9.666659779E9</v>
      </c>
      <c r="W1595" s="17" t="s">
        <v>113</v>
      </c>
      <c r="X1595" s="17" t="s">
        <v>5561</v>
      </c>
      <c r="Y1595" s="17">
        <v>9.908013301E9</v>
      </c>
      <c r="Z1595" s="17" t="s">
        <v>113</v>
      </c>
      <c r="AA1595" s="17" t="s">
        <v>109</v>
      </c>
      <c r="AT1595" s="17" t="s">
        <v>5562</v>
      </c>
      <c r="AU1595" s="17" t="s">
        <v>76</v>
      </c>
      <c r="AZ1595" s="17" t="s">
        <v>287</v>
      </c>
      <c r="BA1595" s="17" t="s">
        <v>458</v>
      </c>
      <c r="BB1595" s="17" t="s">
        <v>109</v>
      </c>
      <c r="BP1595" s="17" t="s">
        <v>5563</v>
      </c>
      <c r="BR1595" s="24" t="str">
        <f t="shared" si="1"/>
        <v>Pulnadu Ruchulu</v>
      </c>
    </row>
    <row r="1596" ht="22.5" customHeight="1">
      <c r="A1596" s="14">
        <v>46092.84315834491</v>
      </c>
      <c r="B1596" s="15">
        <v>46092.0</v>
      </c>
      <c r="C1596" s="16">
        <v>0.7902777777781012</v>
      </c>
      <c r="U1596" s="17" t="s">
        <v>2835</v>
      </c>
      <c r="V1596" s="17">
        <v>9.030090088E9</v>
      </c>
      <c r="W1596" s="17" t="s">
        <v>113</v>
      </c>
      <c r="AA1596" s="17" t="s">
        <v>109</v>
      </c>
      <c r="AT1596" s="17" t="s">
        <v>5564</v>
      </c>
      <c r="AU1596" s="17" t="s">
        <v>76</v>
      </c>
      <c r="AV1596" s="17" t="s">
        <v>114</v>
      </c>
      <c r="AX1596" s="15">
        <v>46097.0</v>
      </c>
      <c r="AY1596" s="16">
        <v>0.45833333333575865</v>
      </c>
      <c r="AZ1596" s="17" t="s">
        <v>287</v>
      </c>
      <c r="BA1596" s="17" t="s">
        <v>458</v>
      </c>
      <c r="BB1596" s="17" t="s">
        <v>109</v>
      </c>
      <c r="BP1596" s="17" t="s">
        <v>5565</v>
      </c>
      <c r="BR1596" s="24" t="str">
        <f t="shared" si="1"/>
        <v>Spicy Table</v>
      </c>
    </row>
    <row r="1597" ht="22.5" customHeight="1">
      <c r="A1597" s="14">
        <v>46092.944246053245</v>
      </c>
      <c r="B1597" s="15">
        <v>46092.0</v>
      </c>
      <c r="C1597" s="16">
        <v>0.08541666666860692</v>
      </c>
      <c r="U1597" s="17" t="s">
        <v>388</v>
      </c>
      <c r="V1597" s="17" t="s">
        <v>388</v>
      </c>
      <c r="W1597" s="17" t="s">
        <v>388</v>
      </c>
      <c r="AA1597" s="17" t="s">
        <v>109</v>
      </c>
      <c r="AT1597" s="17" t="s">
        <v>5566</v>
      </c>
      <c r="AU1597" s="17" t="s">
        <v>76</v>
      </c>
      <c r="AV1597" s="17" t="s">
        <v>271</v>
      </c>
      <c r="AW1597" s="17" t="s">
        <v>5567</v>
      </c>
      <c r="AZ1597" s="17" t="s">
        <v>3034</v>
      </c>
      <c r="BA1597" s="17" t="s">
        <v>458</v>
      </c>
      <c r="BB1597" s="17" t="s">
        <v>109</v>
      </c>
      <c r="BP1597" s="17" t="s">
        <v>5568</v>
      </c>
      <c r="BR1597" s="24" t="str">
        <f t="shared" si="1"/>
        <v>Mista Eats</v>
      </c>
    </row>
    <row r="1598" ht="22.5" customHeight="1">
      <c r="A1598" s="14">
        <v>46092.945674166665</v>
      </c>
      <c r="B1598" s="15">
        <v>46092.0</v>
      </c>
      <c r="C1598" s="16">
        <v>0.17708333333575865</v>
      </c>
      <c r="U1598" s="17" t="s">
        <v>2835</v>
      </c>
      <c r="V1598" s="17">
        <v>9.948476572E9</v>
      </c>
      <c r="W1598" s="17" t="s">
        <v>388</v>
      </c>
      <c r="AA1598" s="17" t="s">
        <v>109</v>
      </c>
      <c r="AT1598" s="17" t="s">
        <v>5569</v>
      </c>
      <c r="AU1598" s="17" t="s">
        <v>76</v>
      </c>
      <c r="AV1598" s="17" t="s">
        <v>271</v>
      </c>
      <c r="AW1598" s="17" t="s">
        <v>5570</v>
      </c>
      <c r="AX1598" s="15">
        <v>46093.0</v>
      </c>
      <c r="AY1598" s="16">
        <v>0.04166666666424135</v>
      </c>
      <c r="AZ1598" s="17" t="s">
        <v>3034</v>
      </c>
      <c r="BA1598" s="17" t="s">
        <v>458</v>
      </c>
      <c r="BB1598" s="17" t="s">
        <v>109</v>
      </c>
      <c r="BP1598" s="17" t="s">
        <v>5571</v>
      </c>
      <c r="BR1598" s="24" t="str">
        <f t="shared" si="1"/>
        <v>Masala restaurant </v>
      </c>
    </row>
    <row r="1599" ht="22.5" customHeight="1">
      <c r="A1599" s="14">
        <v>46092.9466775926</v>
      </c>
      <c r="B1599" s="15">
        <v>46092.0</v>
      </c>
      <c r="C1599" s="16">
        <v>0.19444444444525288</v>
      </c>
      <c r="U1599" s="17" t="s">
        <v>388</v>
      </c>
      <c r="V1599" s="17" t="s">
        <v>388</v>
      </c>
      <c r="W1599" s="17" t="s">
        <v>388</v>
      </c>
      <c r="AA1599" s="17" t="s">
        <v>109</v>
      </c>
      <c r="AT1599" s="17" t="s">
        <v>5570</v>
      </c>
      <c r="AU1599" s="17" t="s">
        <v>76</v>
      </c>
      <c r="AV1599" s="17" t="s">
        <v>271</v>
      </c>
      <c r="AZ1599" s="17" t="s">
        <v>3034</v>
      </c>
      <c r="BA1599" s="17" t="s">
        <v>458</v>
      </c>
      <c r="BB1599" s="17" t="s">
        <v>109</v>
      </c>
      <c r="BP1599" s="17" t="s">
        <v>5572</v>
      </c>
      <c r="BR1599" s="24" t="str">
        <f t="shared" si="1"/>
        <v>Sri Tirumala bakery</v>
      </c>
    </row>
    <row r="1600" ht="22.5" customHeight="1">
      <c r="A1600" s="14">
        <v>46092.94755225694</v>
      </c>
      <c r="B1600" s="15">
        <v>46092.0</v>
      </c>
      <c r="C1600" s="16">
        <v>0.19583333333139308</v>
      </c>
      <c r="U1600" s="17" t="s">
        <v>388</v>
      </c>
      <c r="V1600" s="17" t="s">
        <v>388</v>
      </c>
      <c r="W1600" s="17" t="s">
        <v>388</v>
      </c>
      <c r="AA1600" s="17" t="s">
        <v>109</v>
      </c>
      <c r="AT1600" s="17" t="s">
        <v>5573</v>
      </c>
      <c r="AU1600" s="17" t="s">
        <v>76</v>
      </c>
      <c r="AV1600" s="17" t="s">
        <v>271</v>
      </c>
      <c r="AZ1600" s="17" t="s">
        <v>3034</v>
      </c>
      <c r="BA1600" s="17" t="s">
        <v>458</v>
      </c>
      <c r="BB1600" s="17" t="s">
        <v>109</v>
      </c>
      <c r="BP1600" s="17" t="s">
        <v>5574</v>
      </c>
      <c r="BR1600" s="24" t="str">
        <f t="shared" si="1"/>
        <v>Gokul tiffin center </v>
      </c>
    </row>
    <row r="1601" ht="22.5" customHeight="1">
      <c r="A1601" s="14">
        <v>46092.94927902777</v>
      </c>
      <c r="B1601" s="15">
        <v>46092.0</v>
      </c>
      <c r="C1601" s="16">
        <v>0.22916666666424135</v>
      </c>
      <c r="U1601" s="17" t="s">
        <v>4717</v>
      </c>
      <c r="V1601" s="17">
        <v>8.501088773E9</v>
      </c>
      <c r="W1601" s="17" t="s">
        <v>388</v>
      </c>
      <c r="AA1601" s="17" t="s">
        <v>109</v>
      </c>
      <c r="AT1601" s="17" t="s">
        <v>5575</v>
      </c>
      <c r="AU1601" s="17" t="s">
        <v>76</v>
      </c>
      <c r="AV1601" s="17" t="s">
        <v>271</v>
      </c>
      <c r="AZ1601" s="17" t="s">
        <v>3034</v>
      </c>
      <c r="BA1601" s="17" t="s">
        <v>458</v>
      </c>
      <c r="BB1601" s="17" t="s">
        <v>109</v>
      </c>
      <c r="BP1601" s="17" t="s">
        <v>5576</v>
      </c>
      <c r="BR1601" s="24" t="str">
        <f t="shared" si="1"/>
        <v>Arabian Mandi res</v>
      </c>
    </row>
    <row r="1602" ht="22.5" customHeight="1">
      <c r="A1602" s="14">
        <v>46092.95039777778</v>
      </c>
      <c r="B1602" s="15">
        <v>46092.0</v>
      </c>
      <c r="C1602" s="16">
        <v>0.26458333333721384</v>
      </c>
      <c r="U1602" s="17" t="s">
        <v>5577</v>
      </c>
      <c r="V1602" s="17">
        <v>7.386840498E9</v>
      </c>
      <c r="W1602" s="17" t="s">
        <v>388</v>
      </c>
      <c r="AA1602" s="17" t="s">
        <v>109</v>
      </c>
      <c r="AT1602" s="17" t="s">
        <v>5578</v>
      </c>
      <c r="AU1602" s="17" t="s">
        <v>76</v>
      </c>
      <c r="AV1602" s="17" t="s">
        <v>271</v>
      </c>
      <c r="AZ1602" s="17" t="s">
        <v>3034</v>
      </c>
      <c r="BA1602" s="17" t="s">
        <v>458</v>
      </c>
      <c r="BB1602" s="17" t="s">
        <v>109</v>
      </c>
      <c r="BP1602" s="17" t="s">
        <v>5579</v>
      </c>
      <c r="BR1602" s="24" t="str">
        <f t="shared" si="1"/>
        <v>Lassi story</v>
      </c>
    </row>
    <row r="1603" ht="22.5" customHeight="1">
      <c r="A1603" s="14">
        <v>46092.95252517361</v>
      </c>
      <c r="B1603" s="15">
        <v>46092.0</v>
      </c>
      <c r="C1603" s="16">
        <v>0.0625</v>
      </c>
      <c r="D1603" s="17" t="s">
        <v>111</v>
      </c>
      <c r="T1603" s="17" t="s">
        <v>3126</v>
      </c>
      <c r="U1603" s="17" t="s">
        <v>388</v>
      </c>
      <c r="V1603" s="17">
        <v>9.44004922E9</v>
      </c>
      <c r="W1603" s="17" t="s">
        <v>388</v>
      </c>
      <c r="AA1603" s="17" t="s">
        <v>109</v>
      </c>
      <c r="AT1603" s="17" t="s">
        <v>5580</v>
      </c>
      <c r="AU1603" s="17" t="s">
        <v>76</v>
      </c>
      <c r="AV1603" s="17" t="s">
        <v>373</v>
      </c>
      <c r="AZ1603" s="17" t="s">
        <v>3034</v>
      </c>
      <c r="BA1603" s="17" t="s">
        <v>491</v>
      </c>
      <c r="BP1603" s="17" t="s">
        <v>5581</v>
      </c>
      <c r="BR1603" s="24" t="str">
        <f t="shared" si="1"/>
        <v>Chickpet donne biryani house Chickpet donne biryani house</v>
      </c>
    </row>
    <row r="1604" ht="22.5" customHeight="1">
      <c r="A1604" s="14">
        <v>46092.95570289352</v>
      </c>
      <c r="B1604" s="15">
        <v>46092.0</v>
      </c>
      <c r="C1604" s="16">
        <v>0.07291666666424135</v>
      </c>
      <c r="D1604" s="17" t="s">
        <v>111</v>
      </c>
      <c r="T1604" s="17" t="s">
        <v>5582</v>
      </c>
      <c r="U1604" s="17" t="s">
        <v>2532</v>
      </c>
      <c r="V1604" s="17" t="s">
        <v>5583</v>
      </c>
      <c r="W1604" s="17" t="s">
        <v>388</v>
      </c>
      <c r="AA1604" s="17" t="s">
        <v>109</v>
      </c>
      <c r="AT1604" s="17" t="s">
        <v>5584</v>
      </c>
      <c r="AU1604" s="17" t="s">
        <v>76</v>
      </c>
      <c r="AV1604" s="17" t="s">
        <v>373</v>
      </c>
      <c r="AZ1604" s="17" t="s">
        <v>3034</v>
      </c>
      <c r="BA1604" s="17" t="s">
        <v>491</v>
      </c>
      <c r="BP1604" s="17" t="s">
        <v>5582</v>
      </c>
      <c r="BR1604" s="24" t="str">
        <f t="shared" si="1"/>
        <v>Naidu Gari Kunda biryaniNaidu Gari Kunda biryani</v>
      </c>
    </row>
    <row r="1605" ht="22.5" customHeight="1">
      <c r="A1605" s="14">
        <v>46093.01346634259</v>
      </c>
      <c r="B1605" s="15">
        <v>46062.0</v>
      </c>
      <c r="C1605" s="16">
        <v>0.5381944444452529</v>
      </c>
      <c r="U1605" s="17" t="s">
        <v>1887</v>
      </c>
      <c r="V1605" s="17">
        <v>9.33319125E8</v>
      </c>
      <c r="W1605" s="17" t="s">
        <v>117</v>
      </c>
      <c r="AA1605" s="17" t="s">
        <v>109</v>
      </c>
      <c r="AT1605" s="17" t="s">
        <v>5585</v>
      </c>
      <c r="AU1605" s="17" t="s">
        <v>76</v>
      </c>
      <c r="AV1605" s="17" t="s">
        <v>271</v>
      </c>
      <c r="AZ1605" s="17" t="s">
        <v>110</v>
      </c>
      <c r="BA1605" s="17" t="s">
        <v>458</v>
      </c>
      <c r="BB1605" s="17" t="s">
        <v>109</v>
      </c>
      <c r="BP1605" s="17" t="s">
        <v>5586</v>
      </c>
      <c r="BR1605" s="24" t="str">
        <f t="shared" si="1"/>
        <v>Pondy Parottas</v>
      </c>
    </row>
    <row r="1606" ht="22.5" customHeight="1">
      <c r="A1606" s="14">
        <v>46093.01522045139</v>
      </c>
      <c r="B1606" s="15">
        <v>46090.0</v>
      </c>
      <c r="C1606" s="16">
        <v>0.5833333333357587</v>
      </c>
      <c r="U1606" s="17" t="s">
        <v>4211</v>
      </c>
      <c r="V1606" s="17" t="s">
        <v>4211</v>
      </c>
      <c r="W1606" s="17" t="s">
        <v>4211</v>
      </c>
      <c r="AA1606" s="17" t="s">
        <v>109</v>
      </c>
      <c r="AT1606" s="17" t="s">
        <v>5587</v>
      </c>
      <c r="AU1606" s="17" t="s">
        <v>76</v>
      </c>
      <c r="AZ1606" s="17" t="s">
        <v>110</v>
      </c>
      <c r="BA1606" s="17" t="s">
        <v>458</v>
      </c>
      <c r="BB1606" s="17" t="s">
        <v>109</v>
      </c>
      <c r="BP1606" s="17" t="s">
        <v>5588</v>
      </c>
      <c r="BR1606" s="24" t="str">
        <f t="shared" si="1"/>
        <v>Abhiruchi Biriyani</v>
      </c>
    </row>
    <row r="1607" ht="22.5" customHeight="1">
      <c r="A1607" s="14">
        <v>46093.01800967593</v>
      </c>
      <c r="B1607" s="15">
        <v>46090.0</v>
      </c>
      <c r="C1607" s="16">
        <v>0.6041666666642413</v>
      </c>
      <c r="U1607" s="17" t="s">
        <v>5589</v>
      </c>
      <c r="V1607" s="17">
        <v>9.989686953E9</v>
      </c>
      <c r="W1607" s="17" t="s">
        <v>117</v>
      </c>
      <c r="AA1607" s="17" t="s">
        <v>109</v>
      </c>
      <c r="AT1607" s="17" t="s">
        <v>5590</v>
      </c>
      <c r="AU1607" s="17" t="s">
        <v>76</v>
      </c>
      <c r="AV1607" s="17" t="s">
        <v>271</v>
      </c>
      <c r="AZ1607" s="17" t="s">
        <v>110</v>
      </c>
      <c r="BA1607" s="17" t="s">
        <v>458</v>
      </c>
      <c r="BB1607" s="17" t="s">
        <v>109</v>
      </c>
      <c r="BP1607" s="17" t="s">
        <v>5591</v>
      </c>
      <c r="BR1607" s="24" t="str">
        <f t="shared" si="1"/>
        <v>Darbar Family Restaurant </v>
      </c>
    </row>
    <row r="1608" ht="22.5" customHeight="1">
      <c r="A1608" s="14">
        <v>46093.02163048611</v>
      </c>
      <c r="B1608" s="15">
        <v>46090.0</v>
      </c>
      <c r="C1608" s="16">
        <v>0.6458333333357587</v>
      </c>
      <c r="D1608" s="17" t="s">
        <v>91</v>
      </c>
      <c r="F1608" s="17">
        <v>40.0</v>
      </c>
      <c r="G1608" s="17">
        <v>200.0</v>
      </c>
      <c r="H1608" s="17" t="s">
        <v>208</v>
      </c>
      <c r="I1608" s="17">
        <v>1.0</v>
      </c>
      <c r="J1608" s="17" t="s">
        <v>94</v>
      </c>
      <c r="N1608" s="17">
        <v>1.0</v>
      </c>
      <c r="O1608" s="17" t="s">
        <v>96</v>
      </c>
      <c r="P1608" s="17" t="s">
        <v>76</v>
      </c>
      <c r="Q1608" s="17" t="s">
        <v>97</v>
      </c>
      <c r="R1608" s="17" t="s">
        <v>109</v>
      </c>
      <c r="S1608" s="18" t="s">
        <v>5592</v>
      </c>
      <c r="U1608" s="17" t="s">
        <v>5593</v>
      </c>
      <c r="V1608" s="17">
        <v>9.959357179E9</v>
      </c>
      <c r="W1608" s="17" t="s">
        <v>117</v>
      </c>
      <c r="AA1608" s="17" t="s">
        <v>109</v>
      </c>
      <c r="AT1608" s="17" t="s">
        <v>193</v>
      </c>
      <c r="AU1608" s="17" t="s">
        <v>109</v>
      </c>
      <c r="AZ1608" s="17" t="s">
        <v>110</v>
      </c>
      <c r="BA1608" s="17" t="s">
        <v>458</v>
      </c>
      <c r="BB1608" s="17" t="s">
        <v>76</v>
      </c>
      <c r="BN1608" s="17" t="s">
        <v>5141</v>
      </c>
      <c r="BP1608" s="17" t="s">
        <v>5594</v>
      </c>
      <c r="BR1608" s="24" t="str">
        <f t="shared" si="1"/>
        <v>RIVORA THE CAFE</v>
      </c>
    </row>
    <row r="1609" ht="22.5" customHeight="1">
      <c r="A1609" s="14">
        <v>46093.02446972222</v>
      </c>
      <c r="B1609" s="15">
        <v>46091.0</v>
      </c>
      <c r="C1609" s="16">
        <v>0.5</v>
      </c>
      <c r="U1609" s="17" t="s">
        <v>5595</v>
      </c>
      <c r="V1609" s="17">
        <v>9.059435788E9</v>
      </c>
      <c r="W1609" s="17" t="s">
        <v>4211</v>
      </c>
      <c r="AA1609" s="17" t="s">
        <v>109</v>
      </c>
      <c r="AT1609" s="17" t="s">
        <v>5596</v>
      </c>
      <c r="AU1609" s="17" t="s">
        <v>76</v>
      </c>
      <c r="AZ1609" s="17" t="s">
        <v>110</v>
      </c>
      <c r="BA1609" s="17" t="s">
        <v>458</v>
      </c>
      <c r="BB1609" s="17" t="s">
        <v>109</v>
      </c>
      <c r="BP1609" s="17" t="s">
        <v>5597</v>
      </c>
      <c r="BR1609" s="24" t="str">
        <f t="shared" si="1"/>
        <v>Donne Biriyani House </v>
      </c>
    </row>
    <row r="1610" ht="22.5" customHeight="1">
      <c r="A1610" s="14">
        <v>46093.02679815972</v>
      </c>
      <c r="B1610" s="15">
        <v>46092.0</v>
      </c>
      <c r="C1610" s="16">
        <v>0.5298611111065838</v>
      </c>
      <c r="U1610" s="17" t="s">
        <v>5598</v>
      </c>
      <c r="V1610" s="17">
        <v>9.429803735E9</v>
      </c>
      <c r="W1610" s="17" t="s">
        <v>117</v>
      </c>
      <c r="AA1610" s="17" t="s">
        <v>109</v>
      </c>
      <c r="AT1610" s="17" t="s">
        <v>5599</v>
      </c>
      <c r="AU1610" s="17" t="s">
        <v>76</v>
      </c>
      <c r="AV1610" s="17" t="s">
        <v>472</v>
      </c>
      <c r="AZ1610" s="17" t="s">
        <v>110</v>
      </c>
      <c r="BA1610" s="17" t="s">
        <v>458</v>
      </c>
      <c r="BB1610" s="17" t="s">
        <v>109</v>
      </c>
      <c r="BP1610" s="17" t="s">
        <v>5600</v>
      </c>
      <c r="BR1610" s="24" t="str">
        <f t="shared" si="1"/>
        <v>Samjam's Pizza </v>
      </c>
    </row>
    <row r="1611" ht="22.5" customHeight="1">
      <c r="A1611" s="14">
        <v>46093.029820138894</v>
      </c>
      <c r="B1611" s="15">
        <v>46097.0</v>
      </c>
      <c r="C1611" s="16">
        <v>0.48958333333575865</v>
      </c>
      <c r="U1611" s="17" t="s">
        <v>5601</v>
      </c>
      <c r="V1611" s="17">
        <v>9.988557288E9</v>
      </c>
      <c r="W1611" s="17" t="s">
        <v>117</v>
      </c>
      <c r="AA1611" s="17" t="s">
        <v>109</v>
      </c>
      <c r="AT1611" s="17" t="s">
        <v>5602</v>
      </c>
      <c r="AU1611" s="17" t="s">
        <v>76</v>
      </c>
      <c r="AV1611" s="17" t="s">
        <v>114</v>
      </c>
      <c r="AZ1611" s="17" t="s">
        <v>110</v>
      </c>
      <c r="BA1611" s="17" t="s">
        <v>458</v>
      </c>
      <c r="BB1611" s="17" t="s">
        <v>109</v>
      </c>
      <c r="BP1611" s="17" t="s">
        <v>5603</v>
      </c>
      <c r="BR1611" s="24" t="str">
        <f t="shared" si="1"/>
        <v>Vaarahi Kitchen </v>
      </c>
    </row>
    <row r="1612" ht="22.5" customHeight="1">
      <c r="A1612" s="14">
        <v>46093.032935104166</v>
      </c>
      <c r="B1612" s="15">
        <v>46097.0</v>
      </c>
      <c r="C1612" s="16">
        <v>0.5381944444452529</v>
      </c>
      <c r="U1612" s="17" t="s">
        <v>5604</v>
      </c>
      <c r="V1612" s="17">
        <v>9.959666113E9</v>
      </c>
      <c r="W1612" s="17" t="s">
        <v>117</v>
      </c>
      <c r="AA1612" s="17" t="s">
        <v>109</v>
      </c>
      <c r="AT1612" s="17" t="s">
        <v>5605</v>
      </c>
      <c r="AU1612" s="17" t="s">
        <v>76</v>
      </c>
      <c r="AV1612" s="17" t="s">
        <v>271</v>
      </c>
      <c r="AZ1612" s="17" t="s">
        <v>110</v>
      </c>
      <c r="BA1612" s="17" t="s">
        <v>458</v>
      </c>
      <c r="BB1612" s="17" t="s">
        <v>109</v>
      </c>
      <c r="BP1612" s="17" t="s">
        <v>5606</v>
      </c>
      <c r="BR1612" s="24" t="str">
        <f t="shared" si="1"/>
        <v>Mumbai Masala </v>
      </c>
    </row>
    <row r="1613" ht="22.5" customHeight="1">
      <c r="A1613" s="14">
        <v>46093.03434704861</v>
      </c>
      <c r="B1613" s="15">
        <v>46097.0</v>
      </c>
      <c r="C1613" s="16">
        <v>0.5729166666642413</v>
      </c>
      <c r="U1613" s="17" t="s">
        <v>5607</v>
      </c>
      <c r="V1613" s="17">
        <v>9.959545449E9</v>
      </c>
      <c r="W1613" s="17" t="s">
        <v>117</v>
      </c>
      <c r="AA1613" s="17" t="s">
        <v>109</v>
      </c>
      <c r="AT1613" s="17" t="s">
        <v>5608</v>
      </c>
      <c r="AU1613" s="17" t="s">
        <v>76</v>
      </c>
      <c r="AV1613" s="17" t="s">
        <v>373</v>
      </c>
      <c r="AZ1613" s="17" t="s">
        <v>110</v>
      </c>
      <c r="BA1613" s="17" t="s">
        <v>458</v>
      </c>
      <c r="BB1613" s="17" t="s">
        <v>109</v>
      </c>
      <c r="BP1613" s="17" t="s">
        <v>5609</v>
      </c>
      <c r="BR1613" s="24" t="str">
        <f t="shared" si="1"/>
        <v>Sri Abhiruchi</v>
      </c>
    </row>
    <row r="1614" ht="22.5" customHeight="1">
      <c r="A1614" s="14">
        <v>46093.39385199074</v>
      </c>
      <c r="B1614" s="15">
        <v>46092.0</v>
      </c>
      <c r="C1614" s="16">
        <v>0.08333333333575865</v>
      </c>
      <c r="D1614" s="17" t="s">
        <v>111</v>
      </c>
      <c r="T1614" s="17" t="s">
        <v>5610</v>
      </c>
      <c r="U1614" s="17" t="s">
        <v>5341</v>
      </c>
      <c r="V1614" s="17" t="s">
        <v>388</v>
      </c>
      <c r="W1614" s="17" t="s">
        <v>388</v>
      </c>
      <c r="AA1614" s="17" t="s">
        <v>109</v>
      </c>
      <c r="AT1614" s="17" t="s">
        <v>5611</v>
      </c>
      <c r="AU1614" s="17" t="s">
        <v>76</v>
      </c>
      <c r="AV1614" s="17" t="s">
        <v>114</v>
      </c>
      <c r="AZ1614" s="17" t="s">
        <v>151</v>
      </c>
      <c r="BA1614" s="17" t="s">
        <v>458</v>
      </c>
      <c r="BB1614" s="17" t="s">
        <v>76</v>
      </c>
      <c r="BP1614" s="17" t="s">
        <v>5612</v>
      </c>
      <c r="BR1614" s="24" t="str">
        <f t="shared" si="1"/>
        <v>Minerva blue foxMinerva </v>
      </c>
    </row>
    <row r="1615" ht="22.5" customHeight="1">
      <c r="A1615" s="14">
        <v>46093.394509375</v>
      </c>
      <c r="B1615" s="15">
        <v>46092.0</v>
      </c>
      <c r="C1615" s="16">
        <v>0.04166666666424135</v>
      </c>
      <c r="U1615" s="17" t="s">
        <v>309</v>
      </c>
      <c r="V1615" s="17" t="s">
        <v>388</v>
      </c>
      <c r="W1615" s="17" t="s">
        <v>388</v>
      </c>
      <c r="AA1615" s="17" t="s">
        <v>109</v>
      </c>
      <c r="AT1615" s="17" t="s">
        <v>5613</v>
      </c>
      <c r="AU1615" s="17" t="s">
        <v>109</v>
      </c>
      <c r="AZ1615" s="17" t="s">
        <v>151</v>
      </c>
      <c r="BA1615" s="17" t="s">
        <v>458</v>
      </c>
      <c r="BB1615" s="17" t="s">
        <v>109</v>
      </c>
      <c r="BP1615" s="17" t="s">
        <v>5614</v>
      </c>
      <c r="BR1615" s="24" t="str">
        <f t="shared" si="1"/>
        <v>Thurpu Godhavari restaurant </v>
      </c>
    </row>
    <row r="1616" ht="22.5" customHeight="1">
      <c r="A1616" s="14">
        <v>46093.39541542824</v>
      </c>
      <c r="B1616" s="15">
        <v>46092.0</v>
      </c>
      <c r="C1616" s="16">
        <v>0.5625</v>
      </c>
      <c r="U1616" s="17" t="s">
        <v>5615</v>
      </c>
      <c r="V1616" s="17" t="s">
        <v>388</v>
      </c>
      <c r="W1616" s="17" t="s">
        <v>388</v>
      </c>
      <c r="AA1616" s="17" t="s">
        <v>109</v>
      </c>
      <c r="AT1616" s="17" t="s">
        <v>5616</v>
      </c>
      <c r="AU1616" s="17" t="s">
        <v>109</v>
      </c>
      <c r="AZ1616" s="17" t="s">
        <v>151</v>
      </c>
      <c r="BA1616" s="17" t="s">
        <v>458</v>
      </c>
      <c r="BB1616" s="17" t="s">
        <v>109</v>
      </c>
      <c r="BP1616" s="17" t="s">
        <v>5617</v>
      </c>
      <c r="BR1616" s="24" t="str">
        <f t="shared" si="1"/>
        <v>Rayala seema ruchulu</v>
      </c>
    </row>
    <row r="1617" ht="22.5" customHeight="1">
      <c r="A1617" s="14">
        <v>46093.39620462963</v>
      </c>
      <c r="B1617" s="15">
        <v>46092.0</v>
      </c>
      <c r="C1617" s="16">
        <v>0.6666666666642413</v>
      </c>
      <c r="U1617" s="17" t="s">
        <v>4898</v>
      </c>
      <c r="V1617" s="17" t="s">
        <v>388</v>
      </c>
      <c r="W1617" s="17" t="s">
        <v>388</v>
      </c>
      <c r="AA1617" s="17" t="s">
        <v>109</v>
      </c>
      <c r="AT1617" s="17" t="s">
        <v>5618</v>
      </c>
      <c r="AU1617" s="17" t="s">
        <v>109</v>
      </c>
      <c r="AZ1617" s="17" t="s">
        <v>151</v>
      </c>
      <c r="BA1617" s="17" t="s">
        <v>458</v>
      </c>
      <c r="BB1617" s="17" t="s">
        <v>109</v>
      </c>
      <c r="BP1617" s="17" t="s">
        <v>4900</v>
      </c>
      <c r="BR1617" s="24" t="str">
        <f t="shared" si="1"/>
        <v>Charminar biryani</v>
      </c>
    </row>
    <row r="1618" ht="22.5" customHeight="1">
      <c r="A1618" s="14">
        <v>46093.39749307871</v>
      </c>
      <c r="B1618" s="15">
        <v>46092.0</v>
      </c>
      <c r="C1618" s="16">
        <v>0.5833333333357587</v>
      </c>
      <c r="U1618" s="17" t="s">
        <v>5619</v>
      </c>
      <c r="V1618" s="17" t="s">
        <v>388</v>
      </c>
      <c r="W1618" s="17" t="s">
        <v>388</v>
      </c>
      <c r="AA1618" s="17" t="s">
        <v>109</v>
      </c>
      <c r="AT1618" s="17" t="s">
        <v>5620</v>
      </c>
      <c r="AU1618" s="17" t="s">
        <v>109</v>
      </c>
      <c r="AZ1618" s="17" t="s">
        <v>151</v>
      </c>
      <c r="BA1618" s="17" t="s">
        <v>458</v>
      </c>
      <c r="BB1618" s="17" t="s">
        <v>109</v>
      </c>
      <c r="BP1618" s="17" t="s">
        <v>5621</v>
      </c>
      <c r="BR1618" s="24" t="str">
        <f t="shared" si="1"/>
        <v>Tara kitchen</v>
      </c>
    </row>
    <row r="1619" ht="22.5" customHeight="1">
      <c r="A1619" s="14">
        <v>46093.42607631945</v>
      </c>
      <c r="B1619" s="15">
        <v>46092.0</v>
      </c>
      <c r="C1619" s="16">
        <v>0.14583333333575865</v>
      </c>
      <c r="D1619" s="17" t="s">
        <v>91</v>
      </c>
      <c r="F1619" s="17">
        <v>30.0</v>
      </c>
      <c r="G1619" s="17">
        <v>300.0</v>
      </c>
      <c r="H1619" s="17" t="s">
        <v>113</v>
      </c>
      <c r="J1619" s="17" t="s">
        <v>94</v>
      </c>
      <c r="K1619" s="17" t="s">
        <v>95</v>
      </c>
      <c r="N1619" s="17">
        <v>1.0</v>
      </c>
      <c r="O1619" s="17" t="s">
        <v>96</v>
      </c>
      <c r="P1619" s="17" t="s">
        <v>109</v>
      </c>
      <c r="Q1619" s="17" t="s">
        <v>97</v>
      </c>
      <c r="R1619" s="17" t="s">
        <v>109</v>
      </c>
      <c r="S1619" s="17" t="s">
        <v>113</v>
      </c>
      <c r="U1619" s="17" t="s">
        <v>1154</v>
      </c>
      <c r="V1619" s="17">
        <v>8.688077052E9</v>
      </c>
      <c r="W1619" s="17" t="s">
        <v>5622</v>
      </c>
      <c r="AA1619" s="17" t="s">
        <v>76</v>
      </c>
      <c r="AB1619" s="17">
        <v>2.3625032007679E13</v>
      </c>
      <c r="AC1619" s="18" t="s">
        <v>5623</v>
      </c>
      <c r="AD1619" s="17" t="s">
        <v>117</v>
      </c>
      <c r="AF1619" s="17" t="s">
        <v>5624</v>
      </c>
      <c r="AG1619" s="18" t="s">
        <v>5625</v>
      </c>
      <c r="AH1619" s="17" t="s">
        <v>5626</v>
      </c>
      <c r="AI1619" s="18" t="s">
        <v>5627</v>
      </c>
      <c r="AK1619" s="18" t="s">
        <v>5628</v>
      </c>
      <c r="AS1619" s="17" t="s">
        <v>76</v>
      </c>
      <c r="AT1619" s="17" t="s">
        <v>5629</v>
      </c>
      <c r="AU1619" s="17" t="s">
        <v>109</v>
      </c>
      <c r="AZ1619" s="17" t="s">
        <v>3034</v>
      </c>
      <c r="BA1619" s="17" t="s">
        <v>458</v>
      </c>
      <c r="BB1619" s="17" t="s">
        <v>76</v>
      </c>
      <c r="BM1619" s="17" t="s">
        <v>5630</v>
      </c>
      <c r="BN1619" s="17" t="s">
        <v>1088</v>
      </c>
      <c r="BP1619" s="17" t="s">
        <v>5301</v>
      </c>
      <c r="BR1619" s="24" t="str">
        <f t="shared" si="1"/>
        <v>Zamindar's Cafe</v>
      </c>
    </row>
    <row r="1620" ht="22.5" customHeight="1">
      <c r="A1620" s="14">
        <v>46098.45768612268</v>
      </c>
      <c r="B1620" s="15">
        <v>46097.0</v>
      </c>
      <c r="C1620" s="16">
        <v>0.45833333333575865</v>
      </c>
      <c r="U1620" s="17" t="s">
        <v>957</v>
      </c>
      <c r="V1620" s="17">
        <v>8.790664378E9</v>
      </c>
      <c r="W1620" s="17" t="s">
        <v>388</v>
      </c>
      <c r="AA1620" s="17" t="s">
        <v>109</v>
      </c>
      <c r="AT1620" s="17" t="s">
        <v>5631</v>
      </c>
      <c r="AU1620" s="17" t="s">
        <v>76</v>
      </c>
      <c r="AV1620" s="17" t="s">
        <v>88</v>
      </c>
      <c r="AZ1620" s="17" t="s">
        <v>539</v>
      </c>
      <c r="BA1620" s="17" t="s">
        <v>458</v>
      </c>
      <c r="BB1620" s="17" t="s">
        <v>109</v>
      </c>
      <c r="BP1620" s="17" t="s">
        <v>5632</v>
      </c>
      <c r="BR1620" s="24" t="str">
        <f t="shared" si="1"/>
        <v>Anandhobhrama</v>
      </c>
    </row>
    <row r="1621" ht="22.5" customHeight="1">
      <c r="A1621" s="14">
        <v>46098.458415914356</v>
      </c>
      <c r="B1621" s="15">
        <v>46097.0</v>
      </c>
      <c r="C1621" s="16">
        <v>0.45833333333575865</v>
      </c>
      <c r="U1621" s="17" t="s">
        <v>388</v>
      </c>
      <c r="V1621" s="17">
        <v>8.790664378E9</v>
      </c>
      <c r="W1621" s="17" t="s">
        <v>388</v>
      </c>
      <c r="AA1621" s="17" t="s">
        <v>109</v>
      </c>
      <c r="AT1621" s="17" t="s">
        <v>5633</v>
      </c>
      <c r="AU1621" s="17" t="s">
        <v>76</v>
      </c>
      <c r="AV1621" s="17" t="s">
        <v>88</v>
      </c>
      <c r="AZ1621" s="17" t="s">
        <v>539</v>
      </c>
      <c r="BA1621" s="17" t="s">
        <v>458</v>
      </c>
      <c r="BB1621" s="17" t="s">
        <v>109</v>
      </c>
      <c r="BP1621" s="17" t="s">
        <v>5634</v>
      </c>
      <c r="BR1621" s="24" t="str">
        <f t="shared" si="1"/>
        <v>Ahaar kitchen </v>
      </c>
    </row>
    <row r="1622" ht="22.5" customHeight="1">
      <c r="A1622" s="14">
        <v>46098.45884114583</v>
      </c>
      <c r="B1622" s="15">
        <v>46097.0</v>
      </c>
      <c r="C1622" s="16">
        <v>0.5</v>
      </c>
      <c r="U1622" s="17" t="s">
        <v>388</v>
      </c>
      <c r="V1622" s="17" t="s">
        <v>388</v>
      </c>
      <c r="W1622" s="17" t="s">
        <v>388</v>
      </c>
      <c r="AA1622" s="17" t="s">
        <v>109</v>
      </c>
      <c r="AT1622" s="17" t="s">
        <v>5446</v>
      </c>
      <c r="AU1622" s="17" t="s">
        <v>76</v>
      </c>
      <c r="AZ1622" s="17" t="s">
        <v>539</v>
      </c>
      <c r="BA1622" s="17" t="s">
        <v>458</v>
      </c>
      <c r="BB1622" s="17" t="s">
        <v>109</v>
      </c>
      <c r="BP1622" s="17" t="s">
        <v>5635</v>
      </c>
      <c r="BR1622" s="24" t="str">
        <f t="shared" si="1"/>
        <v>Habibo</v>
      </c>
    </row>
    <row r="1623" ht="22.5" customHeight="1">
      <c r="A1623" s="14">
        <v>46098.45956912037</v>
      </c>
      <c r="B1623" s="15">
        <v>46097.0</v>
      </c>
      <c r="C1623" s="16">
        <v>0.5</v>
      </c>
      <c r="U1623" s="17" t="s">
        <v>5636</v>
      </c>
      <c r="V1623" s="17">
        <v>9.866536396E9</v>
      </c>
      <c r="W1623" s="17" t="s">
        <v>388</v>
      </c>
      <c r="AA1623" s="17" t="s">
        <v>109</v>
      </c>
      <c r="AT1623" s="17" t="s">
        <v>5637</v>
      </c>
      <c r="AU1623" s="17" t="s">
        <v>109</v>
      </c>
      <c r="AZ1623" s="17" t="s">
        <v>539</v>
      </c>
      <c r="BA1623" s="17" t="s">
        <v>458</v>
      </c>
      <c r="BB1623" s="17" t="s">
        <v>109</v>
      </c>
      <c r="BP1623" s="17" t="s">
        <v>5638</v>
      </c>
      <c r="BR1623" s="24" t="str">
        <f t="shared" si="1"/>
        <v>Amogha </v>
      </c>
    </row>
    <row r="1624" ht="22.5" customHeight="1">
      <c r="A1624" s="14">
        <v>46098.46066185185</v>
      </c>
      <c r="B1624" s="15">
        <v>46097.0</v>
      </c>
      <c r="C1624" s="16">
        <v>0.5208333333357587</v>
      </c>
      <c r="U1624" s="17" t="s">
        <v>957</v>
      </c>
      <c r="V1624" s="17" t="s">
        <v>388</v>
      </c>
      <c r="W1624" s="17" t="s">
        <v>388</v>
      </c>
      <c r="AA1624" s="17" t="s">
        <v>109</v>
      </c>
      <c r="AT1624" s="17" t="s">
        <v>5639</v>
      </c>
      <c r="AU1624" s="17" t="s">
        <v>109</v>
      </c>
      <c r="AZ1624" s="17" t="s">
        <v>539</v>
      </c>
      <c r="BA1624" s="17" t="s">
        <v>458</v>
      </c>
      <c r="BB1624" s="17" t="s">
        <v>109</v>
      </c>
      <c r="BP1624" s="17" t="s">
        <v>5640</v>
      </c>
      <c r="BR1624" s="24" t="str">
        <f t="shared" si="1"/>
        <v>Madhu restraunt </v>
      </c>
    </row>
    <row r="1625" ht="22.5" customHeight="1">
      <c r="A1625" s="14">
        <v>46098.46209627315</v>
      </c>
      <c r="B1625" s="15">
        <v>46097.0</v>
      </c>
      <c r="C1625" s="16">
        <v>0.5277777777810115</v>
      </c>
      <c r="U1625" s="17" t="s">
        <v>5641</v>
      </c>
      <c r="V1625" s="17">
        <v>7.702428848E9</v>
      </c>
      <c r="W1625" s="17" t="s">
        <v>388</v>
      </c>
      <c r="AA1625" s="17" t="s">
        <v>109</v>
      </c>
      <c r="AT1625" s="17" t="s">
        <v>5642</v>
      </c>
      <c r="AU1625" s="17" t="s">
        <v>76</v>
      </c>
      <c r="AZ1625" s="17" t="s">
        <v>539</v>
      </c>
      <c r="BA1625" s="17" t="s">
        <v>458</v>
      </c>
      <c r="BB1625" s="17" t="s">
        <v>109</v>
      </c>
      <c r="BP1625" s="17" t="s">
        <v>1748</v>
      </c>
      <c r="BR1625" s="24" t="str">
        <f t="shared" si="1"/>
        <v>Hari dosa</v>
      </c>
    </row>
    <row r="1626" ht="22.5" customHeight="1">
      <c r="A1626" s="14">
        <v>46098.4640371412</v>
      </c>
      <c r="B1626" s="15">
        <v>46097.0</v>
      </c>
      <c r="C1626" s="16">
        <v>0.04166666666424135</v>
      </c>
      <c r="U1626" s="17" t="s">
        <v>5643</v>
      </c>
      <c r="V1626" s="17">
        <v>8.978607478E9</v>
      </c>
      <c r="W1626" s="17" t="s">
        <v>388</v>
      </c>
      <c r="AA1626" s="17" t="s">
        <v>109</v>
      </c>
      <c r="AT1626" s="17" t="s">
        <v>388</v>
      </c>
      <c r="AU1626" s="17" t="s">
        <v>109</v>
      </c>
      <c r="AZ1626" s="17" t="s">
        <v>539</v>
      </c>
      <c r="BA1626" s="17" t="s">
        <v>458</v>
      </c>
      <c r="BB1626" s="17" t="s">
        <v>109</v>
      </c>
      <c r="BP1626" s="17" t="s">
        <v>5644</v>
      </c>
      <c r="BR1626" s="24" t="str">
        <f t="shared" si="1"/>
        <v>Victoria grand </v>
      </c>
    </row>
    <row r="1627" ht="22.5" customHeight="1">
      <c r="A1627" s="14">
        <v>46098.46587525463</v>
      </c>
      <c r="B1627" s="15">
        <v>46097.0</v>
      </c>
      <c r="C1627" s="16">
        <v>0.53125</v>
      </c>
      <c r="U1627" s="17" t="s">
        <v>5645</v>
      </c>
      <c r="V1627" s="17">
        <v>9.866307741E9</v>
      </c>
      <c r="W1627" s="17" t="s">
        <v>388</v>
      </c>
      <c r="AA1627" s="17" t="s">
        <v>109</v>
      </c>
      <c r="AT1627" s="17" t="s">
        <v>388</v>
      </c>
      <c r="AU1627" s="17" t="s">
        <v>109</v>
      </c>
      <c r="AZ1627" s="17" t="s">
        <v>539</v>
      </c>
      <c r="BA1627" s="17" t="s">
        <v>458</v>
      </c>
      <c r="BB1627" s="17" t="s">
        <v>109</v>
      </c>
      <c r="BP1627" s="17" t="s">
        <v>5646</v>
      </c>
      <c r="BR1627" s="24" t="str">
        <f t="shared" si="1"/>
        <v>Amarvathi tiffens </v>
      </c>
    </row>
    <row r="1628" ht="22.5" customHeight="1">
      <c r="A1628" s="14">
        <v>46098.533272546294</v>
      </c>
      <c r="B1628" s="15">
        <v>46098.0</v>
      </c>
      <c r="C1628" s="16">
        <v>0.5298611111065838</v>
      </c>
      <c r="D1628" s="17" t="s">
        <v>91</v>
      </c>
      <c r="F1628" s="17">
        <v>80.0</v>
      </c>
      <c r="G1628" s="17">
        <v>250.0</v>
      </c>
      <c r="H1628" s="17" t="s">
        <v>388</v>
      </c>
      <c r="J1628" s="17" t="s">
        <v>94</v>
      </c>
      <c r="N1628" s="17">
        <v>1.0</v>
      </c>
      <c r="O1628" s="17" t="s">
        <v>135</v>
      </c>
      <c r="P1628" s="17" t="s">
        <v>76</v>
      </c>
      <c r="Q1628" s="17" t="s">
        <v>97</v>
      </c>
      <c r="R1628" s="17" t="s">
        <v>98</v>
      </c>
      <c r="S1628" s="17" t="s">
        <v>815</v>
      </c>
      <c r="U1628" s="17" t="s">
        <v>3673</v>
      </c>
      <c r="V1628" s="17" t="s">
        <v>926</v>
      </c>
      <c r="W1628" s="17" t="s">
        <v>388</v>
      </c>
      <c r="AA1628" s="17" t="s">
        <v>109</v>
      </c>
      <c r="AT1628" s="17" t="s">
        <v>5647</v>
      </c>
      <c r="AU1628" s="17" t="s">
        <v>76</v>
      </c>
      <c r="AX1628" s="15">
        <v>46104.0</v>
      </c>
      <c r="AZ1628" s="17" t="s">
        <v>243</v>
      </c>
      <c r="BA1628" s="17" t="s">
        <v>458</v>
      </c>
      <c r="BB1628" s="17" t="s">
        <v>76</v>
      </c>
      <c r="BN1628" s="17" t="s">
        <v>815</v>
      </c>
      <c r="BP1628" s="17" t="s">
        <v>5648</v>
      </c>
      <c r="BR1628" s="24" t="str">
        <f t="shared" si="1"/>
        <v>Athidhis kitchen </v>
      </c>
    </row>
    <row r="1629" ht="22.5" customHeight="1">
      <c r="A1629" s="14">
        <v>46098.53647716435</v>
      </c>
      <c r="B1629" s="15">
        <v>46098.0</v>
      </c>
      <c r="C1629" s="16">
        <v>0.5208333333357587</v>
      </c>
      <c r="U1629" s="17" t="s">
        <v>5649</v>
      </c>
      <c r="V1629" s="17">
        <v>6.301174005E9</v>
      </c>
      <c r="W1629" s="17" t="s">
        <v>388</v>
      </c>
      <c r="AA1629" s="17" t="s">
        <v>109</v>
      </c>
      <c r="AT1629" s="17" t="s">
        <v>5650</v>
      </c>
      <c r="AU1629" s="17" t="s">
        <v>76</v>
      </c>
      <c r="AZ1629" s="17" t="s">
        <v>243</v>
      </c>
      <c r="BA1629" s="17" t="s">
        <v>458</v>
      </c>
      <c r="BB1629" s="17" t="s">
        <v>109</v>
      </c>
      <c r="BP1629" s="17" t="s">
        <v>5651</v>
      </c>
      <c r="BR1629" s="24" t="str">
        <f t="shared" si="1"/>
        <v>Cake factory </v>
      </c>
    </row>
    <row r="1630" ht="22.5" customHeight="1">
      <c r="A1630" s="14">
        <v>46098.53865452546</v>
      </c>
      <c r="B1630" s="15">
        <v>46098.0</v>
      </c>
      <c r="C1630" s="16">
        <v>0.5138888888905058</v>
      </c>
      <c r="U1630" s="17" t="s">
        <v>2747</v>
      </c>
      <c r="V1630" s="17">
        <v>8.016963924E9</v>
      </c>
      <c r="W1630" s="17" t="s">
        <v>388</v>
      </c>
      <c r="AA1630" s="17" t="s">
        <v>109</v>
      </c>
      <c r="AT1630" s="17" t="s">
        <v>5652</v>
      </c>
      <c r="AU1630" s="17" t="s">
        <v>76</v>
      </c>
      <c r="AZ1630" s="17" t="s">
        <v>243</v>
      </c>
      <c r="BA1630" s="17" t="s">
        <v>458</v>
      </c>
      <c r="BB1630" s="17" t="s">
        <v>109</v>
      </c>
      <c r="BP1630" s="17" t="s">
        <v>5653</v>
      </c>
      <c r="BR1630" s="24" t="str">
        <f t="shared" si="1"/>
        <v>Bahar cafe </v>
      </c>
    </row>
    <row r="1631" ht="22.5" customHeight="1">
      <c r="A1631" s="14">
        <v>46098.54055443287</v>
      </c>
      <c r="B1631" s="15">
        <v>46098.0</v>
      </c>
      <c r="C1631" s="16">
        <v>0.5208333333357587</v>
      </c>
      <c r="U1631" s="17" t="s">
        <v>5654</v>
      </c>
      <c r="V1631" s="17">
        <v>9.885343999E9</v>
      </c>
      <c r="W1631" s="17" t="s">
        <v>388</v>
      </c>
      <c r="AA1631" s="17" t="s">
        <v>109</v>
      </c>
      <c r="AT1631" s="17" t="s">
        <v>5655</v>
      </c>
      <c r="AU1631" s="17" t="s">
        <v>76</v>
      </c>
      <c r="AZ1631" s="17" t="s">
        <v>243</v>
      </c>
      <c r="BA1631" s="17" t="s">
        <v>458</v>
      </c>
      <c r="BB1631" s="17" t="s">
        <v>109</v>
      </c>
      <c r="BP1631" s="17" t="s">
        <v>5656</v>
      </c>
      <c r="BR1631" s="24" t="str">
        <f t="shared" si="1"/>
        <v>Limra fast food centre </v>
      </c>
    </row>
    <row r="1632" ht="22.5" customHeight="1">
      <c r="A1632" s="14">
        <v>46098.567728738424</v>
      </c>
      <c r="B1632" s="15">
        <v>46098.0</v>
      </c>
      <c r="C1632" s="16">
        <v>0.547222222223354</v>
      </c>
      <c r="U1632" s="17" t="s">
        <v>5657</v>
      </c>
      <c r="V1632" s="17">
        <v>9.866986194E9</v>
      </c>
      <c r="W1632" s="17" t="s">
        <v>388</v>
      </c>
      <c r="AA1632" s="17" t="s">
        <v>109</v>
      </c>
      <c r="AT1632" s="17" t="s">
        <v>5658</v>
      </c>
      <c r="AU1632" s="17" t="s">
        <v>76</v>
      </c>
      <c r="AZ1632" s="17" t="s">
        <v>243</v>
      </c>
      <c r="BA1632" s="17" t="s">
        <v>458</v>
      </c>
      <c r="BB1632" s="17" t="s">
        <v>109</v>
      </c>
      <c r="BP1632" s="17" t="s">
        <v>5659</v>
      </c>
      <c r="BR1632" s="24" t="str">
        <f t="shared" si="1"/>
        <v>SRI NAGARJUNA TIFFINS </v>
      </c>
    </row>
    <row r="1633" ht="22.5" customHeight="1">
      <c r="A1633" s="14">
        <v>46098.569703472225</v>
      </c>
      <c r="B1633" s="15">
        <v>46098.0</v>
      </c>
      <c r="C1633" s="16">
        <v>0.5673611111124046</v>
      </c>
      <c r="U1633" s="17" t="s">
        <v>5660</v>
      </c>
      <c r="V1633" s="17">
        <v>9.885484224E9</v>
      </c>
      <c r="W1633" s="17" t="s">
        <v>388</v>
      </c>
      <c r="AA1633" s="17" t="s">
        <v>109</v>
      </c>
      <c r="AT1633" s="17" t="s">
        <v>5661</v>
      </c>
      <c r="AU1633" s="17" t="s">
        <v>76</v>
      </c>
      <c r="AZ1633" s="17" t="s">
        <v>243</v>
      </c>
      <c r="BA1633" s="17" t="s">
        <v>458</v>
      </c>
      <c r="BB1633" s="17" t="s">
        <v>109</v>
      </c>
      <c r="BP1633" s="17" t="s">
        <v>2786</v>
      </c>
      <c r="BR1633" s="24" t="str">
        <f t="shared" si="1"/>
        <v>Kadak house </v>
      </c>
    </row>
    <row r="1634" ht="22.5" customHeight="1">
      <c r="A1634" s="14">
        <v>46098.57693413194</v>
      </c>
      <c r="B1634" s="15">
        <v>46098.0</v>
      </c>
      <c r="C1634" s="16">
        <v>0.5756944444437977</v>
      </c>
      <c r="U1634" s="17" t="s">
        <v>5304</v>
      </c>
      <c r="V1634" s="17">
        <v>7.028412666E9</v>
      </c>
      <c r="W1634" s="17" t="s">
        <v>388</v>
      </c>
      <c r="AA1634" s="17" t="s">
        <v>109</v>
      </c>
      <c r="AT1634" s="17" t="s">
        <v>5662</v>
      </c>
      <c r="AU1634" s="17" t="s">
        <v>76</v>
      </c>
      <c r="AX1634" s="15">
        <v>46099.0</v>
      </c>
      <c r="AY1634" s="16">
        <v>0.5</v>
      </c>
      <c r="AZ1634" s="17" t="s">
        <v>243</v>
      </c>
      <c r="BA1634" s="17" t="s">
        <v>458</v>
      </c>
      <c r="BB1634" s="17" t="s">
        <v>109</v>
      </c>
      <c r="BP1634" s="17" t="s">
        <v>5663</v>
      </c>
      <c r="BR1634" s="24" t="str">
        <f t="shared" si="1"/>
        <v>Bhojanam thali</v>
      </c>
    </row>
    <row r="1635" ht="22.5" customHeight="1">
      <c r="A1635" s="14">
        <v>46098.58126723379</v>
      </c>
      <c r="B1635" s="15">
        <v>46098.0</v>
      </c>
      <c r="C1635" s="16">
        <v>0.5791666666627862</v>
      </c>
      <c r="U1635" s="17" t="s">
        <v>5313</v>
      </c>
      <c r="V1635" s="17">
        <v>9.398262097E9</v>
      </c>
      <c r="W1635" s="17" t="s">
        <v>388</v>
      </c>
      <c r="AA1635" s="17" t="s">
        <v>109</v>
      </c>
      <c r="AT1635" s="17" t="s">
        <v>5664</v>
      </c>
      <c r="AU1635" s="17" t="s">
        <v>76</v>
      </c>
      <c r="AZ1635" s="17" t="s">
        <v>243</v>
      </c>
      <c r="BA1635" s="17" t="s">
        <v>458</v>
      </c>
      <c r="BB1635" s="17" t="s">
        <v>109</v>
      </c>
      <c r="BP1635" s="17" t="s">
        <v>5315</v>
      </c>
      <c r="BR1635" s="24" t="str">
        <f t="shared" si="1"/>
        <v>The hole in the wall</v>
      </c>
    </row>
    <row r="1636" ht="22.5" customHeight="1">
      <c r="A1636" s="14">
        <v>46098.600313981486</v>
      </c>
      <c r="B1636" s="15">
        <v>46098.0</v>
      </c>
      <c r="C1636" s="16">
        <v>0.5986111111124046</v>
      </c>
      <c r="U1636" s="17" t="s">
        <v>5476</v>
      </c>
      <c r="V1636" s="17">
        <v>9.000620666E9</v>
      </c>
      <c r="W1636" s="17" t="s">
        <v>388</v>
      </c>
      <c r="AA1636" s="17" t="s">
        <v>109</v>
      </c>
      <c r="AT1636" s="17" t="s">
        <v>5665</v>
      </c>
      <c r="AU1636" s="17" t="s">
        <v>76</v>
      </c>
      <c r="AZ1636" s="17" t="s">
        <v>243</v>
      </c>
      <c r="BA1636" s="17" t="s">
        <v>458</v>
      </c>
      <c r="BB1636" s="17" t="s">
        <v>109</v>
      </c>
      <c r="BP1636" s="17" t="s">
        <v>5666</v>
      </c>
      <c r="BR1636" s="24" t="str">
        <f t="shared" si="1"/>
        <v>Errababu pulao</v>
      </c>
    </row>
    <row r="1637" ht="22.5" customHeight="1">
      <c r="A1637" s="14">
        <v>46098.86274152777</v>
      </c>
      <c r="B1637" s="15">
        <v>46097.0</v>
      </c>
      <c r="C1637" s="16">
        <v>0.5062499999985448</v>
      </c>
      <c r="U1637" s="17" t="s">
        <v>5667</v>
      </c>
      <c r="V1637" s="17">
        <v>9.030023124E9</v>
      </c>
      <c r="W1637" s="17" t="s">
        <v>113</v>
      </c>
      <c r="AA1637" s="17" t="s">
        <v>109</v>
      </c>
      <c r="AT1637" s="17" t="s">
        <v>5668</v>
      </c>
      <c r="AU1637" s="17" t="s">
        <v>76</v>
      </c>
      <c r="AV1637" s="17" t="s">
        <v>271</v>
      </c>
      <c r="AX1637" s="15">
        <v>46101.0</v>
      </c>
      <c r="AY1637" s="16">
        <v>0.3125</v>
      </c>
      <c r="AZ1637" s="17" t="s">
        <v>3034</v>
      </c>
      <c r="BA1637" s="17" t="s">
        <v>458</v>
      </c>
      <c r="BB1637" s="17" t="s">
        <v>109</v>
      </c>
      <c r="BP1637" s="17" t="s">
        <v>5669</v>
      </c>
      <c r="BR1637" s="24" t="str">
        <f t="shared" si="1"/>
        <v>Guntur Goongura </v>
      </c>
    </row>
    <row r="1638" ht="22.5" customHeight="1">
      <c r="A1638" s="14">
        <v>46098.863789375</v>
      </c>
      <c r="B1638" s="15">
        <v>46097.0</v>
      </c>
      <c r="C1638" s="16">
        <v>0.5368055555591127</v>
      </c>
      <c r="U1638" s="17" t="s">
        <v>679</v>
      </c>
      <c r="V1638" s="17">
        <v>7.977765789E9</v>
      </c>
      <c r="W1638" s="17" t="s">
        <v>113</v>
      </c>
      <c r="AA1638" s="17" t="s">
        <v>109</v>
      </c>
      <c r="AT1638" s="17" t="s">
        <v>5670</v>
      </c>
      <c r="AU1638" s="17" t="s">
        <v>76</v>
      </c>
      <c r="AV1638" s="17" t="s">
        <v>271</v>
      </c>
      <c r="AX1638" s="15">
        <v>46102.0</v>
      </c>
      <c r="AY1638" s="16">
        <v>0.45833333333575865</v>
      </c>
      <c r="AZ1638" s="17" t="s">
        <v>3034</v>
      </c>
      <c r="BA1638" s="17" t="s">
        <v>458</v>
      </c>
      <c r="BB1638" s="17" t="s">
        <v>109</v>
      </c>
      <c r="BP1638" s="17" t="s">
        <v>678</v>
      </c>
      <c r="BR1638" s="24" t="str">
        <f t="shared" si="1"/>
        <v>Burma Burma</v>
      </c>
    </row>
    <row r="1639" ht="22.5" customHeight="1">
      <c r="A1639" s="14">
        <v>46098.89737196759</v>
      </c>
      <c r="B1639" s="15">
        <v>46097.0</v>
      </c>
      <c r="C1639" s="16">
        <v>0.5500000000029104</v>
      </c>
      <c r="U1639" s="17" t="s">
        <v>113</v>
      </c>
      <c r="V1639" s="17" t="s">
        <v>113</v>
      </c>
      <c r="W1639" s="17" t="s">
        <v>113</v>
      </c>
      <c r="AA1639" s="17" t="s">
        <v>109</v>
      </c>
      <c r="AT1639" s="17" t="s">
        <v>5671</v>
      </c>
      <c r="AU1639" s="17" t="s">
        <v>76</v>
      </c>
      <c r="AV1639" s="17" t="s">
        <v>271</v>
      </c>
      <c r="AZ1639" s="17" t="s">
        <v>3034</v>
      </c>
      <c r="BA1639" s="17" t="s">
        <v>458</v>
      </c>
      <c r="BB1639" s="17" t="s">
        <v>109</v>
      </c>
      <c r="BP1639" s="17" t="s">
        <v>5672</v>
      </c>
      <c r="BR1639" s="24" t="str">
        <f t="shared" si="1"/>
        <v>Telugu Medium</v>
      </c>
    </row>
    <row r="1640" ht="22.5" customHeight="1">
      <c r="A1640" s="14">
        <v>46098.8991775</v>
      </c>
      <c r="B1640" s="15">
        <v>46097.0</v>
      </c>
      <c r="C1640" s="16">
        <v>0.6152777777751908</v>
      </c>
      <c r="U1640" s="17" t="s">
        <v>5673</v>
      </c>
      <c r="V1640" s="17">
        <v>9.985515133E9</v>
      </c>
      <c r="W1640" s="17" t="s">
        <v>113</v>
      </c>
      <c r="AA1640" s="17" t="s">
        <v>109</v>
      </c>
      <c r="AT1640" s="17" t="s">
        <v>5674</v>
      </c>
      <c r="AU1640" s="17" t="s">
        <v>76</v>
      </c>
      <c r="AV1640" s="17" t="s">
        <v>271</v>
      </c>
      <c r="AX1640" s="15">
        <v>46102.0</v>
      </c>
      <c r="AY1640" s="16">
        <v>0.6159722222218988</v>
      </c>
      <c r="AZ1640" s="17" t="s">
        <v>3034</v>
      </c>
      <c r="BA1640" s="17" t="s">
        <v>458</v>
      </c>
      <c r="BB1640" s="17" t="s">
        <v>109</v>
      </c>
      <c r="BP1640" s="17" t="s">
        <v>5675</v>
      </c>
      <c r="BR1640" s="24" t="str">
        <f t="shared" si="1"/>
        <v>Punjabi Affair</v>
      </c>
    </row>
    <row r="1641" ht="22.5" customHeight="1">
      <c r="A1641" s="14">
        <v>46098.91638005787</v>
      </c>
      <c r="B1641" s="15">
        <v>46097.0</v>
      </c>
      <c r="C1641" s="16">
        <v>0.6236111111065838</v>
      </c>
      <c r="U1641" s="17" t="s">
        <v>3099</v>
      </c>
      <c r="V1641" s="17">
        <v>9.346198983E9</v>
      </c>
      <c r="W1641" s="17" t="s">
        <v>113</v>
      </c>
      <c r="AA1641" s="17" t="s">
        <v>109</v>
      </c>
      <c r="AT1641" s="17" t="s">
        <v>5676</v>
      </c>
      <c r="AU1641" s="17" t="s">
        <v>76</v>
      </c>
      <c r="AV1641" s="17" t="s">
        <v>271</v>
      </c>
      <c r="AZ1641" s="17" t="s">
        <v>3034</v>
      </c>
      <c r="BA1641" s="17" t="s">
        <v>458</v>
      </c>
      <c r="BB1641" s="17" t="s">
        <v>109</v>
      </c>
      <c r="BP1641" s="17" t="s">
        <v>5677</v>
      </c>
      <c r="BR1641" s="24" t="str">
        <f t="shared" si="1"/>
        <v>Suto cafe</v>
      </c>
    </row>
    <row r="1642" ht="22.5" customHeight="1">
      <c r="A1642" s="14">
        <v>46098.91894209491</v>
      </c>
      <c r="B1642" s="15">
        <v>46097.0</v>
      </c>
      <c r="C1642" s="16">
        <v>0.13749999999708962</v>
      </c>
      <c r="U1642" s="17" t="s">
        <v>1899</v>
      </c>
      <c r="V1642" s="17">
        <v>7.842474608E9</v>
      </c>
      <c r="W1642" s="17" t="s">
        <v>888</v>
      </c>
      <c r="AA1642" s="17" t="s">
        <v>109</v>
      </c>
      <c r="AT1642" s="17" t="s">
        <v>5678</v>
      </c>
      <c r="AU1642" s="17" t="s">
        <v>76</v>
      </c>
      <c r="AV1642" s="17" t="s">
        <v>271</v>
      </c>
      <c r="AZ1642" s="17" t="s">
        <v>3034</v>
      </c>
      <c r="BA1642" s="17" t="s">
        <v>458</v>
      </c>
      <c r="BB1642" s="17" t="s">
        <v>109</v>
      </c>
      <c r="BP1642" s="17" t="s">
        <v>5679</v>
      </c>
      <c r="BR1642" s="24" t="str">
        <f t="shared" si="1"/>
        <v>Smocky Docky</v>
      </c>
    </row>
    <row r="1643" ht="22.5" customHeight="1">
      <c r="A1643" s="14">
        <v>46098.92035901621</v>
      </c>
      <c r="B1643" s="15">
        <v>46097.0</v>
      </c>
      <c r="C1643" s="16">
        <v>0.15763888889341615</v>
      </c>
      <c r="U1643" s="17" t="s">
        <v>5680</v>
      </c>
      <c r="V1643" s="17">
        <v>8.686972783E9</v>
      </c>
      <c r="W1643" s="17" t="s">
        <v>113</v>
      </c>
      <c r="AA1643" s="17" t="s">
        <v>109</v>
      </c>
      <c r="AT1643" s="17" t="s">
        <v>5681</v>
      </c>
      <c r="AU1643" s="17" t="s">
        <v>109</v>
      </c>
      <c r="AV1643" s="17" t="s">
        <v>271</v>
      </c>
      <c r="AZ1643" s="17" t="s">
        <v>3034</v>
      </c>
      <c r="BA1643" s="17" t="s">
        <v>458</v>
      </c>
      <c r="BB1643" s="17" t="s">
        <v>109</v>
      </c>
      <c r="BP1643" s="17" t="s">
        <v>5682</v>
      </c>
      <c r="BR1643" s="24" t="str">
        <f t="shared" si="1"/>
        <v>Chinese Wok</v>
      </c>
    </row>
    <row r="1644" ht="22.5" customHeight="1">
      <c r="A1644" s="14">
        <v>46098.92139311343</v>
      </c>
      <c r="B1644" s="15">
        <v>46097.0</v>
      </c>
      <c r="C1644" s="16">
        <v>0.18611111110658385</v>
      </c>
      <c r="U1644" s="17" t="s">
        <v>5683</v>
      </c>
      <c r="V1644" s="17">
        <v>9.059435788E9</v>
      </c>
      <c r="W1644" s="17" t="s">
        <v>113</v>
      </c>
      <c r="AA1644" s="17" t="s">
        <v>109</v>
      </c>
      <c r="AT1644" s="17" t="s">
        <v>5684</v>
      </c>
      <c r="AU1644" s="17" t="s">
        <v>76</v>
      </c>
      <c r="AV1644" s="17" t="s">
        <v>271</v>
      </c>
      <c r="AZ1644" s="17" t="s">
        <v>3034</v>
      </c>
      <c r="BA1644" s="17" t="s">
        <v>458</v>
      </c>
      <c r="BB1644" s="17" t="s">
        <v>109</v>
      </c>
      <c r="BP1644" s="17" t="s">
        <v>3126</v>
      </c>
      <c r="BR1644" s="24" t="str">
        <f t="shared" si="1"/>
        <v>Chickpet donne biryani house</v>
      </c>
    </row>
    <row r="1645" ht="22.5" customHeight="1">
      <c r="A1645" s="14">
        <v>46098.92476070602</v>
      </c>
      <c r="B1645" s="15">
        <v>46098.0</v>
      </c>
      <c r="C1645" s="16">
        <v>0.515277777776646</v>
      </c>
      <c r="D1645" s="17" t="s">
        <v>111</v>
      </c>
      <c r="T1645" s="17" t="s">
        <v>113</v>
      </c>
      <c r="U1645" s="17" t="s">
        <v>3103</v>
      </c>
      <c r="V1645" s="17">
        <v>7.799550044E9</v>
      </c>
      <c r="W1645" s="17" t="s">
        <v>113</v>
      </c>
      <c r="AA1645" s="17" t="s">
        <v>109</v>
      </c>
      <c r="AT1645" s="17" t="s">
        <v>5685</v>
      </c>
      <c r="AU1645" s="17" t="s">
        <v>76</v>
      </c>
      <c r="AV1645" s="17" t="s">
        <v>373</v>
      </c>
      <c r="AW1645" s="17" t="s">
        <v>5685</v>
      </c>
      <c r="AX1645" s="15">
        <v>46102.0</v>
      </c>
      <c r="AY1645" s="16">
        <v>0.47916666666424135</v>
      </c>
      <c r="AZ1645" s="17" t="s">
        <v>3034</v>
      </c>
      <c r="BA1645" s="17" t="s">
        <v>491</v>
      </c>
      <c r="BP1645" s="17" t="s">
        <v>5686</v>
      </c>
      <c r="BR1645" s="24" t="str">
        <f t="shared" si="1"/>
        <v>Lassi Storyna</v>
      </c>
    </row>
    <row r="1646" ht="22.5" customHeight="1">
      <c r="A1646" s="14">
        <v>46098.92586574074</v>
      </c>
      <c r="B1646" s="15">
        <v>46098.0</v>
      </c>
      <c r="C1646" s="16">
        <v>0.18472222222044365</v>
      </c>
      <c r="U1646" s="17" t="s">
        <v>5687</v>
      </c>
      <c r="V1646" s="17">
        <v>9.959973064E9</v>
      </c>
      <c r="W1646" s="17" t="s">
        <v>113</v>
      </c>
      <c r="AA1646" s="17" t="s">
        <v>109</v>
      </c>
      <c r="AT1646" s="17" t="s">
        <v>5688</v>
      </c>
      <c r="AU1646" s="17" t="s">
        <v>109</v>
      </c>
      <c r="AX1646" s="15">
        <v>46101.0</v>
      </c>
      <c r="AZ1646" s="17" t="s">
        <v>3034</v>
      </c>
      <c r="BA1646" s="17" t="s">
        <v>458</v>
      </c>
      <c r="BB1646" s="17" t="s">
        <v>109</v>
      </c>
      <c r="BP1646" s="17" t="s">
        <v>5689</v>
      </c>
      <c r="BR1646" s="24" t="str">
        <f t="shared" si="1"/>
        <v>Burn</v>
      </c>
    </row>
    <row r="1647" ht="22.5" customHeight="1">
      <c r="A1647" s="14">
        <v>46098.92701717593</v>
      </c>
      <c r="B1647" s="15">
        <v>46098.0</v>
      </c>
      <c r="C1647" s="16">
        <v>0.2444444444408873</v>
      </c>
      <c r="U1647" s="17" t="s">
        <v>3002</v>
      </c>
      <c r="V1647" s="17">
        <v>8.977033476E9</v>
      </c>
      <c r="W1647" s="17" t="s">
        <v>113</v>
      </c>
      <c r="AA1647" s="17" t="s">
        <v>109</v>
      </c>
      <c r="AT1647" s="17" t="s">
        <v>5690</v>
      </c>
      <c r="AU1647" s="17" t="s">
        <v>76</v>
      </c>
      <c r="AV1647" s="17" t="s">
        <v>271</v>
      </c>
      <c r="AZ1647" s="17" t="s">
        <v>3034</v>
      </c>
      <c r="BA1647" s="17" t="s">
        <v>458</v>
      </c>
      <c r="BB1647" s="17" t="s">
        <v>109</v>
      </c>
      <c r="BP1647" s="17" t="s">
        <v>5691</v>
      </c>
      <c r="BR1647" s="24" t="str">
        <f t="shared" si="1"/>
        <v>Kebabs of Kumbakhh</v>
      </c>
    </row>
    <row r="1648" ht="22.5" customHeight="1">
      <c r="A1648" s="14">
        <v>46098.92804883102</v>
      </c>
      <c r="B1648" s="15">
        <v>46098.0</v>
      </c>
      <c r="C1648" s="16">
        <v>0.47916666666424135</v>
      </c>
      <c r="U1648" s="17" t="s">
        <v>597</v>
      </c>
      <c r="V1648" s="17">
        <v>8.885000505E9</v>
      </c>
      <c r="W1648" s="17" t="s">
        <v>113</v>
      </c>
      <c r="AA1648" s="17" t="s">
        <v>109</v>
      </c>
      <c r="AT1648" s="17" t="s">
        <v>5692</v>
      </c>
      <c r="AU1648" s="17" t="s">
        <v>76</v>
      </c>
      <c r="AV1648" s="17" t="s">
        <v>271</v>
      </c>
      <c r="AZ1648" s="17" t="s">
        <v>3034</v>
      </c>
      <c r="BA1648" s="17" t="s">
        <v>458</v>
      </c>
      <c r="BB1648" s="17" t="s">
        <v>109</v>
      </c>
      <c r="BP1648" s="17" t="s">
        <v>5693</v>
      </c>
      <c r="BR1648" s="24" t="str">
        <f t="shared" si="1"/>
        <v>Ammammagari hotel</v>
      </c>
    </row>
    <row r="1649" ht="22.5" customHeight="1">
      <c r="A1649" s="14">
        <v>46098.92955394676</v>
      </c>
      <c r="B1649" s="15">
        <v>46098.0</v>
      </c>
      <c r="C1649" s="16">
        <v>0.18055555555474712</v>
      </c>
      <c r="U1649" s="17" t="s">
        <v>5694</v>
      </c>
      <c r="V1649" s="17">
        <v>7.975376382E9</v>
      </c>
      <c r="W1649" s="17" t="s">
        <v>113</v>
      </c>
      <c r="AA1649" s="17" t="s">
        <v>109</v>
      </c>
      <c r="AT1649" s="17" t="s">
        <v>5695</v>
      </c>
      <c r="AU1649" s="17" t="s">
        <v>76</v>
      </c>
      <c r="AV1649" s="17" t="s">
        <v>271</v>
      </c>
      <c r="AZ1649" s="17" t="s">
        <v>3034</v>
      </c>
      <c r="BA1649" s="17" t="s">
        <v>458</v>
      </c>
      <c r="BB1649" s="17" t="s">
        <v>109</v>
      </c>
      <c r="BP1649" s="17" t="s">
        <v>1658</v>
      </c>
      <c r="BR1649" s="24" t="str">
        <f t="shared" si="1"/>
        <v>Sri Raghavendra Bhavan</v>
      </c>
    </row>
    <row r="1650" ht="22.5" customHeight="1">
      <c r="A1650" s="14">
        <v>46098.930855266204</v>
      </c>
      <c r="B1650" s="15">
        <v>46098.0</v>
      </c>
      <c r="C1650" s="16">
        <v>0.23611111110949423</v>
      </c>
      <c r="D1650" s="17" t="s">
        <v>91</v>
      </c>
      <c r="F1650" s="17">
        <v>40.0</v>
      </c>
      <c r="G1650" s="17">
        <v>250.0</v>
      </c>
      <c r="H1650" s="17" t="s">
        <v>113</v>
      </c>
      <c r="J1650" s="17" t="s">
        <v>94</v>
      </c>
      <c r="N1650" s="17">
        <v>1.0</v>
      </c>
      <c r="O1650" s="17" t="s">
        <v>96</v>
      </c>
      <c r="P1650" s="17" t="s">
        <v>109</v>
      </c>
      <c r="Q1650" s="17" t="s">
        <v>97</v>
      </c>
      <c r="R1650" s="17" t="s">
        <v>76</v>
      </c>
      <c r="S1650" s="17" t="s">
        <v>113</v>
      </c>
      <c r="U1650" s="17" t="s">
        <v>1107</v>
      </c>
      <c r="V1650" s="17">
        <v>9.06357174E9</v>
      </c>
      <c r="W1650" s="17" t="s">
        <v>113</v>
      </c>
      <c r="AA1650" s="17" t="s">
        <v>109</v>
      </c>
      <c r="AT1650" s="17" t="s">
        <v>5696</v>
      </c>
      <c r="AU1650" s="17" t="s">
        <v>76</v>
      </c>
      <c r="AV1650" s="17" t="s">
        <v>271</v>
      </c>
      <c r="AZ1650" s="17" t="s">
        <v>3034</v>
      </c>
      <c r="BA1650" s="17" t="s">
        <v>458</v>
      </c>
      <c r="BB1650" s="17" t="s">
        <v>76</v>
      </c>
      <c r="BN1650" s="17" t="s">
        <v>1088</v>
      </c>
      <c r="BP1650" s="17" t="s">
        <v>5697</v>
      </c>
      <c r="BR1650" s="24" t="str">
        <f t="shared" si="1"/>
        <v>Janapriya restaurant</v>
      </c>
    </row>
    <row r="1651" ht="22.5" customHeight="1">
      <c r="A1651" s="14">
        <v>46098.931867465275</v>
      </c>
      <c r="B1651" s="15">
        <v>46098.0</v>
      </c>
      <c r="C1651" s="16">
        <v>0.13888888889050577</v>
      </c>
      <c r="U1651" s="17" t="s">
        <v>5698</v>
      </c>
      <c r="V1651" s="17">
        <v>7.989218677E9</v>
      </c>
      <c r="W1651" s="17" t="s">
        <v>113</v>
      </c>
      <c r="AA1651" s="17" t="s">
        <v>109</v>
      </c>
      <c r="AT1651" s="17" t="s">
        <v>5699</v>
      </c>
      <c r="AU1651" s="17" t="s">
        <v>76</v>
      </c>
      <c r="AV1651" s="17" t="s">
        <v>373</v>
      </c>
      <c r="AX1651" s="15">
        <v>46105.0</v>
      </c>
      <c r="AZ1651" s="17" t="s">
        <v>3034</v>
      </c>
      <c r="BA1651" s="17" t="s">
        <v>458</v>
      </c>
      <c r="BB1651" s="17" t="s">
        <v>109</v>
      </c>
      <c r="BP1651" s="17" t="s">
        <v>5700</v>
      </c>
      <c r="BR1651" s="24" t="str">
        <f t="shared" si="1"/>
        <v>Bagara biryani</v>
      </c>
    </row>
    <row r="1652" ht="22.5" customHeight="1">
      <c r="A1652" s="14">
        <v>46098.93255182871</v>
      </c>
      <c r="B1652" s="15">
        <v>46098.0</v>
      </c>
      <c r="C1652" s="16">
        <v>0.15625</v>
      </c>
      <c r="U1652" s="17" t="s">
        <v>113</v>
      </c>
      <c r="V1652" s="17">
        <v>6.281926349E9</v>
      </c>
      <c r="W1652" s="17" t="s">
        <v>113</v>
      </c>
      <c r="AA1652" s="17" t="s">
        <v>109</v>
      </c>
      <c r="AT1652" s="17" t="s">
        <v>5701</v>
      </c>
      <c r="AU1652" s="17" t="s">
        <v>76</v>
      </c>
      <c r="AV1652" s="17" t="s">
        <v>271</v>
      </c>
      <c r="AZ1652" s="17" t="s">
        <v>3034</v>
      </c>
      <c r="BA1652" s="17" t="s">
        <v>458</v>
      </c>
      <c r="BB1652" s="17" t="s">
        <v>109</v>
      </c>
      <c r="BP1652" s="17" t="s">
        <v>5702</v>
      </c>
      <c r="BR1652" s="24" t="str">
        <f t="shared" si="1"/>
        <v>Smoke Rebels</v>
      </c>
    </row>
    <row r="1653" ht="22.5" customHeight="1">
      <c r="A1653" s="14">
        <v>46098.95153931713</v>
      </c>
      <c r="B1653" s="15">
        <v>46098.0</v>
      </c>
      <c r="C1653" s="16">
        <v>0.45833333333575865</v>
      </c>
      <c r="D1653" s="17" t="s">
        <v>111</v>
      </c>
      <c r="T1653" s="17" t="s">
        <v>5703</v>
      </c>
      <c r="U1653" s="17" t="s">
        <v>5704</v>
      </c>
      <c r="V1653" s="17">
        <v>7.680825252E9</v>
      </c>
      <c r="W1653" s="17" t="s">
        <v>117</v>
      </c>
      <c r="AA1653" s="17" t="s">
        <v>109</v>
      </c>
      <c r="AT1653" s="17" t="s">
        <v>5705</v>
      </c>
      <c r="AU1653" s="17" t="s">
        <v>76</v>
      </c>
      <c r="AV1653" s="17" t="s">
        <v>271</v>
      </c>
      <c r="AX1653" s="15">
        <v>46101.0</v>
      </c>
      <c r="AY1653" s="16">
        <v>0.625</v>
      </c>
      <c r="AZ1653" s="17" t="s">
        <v>164</v>
      </c>
      <c r="BA1653" s="17" t="s">
        <v>458</v>
      </c>
      <c r="BB1653" s="17" t="s">
        <v>76</v>
      </c>
      <c r="BP1653" s="17" t="s">
        <v>5703</v>
      </c>
      <c r="BR1653" s="24" t="str">
        <f t="shared" si="1"/>
        <v>maa bhojanam maa bhojanam </v>
      </c>
    </row>
    <row r="1654" ht="22.5" customHeight="1">
      <c r="A1654" s="14">
        <v>46098.953103252315</v>
      </c>
      <c r="B1654" s="15">
        <v>46098.0</v>
      </c>
      <c r="C1654" s="16">
        <v>0.48958333333575865</v>
      </c>
      <c r="D1654" s="17" t="s">
        <v>111</v>
      </c>
      <c r="T1654" s="17" t="s">
        <v>5706</v>
      </c>
      <c r="U1654" s="17" t="s">
        <v>5707</v>
      </c>
      <c r="V1654" s="17">
        <v>7.347413137E9</v>
      </c>
      <c r="W1654" s="17" t="s">
        <v>117</v>
      </c>
      <c r="AA1654" s="17" t="s">
        <v>109</v>
      </c>
      <c r="AT1654" s="17" t="s">
        <v>5708</v>
      </c>
      <c r="AU1654" s="17" t="s">
        <v>76</v>
      </c>
      <c r="AV1654" s="17" t="s">
        <v>373</v>
      </c>
      <c r="AX1654" s="15">
        <v>46101.0</v>
      </c>
      <c r="AY1654" s="16">
        <v>0.6875</v>
      </c>
      <c r="AZ1654" s="17" t="s">
        <v>164</v>
      </c>
      <c r="BA1654" s="17" t="s">
        <v>458</v>
      </c>
      <c r="BB1654" s="17" t="s">
        <v>76</v>
      </c>
      <c r="BP1654" s="17" t="s">
        <v>5706</v>
      </c>
      <c r="BR1654" s="24" t="str">
        <f t="shared" si="1"/>
        <v>minsitry of coffee affairsminsitry of coffee affairs</v>
      </c>
    </row>
    <row r="1655" ht="22.5" customHeight="1">
      <c r="A1655" s="14">
        <v>46098.95451949074</v>
      </c>
      <c r="B1655" s="15">
        <v>46098.0</v>
      </c>
      <c r="C1655" s="16">
        <v>0.5104166666642413</v>
      </c>
      <c r="D1655" s="17" t="s">
        <v>111</v>
      </c>
      <c r="T1655" s="17" t="s">
        <v>5709</v>
      </c>
      <c r="U1655" s="17" t="s">
        <v>5710</v>
      </c>
      <c r="V1655" s="17">
        <v>9.390353857E9</v>
      </c>
      <c r="W1655" s="17" t="s">
        <v>117</v>
      </c>
      <c r="AA1655" s="17" t="s">
        <v>109</v>
      </c>
      <c r="AT1655" s="17" t="s">
        <v>5711</v>
      </c>
      <c r="AU1655" s="17" t="s">
        <v>76</v>
      </c>
      <c r="AZ1655" s="17" t="s">
        <v>164</v>
      </c>
      <c r="BA1655" s="17" t="s">
        <v>458</v>
      </c>
      <c r="BB1655" s="17" t="s">
        <v>76</v>
      </c>
      <c r="BP1655" s="17" t="s">
        <v>5709</v>
      </c>
      <c r="BR1655" s="24" t="str">
        <f t="shared" si="1"/>
        <v>the big cup theorythe big cup theory</v>
      </c>
    </row>
    <row r="1656" ht="22.5" customHeight="1">
      <c r="A1656" s="14">
        <v>46098.95693164352</v>
      </c>
      <c r="B1656" s="15">
        <v>46098.0</v>
      </c>
      <c r="C1656" s="16">
        <v>0.5416666666642413</v>
      </c>
      <c r="U1656" s="17" t="s">
        <v>5712</v>
      </c>
      <c r="V1656" s="17">
        <v>9.160002E9</v>
      </c>
      <c r="W1656" s="17" t="s">
        <v>117</v>
      </c>
      <c r="AA1656" s="17" t="s">
        <v>109</v>
      </c>
      <c r="AT1656" s="17" t="s">
        <v>4927</v>
      </c>
      <c r="AU1656" s="17" t="s">
        <v>76</v>
      </c>
      <c r="AX1656" s="15">
        <v>46099.0</v>
      </c>
      <c r="AY1656" s="16">
        <v>0.6145833333357587</v>
      </c>
      <c r="AZ1656" s="17" t="s">
        <v>164</v>
      </c>
      <c r="BA1656" s="17" t="s">
        <v>458</v>
      </c>
      <c r="BB1656" s="17" t="s">
        <v>109</v>
      </c>
      <c r="BP1656" s="17" t="s">
        <v>5712</v>
      </c>
      <c r="BR1656" s="24" t="str">
        <f t="shared" si="1"/>
        <v>hyderabad hosts</v>
      </c>
    </row>
    <row r="1657" ht="22.5" customHeight="1">
      <c r="A1657" s="14">
        <v>46098.958486284726</v>
      </c>
      <c r="B1657" s="15">
        <v>46098.0</v>
      </c>
      <c r="C1657" s="16">
        <v>0.6041666666642413</v>
      </c>
      <c r="U1657" s="17" t="s">
        <v>5713</v>
      </c>
      <c r="V1657" s="17">
        <v>9.885166652E9</v>
      </c>
      <c r="W1657" s="17" t="s">
        <v>117</v>
      </c>
      <c r="AA1657" s="17" t="s">
        <v>109</v>
      </c>
      <c r="AT1657" s="17" t="s">
        <v>5714</v>
      </c>
      <c r="AU1657" s="17" t="s">
        <v>76</v>
      </c>
      <c r="AV1657" s="17" t="s">
        <v>472</v>
      </c>
      <c r="AX1657" s="15">
        <v>46099.0</v>
      </c>
      <c r="AY1657" s="16">
        <v>0.6875</v>
      </c>
      <c r="AZ1657" s="17" t="s">
        <v>164</v>
      </c>
      <c r="BA1657" s="17" t="s">
        <v>458</v>
      </c>
      <c r="BB1657" s="17" t="s">
        <v>109</v>
      </c>
      <c r="BP1657" s="17" t="s">
        <v>5715</v>
      </c>
      <c r="BR1657" s="24" t="str">
        <f t="shared" si="1"/>
        <v>circars burgars </v>
      </c>
    </row>
    <row r="1658" ht="22.5" customHeight="1">
      <c r="A1658" s="14">
        <v>46098.95966957176</v>
      </c>
      <c r="B1658" s="15">
        <v>46098.0</v>
      </c>
      <c r="C1658" s="16">
        <v>0.6458333333357587</v>
      </c>
      <c r="U1658" s="17" t="s">
        <v>5716</v>
      </c>
      <c r="V1658" s="17">
        <v>9.052685685E9</v>
      </c>
      <c r="W1658" s="17" t="s">
        <v>117</v>
      </c>
      <c r="AA1658" s="17" t="s">
        <v>109</v>
      </c>
      <c r="AT1658" s="17" t="s">
        <v>5717</v>
      </c>
      <c r="AU1658" s="17" t="s">
        <v>76</v>
      </c>
      <c r="AV1658" s="17" t="s">
        <v>373</v>
      </c>
      <c r="AX1658" s="15">
        <v>46099.0</v>
      </c>
      <c r="AY1658" s="16">
        <v>0.6979166666642413</v>
      </c>
      <c r="AZ1658" s="17" t="s">
        <v>164</v>
      </c>
      <c r="BA1658" s="17" t="s">
        <v>458</v>
      </c>
      <c r="BB1658" s="17" t="s">
        <v>109</v>
      </c>
      <c r="BP1658" s="17" t="s">
        <v>5718</v>
      </c>
      <c r="BR1658" s="24" t="str">
        <f t="shared" si="1"/>
        <v>varahi foods </v>
      </c>
    </row>
    <row r="1659" ht="22.5" customHeight="1">
      <c r="A1659" s="14">
        <v>46098.96114857639</v>
      </c>
      <c r="B1659" s="15">
        <v>46098.0</v>
      </c>
      <c r="C1659" s="16">
        <v>0.8333333333357587</v>
      </c>
      <c r="U1659" s="17" t="s">
        <v>5719</v>
      </c>
      <c r="V1659" s="17">
        <v>9.642888994E9</v>
      </c>
      <c r="W1659" s="17" t="s">
        <v>117</v>
      </c>
      <c r="AA1659" s="17" t="s">
        <v>109</v>
      </c>
      <c r="AT1659" s="17" t="s">
        <v>5720</v>
      </c>
      <c r="AU1659" s="17" t="s">
        <v>76</v>
      </c>
      <c r="AV1659" s="17" t="s">
        <v>271</v>
      </c>
      <c r="AZ1659" s="17" t="s">
        <v>164</v>
      </c>
      <c r="BA1659" s="17" t="s">
        <v>458</v>
      </c>
      <c r="BB1659" s="17" t="s">
        <v>109</v>
      </c>
      <c r="BP1659" s="17" t="s">
        <v>5721</v>
      </c>
      <c r="BR1659" s="24" t="str">
        <f t="shared" si="1"/>
        <v>zamindar restaurant </v>
      </c>
    </row>
    <row r="1660" ht="22.5" customHeight="1">
      <c r="A1660" s="14">
        <v>46099.41731396991</v>
      </c>
      <c r="B1660" s="15">
        <v>46097.0</v>
      </c>
      <c r="C1660" s="16">
        <v>0.11458333333575865</v>
      </c>
      <c r="U1660" s="17" t="s">
        <v>388</v>
      </c>
      <c r="V1660" s="17" t="s">
        <v>388</v>
      </c>
      <c r="W1660" s="17" t="s">
        <v>5428</v>
      </c>
      <c r="AA1660" s="17" t="s">
        <v>109</v>
      </c>
      <c r="AT1660" s="17" t="s">
        <v>5722</v>
      </c>
      <c r="AU1660" s="17" t="s">
        <v>76</v>
      </c>
      <c r="AZ1660" s="17" t="s">
        <v>539</v>
      </c>
      <c r="BA1660" s="17" t="s">
        <v>458</v>
      </c>
      <c r="BB1660" s="17" t="s">
        <v>109</v>
      </c>
      <c r="BP1660" s="17" t="s">
        <v>5723</v>
      </c>
      <c r="BR1660" s="24" t="str">
        <f t="shared" si="1"/>
        <v>Harsha delux mess</v>
      </c>
    </row>
    <row r="1661" ht="22.5" customHeight="1">
      <c r="A1661" s="14">
        <v>46099.54280862269</v>
      </c>
      <c r="B1661" s="15">
        <v>46099.0</v>
      </c>
      <c r="C1661" s="16">
        <v>0.5138888888905058</v>
      </c>
      <c r="U1661" s="17" t="s">
        <v>5724</v>
      </c>
      <c r="V1661" s="17">
        <v>6.302303453E9</v>
      </c>
      <c r="W1661" s="17" t="s">
        <v>388</v>
      </c>
      <c r="AA1661" s="17" t="s">
        <v>109</v>
      </c>
      <c r="AT1661" s="17" t="s">
        <v>5725</v>
      </c>
      <c r="AU1661" s="17" t="s">
        <v>76</v>
      </c>
      <c r="AZ1661" s="17" t="s">
        <v>243</v>
      </c>
      <c r="BA1661" s="17" t="s">
        <v>458</v>
      </c>
      <c r="BB1661" s="17" t="s">
        <v>109</v>
      </c>
      <c r="BP1661" s="17" t="s">
        <v>2159</v>
      </c>
      <c r="BR1661" s="24" t="str">
        <f t="shared" si="1"/>
        <v>Southern fusion</v>
      </c>
    </row>
    <row r="1662" ht="22.5" customHeight="1">
      <c r="A1662" s="14">
        <v>46099.544455497686</v>
      </c>
      <c r="B1662" s="15">
        <v>46099.0</v>
      </c>
      <c r="C1662" s="16">
        <v>0.5381944444452529</v>
      </c>
      <c r="U1662" s="17" t="s">
        <v>926</v>
      </c>
      <c r="V1662" s="17" t="s">
        <v>388</v>
      </c>
      <c r="W1662" s="17" t="s">
        <v>388</v>
      </c>
      <c r="AA1662" s="17" t="s">
        <v>109</v>
      </c>
      <c r="AT1662" s="17" t="s">
        <v>5726</v>
      </c>
      <c r="AU1662" s="17" t="s">
        <v>76</v>
      </c>
      <c r="AZ1662" s="17" t="s">
        <v>243</v>
      </c>
      <c r="BA1662" s="17" t="s">
        <v>458</v>
      </c>
      <c r="BB1662" s="17" t="s">
        <v>109</v>
      </c>
      <c r="BP1662" s="17" t="s">
        <v>2713</v>
      </c>
      <c r="BR1662" s="24" t="str">
        <f t="shared" si="1"/>
        <v>The chocolate room</v>
      </c>
    </row>
    <row r="1663" ht="22.5" customHeight="1">
      <c r="A1663" s="14">
        <v>46099.545910162036</v>
      </c>
      <c r="B1663" s="15">
        <v>46099.0</v>
      </c>
      <c r="C1663" s="16">
        <v>0.5444444444437977</v>
      </c>
      <c r="U1663" s="17" t="s">
        <v>3036</v>
      </c>
      <c r="V1663" s="17" t="s">
        <v>5727</v>
      </c>
      <c r="W1663" s="17" t="s">
        <v>5728</v>
      </c>
      <c r="AA1663" s="17" t="s">
        <v>109</v>
      </c>
      <c r="AT1663" s="17" t="s">
        <v>5729</v>
      </c>
      <c r="AU1663" s="17" t="s">
        <v>76</v>
      </c>
      <c r="AZ1663" s="17" t="s">
        <v>243</v>
      </c>
      <c r="BA1663" s="17" t="s">
        <v>458</v>
      </c>
      <c r="BB1663" s="17" t="s">
        <v>109</v>
      </c>
      <c r="BP1663" s="17" t="s">
        <v>5730</v>
      </c>
      <c r="BR1663" s="24" t="str">
        <f t="shared" si="1"/>
        <v>Southern spice </v>
      </c>
    </row>
    <row r="1664" ht="22.5" customHeight="1">
      <c r="A1664" s="14">
        <v>46099.559385381945</v>
      </c>
      <c r="B1664" s="15">
        <v>46099.0</v>
      </c>
      <c r="C1664" s="16">
        <v>0.5430555555576575</v>
      </c>
      <c r="U1664" s="17" t="s">
        <v>5370</v>
      </c>
      <c r="V1664" s="17">
        <v>9.959740131E9</v>
      </c>
      <c r="W1664" s="17" t="s">
        <v>388</v>
      </c>
      <c r="AA1664" s="17" t="s">
        <v>109</v>
      </c>
      <c r="AT1664" s="17" t="s">
        <v>5731</v>
      </c>
      <c r="AU1664" s="17" t="s">
        <v>76</v>
      </c>
      <c r="AZ1664" s="17" t="s">
        <v>243</v>
      </c>
      <c r="BA1664" s="17" t="s">
        <v>458</v>
      </c>
      <c r="BB1664" s="17" t="s">
        <v>109</v>
      </c>
      <c r="BP1664" s="17" t="s">
        <v>5732</v>
      </c>
      <c r="BR1664" s="24" t="str">
        <f t="shared" si="1"/>
        <v>Arambam</v>
      </c>
    </row>
    <row r="1665" ht="22.5" customHeight="1">
      <c r="A1665" s="14">
        <v>46099.5610193287</v>
      </c>
      <c r="B1665" s="15">
        <v>46099.0</v>
      </c>
      <c r="C1665" s="16">
        <v>0.5590277777810115</v>
      </c>
      <c r="U1665" s="17" t="s">
        <v>4524</v>
      </c>
      <c r="V1665" s="17">
        <v>9.133277966E9</v>
      </c>
      <c r="W1665" s="17" t="s">
        <v>388</v>
      </c>
      <c r="AA1665" s="17" t="s">
        <v>109</v>
      </c>
      <c r="AT1665" s="17" t="s">
        <v>5733</v>
      </c>
      <c r="AU1665" s="17" t="s">
        <v>76</v>
      </c>
      <c r="AZ1665" s="17" t="s">
        <v>243</v>
      </c>
      <c r="BA1665" s="17" t="s">
        <v>458</v>
      </c>
      <c r="BB1665" s="17" t="s">
        <v>109</v>
      </c>
      <c r="BP1665" s="17" t="s">
        <v>5734</v>
      </c>
      <c r="BR1665" s="24" t="str">
        <f t="shared" si="1"/>
        <v>Tugo flavours </v>
      </c>
    </row>
    <row r="1666" ht="22.5" customHeight="1">
      <c r="A1666" s="14">
        <v>46099.56316402778</v>
      </c>
      <c r="B1666" s="15">
        <v>46099.0</v>
      </c>
      <c r="C1666" s="16">
        <v>0.5618055555532919</v>
      </c>
      <c r="D1666" s="17" t="s">
        <v>91</v>
      </c>
      <c r="F1666" s="17">
        <v>50.0</v>
      </c>
      <c r="G1666" s="17">
        <v>500.0</v>
      </c>
      <c r="H1666" s="17" t="s">
        <v>388</v>
      </c>
      <c r="J1666" s="17" t="s">
        <v>167</v>
      </c>
      <c r="N1666" s="17">
        <v>3.0</v>
      </c>
      <c r="O1666" s="17" t="s">
        <v>135</v>
      </c>
      <c r="P1666" s="17" t="s">
        <v>76</v>
      </c>
      <c r="Q1666" s="17" t="s">
        <v>97</v>
      </c>
      <c r="R1666" s="17" t="s">
        <v>98</v>
      </c>
      <c r="S1666" s="17" t="s">
        <v>388</v>
      </c>
      <c r="U1666" s="17" t="s">
        <v>388</v>
      </c>
      <c r="V1666" s="17" t="s">
        <v>388</v>
      </c>
      <c r="W1666" s="17" t="s">
        <v>388</v>
      </c>
      <c r="AA1666" s="17" t="s">
        <v>109</v>
      </c>
      <c r="AT1666" s="17" t="s">
        <v>5735</v>
      </c>
      <c r="AU1666" s="17" t="s">
        <v>76</v>
      </c>
      <c r="AZ1666" s="17" t="s">
        <v>243</v>
      </c>
      <c r="BA1666" s="17" t="s">
        <v>458</v>
      </c>
      <c r="BB1666" s="17" t="s">
        <v>76</v>
      </c>
      <c r="BP1666" s="17" t="s">
        <v>5736</v>
      </c>
      <c r="BR1666" s="24" t="str">
        <f t="shared" si="1"/>
        <v>Vasista laxmi</v>
      </c>
    </row>
    <row r="1667" ht="22.5" customHeight="1">
      <c r="A1667" s="14">
        <v>46099.56496471065</v>
      </c>
      <c r="B1667" s="15">
        <v>46099.0</v>
      </c>
      <c r="C1667" s="16">
        <v>0.5631944444467081</v>
      </c>
      <c r="D1667" s="17" t="s">
        <v>91</v>
      </c>
      <c r="F1667" s="17">
        <v>80.0</v>
      </c>
      <c r="G1667" s="17">
        <v>350.0</v>
      </c>
      <c r="H1667" s="17" t="s">
        <v>388</v>
      </c>
      <c r="J1667" s="17" t="s">
        <v>94</v>
      </c>
      <c r="N1667" s="17">
        <v>10.0</v>
      </c>
      <c r="O1667" s="17" t="s">
        <v>96</v>
      </c>
      <c r="P1667" s="17" t="s">
        <v>76</v>
      </c>
      <c r="Q1667" s="17" t="s">
        <v>97</v>
      </c>
      <c r="R1667" s="17" t="s">
        <v>98</v>
      </c>
      <c r="S1667" s="17" t="s">
        <v>388</v>
      </c>
      <c r="U1667" s="17" t="s">
        <v>5737</v>
      </c>
      <c r="V1667" s="17">
        <v>9.701959365E9</v>
      </c>
      <c r="W1667" s="17" t="s">
        <v>388</v>
      </c>
      <c r="AA1667" s="17" t="s">
        <v>109</v>
      </c>
      <c r="AT1667" s="17" t="s">
        <v>5738</v>
      </c>
      <c r="AU1667" s="17" t="s">
        <v>76</v>
      </c>
      <c r="AZ1667" s="17" t="s">
        <v>243</v>
      </c>
      <c r="BA1667" s="17" t="s">
        <v>458</v>
      </c>
      <c r="BB1667" s="17" t="s">
        <v>76</v>
      </c>
      <c r="BP1667" s="17" t="s">
        <v>2717</v>
      </c>
      <c r="BR1667" s="24" t="str">
        <f t="shared" si="1"/>
        <v>Kafika</v>
      </c>
    </row>
    <row r="1668" ht="22.5" customHeight="1">
      <c r="A1668" s="14">
        <v>46099.6039021412</v>
      </c>
      <c r="B1668" s="15">
        <v>46099.0</v>
      </c>
      <c r="C1668" s="16">
        <v>0.6020833333313931</v>
      </c>
      <c r="D1668" s="17" t="s">
        <v>91</v>
      </c>
      <c r="F1668" s="17">
        <v>150.0</v>
      </c>
      <c r="G1668" s="17">
        <v>500.0</v>
      </c>
      <c r="H1668" s="17" t="s">
        <v>388</v>
      </c>
      <c r="J1668" s="17" t="s">
        <v>167</v>
      </c>
      <c r="N1668" s="17">
        <v>1.0</v>
      </c>
      <c r="O1668" s="17" t="s">
        <v>135</v>
      </c>
      <c r="P1668" s="17" t="s">
        <v>76</v>
      </c>
      <c r="Q1668" s="17" t="s">
        <v>97</v>
      </c>
      <c r="R1668" s="17" t="s">
        <v>76</v>
      </c>
      <c r="S1668" s="17" t="s">
        <v>388</v>
      </c>
      <c r="U1668" s="17" t="s">
        <v>5304</v>
      </c>
      <c r="V1668" s="17" t="s">
        <v>388</v>
      </c>
      <c r="W1668" s="17" t="s">
        <v>388</v>
      </c>
      <c r="AA1668" s="17" t="s">
        <v>109</v>
      </c>
      <c r="AT1668" s="17" t="s">
        <v>5739</v>
      </c>
      <c r="AU1668" s="17" t="s">
        <v>76</v>
      </c>
      <c r="AZ1668" s="17" t="s">
        <v>243</v>
      </c>
      <c r="BA1668" s="17" t="s">
        <v>458</v>
      </c>
      <c r="BB1668" s="17" t="s">
        <v>76</v>
      </c>
      <c r="BP1668" s="17" t="s">
        <v>5663</v>
      </c>
      <c r="BR1668" s="24" t="str">
        <f t="shared" si="1"/>
        <v>Bhojanam thali</v>
      </c>
    </row>
    <row r="1669" ht="22.5" customHeight="1">
      <c r="A1669" s="14">
        <v>46099.65049210648</v>
      </c>
      <c r="B1669" s="15">
        <v>46099.0</v>
      </c>
      <c r="C1669" s="16">
        <v>0.6458333333357587</v>
      </c>
      <c r="U1669" s="17" t="s">
        <v>5740</v>
      </c>
      <c r="V1669" s="17">
        <v>9.544186712E9</v>
      </c>
      <c r="W1669" s="17" t="s">
        <v>388</v>
      </c>
      <c r="AA1669" s="17" t="s">
        <v>109</v>
      </c>
      <c r="AT1669" s="17" t="s">
        <v>5741</v>
      </c>
      <c r="AU1669" s="17" t="s">
        <v>76</v>
      </c>
      <c r="AZ1669" s="17" t="s">
        <v>243</v>
      </c>
      <c r="BA1669" s="17" t="s">
        <v>458</v>
      </c>
      <c r="BB1669" s="17" t="s">
        <v>109</v>
      </c>
      <c r="BP1669" s="17" t="s">
        <v>5742</v>
      </c>
      <c r="BR1669" s="24" t="str">
        <f t="shared" si="1"/>
        <v>Kochin spices </v>
      </c>
    </row>
    <row r="1670" ht="22.5" customHeight="1">
      <c r="A1670" s="14">
        <v>46099.6669609838</v>
      </c>
      <c r="B1670" s="15">
        <v>46099.0</v>
      </c>
      <c r="C1670" s="16">
        <v>0.6458333333357587</v>
      </c>
      <c r="U1670" s="17" t="s">
        <v>1307</v>
      </c>
      <c r="V1670" s="17">
        <v>9.908396763E9</v>
      </c>
      <c r="W1670" s="17" t="s">
        <v>388</v>
      </c>
      <c r="AA1670" s="17" t="s">
        <v>109</v>
      </c>
      <c r="AT1670" s="17" t="s">
        <v>5743</v>
      </c>
      <c r="AU1670" s="17" t="s">
        <v>76</v>
      </c>
      <c r="AZ1670" s="17" t="s">
        <v>243</v>
      </c>
      <c r="BA1670" s="17" t="s">
        <v>458</v>
      </c>
      <c r="BB1670" s="17" t="s">
        <v>109</v>
      </c>
      <c r="BP1670" s="17" t="s">
        <v>5744</v>
      </c>
      <c r="BR1670" s="24" t="str">
        <f t="shared" si="1"/>
        <v>Pallekodi</v>
      </c>
    </row>
    <row r="1671" ht="22.5" customHeight="1">
      <c r="A1671" s="14">
        <v>46099.66841857639</v>
      </c>
      <c r="B1671" s="15">
        <v>46099.0</v>
      </c>
      <c r="C1671" s="16">
        <v>0.6673611111109494</v>
      </c>
      <c r="U1671" s="17" t="s">
        <v>1623</v>
      </c>
      <c r="V1671" s="17">
        <v>9.908396763E9</v>
      </c>
      <c r="W1671" s="17" t="s">
        <v>388</v>
      </c>
      <c r="AA1671" s="17" t="s">
        <v>109</v>
      </c>
      <c r="AT1671" s="17" t="s">
        <v>5743</v>
      </c>
      <c r="AU1671" s="17" t="s">
        <v>76</v>
      </c>
      <c r="AZ1671" s="17" t="s">
        <v>243</v>
      </c>
      <c r="BA1671" s="17" t="s">
        <v>458</v>
      </c>
      <c r="BB1671" s="17" t="s">
        <v>109</v>
      </c>
      <c r="BP1671" s="17" t="s">
        <v>5745</v>
      </c>
      <c r="BR1671" s="24" t="str">
        <f t="shared" si="1"/>
        <v>City kitchen </v>
      </c>
    </row>
    <row r="1672" ht="22.5" customHeight="1">
      <c r="A1672" s="14">
        <v>46099.66981707176</v>
      </c>
      <c r="B1672" s="15">
        <v>46099.0</v>
      </c>
      <c r="C1672" s="16">
        <v>0.6680555555576575</v>
      </c>
      <c r="U1672" s="17" t="s">
        <v>5746</v>
      </c>
      <c r="V1672" s="17">
        <v>9.550014444E9</v>
      </c>
      <c r="W1672" s="17" t="s">
        <v>388</v>
      </c>
      <c r="AA1672" s="17" t="s">
        <v>109</v>
      </c>
      <c r="AT1672" s="17" t="s">
        <v>5747</v>
      </c>
      <c r="AU1672" s="17" t="s">
        <v>76</v>
      </c>
      <c r="AZ1672" s="17" t="s">
        <v>243</v>
      </c>
      <c r="BA1672" s="17" t="s">
        <v>458</v>
      </c>
      <c r="BB1672" s="17" t="s">
        <v>109</v>
      </c>
      <c r="BP1672" s="17" t="s">
        <v>5748</v>
      </c>
      <c r="BR1672" s="24" t="str">
        <f t="shared" si="1"/>
        <v>Curry man</v>
      </c>
    </row>
    <row r="1673" ht="22.5" customHeight="1">
      <c r="A1673" s="14">
        <v>46099.67116159722</v>
      </c>
      <c r="B1673" s="15">
        <v>46099.0</v>
      </c>
      <c r="C1673" s="16">
        <v>0.6701388888905058</v>
      </c>
      <c r="U1673" s="17" t="s">
        <v>5749</v>
      </c>
      <c r="V1673" s="17">
        <v>9.490334499E9</v>
      </c>
      <c r="W1673" s="17" t="s">
        <v>388</v>
      </c>
      <c r="AA1673" s="17" t="s">
        <v>109</v>
      </c>
      <c r="AT1673" s="17" t="s">
        <v>5747</v>
      </c>
      <c r="AU1673" s="17" t="s">
        <v>76</v>
      </c>
      <c r="AZ1673" s="17" t="s">
        <v>243</v>
      </c>
      <c r="BA1673" s="17" t="s">
        <v>458</v>
      </c>
      <c r="BB1673" s="17" t="s">
        <v>109</v>
      </c>
      <c r="BP1673" s="17" t="s">
        <v>5750</v>
      </c>
      <c r="BR1673" s="24" t="str">
        <f t="shared" si="1"/>
        <v>Golkanda chef</v>
      </c>
    </row>
    <row r="1674" ht="22.5" customHeight="1">
      <c r="A1674" s="14">
        <v>46099.68265041667</v>
      </c>
      <c r="B1674" s="15">
        <v>46099.0</v>
      </c>
      <c r="C1674" s="16">
        <v>0.6805555555547471</v>
      </c>
      <c r="U1674" s="17" t="s">
        <v>388</v>
      </c>
      <c r="V1674" s="17">
        <v>9.552323334E9</v>
      </c>
      <c r="W1674" s="17" t="s">
        <v>388</v>
      </c>
      <c r="AA1674" s="17" t="s">
        <v>109</v>
      </c>
      <c r="AT1674" s="17" t="s">
        <v>5751</v>
      </c>
      <c r="AU1674" s="17" t="s">
        <v>76</v>
      </c>
      <c r="AZ1674" s="17" t="s">
        <v>243</v>
      </c>
      <c r="BA1674" s="17" t="s">
        <v>458</v>
      </c>
      <c r="BB1674" s="17" t="s">
        <v>109</v>
      </c>
      <c r="BP1674" s="17" t="s">
        <v>1897</v>
      </c>
      <c r="BR1674" s="24" t="str">
        <f t="shared" si="1"/>
        <v>Tadipathri biryani</v>
      </c>
    </row>
    <row r="1675" ht="22.5" customHeight="1">
      <c r="A1675" s="14">
        <v>46099.684522511576</v>
      </c>
      <c r="B1675" s="15">
        <v>46099.0</v>
      </c>
      <c r="C1675" s="16">
        <v>0.6826388888875954</v>
      </c>
      <c r="U1675" s="17" t="s">
        <v>388</v>
      </c>
      <c r="V1675" s="17">
        <v>9.666746674E9</v>
      </c>
      <c r="W1675" s="17" t="s">
        <v>388</v>
      </c>
      <c r="AA1675" s="17" t="s">
        <v>109</v>
      </c>
      <c r="AT1675" s="17" t="s">
        <v>5752</v>
      </c>
      <c r="AU1675" s="17" t="s">
        <v>76</v>
      </c>
      <c r="AZ1675" s="17" t="s">
        <v>243</v>
      </c>
      <c r="BA1675" s="17" t="s">
        <v>458</v>
      </c>
      <c r="BB1675" s="17" t="s">
        <v>109</v>
      </c>
      <c r="BP1675" s="17" t="s">
        <v>1691</v>
      </c>
      <c r="BR1675" s="24" t="str">
        <f t="shared" si="1"/>
        <v>Hope in a cup</v>
      </c>
    </row>
    <row r="1676" ht="22.5" customHeight="1">
      <c r="A1676" s="14">
        <v>46099.685877627315</v>
      </c>
      <c r="B1676" s="15">
        <v>46099.0</v>
      </c>
      <c r="C1676" s="16">
        <v>0.6847222222204437</v>
      </c>
      <c r="U1676" s="17" t="s">
        <v>5753</v>
      </c>
      <c r="V1676" s="17">
        <v>8.885552082E9</v>
      </c>
      <c r="W1676" s="17" t="s">
        <v>388</v>
      </c>
      <c r="AA1676" s="17" t="s">
        <v>109</v>
      </c>
      <c r="AT1676" s="17" t="s">
        <v>5754</v>
      </c>
      <c r="AU1676" s="17" t="s">
        <v>76</v>
      </c>
      <c r="AZ1676" s="17" t="s">
        <v>243</v>
      </c>
      <c r="BA1676" s="17" t="s">
        <v>458</v>
      </c>
      <c r="BB1676" s="17" t="s">
        <v>109</v>
      </c>
      <c r="BP1676" s="17" t="s">
        <v>5755</v>
      </c>
      <c r="BR1676" s="24" t="str">
        <f t="shared" si="1"/>
        <v>Hulchal desserts and bakers </v>
      </c>
    </row>
    <row r="1677" ht="22.5" customHeight="1">
      <c r="A1677" s="14">
        <v>46099.687298993056</v>
      </c>
      <c r="B1677" s="15">
        <v>46099.0</v>
      </c>
      <c r="C1677" s="16">
        <v>0.6861111111065838</v>
      </c>
      <c r="U1677" s="17" t="s">
        <v>5756</v>
      </c>
      <c r="V1677" s="17" t="s">
        <v>5757</v>
      </c>
      <c r="W1677" s="17" t="s">
        <v>388</v>
      </c>
      <c r="AA1677" s="17" t="s">
        <v>109</v>
      </c>
      <c r="AT1677" s="17" t="s">
        <v>5758</v>
      </c>
      <c r="AU1677" s="17" t="s">
        <v>76</v>
      </c>
      <c r="AZ1677" s="17" t="s">
        <v>243</v>
      </c>
      <c r="BA1677" s="17" t="s">
        <v>458</v>
      </c>
      <c r="BB1677" s="17" t="s">
        <v>109</v>
      </c>
      <c r="BP1677" s="17" t="s">
        <v>5759</v>
      </c>
      <c r="BR1677" s="24" t="str">
        <f t="shared" si="1"/>
        <v>Sorse </v>
      </c>
    </row>
    <row r="1678" ht="22.5" customHeight="1">
      <c r="A1678" s="8"/>
      <c r="B1678" s="9"/>
      <c r="C1678" s="10"/>
      <c r="D1678" s="12"/>
      <c r="E1678" s="12"/>
      <c r="F1678" s="12"/>
      <c r="G1678" s="12"/>
      <c r="H1678" s="12"/>
      <c r="I1678" s="12"/>
      <c r="J1678" s="12"/>
      <c r="K1678" s="12"/>
      <c r="L1678" s="12"/>
      <c r="M1678" s="12"/>
      <c r="N1678" s="12"/>
      <c r="O1678" s="12"/>
      <c r="P1678" s="12"/>
      <c r="Q1678" s="12"/>
      <c r="R1678" s="12"/>
      <c r="S1678" s="12"/>
      <c r="T1678" s="12"/>
      <c r="U1678" s="11"/>
      <c r="V1678" s="11"/>
      <c r="W1678" s="11"/>
      <c r="X1678" s="12"/>
      <c r="Y1678" s="12"/>
      <c r="Z1678" s="12"/>
      <c r="AA1678" s="11"/>
      <c r="AB1678" s="12"/>
      <c r="AC1678" s="12"/>
      <c r="AD1678" s="12"/>
      <c r="AE1678" s="12"/>
      <c r="AF1678" s="12"/>
      <c r="AG1678" s="12"/>
      <c r="AH1678" s="12"/>
      <c r="AI1678" s="12"/>
      <c r="AJ1678" s="12"/>
      <c r="AK1678" s="12"/>
      <c r="AL1678" s="12"/>
      <c r="AM1678" s="12"/>
      <c r="AN1678" s="12"/>
      <c r="AO1678" s="12"/>
      <c r="AP1678" s="12"/>
      <c r="AQ1678" s="12"/>
      <c r="AR1678" s="12"/>
      <c r="AS1678" s="12"/>
      <c r="AT1678" s="11"/>
      <c r="AU1678" s="11"/>
      <c r="AV1678" s="11"/>
      <c r="AW1678" s="12"/>
      <c r="AX1678" s="12"/>
      <c r="AY1678" s="12"/>
      <c r="AZ1678" s="11"/>
      <c r="BA1678" s="11"/>
      <c r="BB1678" s="11"/>
      <c r="BC1678" s="12"/>
      <c r="BD1678" s="12"/>
      <c r="BE1678" s="12"/>
      <c r="BF1678" s="12"/>
      <c r="BG1678" s="12"/>
      <c r="BH1678" s="12"/>
      <c r="BI1678" s="12"/>
      <c r="BJ1678" s="12"/>
      <c r="BK1678" s="12"/>
      <c r="BL1678" s="12"/>
      <c r="BM1678" s="12"/>
      <c r="BN1678" s="12"/>
      <c r="BO1678" s="12"/>
      <c r="BP1678" s="11"/>
      <c r="BQ1678" s="12"/>
      <c r="BR1678" s="7" t="str">
        <f t="shared" si="1"/>
        <v/>
      </c>
    </row>
    <row r="1679" ht="22.5" customHeight="1">
      <c r="A1679" s="8"/>
      <c r="B1679" s="9"/>
      <c r="C1679" s="10"/>
      <c r="D1679" s="12"/>
      <c r="E1679" s="12"/>
      <c r="F1679" s="12"/>
      <c r="G1679" s="12"/>
      <c r="H1679" s="12"/>
      <c r="I1679" s="12"/>
      <c r="J1679" s="12"/>
      <c r="K1679" s="12"/>
      <c r="L1679" s="12"/>
      <c r="M1679" s="12"/>
      <c r="N1679" s="12"/>
      <c r="O1679" s="12"/>
      <c r="P1679" s="12"/>
      <c r="Q1679" s="12"/>
      <c r="R1679" s="12"/>
      <c r="S1679" s="12"/>
      <c r="T1679" s="12"/>
      <c r="U1679" s="11"/>
      <c r="V1679" s="11"/>
      <c r="W1679" s="11"/>
      <c r="X1679" s="12"/>
      <c r="Y1679" s="12"/>
      <c r="Z1679" s="12"/>
      <c r="AA1679" s="11"/>
      <c r="AB1679" s="12"/>
      <c r="AC1679" s="12"/>
      <c r="AD1679" s="12"/>
      <c r="AE1679" s="12"/>
      <c r="AF1679" s="12"/>
      <c r="AG1679" s="12"/>
      <c r="AH1679" s="12"/>
      <c r="AI1679" s="12"/>
      <c r="AJ1679" s="12"/>
      <c r="AK1679" s="12"/>
      <c r="AL1679" s="12"/>
      <c r="AM1679" s="12"/>
      <c r="AN1679" s="12"/>
      <c r="AO1679" s="12"/>
      <c r="AP1679" s="12"/>
      <c r="AQ1679" s="12"/>
      <c r="AR1679" s="12"/>
      <c r="AS1679" s="12"/>
      <c r="AT1679" s="11"/>
      <c r="AU1679" s="11"/>
      <c r="AV1679" s="11"/>
      <c r="AW1679" s="12"/>
      <c r="AX1679" s="12"/>
      <c r="AY1679" s="12"/>
      <c r="AZ1679" s="11"/>
      <c r="BA1679" s="11"/>
      <c r="BB1679" s="11"/>
      <c r="BC1679" s="12"/>
      <c r="BD1679" s="12"/>
      <c r="BE1679" s="12"/>
      <c r="BF1679" s="12"/>
      <c r="BG1679" s="12"/>
      <c r="BH1679" s="12"/>
      <c r="BI1679" s="12"/>
      <c r="BJ1679" s="12"/>
      <c r="BK1679" s="12"/>
      <c r="BL1679" s="12"/>
      <c r="BM1679" s="12"/>
      <c r="BN1679" s="12"/>
      <c r="BO1679" s="12"/>
      <c r="BP1679" s="11"/>
      <c r="BQ1679" s="12"/>
      <c r="BR1679" s="7" t="str">
        <f t="shared" si="1"/>
        <v/>
      </c>
    </row>
    <row r="1680" ht="22.5" customHeight="1">
      <c r="A1680" s="8"/>
      <c r="B1680" s="9"/>
      <c r="C1680" s="10"/>
      <c r="D1680" s="12"/>
      <c r="E1680" s="12"/>
      <c r="F1680" s="12"/>
      <c r="G1680" s="12"/>
      <c r="H1680" s="12"/>
      <c r="I1680" s="12"/>
      <c r="J1680" s="12"/>
      <c r="K1680" s="12"/>
      <c r="L1680" s="12"/>
      <c r="M1680" s="12"/>
      <c r="N1680" s="12"/>
      <c r="O1680" s="12"/>
      <c r="P1680" s="12"/>
      <c r="Q1680" s="12"/>
      <c r="R1680" s="12"/>
      <c r="S1680" s="12"/>
      <c r="T1680" s="12"/>
      <c r="U1680" s="11"/>
      <c r="V1680" s="11"/>
      <c r="W1680" s="11"/>
      <c r="X1680" s="12"/>
      <c r="Y1680" s="12"/>
      <c r="Z1680" s="12"/>
      <c r="AA1680" s="11"/>
      <c r="AB1680" s="12"/>
      <c r="AC1680" s="12"/>
      <c r="AD1680" s="12"/>
      <c r="AE1680" s="12"/>
      <c r="AF1680" s="12"/>
      <c r="AG1680" s="12"/>
      <c r="AH1680" s="12"/>
      <c r="AI1680" s="12"/>
      <c r="AJ1680" s="12"/>
      <c r="AK1680" s="12"/>
      <c r="AL1680" s="12"/>
      <c r="AM1680" s="12"/>
      <c r="AN1680" s="12"/>
      <c r="AO1680" s="12"/>
      <c r="AP1680" s="12"/>
      <c r="AQ1680" s="12"/>
      <c r="AR1680" s="12"/>
      <c r="AS1680" s="12"/>
      <c r="AT1680" s="11"/>
      <c r="AU1680" s="11"/>
      <c r="AV1680" s="11"/>
      <c r="AW1680" s="12"/>
      <c r="AX1680" s="12"/>
      <c r="AY1680" s="12"/>
      <c r="AZ1680" s="11"/>
      <c r="BA1680" s="11"/>
      <c r="BB1680" s="11"/>
      <c r="BC1680" s="12"/>
      <c r="BD1680" s="12"/>
      <c r="BE1680" s="12"/>
      <c r="BF1680" s="12"/>
      <c r="BG1680" s="12"/>
      <c r="BH1680" s="12"/>
      <c r="BI1680" s="12"/>
      <c r="BJ1680" s="12"/>
      <c r="BK1680" s="12"/>
      <c r="BL1680" s="12"/>
      <c r="BM1680" s="12"/>
      <c r="BN1680" s="12"/>
      <c r="BO1680" s="12"/>
      <c r="BP1680" s="11"/>
      <c r="BQ1680" s="12"/>
      <c r="BR1680" s="7" t="str">
        <f t="shared" si="1"/>
        <v/>
      </c>
    </row>
    <row r="1681" ht="22.5" customHeight="1">
      <c r="A1681" s="8"/>
      <c r="B1681" s="9"/>
      <c r="C1681" s="10"/>
      <c r="D1681" s="12"/>
      <c r="E1681" s="12"/>
      <c r="F1681" s="12"/>
      <c r="G1681" s="12"/>
      <c r="H1681" s="12"/>
      <c r="I1681" s="12"/>
      <c r="J1681" s="12"/>
      <c r="K1681" s="12"/>
      <c r="L1681" s="12"/>
      <c r="M1681" s="12"/>
      <c r="N1681" s="12"/>
      <c r="O1681" s="12"/>
      <c r="P1681" s="12"/>
      <c r="Q1681" s="12"/>
      <c r="R1681" s="12"/>
      <c r="S1681" s="12"/>
      <c r="T1681" s="12"/>
      <c r="U1681" s="11"/>
      <c r="V1681" s="11"/>
      <c r="W1681" s="11"/>
      <c r="X1681" s="12"/>
      <c r="Y1681" s="12"/>
      <c r="Z1681" s="12"/>
      <c r="AA1681" s="11"/>
      <c r="AB1681" s="12"/>
      <c r="AC1681" s="12"/>
      <c r="AD1681" s="12"/>
      <c r="AE1681" s="12"/>
      <c r="AF1681" s="12"/>
      <c r="AG1681" s="12"/>
      <c r="AH1681" s="12"/>
      <c r="AI1681" s="12"/>
      <c r="AJ1681" s="12"/>
      <c r="AK1681" s="12"/>
      <c r="AL1681" s="12"/>
      <c r="AM1681" s="12"/>
      <c r="AN1681" s="12"/>
      <c r="AO1681" s="12"/>
      <c r="AP1681" s="12"/>
      <c r="AQ1681" s="12"/>
      <c r="AR1681" s="12"/>
      <c r="AS1681" s="12"/>
      <c r="AT1681" s="11"/>
      <c r="AU1681" s="11"/>
      <c r="AV1681" s="11"/>
      <c r="AW1681" s="12"/>
      <c r="AX1681" s="12"/>
      <c r="AY1681" s="12"/>
      <c r="AZ1681" s="11"/>
      <c r="BA1681" s="11"/>
      <c r="BB1681" s="11"/>
      <c r="BC1681" s="12"/>
      <c r="BD1681" s="12"/>
      <c r="BE1681" s="12"/>
      <c r="BF1681" s="12"/>
      <c r="BG1681" s="12"/>
      <c r="BH1681" s="12"/>
      <c r="BI1681" s="12"/>
      <c r="BJ1681" s="12"/>
      <c r="BK1681" s="12"/>
      <c r="BL1681" s="12"/>
      <c r="BM1681" s="12"/>
      <c r="BN1681" s="12"/>
      <c r="BO1681" s="12"/>
      <c r="BP1681" s="11"/>
      <c r="BQ1681" s="12"/>
      <c r="BR1681" s="7" t="str">
        <f t="shared" si="1"/>
        <v/>
      </c>
    </row>
    <row r="1682" ht="22.5" customHeight="1">
      <c r="A1682" s="8"/>
      <c r="B1682" s="9"/>
      <c r="C1682" s="10"/>
      <c r="D1682" s="12"/>
      <c r="E1682" s="12"/>
      <c r="F1682" s="12"/>
      <c r="G1682" s="12"/>
      <c r="H1682" s="12"/>
      <c r="I1682" s="12"/>
      <c r="J1682" s="12"/>
      <c r="K1682" s="12"/>
      <c r="L1682" s="12"/>
      <c r="M1682" s="12"/>
      <c r="N1682" s="12"/>
      <c r="O1682" s="12"/>
      <c r="P1682" s="12"/>
      <c r="Q1682" s="12"/>
      <c r="R1682" s="12"/>
      <c r="S1682" s="12"/>
      <c r="T1682" s="12"/>
      <c r="U1682" s="11"/>
      <c r="V1682" s="11"/>
      <c r="W1682" s="11"/>
      <c r="X1682" s="12"/>
      <c r="Y1682" s="12"/>
      <c r="Z1682" s="12"/>
      <c r="AA1682" s="11"/>
      <c r="AB1682" s="12"/>
      <c r="AC1682" s="12"/>
      <c r="AD1682" s="12"/>
      <c r="AE1682" s="12"/>
      <c r="AF1682" s="12"/>
      <c r="AG1682" s="12"/>
      <c r="AH1682" s="12"/>
      <c r="AI1682" s="12"/>
      <c r="AJ1682" s="12"/>
      <c r="AK1682" s="12"/>
      <c r="AL1682" s="12"/>
      <c r="AM1682" s="12"/>
      <c r="AN1682" s="12"/>
      <c r="AO1682" s="12"/>
      <c r="AP1682" s="12"/>
      <c r="AQ1682" s="12"/>
      <c r="AR1682" s="12"/>
      <c r="AS1682" s="12"/>
      <c r="AT1682" s="11"/>
      <c r="AU1682" s="11"/>
      <c r="AV1682" s="11"/>
      <c r="AW1682" s="12"/>
      <c r="AX1682" s="12"/>
      <c r="AY1682" s="12"/>
      <c r="AZ1682" s="11"/>
      <c r="BA1682" s="11"/>
      <c r="BB1682" s="11"/>
      <c r="BC1682" s="12"/>
      <c r="BD1682" s="12"/>
      <c r="BE1682" s="12"/>
      <c r="BF1682" s="12"/>
      <c r="BG1682" s="12"/>
      <c r="BH1682" s="12"/>
      <c r="BI1682" s="12"/>
      <c r="BJ1682" s="12"/>
      <c r="BK1682" s="12"/>
      <c r="BL1682" s="12"/>
      <c r="BM1682" s="12"/>
      <c r="BN1682" s="12"/>
      <c r="BO1682" s="12"/>
      <c r="BP1682" s="11"/>
      <c r="BQ1682" s="12"/>
      <c r="BR1682" s="7" t="str">
        <f t="shared" si="1"/>
        <v/>
      </c>
    </row>
    <row r="1683" ht="22.5" customHeight="1">
      <c r="A1683" s="8"/>
      <c r="B1683" s="9"/>
      <c r="C1683" s="10"/>
      <c r="D1683" s="12"/>
      <c r="E1683" s="12"/>
      <c r="F1683" s="12"/>
      <c r="G1683" s="12"/>
      <c r="H1683" s="12"/>
      <c r="I1683" s="12"/>
      <c r="J1683" s="12"/>
      <c r="K1683" s="12"/>
      <c r="L1683" s="12"/>
      <c r="M1683" s="12"/>
      <c r="N1683" s="12"/>
      <c r="O1683" s="12"/>
      <c r="P1683" s="12"/>
      <c r="Q1683" s="12"/>
      <c r="R1683" s="12"/>
      <c r="S1683" s="12"/>
      <c r="T1683" s="12"/>
      <c r="U1683" s="11"/>
      <c r="V1683" s="11"/>
      <c r="W1683" s="11"/>
      <c r="X1683" s="12"/>
      <c r="Y1683" s="12"/>
      <c r="Z1683" s="12"/>
      <c r="AA1683" s="11"/>
      <c r="AB1683" s="12"/>
      <c r="AC1683" s="12"/>
      <c r="AD1683" s="12"/>
      <c r="AE1683" s="12"/>
      <c r="AF1683" s="12"/>
      <c r="AG1683" s="12"/>
      <c r="AH1683" s="12"/>
      <c r="AI1683" s="12"/>
      <c r="AJ1683" s="12"/>
      <c r="AK1683" s="12"/>
      <c r="AL1683" s="12"/>
      <c r="AM1683" s="12"/>
      <c r="AN1683" s="12"/>
      <c r="AO1683" s="12"/>
      <c r="AP1683" s="12"/>
      <c r="AQ1683" s="12"/>
      <c r="AR1683" s="12"/>
      <c r="AS1683" s="12"/>
      <c r="AT1683" s="11"/>
      <c r="AU1683" s="11"/>
      <c r="AV1683" s="11"/>
      <c r="AW1683" s="12"/>
      <c r="AX1683" s="12"/>
      <c r="AY1683" s="12"/>
      <c r="AZ1683" s="11"/>
      <c r="BA1683" s="11"/>
      <c r="BB1683" s="11"/>
      <c r="BC1683" s="12"/>
      <c r="BD1683" s="12"/>
      <c r="BE1683" s="12"/>
      <c r="BF1683" s="12"/>
      <c r="BG1683" s="12"/>
      <c r="BH1683" s="12"/>
      <c r="BI1683" s="12"/>
      <c r="BJ1683" s="12"/>
      <c r="BK1683" s="12"/>
      <c r="BL1683" s="12"/>
      <c r="BM1683" s="12"/>
      <c r="BN1683" s="12"/>
      <c r="BO1683" s="12"/>
      <c r="BP1683" s="11"/>
      <c r="BQ1683" s="12"/>
      <c r="BR1683" s="7" t="str">
        <f t="shared" si="1"/>
        <v/>
      </c>
    </row>
    <row r="1684" ht="22.5" customHeight="1">
      <c r="A1684" s="8"/>
      <c r="B1684" s="9"/>
      <c r="C1684" s="10"/>
      <c r="D1684" s="12"/>
      <c r="E1684" s="12"/>
      <c r="F1684" s="12"/>
      <c r="G1684" s="12"/>
      <c r="H1684" s="12"/>
      <c r="I1684" s="12"/>
      <c r="J1684" s="12"/>
      <c r="K1684" s="12"/>
      <c r="L1684" s="12"/>
      <c r="M1684" s="12"/>
      <c r="N1684" s="12"/>
      <c r="O1684" s="12"/>
      <c r="P1684" s="12"/>
      <c r="Q1684" s="12"/>
      <c r="R1684" s="12"/>
      <c r="S1684" s="12"/>
      <c r="T1684" s="12"/>
      <c r="U1684" s="11"/>
      <c r="V1684" s="11"/>
      <c r="W1684" s="11"/>
      <c r="X1684" s="12"/>
      <c r="Y1684" s="12"/>
      <c r="Z1684" s="12"/>
      <c r="AA1684" s="11"/>
      <c r="AB1684" s="12"/>
      <c r="AC1684" s="12"/>
      <c r="AD1684" s="12"/>
      <c r="AE1684" s="12"/>
      <c r="AF1684" s="12"/>
      <c r="AG1684" s="12"/>
      <c r="AH1684" s="12"/>
      <c r="AI1684" s="12"/>
      <c r="AJ1684" s="12"/>
      <c r="AK1684" s="12"/>
      <c r="AL1684" s="12"/>
      <c r="AM1684" s="12"/>
      <c r="AN1684" s="12"/>
      <c r="AO1684" s="12"/>
      <c r="AP1684" s="12"/>
      <c r="AQ1684" s="12"/>
      <c r="AR1684" s="12"/>
      <c r="AS1684" s="12"/>
      <c r="AT1684" s="11"/>
      <c r="AU1684" s="11"/>
      <c r="AV1684" s="11"/>
      <c r="AW1684" s="12"/>
      <c r="AX1684" s="12"/>
      <c r="AY1684" s="12"/>
      <c r="AZ1684" s="11"/>
      <c r="BA1684" s="11"/>
      <c r="BB1684" s="11"/>
      <c r="BC1684" s="12"/>
      <c r="BD1684" s="12"/>
      <c r="BE1684" s="12"/>
      <c r="BF1684" s="12"/>
      <c r="BG1684" s="12"/>
      <c r="BH1684" s="12"/>
      <c r="BI1684" s="12"/>
      <c r="BJ1684" s="12"/>
      <c r="BK1684" s="12"/>
      <c r="BL1684" s="12"/>
      <c r="BM1684" s="12"/>
      <c r="BN1684" s="12"/>
      <c r="BO1684" s="12"/>
      <c r="BP1684" s="11"/>
      <c r="BQ1684" s="12"/>
      <c r="BR1684" s="7" t="str">
        <f t="shared" si="1"/>
        <v/>
      </c>
    </row>
    <row r="1685" ht="22.5" customHeight="1">
      <c r="A1685" s="8"/>
      <c r="B1685" s="9"/>
      <c r="C1685" s="10"/>
      <c r="D1685" s="12"/>
      <c r="E1685" s="12"/>
      <c r="F1685" s="12"/>
      <c r="G1685" s="12"/>
      <c r="H1685" s="12"/>
      <c r="I1685" s="12"/>
      <c r="J1685" s="12"/>
      <c r="K1685" s="12"/>
      <c r="L1685" s="12"/>
      <c r="M1685" s="12"/>
      <c r="N1685" s="12"/>
      <c r="O1685" s="12"/>
      <c r="P1685" s="12"/>
      <c r="Q1685" s="12"/>
      <c r="R1685" s="12"/>
      <c r="S1685" s="12"/>
      <c r="T1685" s="12"/>
      <c r="U1685" s="11"/>
      <c r="V1685" s="11"/>
      <c r="W1685" s="11"/>
      <c r="X1685" s="12"/>
      <c r="Y1685" s="12"/>
      <c r="Z1685" s="12"/>
      <c r="AA1685" s="11"/>
      <c r="AB1685" s="12"/>
      <c r="AC1685" s="12"/>
      <c r="AD1685" s="12"/>
      <c r="AE1685" s="12"/>
      <c r="AF1685" s="12"/>
      <c r="AG1685" s="12"/>
      <c r="AH1685" s="12"/>
      <c r="AI1685" s="12"/>
      <c r="AJ1685" s="12"/>
      <c r="AK1685" s="12"/>
      <c r="AL1685" s="12"/>
      <c r="AM1685" s="12"/>
      <c r="AN1685" s="12"/>
      <c r="AO1685" s="12"/>
      <c r="AP1685" s="12"/>
      <c r="AQ1685" s="12"/>
      <c r="AR1685" s="12"/>
      <c r="AS1685" s="12"/>
      <c r="AT1685" s="11"/>
      <c r="AU1685" s="11"/>
      <c r="AV1685" s="11"/>
      <c r="AW1685" s="12"/>
      <c r="AX1685" s="12"/>
      <c r="AY1685" s="12"/>
      <c r="AZ1685" s="11"/>
      <c r="BA1685" s="11"/>
      <c r="BB1685" s="11"/>
      <c r="BC1685" s="12"/>
      <c r="BD1685" s="12"/>
      <c r="BE1685" s="12"/>
      <c r="BF1685" s="12"/>
      <c r="BG1685" s="12"/>
      <c r="BH1685" s="12"/>
      <c r="BI1685" s="12"/>
      <c r="BJ1685" s="12"/>
      <c r="BK1685" s="12"/>
      <c r="BL1685" s="12"/>
      <c r="BM1685" s="12"/>
      <c r="BN1685" s="12"/>
      <c r="BO1685" s="12"/>
      <c r="BP1685" s="11"/>
      <c r="BQ1685" s="12"/>
      <c r="BR1685" s="7" t="str">
        <f t="shared" si="1"/>
        <v/>
      </c>
    </row>
    <row r="1686" ht="22.5" customHeight="1">
      <c r="A1686" s="8"/>
      <c r="B1686" s="9"/>
      <c r="C1686" s="10"/>
      <c r="D1686" s="12"/>
      <c r="E1686" s="12"/>
      <c r="F1686" s="12"/>
      <c r="G1686" s="12"/>
      <c r="H1686" s="12"/>
      <c r="I1686" s="12"/>
      <c r="J1686" s="12"/>
      <c r="K1686" s="12"/>
      <c r="L1686" s="12"/>
      <c r="M1686" s="12"/>
      <c r="N1686" s="12"/>
      <c r="O1686" s="12"/>
      <c r="P1686" s="12"/>
      <c r="Q1686" s="12"/>
      <c r="R1686" s="12"/>
      <c r="S1686" s="12"/>
      <c r="T1686" s="12"/>
      <c r="U1686" s="11"/>
      <c r="V1686" s="11"/>
      <c r="W1686" s="11"/>
      <c r="X1686" s="12"/>
      <c r="Y1686" s="12"/>
      <c r="Z1686" s="12"/>
      <c r="AA1686" s="11"/>
      <c r="AB1686" s="12"/>
      <c r="AC1686" s="12"/>
      <c r="AD1686" s="12"/>
      <c r="AE1686" s="12"/>
      <c r="AF1686" s="12"/>
      <c r="AG1686" s="12"/>
      <c r="AH1686" s="12"/>
      <c r="AI1686" s="12"/>
      <c r="AJ1686" s="12"/>
      <c r="AK1686" s="12"/>
      <c r="AL1686" s="12"/>
      <c r="AM1686" s="12"/>
      <c r="AN1686" s="12"/>
      <c r="AO1686" s="12"/>
      <c r="AP1686" s="12"/>
      <c r="AQ1686" s="12"/>
      <c r="AR1686" s="12"/>
      <c r="AS1686" s="12"/>
      <c r="AT1686" s="11"/>
      <c r="AU1686" s="11"/>
      <c r="AV1686" s="11"/>
      <c r="AW1686" s="12"/>
      <c r="AX1686" s="12"/>
      <c r="AY1686" s="12"/>
      <c r="AZ1686" s="11"/>
      <c r="BA1686" s="11"/>
      <c r="BB1686" s="11"/>
      <c r="BC1686" s="12"/>
      <c r="BD1686" s="12"/>
      <c r="BE1686" s="12"/>
      <c r="BF1686" s="12"/>
      <c r="BG1686" s="12"/>
      <c r="BH1686" s="12"/>
      <c r="BI1686" s="12"/>
      <c r="BJ1686" s="12"/>
      <c r="BK1686" s="12"/>
      <c r="BL1686" s="12"/>
      <c r="BM1686" s="12"/>
      <c r="BN1686" s="12"/>
      <c r="BO1686" s="12"/>
      <c r="BP1686" s="11"/>
      <c r="BQ1686" s="12"/>
      <c r="BR1686" s="7" t="str">
        <f t="shared" si="1"/>
        <v/>
      </c>
    </row>
    <row r="1687" ht="22.5" customHeight="1">
      <c r="A1687" s="8"/>
      <c r="B1687" s="9"/>
      <c r="C1687" s="10"/>
      <c r="D1687" s="12"/>
      <c r="E1687" s="12"/>
      <c r="F1687" s="12"/>
      <c r="G1687" s="12"/>
      <c r="H1687" s="12"/>
      <c r="I1687" s="12"/>
      <c r="J1687" s="12"/>
      <c r="K1687" s="12"/>
      <c r="L1687" s="12"/>
      <c r="M1687" s="12"/>
      <c r="N1687" s="12"/>
      <c r="O1687" s="12"/>
      <c r="P1687" s="12"/>
      <c r="Q1687" s="12"/>
      <c r="R1687" s="12"/>
      <c r="S1687" s="12"/>
      <c r="T1687" s="12"/>
      <c r="U1687" s="11"/>
      <c r="V1687" s="11"/>
      <c r="W1687" s="11"/>
      <c r="X1687" s="12"/>
      <c r="Y1687" s="12"/>
      <c r="Z1687" s="12"/>
      <c r="AA1687" s="11"/>
      <c r="AB1687" s="12"/>
      <c r="AC1687" s="12"/>
      <c r="AD1687" s="12"/>
      <c r="AE1687" s="12"/>
      <c r="AF1687" s="12"/>
      <c r="AG1687" s="12"/>
      <c r="AH1687" s="12"/>
      <c r="AI1687" s="12"/>
      <c r="AJ1687" s="12"/>
      <c r="AK1687" s="12"/>
      <c r="AL1687" s="12"/>
      <c r="AM1687" s="12"/>
      <c r="AN1687" s="12"/>
      <c r="AO1687" s="12"/>
      <c r="AP1687" s="12"/>
      <c r="AQ1687" s="12"/>
      <c r="AR1687" s="12"/>
      <c r="AS1687" s="12"/>
      <c r="AT1687" s="11"/>
      <c r="AU1687" s="11"/>
      <c r="AV1687" s="11"/>
      <c r="AW1687" s="12"/>
      <c r="AX1687" s="12"/>
      <c r="AY1687" s="12"/>
      <c r="AZ1687" s="11"/>
      <c r="BA1687" s="11"/>
      <c r="BB1687" s="11"/>
      <c r="BC1687" s="12"/>
      <c r="BD1687" s="12"/>
      <c r="BE1687" s="12"/>
      <c r="BF1687" s="12"/>
      <c r="BG1687" s="12"/>
      <c r="BH1687" s="12"/>
      <c r="BI1687" s="12"/>
      <c r="BJ1687" s="12"/>
      <c r="BK1687" s="12"/>
      <c r="BL1687" s="12"/>
      <c r="BM1687" s="12"/>
      <c r="BN1687" s="12"/>
      <c r="BO1687" s="12"/>
      <c r="BP1687" s="11"/>
      <c r="BQ1687" s="12"/>
      <c r="BR1687" s="7" t="str">
        <f t="shared" si="1"/>
        <v/>
      </c>
    </row>
    <row r="1688" ht="22.5" customHeight="1">
      <c r="A1688" s="8"/>
      <c r="B1688" s="9"/>
      <c r="C1688" s="10"/>
      <c r="D1688" s="12"/>
      <c r="E1688" s="12"/>
      <c r="F1688" s="12"/>
      <c r="G1688" s="12"/>
      <c r="H1688" s="12"/>
      <c r="I1688" s="12"/>
      <c r="J1688" s="12"/>
      <c r="K1688" s="12"/>
      <c r="L1688" s="12"/>
      <c r="M1688" s="12"/>
      <c r="N1688" s="12"/>
      <c r="O1688" s="12"/>
      <c r="P1688" s="12"/>
      <c r="Q1688" s="12"/>
      <c r="R1688" s="12"/>
      <c r="S1688" s="12"/>
      <c r="T1688" s="12"/>
      <c r="U1688" s="11"/>
      <c r="V1688" s="11"/>
      <c r="W1688" s="11"/>
      <c r="X1688" s="12"/>
      <c r="Y1688" s="12"/>
      <c r="Z1688" s="12"/>
      <c r="AA1688" s="11"/>
      <c r="AB1688" s="12"/>
      <c r="AC1688" s="12"/>
      <c r="AD1688" s="12"/>
      <c r="AE1688" s="12"/>
      <c r="AF1688" s="12"/>
      <c r="AG1688" s="12"/>
      <c r="AH1688" s="12"/>
      <c r="AI1688" s="12"/>
      <c r="AJ1688" s="12"/>
      <c r="AK1688" s="12"/>
      <c r="AL1688" s="12"/>
      <c r="AM1688" s="12"/>
      <c r="AN1688" s="12"/>
      <c r="AO1688" s="12"/>
      <c r="AP1688" s="12"/>
      <c r="AQ1688" s="12"/>
      <c r="AR1688" s="12"/>
      <c r="AS1688" s="12"/>
      <c r="AT1688" s="11"/>
      <c r="AU1688" s="11"/>
      <c r="AV1688" s="11"/>
      <c r="AW1688" s="12"/>
      <c r="AX1688" s="12"/>
      <c r="AY1688" s="12"/>
      <c r="AZ1688" s="11"/>
      <c r="BA1688" s="11"/>
      <c r="BB1688" s="11"/>
      <c r="BC1688" s="12"/>
      <c r="BD1688" s="12"/>
      <c r="BE1688" s="12"/>
      <c r="BF1688" s="12"/>
      <c r="BG1688" s="12"/>
      <c r="BH1688" s="12"/>
      <c r="BI1688" s="12"/>
      <c r="BJ1688" s="12"/>
      <c r="BK1688" s="12"/>
      <c r="BL1688" s="12"/>
      <c r="BM1688" s="12"/>
      <c r="BN1688" s="12"/>
      <c r="BO1688" s="12"/>
      <c r="BP1688" s="11"/>
      <c r="BQ1688" s="12"/>
      <c r="BR1688" s="7" t="str">
        <f t="shared" si="1"/>
        <v/>
      </c>
    </row>
    <row r="1689" ht="22.5" customHeight="1">
      <c r="A1689" s="8"/>
      <c r="B1689" s="9"/>
      <c r="C1689" s="10"/>
      <c r="D1689" s="12"/>
      <c r="E1689" s="12"/>
      <c r="F1689" s="12"/>
      <c r="G1689" s="12"/>
      <c r="H1689" s="12"/>
      <c r="I1689" s="12"/>
      <c r="J1689" s="12"/>
      <c r="K1689" s="12"/>
      <c r="L1689" s="12"/>
      <c r="M1689" s="12"/>
      <c r="N1689" s="12"/>
      <c r="O1689" s="12"/>
      <c r="P1689" s="12"/>
      <c r="Q1689" s="12"/>
      <c r="R1689" s="12"/>
      <c r="S1689" s="12"/>
      <c r="T1689" s="12"/>
      <c r="U1689" s="11"/>
      <c r="V1689" s="11"/>
      <c r="W1689" s="11"/>
      <c r="X1689" s="12"/>
      <c r="Y1689" s="12"/>
      <c r="Z1689" s="12"/>
      <c r="AA1689" s="11"/>
      <c r="AB1689" s="12"/>
      <c r="AC1689" s="12"/>
      <c r="AD1689" s="12"/>
      <c r="AE1689" s="12"/>
      <c r="AF1689" s="12"/>
      <c r="AG1689" s="12"/>
      <c r="AH1689" s="12"/>
      <c r="AI1689" s="12"/>
      <c r="AJ1689" s="12"/>
      <c r="AK1689" s="12"/>
      <c r="AL1689" s="12"/>
      <c r="AM1689" s="12"/>
      <c r="AN1689" s="12"/>
      <c r="AO1689" s="12"/>
      <c r="AP1689" s="12"/>
      <c r="AQ1689" s="12"/>
      <c r="AR1689" s="12"/>
      <c r="AS1689" s="12"/>
      <c r="AT1689" s="11"/>
      <c r="AU1689" s="11"/>
      <c r="AV1689" s="11"/>
      <c r="AW1689" s="12"/>
      <c r="AX1689" s="12"/>
      <c r="AY1689" s="12"/>
      <c r="AZ1689" s="11"/>
      <c r="BA1689" s="11"/>
      <c r="BB1689" s="11"/>
      <c r="BC1689" s="12"/>
      <c r="BD1689" s="12"/>
      <c r="BE1689" s="12"/>
      <c r="BF1689" s="12"/>
      <c r="BG1689" s="12"/>
      <c r="BH1689" s="12"/>
      <c r="BI1689" s="12"/>
      <c r="BJ1689" s="12"/>
      <c r="BK1689" s="12"/>
      <c r="BL1689" s="12"/>
      <c r="BM1689" s="12"/>
      <c r="BN1689" s="12"/>
      <c r="BO1689" s="12"/>
      <c r="BP1689" s="11"/>
      <c r="BQ1689" s="12"/>
      <c r="BR1689" s="7" t="str">
        <f t="shared" si="1"/>
        <v/>
      </c>
    </row>
    <row r="1690" ht="22.5" customHeight="1">
      <c r="A1690" s="8"/>
      <c r="B1690" s="9"/>
      <c r="C1690" s="10"/>
      <c r="D1690" s="12"/>
      <c r="E1690" s="12"/>
      <c r="F1690" s="12"/>
      <c r="G1690" s="12"/>
      <c r="H1690" s="12"/>
      <c r="I1690" s="12"/>
      <c r="J1690" s="12"/>
      <c r="K1690" s="12"/>
      <c r="L1690" s="12"/>
      <c r="M1690" s="12"/>
      <c r="N1690" s="12"/>
      <c r="O1690" s="12"/>
      <c r="P1690" s="12"/>
      <c r="Q1690" s="12"/>
      <c r="R1690" s="12"/>
      <c r="S1690" s="12"/>
      <c r="T1690" s="12"/>
      <c r="U1690" s="11"/>
      <c r="V1690" s="11"/>
      <c r="W1690" s="11"/>
      <c r="X1690" s="12"/>
      <c r="Y1690" s="12"/>
      <c r="Z1690" s="12"/>
      <c r="AA1690" s="11"/>
      <c r="AB1690" s="12"/>
      <c r="AC1690" s="12"/>
      <c r="AD1690" s="12"/>
      <c r="AE1690" s="12"/>
      <c r="AF1690" s="12"/>
      <c r="AG1690" s="12"/>
      <c r="AH1690" s="12"/>
      <c r="AI1690" s="12"/>
      <c r="AJ1690" s="12"/>
      <c r="AK1690" s="12"/>
      <c r="AL1690" s="12"/>
      <c r="AM1690" s="12"/>
      <c r="AN1690" s="12"/>
      <c r="AO1690" s="12"/>
      <c r="AP1690" s="12"/>
      <c r="AQ1690" s="12"/>
      <c r="AR1690" s="12"/>
      <c r="AS1690" s="12"/>
      <c r="AT1690" s="11"/>
      <c r="AU1690" s="11"/>
      <c r="AV1690" s="11"/>
      <c r="AW1690" s="12"/>
      <c r="AX1690" s="12"/>
      <c r="AY1690" s="12"/>
      <c r="AZ1690" s="11"/>
      <c r="BA1690" s="11"/>
      <c r="BB1690" s="11"/>
      <c r="BC1690" s="12"/>
      <c r="BD1690" s="12"/>
      <c r="BE1690" s="12"/>
      <c r="BF1690" s="12"/>
      <c r="BG1690" s="12"/>
      <c r="BH1690" s="12"/>
      <c r="BI1690" s="12"/>
      <c r="BJ1690" s="12"/>
      <c r="BK1690" s="12"/>
      <c r="BL1690" s="12"/>
      <c r="BM1690" s="12"/>
      <c r="BN1690" s="12"/>
      <c r="BO1690" s="12"/>
      <c r="BP1690" s="11"/>
      <c r="BQ1690" s="12"/>
      <c r="BR1690" s="7" t="str">
        <f t="shared" si="1"/>
        <v/>
      </c>
    </row>
    <row r="1691" ht="22.5" customHeight="1">
      <c r="A1691" s="8"/>
      <c r="B1691" s="9"/>
      <c r="C1691" s="10"/>
      <c r="D1691" s="12"/>
      <c r="E1691" s="12"/>
      <c r="F1691" s="12"/>
      <c r="G1691" s="12"/>
      <c r="H1691" s="12"/>
      <c r="I1691" s="12"/>
      <c r="J1691" s="12"/>
      <c r="K1691" s="12"/>
      <c r="L1691" s="12"/>
      <c r="M1691" s="12"/>
      <c r="N1691" s="12"/>
      <c r="O1691" s="12"/>
      <c r="P1691" s="12"/>
      <c r="Q1691" s="12"/>
      <c r="R1691" s="12"/>
      <c r="S1691" s="12"/>
      <c r="T1691" s="12"/>
      <c r="U1691" s="11"/>
      <c r="V1691" s="11"/>
      <c r="W1691" s="11"/>
      <c r="X1691" s="12"/>
      <c r="Y1691" s="12"/>
      <c r="Z1691" s="12"/>
      <c r="AA1691" s="11"/>
      <c r="AB1691" s="12"/>
      <c r="AC1691" s="12"/>
      <c r="AD1691" s="12"/>
      <c r="AE1691" s="12"/>
      <c r="AF1691" s="12"/>
      <c r="AG1691" s="12"/>
      <c r="AH1691" s="12"/>
      <c r="AI1691" s="12"/>
      <c r="AJ1691" s="12"/>
      <c r="AK1691" s="12"/>
      <c r="AL1691" s="12"/>
      <c r="AM1691" s="12"/>
      <c r="AN1691" s="12"/>
      <c r="AO1691" s="12"/>
      <c r="AP1691" s="12"/>
      <c r="AQ1691" s="12"/>
      <c r="AR1691" s="12"/>
      <c r="AS1691" s="12"/>
      <c r="AT1691" s="11"/>
      <c r="AU1691" s="11"/>
      <c r="AV1691" s="11"/>
      <c r="AW1691" s="12"/>
      <c r="AX1691" s="12"/>
      <c r="AY1691" s="12"/>
      <c r="AZ1691" s="11"/>
      <c r="BA1691" s="11"/>
      <c r="BB1691" s="11"/>
      <c r="BC1691" s="12"/>
      <c r="BD1691" s="12"/>
      <c r="BE1691" s="12"/>
      <c r="BF1691" s="12"/>
      <c r="BG1691" s="12"/>
      <c r="BH1691" s="12"/>
      <c r="BI1691" s="12"/>
      <c r="BJ1691" s="12"/>
      <c r="BK1691" s="12"/>
      <c r="BL1691" s="12"/>
      <c r="BM1691" s="12"/>
      <c r="BN1691" s="12"/>
      <c r="BO1691" s="12"/>
      <c r="BP1691" s="11"/>
      <c r="BQ1691" s="12"/>
      <c r="BR1691" s="7" t="str">
        <f t="shared" si="1"/>
        <v/>
      </c>
    </row>
    <row r="1692" ht="22.5" customHeight="1">
      <c r="A1692" s="8"/>
      <c r="B1692" s="9"/>
      <c r="C1692" s="10"/>
      <c r="D1692" s="12"/>
      <c r="E1692" s="12"/>
      <c r="F1692" s="12"/>
      <c r="G1692" s="12"/>
      <c r="H1692" s="12"/>
      <c r="I1692" s="12"/>
      <c r="J1692" s="12"/>
      <c r="K1692" s="12"/>
      <c r="L1692" s="12"/>
      <c r="M1692" s="12"/>
      <c r="N1692" s="12"/>
      <c r="O1692" s="12"/>
      <c r="P1692" s="12"/>
      <c r="Q1692" s="12"/>
      <c r="R1692" s="12"/>
      <c r="S1692" s="12"/>
      <c r="T1692" s="12"/>
      <c r="U1692" s="11"/>
      <c r="V1692" s="11"/>
      <c r="W1692" s="11"/>
      <c r="X1692" s="12"/>
      <c r="Y1692" s="12"/>
      <c r="Z1692" s="12"/>
      <c r="AA1692" s="11"/>
      <c r="AB1692" s="12"/>
      <c r="AC1692" s="12"/>
      <c r="AD1692" s="12"/>
      <c r="AE1692" s="12"/>
      <c r="AF1692" s="12"/>
      <c r="AG1692" s="12"/>
      <c r="AH1692" s="12"/>
      <c r="AI1692" s="12"/>
      <c r="AJ1692" s="12"/>
      <c r="AK1692" s="12"/>
      <c r="AL1692" s="12"/>
      <c r="AM1692" s="12"/>
      <c r="AN1692" s="12"/>
      <c r="AO1692" s="12"/>
      <c r="AP1692" s="12"/>
      <c r="AQ1692" s="12"/>
      <c r="AR1692" s="12"/>
      <c r="AS1692" s="12"/>
      <c r="AT1692" s="11"/>
      <c r="AU1692" s="11"/>
      <c r="AV1692" s="11"/>
      <c r="AW1692" s="12"/>
      <c r="AX1692" s="12"/>
      <c r="AY1692" s="12"/>
      <c r="AZ1692" s="11"/>
      <c r="BA1692" s="11"/>
      <c r="BB1692" s="11"/>
      <c r="BC1692" s="12"/>
      <c r="BD1692" s="12"/>
      <c r="BE1692" s="12"/>
      <c r="BF1692" s="12"/>
      <c r="BG1692" s="12"/>
      <c r="BH1692" s="12"/>
      <c r="BI1692" s="12"/>
      <c r="BJ1692" s="12"/>
      <c r="BK1692" s="12"/>
      <c r="BL1692" s="12"/>
      <c r="BM1692" s="12"/>
      <c r="BN1692" s="12"/>
      <c r="BO1692" s="12"/>
      <c r="BP1692" s="11"/>
      <c r="BQ1692" s="12"/>
      <c r="BR1692" s="7" t="str">
        <f t="shared" si="1"/>
        <v/>
      </c>
    </row>
    <row r="1693" ht="22.5" customHeight="1">
      <c r="A1693" s="8"/>
      <c r="B1693" s="9"/>
      <c r="C1693" s="10"/>
      <c r="D1693" s="12"/>
      <c r="E1693" s="12"/>
      <c r="F1693" s="12"/>
      <c r="G1693" s="12"/>
      <c r="H1693" s="12"/>
      <c r="I1693" s="12"/>
      <c r="J1693" s="12"/>
      <c r="K1693" s="12"/>
      <c r="L1693" s="12"/>
      <c r="M1693" s="12"/>
      <c r="N1693" s="12"/>
      <c r="O1693" s="12"/>
      <c r="P1693" s="12"/>
      <c r="Q1693" s="12"/>
      <c r="R1693" s="12"/>
      <c r="S1693" s="12"/>
      <c r="T1693" s="12"/>
      <c r="U1693" s="11"/>
      <c r="V1693" s="11"/>
      <c r="W1693" s="11"/>
      <c r="X1693" s="12"/>
      <c r="Y1693" s="12"/>
      <c r="Z1693" s="12"/>
      <c r="AA1693" s="11"/>
      <c r="AB1693" s="12"/>
      <c r="AC1693" s="12"/>
      <c r="AD1693" s="12"/>
      <c r="AE1693" s="12"/>
      <c r="AF1693" s="12"/>
      <c r="AG1693" s="12"/>
      <c r="AH1693" s="12"/>
      <c r="AI1693" s="12"/>
      <c r="AJ1693" s="12"/>
      <c r="AK1693" s="12"/>
      <c r="AL1693" s="12"/>
      <c r="AM1693" s="12"/>
      <c r="AN1693" s="12"/>
      <c r="AO1693" s="12"/>
      <c r="AP1693" s="12"/>
      <c r="AQ1693" s="12"/>
      <c r="AR1693" s="12"/>
      <c r="AS1693" s="12"/>
      <c r="AT1693" s="11"/>
      <c r="AU1693" s="11"/>
      <c r="AV1693" s="11"/>
      <c r="AW1693" s="12"/>
      <c r="AX1693" s="12"/>
      <c r="AY1693" s="12"/>
      <c r="AZ1693" s="11"/>
      <c r="BA1693" s="11"/>
      <c r="BB1693" s="11"/>
      <c r="BC1693" s="12"/>
      <c r="BD1693" s="12"/>
      <c r="BE1693" s="12"/>
      <c r="BF1693" s="12"/>
      <c r="BG1693" s="12"/>
      <c r="BH1693" s="12"/>
      <c r="BI1693" s="12"/>
      <c r="BJ1693" s="12"/>
      <c r="BK1693" s="12"/>
      <c r="BL1693" s="12"/>
      <c r="BM1693" s="12"/>
      <c r="BN1693" s="12"/>
      <c r="BO1693" s="12"/>
      <c r="BP1693" s="11"/>
      <c r="BQ1693" s="12"/>
      <c r="BR1693" s="7" t="str">
        <f t="shared" si="1"/>
        <v/>
      </c>
    </row>
    <row r="1694" ht="22.5" customHeight="1">
      <c r="A1694" s="8"/>
      <c r="B1694" s="9"/>
      <c r="C1694" s="10"/>
      <c r="D1694" s="12"/>
      <c r="E1694" s="12"/>
      <c r="F1694" s="12"/>
      <c r="G1694" s="12"/>
      <c r="H1694" s="12"/>
      <c r="I1694" s="12"/>
      <c r="J1694" s="12"/>
      <c r="K1694" s="12"/>
      <c r="L1694" s="12"/>
      <c r="M1694" s="12"/>
      <c r="N1694" s="12"/>
      <c r="O1694" s="12"/>
      <c r="P1694" s="12"/>
      <c r="Q1694" s="12"/>
      <c r="R1694" s="12"/>
      <c r="S1694" s="12"/>
      <c r="T1694" s="12"/>
      <c r="U1694" s="11"/>
      <c r="V1694" s="11"/>
      <c r="W1694" s="11"/>
      <c r="X1694" s="12"/>
      <c r="Y1694" s="12"/>
      <c r="Z1694" s="12"/>
      <c r="AA1694" s="11"/>
      <c r="AB1694" s="12"/>
      <c r="AC1694" s="12"/>
      <c r="AD1694" s="12"/>
      <c r="AE1694" s="12"/>
      <c r="AF1694" s="12"/>
      <c r="AG1694" s="12"/>
      <c r="AH1694" s="12"/>
      <c r="AI1694" s="12"/>
      <c r="AJ1694" s="12"/>
      <c r="AK1694" s="12"/>
      <c r="AL1694" s="12"/>
      <c r="AM1694" s="12"/>
      <c r="AN1694" s="12"/>
      <c r="AO1694" s="12"/>
      <c r="AP1694" s="12"/>
      <c r="AQ1694" s="12"/>
      <c r="AR1694" s="12"/>
      <c r="AS1694" s="12"/>
      <c r="AT1694" s="11"/>
      <c r="AU1694" s="11"/>
      <c r="AV1694" s="11"/>
      <c r="AW1694" s="12"/>
      <c r="AX1694" s="12"/>
      <c r="AY1694" s="12"/>
      <c r="AZ1694" s="11"/>
      <c r="BA1694" s="11"/>
      <c r="BB1694" s="11"/>
      <c r="BC1694" s="12"/>
      <c r="BD1694" s="12"/>
      <c r="BE1694" s="12"/>
      <c r="BF1694" s="12"/>
      <c r="BG1694" s="12"/>
      <c r="BH1694" s="12"/>
      <c r="BI1694" s="12"/>
      <c r="BJ1694" s="12"/>
      <c r="BK1694" s="12"/>
      <c r="BL1694" s="12"/>
      <c r="BM1694" s="12"/>
      <c r="BN1694" s="12"/>
      <c r="BO1694" s="12"/>
      <c r="BP1694" s="11"/>
      <c r="BQ1694" s="12"/>
      <c r="BR1694" s="7" t="str">
        <f t="shared" si="1"/>
        <v/>
      </c>
    </row>
    <row r="1695" ht="22.5" customHeight="1">
      <c r="A1695" s="8"/>
      <c r="B1695" s="9"/>
      <c r="C1695" s="10"/>
      <c r="D1695" s="12"/>
      <c r="E1695" s="12"/>
      <c r="F1695" s="12"/>
      <c r="G1695" s="12"/>
      <c r="H1695" s="12"/>
      <c r="I1695" s="12"/>
      <c r="J1695" s="12"/>
      <c r="K1695" s="12"/>
      <c r="L1695" s="12"/>
      <c r="M1695" s="12"/>
      <c r="N1695" s="12"/>
      <c r="O1695" s="12"/>
      <c r="P1695" s="12"/>
      <c r="Q1695" s="12"/>
      <c r="R1695" s="12"/>
      <c r="S1695" s="12"/>
      <c r="T1695" s="12"/>
      <c r="U1695" s="11"/>
      <c r="V1695" s="11"/>
      <c r="W1695" s="11"/>
      <c r="X1695" s="12"/>
      <c r="Y1695" s="12"/>
      <c r="Z1695" s="12"/>
      <c r="AA1695" s="11"/>
      <c r="AB1695" s="12"/>
      <c r="AC1695" s="12"/>
      <c r="AD1695" s="12"/>
      <c r="AE1695" s="12"/>
      <c r="AF1695" s="12"/>
      <c r="AG1695" s="12"/>
      <c r="AH1695" s="12"/>
      <c r="AI1695" s="12"/>
      <c r="AJ1695" s="12"/>
      <c r="AK1695" s="12"/>
      <c r="AL1695" s="12"/>
      <c r="AM1695" s="12"/>
      <c r="AN1695" s="12"/>
      <c r="AO1695" s="12"/>
      <c r="AP1695" s="12"/>
      <c r="AQ1695" s="12"/>
      <c r="AR1695" s="12"/>
      <c r="AS1695" s="12"/>
      <c r="AT1695" s="11"/>
      <c r="AU1695" s="11"/>
      <c r="AV1695" s="11"/>
      <c r="AW1695" s="12"/>
      <c r="AX1695" s="12"/>
      <c r="AY1695" s="12"/>
      <c r="AZ1695" s="11"/>
      <c r="BA1695" s="11"/>
      <c r="BB1695" s="11"/>
      <c r="BC1695" s="12"/>
      <c r="BD1695" s="12"/>
      <c r="BE1695" s="12"/>
      <c r="BF1695" s="12"/>
      <c r="BG1695" s="12"/>
      <c r="BH1695" s="12"/>
      <c r="BI1695" s="12"/>
      <c r="BJ1695" s="12"/>
      <c r="BK1695" s="12"/>
      <c r="BL1695" s="12"/>
      <c r="BM1695" s="12"/>
      <c r="BN1695" s="12"/>
      <c r="BO1695" s="12"/>
      <c r="BP1695" s="11"/>
      <c r="BQ1695" s="12"/>
      <c r="BR1695" s="7" t="str">
        <f t="shared" si="1"/>
        <v/>
      </c>
    </row>
    <row r="1696" ht="22.5" customHeight="1">
      <c r="A1696" s="8"/>
      <c r="B1696" s="9"/>
      <c r="C1696" s="10"/>
      <c r="D1696" s="12"/>
      <c r="E1696" s="12"/>
      <c r="F1696" s="12"/>
      <c r="G1696" s="12"/>
      <c r="H1696" s="12"/>
      <c r="I1696" s="12"/>
      <c r="J1696" s="12"/>
      <c r="K1696" s="12"/>
      <c r="L1696" s="12"/>
      <c r="M1696" s="12"/>
      <c r="N1696" s="12"/>
      <c r="O1696" s="12"/>
      <c r="P1696" s="12"/>
      <c r="Q1696" s="12"/>
      <c r="R1696" s="12"/>
      <c r="S1696" s="12"/>
      <c r="T1696" s="12"/>
      <c r="U1696" s="11"/>
      <c r="V1696" s="11"/>
      <c r="W1696" s="11"/>
      <c r="X1696" s="12"/>
      <c r="Y1696" s="12"/>
      <c r="Z1696" s="12"/>
      <c r="AA1696" s="11"/>
      <c r="AB1696" s="12"/>
      <c r="AC1696" s="12"/>
      <c r="AD1696" s="12"/>
      <c r="AE1696" s="12"/>
      <c r="AF1696" s="12"/>
      <c r="AG1696" s="12"/>
      <c r="AH1696" s="12"/>
      <c r="AI1696" s="12"/>
      <c r="AJ1696" s="12"/>
      <c r="AK1696" s="12"/>
      <c r="AL1696" s="12"/>
      <c r="AM1696" s="12"/>
      <c r="AN1696" s="12"/>
      <c r="AO1696" s="12"/>
      <c r="AP1696" s="12"/>
      <c r="AQ1696" s="12"/>
      <c r="AR1696" s="12"/>
      <c r="AS1696" s="12"/>
      <c r="AT1696" s="11"/>
      <c r="AU1696" s="11"/>
      <c r="AV1696" s="11"/>
      <c r="AW1696" s="12"/>
      <c r="AX1696" s="12"/>
      <c r="AY1696" s="12"/>
      <c r="AZ1696" s="11"/>
      <c r="BA1696" s="11"/>
      <c r="BB1696" s="11"/>
      <c r="BC1696" s="12"/>
      <c r="BD1696" s="12"/>
      <c r="BE1696" s="12"/>
      <c r="BF1696" s="12"/>
      <c r="BG1696" s="12"/>
      <c r="BH1696" s="12"/>
      <c r="BI1696" s="12"/>
      <c r="BJ1696" s="12"/>
      <c r="BK1696" s="12"/>
      <c r="BL1696" s="12"/>
      <c r="BM1696" s="12"/>
      <c r="BN1696" s="12"/>
      <c r="BO1696" s="12"/>
      <c r="BP1696" s="11"/>
      <c r="BQ1696" s="12"/>
      <c r="BR1696" s="7" t="str">
        <f t="shared" si="1"/>
        <v/>
      </c>
    </row>
    <row r="1697" ht="22.5" customHeight="1">
      <c r="A1697" s="8"/>
      <c r="B1697" s="9"/>
      <c r="C1697" s="10"/>
      <c r="D1697" s="12"/>
      <c r="E1697" s="12"/>
      <c r="F1697" s="12"/>
      <c r="G1697" s="12"/>
      <c r="H1697" s="12"/>
      <c r="I1697" s="12"/>
      <c r="J1697" s="12"/>
      <c r="K1697" s="12"/>
      <c r="L1697" s="12"/>
      <c r="M1697" s="12"/>
      <c r="N1697" s="12"/>
      <c r="O1697" s="12"/>
      <c r="P1697" s="12"/>
      <c r="Q1697" s="12"/>
      <c r="R1697" s="12"/>
      <c r="S1697" s="12"/>
      <c r="T1697" s="12"/>
      <c r="U1697" s="11"/>
      <c r="V1697" s="11"/>
      <c r="W1697" s="11"/>
      <c r="X1697" s="12"/>
      <c r="Y1697" s="12"/>
      <c r="Z1697" s="12"/>
      <c r="AA1697" s="11"/>
      <c r="AB1697" s="12"/>
      <c r="AC1697" s="12"/>
      <c r="AD1697" s="12"/>
      <c r="AE1697" s="12"/>
      <c r="AF1697" s="12"/>
      <c r="AG1697" s="12"/>
      <c r="AH1697" s="12"/>
      <c r="AI1697" s="12"/>
      <c r="AJ1697" s="12"/>
      <c r="AK1697" s="12"/>
      <c r="AL1697" s="12"/>
      <c r="AM1697" s="12"/>
      <c r="AN1697" s="12"/>
      <c r="AO1697" s="12"/>
      <c r="AP1697" s="12"/>
      <c r="AQ1697" s="12"/>
      <c r="AR1697" s="12"/>
      <c r="AS1697" s="12"/>
      <c r="AT1697" s="11"/>
      <c r="AU1697" s="11"/>
      <c r="AV1697" s="11"/>
      <c r="AW1697" s="12"/>
      <c r="AX1697" s="12"/>
      <c r="AY1697" s="12"/>
      <c r="AZ1697" s="11"/>
      <c r="BA1697" s="11"/>
      <c r="BB1697" s="11"/>
      <c r="BC1697" s="12"/>
      <c r="BD1697" s="12"/>
      <c r="BE1697" s="12"/>
      <c r="BF1697" s="12"/>
      <c r="BG1697" s="12"/>
      <c r="BH1697" s="12"/>
      <c r="BI1697" s="12"/>
      <c r="BJ1697" s="12"/>
      <c r="BK1697" s="12"/>
      <c r="BL1697" s="12"/>
      <c r="BM1697" s="12"/>
      <c r="BN1697" s="12"/>
      <c r="BO1697" s="12"/>
      <c r="BP1697" s="11"/>
      <c r="BQ1697" s="12"/>
      <c r="BR1697" s="7" t="str">
        <f t="shared" si="1"/>
        <v/>
      </c>
    </row>
    <row r="1698" ht="22.5" customHeight="1">
      <c r="A1698" s="8"/>
      <c r="B1698" s="9"/>
      <c r="C1698" s="10"/>
      <c r="D1698" s="12"/>
      <c r="E1698" s="12"/>
      <c r="F1698" s="12"/>
      <c r="G1698" s="12"/>
      <c r="H1698" s="12"/>
      <c r="I1698" s="12"/>
      <c r="J1698" s="12"/>
      <c r="K1698" s="12"/>
      <c r="L1698" s="12"/>
      <c r="M1698" s="12"/>
      <c r="N1698" s="12"/>
      <c r="O1698" s="12"/>
      <c r="P1698" s="12"/>
      <c r="Q1698" s="12"/>
      <c r="R1698" s="12"/>
      <c r="S1698" s="12"/>
      <c r="T1698" s="12"/>
      <c r="U1698" s="11"/>
      <c r="V1698" s="11"/>
      <c r="W1698" s="11"/>
      <c r="X1698" s="12"/>
      <c r="Y1698" s="12"/>
      <c r="Z1698" s="12"/>
      <c r="AA1698" s="11"/>
      <c r="AB1698" s="12"/>
      <c r="AC1698" s="12"/>
      <c r="AD1698" s="12"/>
      <c r="AE1698" s="12"/>
      <c r="AF1698" s="12"/>
      <c r="AG1698" s="12"/>
      <c r="AH1698" s="12"/>
      <c r="AI1698" s="12"/>
      <c r="AJ1698" s="12"/>
      <c r="AK1698" s="12"/>
      <c r="AL1698" s="12"/>
      <c r="AM1698" s="12"/>
      <c r="AN1698" s="12"/>
      <c r="AO1698" s="12"/>
      <c r="AP1698" s="12"/>
      <c r="AQ1698" s="12"/>
      <c r="AR1698" s="12"/>
      <c r="AS1698" s="12"/>
      <c r="AT1698" s="11"/>
      <c r="AU1698" s="11"/>
      <c r="AV1698" s="11"/>
      <c r="AW1698" s="12"/>
      <c r="AX1698" s="12"/>
      <c r="AY1698" s="12"/>
      <c r="AZ1698" s="11"/>
      <c r="BA1698" s="11"/>
      <c r="BB1698" s="11"/>
      <c r="BC1698" s="12"/>
      <c r="BD1698" s="12"/>
      <c r="BE1698" s="12"/>
      <c r="BF1698" s="12"/>
      <c r="BG1698" s="12"/>
      <c r="BH1698" s="12"/>
      <c r="BI1698" s="12"/>
      <c r="BJ1698" s="12"/>
      <c r="BK1698" s="12"/>
      <c r="BL1698" s="12"/>
      <c r="BM1698" s="12"/>
      <c r="BN1698" s="12"/>
      <c r="BO1698" s="12"/>
      <c r="BP1698" s="11"/>
      <c r="BQ1698" s="12"/>
      <c r="BR1698" s="7" t="str">
        <f t="shared" si="1"/>
        <v/>
      </c>
    </row>
    <row r="1699" ht="22.5" customHeight="1">
      <c r="A1699" s="8"/>
      <c r="B1699" s="9"/>
      <c r="C1699" s="10"/>
      <c r="D1699" s="12"/>
      <c r="E1699" s="12"/>
      <c r="F1699" s="12"/>
      <c r="G1699" s="12"/>
      <c r="H1699" s="12"/>
      <c r="I1699" s="12"/>
      <c r="J1699" s="12"/>
      <c r="K1699" s="12"/>
      <c r="L1699" s="12"/>
      <c r="M1699" s="12"/>
      <c r="N1699" s="12"/>
      <c r="O1699" s="12"/>
      <c r="P1699" s="12"/>
      <c r="Q1699" s="12"/>
      <c r="R1699" s="12"/>
      <c r="S1699" s="12"/>
      <c r="T1699" s="12"/>
      <c r="U1699" s="11"/>
      <c r="V1699" s="11"/>
      <c r="W1699" s="11"/>
      <c r="X1699" s="12"/>
      <c r="Y1699" s="12"/>
      <c r="Z1699" s="12"/>
      <c r="AA1699" s="11"/>
      <c r="AB1699" s="12"/>
      <c r="AC1699" s="12"/>
      <c r="AD1699" s="12"/>
      <c r="AE1699" s="12"/>
      <c r="AF1699" s="12"/>
      <c r="AG1699" s="12"/>
      <c r="AH1699" s="12"/>
      <c r="AI1699" s="12"/>
      <c r="AJ1699" s="12"/>
      <c r="AK1699" s="12"/>
      <c r="AL1699" s="12"/>
      <c r="AM1699" s="12"/>
      <c r="AN1699" s="12"/>
      <c r="AO1699" s="12"/>
      <c r="AP1699" s="12"/>
      <c r="AQ1699" s="12"/>
      <c r="AR1699" s="12"/>
      <c r="AS1699" s="12"/>
      <c r="AT1699" s="11"/>
      <c r="AU1699" s="11"/>
      <c r="AV1699" s="11"/>
      <c r="AW1699" s="12"/>
      <c r="AX1699" s="12"/>
      <c r="AY1699" s="12"/>
      <c r="AZ1699" s="11"/>
      <c r="BA1699" s="11"/>
      <c r="BB1699" s="11"/>
      <c r="BC1699" s="12"/>
      <c r="BD1699" s="12"/>
      <c r="BE1699" s="12"/>
      <c r="BF1699" s="12"/>
      <c r="BG1699" s="12"/>
      <c r="BH1699" s="12"/>
      <c r="BI1699" s="12"/>
      <c r="BJ1699" s="12"/>
      <c r="BK1699" s="12"/>
      <c r="BL1699" s="12"/>
      <c r="BM1699" s="12"/>
      <c r="BN1699" s="12"/>
      <c r="BO1699" s="12"/>
      <c r="BP1699" s="11"/>
      <c r="BQ1699" s="12"/>
      <c r="BR1699" s="7" t="str">
        <f t="shared" si="1"/>
        <v/>
      </c>
    </row>
    <row r="1700" ht="22.5" customHeight="1">
      <c r="A1700" s="8"/>
      <c r="B1700" s="9"/>
      <c r="C1700" s="10"/>
      <c r="D1700" s="12"/>
      <c r="E1700" s="12"/>
      <c r="F1700" s="12"/>
      <c r="G1700" s="12"/>
      <c r="H1700" s="12"/>
      <c r="I1700" s="12"/>
      <c r="J1700" s="12"/>
      <c r="K1700" s="12"/>
      <c r="L1700" s="12"/>
      <c r="M1700" s="12"/>
      <c r="N1700" s="12"/>
      <c r="O1700" s="12"/>
      <c r="P1700" s="12"/>
      <c r="Q1700" s="12"/>
      <c r="R1700" s="12"/>
      <c r="S1700" s="12"/>
      <c r="T1700" s="12"/>
      <c r="U1700" s="11"/>
      <c r="V1700" s="11"/>
      <c r="W1700" s="11"/>
      <c r="X1700" s="12"/>
      <c r="Y1700" s="12"/>
      <c r="Z1700" s="12"/>
      <c r="AA1700" s="11"/>
      <c r="AB1700" s="12"/>
      <c r="AC1700" s="12"/>
      <c r="AD1700" s="12"/>
      <c r="AE1700" s="12"/>
      <c r="AF1700" s="12"/>
      <c r="AG1700" s="12"/>
      <c r="AH1700" s="12"/>
      <c r="AI1700" s="12"/>
      <c r="AJ1700" s="12"/>
      <c r="AK1700" s="12"/>
      <c r="AL1700" s="12"/>
      <c r="AM1700" s="12"/>
      <c r="AN1700" s="12"/>
      <c r="AO1700" s="12"/>
      <c r="AP1700" s="12"/>
      <c r="AQ1700" s="12"/>
      <c r="AR1700" s="12"/>
      <c r="AS1700" s="12"/>
      <c r="AT1700" s="11"/>
      <c r="AU1700" s="11"/>
      <c r="AV1700" s="11"/>
      <c r="AW1700" s="12"/>
      <c r="AX1700" s="12"/>
      <c r="AY1700" s="12"/>
      <c r="AZ1700" s="11"/>
      <c r="BA1700" s="11"/>
      <c r="BB1700" s="11"/>
      <c r="BC1700" s="12"/>
      <c r="BD1700" s="12"/>
      <c r="BE1700" s="12"/>
      <c r="BF1700" s="12"/>
      <c r="BG1700" s="12"/>
      <c r="BH1700" s="12"/>
      <c r="BI1700" s="12"/>
      <c r="BJ1700" s="12"/>
      <c r="BK1700" s="12"/>
      <c r="BL1700" s="12"/>
      <c r="BM1700" s="12"/>
      <c r="BN1700" s="12"/>
      <c r="BO1700" s="12"/>
      <c r="BP1700" s="11"/>
      <c r="BQ1700" s="12"/>
      <c r="BR1700" s="7" t="str">
        <f t="shared" si="1"/>
        <v/>
      </c>
    </row>
    <row r="1701" ht="22.5" customHeight="1">
      <c r="A1701" s="8"/>
      <c r="B1701" s="9"/>
      <c r="C1701" s="10"/>
      <c r="D1701" s="12"/>
      <c r="E1701" s="12"/>
      <c r="F1701" s="12"/>
      <c r="G1701" s="12"/>
      <c r="H1701" s="12"/>
      <c r="I1701" s="12"/>
      <c r="J1701" s="12"/>
      <c r="K1701" s="12"/>
      <c r="L1701" s="12"/>
      <c r="M1701" s="12"/>
      <c r="N1701" s="12"/>
      <c r="O1701" s="12"/>
      <c r="P1701" s="12"/>
      <c r="Q1701" s="12"/>
      <c r="R1701" s="12"/>
      <c r="S1701" s="12"/>
      <c r="T1701" s="12"/>
      <c r="U1701" s="11"/>
      <c r="V1701" s="11"/>
      <c r="W1701" s="11"/>
      <c r="X1701" s="12"/>
      <c r="Y1701" s="12"/>
      <c r="Z1701" s="12"/>
      <c r="AA1701" s="11"/>
      <c r="AB1701" s="12"/>
      <c r="AC1701" s="12"/>
      <c r="AD1701" s="12"/>
      <c r="AE1701" s="12"/>
      <c r="AF1701" s="12"/>
      <c r="AG1701" s="12"/>
      <c r="AH1701" s="12"/>
      <c r="AI1701" s="12"/>
      <c r="AJ1701" s="12"/>
      <c r="AK1701" s="12"/>
      <c r="AL1701" s="12"/>
      <c r="AM1701" s="12"/>
      <c r="AN1701" s="12"/>
      <c r="AO1701" s="12"/>
      <c r="AP1701" s="12"/>
      <c r="AQ1701" s="12"/>
      <c r="AR1701" s="12"/>
      <c r="AS1701" s="12"/>
      <c r="AT1701" s="11"/>
      <c r="AU1701" s="11"/>
      <c r="AV1701" s="11"/>
      <c r="AW1701" s="12"/>
      <c r="AX1701" s="12"/>
      <c r="AY1701" s="12"/>
      <c r="AZ1701" s="11"/>
      <c r="BA1701" s="11"/>
      <c r="BB1701" s="11"/>
      <c r="BC1701" s="12"/>
      <c r="BD1701" s="12"/>
      <c r="BE1701" s="12"/>
      <c r="BF1701" s="12"/>
      <c r="BG1701" s="12"/>
      <c r="BH1701" s="12"/>
      <c r="BI1701" s="12"/>
      <c r="BJ1701" s="12"/>
      <c r="BK1701" s="12"/>
      <c r="BL1701" s="12"/>
      <c r="BM1701" s="12"/>
      <c r="BN1701" s="12"/>
      <c r="BO1701" s="12"/>
      <c r="BP1701" s="11"/>
      <c r="BQ1701" s="12"/>
      <c r="BR1701" s="7" t="str">
        <f t="shared" si="1"/>
        <v/>
      </c>
    </row>
    <row r="1702" ht="22.5" customHeight="1">
      <c r="A1702" s="8"/>
      <c r="B1702" s="9"/>
      <c r="C1702" s="10"/>
      <c r="D1702" s="12"/>
      <c r="E1702" s="12"/>
      <c r="F1702" s="12"/>
      <c r="G1702" s="12"/>
      <c r="H1702" s="12"/>
      <c r="I1702" s="12"/>
      <c r="J1702" s="12"/>
      <c r="K1702" s="12"/>
      <c r="L1702" s="12"/>
      <c r="M1702" s="12"/>
      <c r="N1702" s="12"/>
      <c r="O1702" s="12"/>
      <c r="P1702" s="12"/>
      <c r="Q1702" s="12"/>
      <c r="R1702" s="12"/>
      <c r="S1702" s="12"/>
      <c r="T1702" s="12"/>
      <c r="U1702" s="11"/>
      <c r="V1702" s="11"/>
      <c r="W1702" s="11"/>
      <c r="X1702" s="12"/>
      <c r="Y1702" s="12"/>
      <c r="Z1702" s="12"/>
      <c r="AA1702" s="11"/>
      <c r="AB1702" s="12"/>
      <c r="AC1702" s="12"/>
      <c r="AD1702" s="12"/>
      <c r="AE1702" s="12"/>
      <c r="AF1702" s="12"/>
      <c r="AG1702" s="12"/>
      <c r="AH1702" s="12"/>
      <c r="AI1702" s="12"/>
      <c r="AJ1702" s="12"/>
      <c r="AK1702" s="12"/>
      <c r="AL1702" s="12"/>
      <c r="AM1702" s="12"/>
      <c r="AN1702" s="12"/>
      <c r="AO1702" s="12"/>
      <c r="AP1702" s="12"/>
      <c r="AQ1702" s="12"/>
      <c r="AR1702" s="12"/>
      <c r="AS1702" s="12"/>
      <c r="AT1702" s="11"/>
      <c r="AU1702" s="11"/>
      <c r="AV1702" s="11"/>
      <c r="AW1702" s="12"/>
      <c r="AX1702" s="12"/>
      <c r="AY1702" s="12"/>
      <c r="AZ1702" s="11"/>
      <c r="BA1702" s="11"/>
      <c r="BB1702" s="11"/>
      <c r="BC1702" s="12"/>
      <c r="BD1702" s="12"/>
      <c r="BE1702" s="12"/>
      <c r="BF1702" s="12"/>
      <c r="BG1702" s="12"/>
      <c r="BH1702" s="12"/>
      <c r="BI1702" s="12"/>
      <c r="BJ1702" s="12"/>
      <c r="BK1702" s="12"/>
      <c r="BL1702" s="12"/>
      <c r="BM1702" s="12"/>
      <c r="BN1702" s="12"/>
      <c r="BO1702" s="12"/>
      <c r="BP1702" s="11"/>
      <c r="BQ1702" s="12"/>
      <c r="BR1702" s="7" t="str">
        <f t="shared" si="1"/>
        <v/>
      </c>
    </row>
    <row r="1703" ht="22.5" customHeight="1">
      <c r="A1703" s="8"/>
      <c r="B1703" s="9"/>
      <c r="C1703" s="10"/>
      <c r="D1703" s="12"/>
      <c r="E1703" s="12"/>
      <c r="F1703" s="12"/>
      <c r="G1703" s="12"/>
      <c r="H1703" s="12"/>
      <c r="I1703" s="12"/>
      <c r="J1703" s="12"/>
      <c r="K1703" s="12"/>
      <c r="L1703" s="12"/>
      <c r="M1703" s="12"/>
      <c r="N1703" s="12"/>
      <c r="O1703" s="12"/>
      <c r="P1703" s="12"/>
      <c r="Q1703" s="12"/>
      <c r="R1703" s="12"/>
      <c r="S1703" s="12"/>
      <c r="T1703" s="12"/>
      <c r="U1703" s="11"/>
      <c r="V1703" s="11"/>
      <c r="W1703" s="11"/>
      <c r="X1703" s="12"/>
      <c r="Y1703" s="12"/>
      <c r="Z1703" s="12"/>
      <c r="AA1703" s="11"/>
      <c r="AB1703" s="12"/>
      <c r="AC1703" s="12"/>
      <c r="AD1703" s="12"/>
      <c r="AE1703" s="12"/>
      <c r="AF1703" s="12"/>
      <c r="AG1703" s="12"/>
      <c r="AH1703" s="12"/>
      <c r="AI1703" s="12"/>
      <c r="AJ1703" s="12"/>
      <c r="AK1703" s="12"/>
      <c r="AL1703" s="12"/>
      <c r="AM1703" s="12"/>
      <c r="AN1703" s="12"/>
      <c r="AO1703" s="12"/>
      <c r="AP1703" s="12"/>
      <c r="AQ1703" s="12"/>
      <c r="AR1703" s="12"/>
      <c r="AS1703" s="12"/>
      <c r="AT1703" s="11"/>
      <c r="AU1703" s="11"/>
      <c r="AV1703" s="11"/>
      <c r="AW1703" s="12"/>
      <c r="AX1703" s="12"/>
      <c r="AY1703" s="12"/>
      <c r="AZ1703" s="11"/>
      <c r="BA1703" s="11"/>
      <c r="BB1703" s="11"/>
      <c r="BC1703" s="12"/>
      <c r="BD1703" s="12"/>
      <c r="BE1703" s="12"/>
      <c r="BF1703" s="12"/>
      <c r="BG1703" s="12"/>
      <c r="BH1703" s="12"/>
      <c r="BI1703" s="12"/>
      <c r="BJ1703" s="12"/>
      <c r="BK1703" s="12"/>
      <c r="BL1703" s="12"/>
      <c r="BM1703" s="12"/>
      <c r="BN1703" s="12"/>
      <c r="BO1703" s="12"/>
      <c r="BP1703" s="11"/>
      <c r="BQ1703" s="12"/>
      <c r="BR1703" s="7" t="str">
        <f t="shared" si="1"/>
        <v/>
      </c>
    </row>
    <row r="1704" ht="22.5" customHeight="1">
      <c r="A1704" s="8"/>
      <c r="B1704" s="9"/>
      <c r="C1704" s="10"/>
      <c r="D1704" s="12"/>
      <c r="E1704" s="12"/>
      <c r="F1704" s="12"/>
      <c r="G1704" s="12"/>
      <c r="H1704" s="12"/>
      <c r="I1704" s="12"/>
      <c r="J1704" s="12"/>
      <c r="K1704" s="12"/>
      <c r="L1704" s="12"/>
      <c r="M1704" s="12"/>
      <c r="N1704" s="12"/>
      <c r="O1704" s="12"/>
      <c r="P1704" s="12"/>
      <c r="Q1704" s="12"/>
      <c r="R1704" s="12"/>
      <c r="S1704" s="12"/>
      <c r="T1704" s="12"/>
      <c r="U1704" s="11"/>
      <c r="V1704" s="11"/>
      <c r="W1704" s="11"/>
      <c r="X1704" s="12"/>
      <c r="Y1704" s="12"/>
      <c r="Z1704" s="12"/>
      <c r="AA1704" s="11"/>
      <c r="AB1704" s="12"/>
      <c r="AC1704" s="12"/>
      <c r="AD1704" s="12"/>
      <c r="AE1704" s="12"/>
      <c r="AF1704" s="12"/>
      <c r="AG1704" s="12"/>
      <c r="AH1704" s="12"/>
      <c r="AI1704" s="12"/>
      <c r="AJ1704" s="12"/>
      <c r="AK1704" s="12"/>
      <c r="AL1704" s="12"/>
      <c r="AM1704" s="12"/>
      <c r="AN1704" s="12"/>
      <c r="AO1704" s="12"/>
      <c r="AP1704" s="12"/>
      <c r="AQ1704" s="12"/>
      <c r="AR1704" s="12"/>
      <c r="AS1704" s="12"/>
      <c r="AT1704" s="11"/>
      <c r="AU1704" s="11"/>
      <c r="AV1704" s="11"/>
      <c r="AW1704" s="12"/>
      <c r="AX1704" s="12"/>
      <c r="AY1704" s="12"/>
      <c r="AZ1704" s="11"/>
      <c r="BA1704" s="11"/>
      <c r="BB1704" s="11"/>
      <c r="BC1704" s="12"/>
      <c r="BD1704" s="12"/>
      <c r="BE1704" s="12"/>
      <c r="BF1704" s="12"/>
      <c r="BG1704" s="12"/>
      <c r="BH1704" s="12"/>
      <c r="BI1704" s="12"/>
      <c r="BJ1704" s="12"/>
      <c r="BK1704" s="12"/>
      <c r="BL1704" s="12"/>
      <c r="BM1704" s="12"/>
      <c r="BN1704" s="12"/>
      <c r="BO1704" s="12"/>
      <c r="BP1704" s="11"/>
      <c r="BQ1704" s="12"/>
      <c r="BR1704" s="7" t="str">
        <f t="shared" si="1"/>
        <v/>
      </c>
    </row>
    <row r="1705" ht="22.5" customHeight="1">
      <c r="A1705" s="8"/>
      <c r="B1705" s="9"/>
      <c r="C1705" s="10"/>
      <c r="D1705" s="12"/>
      <c r="E1705" s="12"/>
      <c r="F1705" s="12"/>
      <c r="G1705" s="12"/>
      <c r="H1705" s="12"/>
      <c r="I1705" s="12"/>
      <c r="J1705" s="12"/>
      <c r="K1705" s="12"/>
      <c r="L1705" s="12"/>
      <c r="M1705" s="12"/>
      <c r="N1705" s="12"/>
      <c r="O1705" s="12"/>
      <c r="P1705" s="12"/>
      <c r="Q1705" s="12"/>
      <c r="R1705" s="12"/>
      <c r="S1705" s="12"/>
      <c r="T1705" s="12"/>
      <c r="U1705" s="11"/>
      <c r="V1705" s="11"/>
      <c r="W1705" s="11"/>
      <c r="X1705" s="12"/>
      <c r="Y1705" s="12"/>
      <c r="Z1705" s="12"/>
      <c r="AA1705" s="11"/>
      <c r="AB1705" s="12"/>
      <c r="AC1705" s="12"/>
      <c r="AD1705" s="12"/>
      <c r="AE1705" s="12"/>
      <c r="AF1705" s="12"/>
      <c r="AG1705" s="12"/>
      <c r="AH1705" s="12"/>
      <c r="AI1705" s="12"/>
      <c r="AJ1705" s="12"/>
      <c r="AK1705" s="12"/>
      <c r="AL1705" s="12"/>
      <c r="AM1705" s="12"/>
      <c r="AN1705" s="12"/>
      <c r="AO1705" s="12"/>
      <c r="AP1705" s="12"/>
      <c r="AQ1705" s="12"/>
      <c r="AR1705" s="12"/>
      <c r="AS1705" s="12"/>
      <c r="AT1705" s="11"/>
      <c r="AU1705" s="11"/>
      <c r="AV1705" s="11"/>
      <c r="AW1705" s="12"/>
      <c r="AX1705" s="12"/>
      <c r="AY1705" s="12"/>
      <c r="AZ1705" s="11"/>
      <c r="BA1705" s="11"/>
      <c r="BB1705" s="11"/>
      <c r="BC1705" s="12"/>
      <c r="BD1705" s="12"/>
      <c r="BE1705" s="12"/>
      <c r="BF1705" s="12"/>
      <c r="BG1705" s="12"/>
      <c r="BH1705" s="12"/>
      <c r="BI1705" s="12"/>
      <c r="BJ1705" s="12"/>
      <c r="BK1705" s="12"/>
      <c r="BL1705" s="12"/>
      <c r="BM1705" s="12"/>
      <c r="BN1705" s="12"/>
      <c r="BO1705" s="12"/>
      <c r="BP1705" s="11"/>
      <c r="BQ1705" s="12"/>
      <c r="BR1705" s="7" t="str">
        <f t="shared" si="1"/>
        <v/>
      </c>
    </row>
    <row r="1706" ht="22.5" customHeight="1">
      <c r="A1706" s="8"/>
      <c r="B1706" s="9"/>
      <c r="C1706" s="10"/>
      <c r="D1706" s="12"/>
      <c r="E1706" s="12"/>
      <c r="F1706" s="12"/>
      <c r="G1706" s="12"/>
      <c r="H1706" s="12"/>
      <c r="I1706" s="12"/>
      <c r="J1706" s="12"/>
      <c r="K1706" s="12"/>
      <c r="L1706" s="12"/>
      <c r="M1706" s="12"/>
      <c r="N1706" s="12"/>
      <c r="O1706" s="12"/>
      <c r="P1706" s="12"/>
      <c r="Q1706" s="12"/>
      <c r="R1706" s="12"/>
      <c r="S1706" s="12"/>
      <c r="T1706" s="12"/>
      <c r="U1706" s="11"/>
      <c r="V1706" s="11"/>
      <c r="W1706" s="11"/>
      <c r="X1706" s="12"/>
      <c r="Y1706" s="12"/>
      <c r="Z1706" s="12"/>
      <c r="AA1706" s="11"/>
      <c r="AB1706" s="12"/>
      <c r="AC1706" s="12"/>
      <c r="AD1706" s="12"/>
      <c r="AE1706" s="12"/>
      <c r="AF1706" s="12"/>
      <c r="AG1706" s="12"/>
      <c r="AH1706" s="12"/>
      <c r="AI1706" s="12"/>
      <c r="AJ1706" s="12"/>
      <c r="AK1706" s="12"/>
      <c r="AL1706" s="12"/>
      <c r="AM1706" s="12"/>
      <c r="AN1706" s="12"/>
      <c r="AO1706" s="12"/>
      <c r="AP1706" s="12"/>
      <c r="AQ1706" s="12"/>
      <c r="AR1706" s="12"/>
      <c r="AS1706" s="12"/>
      <c r="AT1706" s="11"/>
      <c r="AU1706" s="11"/>
      <c r="AV1706" s="11"/>
      <c r="AW1706" s="12"/>
      <c r="AX1706" s="12"/>
      <c r="AY1706" s="12"/>
      <c r="AZ1706" s="11"/>
      <c r="BA1706" s="11"/>
      <c r="BB1706" s="11"/>
      <c r="BC1706" s="12"/>
      <c r="BD1706" s="12"/>
      <c r="BE1706" s="12"/>
      <c r="BF1706" s="12"/>
      <c r="BG1706" s="12"/>
      <c r="BH1706" s="12"/>
      <c r="BI1706" s="12"/>
      <c r="BJ1706" s="12"/>
      <c r="BK1706" s="12"/>
      <c r="BL1706" s="12"/>
      <c r="BM1706" s="12"/>
      <c r="BN1706" s="12"/>
      <c r="BO1706" s="12"/>
      <c r="BP1706" s="11"/>
      <c r="BQ1706" s="12"/>
      <c r="BR1706" s="7" t="str">
        <f t="shared" si="1"/>
        <v/>
      </c>
    </row>
    <row r="1707" ht="22.5" customHeight="1">
      <c r="A1707" s="8"/>
      <c r="B1707" s="9"/>
      <c r="C1707" s="10"/>
      <c r="D1707" s="12"/>
      <c r="E1707" s="12"/>
      <c r="F1707" s="12"/>
      <c r="G1707" s="12"/>
      <c r="H1707" s="12"/>
      <c r="I1707" s="12"/>
      <c r="J1707" s="12"/>
      <c r="K1707" s="12"/>
      <c r="L1707" s="12"/>
      <c r="M1707" s="12"/>
      <c r="N1707" s="12"/>
      <c r="O1707" s="12"/>
      <c r="P1707" s="12"/>
      <c r="Q1707" s="12"/>
      <c r="R1707" s="12"/>
      <c r="S1707" s="12"/>
      <c r="T1707" s="12"/>
      <c r="U1707" s="11"/>
      <c r="V1707" s="11"/>
      <c r="W1707" s="11"/>
      <c r="X1707" s="12"/>
      <c r="Y1707" s="12"/>
      <c r="Z1707" s="12"/>
      <c r="AA1707" s="11"/>
      <c r="AB1707" s="12"/>
      <c r="AC1707" s="12"/>
      <c r="AD1707" s="12"/>
      <c r="AE1707" s="12"/>
      <c r="AF1707" s="12"/>
      <c r="AG1707" s="12"/>
      <c r="AH1707" s="12"/>
      <c r="AI1707" s="12"/>
      <c r="AJ1707" s="12"/>
      <c r="AK1707" s="12"/>
      <c r="AL1707" s="12"/>
      <c r="AM1707" s="12"/>
      <c r="AN1707" s="12"/>
      <c r="AO1707" s="12"/>
      <c r="AP1707" s="12"/>
      <c r="AQ1707" s="12"/>
      <c r="AR1707" s="12"/>
      <c r="AS1707" s="12"/>
      <c r="AT1707" s="11"/>
      <c r="AU1707" s="11"/>
      <c r="AV1707" s="11"/>
      <c r="AW1707" s="12"/>
      <c r="AX1707" s="12"/>
      <c r="AY1707" s="12"/>
      <c r="AZ1707" s="11"/>
      <c r="BA1707" s="11"/>
      <c r="BB1707" s="11"/>
      <c r="BC1707" s="12"/>
      <c r="BD1707" s="12"/>
      <c r="BE1707" s="12"/>
      <c r="BF1707" s="12"/>
      <c r="BG1707" s="12"/>
      <c r="BH1707" s="12"/>
      <c r="BI1707" s="12"/>
      <c r="BJ1707" s="12"/>
      <c r="BK1707" s="12"/>
      <c r="BL1707" s="12"/>
      <c r="BM1707" s="12"/>
      <c r="BN1707" s="12"/>
      <c r="BO1707" s="12"/>
      <c r="BP1707" s="11"/>
      <c r="BQ1707" s="12"/>
      <c r="BR1707" s="7" t="str">
        <f t="shared" si="1"/>
        <v/>
      </c>
    </row>
    <row r="1708" ht="22.5" customHeight="1">
      <c r="A1708" s="8"/>
      <c r="B1708" s="9"/>
      <c r="C1708" s="10"/>
      <c r="D1708" s="12"/>
      <c r="E1708" s="12"/>
      <c r="F1708" s="12"/>
      <c r="G1708" s="12"/>
      <c r="H1708" s="12"/>
      <c r="I1708" s="12"/>
      <c r="J1708" s="12"/>
      <c r="K1708" s="12"/>
      <c r="L1708" s="12"/>
      <c r="M1708" s="12"/>
      <c r="N1708" s="12"/>
      <c r="O1708" s="12"/>
      <c r="P1708" s="12"/>
      <c r="Q1708" s="12"/>
      <c r="R1708" s="12"/>
      <c r="S1708" s="12"/>
      <c r="T1708" s="12"/>
      <c r="U1708" s="11"/>
      <c r="V1708" s="11"/>
      <c r="W1708" s="11"/>
      <c r="X1708" s="12"/>
      <c r="Y1708" s="12"/>
      <c r="Z1708" s="12"/>
      <c r="AA1708" s="11"/>
      <c r="AB1708" s="12"/>
      <c r="AC1708" s="12"/>
      <c r="AD1708" s="12"/>
      <c r="AE1708" s="12"/>
      <c r="AF1708" s="12"/>
      <c r="AG1708" s="12"/>
      <c r="AH1708" s="12"/>
      <c r="AI1708" s="12"/>
      <c r="AJ1708" s="12"/>
      <c r="AK1708" s="12"/>
      <c r="AL1708" s="12"/>
      <c r="AM1708" s="12"/>
      <c r="AN1708" s="12"/>
      <c r="AO1708" s="12"/>
      <c r="AP1708" s="12"/>
      <c r="AQ1708" s="12"/>
      <c r="AR1708" s="12"/>
      <c r="AS1708" s="12"/>
      <c r="AT1708" s="11"/>
      <c r="AU1708" s="11"/>
      <c r="AV1708" s="11"/>
      <c r="AW1708" s="12"/>
      <c r="AX1708" s="12"/>
      <c r="AY1708" s="12"/>
      <c r="AZ1708" s="11"/>
      <c r="BA1708" s="11"/>
      <c r="BB1708" s="11"/>
      <c r="BC1708" s="12"/>
      <c r="BD1708" s="12"/>
      <c r="BE1708" s="12"/>
      <c r="BF1708" s="12"/>
      <c r="BG1708" s="12"/>
      <c r="BH1708" s="12"/>
      <c r="BI1708" s="12"/>
      <c r="BJ1708" s="12"/>
      <c r="BK1708" s="12"/>
      <c r="BL1708" s="12"/>
      <c r="BM1708" s="12"/>
      <c r="BN1708" s="12"/>
      <c r="BO1708" s="12"/>
      <c r="BP1708" s="11"/>
      <c r="BQ1708" s="12"/>
      <c r="BR1708" s="7" t="str">
        <f t="shared" si="1"/>
        <v/>
      </c>
    </row>
    <row r="1709" ht="22.5" customHeight="1">
      <c r="A1709" s="8"/>
      <c r="B1709" s="9"/>
      <c r="C1709" s="10"/>
      <c r="D1709" s="12"/>
      <c r="E1709" s="12"/>
      <c r="F1709" s="12"/>
      <c r="G1709" s="12"/>
      <c r="H1709" s="12"/>
      <c r="I1709" s="12"/>
      <c r="J1709" s="12"/>
      <c r="K1709" s="12"/>
      <c r="L1709" s="12"/>
      <c r="M1709" s="12"/>
      <c r="N1709" s="12"/>
      <c r="O1709" s="12"/>
      <c r="P1709" s="12"/>
      <c r="Q1709" s="12"/>
      <c r="R1709" s="12"/>
      <c r="S1709" s="12"/>
      <c r="T1709" s="12"/>
      <c r="U1709" s="11"/>
      <c r="V1709" s="11"/>
      <c r="W1709" s="11"/>
      <c r="X1709" s="12"/>
      <c r="Y1709" s="12"/>
      <c r="Z1709" s="12"/>
      <c r="AA1709" s="11"/>
      <c r="AB1709" s="12"/>
      <c r="AC1709" s="12"/>
      <c r="AD1709" s="12"/>
      <c r="AE1709" s="12"/>
      <c r="AF1709" s="12"/>
      <c r="AG1709" s="12"/>
      <c r="AH1709" s="12"/>
      <c r="AI1709" s="12"/>
      <c r="AJ1709" s="12"/>
      <c r="AK1709" s="12"/>
      <c r="AL1709" s="12"/>
      <c r="AM1709" s="12"/>
      <c r="AN1709" s="12"/>
      <c r="AO1709" s="12"/>
      <c r="AP1709" s="12"/>
      <c r="AQ1709" s="12"/>
      <c r="AR1709" s="12"/>
      <c r="AS1709" s="12"/>
      <c r="AT1709" s="11"/>
      <c r="AU1709" s="11"/>
      <c r="AV1709" s="11"/>
      <c r="AW1709" s="12"/>
      <c r="AX1709" s="12"/>
      <c r="AY1709" s="12"/>
      <c r="AZ1709" s="11"/>
      <c r="BA1709" s="11"/>
      <c r="BB1709" s="11"/>
      <c r="BC1709" s="12"/>
      <c r="BD1709" s="12"/>
      <c r="BE1709" s="12"/>
      <c r="BF1709" s="12"/>
      <c r="BG1709" s="12"/>
      <c r="BH1709" s="12"/>
      <c r="BI1709" s="12"/>
      <c r="BJ1709" s="12"/>
      <c r="BK1709" s="12"/>
      <c r="BL1709" s="12"/>
      <c r="BM1709" s="12"/>
      <c r="BN1709" s="12"/>
      <c r="BO1709" s="12"/>
      <c r="BP1709" s="11"/>
      <c r="BQ1709" s="12"/>
      <c r="BR1709" s="7" t="str">
        <f t="shared" si="1"/>
        <v/>
      </c>
    </row>
    <row r="1710" ht="22.5" customHeight="1">
      <c r="A1710" s="8"/>
      <c r="B1710" s="9"/>
      <c r="C1710" s="10"/>
      <c r="D1710" s="12"/>
      <c r="E1710" s="12"/>
      <c r="F1710" s="12"/>
      <c r="G1710" s="12"/>
      <c r="H1710" s="12"/>
      <c r="I1710" s="12"/>
      <c r="J1710" s="12"/>
      <c r="K1710" s="12"/>
      <c r="L1710" s="12"/>
      <c r="M1710" s="12"/>
      <c r="N1710" s="12"/>
      <c r="O1710" s="12"/>
      <c r="P1710" s="12"/>
      <c r="Q1710" s="12"/>
      <c r="R1710" s="12"/>
      <c r="S1710" s="12"/>
      <c r="T1710" s="12"/>
      <c r="U1710" s="11"/>
      <c r="V1710" s="11"/>
      <c r="W1710" s="11"/>
      <c r="X1710" s="12"/>
      <c r="Y1710" s="12"/>
      <c r="Z1710" s="12"/>
      <c r="AA1710" s="11"/>
      <c r="AB1710" s="12"/>
      <c r="AC1710" s="12"/>
      <c r="AD1710" s="12"/>
      <c r="AE1710" s="12"/>
      <c r="AF1710" s="12"/>
      <c r="AG1710" s="12"/>
      <c r="AH1710" s="12"/>
      <c r="AI1710" s="12"/>
      <c r="AJ1710" s="12"/>
      <c r="AK1710" s="12"/>
      <c r="AL1710" s="12"/>
      <c r="AM1710" s="12"/>
      <c r="AN1710" s="12"/>
      <c r="AO1710" s="12"/>
      <c r="AP1710" s="12"/>
      <c r="AQ1710" s="12"/>
      <c r="AR1710" s="12"/>
      <c r="AS1710" s="12"/>
      <c r="AT1710" s="11"/>
      <c r="AU1710" s="11"/>
      <c r="AV1710" s="11"/>
      <c r="AW1710" s="12"/>
      <c r="AX1710" s="12"/>
      <c r="AY1710" s="12"/>
      <c r="AZ1710" s="11"/>
      <c r="BA1710" s="11"/>
      <c r="BB1710" s="11"/>
      <c r="BC1710" s="12"/>
      <c r="BD1710" s="12"/>
      <c r="BE1710" s="12"/>
      <c r="BF1710" s="12"/>
      <c r="BG1710" s="12"/>
      <c r="BH1710" s="12"/>
      <c r="BI1710" s="12"/>
      <c r="BJ1710" s="12"/>
      <c r="BK1710" s="12"/>
      <c r="BL1710" s="12"/>
      <c r="BM1710" s="12"/>
      <c r="BN1710" s="12"/>
      <c r="BO1710" s="12"/>
      <c r="BP1710" s="11"/>
      <c r="BQ1710" s="12"/>
      <c r="BR1710" s="7" t="str">
        <f t="shared" si="1"/>
        <v/>
      </c>
    </row>
    <row r="1711" ht="22.5" customHeight="1">
      <c r="A1711" s="8"/>
      <c r="B1711" s="9"/>
      <c r="C1711" s="10"/>
      <c r="D1711" s="12"/>
      <c r="E1711" s="12"/>
      <c r="F1711" s="12"/>
      <c r="G1711" s="12"/>
      <c r="H1711" s="12"/>
      <c r="I1711" s="12"/>
      <c r="J1711" s="12"/>
      <c r="K1711" s="12"/>
      <c r="L1711" s="12"/>
      <c r="M1711" s="12"/>
      <c r="N1711" s="12"/>
      <c r="O1711" s="12"/>
      <c r="P1711" s="12"/>
      <c r="Q1711" s="12"/>
      <c r="R1711" s="12"/>
      <c r="S1711" s="12"/>
      <c r="T1711" s="12"/>
      <c r="U1711" s="11"/>
      <c r="V1711" s="11"/>
      <c r="W1711" s="11"/>
      <c r="X1711" s="12"/>
      <c r="Y1711" s="12"/>
      <c r="Z1711" s="12"/>
      <c r="AA1711" s="11"/>
      <c r="AB1711" s="12"/>
      <c r="AC1711" s="12"/>
      <c r="AD1711" s="12"/>
      <c r="AE1711" s="12"/>
      <c r="AF1711" s="12"/>
      <c r="AG1711" s="12"/>
      <c r="AH1711" s="12"/>
      <c r="AI1711" s="12"/>
      <c r="AJ1711" s="12"/>
      <c r="AK1711" s="12"/>
      <c r="AL1711" s="12"/>
      <c r="AM1711" s="12"/>
      <c r="AN1711" s="12"/>
      <c r="AO1711" s="12"/>
      <c r="AP1711" s="12"/>
      <c r="AQ1711" s="12"/>
      <c r="AR1711" s="12"/>
      <c r="AS1711" s="12"/>
      <c r="AT1711" s="11"/>
      <c r="AU1711" s="11"/>
      <c r="AV1711" s="11"/>
      <c r="AW1711" s="12"/>
      <c r="AX1711" s="12"/>
      <c r="AY1711" s="12"/>
      <c r="AZ1711" s="11"/>
      <c r="BA1711" s="11"/>
      <c r="BB1711" s="11"/>
      <c r="BC1711" s="12"/>
      <c r="BD1711" s="12"/>
      <c r="BE1711" s="12"/>
      <c r="BF1711" s="12"/>
      <c r="BG1711" s="12"/>
      <c r="BH1711" s="12"/>
      <c r="BI1711" s="12"/>
      <c r="BJ1711" s="12"/>
      <c r="BK1711" s="12"/>
      <c r="BL1711" s="12"/>
      <c r="BM1711" s="12"/>
      <c r="BN1711" s="12"/>
      <c r="BO1711" s="12"/>
      <c r="BP1711" s="11"/>
      <c r="BQ1711" s="12"/>
      <c r="BR1711" s="7" t="str">
        <f t="shared" si="1"/>
        <v/>
      </c>
    </row>
    <row r="1712" ht="22.5" customHeight="1">
      <c r="A1712" s="8"/>
      <c r="B1712" s="9"/>
      <c r="C1712" s="10"/>
      <c r="D1712" s="12"/>
      <c r="E1712" s="12"/>
      <c r="F1712" s="12"/>
      <c r="G1712" s="12"/>
      <c r="H1712" s="12"/>
      <c r="I1712" s="12"/>
      <c r="J1712" s="12"/>
      <c r="K1712" s="12"/>
      <c r="L1712" s="12"/>
      <c r="M1712" s="12"/>
      <c r="N1712" s="12"/>
      <c r="O1712" s="12"/>
      <c r="P1712" s="12"/>
      <c r="Q1712" s="12"/>
      <c r="R1712" s="12"/>
      <c r="S1712" s="12"/>
      <c r="T1712" s="12"/>
      <c r="U1712" s="11"/>
      <c r="V1712" s="11"/>
      <c r="W1712" s="11"/>
      <c r="X1712" s="12"/>
      <c r="Y1712" s="12"/>
      <c r="Z1712" s="12"/>
      <c r="AA1712" s="11"/>
      <c r="AB1712" s="12"/>
      <c r="AC1712" s="12"/>
      <c r="AD1712" s="12"/>
      <c r="AE1712" s="12"/>
      <c r="AF1712" s="12"/>
      <c r="AG1712" s="12"/>
      <c r="AH1712" s="12"/>
      <c r="AI1712" s="12"/>
      <c r="AJ1712" s="12"/>
      <c r="AK1712" s="12"/>
      <c r="AL1712" s="12"/>
      <c r="AM1712" s="12"/>
      <c r="AN1712" s="12"/>
      <c r="AO1712" s="12"/>
      <c r="AP1712" s="12"/>
      <c r="AQ1712" s="12"/>
      <c r="AR1712" s="12"/>
      <c r="AS1712" s="12"/>
      <c r="AT1712" s="11"/>
      <c r="AU1712" s="11"/>
      <c r="AV1712" s="11"/>
      <c r="AW1712" s="12"/>
      <c r="AX1712" s="12"/>
      <c r="AY1712" s="12"/>
      <c r="AZ1712" s="11"/>
      <c r="BA1712" s="11"/>
      <c r="BB1712" s="11"/>
      <c r="BC1712" s="12"/>
      <c r="BD1712" s="12"/>
      <c r="BE1712" s="12"/>
      <c r="BF1712" s="12"/>
      <c r="BG1712" s="12"/>
      <c r="BH1712" s="12"/>
      <c r="BI1712" s="12"/>
      <c r="BJ1712" s="12"/>
      <c r="BK1712" s="12"/>
      <c r="BL1712" s="12"/>
      <c r="BM1712" s="12"/>
      <c r="BN1712" s="12"/>
      <c r="BO1712" s="12"/>
      <c r="BP1712" s="11"/>
      <c r="BQ1712" s="12"/>
      <c r="BR1712" s="7" t="str">
        <f t="shared" si="1"/>
        <v/>
      </c>
    </row>
    <row r="1713" ht="22.5" customHeight="1">
      <c r="A1713" s="8"/>
      <c r="B1713" s="9"/>
      <c r="C1713" s="10"/>
      <c r="D1713" s="12"/>
      <c r="E1713" s="12"/>
      <c r="F1713" s="12"/>
      <c r="G1713" s="12"/>
      <c r="H1713" s="12"/>
      <c r="I1713" s="12"/>
      <c r="J1713" s="12"/>
      <c r="K1713" s="12"/>
      <c r="L1713" s="12"/>
      <c r="M1713" s="12"/>
      <c r="N1713" s="12"/>
      <c r="O1713" s="12"/>
      <c r="P1713" s="12"/>
      <c r="Q1713" s="12"/>
      <c r="R1713" s="12"/>
      <c r="S1713" s="12"/>
      <c r="T1713" s="12"/>
      <c r="U1713" s="11"/>
      <c r="V1713" s="11"/>
      <c r="W1713" s="11"/>
      <c r="X1713" s="12"/>
      <c r="Y1713" s="12"/>
      <c r="Z1713" s="12"/>
      <c r="AA1713" s="11"/>
      <c r="AB1713" s="12"/>
      <c r="AC1713" s="12"/>
      <c r="AD1713" s="12"/>
      <c r="AE1713" s="12"/>
      <c r="AF1713" s="12"/>
      <c r="AG1713" s="12"/>
      <c r="AH1713" s="12"/>
      <c r="AI1713" s="12"/>
      <c r="AJ1713" s="12"/>
      <c r="AK1713" s="12"/>
      <c r="AL1713" s="12"/>
      <c r="AM1713" s="12"/>
      <c r="AN1713" s="12"/>
      <c r="AO1713" s="12"/>
      <c r="AP1713" s="12"/>
      <c r="AQ1713" s="12"/>
      <c r="AR1713" s="12"/>
      <c r="AS1713" s="12"/>
      <c r="AT1713" s="11"/>
      <c r="AU1713" s="11"/>
      <c r="AV1713" s="11"/>
      <c r="AW1713" s="12"/>
      <c r="AX1713" s="12"/>
      <c r="AY1713" s="12"/>
      <c r="AZ1713" s="11"/>
      <c r="BA1713" s="11"/>
      <c r="BB1713" s="11"/>
      <c r="BC1713" s="12"/>
      <c r="BD1713" s="12"/>
      <c r="BE1713" s="12"/>
      <c r="BF1713" s="12"/>
      <c r="BG1713" s="12"/>
      <c r="BH1713" s="12"/>
      <c r="BI1713" s="12"/>
      <c r="BJ1713" s="12"/>
      <c r="BK1713" s="12"/>
      <c r="BL1713" s="12"/>
      <c r="BM1713" s="12"/>
      <c r="BN1713" s="12"/>
      <c r="BO1713" s="12"/>
      <c r="BP1713" s="11"/>
      <c r="BQ1713" s="12"/>
      <c r="BR1713" s="7" t="str">
        <f t="shared" si="1"/>
        <v/>
      </c>
    </row>
    <row r="1714" ht="22.5" customHeight="1">
      <c r="A1714" s="8"/>
      <c r="B1714" s="9"/>
      <c r="C1714" s="10"/>
      <c r="D1714" s="12"/>
      <c r="E1714" s="12"/>
      <c r="F1714" s="12"/>
      <c r="G1714" s="12"/>
      <c r="H1714" s="12"/>
      <c r="I1714" s="12"/>
      <c r="J1714" s="12"/>
      <c r="K1714" s="12"/>
      <c r="L1714" s="12"/>
      <c r="M1714" s="12"/>
      <c r="N1714" s="12"/>
      <c r="O1714" s="12"/>
      <c r="P1714" s="12"/>
      <c r="Q1714" s="12"/>
      <c r="R1714" s="12"/>
      <c r="S1714" s="12"/>
      <c r="T1714" s="12"/>
      <c r="U1714" s="11"/>
      <c r="V1714" s="11"/>
      <c r="W1714" s="11"/>
      <c r="X1714" s="12"/>
      <c r="Y1714" s="12"/>
      <c r="Z1714" s="12"/>
      <c r="AA1714" s="11"/>
      <c r="AB1714" s="12"/>
      <c r="AC1714" s="12"/>
      <c r="AD1714" s="12"/>
      <c r="AE1714" s="12"/>
      <c r="AF1714" s="12"/>
      <c r="AG1714" s="12"/>
      <c r="AH1714" s="12"/>
      <c r="AI1714" s="12"/>
      <c r="AJ1714" s="12"/>
      <c r="AK1714" s="12"/>
      <c r="AL1714" s="12"/>
      <c r="AM1714" s="12"/>
      <c r="AN1714" s="12"/>
      <c r="AO1714" s="12"/>
      <c r="AP1714" s="12"/>
      <c r="AQ1714" s="12"/>
      <c r="AR1714" s="12"/>
      <c r="AS1714" s="12"/>
      <c r="AT1714" s="11"/>
      <c r="AU1714" s="11"/>
      <c r="AV1714" s="11"/>
      <c r="AW1714" s="12"/>
      <c r="AX1714" s="12"/>
      <c r="AY1714" s="12"/>
      <c r="AZ1714" s="11"/>
      <c r="BA1714" s="11"/>
      <c r="BB1714" s="11"/>
      <c r="BC1714" s="12"/>
      <c r="BD1714" s="12"/>
      <c r="BE1714" s="12"/>
      <c r="BF1714" s="12"/>
      <c r="BG1714" s="12"/>
      <c r="BH1714" s="12"/>
      <c r="BI1714" s="12"/>
      <c r="BJ1714" s="12"/>
      <c r="BK1714" s="12"/>
      <c r="BL1714" s="12"/>
      <c r="BM1714" s="12"/>
      <c r="BN1714" s="12"/>
      <c r="BO1714" s="12"/>
      <c r="BP1714" s="11"/>
      <c r="BQ1714" s="12"/>
      <c r="BR1714" s="7" t="str">
        <f t="shared" si="1"/>
        <v/>
      </c>
    </row>
    <row r="1715" ht="22.5" customHeight="1">
      <c r="A1715" s="8"/>
      <c r="B1715" s="9"/>
      <c r="C1715" s="10"/>
      <c r="D1715" s="12"/>
      <c r="E1715" s="12"/>
      <c r="F1715" s="12"/>
      <c r="G1715" s="12"/>
      <c r="H1715" s="12"/>
      <c r="I1715" s="12"/>
      <c r="J1715" s="12"/>
      <c r="K1715" s="12"/>
      <c r="L1715" s="12"/>
      <c r="M1715" s="12"/>
      <c r="N1715" s="12"/>
      <c r="O1715" s="12"/>
      <c r="P1715" s="12"/>
      <c r="Q1715" s="12"/>
      <c r="R1715" s="12"/>
      <c r="S1715" s="12"/>
      <c r="T1715" s="12"/>
      <c r="U1715" s="11"/>
      <c r="V1715" s="11"/>
      <c r="W1715" s="11"/>
      <c r="X1715" s="12"/>
      <c r="Y1715" s="12"/>
      <c r="Z1715" s="12"/>
      <c r="AA1715" s="11"/>
      <c r="AB1715" s="12"/>
      <c r="AC1715" s="12"/>
      <c r="AD1715" s="12"/>
      <c r="AE1715" s="12"/>
      <c r="AF1715" s="12"/>
      <c r="AG1715" s="12"/>
      <c r="AH1715" s="12"/>
      <c r="AI1715" s="12"/>
      <c r="AJ1715" s="12"/>
      <c r="AK1715" s="12"/>
      <c r="AL1715" s="12"/>
      <c r="AM1715" s="12"/>
      <c r="AN1715" s="12"/>
      <c r="AO1715" s="12"/>
      <c r="AP1715" s="12"/>
      <c r="AQ1715" s="12"/>
      <c r="AR1715" s="12"/>
      <c r="AS1715" s="12"/>
      <c r="AT1715" s="11"/>
      <c r="AU1715" s="11"/>
      <c r="AV1715" s="11"/>
      <c r="AW1715" s="12"/>
      <c r="AX1715" s="12"/>
      <c r="AY1715" s="12"/>
      <c r="AZ1715" s="11"/>
      <c r="BA1715" s="11"/>
      <c r="BB1715" s="11"/>
      <c r="BC1715" s="12"/>
      <c r="BD1715" s="12"/>
      <c r="BE1715" s="12"/>
      <c r="BF1715" s="12"/>
      <c r="BG1715" s="12"/>
      <c r="BH1715" s="12"/>
      <c r="BI1715" s="12"/>
      <c r="BJ1715" s="12"/>
      <c r="BK1715" s="12"/>
      <c r="BL1715" s="12"/>
      <c r="BM1715" s="12"/>
      <c r="BN1715" s="12"/>
      <c r="BO1715" s="12"/>
      <c r="BP1715" s="11"/>
      <c r="BQ1715" s="12"/>
      <c r="BR1715" s="7" t="str">
        <f t="shared" si="1"/>
        <v/>
      </c>
    </row>
    <row r="1716" ht="22.5" customHeight="1">
      <c r="A1716" s="8"/>
      <c r="B1716" s="9"/>
      <c r="C1716" s="10"/>
      <c r="D1716" s="12"/>
      <c r="E1716" s="12"/>
      <c r="F1716" s="12"/>
      <c r="G1716" s="12"/>
      <c r="H1716" s="12"/>
      <c r="I1716" s="12"/>
      <c r="J1716" s="12"/>
      <c r="K1716" s="12"/>
      <c r="L1716" s="12"/>
      <c r="M1716" s="12"/>
      <c r="N1716" s="12"/>
      <c r="O1716" s="12"/>
      <c r="P1716" s="12"/>
      <c r="Q1716" s="12"/>
      <c r="R1716" s="12"/>
      <c r="S1716" s="12"/>
      <c r="T1716" s="12"/>
      <c r="U1716" s="11"/>
      <c r="V1716" s="11"/>
      <c r="W1716" s="11"/>
      <c r="X1716" s="12"/>
      <c r="Y1716" s="12"/>
      <c r="Z1716" s="12"/>
      <c r="AA1716" s="11"/>
      <c r="AB1716" s="12"/>
      <c r="AC1716" s="12"/>
      <c r="AD1716" s="12"/>
      <c r="AE1716" s="12"/>
      <c r="AF1716" s="12"/>
      <c r="AG1716" s="12"/>
      <c r="AH1716" s="12"/>
      <c r="AI1716" s="12"/>
      <c r="AJ1716" s="12"/>
      <c r="AK1716" s="12"/>
      <c r="AL1716" s="12"/>
      <c r="AM1716" s="12"/>
      <c r="AN1716" s="12"/>
      <c r="AO1716" s="12"/>
      <c r="AP1716" s="12"/>
      <c r="AQ1716" s="12"/>
      <c r="AR1716" s="12"/>
      <c r="AS1716" s="12"/>
      <c r="AT1716" s="11"/>
      <c r="AU1716" s="11"/>
      <c r="AV1716" s="11"/>
      <c r="AW1716" s="12"/>
      <c r="AX1716" s="12"/>
      <c r="AY1716" s="12"/>
      <c r="AZ1716" s="11"/>
      <c r="BA1716" s="11"/>
      <c r="BB1716" s="11"/>
      <c r="BC1716" s="12"/>
      <c r="BD1716" s="12"/>
      <c r="BE1716" s="12"/>
      <c r="BF1716" s="12"/>
      <c r="BG1716" s="12"/>
      <c r="BH1716" s="12"/>
      <c r="BI1716" s="12"/>
      <c r="BJ1716" s="12"/>
      <c r="BK1716" s="12"/>
      <c r="BL1716" s="12"/>
      <c r="BM1716" s="12"/>
      <c r="BN1716" s="12"/>
      <c r="BO1716" s="12"/>
      <c r="BP1716" s="11"/>
      <c r="BQ1716" s="12"/>
      <c r="BR1716" s="7" t="str">
        <f t="shared" si="1"/>
        <v/>
      </c>
    </row>
    <row r="1717" ht="22.5" customHeight="1">
      <c r="A1717" s="8"/>
      <c r="B1717" s="9"/>
      <c r="C1717" s="10"/>
      <c r="D1717" s="12"/>
      <c r="E1717" s="12"/>
      <c r="F1717" s="12"/>
      <c r="G1717" s="12"/>
      <c r="H1717" s="12"/>
      <c r="I1717" s="12"/>
      <c r="J1717" s="12"/>
      <c r="K1717" s="12"/>
      <c r="L1717" s="12"/>
      <c r="M1717" s="12"/>
      <c r="N1717" s="12"/>
      <c r="O1717" s="12"/>
      <c r="P1717" s="12"/>
      <c r="Q1717" s="12"/>
      <c r="R1717" s="12"/>
      <c r="S1717" s="12"/>
      <c r="T1717" s="12"/>
      <c r="U1717" s="11"/>
      <c r="V1717" s="11"/>
      <c r="W1717" s="11"/>
      <c r="X1717" s="12"/>
      <c r="Y1717" s="12"/>
      <c r="Z1717" s="12"/>
      <c r="AA1717" s="11"/>
      <c r="AB1717" s="12"/>
      <c r="AC1717" s="12"/>
      <c r="AD1717" s="12"/>
      <c r="AE1717" s="12"/>
      <c r="AF1717" s="12"/>
      <c r="AG1717" s="12"/>
      <c r="AH1717" s="12"/>
      <c r="AI1717" s="12"/>
      <c r="AJ1717" s="12"/>
      <c r="AK1717" s="12"/>
      <c r="AL1717" s="12"/>
      <c r="AM1717" s="12"/>
      <c r="AN1717" s="12"/>
      <c r="AO1717" s="12"/>
      <c r="AP1717" s="12"/>
      <c r="AQ1717" s="12"/>
      <c r="AR1717" s="12"/>
      <c r="AS1717" s="12"/>
      <c r="AT1717" s="11"/>
      <c r="AU1717" s="11"/>
      <c r="AV1717" s="11"/>
      <c r="AW1717" s="12"/>
      <c r="AX1717" s="12"/>
      <c r="AY1717" s="12"/>
      <c r="AZ1717" s="11"/>
      <c r="BA1717" s="11"/>
      <c r="BB1717" s="11"/>
      <c r="BC1717" s="12"/>
      <c r="BD1717" s="12"/>
      <c r="BE1717" s="12"/>
      <c r="BF1717" s="12"/>
      <c r="BG1717" s="12"/>
      <c r="BH1717" s="12"/>
      <c r="BI1717" s="12"/>
      <c r="BJ1717" s="12"/>
      <c r="BK1717" s="12"/>
      <c r="BL1717" s="12"/>
      <c r="BM1717" s="12"/>
      <c r="BN1717" s="12"/>
      <c r="BO1717" s="12"/>
      <c r="BP1717" s="11"/>
      <c r="BQ1717" s="12"/>
      <c r="BR1717" s="7" t="str">
        <f t="shared" si="1"/>
        <v/>
      </c>
    </row>
    <row r="1718" ht="22.5" customHeight="1">
      <c r="A1718" s="8"/>
      <c r="B1718" s="9"/>
      <c r="C1718" s="10"/>
      <c r="D1718" s="12"/>
      <c r="E1718" s="12"/>
      <c r="F1718" s="12"/>
      <c r="G1718" s="12"/>
      <c r="H1718" s="12"/>
      <c r="I1718" s="12"/>
      <c r="J1718" s="12"/>
      <c r="K1718" s="12"/>
      <c r="L1718" s="12"/>
      <c r="M1718" s="12"/>
      <c r="N1718" s="12"/>
      <c r="O1718" s="12"/>
      <c r="P1718" s="12"/>
      <c r="Q1718" s="12"/>
      <c r="R1718" s="12"/>
      <c r="S1718" s="12"/>
      <c r="T1718" s="12"/>
      <c r="U1718" s="11"/>
      <c r="V1718" s="11"/>
      <c r="W1718" s="11"/>
      <c r="X1718" s="12"/>
      <c r="Y1718" s="12"/>
      <c r="Z1718" s="12"/>
      <c r="AA1718" s="11"/>
      <c r="AB1718" s="12"/>
      <c r="AC1718" s="12"/>
      <c r="AD1718" s="12"/>
      <c r="AE1718" s="12"/>
      <c r="AF1718" s="12"/>
      <c r="AG1718" s="12"/>
      <c r="AH1718" s="12"/>
      <c r="AI1718" s="12"/>
      <c r="AJ1718" s="12"/>
      <c r="AK1718" s="12"/>
      <c r="AL1718" s="12"/>
      <c r="AM1718" s="12"/>
      <c r="AN1718" s="12"/>
      <c r="AO1718" s="12"/>
      <c r="AP1718" s="12"/>
      <c r="AQ1718" s="12"/>
      <c r="AR1718" s="12"/>
      <c r="AS1718" s="12"/>
      <c r="AT1718" s="11"/>
      <c r="AU1718" s="11"/>
      <c r="AV1718" s="11"/>
      <c r="AW1718" s="12"/>
      <c r="AX1718" s="12"/>
      <c r="AY1718" s="12"/>
      <c r="AZ1718" s="11"/>
      <c r="BA1718" s="11"/>
      <c r="BB1718" s="11"/>
      <c r="BC1718" s="12"/>
      <c r="BD1718" s="12"/>
      <c r="BE1718" s="12"/>
      <c r="BF1718" s="12"/>
      <c r="BG1718" s="12"/>
      <c r="BH1718" s="12"/>
      <c r="BI1718" s="12"/>
      <c r="BJ1718" s="12"/>
      <c r="BK1718" s="12"/>
      <c r="BL1718" s="12"/>
      <c r="BM1718" s="12"/>
      <c r="BN1718" s="12"/>
      <c r="BO1718" s="12"/>
      <c r="BP1718" s="11"/>
      <c r="BQ1718" s="12"/>
      <c r="BR1718" s="7" t="str">
        <f t="shared" si="1"/>
        <v/>
      </c>
    </row>
    <row r="1719" ht="22.5" customHeight="1">
      <c r="A1719" s="8"/>
      <c r="B1719" s="9"/>
      <c r="C1719" s="10"/>
      <c r="D1719" s="12"/>
      <c r="E1719" s="12"/>
      <c r="F1719" s="12"/>
      <c r="G1719" s="12"/>
      <c r="H1719" s="12"/>
      <c r="I1719" s="12"/>
      <c r="J1719" s="12"/>
      <c r="K1719" s="12"/>
      <c r="L1719" s="12"/>
      <c r="M1719" s="12"/>
      <c r="N1719" s="12"/>
      <c r="O1719" s="12"/>
      <c r="P1719" s="12"/>
      <c r="Q1719" s="12"/>
      <c r="R1719" s="12"/>
      <c r="S1719" s="12"/>
      <c r="T1719" s="12"/>
      <c r="U1719" s="11"/>
      <c r="V1719" s="11"/>
      <c r="W1719" s="11"/>
      <c r="X1719" s="12"/>
      <c r="Y1719" s="12"/>
      <c r="Z1719" s="12"/>
      <c r="AA1719" s="11"/>
      <c r="AB1719" s="12"/>
      <c r="AC1719" s="12"/>
      <c r="AD1719" s="12"/>
      <c r="AE1719" s="12"/>
      <c r="AF1719" s="12"/>
      <c r="AG1719" s="12"/>
      <c r="AH1719" s="12"/>
      <c r="AI1719" s="12"/>
      <c r="AJ1719" s="12"/>
      <c r="AK1719" s="12"/>
      <c r="AL1719" s="12"/>
      <c r="AM1719" s="12"/>
      <c r="AN1719" s="12"/>
      <c r="AO1719" s="12"/>
      <c r="AP1719" s="12"/>
      <c r="AQ1719" s="12"/>
      <c r="AR1719" s="12"/>
      <c r="AS1719" s="12"/>
      <c r="AT1719" s="11"/>
      <c r="AU1719" s="11"/>
      <c r="AV1719" s="11"/>
      <c r="AW1719" s="12"/>
      <c r="AX1719" s="12"/>
      <c r="AY1719" s="12"/>
      <c r="AZ1719" s="11"/>
      <c r="BA1719" s="11"/>
      <c r="BB1719" s="11"/>
      <c r="BC1719" s="12"/>
      <c r="BD1719" s="12"/>
      <c r="BE1719" s="12"/>
      <c r="BF1719" s="12"/>
      <c r="BG1719" s="12"/>
      <c r="BH1719" s="12"/>
      <c r="BI1719" s="12"/>
      <c r="BJ1719" s="12"/>
      <c r="BK1719" s="12"/>
      <c r="BL1719" s="12"/>
      <c r="BM1719" s="12"/>
      <c r="BN1719" s="12"/>
      <c r="BO1719" s="12"/>
      <c r="BP1719" s="11"/>
      <c r="BQ1719" s="12"/>
      <c r="BR1719" s="7" t="str">
        <f t="shared" si="1"/>
        <v/>
      </c>
    </row>
    <row r="1720" ht="22.5" customHeight="1">
      <c r="A1720" s="8"/>
      <c r="B1720" s="9"/>
      <c r="C1720" s="10"/>
      <c r="D1720" s="12"/>
      <c r="E1720" s="12"/>
      <c r="F1720" s="12"/>
      <c r="G1720" s="12"/>
      <c r="H1720" s="12"/>
      <c r="I1720" s="12"/>
      <c r="J1720" s="12"/>
      <c r="K1720" s="12"/>
      <c r="L1720" s="12"/>
      <c r="M1720" s="12"/>
      <c r="N1720" s="12"/>
      <c r="O1720" s="12"/>
      <c r="P1720" s="12"/>
      <c r="Q1720" s="12"/>
      <c r="R1720" s="12"/>
      <c r="S1720" s="12"/>
      <c r="T1720" s="12"/>
      <c r="U1720" s="11"/>
      <c r="V1720" s="11"/>
      <c r="W1720" s="11"/>
      <c r="X1720" s="12"/>
      <c r="Y1720" s="12"/>
      <c r="Z1720" s="12"/>
      <c r="AA1720" s="11"/>
      <c r="AB1720" s="12"/>
      <c r="AC1720" s="12"/>
      <c r="AD1720" s="12"/>
      <c r="AE1720" s="12"/>
      <c r="AF1720" s="12"/>
      <c r="AG1720" s="12"/>
      <c r="AH1720" s="12"/>
      <c r="AI1720" s="12"/>
      <c r="AJ1720" s="12"/>
      <c r="AK1720" s="12"/>
      <c r="AL1720" s="12"/>
      <c r="AM1720" s="12"/>
      <c r="AN1720" s="12"/>
      <c r="AO1720" s="12"/>
      <c r="AP1720" s="12"/>
      <c r="AQ1720" s="12"/>
      <c r="AR1720" s="12"/>
      <c r="AS1720" s="12"/>
      <c r="AT1720" s="11"/>
      <c r="AU1720" s="11"/>
      <c r="AV1720" s="11"/>
      <c r="AW1720" s="12"/>
      <c r="AX1720" s="12"/>
      <c r="AY1720" s="12"/>
      <c r="AZ1720" s="11"/>
      <c r="BA1720" s="11"/>
      <c r="BB1720" s="11"/>
      <c r="BC1720" s="12"/>
      <c r="BD1720" s="12"/>
      <c r="BE1720" s="12"/>
      <c r="BF1720" s="12"/>
      <c r="BG1720" s="12"/>
      <c r="BH1720" s="12"/>
      <c r="BI1720" s="12"/>
      <c r="BJ1720" s="12"/>
      <c r="BK1720" s="12"/>
      <c r="BL1720" s="12"/>
      <c r="BM1720" s="12"/>
      <c r="BN1720" s="12"/>
      <c r="BO1720" s="12"/>
      <c r="BP1720" s="11"/>
      <c r="BQ1720" s="12"/>
      <c r="BR1720" s="7" t="str">
        <f t="shared" si="1"/>
        <v/>
      </c>
    </row>
    <row r="1721" ht="22.5" customHeight="1">
      <c r="A1721" s="8"/>
      <c r="B1721" s="9"/>
      <c r="C1721" s="10"/>
      <c r="D1721" s="12"/>
      <c r="E1721" s="12"/>
      <c r="F1721" s="12"/>
      <c r="G1721" s="12"/>
      <c r="H1721" s="12"/>
      <c r="I1721" s="12"/>
      <c r="J1721" s="12"/>
      <c r="K1721" s="12"/>
      <c r="L1721" s="12"/>
      <c r="M1721" s="12"/>
      <c r="N1721" s="12"/>
      <c r="O1721" s="12"/>
      <c r="P1721" s="12"/>
      <c r="Q1721" s="12"/>
      <c r="R1721" s="12"/>
      <c r="S1721" s="12"/>
      <c r="T1721" s="12"/>
      <c r="U1721" s="11"/>
      <c r="V1721" s="11"/>
      <c r="W1721" s="11"/>
      <c r="X1721" s="12"/>
      <c r="Y1721" s="12"/>
      <c r="Z1721" s="12"/>
      <c r="AA1721" s="11"/>
      <c r="AB1721" s="12"/>
      <c r="AC1721" s="12"/>
      <c r="AD1721" s="12"/>
      <c r="AE1721" s="12"/>
      <c r="AF1721" s="12"/>
      <c r="AG1721" s="12"/>
      <c r="AH1721" s="12"/>
      <c r="AI1721" s="12"/>
      <c r="AJ1721" s="12"/>
      <c r="AK1721" s="12"/>
      <c r="AL1721" s="12"/>
      <c r="AM1721" s="12"/>
      <c r="AN1721" s="12"/>
      <c r="AO1721" s="12"/>
      <c r="AP1721" s="12"/>
      <c r="AQ1721" s="12"/>
      <c r="AR1721" s="12"/>
      <c r="AS1721" s="12"/>
      <c r="AT1721" s="11"/>
      <c r="AU1721" s="11"/>
      <c r="AV1721" s="11"/>
      <c r="AW1721" s="12"/>
      <c r="AX1721" s="12"/>
      <c r="AY1721" s="12"/>
      <c r="AZ1721" s="11"/>
      <c r="BA1721" s="11"/>
      <c r="BB1721" s="11"/>
      <c r="BC1721" s="12"/>
      <c r="BD1721" s="12"/>
      <c r="BE1721" s="12"/>
      <c r="BF1721" s="12"/>
      <c r="BG1721" s="12"/>
      <c r="BH1721" s="12"/>
      <c r="BI1721" s="12"/>
      <c r="BJ1721" s="12"/>
      <c r="BK1721" s="12"/>
      <c r="BL1721" s="12"/>
      <c r="BM1721" s="12"/>
      <c r="BN1721" s="12"/>
      <c r="BO1721" s="12"/>
      <c r="BP1721" s="11"/>
      <c r="BQ1721" s="12"/>
      <c r="BR1721" s="7" t="str">
        <f t="shared" si="1"/>
        <v/>
      </c>
    </row>
    <row r="1722" ht="22.5" customHeight="1">
      <c r="A1722" s="8"/>
      <c r="B1722" s="9"/>
      <c r="C1722" s="10"/>
      <c r="D1722" s="12"/>
      <c r="E1722" s="12"/>
      <c r="F1722" s="12"/>
      <c r="G1722" s="12"/>
      <c r="H1722" s="12"/>
      <c r="I1722" s="12"/>
      <c r="J1722" s="12"/>
      <c r="K1722" s="12"/>
      <c r="L1722" s="12"/>
      <c r="M1722" s="12"/>
      <c r="N1722" s="12"/>
      <c r="O1722" s="12"/>
      <c r="P1722" s="12"/>
      <c r="Q1722" s="12"/>
      <c r="R1722" s="12"/>
      <c r="S1722" s="12"/>
      <c r="T1722" s="12"/>
      <c r="U1722" s="11"/>
      <c r="V1722" s="11"/>
      <c r="W1722" s="11"/>
      <c r="X1722" s="12"/>
      <c r="Y1722" s="12"/>
      <c r="Z1722" s="12"/>
      <c r="AA1722" s="11"/>
      <c r="AB1722" s="12"/>
      <c r="AC1722" s="12"/>
      <c r="AD1722" s="12"/>
      <c r="AE1722" s="12"/>
      <c r="AF1722" s="12"/>
      <c r="AG1722" s="12"/>
      <c r="AH1722" s="12"/>
      <c r="AI1722" s="12"/>
      <c r="AJ1722" s="12"/>
      <c r="AK1722" s="12"/>
      <c r="AL1722" s="12"/>
      <c r="AM1722" s="12"/>
      <c r="AN1722" s="12"/>
      <c r="AO1722" s="12"/>
      <c r="AP1722" s="12"/>
      <c r="AQ1722" s="12"/>
      <c r="AR1722" s="12"/>
      <c r="AS1722" s="12"/>
      <c r="AT1722" s="11"/>
      <c r="AU1722" s="11"/>
      <c r="AV1722" s="11"/>
      <c r="AW1722" s="12"/>
      <c r="AX1722" s="12"/>
      <c r="AY1722" s="12"/>
      <c r="AZ1722" s="11"/>
      <c r="BA1722" s="11"/>
      <c r="BB1722" s="11"/>
      <c r="BC1722" s="12"/>
      <c r="BD1722" s="12"/>
      <c r="BE1722" s="12"/>
      <c r="BF1722" s="12"/>
      <c r="BG1722" s="12"/>
      <c r="BH1722" s="12"/>
      <c r="BI1722" s="12"/>
      <c r="BJ1722" s="12"/>
      <c r="BK1722" s="12"/>
      <c r="BL1722" s="12"/>
      <c r="BM1722" s="12"/>
      <c r="BN1722" s="12"/>
      <c r="BO1722" s="12"/>
      <c r="BP1722" s="11"/>
      <c r="BQ1722" s="12"/>
      <c r="BR1722" s="7" t="str">
        <f t="shared" si="1"/>
        <v/>
      </c>
    </row>
    <row r="1723" ht="22.5" customHeight="1">
      <c r="A1723" s="8"/>
      <c r="B1723" s="9"/>
      <c r="C1723" s="10"/>
      <c r="D1723" s="12"/>
      <c r="E1723" s="12"/>
      <c r="F1723" s="12"/>
      <c r="G1723" s="12"/>
      <c r="H1723" s="12"/>
      <c r="I1723" s="12"/>
      <c r="J1723" s="12"/>
      <c r="K1723" s="12"/>
      <c r="L1723" s="12"/>
      <c r="M1723" s="12"/>
      <c r="N1723" s="12"/>
      <c r="O1723" s="12"/>
      <c r="P1723" s="12"/>
      <c r="Q1723" s="12"/>
      <c r="R1723" s="12"/>
      <c r="S1723" s="12"/>
      <c r="T1723" s="12"/>
      <c r="U1723" s="11"/>
      <c r="V1723" s="11"/>
      <c r="W1723" s="11"/>
      <c r="X1723" s="12"/>
      <c r="Y1723" s="12"/>
      <c r="Z1723" s="12"/>
      <c r="AA1723" s="11"/>
      <c r="AB1723" s="12"/>
      <c r="AC1723" s="12"/>
      <c r="AD1723" s="12"/>
      <c r="AE1723" s="12"/>
      <c r="AF1723" s="12"/>
      <c r="AG1723" s="12"/>
      <c r="AH1723" s="12"/>
      <c r="AI1723" s="12"/>
      <c r="AJ1723" s="12"/>
      <c r="AK1723" s="12"/>
      <c r="AL1723" s="12"/>
      <c r="AM1723" s="12"/>
      <c r="AN1723" s="12"/>
      <c r="AO1723" s="12"/>
      <c r="AP1723" s="12"/>
      <c r="AQ1723" s="12"/>
      <c r="AR1723" s="12"/>
      <c r="AS1723" s="12"/>
      <c r="AT1723" s="11"/>
      <c r="AU1723" s="11"/>
      <c r="AV1723" s="11"/>
      <c r="AW1723" s="12"/>
      <c r="AX1723" s="12"/>
      <c r="AY1723" s="12"/>
      <c r="AZ1723" s="11"/>
      <c r="BA1723" s="11"/>
      <c r="BB1723" s="11"/>
      <c r="BC1723" s="12"/>
      <c r="BD1723" s="12"/>
      <c r="BE1723" s="12"/>
      <c r="BF1723" s="12"/>
      <c r="BG1723" s="12"/>
      <c r="BH1723" s="12"/>
      <c r="BI1723" s="12"/>
      <c r="BJ1723" s="12"/>
      <c r="BK1723" s="12"/>
      <c r="BL1723" s="12"/>
      <c r="BM1723" s="12"/>
      <c r="BN1723" s="12"/>
      <c r="BO1723" s="12"/>
      <c r="BP1723" s="11"/>
      <c r="BQ1723" s="12"/>
      <c r="BR1723" s="7" t="str">
        <f t="shared" si="1"/>
        <v/>
      </c>
    </row>
    <row r="1724" ht="22.5" customHeight="1">
      <c r="A1724" s="8"/>
      <c r="B1724" s="9"/>
      <c r="C1724" s="10"/>
      <c r="D1724" s="12"/>
      <c r="E1724" s="12"/>
      <c r="F1724" s="12"/>
      <c r="G1724" s="12"/>
      <c r="H1724" s="12"/>
      <c r="I1724" s="12"/>
      <c r="J1724" s="12"/>
      <c r="K1724" s="12"/>
      <c r="L1724" s="12"/>
      <c r="M1724" s="12"/>
      <c r="N1724" s="12"/>
      <c r="O1724" s="12"/>
      <c r="P1724" s="12"/>
      <c r="Q1724" s="12"/>
      <c r="R1724" s="12"/>
      <c r="S1724" s="12"/>
      <c r="T1724" s="12"/>
      <c r="U1724" s="11"/>
      <c r="V1724" s="11"/>
      <c r="W1724" s="11"/>
      <c r="X1724" s="12"/>
      <c r="Y1724" s="12"/>
      <c r="Z1724" s="12"/>
      <c r="AA1724" s="11"/>
      <c r="AB1724" s="12"/>
      <c r="AC1724" s="12"/>
      <c r="AD1724" s="12"/>
      <c r="AE1724" s="12"/>
      <c r="AF1724" s="12"/>
      <c r="AG1724" s="12"/>
      <c r="AH1724" s="12"/>
      <c r="AI1724" s="12"/>
      <c r="AJ1724" s="12"/>
      <c r="AK1724" s="12"/>
      <c r="AL1724" s="12"/>
      <c r="AM1724" s="12"/>
      <c r="AN1724" s="12"/>
      <c r="AO1724" s="12"/>
      <c r="AP1724" s="12"/>
      <c r="AQ1724" s="12"/>
      <c r="AR1724" s="12"/>
      <c r="AS1724" s="12"/>
      <c r="AT1724" s="11"/>
      <c r="AU1724" s="11"/>
      <c r="AV1724" s="11"/>
      <c r="AW1724" s="12"/>
      <c r="AX1724" s="12"/>
      <c r="AY1724" s="12"/>
      <c r="AZ1724" s="11"/>
      <c r="BA1724" s="11"/>
      <c r="BB1724" s="11"/>
      <c r="BC1724" s="12"/>
      <c r="BD1724" s="12"/>
      <c r="BE1724" s="12"/>
      <c r="BF1724" s="12"/>
      <c r="BG1724" s="12"/>
      <c r="BH1724" s="12"/>
      <c r="BI1724" s="12"/>
      <c r="BJ1724" s="12"/>
      <c r="BK1724" s="12"/>
      <c r="BL1724" s="12"/>
      <c r="BM1724" s="12"/>
      <c r="BN1724" s="12"/>
      <c r="BO1724" s="12"/>
      <c r="BP1724" s="11"/>
      <c r="BQ1724" s="12"/>
      <c r="BR1724" s="7" t="str">
        <f t="shared" si="1"/>
        <v/>
      </c>
    </row>
    <row r="1725" ht="22.5" customHeight="1">
      <c r="A1725" s="8"/>
      <c r="B1725" s="9"/>
      <c r="C1725" s="10"/>
      <c r="D1725" s="12"/>
      <c r="E1725" s="12"/>
      <c r="F1725" s="12"/>
      <c r="G1725" s="12"/>
      <c r="H1725" s="12"/>
      <c r="I1725" s="12"/>
      <c r="J1725" s="12"/>
      <c r="K1725" s="12"/>
      <c r="L1725" s="12"/>
      <c r="M1725" s="12"/>
      <c r="N1725" s="12"/>
      <c r="O1725" s="12"/>
      <c r="P1725" s="12"/>
      <c r="Q1725" s="12"/>
      <c r="R1725" s="12"/>
      <c r="S1725" s="12"/>
      <c r="T1725" s="12"/>
      <c r="U1725" s="11"/>
      <c r="V1725" s="11"/>
      <c r="W1725" s="11"/>
      <c r="X1725" s="12"/>
      <c r="Y1725" s="12"/>
      <c r="Z1725" s="12"/>
      <c r="AA1725" s="11"/>
      <c r="AB1725" s="12"/>
      <c r="AC1725" s="12"/>
      <c r="AD1725" s="12"/>
      <c r="AE1725" s="12"/>
      <c r="AF1725" s="12"/>
      <c r="AG1725" s="12"/>
      <c r="AH1725" s="12"/>
      <c r="AI1725" s="12"/>
      <c r="AJ1725" s="12"/>
      <c r="AK1725" s="12"/>
      <c r="AL1725" s="12"/>
      <c r="AM1725" s="12"/>
      <c r="AN1725" s="12"/>
      <c r="AO1725" s="12"/>
      <c r="AP1725" s="12"/>
      <c r="AQ1725" s="12"/>
      <c r="AR1725" s="12"/>
      <c r="AS1725" s="12"/>
      <c r="AT1725" s="11"/>
      <c r="AU1725" s="11"/>
      <c r="AV1725" s="11"/>
      <c r="AW1725" s="12"/>
      <c r="AX1725" s="12"/>
      <c r="AY1725" s="12"/>
      <c r="AZ1725" s="11"/>
      <c r="BA1725" s="11"/>
      <c r="BB1725" s="11"/>
      <c r="BC1725" s="12"/>
      <c r="BD1725" s="12"/>
      <c r="BE1725" s="12"/>
      <c r="BF1725" s="12"/>
      <c r="BG1725" s="12"/>
      <c r="BH1725" s="12"/>
      <c r="BI1725" s="12"/>
      <c r="BJ1725" s="12"/>
      <c r="BK1725" s="12"/>
      <c r="BL1725" s="12"/>
      <c r="BM1725" s="12"/>
      <c r="BN1725" s="12"/>
      <c r="BO1725" s="12"/>
      <c r="BP1725" s="11"/>
      <c r="BQ1725" s="12"/>
      <c r="BR1725" s="7" t="str">
        <f t="shared" si="1"/>
        <v/>
      </c>
    </row>
    <row r="1726" ht="22.5" customHeight="1">
      <c r="A1726" s="8"/>
      <c r="B1726" s="9"/>
      <c r="C1726" s="10"/>
      <c r="D1726" s="12"/>
      <c r="E1726" s="12"/>
      <c r="F1726" s="12"/>
      <c r="G1726" s="12"/>
      <c r="H1726" s="12"/>
      <c r="I1726" s="12"/>
      <c r="J1726" s="12"/>
      <c r="K1726" s="12"/>
      <c r="L1726" s="12"/>
      <c r="M1726" s="12"/>
      <c r="N1726" s="12"/>
      <c r="O1726" s="12"/>
      <c r="P1726" s="12"/>
      <c r="Q1726" s="12"/>
      <c r="R1726" s="12"/>
      <c r="S1726" s="12"/>
      <c r="T1726" s="12"/>
      <c r="U1726" s="11"/>
      <c r="V1726" s="11"/>
      <c r="W1726" s="11"/>
      <c r="X1726" s="12"/>
      <c r="Y1726" s="12"/>
      <c r="Z1726" s="12"/>
      <c r="AA1726" s="11"/>
      <c r="AB1726" s="12"/>
      <c r="AC1726" s="12"/>
      <c r="AD1726" s="12"/>
      <c r="AE1726" s="12"/>
      <c r="AF1726" s="12"/>
      <c r="AG1726" s="12"/>
      <c r="AH1726" s="12"/>
      <c r="AI1726" s="12"/>
      <c r="AJ1726" s="12"/>
      <c r="AK1726" s="12"/>
      <c r="AL1726" s="12"/>
      <c r="AM1726" s="12"/>
      <c r="AN1726" s="12"/>
      <c r="AO1726" s="12"/>
      <c r="AP1726" s="12"/>
      <c r="AQ1726" s="12"/>
      <c r="AR1726" s="12"/>
      <c r="AS1726" s="12"/>
      <c r="AT1726" s="11"/>
      <c r="AU1726" s="11"/>
      <c r="AV1726" s="11"/>
      <c r="AW1726" s="12"/>
      <c r="AX1726" s="12"/>
      <c r="AY1726" s="12"/>
      <c r="AZ1726" s="11"/>
      <c r="BA1726" s="11"/>
      <c r="BB1726" s="11"/>
      <c r="BC1726" s="12"/>
      <c r="BD1726" s="12"/>
      <c r="BE1726" s="12"/>
      <c r="BF1726" s="12"/>
      <c r="BG1726" s="12"/>
      <c r="BH1726" s="12"/>
      <c r="BI1726" s="12"/>
      <c r="BJ1726" s="12"/>
      <c r="BK1726" s="12"/>
      <c r="BL1726" s="12"/>
      <c r="BM1726" s="12"/>
      <c r="BN1726" s="12"/>
      <c r="BO1726" s="12"/>
      <c r="BP1726" s="11"/>
      <c r="BQ1726" s="12"/>
      <c r="BR1726" s="7" t="str">
        <f t="shared" si="1"/>
        <v/>
      </c>
    </row>
    <row r="1727" ht="22.5" customHeight="1">
      <c r="A1727" s="8"/>
      <c r="B1727" s="9"/>
      <c r="C1727" s="10"/>
      <c r="D1727" s="12"/>
      <c r="E1727" s="12"/>
      <c r="F1727" s="12"/>
      <c r="G1727" s="12"/>
      <c r="H1727" s="12"/>
      <c r="I1727" s="12"/>
      <c r="J1727" s="12"/>
      <c r="K1727" s="12"/>
      <c r="L1727" s="12"/>
      <c r="M1727" s="12"/>
      <c r="N1727" s="12"/>
      <c r="O1727" s="12"/>
      <c r="P1727" s="12"/>
      <c r="Q1727" s="12"/>
      <c r="R1727" s="12"/>
      <c r="S1727" s="12"/>
      <c r="T1727" s="12"/>
      <c r="U1727" s="11"/>
      <c r="V1727" s="11"/>
      <c r="W1727" s="11"/>
      <c r="X1727" s="12"/>
      <c r="Y1727" s="12"/>
      <c r="Z1727" s="12"/>
      <c r="AA1727" s="11"/>
      <c r="AB1727" s="12"/>
      <c r="AC1727" s="12"/>
      <c r="AD1727" s="12"/>
      <c r="AE1727" s="12"/>
      <c r="AF1727" s="12"/>
      <c r="AG1727" s="12"/>
      <c r="AH1727" s="12"/>
      <c r="AI1727" s="12"/>
      <c r="AJ1727" s="12"/>
      <c r="AK1727" s="12"/>
      <c r="AL1727" s="12"/>
      <c r="AM1727" s="12"/>
      <c r="AN1727" s="12"/>
      <c r="AO1727" s="12"/>
      <c r="AP1727" s="12"/>
      <c r="AQ1727" s="12"/>
      <c r="AR1727" s="12"/>
      <c r="AS1727" s="12"/>
      <c r="AT1727" s="11"/>
      <c r="AU1727" s="11"/>
      <c r="AV1727" s="11"/>
      <c r="AW1727" s="12"/>
      <c r="AX1727" s="12"/>
      <c r="AY1727" s="12"/>
      <c r="AZ1727" s="11"/>
      <c r="BA1727" s="11"/>
      <c r="BB1727" s="11"/>
      <c r="BC1727" s="12"/>
      <c r="BD1727" s="12"/>
      <c r="BE1727" s="12"/>
      <c r="BF1727" s="12"/>
      <c r="BG1727" s="12"/>
      <c r="BH1727" s="12"/>
      <c r="BI1727" s="12"/>
      <c r="BJ1727" s="12"/>
      <c r="BK1727" s="12"/>
      <c r="BL1727" s="12"/>
      <c r="BM1727" s="12"/>
      <c r="BN1727" s="12"/>
      <c r="BO1727" s="12"/>
      <c r="BP1727" s="11"/>
      <c r="BQ1727" s="12"/>
      <c r="BR1727" s="7" t="str">
        <f t="shared" si="1"/>
        <v/>
      </c>
    </row>
    <row r="1728" ht="22.5" customHeight="1">
      <c r="A1728" s="8"/>
      <c r="B1728" s="9"/>
      <c r="C1728" s="10"/>
      <c r="D1728" s="12"/>
      <c r="E1728" s="12"/>
      <c r="F1728" s="12"/>
      <c r="G1728" s="12"/>
      <c r="H1728" s="12"/>
      <c r="I1728" s="12"/>
      <c r="J1728" s="12"/>
      <c r="K1728" s="12"/>
      <c r="L1728" s="12"/>
      <c r="M1728" s="12"/>
      <c r="N1728" s="12"/>
      <c r="O1728" s="12"/>
      <c r="P1728" s="12"/>
      <c r="Q1728" s="12"/>
      <c r="R1728" s="12"/>
      <c r="S1728" s="12"/>
      <c r="T1728" s="12"/>
      <c r="U1728" s="11"/>
      <c r="V1728" s="11"/>
      <c r="W1728" s="11"/>
      <c r="X1728" s="12"/>
      <c r="Y1728" s="12"/>
      <c r="Z1728" s="12"/>
      <c r="AA1728" s="11"/>
      <c r="AB1728" s="12"/>
      <c r="AC1728" s="12"/>
      <c r="AD1728" s="12"/>
      <c r="AE1728" s="12"/>
      <c r="AF1728" s="12"/>
      <c r="AG1728" s="12"/>
      <c r="AH1728" s="12"/>
      <c r="AI1728" s="12"/>
      <c r="AJ1728" s="12"/>
      <c r="AK1728" s="12"/>
      <c r="AL1728" s="12"/>
      <c r="AM1728" s="12"/>
      <c r="AN1728" s="12"/>
      <c r="AO1728" s="12"/>
      <c r="AP1728" s="12"/>
      <c r="AQ1728" s="12"/>
      <c r="AR1728" s="12"/>
      <c r="AS1728" s="12"/>
      <c r="AT1728" s="11"/>
      <c r="AU1728" s="11"/>
      <c r="AV1728" s="11"/>
      <c r="AW1728" s="12"/>
      <c r="AX1728" s="12"/>
      <c r="AY1728" s="12"/>
      <c r="AZ1728" s="11"/>
      <c r="BA1728" s="11"/>
      <c r="BB1728" s="11"/>
      <c r="BC1728" s="12"/>
      <c r="BD1728" s="12"/>
      <c r="BE1728" s="12"/>
      <c r="BF1728" s="12"/>
      <c r="BG1728" s="12"/>
      <c r="BH1728" s="12"/>
      <c r="BI1728" s="12"/>
      <c r="BJ1728" s="12"/>
      <c r="BK1728" s="12"/>
      <c r="BL1728" s="12"/>
      <c r="BM1728" s="12"/>
      <c r="BN1728" s="12"/>
      <c r="BO1728" s="12"/>
      <c r="BP1728" s="11"/>
      <c r="BQ1728" s="12"/>
      <c r="BR1728" s="7" t="str">
        <f t="shared" si="1"/>
        <v/>
      </c>
    </row>
    <row r="1729" ht="22.5" customHeight="1">
      <c r="A1729" s="8"/>
      <c r="B1729" s="9"/>
      <c r="C1729" s="10"/>
      <c r="D1729" s="12"/>
      <c r="E1729" s="12"/>
      <c r="F1729" s="12"/>
      <c r="G1729" s="12"/>
      <c r="H1729" s="12"/>
      <c r="I1729" s="12"/>
      <c r="J1729" s="12"/>
      <c r="K1729" s="12"/>
      <c r="L1729" s="12"/>
      <c r="M1729" s="12"/>
      <c r="N1729" s="12"/>
      <c r="O1729" s="12"/>
      <c r="P1729" s="12"/>
      <c r="Q1729" s="12"/>
      <c r="R1729" s="12"/>
      <c r="S1729" s="12"/>
      <c r="T1729" s="12"/>
      <c r="U1729" s="11"/>
      <c r="V1729" s="11"/>
      <c r="W1729" s="11"/>
      <c r="X1729" s="12"/>
      <c r="Y1729" s="12"/>
      <c r="Z1729" s="12"/>
      <c r="AA1729" s="11"/>
      <c r="AB1729" s="12"/>
      <c r="AC1729" s="12"/>
      <c r="AD1729" s="12"/>
      <c r="AE1729" s="12"/>
      <c r="AF1729" s="12"/>
      <c r="AG1729" s="12"/>
      <c r="AH1729" s="12"/>
      <c r="AI1729" s="12"/>
      <c r="AJ1729" s="12"/>
      <c r="AK1729" s="12"/>
      <c r="AL1729" s="12"/>
      <c r="AM1729" s="12"/>
      <c r="AN1729" s="12"/>
      <c r="AO1729" s="12"/>
      <c r="AP1729" s="12"/>
      <c r="AQ1729" s="12"/>
      <c r="AR1729" s="12"/>
      <c r="AS1729" s="12"/>
      <c r="AT1729" s="11"/>
      <c r="AU1729" s="11"/>
      <c r="AV1729" s="11"/>
      <c r="AW1729" s="12"/>
      <c r="AX1729" s="12"/>
      <c r="AY1729" s="12"/>
      <c r="AZ1729" s="11"/>
      <c r="BA1729" s="11"/>
      <c r="BB1729" s="11"/>
      <c r="BC1729" s="12"/>
      <c r="BD1729" s="12"/>
      <c r="BE1729" s="12"/>
      <c r="BF1729" s="12"/>
      <c r="BG1729" s="12"/>
      <c r="BH1729" s="12"/>
      <c r="BI1729" s="12"/>
      <c r="BJ1729" s="12"/>
      <c r="BK1729" s="12"/>
      <c r="BL1729" s="12"/>
      <c r="BM1729" s="12"/>
      <c r="BN1729" s="12"/>
      <c r="BO1729" s="12"/>
      <c r="BP1729" s="11"/>
      <c r="BQ1729" s="12"/>
      <c r="BR1729" s="7" t="str">
        <f t="shared" si="1"/>
        <v/>
      </c>
    </row>
    <row r="1730" ht="22.5" customHeight="1">
      <c r="A1730" s="8"/>
      <c r="B1730" s="9"/>
      <c r="C1730" s="10"/>
      <c r="D1730" s="12"/>
      <c r="E1730" s="12"/>
      <c r="F1730" s="12"/>
      <c r="G1730" s="12"/>
      <c r="H1730" s="12"/>
      <c r="I1730" s="12"/>
      <c r="J1730" s="12"/>
      <c r="K1730" s="12"/>
      <c r="L1730" s="12"/>
      <c r="M1730" s="12"/>
      <c r="N1730" s="12"/>
      <c r="O1730" s="12"/>
      <c r="P1730" s="12"/>
      <c r="Q1730" s="12"/>
      <c r="R1730" s="12"/>
      <c r="S1730" s="12"/>
      <c r="T1730" s="12"/>
      <c r="U1730" s="11"/>
      <c r="V1730" s="11"/>
      <c r="W1730" s="11"/>
      <c r="X1730" s="12"/>
      <c r="Y1730" s="12"/>
      <c r="Z1730" s="12"/>
      <c r="AA1730" s="11"/>
      <c r="AB1730" s="12"/>
      <c r="AC1730" s="12"/>
      <c r="AD1730" s="12"/>
      <c r="AE1730" s="12"/>
      <c r="AF1730" s="12"/>
      <c r="AG1730" s="12"/>
      <c r="AH1730" s="12"/>
      <c r="AI1730" s="12"/>
      <c r="AJ1730" s="12"/>
      <c r="AK1730" s="12"/>
      <c r="AL1730" s="12"/>
      <c r="AM1730" s="12"/>
      <c r="AN1730" s="12"/>
      <c r="AO1730" s="12"/>
      <c r="AP1730" s="12"/>
      <c r="AQ1730" s="12"/>
      <c r="AR1730" s="12"/>
      <c r="AS1730" s="12"/>
      <c r="AT1730" s="11"/>
      <c r="AU1730" s="11"/>
      <c r="AV1730" s="11"/>
      <c r="AW1730" s="12"/>
      <c r="AX1730" s="12"/>
      <c r="AY1730" s="12"/>
      <c r="AZ1730" s="11"/>
      <c r="BA1730" s="11"/>
      <c r="BB1730" s="11"/>
      <c r="BC1730" s="12"/>
      <c r="BD1730" s="12"/>
      <c r="BE1730" s="12"/>
      <c r="BF1730" s="12"/>
      <c r="BG1730" s="12"/>
      <c r="BH1730" s="12"/>
      <c r="BI1730" s="12"/>
      <c r="BJ1730" s="12"/>
      <c r="BK1730" s="12"/>
      <c r="BL1730" s="12"/>
      <c r="BM1730" s="12"/>
      <c r="BN1730" s="12"/>
      <c r="BO1730" s="12"/>
      <c r="BP1730" s="11"/>
      <c r="BQ1730" s="12"/>
      <c r="BR1730" s="7" t="str">
        <f t="shared" si="1"/>
        <v/>
      </c>
    </row>
    <row r="1731" ht="22.5" customHeight="1">
      <c r="A1731" s="8"/>
      <c r="B1731" s="9"/>
      <c r="C1731" s="10"/>
      <c r="D1731" s="12"/>
      <c r="E1731" s="12"/>
      <c r="F1731" s="12"/>
      <c r="G1731" s="12"/>
      <c r="H1731" s="12"/>
      <c r="I1731" s="12"/>
      <c r="J1731" s="12"/>
      <c r="K1731" s="12"/>
      <c r="L1731" s="12"/>
      <c r="M1731" s="12"/>
      <c r="N1731" s="12"/>
      <c r="O1731" s="12"/>
      <c r="P1731" s="12"/>
      <c r="Q1731" s="12"/>
      <c r="R1731" s="12"/>
      <c r="S1731" s="12"/>
      <c r="T1731" s="12"/>
      <c r="U1731" s="11"/>
      <c r="V1731" s="11"/>
      <c r="W1731" s="11"/>
      <c r="X1731" s="12"/>
      <c r="Y1731" s="12"/>
      <c r="Z1731" s="12"/>
      <c r="AA1731" s="11"/>
      <c r="AB1731" s="12"/>
      <c r="AC1731" s="12"/>
      <c r="AD1731" s="12"/>
      <c r="AE1731" s="12"/>
      <c r="AF1731" s="12"/>
      <c r="AG1731" s="12"/>
      <c r="AH1731" s="12"/>
      <c r="AI1731" s="12"/>
      <c r="AJ1731" s="12"/>
      <c r="AK1731" s="12"/>
      <c r="AL1731" s="12"/>
      <c r="AM1731" s="12"/>
      <c r="AN1731" s="12"/>
      <c r="AO1731" s="12"/>
      <c r="AP1731" s="12"/>
      <c r="AQ1731" s="12"/>
      <c r="AR1731" s="12"/>
      <c r="AS1731" s="12"/>
      <c r="AT1731" s="11"/>
      <c r="AU1731" s="11"/>
      <c r="AV1731" s="11"/>
      <c r="AW1731" s="12"/>
      <c r="AX1731" s="12"/>
      <c r="AY1731" s="12"/>
      <c r="AZ1731" s="11"/>
      <c r="BA1731" s="11"/>
      <c r="BB1731" s="11"/>
      <c r="BC1731" s="12"/>
      <c r="BD1731" s="12"/>
      <c r="BE1731" s="12"/>
      <c r="BF1731" s="12"/>
      <c r="BG1731" s="12"/>
      <c r="BH1731" s="12"/>
      <c r="BI1731" s="12"/>
      <c r="BJ1731" s="12"/>
      <c r="BK1731" s="12"/>
      <c r="BL1731" s="12"/>
      <c r="BM1731" s="12"/>
      <c r="BN1731" s="12"/>
      <c r="BO1731" s="12"/>
      <c r="BP1731" s="11"/>
      <c r="BQ1731" s="12"/>
      <c r="BR1731" s="7" t="str">
        <f t="shared" si="1"/>
        <v/>
      </c>
    </row>
    <row r="1732" ht="22.5" customHeight="1">
      <c r="A1732" s="8"/>
      <c r="B1732" s="9"/>
      <c r="C1732" s="10"/>
      <c r="D1732" s="12"/>
      <c r="E1732" s="12"/>
      <c r="F1732" s="12"/>
      <c r="G1732" s="12"/>
      <c r="H1732" s="12"/>
      <c r="I1732" s="12"/>
      <c r="J1732" s="12"/>
      <c r="K1732" s="12"/>
      <c r="L1732" s="12"/>
      <c r="M1732" s="12"/>
      <c r="N1732" s="12"/>
      <c r="O1732" s="12"/>
      <c r="P1732" s="12"/>
      <c r="Q1732" s="12"/>
      <c r="R1732" s="12"/>
      <c r="S1732" s="12"/>
      <c r="T1732" s="12"/>
      <c r="U1732" s="11"/>
      <c r="V1732" s="11"/>
      <c r="W1732" s="11"/>
      <c r="X1732" s="12"/>
      <c r="Y1732" s="12"/>
      <c r="Z1732" s="12"/>
      <c r="AA1732" s="11"/>
      <c r="AB1732" s="12"/>
      <c r="AC1732" s="12"/>
      <c r="AD1732" s="12"/>
      <c r="AE1732" s="12"/>
      <c r="AF1732" s="12"/>
      <c r="AG1732" s="12"/>
      <c r="AH1732" s="12"/>
      <c r="AI1732" s="12"/>
      <c r="AJ1732" s="12"/>
      <c r="AK1732" s="12"/>
      <c r="AL1732" s="12"/>
      <c r="AM1732" s="12"/>
      <c r="AN1732" s="12"/>
      <c r="AO1732" s="12"/>
      <c r="AP1732" s="12"/>
      <c r="AQ1732" s="12"/>
      <c r="AR1732" s="12"/>
      <c r="AS1732" s="12"/>
      <c r="AT1732" s="11"/>
      <c r="AU1732" s="11"/>
      <c r="AV1732" s="11"/>
      <c r="AW1732" s="12"/>
      <c r="AX1732" s="12"/>
      <c r="AY1732" s="12"/>
      <c r="AZ1732" s="11"/>
      <c r="BA1732" s="11"/>
      <c r="BB1732" s="11"/>
      <c r="BC1732" s="12"/>
      <c r="BD1732" s="12"/>
      <c r="BE1732" s="12"/>
      <c r="BF1732" s="12"/>
      <c r="BG1732" s="12"/>
      <c r="BH1732" s="12"/>
      <c r="BI1732" s="12"/>
      <c r="BJ1732" s="12"/>
      <c r="BK1732" s="12"/>
      <c r="BL1732" s="12"/>
      <c r="BM1732" s="12"/>
      <c r="BN1732" s="12"/>
      <c r="BO1732" s="12"/>
      <c r="BP1732" s="11"/>
      <c r="BQ1732" s="12"/>
      <c r="BR1732" s="7" t="str">
        <f t="shared" si="1"/>
        <v/>
      </c>
    </row>
    <row r="1733" ht="22.5" customHeight="1">
      <c r="A1733" s="8"/>
      <c r="B1733" s="9"/>
      <c r="C1733" s="10"/>
      <c r="D1733" s="12"/>
      <c r="E1733" s="12"/>
      <c r="F1733" s="12"/>
      <c r="G1733" s="12"/>
      <c r="H1733" s="12"/>
      <c r="I1733" s="12"/>
      <c r="J1733" s="12"/>
      <c r="K1733" s="12"/>
      <c r="L1733" s="12"/>
      <c r="M1733" s="12"/>
      <c r="N1733" s="12"/>
      <c r="O1733" s="12"/>
      <c r="P1733" s="12"/>
      <c r="Q1733" s="12"/>
      <c r="R1733" s="12"/>
      <c r="S1733" s="12"/>
      <c r="T1733" s="12"/>
      <c r="U1733" s="11"/>
      <c r="V1733" s="11"/>
      <c r="W1733" s="11"/>
      <c r="X1733" s="12"/>
      <c r="Y1733" s="12"/>
      <c r="Z1733" s="12"/>
      <c r="AA1733" s="11"/>
      <c r="AB1733" s="12"/>
      <c r="AC1733" s="12"/>
      <c r="AD1733" s="12"/>
      <c r="AE1733" s="12"/>
      <c r="AF1733" s="12"/>
      <c r="AG1733" s="12"/>
      <c r="AH1733" s="12"/>
      <c r="AI1733" s="12"/>
      <c r="AJ1733" s="12"/>
      <c r="AK1733" s="12"/>
      <c r="AL1733" s="12"/>
      <c r="AM1733" s="12"/>
      <c r="AN1733" s="12"/>
      <c r="AO1733" s="12"/>
      <c r="AP1733" s="12"/>
      <c r="AQ1733" s="12"/>
      <c r="AR1733" s="12"/>
      <c r="AS1733" s="12"/>
      <c r="AT1733" s="11"/>
      <c r="AU1733" s="11"/>
      <c r="AV1733" s="11"/>
      <c r="AW1733" s="12"/>
      <c r="AX1733" s="12"/>
      <c r="AY1733" s="12"/>
      <c r="AZ1733" s="11"/>
      <c r="BA1733" s="11"/>
      <c r="BB1733" s="11"/>
      <c r="BC1733" s="12"/>
      <c r="BD1733" s="12"/>
      <c r="BE1733" s="12"/>
      <c r="BF1733" s="12"/>
      <c r="BG1733" s="12"/>
      <c r="BH1733" s="12"/>
      <c r="BI1733" s="12"/>
      <c r="BJ1733" s="12"/>
      <c r="BK1733" s="12"/>
      <c r="BL1733" s="12"/>
      <c r="BM1733" s="12"/>
      <c r="BN1733" s="12"/>
      <c r="BO1733" s="12"/>
      <c r="BP1733" s="11"/>
      <c r="BQ1733" s="12"/>
      <c r="BR1733" s="7" t="str">
        <f t="shared" si="1"/>
        <v/>
      </c>
    </row>
    <row r="1734" ht="22.5" customHeight="1">
      <c r="A1734" s="8"/>
      <c r="B1734" s="9"/>
      <c r="C1734" s="10"/>
      <c r="D1734" s="12"/>
      <c r="E1734" s="12"/>
      <c r="F1734" s="12"/>
      <c r="G1734" s="12"/>
      <c r="H1734" s="12"/>
      <c r="I1734" s="12"/>
      <c r="J1734" s="12"/>
      <c r="K1734" s="12"/>
      <c r="L1734" s="12"/>
      <c r="M1734" s="12"/>
      <c r="N1734" s="12"/>
      <c r="O1734" s="12"/>
      <c r="P1734" s="12"/>
      <c r="Q1734" s="12"/>
      <c r="R1734" s="12"/>
      <c r="S1734" s="12"/>
      <c r="T1734" s="12"/>
      <c r="U1734" s="11"/>
      <c r="V1734" s="11"/>
      <c r="W1734" s="11"/>
      <c r="X1734" s="12"/>
      <c r="Y1734" s="12"/>
      <c r="Z1734" s="12"/>
      <c r="AA1734" s="11"/>
      <c r="AB1734" s="12"/>
      <c r="AC1734" s="12"/>
      <c r="AD1734" s="12"/>
      <c r="AE1734" s="12"/>
      <c r="AF1734" s="12"/>
      <c r="AG1734" s="12"/>
      <c r="AH1734" s="12"/>
      <c r="AI1734" s="12"/>
      <c r="AJ1734" s="12"/>
      <c r="AK1734" s="12"/>
      <c r="AL1734" s="12"/>
      <c r="AM1734" s="12"/>
      <c r="AN1734" s="12"/>
      <c r="AO1734" s="12"/>
      <c r="AP1734" s="12"/>
      <c r="AQ1734" s="12"/>
      <c r="AR1734" s="12"/>
      <c r="AS1734" s="12"/>
      <c r="AT1734" s="11"/>
      <c r="AU1734" s="11"/>
      <c r="AV1734" s="11"/>
      <c r="AW1734" s="12"/>
      <c r="AX1734" s="12"/>
      <c r="AY1734" s="12"/>
      <c r="AZ1734" s="11"/>
      <c r="BA1734" s="11"/>
      <c r="BB1734" s="11"/>
      <c r="BC1734" s="12"/>
      <c r="BD1734" s="12"/>
      <c r="BE1734" s="12"/>
      <c r="BF1734" s="12"/>
      <c r="BG1734" s="12"/>
      <c r="BH1734" s="12"/>
      <c r="BI1734" s="12"/>
      <c r="BJ1734" s="12"/>
      <c r="BK1734" s="12"/>
      <c r="BL1734" s="12"/>
      <c r="BM1734" s="12"/>
      <c r="BN1734" s="12"/>
      <c r="BO1734" s="12"/>
      <c r="BP1734" s="11"/>
      <c r="BQ1734" s="12"/>
      <c r="BR1734" s="7" t="str">
        <f t="shared" si="1"/>
        <v/>
      </c>
    </row>
    <row r="1735" ht="22.5" customHeight="1">
      <c r="A1735" s="8"/>
      <c r="B1735" s="9"/>
      <c r="C1735" s="10"/>
      <c r="D1735" s="12"/>
      <c r="E1735" s="12"/>
      <c r="F1735" s="12"/>
      <c r="G1735" s="12"/>
      <c r="H1735" s="12"/>
      <c r="I1735" s="12"/>
      <c r="J1735" s="12"/>
      <c r="K1735" s="12"/>
      <c r="L1735" s="12"/>
      <c r="M1735" s="12"/>
      <c r="N1735" s="12"/>
      <c r="O1735" s="12"/>
      <c r="P1735" s="12"/>
      <c r="Q1735" s="12"/>
      <c r="R1735" s="12"/>
      <c r="S1735" s="12"/>
      <c r="T1735" s="12"/>
      <c r="U1735" s="11"/>
      <c r="V1735" s="11"/>
      <c r="W1735" s="11"/>
      <c r="X1735" s="12"/>
      <c r="Y1735" s="12"/>
      <c r="Z1735" s="12"/>
      <c r="AA1735" s="11"/>
      <c r="AB1735" s="12"/>
      <c r="AC1735" s="12"/>
      <c r="AD1735" s="12"/>
      <c r="AE1735" s="12"/>
      <c r="AF1735" s="12"/>
      <c r="AG1735" s="12"/>
      <c r="AH1735" s="12"/>
      <c r="AI1735" s="12"/>
      <c r="AJ1735" s="12"/>
      <c r="AK1735" s="12"/>
      <c r="AL1735" s="12"/>
      <c r="AM1735" s="12"/>
      <c r="AN1735" s="12"/>
      <c r="AO1735" s="12"/>
      <c r="AP1735" s="12"/>
      <c r="AQ1735" s="12"/>
      <c r="AR1735" s="12"/>
      <c r="AS1735" s="12"/>
      <c r="AT1735" s="11"/>
      <c r="AU1735" s="11"/>
      <c r="AV1735" s="11"/>
      <c r="AW1735" s="12"/>
      <c r="AX1735" s="12"/>
      <c r="AY1735" s="12"/>
      <c r="AZ1735" s="11"/>
      <c r="BA1735" s="11"/>
      <c r="BB1735" s="11"/>
      <c r="BC1735" s="12"/>
      <c r="BD1735" s="12"/>
      <c r="BE1735" s="12"/>
      <c r="BF1735" s="12"/>
      <c r="BG1735" s="12"/>
      <c r="BH1735" s="12"/>
      <c r="BI1735" s="12"/>
      <c r="BJ1735" s="12"/>
      <c r="BK1735" s="12"/>
      <c r="BL1735" s="12"/>
      <c r="BM1735" s="12"/>
      <c r="BN1735" s="12"/>
      <c r="BO1735" s="12"/>
      <c r="BP1735" s="11"/>
      <c r="BQ1735" s="12"/>
      <c r="BR1735" s="7" t="str">
        <f t="shared" si="1"/>
        <v/>
      </c>
    </row>
    <row r="1736" ht="22.5" customHeight="1">
      <c r="A1736" s="8"/>
      <c r="B1736" s="9"/>
      <c r="C1736" s="10"/>
      <c r="D1736" s="12"/>
      <c r="E1736" s="12"/>
      <c r="F1736" s="12"/>
      <c r="G1736" s="12"/>
      <c r="H1736" s="12"/>
      <c r="I1736" s="12"/>
      <c r="J1736" s="12"/>
      <c r="K1736" s="12"/>
      <c r="L1736" s="12"/>
      <c r="M1736" s="12"/>
      <c r="N1736" s="12"/>
      <c r="O1736" s="12"/>
      <c r="P1736" s="12"/>
      <c r="Q1736" s="12"/>
      <c r="R1736" s="12"/>
      <c r="S1736" s="12"/>
      <c r="T1736" s="12"/>
      <c r="U1736" s="11"/>
      <c r="V1736" s="11"/>
      <c r="W1736" s="11"/>
      <c r="X1736" s="12"/>
      <c r="Y1736" s="12"/>
      <c r="Z1736" s="12"/>
      <c r="AA1736" s="11"/>
      <c r="AB1736" s="12"/>
      <c r="AC1736" s="12"/>
      <c r="AD1736" s="12"/>
      <c r="AE1736" s="12"/>
      <c r="AF1736" s="12"/>
      <c r="AG1736" s="12"/>
      <c r="AH1736" s="12"/>
      <c r="AI1736" s="12"/>
      <c r="AJ1736" s="12"/>
      <c r="AK1736" s="12"/>
      <c r="AL1736" s="12"/>
      <c r="AM1736" s="12"/>
      <c r="AN1736" s="12"/>
      <c r="AO1736" s="12"/>
      <c r="AP1736" s="12"/>
      <c r="AQ1736" s="12"/>
      <c r="AR1736" s="12"/>
      <c r="AS1736" s="12"/>
      <c r="AT1736" s="11"/>
      <c r="AU1736" s="11"/>
      <c r="AV1736" s="11"/>
      <c r="AW1736" s="12"/>
      <c r="AX1736" s="12"/>
      <c r="AY1736" s="12"/>
      <c r="AZ1736" s="11"/>
      <c r="BA1736" s="11"/>
      <c r="BB1736" s="11"/>
      <c r="BC1736" s="12"/>
      <c r="BD1736" s="12"/>
      <c r="BE1736" s="12"/>
      <c r="BF1736" s="12"/>
      <c r="BG1736" s="12"/>
      <c r="BH1736" s="12"/>
      <c r="BI1736" s="12"/>
      <c r="BJ1736" s="12"/>
      <c r="BK1736" s="12"/>
      <c r="BL1736" s="12"/>
      <c r="BM1736" s="12"/>
      <c r="BN1736" s="12"/>
      <c r="BO1736" s="12"/>
      <c r="BP1736" s="11"/>
      <c r="BQ1736" s="12"/>
      <c r="BR1736" s="7" t="str">
        <f t="shared" si="1"/>
        <v/>
      </c>
    </row>
    <row r="1737" ht="22.5" customHeight="1">
      <c r="A1737" s="8"/>
      <c r="B1737" s="9"/>
      <c r="C1737" s="10"/>
      <c r="D1737" s="12"/>
      <c r="E1737" s="12"/>
      <c r="F1737" s="12"/>
      <c r="G1737" s="12"/>
      <c r="H1737" s="12"/>
      <c r="I1737" s="12"/>
      <c r="J1737" s="12"/>
      <c r="K1737" s="12"/>
      <c r="L1737" s="12"/>
      <c r="M1737" s="12"/>
      <c r="N1737" s="12"/>
      <c r="O1737" s="12"/>
      <c r="P1737" s="12"/>
      <c r="Q1737" s="12"/>
      <c r="R1737" s="12"/>
      <c r="S1737" s="12"/>
      <c r="T1737" s="12"/>
      <c r="U1737" s="11"/>
      <c r="V1737" s="11"/>
      <c r="W1737" s="11"/>
      <c r="X1737" s="12"/>
      <c r="Y1737" s="12"/>
      <c r="Z1737" s="12"/>
      <c r="AA1737" s="11"/>
      <c r="AB1737" s="12"/>
      <c r="AC1737" s="12"/>
      <c r="AD1737" s="12"/>
      <c r="AE1737" s="12"/>
      <c r="AF1737" s="12"/>
      <c r="AG1737" s="12"/>
      <c r="AH1737" s="12"/>
      <c r="AI1737" s="12"/>
      <c r="AJ1737" s="12"/>
      <c r="AK1737" s="12"/>
      <c r="AL1737" s="12"/>
      <c r="AM1737" s="12"/>
      <c r="AN1737" s="12"/>
      <c r="AO1737" s="12"/>
      <c r="AP1737" s="12"/>
      <c r="AQ1737" s="12"/>
      <c r="AR1737" s="12"/>
      <c r="AS1737" s="12"/>
      <c r="AT1737" s="11"/>
      <c r="AU1737" s="11"/>
      <c r="AV1737" s="11"/>
      <c r="AW1737" s="12"/>
      <c r="AX1737" s="12"/>
      <c r="AY1737" s="12"/>
      <c r="AZ1737" s="11"/>
      <c r="BA1737" s="11"/>
      <c r="BB1737" s="11"/>
      <c r="BC1737" s="12"/>
      <c r="BD1737" s="12"/>
      <c r="BE1737" s="12"/>
      <c r="BF1737" s="12"/>
      <c r="BG1737" s="12"/>
      <c r="BH1737" s="12"/>
      <c r="BI1737" s="12"/>
      <c r="BJ1737" s="12"/>
      <c r="BK1737" s="12"/>
      <c r="BL1737" s="12"/>
      <c r="BM1737" s="12"/>
      <c r="BN1737" s="12"/>
      <c r="BO1737" s="12"/>
      <c r="BP1737" s="11"/>
      <c r="BQ1737" s="12"/>
      <c r="BR1737" s="7" t="str">
        <f t="shared" si="1"/>
        <v/>
      </c>
    </row>
    <row r="1738" ht="22.5" customHeight="1">
      <c r="A1738" s="8"/>
      <c r="B1738" s="9"/>
      <c r="C1738" s="10"/>
      <c r="D1738" s="12"/>
      <c r="E1738" s="12"/>
      <c r="F1738" s="12"/>
      <c r="G1738" s="12"/>
      <c r="H1738" s="12"/>
      <c r="I1738" s="12"/>
      <c r="J1738" s="12"/>
      <c r="K1738" s="12"/>
      <c r="L1738" s="12"/>
      <c r="M1738" s="12"/>
      <c r="N1738" s="12"/>
      <c r="O1738" s="12"/>
      <c r="P1738" s="12"/>
      <c r="Q1738" s="12"/>
      <c r="R1738" s="12"/>
      <c r="S1738" s="12"/>
      <c r="T1738" s="12"/>
      <c r="U1738" s="11"/>
      <c r="V1738" s="11"/>
      <c r="W1738" s="11"/>
      <c r="X1738" s="12"/>
      <c r="Y1738" s="12"/>
      <c r="Z1738" s="12"/>
      <c r="AA1738" s="11"/>
      <c r="AB1738" s="12"/>
      <c r="AC1738" s="12"/>
      <c r="AD1738" s="12"/>
      <c r="AE1738" s="12"/>
      <c r="AF1738" s="12"/>
      <c r="AG1738" s="12"/>
      <c r="AH1738" s="12"/>
      <c r="AI1738" s="12"/>
      <c r="AJ1738" s="12"/>
      <c r="AK1738" s="12"/>
      <c r="AL1738" s="12"/>
      <c r="AM1738" s="12"/>
      <c r="AN1738" s="12"/>
      <c r="AO1738" s="12"/>
      <c r="AP1738" s="12"/>
      <c r="AQ1738" s="12"/>
      <c r="AR1738" s="12"/>
      <c r="AS1738" s="12"/>
      <c r="AT1738" s="11"/>
      <c r="AU1738" s="11"/>
      <c r="AV1738" s="11"/>
      <c r="AW1738" s="12"/>
      <c r="AX1738" s="12"/>
      <c r="AY1738" s="12"/>
      <c r="AZ1738" s="11"/>
      <c r="BA1738" s="11"/>
      <c r="BB1738" s="11"/>
      <c r="BC1738" s="12"/>
      <c r="BD1738" s="12"/>
      <c r="BE1738" s="12"/>
      <c r="BF1738" s="12"/>
      <c r="BG1738" s="12"/>
      <c r="BH1738" s="12"/>
      <c r="BI1738" s="12"/>
      <c r="BJ1738" s="12"/>
      <c r="BK1738" s="12"/>
      <c r="BL1738" s="12"/>
      <c r="BM1738" s="12"/>
      <c r="BN1738" s="12"/>
      <c r="BO1738" s="12"/>
      <c r="BP1738" s="11"/>
      <c r="BQ1738" s="12"/>
      <c r="BR1738" s="7" t="str">
        <f t="shared" si="1"/>
        <v/>
      </c>
    </row>
    <row r="1739" ht="22.5" customHeight="1">
      <c r="A1739" s="8"/>
      <c r="B1739" s="9"/>
      <c r="C1739" s="10"/>
      <c r="D1739" s="12"/>
      <c r="E1739" s="12"/>
      <c r="F1739" s="12"/>
      <c r="G1739" s="12"/>
      <c r="H1739" s="12"/>
      <c r="I1739" s="12"/>
      <c r="J1739" s="12"/>
      <c r="K1739" s="12"/>
      <c r="L1739" s="12"/>
      <c r="M1739" s="12"/>
      <c r="N1739" s="12"/>
      <c r="O1739" s="12"/>
      <c r="P1739" s="12"/>
      <c r="Q1739" s="12"/>
      <c r="R1739" s="12"/>
      <c r="S1739" s="12"/>
      <c r="T1739" s="12"/>
      <c r="U1739" s="11"/>
      <c r="V1739" s="11"/>
      <c r="W1739" s="11"/>
      <c r="X1739" s="12"/>
      <c r="Y1739" s="12"/>
      <c r="Z1739" s="12"/>
      <c r="AA1739" s="11"/>
      <c r="AB1739" s="12"/>
      <c r="AC1739" s="12"/>
      <c r="AD1739" s="12"/>
      <c r="AE1739" s="12"/>
      <c r="AF1739" s="12"/>
      <c r="AG1739" s="12"/>
      <c r="AH1739" s="12"/>
      <c r="AI1739" s="12"/>
      <c r="AJ1739" s="12"/>
      <c r="AK1739" s="12"/>
      <c r="AL1739" s="12"/>
      <c r="AM1739" s="12"/>
      <c r="AN1739" s="12"/>
      <c r="AO1739" s="12"/>
      <c r="AP1739" s="12"/>
      <c r="AQ1739" s="12"/>
      <c r="AR1739" s="12"/>
      <c r="AS1739" s="12"/>
      <c r="AT1739" s="11"/>
      <c r="AU1739" s="11"/>
      <c r="AV1739" s="11"/>
      <c r="AW1739" s="12"/>
      <c r="AX1739" s="12"/>
      <c r="AY1739" s="12"/>
      <c r="AZ1739" s="11"/>
      <c r="BA1739" s="11"/>
      <c r="BB1739" s="11"/>
      <c r="BC1739" s="12"/>
      <c r="BD1739" s="12"/>
      <c r="BE1739" s="12"/>
      <c r="BF1739" s="12"/>
      <c r="BG1739" s="12"/>
      <c r="BH1739" s="12"/>
      <c r="BI1739" s="12"/>
      <c r="BJ1739" s="12"/>
      <c r="BK1739" s="12"/>
      <c r="BL1739" s="12"/>
      <c r="BM1739" s="12"/>
      <c r="BN1739" s="12"/>
      <c r="BO1739" s="12"/>
      <c r="BP1739" s="11"/>
      <c r="BQ1739" s="12"/>
      <c r="BR1739" s="7" t="str">
        <f t="shared" si="1"/>
        <v/>
      </c>
    </row>
    <row r="1740" ht="22.5" customHeight="1">
      <c r="A1740" s="8"/>
      <c r="B1740" s="9"/>
      <c r="C1740" s="10"/>
      <c r="D1740" s="12"/>
      <c r="E1740" s="12"/>
      <c r="F1740" s="12"/>
      <c r="G1740" s="12"/>
      <c r="H1740" s="12"/>
      <c r="I1740" s="12"/>
      <c r="J1740" s="12"/>
      <c r="K1740" s="12"/>
      <c r="L1740" s="12"/>
      <c r="M1740" s="12"/>
      <c r="N1740" s="12"/>
      <c r="O1740" s="12"/>
      <c r="P1740" s="12"/>
      <c r="Q1740" s="12"/>
      <c r="R1740" s="12"/>
      <c r="S1740" s="12"/>
      <c r="T1740" s="12"/>
      <c r="U1740" s="11"/>
      <c r="V1740" s="11"/>
      <c r="W1740" s="11"/>
      <c r="X1740" s="12"/>
      <c r="Y1740" s="12"/>
      <c r="Z1740" s="12"/>
      <c r="AA1740" s="11"/>
      <c r="AB1740" s="12"/>
      <c r="AC1740" s="12"/>
      <c r="AD1740" s="12"/>
      <c r="AE1740" s="12"/>
      <c r="AF1740" s="12"/>
      <c r="AG1740" s="12"/>
      <c r="AH1740" s="12"/>
      <c r="AI1740" s="12"/>
      <c r="AJ1740" s="12"/>
      <c r="AK1740" s="12"/>
      <c r="AL1740" s="12"/>
      <c r="AM1740" s="12"/>
      <c r="AN1740" s="12"/>
      <c r="AO1740" s="12"/>
      <c r="AP1740" s="12"/>
      <c r="AQ1740" s="12"/>
      <c r="AR1740" s="12"/>
      <c r="AS1740" s="12"/>
      <c r="AT1740" s="11"/>
      <c r="AU1740" s="11"/>
      <c r="AV1740" s="11"/>
      <c r="AW1740" s="12"/>
      <c r="AX1740" s="12"/>
      <c r="AY1740" s="12"/>
      <c r="AZ1740" s="11"/>
      <c r="BA1740" s="11"/>
      <c r="BB1740" s="11"/>
      <c r="BC1740" s="12"/>
      <c r="BD1740" s="12"/>
      <c r="BE1740" s="12"/>
      <c r="BF1740" s="12"/>
      <c r="BG1740" s="12"/>
      <c r="BH1740" s="12"/>
      <c r="BI1740" s="12"/>
      <c r="BJ1740" s="12"/>
      <c r="BK1740" s="12"/>
      <c r="BL1740" s="12"/>
      <c r="BM1740" s="12"/>
      <c r="BN1740" s="12"/>
      <c r="BO1740" s="12"/>
      <c r="BP1740" s="11"/>
      <c r="BQ1740" s="12"/>
      <c r="BR1740" s="7" t="str">
        <f t="shared" si="1"/>
        <v/>
      </c>
    </row>
    <row r="1741" ht="22.5" customHeight="1">
      <c r="A1741" s="8"/>
      <c r="B1741" s="9"/>
      <c r="C1741" s="10"/>
      <c r="D1741" s="12"/>
      <c r="E1741" s="12"/>
      <c r="F1741" s="12"/>
      <c r="G1741" s="12"/>
      <c r="H1741" s="12"/>
      <c r="I1741" s="12"/>
      <c r="J1741" s="12"/>
      <c r="K1741" s="12"/>
      <c r="L1741" s="12"/>
      <c r="M1741" s="12"/>
      <c r="N1741" s="12"/>
      <c r="O1741" s="12"/>
      <c r="P1741" s="12"/>
      <c r="Q1741" s="12"/>
      <c r="R1741" s="12"/>
      <c r="S1741" s="12"/>
      <c r="T1741" s="12"/>
      <c r="U1741" s="11"/>
      <c r="V1741" s="11"/>
      <c r="W1741" s="11"/>
      <c r="X1741" s="12"/>
      <c r="Y1741" s="12"/>
      <c r="Z1741" s="12"/>
      <c r="AA1741" s="11"/>
      <c r="AB1741" s="12"/>
      <c r="AC1741" s="12"/>
      <c r="AD1741" s="12"/>
      <c r="AE1741" s="12"/>
      <c r="AF1741" s="12"/>
      <c r="AG1741" s="12"/>
      <c r="AH1741" s="12"/>
      <c r="AI1741" s="12"/>
      <c r="AJ1741" s="12"/>
      <c r="AK1741" s="12"/>
      <c r="AL1741" s="12"/>
      <c r="AM1741" s="12"/>
      <c r="AN1741" s="12"/>
      <c r="AO1741" s="12"/>
      <c r="AP1741" s="12"/>
      <c r="AQ1741" s="12"/>
      <c r="AR1741" s="12"/>
      <c r="AS1741" s="12"/>
      <c r="AT1741" s="11"/>
      <c r="AU1741" s="11"/>
      <c r="AV1741" s="11"/>
      <c r="AW1741" s="12"/>
      <c r="AX1741" s="12"/>
      <c r="AY1741" s="12"/>
      <c r="AZ1741" s="11"/>
      <c r="BA1741" s="11"/>
      <c r="BB1741" s="11"/>
      <c r="BC1741" s="12"/>
      <c r="BD1741" s="12"/>
      <c r="BE1741" s="12"/>
      <c r="BF1741" s="12"/>
      <c r="BG1741" s="12"/>
      <c r="BH1741" s="12"/>
      <c r="BI1741" s="12"/>
      <c r="BJ1741" s="12"/>
      <c r="BK1741" s="12"/>
      <c r="BL1741" s="12"/>
      <c r="BM1741" s="12"/>
      <c r="BN1741" s="12"/>
      <c r="BO1741" s="12"/>
      <c r="BP1741" s="11"/>
      <c r="BQ1741" s="12"/>
      <c r="BR1741" s="7" t="str">
        <f t="shared" si="1"/>
        <v/>
      </c>
    </row>
    <row r="1742" ht="22.5" customHeight="1">
      <c r="A1742" s="8"/>
      <c r="B1742" s="9"/>
      <c r="C1742" s="10"/>
      <c r="D1742" s="12"/>
      <c r="E1742" s="12"/>
      <c r="F1742" s="12"/>
      <c r="G1742" s="12"/>
      <c r="H1742" s="12"/>
      <c r="I1742" s="12"/>
      <c r="J1742" s="12"/>
      <c r="K1742" s="12"/>
      <c r="L1742" s="12"/>
      <c r="M1742" s="12"/>
      <c r="N1742" s="12"/>
      <c r="O1742" s="12"/>
      <c r="P1742" s="12"/>
      <c r="Q1742" s="12"/>
      <c r="R1742" s="12"/>
      <c r="S1742" s="12"/>
      <c r="T1742" s="12"/>
      <c r="U1742" s="11"/>
      <c r="V1742" s="11"/>
      <c r="W1742" s="11"/>
      <c r="X1742" s="12"/>
      <c r="Y1742" s="12"/>
      <c r="Z1742" s="12"/>
      <c r="AA1742" s="11"/>
      <c r="AB1742" s="12"/>
      <c r="AC1742" s="12"/>
      <c r="AD1742" s="12"/>
      <c r="AE1742" s="12"/>
      <c r="AF1742" s="12"/>
      <c r="AG1742" s="12"/>
      <c r="AH1742" s="12"/>
      <c r="AI1742" s="12"/>
      <c r="AJ1742" s="12"/>
      <c r="AK1742" s="12"/>
      <c r="AL1742" s="12"/>
      <c r="AM1742" s="12"/>
      <c r="AN1742" s="12"/>
      <c r="AO1742" s="12"/>
      <c r="AP1742" s="12"/>
      <c r="AQ1742" s="12"/>
      <c r="AR1742" s="12"/>
      <c r="AS1742" s="12"/>
      <c r="AT1742" s="11"/>
      <c r="AU1742" s="11"/>
      <c r="AV1742" s="11"/>
      <c r="AW1742" s="12"/>
      <c r="AX1742" s="12"/>
      <c r="AY1742" s="12"/>
      <c r="AZ1742" s="11"/>
      <c r="BA1742" s="11"/>
      <c r="BB1742" s="11"/>
      <c r="BC1742" s="12"/>
      <c r="BD1742" s="12"/>
      <c r="BE1742" s="12"/>
      <c r="BF1742" s="12"/>
      <c r="BG1742" s="12"/>
      <c r="BH1742" s="12"/>
      <c r="BI1742" s="12"/>
      <c r="BJ1742" s="12"/>
      <c r="BK1742" s="12"/>
      <c r="BL1742" s="12"/>
      <c r="BM1742" s="12"/>
      <c r="BN1742" s="12"/>
      <c r="BO1742" s="12"/>
      <c r="BP1742" s="11"/>
      <c r="BQ1742" s="12"/>
      <c r="BR1742" s="7" t="str">
        <f t="shared" si="1"/>
        <v/>
      </c>
    </row>
    <row r="1743" ht="22.5" customHeight="1">
      <c r="A1743" s="8"/>
      <c r="B1743" s="9"/>
      <c r="C1743" s="10"/>
      <c r="D1743" s="12"/>
      <c r="E1743" s="12"/>
      <c r="F1743" s="12"/>
      <c r="G1743" s="12"/>
      <c r="H1743" s="12"/>
      <c r="I1743" s="12"/>
      <c r="J1743" s="12"/>
      <c r="K1743" s="12"/>
      <c r="L1743" s="12"/>
      <c r="M1743" s="12"/>
      <c r="N1743" s="12"/>
      <c r="O1743" s="12"/>
      <c r="P1743" s="12"/>
      <c r="Q1743" s="12"/>
      <c r="R1743" s="12"/>
      <c r="S1743" s="12"/>
      <c r="T1743" s="12"/>
      <c r="U1743" s="11"/>
      <c r="V1743" s="11"/>
      <c r="W1743" s="11"/>
      <c r="X1743" s="12"/>
      <c r="Y1743" s="12"/>
      <c r="Z1743" s="12"/>
      <c r="AA1743" s="11"/>
      <c r="AB1743" s="12"/>
      <c r="AC1743" s="12"/>
      <c r="AD1743" s="12"/>
      <c r="AE1743" s="12"/>
      <c r="AF1743" s="12"/>
      <c r="AG1743" s="12"/>
      <c r="AH1743" s="12"/>
      <c r="AI1743" s="12"/>
      <c r="AJ1743" s="12"/>
      <c r="AK1743" s="12"/>
      <c r="AL1743" s="12"/>
      <c r="AM1743" s="12"/>
      <c r="AN1743" s="12"/>
      <c r="AO1743" s="12"/>
      <c r="AP1743" s="12"/>
      <c r="AQ1743" s="12"/>
      <c r="AR1743" s="12"/>
      <c r="AS1743" s="12"/>
      <c r="AT1743" s="11"/>
      <c r="AU1743" s="11"/>
      <c r="AV1743" s="11"/>
      <c r="AW1743" s="12"/>
      <c r="AX1743" s="12"/>
      <c r="AY1743" s="12"/>
      <c r="AZ1743" s="11"/>
      <c r="BA1743" s="11"/>
      <c r="BB1743" s="11"/>
      <c r="BC1743" s="12"/>
      <c r="BD1743" s="12"/>
      <c r="BE1743" s="12"/>
      <c r="BF1743" s="12"/>
      <c r="BG1743" s="12"/>
      <c r="BH1743" s="12"/>
      <c r="BI1743" s="12"/>
      <c r="BJ1743" s="12"/>
      <c r="BK1743" s="12"/>
      <c r="BL1743" s="12"/>
      <c r="BM1743" s="12"/>
      <c r="BN1743" s="12"/>
      <c r="BO1743" s="12"/>
      <c r="BP1743" s="11"/>
      <c r="BQ1743" s="12"/>
      <c r="BR1743" s="7" t="str">
        <f t="shared" si="1"/>
        <v/>
      </c>
    </row>
    <row r="1744" ht="22.5" customHeight="1">
      <c r="A1744" s="8"/>
      <c r="B1744" s="9"/>
      <c r="C1744" s="10"/>
      <c r="D1744" s="12"/>
      <c r="E1744" s="12"/>
      <c r="F1744" s="12"/>
      <c r="G1744" s="12"/>
      <c r="H1744" s="12"/>
      <c r="I1744" s="12"/>
      <c r="J1744" s="12"/>
      <c r="K1744" s="12"/>
      <c r="L1744" s="12"/>
      <c r="M1744" s="12"/>
      <c r="N1744" s="12"/>
      <c r="O1744" s="12"/>
      <c r="P1744" s="12"/>
      <c r="Q1744" s="12"/>
      <c r="R1744" s="12"/>
      <c r="S1744" s="12"/>
      <c r="T1744" s="12"/>
      <c r="U1744" s="11"/>
      <c r="V1744" s="11"/>
      <c r="W1744" s="11"/>
      <c r="X1744" s="12"/>
      <c r="Y1744" s="12"/>
      <c r="Z1744" s="12"/>
      <c r="AA1744" s="11"/>
      <c r="AB1744" s="12"/>
      <c r="AC1744" s="12"/>
      <c r="AD1744" s="12"/>
      <c r="AE1744" s="12"/>
      <c r="AF1744" s="12"/>
      <c r="AG1744" s="12"/>
      <c r="AH1744" s="12"/>
      <c r="AI1744" s="12"/>
      <c r="AJ1744" s="12"/>
      <c r="AK1744" s="12"/>
      <c r="AL1744" s="12"/>
      <c r="AM1744" s="12"/>
      <c r="AN1744" s="12"/>
      <c r="AO1744" s="12"/>
      <c r="AP1744" s="12"/>
      <c r="AQ1744" s="12"/>
      <c r="AR1744" s="12"/>
      <c r="AS1744" s="12"/>
      <c r="AT1744" s="11"/>
      <c r="AU1744" s="11"/>
      <c r="AV1744" s="11"/>
      <c r="AW1744" s="12"/>
      <c r="AX1744" s="12"/>
      <c r="AY1744" s="12"/>
      <c r="AZ1744" s="11"/>
      <c r="BA1744" s="11"/>
      <c r="BB1744" s="11"/>
      <c r="BC1744" s="12"/>
      <c r="BD1744" s="12"/>
      <c r="BE1744" s="12"/>
      <c r="BF1744" s="12"/>
      <c r="BG1744" s="12"/>
      <c r="BH1744" s="12"/>
      <c r="BI1744" s="12"/>
      <c r="BJ1744" s="12"/>
      <c r="BK1744" s="12"/>
      <c r="BL1744" s="12"/>
      <c r="BM1744" s="12"/>
      <c r="BN1744" s="12"/>
      <c r="BO1744" s="12"/>
      <c r="BP1744" s="11"/>
      <c r="BQ1744" s="12"/>
      <c r="BR1744" s="7" t="str">
        <f t="shared" si="1"/>
        <v/>
      </c>
    </row>
    <row r="1745" ht="22.5" customHeight="1">
      <c r="A1745" s="8"/>
      <c r="B1745" s="9"/>
      <c r="C1745" s="10"/>
      <c r="D1745" s="12"/>
      <c r="E1745" s="12"/>
      <c r="F1745" s="12"/>
      <c r="G1745" s="12"/>
      <c r="H1745" s="12"/>
      <c r="I1745" s="12"/>
      <c r="J1745" s="12"/>
      <c r="K1745" s="12"/>
      <c r="L1745" s="12"/>
      <c r="M1745" s="12"/>
      <c r="N1745" s="12"/>
      <c r="O1745" s="12"/>
      <c r="P1745" s="12"/>
      <c r="Q1745" s="12"/>
      <c r="R1745" s="12"/>
      <c r="S1745" s="12"/>
      <c r="T1745" s="12"/>
      <c r="U1745" s="11"/>
      <c r="V1745" s="11"/>
      <c r="W1745" s="11"/>
      <c r="X1745" s="12"/>
      <c r="Y1745" s="12"/>
      <c r="Z1745" s="12"/>
      <c r="AA1745" s="11"/>
      <c r="AB1745" s="12"/>
      <c r="AC1745" s="12"/>
      <c r="AD1745" s="12"/>
      <c r="AE1745" s="12"/>
      <c r="AF1745" s="12"/>
      <c r="AG1745" s="12"/>
      <c r="AH1745" s="12"/>
      <c r="AI1745" s="12"/>
      <c r="AJ1745" s="12"/>
      <c r="AK1745" s="12"/>
      <c r="AL1745" s="12"/>
      <c r="AM1745" s="12"/>
      <c r="AN1745" s="12"/>
      <c r="AO1745" s="12"/>
      <c r="AP1745" s="12"/>
      <c r="AQ1745" s="12"/>
      <c r="AR1745" s="12"/>
      <c r="AS1745" s="12"/>
      <c r="AT1745" s="11"/>
      <c r="AU1745" s="11"/>
      <c r="AV1745" s="11"/>
      <c r="AW1745" s="12"/>
      <c r="AX1745" s="12"/>
      <c r="AY1745" s="12"/>
      <c r="AZ1745" s="11"/>
      <c r="BA1745" s="11"/>
      <c r="BB1745" s="11"/>
      <c r="BC1745" s="12"/>
      <c r="BD1745" s="12"/>
      <c r="BE1745" s="12"/>
      <c r="BF1745" s="12"/>
      <c r="BG1745" s="12"/>
      <c r="BH1745" s="12"/>
      <c r="BI1745" s="12"/>
      <c r="BJ1745" s="12"/>
      <c r="BK1745" s="12"/>
      <c r="BL1745" s="12"/>
      <c r="BM1745" s="12"/>
      <c r="BN1745" s="12"/>
      <c r="BO1745" s="12"/>
      <c r="BP1745" s="11"/>
      <c r="BQ1745" s="12"/>
      <c r="BR1745" s="7" t="str">
        <f t="shared" si="1"/>
        <v/>
      </c>
    </row>
    <row r="1746" ht="22.5" customHeight="1">
      <c r="A1746" s="8"/>
      <c r="B1746" s="9"/>
      <c r="C1746" s="10"/>
      <c r="D1746" s="12"/>
      <c r="E1746" s="12"/>
      <c r="F1746" s="12"/>
      <c r="G1746" s="12"/>
      <c r="H1746" s="12"/>
      <c r="I1746" s="12"/>
      <c r="J1746" s="12"/>
      <c r="K1746" s="12"/>
      <c r="L1746" s="12"/>
      <c r="M1746" s="12"/>
      <c r="N1746" s="12"/>
      <c r="O1746" s="12"/>
      <c r="P1746" s="12"/>
      <c r="Q1746" s="12"/>
      <c r="R1746" s="12"/>
      <c r="S1746" s="12"/>
      <c r="T1746" s="12"/>
      <c r="U1746" s="11"/>
      <c r="V1746" s="11"/>
      <c r="W1746" s="11"/>
      <c r="X1746" s="12"/>
      <c r="Y1746" s="12"/>
      <c r="Z1746" s="12"/>
      <c r="AA1746" s="11"/>
      <c r="AB1746" s="12"/>
      <c r="AC1746" s="12"/>
      <c r="AD1746" s="12"/>
      <c r="AE1746" s="12"/>
      <c r="AF1746" s="12"/>
      <c r="AG1746" s="12"/>
      <c r="AH1746" s="12"/>
      <c r="AI1746" s="12"/>
      <c r="AJ1746" s="12"/>
      <c r="AK1746" s="12"/>
      <c r="AL1746" s="12"/>
      <c r="AM1746" s="12"/>
      <c r="AN1746" s="12"/>
      <c r="AO1746" s="12"/>
      <c r="AP1746" s="12"/>
      <c r="AQ1746" s="12"/>
      <c r="AR1746" s="12"/>
      <c r="AS1746" s="12"/>
      <c r="AT1746" s="11"/>
      <c r="AU1746" s="11"/>
      <c r="AV1746" s="11"/>
      <c r="AW1746" s="12"/>
      <c r="AX1746" s="12"/>
      <c r="AY1746" s="12"/>
      <c r="AZ1746" s="11"/>
      <c r="BA1746" s="11"/>
      <c r="BB1746" s="11"/>
      <c r="BC1746" s="12"/>
      <c r="BD1746" s="12"/>
      <c r="BE1746" s="12"/>
      <c r="BF1746" s="12"/>
      <c r="BG1746" s="12"/>
      <c r="BH1746" s="12"/>
      <c r="BI1746" s="12"/>
      <c r="BJ1746" s="12"/>
      <c r="BK1746" s="12"/>
      <c r="BL1746" s="12"/>
      <c r="BM1746" s="12"/>
      <c r="BN1746" s="12"/>
      <c r="BO1746" s="12"/>
      <c r="BP1746" s="11"/>
      <c r="BQ1746" s="12"/>
      <c r="BR1746" s="7" t="str">
        <f t="shared" si="1"/>
        <v/>
      </c>
    </row>
    <row r="1747" ht="22.5" customHeight="1">
      <c r="A1747" s="8"/>
      <c r="B1747" s="9"/>
      <c r="C1747" s="10"/>
      <c r="D1747" s="12"/>
      <c r="E1747" s="12"/>
      <c r="F1747" s="12"/>
      <c r="G1747" s="12"/>
      <c r="H1747" s="12"/>
      <c r="I1747" s="12"/>
      <c r="J1747" s="12"/>
      <c r="K1747" s="12"/>
      <c r="L1747" s="12"/>
      <c r="M1747" s="12"/>
      <c r="N1747" s="12"/>
      <c r="O1747" s="12"/>
      <c r="P1747" s="12"/>
      <c r="Q1747" s="12"/>
      <c r="R1747" s="12"/>
      <c r="S1747" s="12"/>
      <c r="T1747" s="12"/>
      <c r="U1747" s="11"/>
      <c r="V1747" s="11"/>
      <c r="W1747" s="11"/>
      <c r="X1747" s="12"/>
      <c r="Y1747" s="12"/>
      <c r="Z1747" s="12"/>
      <c r="AA1747" s="11"/>
      <c r="AB1747" s="12"/>
      <c r="AC1747" s="12"/>
      <c r="AD1747" s="12"/>
      <c r="AE1747" s="12"/>
      <c r="AF1747" s="12"/>
      <c r="AG1747" s="12"/>
      <c r="AH1747" s="12"/>
      <c r="AI1747" s="12"/>
      <c r="AJ1747" s="12"/>
      <c r="AK1747" s="12"/>
      <c r="AL1747" s="12"/>
      <c r="AM1747" s="12"/>
      <c r="AN1747" s="12"/>
      <c r="AO1747" s="12"/>
      <c r="AP1747" s="12"/>
      <c r="AQ1747" s="12"/>
      <c r="AR1747" s="12"/>
      <c r="AS1747" s="12"/>
      <c r="AT1747" s="11"/>
      <c r="AU1747" s="11"/>
      <c r="AV1747" s="11"/>
      <c r="AW1747" s="12"/>
      <c r="AX1747" s="12"/>
      <c r="AY1747" s="12"/>
      <c r="AZ1747" s="11"/>
      <c r="BA1747" s="11"/>
      <c r="BB1747" s="11"/>
      <c r="BC1747" s="12"/>
      <c r="BD1747" s="12"/>
      <c r="BE1747" s="12"/>
      <c r="BF1747" s="12"/>
      <c r="BG1747" s="12"/>
      <c r="BH1747" s="12"/>
      <c r="BI1747" s="12"/>
      <c r="BJ1747" s="12"/>
      <c r="BK1747" s="12"/>
      <c r="BL1747" s="12"/>
      <c r="BM1747" s="12"/>
      <c r="BN1747" s="12"/>
      <c r="BO1747" s="12"/>
      <c r="BP1747" s="11"/>
      <c r="BQ1747" s="12"/>
      <c r="BR1747" s="7" t="str">
        <f t="shared" si="1"/>
        <v/>
      </c>
    </row>
    <row r="1748" ht="22.5" customHeight="1">
      <c r="A1748" s="8"/>
      <c r="B1748" s="9"/>
      <c r="C1748" s="10"/>
      <c r="D1748" s="12"/>
      <c r="E1748" s="12"/>
      <c r="F1748" s="12"/>
      <c r="G1748" s="12"/>
      <c r="H1748" s="12"/>
      <c r="I1748" s="12"/>
      <c r="J1748" s="12"/>
      <c r="K1748" s="12"/>
      <c r="L1748" s="12"/>
      <c r="M1748" s="12"/>
      <c r="N1748" s="12"/>
      <c r="O1748" s="12"/>
      <c r="P1748" s="12"/>
      <c r="Q1748" s="12"/>
      <c r="R1748" s="12"/>
      <c r="S1748" s="12"/>
      <c r="T1748" s="12"/>
      <c r="U1748" s="11"/>
      <c r="V1748" s="11"/>
      <c r="W1748" s="11"/>
      <c r="X1748" s="12"/>
      <c r="Y1748" s="12"/>
      <c r="Z1748" s="12"/>
      <c r="AA1748" s="11"/>
      <c r="AB1748" s="12"/>
      <c r="AC1748" s="12"/>
      <c r="AD1748" s="12"/>
      <c r="AE1748" s="12"/>
      <c r="AF1748" s="12"/>
      <c r="AG1748" s="12"/>
      <c r="AH1748" s="12"/>
      <c r="AI1748" s="12"/>
      <c r="AJ1748" s="12"/>
      <c r="AK1748" s="12"/>
      <c r="AL1748" s="12"/>
      <c r="AM1748" s="12"/>
      <c r="AN1748" s="12"/>
      <c r="AO1748" s="12"/>
      <c r="AP1748" s="12"/>
      <c r="AQ1748" s="12"/>
      <c r="AR1748" s="12"/>
      <c r="AS1748" s="12"/>
      <c r="AT1748" s="11"/>
      <c r="AU1748" s="11"/>
      <c r="AV1748" s="11"/>
      <c r="AW1748" s="12"/>
      <c r="AX1748" s="12"/>
      <c r="AY1748" s="12"/>
      <c r="AZ1748" s="11"/>
      <c r="BA1748" s="11"/>
      <c r="BB1748" s="11"/>
      <c r="BC1748" s="12"/>
      <c r="BD1748" s="12"/>
      <c r="BE1748" s="12"/>
      <c r="BF1748" s="12"/>
      <c r="BG1748" s="12"/>
      <c r="BH1748" s="12"/>
      <c r="BI1748" s="12"/>
      <c r="BJ1748" s="12"/>
      <c r="BK1748" s="12"/>
      <c r="BL1748" s="12"/>
      <c r="BM1748" s="12"/>
      <c r="BN1748" s="12"/>
      <c r="BO1748" s="12"/>
      <c r="BP1748" s="11"/>
      <c r="BQ1748" s="12"/>
      <c r="BR1748" s="7" t="str">
        <f t="shared" si="1"/>
        <v/>
      </c>
    </row>
    <row r="1749" ht="22.5" customHeight="1">
      <c r="A1749" s="8"/>
      <c r="B1749" s="9"/>
      <c r="C1749" s="10"/>
      <c r="D1749" s="12"/>
      <c r="E1749" s="12"/>
      <c r="F1749" s="12"/>
      <c r="G1749" s="12"/>
      <c r="H1749" s="12"/>
      <c r="I1749" s="12"/>
      <c r="J1749" s="12"/>
      <c r="K1749" s="12"/>
      <c r="L1749" s="12"/>
      <c r="M1749" s="12"/>
      <c r="N1749" s="12"/>
      <c r="O1749" s="12"/>
      <c r="P1749" s="12"/>
      <c r="Q1749" s="12"/>
      <c r="R1749" s="12"/>
      <c r="S1749" s="12"/>
      <c r="T1749" s="12"/>
      <c r="U1749" s="11"/>
      <c r="V1749" s="11"/>
      <c r="W1749" s="11"/>
      <c r="X1749" s="12"/>
      <c r="Y1749" s="12"/>
      <c r="Z1749" s="12"/>
      <c r="AA1749" s="11"/>
      <c r="AB1749" s="12"/>
      <c r="AC1749" s="12"/>
      <c r="AD1749" s="12"/>
      <c r="AE1749" s="12"/>
      <c r="AF1749" s="12"/>
      <c r="AG1749" s="12"/>
      <c r="AH1749" s="12"/>
      <c r="AI1749" s="12"/>
      <c r="AJ1749" s="12"/>
      <c r="AK1749" s="12"/>
      <c r="AL1749" s="12"/>
      <c r="AM1749" s="12"/>
      <c r="AN1749" s="12"/>
      <c r="AO1749" s="12"/>
      <c r="AP1749" s="12"/>
      <c r="AQ1749" s="12"/>
      <c r="AR1749" s="12"/>
      <c r="AS1749" s="12"/>
      <c r="AT1749" s="11"/>
      <c r="AU1749" s="11"/>
      <c r="AV1749" s="11"/>
      <c r="AW1749" s="12"/>
      <c r="AX1749" s="12"/>
      <c r="AY1749" s="12"/>
      <c r="AZ1749" s="11"/>
      <c r="BA1749" s="11"/>
      <c r="BB1749" s="11"/>
      <c r="BC1749" s="12"/>
      <c r="BD1749" s="12"/>
      <c r="BE1749" s="12"/>
      <c r="BF1749" s="12"/>
      <c r="BG1749" s="12"/>
      <c r="BH1749" s="12"/>
      <c r="BI1749" s="12"/>
      <c r="BJ1749" s="12"/>
      <c r="BK1749" s="12"/>
      <c r="BL1749" s="12"/>
      <c r="BM1749" s="12"/>
      <c r="BN1749" s="12"/>
      <c r="BO1749" s="12"/>
      <c r="BP1749" s="11"/>
      <c r="BQ1749" s="12"/>
      <c r="BR1749" s="7" t="str">
        <f t="shared" si="1"/>
        <v/>
      </c>
    </row>
    <row r="1750" ht="22.5" customHeight="1">
      <c r="A1750" s="8"/>
      <c r="B1750" s="9"/>
      <c r="C1750" s="10"/>
      <c r="D1750" s="12"/>
      <c r="E1750" s="12"/>
      <c r="F1750" s="12"/>
      <c r="G1750" s="12"/>
      <c r="H1750" s="12"/>
      <c r="I1750" s="12"/>
      <c r="J1750" s="12"/>
      <c r="K1750" s="12"/>
      <c r="L1750" s="12"/>
      <c r="M1750" s="12"/>
      <c r="N1750" s="12"/>
      <c r="O1750" s="12"/>
      <c r="P1750" s="12"/>
      <c r="Q1750" s="12"/>
      <c r="R1750" s="12"/>
      <c r="S1750" s="12"/>
      <c r="T1750" s="12"/>
      <c r="U1750" s="11"/>
      <c r="V1750" s="11"/>
      <c r="W1750" s="11"/>
      <c r="X1750" s="12"/>
      <c r="Y1750" s="12"/>
      <c r="Z1750" s="12"/>
      <c r="AA1750" s="11"/>
      <c r="AB1750" s="12"/>
      <c r="AC1750" s="12"/>
      <c r="AD1750" s="12"/>
      <c r="AE1750" s="12"/>
      <c r="AF1750" s="12"/>
      <c r="AG1750" s="12"/>
      <c r="AH1750" s="12"/>
      <c r="AI1750" s="12"/>
      <c r="AJ1750" s="12"/>
      <c r="AK1750" s="12"/>
      <c r="AL1750" s="12"/>
      <c r="AM1750" s="12"/>
      <c r="AN1750" s="12"/>
      <c r="AO1750" s="12"/>
      <c r="AP1750" s="12"/>
      <c r="AQ1750" s="12"/>
      <c r="AR1750" s="12"/>
      <c r="AS1750" s="12"/>
      <c r="AT1750" s="11"/>
      <c r="AU1750" s="11"/>
      <c r="AV1750" s="11"/>
      <c r="AW1750" s="12"/>
      <c r="AX1750" s="12"/>
      <c r="AY1750" s="12"/>
      <c r="AZ1750" s="11"/>
      <c r="BA1750" s="11"/>
      <c r="BB1750" s="11"/>
      <c r="BC1750" s="12"/>
      <c r="BD1750" s="12"/>
      <c r="BE1750" s="12"/>
      <c r="BF1750" s="12"/>
      <c r="BG1750" s="12"/>
      <c r="BH1750" s="12"/>
      <c r="BI1750" s="12"/>
      <c r="BJ1750" s="12"/>
      <c r="BK1750" s="12"/>
      <c r="BL1750" s="12"/>
      <c r="BM1750" s="12"/>
      <c r="BN1750" s="12"/>
      <c r="BO1750" s="12"/>
      <c r="BP1750" s="11"/>
      <c r="BQ1750" s="12"/>
      <c r="BR1750" s="7" t="str">
        <f t="shared" si="1"/>
        <v/>
      </c>
    </row>
    <row r="1751" ht="22.5" customHeight="1">
      <c r="A1751" s="8"/>
      <c r="B1751" s="9"/>
      <c r="C1751" s="10"/>
      <c r="D1751" s="12"/>
      <c r="E1751" s="12"/>
      <c r="F1751" s="12"/>
      <c r="G1751" s="12"/>
      <c r="H1751" s="12"/>
      <c r="I1751" s="12"/>
      <c r="J1751" s="12"/>
      <c r="K1751" s="12"/>
      <c r="L1751" s="12"/>
      <c r="M1751" s="12"/>
      <c r="N1751" s="12"/>
      <c r="O1751" s="12"/>
      <c r="P1751" s="12"/>
      <c r="Q1751" s="12"/>
      <c r="R1751" s="12"/>
      <c r="S1751" s="12"/>
      <c r="T1751" s="12"/>
      <c r="U1751" s="11"/>
      <c r="V1751" s="11"/>
      <c r="W1751" s="11"/>
      <c r="X1751" s="12"/>
      <c r="Y1751" s="12"/>
      <c r="Z1751" s="12"/>
      <c r="AA1751" s="11"/>
      <c r="AB1751" s="12"/>
      <c r="AC1751" s="12"/>
      <c r="AD1751" s="12"/>
      <c r="AE1751" s="12"/>
      <c r="AF1751" s="12"/>
      <c r="AG1751" s="12"/>
      <c r="AH1751" s="12"/>
      <c r="AI1751" s="12"/>
      <c r="AJ1751" s="12"/>
      <c r="AK1751" s="12"/>
      <c r="AL1751" s="12"/>
      <c r="AM1751" s="12"/>
      <c r="AN1751" s="12"/>
      <c r="AO1751" s="12"/>
      <c r="AP1751" s="12"/>
      <c r="AQ1751" s="12"/>
      <c r="AR1751" s="12"/>
      <c r="AS1751" s="12"/>
      <c r="AT1751" s="11"/>
      <c r="AU1751" s="11"/>
      <c r="AV1751" s="11"/>
      <c r="AW1751" s="12"/>
      <c r="AX1751" s="12"/>
      <c r="AY1751" s="12"/>
      <c r="AZ1751" s="11"/>
      <c r="BA1751" s="11"/>
      <c r="BB1751" s="11"/>
      <c r="BC1751" s="12"/>
      <c r="BD1751" s="12"/>
      <c r="BE1751" s="12"/>
      <c r="BF1751" s="12"/>
      <c r="BG1751" s="12"/>
      <c r="BH1751" s="12"/>
      <c r="BI1751" s="12"/>
      <c r="BJ1751" s="12"/>
      <c r="BK1751" s="12"/>
      <c r="BL1751" s="12"/>
      <c r="BM1751" s="12"/>
      <c r="BN1751" s="12"/>
      <c r="BO1751" s="12"/>
      <c r="BP1751" s="11"/>
      <c r="BQ1751" s="12"/>
      <c r="BR1751" s="7" t="str">
        <f t="shared" si="1"/>
        <v/>
      </c>
    </row>
    <row r="1752" ht="22.5" customHeight="1">
      <c r="A1752" s="8"/>
      <c r="B1752" s="9"/>
      <c r="C1752" s="10"/>
      <c r="D1752" s="12"/>
      <c r="E1752" s="12"/>
      <c r="F1752" s="12"/>
      <c r="G1752" s="12"/>
      <c r="H1752" s="12"/>
      <c r="I1752" s="12"/>
      <c r="J1752" s="12"/>
      <c r="K1752" s="12"/>
      <c r="L1752" s="12"/>
      <c r="M1752" s="12"/>
      <c r="N1752" s="12"/>
      <c r="O1752" s="12"/>
      <c r="P1752" s="12"/>
      <c r="Q1752" s="12"/>
      <c r="R1752" s="12"/>
      <c r="S1752" s="12"/>
      <c r="T1752" s="12"/>
      <c r="U1752" s="11"/>
      <c r="V1752" s="11"/>
      <c r="W1752" s="11"/>
      <c r="X1752" s="12"/>
      <c r="Y1752" s="12"/>
      <c r="Z1752" s="12"/>
      <c r="AA1752" s="11"/>
      <c r="AB1752" s="12"/>
      <c r="AC1752" s="12"/>
      <c r="AD1752" s="12"/>
      <c r="AE1752" s="12"/>
      <c r="AF1752" s="12"/>
      <c r="AG1752" s="12"/>
      <c r="AH1752" s="12"/>
      <c r="AI1752" s="12"/>
      <c r="AJ1752" s="12"/>
      <c r="AK1752" s="12"/>
      <c r="AL1752" s="12"/>
      <c r="AM1752" s="12"/>
      <c r="AN1752" s="12"/>
      <c r="AO1752" s="12"/>
      <c r="AP1752" s="12"/>
      <c r="AQ1752" s="12"/>
      <c r="AR1752" s="12"/>
      <c r="AS1752" s="12"/>
      <c r="AT1752" s="11"/>
      <c r="AU1752" s="11"/>
      <c r="AV1752" s="11"/>
      <c r="AW1752" s="12"/>
      <c r="AX1752" s="12"/>
      <c r="AY1752" s="12"/>
      <c r="AZ1752" s="11"/>
      <c r="BA1752" s="11"/>
      <c r="BB1752" s="11"/>
      <c r="BC1752" s="12"/>
      <c r="BD1752" s="12"/>
      <c r="BE1752" s="12"/>
      <c r="BF1752" s="12"/>
      <c r="BG1752" s="12"/>
      <c r="BH1752" s="12"/>
      <c r="BI1752" s="12"/>
      <c r="BJ1752" s="12"/>
      <c r="BK1752" s="12"/>
      <c r="BL1752" s="12"/>
      <c r="BM1752" s="12"/>
      <c r="BN1752" s="12"/>
      <c r="BO1752" s="12"/>
      <c r="BP1752" s="11"/>
      <c r="BQ1752" s="12"/>
      <c r="BR1752" s="7" t="str">
        <f t="shared" si="1"/>
        <v/>
      </c>
    </row>
    <row r="1753" ht="22.5" customHeight="1">
      <c r="A1753" s="8"/>
      <c r="B1753" s="9"/>
      <c r="C1753" s="10"/>
      <c r="D1753" s="12"/>
      <c r="E1753" s="12"/>
      <c r="F1753" s="12"/>
      <c r="G1753" s="12"/>
      <c r="H1753" s="12"/>
      <c r="I1753" s="12"/>
      <c r="J1753" s="12"/>
      <c r="K1753" s="12"/>
      <c r="L1753" s="12"/>
      <c r="M1753" s="12"/>
      <c r="N1753" s="12"/>
      <c r="O1753" s="12"/>
      <c r="P1753" s="12"/>
      <c r="Q1753" s="12"/>
      <c r="R1753" s="12"/>
      <c r="S1753" s="12"/>
      <c r="T1753" s="12"/>
      <c r="U1753" s="11"/>
      <c r="V1753" s="11"/>
      <c r="W1753" s="11"/>
      <c r="X1753" s="12"/>
      <c r="Y1753" s="12"/>
      <c r="Z1753" s="12"/>
      <c r="AA1753" s="11"/>
      <c r="AB1753" s="12"/>
      <c r="AC1753" s="12"/>
      <c r="AD1753" s="12"/>
      <c r="AE1753" s="12"/>
      <c r="AF1753" s="12"/>
      <c r="AG1753" s="12"/>
      <c r="AH1753" s="12"/>
      <c r="AI1753" s="12"/>
      <c r="AJ1753" s="12"/>
      <c r="AK1753" s="12"/>
      <c r="AL1753" s="12"/>
      <c r="AM1753" s="12"/>
      <c r="AN1753" s="12"/>
      <c r="AO1753" s="12"/>
      <c r="AP1753" s="12"/>
      <c r="AQ1753" s="12"/>
      <c r="AR1753" s="12"/>
      <c r="AS1753" s="12"/>
      <c r="AT1753" s="11"/>
      <c r="AU1753" s="11"/>
      <c r="AV1753" s="11"/>
      <c r="AW1753" s="12"/>
      <c r="AX1753" s="12"/>
      <c r="AY1753" s="12"/>
      <c r="AZ1753" s="11"/>
      <c r="BA1753" s="11"/>
      <c r="BB1753" s="11"/>
      <c r="BC1753" s="12"/>
      <c r="BD1753" s="12"/>
      <c r="BE1753" s="12"/>
      <c r="BF1753" s="12"/>
      <c r="BG1753" s="12"/>
      <c r="BH1753" s="12"/>
      <c r="BI1753" s="12"/>
      <c r="BJ1753" s="12"/>
      <c r="BK1753" s="12"/>
      <c r="BL1753" s="12"/>
      <c r="BM1753" s="12"/>
      <c r="BN1753" s="12"/>
      <c r="BO1753" s="12"/>
      <c r="BP1753" s="11"/>
      <c r="BQ1753" s="12"/>
      <c r="BR1753" s="7" t="str">
        <f t="shared" si="1"/>
        <v/>
      </c>
    </row>
    <row r="1754" ht="22.5" customHeight="1">
      <c r="A1754" s="8"/>
      <c r="B1754" s="9"/>
      <c r="C1754" s="10"/>
      <c r="D1754" s="12"/>
      <c r="E1754" s="12"/>
      <c r="F1754" s="12"/>
      <c r="G1754" s="12"/>
      <c r="H1754" s="12"/>
      <c r="I1754" s="12"/>
      <c r="J1754" s="12"/>
      <c r="K1754" s="12"/>
      <c r="L1754" s="12"/>
      <c r="M1754" s="12"/>
      <c r="N1754" s="12"/>
      <c r="O1754" s="12"/>
      <c r="P1754" s="12"/>
      <c r="Q1754" s="12"/>
      <c r="R1754" s="12"/>
      <c r="S1754" s="12"/>
      <c r="T1754" s="12"/>
      <c r="U1754" s="11"/>
      <c r="V1754" s="11"/>
      <c r="W1754" s="11"/>
      <c r="X1754" s="12"/>
      <c r="Y1754" s="12"/>
      <c r="Z1754" s="12"/>
      <c r="AA1754" s="11"/>
      <c r="AB1754" s="12"/>
      <c r="AC1754" s="12"/>
      <c r="AD1754" s="12"/>
      <c r="AE1754" s="12"/>
      <c r="AF1754" s="12"/>
      <c r="AG1754" s="12"/>
      <c r="AH1754" s="12"/>
      <c r="AI1754" s="12"/>
      <c r="AJ1754" s="12"/>
      <c r="AK1754" s="12"/>
      <c r="AL1754" s="12"/>
      <c r="AM1754" s="12"/>
      <c r="AN1754" s="12"/>
      <c r="AO1754" s="12"/>
      <c r="AP1754" s="12"/>
      <c r="AQ1754" s="12"/>
      <c r="AR1754" s="12"/>
      <c r="AS1754" s="12"/>
      <c r="AT1754" s="11"/>
      <c r="AU1754" s="11"/>
      <c r="AV1754" s="11"/>
      <c r="AW1754" s="12"/>
      <c r="AX1754" s="12"/>
      <c r="AY1754" s="12"/>
      <c r="AZ1754" s="11"/>
      <c r="BA1754" s="11"/>
      <c r="BB1754" s="11"/>
      <c r="BC1754" s="12"/>
      <c r="BD1754" s="12"/>
      <c r="BE1754" s="12"/>
      <c r="BF1754" s="12"/>
      <c r="BG1754" s="12"/>
      <c r="BH1754" s="12"/>
      <c r="BI1754" s="12"/>
      <c r="BJ1754" s="12"/>
      <c r="BK1754" s="12"/>
      <c r="BL1754" s="12"/>
      <c r="BM1754" s="12"/>
      <c r="BN1754" s="12"/>
      <c r="BO1754" s="12"/>
      <c r="BP1754" s="11"/>
      <c r="BQ1754" s="12"/>
      <c r="BR1754" s="7" t="str">
        <f t="shared" si="1"/>
        <v/>
      </c>
    </row>
    <row r="1755" ht="22.5" customHeight="1">
      <c r="A1755" s="8"/>
      <c r="B1755" s="9"/>
      <c r="C1755" s="10"/>
      <c r="D1755" s="12"/>
      <c r="E1755" s="12"/>
      <c r="F1755" s="12"/>
      <c r="G1755" s="12"/>
      <c r="H1755" s="12"/>
      <c r="I1755" s="12"/>
      <c r="J1755" s="12"/>
      <c r="K1755" s="12"/>
      <c r="L1755" s="12"/>
      <c r="M1755" s="12"/>
      <c r="N1755" s="12"/>
      <c r="O1755" s="12"/>
      <c r="P1755" s="12"/>
      <c r="Q1755" s="12"/>
      <c r="R1755" s="12"/>
      <c r="S1755" s="12"/>
      <c r="T1755" s="12"/>
      <c r="U1755" s="11"/>
      <c r="V1755" s="11"/>
      <c r="W1755" s="11"/>
      <c r="X1755" s="12"/>
      <c r="Y1755" s="12"/>
      <c r="Z1755" s="12"/>
      <c r="AA1755" s="11"/>
      <c r="AB1755" s="12"/>
      <c r="AC1755" s="12"/>
      <c r="AD1755" s="12"/>
      <c r="AE1755" s="12"/>
      <c r="AF1755" s="12"/>
      <c r="AG1755" s="12"/>
      <c r="AH1755" s="12"/>
      <c r="AI1755" s="12"/>
      <c r="AJ1755" s="12"/>
      <c r="AK1755" s="12"/>
      <c r="AL1755" s="12"/>
      <c r="AM1755" s="12"/>
      <c r="AN1755" s="12"/>
      <c r="AO1755" s="12"/>
      <c r="AP1755" s="12"/>
      <c r="AQ1755" s="12"/>
      <c r="AR1755" s="12"/>
      <c r="AS1755" s="12"/>
      <c r="AT1755" s="11"/>
      <c r="AU1755" s="11"/>
      <c r="AV1755" s="11"/>
      <c r="AW1755" s="12"/>
      <c r="AX1755" s="12"/>
      <c r="AY1755" s="12"/>
      <c r="AZ1755" s="11"/>
      <c r="BA1755" s="11"/>
      <c r="BB1755" s="11"/>
      <c r="BC1755" s="12"/>
      <c r="BD1755" s="12"/>
      <c r="BE1755" s="12"/>
      <c r="BF1755" s="12"/>
      <c r="BG1755" s="12"/>
      <c r="BH1755" s="12"/>
      <c r="BI1755" s="12"/>
      <c r="BJ1755" s="12"/>
      <c r="BK1755" s="12"/>
      <c r="BL1755" s="12"/>
      <c r="BM1755" s="12"/>
      <c r="BN1755" s="12"/>
      <c r="BO1755" s="12"/>
      <c r="BP1755" s="11"/>
      <c r="BQ1755" s="12"/>
      <c r="BR1755" s="7" t="str">
        <f t="shared" si="1"/>
        <v/>
      </c>
    </row>
    <row r="1756" ht="22.5" customHeight="1">
      <c r="A1756" s="8"/>
      <c r="B1756" s="9"/>
      <c r="C1756" s="10"/>
      <c r="D1756" s="12"/>
      <c r="E1756" s="12"/>
      <c r="F1756" s="12"/>
      <c r="G1756" s="12"/>
      <c r="H1756" s="12"/>
      <c r="I1756" s="12"/>
      <c r="J1756" s="12"/>
      <c r="K1756" s="12"/>
      <c r="L1756" s="12"/>
      <c r="M1756" s="12"/>
      <c r="N1756" s="12"/>
      <c r="O1756" s="12"/>
      <c r="P1756" s="12"/>
      <c r="Q1756" s="12"/>
      <c r="R1756" s="12"/>
      <c r="S1756" s="12"/>
      <c r="T1756" s="12"/>
      <c r="U1756" s="11"/>
      <c r="V1756" s="11"/>
      <c r="W1756" s="11"/>
      <c r="X1756" s="12"/>
      <c r="Y1756" s="12"/>
      <c r="Z1756" s="12"/>
      <c r="AA1756" s="11"/>
      <c r="AB1756" s="12"/>
      <c r="AC1756" s="12"/>
      <c r="AD1756" s="12"/>
      <c r="AE1756" s="12"/>
      <c r="AF1756" s="12"/>
      <c r="AG1756" s="12"/>
      <c r="AH1756" s="12"/>
      <c r="AI1756" s="12"/>
      <c r="AJ1756" s="12"/>
      <c r="AK1756" s="12"/>
      <c r="AL1756" s="12"/>
      <c r="AM1756" s="12"/>
      <c r="AN1756" s="12"/>
      <c r="AO1756" s="12"/>
      <c r="AP1756" s="12"/>
      <c r="AQ1756" s="12"/>
      <c r="AR1756" s="12"/>
      <c r="AS1756" s="12"/>
      <c r="AT1756" s="11"/>
      <c r="AU1756" s="11"/>
      <c r="AV1756" s="11"/>
      <c r="AW1756" s="12"/>
      <c r="AX1756" s="12"/>
      <c r="AY1756" s="12"/>
      <c r="AZ1756" s="11"/>
      <c r="BA1756" s="11"/>
      <c r="BB1756" s="11"/>
      <c r="BC1756" s="12"/>
      <c r="BD1756" s="12"/>
      <c r="BE1756" s="12"/>
      <c r="BF1756" s="12"/>
      <c r="BG1756" s="12"/>
      <c r="BH1756" s="12"/>
      <c r="BI1756" s="12"/>
      <c r="BJ1756" s="12"/>
      <c r="BK1756" s="12"/>
      <c r="BL1756" s="12"/>
      <c r="BM1756" s="12"/>
      <c r="BN1756" s="12"/>
      <c r="BO1756" s="12"/>
      <c r="BP1756" s="11"/>
      <c r="BQ1756" s="12"/>
      <c r="BR1756" s="7" t="str">
        <f t="shared" si="1"/>
        <v/>
      </c>
    </row>
    <row r="1757" ht="22.5" customHeight="1">
      <c r="A1757" s="8"/>
      <c r="B1757" s="9"/>
      <c r="C1757" s="10"/>
      <c r="D1757" s="12"/>
      <c r="E1757" s="12"/>
      <c r="F1757" s="12"/>
      <c r="G1757" s="12"/>
      <c r="H1757" s="12"/>
      <c r="I1757" s="12"/>
      <c r="J1757" s="12"/>
      <c r="K1757" s="12"/>
      <c r="L1757" s="12"/>
      <c r="M1757" s="12"/>
      <c r="N1757" s="12"/>
      <c r="O1757" s="12"/>
      <c r="P1757" s="12"/>
      <c r="Q1757" s="12"/>
      <c r="R1757" s="12"/>
      <c r="S1757" s="12"/>
      <c r="T1757" s="12"/>
      <c r="U1757" s="11"/>
      <c r="V1757" s="11"/>
      <c r="W1757" s="11"/>
      <c r="X1757" s="12"/>
      <c r="Y1757" s="12"/>
      <c r="Z1757" s="12"/>
      <c r="AA1757" s="11"/>
      <c r="AB1757" s="12"/>
      <c r="AC1757" s="12"/>
      <c r="AD1757" s="12"/>
      <c r="AE1757" s="12"/>
      <c r="AF1757" s="12"/>
      <c r="AG1757" s="12"/>
      <c r="AH1757" s="12"/>
      <c r="AI1757" s="12"/>
      <c r="AJ1757" s="12"/>
      <c r="AK1757" s="12"/>
      <c r="AL1757" s="12"/>
      <c r="AM1757" s="12"/>
      <c r="AN1757" s="12"/>
      <c r="AO1757" s="12"/>
      <c r="AP1757" s="12"/>
      <c r="AQ1757" s="12"/>
      <c r="AR1757" s="12"/>
      <c r="AS1757" s="12"/>
      <c r="AT1757" s="11"/>
      <c r="AU1757" s="11"/>
      <c r="AV1757" s="11"/>
      <c r="AW1757" s="12"/>
      <c r="AX1757" s="12"/>
      <c r="AY1757" s="12"/>
      <c r="AZ1757" s="11"/>
      <c r="BA1757" s="11"/>
      <c r="BB1757" s="11"/>
      <c r="BC1757" s="12"/>
      <c r="BD1757" s="12"/>
      <c r="BE1757" s="12"/>
      <c r="BF1757" s="12"/>
      <c r="BG1757" s="12"/>
      <c r="BH1757" s="12"/>
      <c r="BI1757" s="12"/>
      <c r="BJ1757" s="12"/>
      <c r="BK1757" s="12"/>
      <c r="BL1757" s="12"/>
      <c r="BM1757" s="12"/>
      <c r="BN1757" s="12"/>
      <c r="BO1757" s="12"/>
      <c r="BP1757" s="11"/>
      <c r="BQ1757" s="12"/>
      <c r="BR1757" s="7" t="str">
        <f t="shared" si="1"/>
        <v/>
      </c>
    </row>
    <row r="1758" ht="22.5" customHeight="1">
      <c r="A1758" s="8"/>
      <c r="B1758" s="9"/>
      <c r="C1758" s="10"/>
      <c r="D1758" s="12"/>
      <c r="E1758" s="12"/>
      <c r="F1758" s="12"/>
      <c r="G1758" s="12"/>
      <c r="H1758" s="12"/>
      <c r="I1758" s="12"/>
      <c r="J1758" s="12"/>
      <c r="K1758" s="12"/>
      <c r="L1758" s="12"/>
      <c r="M1758" s="12"/>
      <c r="N1758" s="12"/>
      <c r="O1758" s="12"/>
      <c r="P1758" s="12"/>
      <c r="Q1758" s="12"/>
      <c r="R1758" s="12"/>
      <c r="S1758" s="12"/>
      <c r="T1758" s="12"/>
      <c r="U1758" s="11"/>
      <c r="V1758" s="11"/>
      <c r="W1758" s="11"/>
      <c r="X1758" s="12"/>
      <c r="Y1758" s="12"/>
      <c r="Z1758" s="12"/>
      <c r="AA1758" s="11"/>
      <c r="AB1758" s="12"/>
      <c r="AC1758" s="12"/>
      <c r="AD1758" s="12"/>
      <c r="AE1758" s="12"/>
      <c r="AF1758" s="12"/>
      <c r="AG1758" s="12"/>
      <c r="AH1758" s="12"/>
      <c r="AI1758" s="12"/>
      <c r="AJ1758" s="12"/>
      <c r="AK1758" s="12"/>
      <c r="AL1758" s="12"/>
      <c r="AM1758" s="12"/>
      <c r="AN1758" s="12"/>
      <c r="AO1758" s="12"/>
      <c r="AP1758" s="12"/>
      <c r="AQ1758" s="12"/>
      <c r="AR1758" s="12"/>
      <c r="AS1758" s="12"/>
      <c r="AT1758" s="11"/>
      <c r="AU1758" s="11"/>
      <c r="AV1758" s="11"/>
      <c r="AW1758" s="12"/>
      <c r="AX1758" s="12"/>
      <c r="AY1758" s="12"/>
      <c r="AZ1758" s="11"/>
      <c r="BA1758" s="11"/>
      <c r="BB1758" s="11"/>
      <c r="BC1758" s="12"/>
      <c r="BD1758" s="12"/>
      <c r="BE1758" s="12"/>
      <c r="BF1758" s="12"/>
      <c r="BG1758" s="12"/>
      <c r="BH1758" s="12"/>
      <c r="BI1758" s="12"/>
      <c r="BJ1758" s="12"/>
      <c r="BK1758" s="12"/>
      <c r="BL1758" s="12"/>
      <c r="BM1758" s="12"/>
      <c r="BN1758" s="12"/>
      <c r="BO1758" s="12"/>
      <c r="BP1758" s="11"/>
      <c r="BQ1758" s="12"/>
      <c r="BR1758" s="7" t="str">
        <f t="shared" si="1"/>
        <v/>
      </c>
    </row>
    <row r="1759" ht="22.5" customHeight="1">
      <c r="A1759" s="8"/>
      <c r="B1759" s="9"/>
      <c r="C1759" s="10"/>
      <c r="D1759" s="12"/>
      <c r="E1759" s="12"/>
      <c r="F1759" s="12"/>
      <c r="G1759" s="12"/>
      <c r="H1759" s="12"/>
      <c r="I1759" s="12"/>
      <c r="J1759" s="12"/>
      <c r="K1759" s="12"/>
      <c r="L1759" s="12"/>
      <c r="M1759" s="12"/>
      <c r="N1759" s="12"/>
      <c r="O1759" s="12"/>
      <c r="P1759" s="12"/>
      <c r="Q1759" s="12"/>
      <c r="R1759" s="12"/>
      <c r="S1759" s="12"/>
      <c r="T1759" s="12"/>
      <c r="U1759" s="11"/>
      <c r="V1759" s="11"/>
      <c r="W1759" s="11"/>
      <c r="X1759" s="12"/>
      <c r="Y1759" s="12"/>
      <c r="Z1759" s="12"/>
      <c r="AA1759" s="11"/>
      <c r="AB1759" s="12"/>
      <c r="AC1759" s="12"/>
      <c r="AD1759" s="12"/>
      <c r="AE1759" s="12"/>
      <c r="AF1759" s="12"/>
      <c r="AG1759" s="12"/>
      <c r="AH1759" s="12"/>
      <c r="AI1759" s="12"/>
      <c r="AJ1759" s="12"/>
      <c r="AK1759" s="12"/>
      <c r="AL1759" s="12"/>
      <c r="AM1759" s="12"/>
      <c r="AN1759" s="12"/>
      <c r="AO1759" s="12"/>
      <c r="AP1759" s="12"/>
      <c r="AQ1759" s="12"/>
      <c r="AR1759" s="12"/>
      <c r="AS1759" s="12"/>
      <c r="AT1759" s="11"/>
      <c r="AU1759" s="11"/>
      <c r="AV1759" s="11"/>
      <c r="AW1759" s="12"/>
      <c r="AX1759" s="12"/>
      <c r="AY1759" s="12"/>
      <c r="AZ1759" s="11"/>
      <c r="BA1759" s="11"/>
      <c r="BB1759" s="11"/>
      <c r="BC1759" s="12"/>
      <c r="BD1759" s="12"/>
      <c r="BE1759" s="12"/>
      <c r="BF1759" s="12"/>
      <c r="BG1759" s="12"/>
      <c r="BH1759" s="12"/>
      <c r="BI1759" s="12"/>
      <c r="BJ1759" s="12"/>
      <c r="BK1759" s="12"/>
      <c r="BL1759" s="12"/>
      <c r="BM1759" s="12"/>
      <c r="BN1759" s="12"/>
      <c r="BO1759" s="12"/>
      <c r="BP1759" s="11"/>
      <c r="BQ1759" s="12"/>
      <c r="BR1759" s="7" t="str">
        <f t="shared" si="1"/>
        <v/>
      </c>
    </row>
    <row r="1760" ht="22.5" customHeight="1">
      <c r="A1760" s="8"/>
      <c r="B1760" s="9"/>
      <c r="C1760" s="10"/>
      <c r="D1760" s="12"/>
      <c r="E1760" s="12"/>
      <c r="F1760" s="12"/>
      <c r="G1760" s="12"/>
      <c r="H1760" s="12"/>
      <c r="I1760" s="12"/>
      <c r="J1760" s="12"/>
      <c r="K1760" s="12"/>
      <c r="L1760" s="12"/>
      <c r="M1760" s="12"/>
      <c r="N1760" s="12"/>
      <c r="O1760" s="12"/>
      <c r="P1760" s="12"/>
      <c r="Q1760" s="12"/>
      <c r="R1760" s="12"/>
      <c r="S1760" s="12"/>
      <c r="T1760" s="12"/>
      <c r="U1760" s="11"/>
      <c r="V1760" s="11"/>
      <c r="W1760" s="11"/>
      <c r="X1760" s="12"/>
      <c r="Y1760" s="12"/>
      <c r="Z1760" s="12"/>
      <c r="AA1760" s="11"/>
      <c r="AB1760" s="12"/>
      <c r="AC1760" s="12"/>
      <c r="AD1760" s="12"/>
      <c r="AE1760" s="12"/>
      <c r="AF1760" s="12"/>
      <c r="AG1760" s="12"/>
      <c r="AH1760" s="12"/>
      <c r="AI1760" s="12"/>
      <c r="AJ1760" s="12"/>
      <c r="AK1760" s="12"/>
      <c r="AL1760" s="12"/>
      <c r="AM1760" s="12"/>
      <c r="AN1760" s="12"/>
      <c r="AO1760" s="12"/>
      <c r="AP1760" s="12"/>
      <c r="AQ1760" s="12"/>
      <c r="AR1760" s="12"/>
      <c r="AS1760" s="12"/>
      <c r="AT1760" s="11"/>
      <c r="AU1760" s="11"/>
      <c r="AV1760" s="11"/>
      <c r="AW1760" s="12"/>
      <c r="AX1760" s="12"/>
      <c r="AY1760" s="12"/>
      <c r="AZ1760" s="11"/>
      <c r="BA1760" s="11"/>
      <c r="BB1760" s="11"/>
      <c r="BC1760" s="12"/>
      <c r="BD1760" s="12"/>
      <c r="BE1760" s="12"/>
      <c r="BF1760" s="12"/>
      <c r="BG1760" s="12"/>
      <c r="BH1760" s="12"/>
      <c r="BI1760" s="12"/>
      <c r="BJ1760" s="12"/>
      <c r="BK1760" s="12"/>
      <c r="BL1760" s="12"/>
      <c r="BM1760" s="12"/>
      <c r="BN1760" s="12"/>
      <c r="BO1760" s="12"/>
      <c r="BP1760" s="11"/>
      <c r="BQ1760" s="12"/>
      <c r="BR1760" s="7" t="str">
        <f t="shared" si="1"/>
        <v/>
      </c>
    </row>
    <row r="1761" ht="22.5" customHeight="1">
      <c r="A1761" s="8"/>
      <c r="B1761" s="9"/>
      <c r="C1761" s="10"/>
      <c r="D1761" s="12"/>
      <c r="E1761" s="12"/>
      <c r="F1761" s="12"/>
      <c r="G1761" s="12"/>
      <c r="H1761" s="12"/>
      <c r="I1761" s="12"/>
      <c r="J1761" s="12"/>
      <c r="K1761" s="12"/>
      <c r="L1761" s="12"/>
      <c r="M1761" s="12"/>
      <c r="N1761" s="12"/>
      <c r="O1761" s="12"/>
      <c r="P1761" s="12"/>
      <c r="Q1761" s="12"/>
      <c r="R1761" s="12"/>
      <c r="S1761" s="12"/>
      <c r="T1761" s="12"/>
      <c r="U1761" s="11"/>
      <c r="V1761" s="11"/>
      <c r="W1761" s="11"/>
      <c r="X1761" s="12"/>
      <c r="Y1761" s="12"/>
      <c r="Z1761" s="12"/>
      <c r="AA1761" s="11"/>
      <c r="AB1761" s="12"/>
      <c r="AC1761" s="12"/>
      <c r="AD1761" s="12"/>
      <c r="AE1761" s="12"/>
      <c r="AF1761" s="12"/>
      <c r="AG1761" s="12"/>
      <c r="AH1761" s="12"/>
      <c r="AI1761" s="12"/>
      <c r="AJ1761" s="12"/>
      <c r="AK1761" s="12"/>
      <c r="AL1761" s="12"/>
      <c r="AM1761" s="12"/>
      <c r="AN1761" s="12"/>
      <c r="AO1761" s="12"/>
      <c r="AP1761" s="12"/>
      <c r="AQ1761" s="12"/>
      <c r="AR1761" s="12"/>
      <c r="AS1761" s="12"/>
      <c r="AT1761" s="11"/>
      <c r="AU1761" s="11"/>
      <c r="AV1761" s="11"/>
      <c r="AW1761" s="12"/>
      <c r="AX1761" s="12"/>
      <c r="AY1761" s="12"/>
      <c r="AZ1761" s="11"/>
      <c r="BA1761" s="11"/>
      <c r="BB1761" s="11"/>
      <c r="BC1761" s="12"/>
      <c r="BD1761" s="12"/>
      <c r="BE1761" s="12"/>
      <c r="BF1761" s="12"/>
      <c r="BG1761" s="12"/>
      <c r="BH1761" s="12"/>
      <c r="BI1761" s="12"/>
      <c r="BJ1761" s="12"/>
      <c r="BK1761" s="12"/>
      <c r="BL1761" s="12"/>
      <c r="BM1761" s="12"/>
      <c r="BN1761" s="12"/>
      <c r="BO1761" s="12"/>
      <c r="BP1761" s="11"/>
      <c r="BQ1761" s="12"/>
      <c r="BR1761" s="7" t="str">
        <f t="shared" si="1"/>
        <v/>
      </c>
    </row>
    <row r="1762" ht="22.5" customHeight="1">
      <c r="A1762" s="8"/>
      <c r="B1762" s="9"/>
      <c r="C1762" s="10"/>
      <c r="D1762" s="12"/>
      <c r="E1762" s="12"/>
      <c r="F1762" s="12"/>
      <c r="G1762" s="12"/>
      <c r="H1762" s="12"/>
      <c r="I1762" s="12"/>
      <c r="J1762" s="12"/>
      <c r="K1762" s="12"/>
      <c r="L1762" s="12"/>
      <c r="M1762" s="12"/>
      <c r="N1762" s="12"/>
      <c r="O1762" s="12"/>
      <c r="P1762" s="12"/>
      <c r="Q1762" s="12"/>
      <c r="R1762" s="12"/>
      <c r="S1762" s="12"/>
      <c r="T1762" s="12"/>
      <c r="U1762" s="11"/>
      <c r="V1762" s="11"/>
      <c r="W1762" s="11"/>
      <c r="X1762" s="12"/>
      <c r="Y1762" s="12"/>
      <c r="Z1762" s="12"/>
      <c r="AA1762" s="11"/>
      <c r="AB1762" s="12"/>
      <c r="AC1762" s="12"/>
      <c r="AD1762" s="12"/>
      <c r="AE1762" s="12"/>
      <c r="AF1762" s="12"/>
      <c r="AG1762" s="12"/>
      <c r="AH1762" s="12"/>
      <c r="AI1762" s="12"/>
      <c r="AJ1762" s="12"/>
      <c r="AK1762" s="12"/>
      <c r="AL1762" s="12"/>
      <c r="AM1762" s="12"/>
      <c r="AN1762" s="12"/>
      <c r="AO1762" s="12"/>
      <c r="AP1762" s="12"/>
      <c r="AQ1762" s="12"/>
      <c r="AR1762" s="12"/>
      <c r="AS1762" s="12"/>
      <c r="AT1762" s="11"/>
      <c r="AU1762" s="11"/>
      <c r="AV1762" s="11"/>
      <c r="AW1762" s="12"/>
      <c r="AX1762" s="12"/>
      <c r="AY1762" s="12"/>
      <c r="AZ1762" s="11"/>
      <c r="BA1762" s="11"/>
      <c r="BB1762" s="11"/>
      <c r="BC1762" s="12"/>
      <c r="BD1762" s="12"/>
      <c r="BE1762" s="12"/>
      <c r="BF1762" s="12"/>
      <c r="BG1762" s="12"/>
      <c r="BH1762" s="12"/>
      <c r="BI1762" s="12"/>
      <c r="BJ1762" s="12"/>
      <c r="BK1762" s="12"/>
      <c r="BL1762" s="12"/>
      <c r="BM1762" s="12"/>
      <c r="BN1762" s="12"/>
      <c r="BO1762" s="12"/>
      <c r="BP1762" s="11"/>
      <c r="BQ1762" s="12"/>
      <c r="BR1762" s="7" t="str">
        <f t="shared" si="1"/>
        <v/>
      </c>
    </row>
    <row r="1763" ht="22.5" customHeight="1">
      <c r="A1763" s="8"/>
      <c r="B1763" s="9"/>
      <c r="C1763" s="10"/>
      <c r="D1763" s="12"/>
      <c r="E1763" s="12"/>
      <c r="F1763" s="12"/>
      <c r="G1763" s="12"/>
      <c r="H1763" s="12"/>
      <c r="I1763" s="12"/>
      <c r="J1763" s="12"/>
      <c r="K1763" s="12"/>
      <c r="L1763" s="12"/>
      <c r="M1763" s="12"/>
      <c r="N1763" s="12"/>
      <c r="O1763" s="12"/>
      <c r="P1763" s="12"/>
      <c r="Q1763" s="12"/>
      <c r="R1763" s="12"/>
      <c r="S1763" s="12"/>
      <c r="T1763" s="12"/>
      <c r="U1763" s="11"/>
      <c r="V1763" s="11"/>
      <c r="W1763" s="11"/>
      <c r="X1763" s="12"/>
      <c r="Y1763" s="12"/>
      <c r="Z1763" s="12"/>
      <c r="AA1763" s="11"/>
      <c r="AB1763" s="12"/>
      <c r="AC1763" s="12"/>
      <c r="AD1763" s="12"/>
      <c r="AE1763" s="12"/>
      <c r="AF1763" s="12"/>
      <c r="AG1763" s="12"/>
      <c r="AH1763" s="12"/>
      <c r="AI1763" s="12"/>
      <c r="AJ1763" s="12"/>
      <c r="AK1763" s="12"/>
      <c r="AL1763" s="12"/>
      <c r="AM1763" s="12"/>
      <c r="AN1763" s="12"/>
      <c r="AO1763" s="12"/>
      <c r="AP1763" s="12"/>
      <c r="AQ1763" s="12"/>
      <c r="AR1763" s="12"/>
      <c r="AS1763" s="12"/>
      <c r="AT1763" s="11"/>
      <c r="AU1763" s="11"/>
      <c r="AV1763" s="11"/>
      <c r="AW1763" s="12"/>
      <c r="AX1763" s="12"/>
      <c r="AY1763" s="12"/>
      <c r="AZ1763" s="11"/>
      <c r="BA1763" s="11"/>
      <c r="BB1763" s="11"/>
      <c r="BC1763" s="12"/>
      <c r="BD1763" s="12"/>
      <c r="BE1763" s="12"/>
      <c r="BF1763" s="12"/>
      <c r="BG1763" s="12"/>
      <c r="BH1763" s="12"/>
      <c r="BI1763" s="12"/>
      <c r="BJ1763" s="12"/>
      <c r="BK1763" s="12"/>
      <c r="BL1763" s="12"/>
      <c r="BM1763" s="12"/>
      <c r="BN1763" s="12"/>
      <c r="BO1763" s="12"/>
      <c r="BP1763" s="11"/>
      <c r="BQ1763" s="12"/>
      <c r="BR1763" s="7" t="str">
        <f t="shared" si="1"/>
        <v/>
      </c>
    </row>
    <row r="1764" ht="22.5" customHeight="1">
      <c r="A1764" s="8"/>
      <c r="B1764" s="9"/>
      <c r="C1764" s="10"/>
      <c r="D1764" s="12"/>
      <c r="E1764" s="12"/>
      <c r="F1764" s="12"/>
      <c r="G1764" s="12"/>
      <c r="H1764" s="12"/>
      <c r="I1764" s="12"/>
      <c r="J1764" s="12"/>
      <c r="K1764" s="12"/>
      <c r="L1764" s="12"/>
      <c r="M1764" s="12"/>
      <c r="N1764" s="12"/>
      <c r="O1764" s="12"/>
      <c r="P1764" s="12"/>
      <c r="Q1764" s="12"/>
      <c r="R1764" s="12"/>
      <c r="S1764" s="12"/>
      <c r="T1764" s="12"/>
      <c r="U1764" s="11"/>
      <c r="V1764" s="11"/>
      <c r="W1764" s="11"/>
      <c r="X1764" s="12"/>
      <c r="Y1764" s="12"/>
      <c r="Z1764" s="12"/>
      <c r="AA1764" s="11"/>
      <c r="AB1764" s="12"/>
      <c r="AC1764" s="12"/>
      <c r="AD1764" s="12"/>
      <c r="AE1764" s="12"/>
      <c r="AF1764" s="12"/>
      <c r="AG1764" s="12"/>
      <c r="AH1764" s="12"/>
      <c r="AI1764" s="12"/>
      <c r="AJ1764" s="12"/>
      <c r="AK1764" s="12"/>
      <c r="AL1764" s="12"/>
      <c r="AM1764" s="12"/>
      <c r="AN1764" s="12"/>
      <c r="AO1764" s="12"/>
      <c r="AP1764" s="12"/>
      <c r="AQ1764" s="12"/>
      <c r="AR1764" s="12"/>
      <c r="AS1764" s="12"/>
      <c r="AT1764" s="11"/>
      <c r="AU1764" s="11"/>
      <c r="AV1764" s="11"/>
      <c r="AW1764" s="12"/>
      <c r="AX1764" s="12"/>
      <c r="AY1764" s="12"/>
      <c r="AZ1764" s="11"/>
      <c r="BA1764" s="11"/>
      <c r="BB1764" s="11"/>
      <c r="BC1764" s="12"/>
      <c r="BD1764" s="12"/>
      <c r="BE1764" s="12"/>
      <c r="BF1764" s="12"/>
      <c r="BG1764" s="12"/>
      <c r="BH1764" s="12"/>
      <c r="BI1764" s="12"/>
      <c r="BJ1764" s="12"/>
      <c r="BK1764" s="12"/>
      <c r="BL1764" s="12"/>
      <c r="BM1764" s="12"/>
      <c r="BN1764" s="12"/>
      <c r="BO1764" s="12"/>
      <c r="BP1764" s="11"/>
      <c r="BQ1764" s="12"/>
      <c r="BR1764" s="7" t="str">
        <f t="shared" si="1"/>
        <v/>
      </c>
    </row>
    <row r="1765" ht="22.5" customHeight="1">
      <c r="A1765" s="8"/>
      <c r="B1765" s="9"/>
      <c r="C1765" s="10"/>
      <c r="D1765" s="12"/>
      <c r="E1765" s="12"/>
      <c r="F1765" s="12"/>
      <c r="G1765" s="12"/>
      <c r="H1765" s="12"/>
      <c r="I1765" s="12"/>
      <c r="J1765" s="12"/>
      <c r="K1765" s="12"/>
      <c r="L1765" s="12"/>
      <c r="M1765" s="12"/>
      <c r="N1765" s="12"/>
      <c r="O1765" s="12"/>
      <c r="P1765" s="12"/>
      <c r="Q1765" s="12"/>
      <c r="R1765" s="12"/>
      <c r="S1765" s="12"/>
      <c r="T1765" s="12"/>
      <c r="U1765" s="11"/>
      <c r="V1765" s="11"/>
      <c r="W1765" s="11"/>
      <c r="X1765" s="12"/>
      <c r="Y1765" s="12"/>
      <c r="Z1765" s="12"/>
      <c r="AA1765" s="11"/>
      <c r="AB1765" s="12"/>
      <c r="AC1765" s="12"/>
      <c r="AD1765" s="12"/>
      <c r="AE1765" s="12"/>
      <c r="AF1765" s="12"/>
      <c r="AG1765" s="12"/>
      <c r="AH1765" s="12"/>
      <c r="AI1765" s="12"/>
      <c r="AJ1765" s="12"/>
      <c r="AK1765" s="12"/>
      <c r="AL1765" s="12"/>
      <c r="AM1765" s="12"/>
      <c r="AN1765" s="12"/>
      <c r="AO1765" s="12"/>
      <c r="AP1765" s="12"/>
      <c r="AQ1765" s="12"/>
      <c r="AR1765" s="12"/>
      <c r="AS1765" s="12"/>
      <c r="AT1765" s="11"/>
      <c r="AU1765" s="11"/>
      <c r="AV1765" s="11"/>
      <c r="AW1765" s="12"/>
      <c r="AX1765" s="12"/>
      <c r="AY1765" s="12"/>
      <c r="AZ1765" s="11"/>
      <c r="BA1765" s="11"/>
      <c r="BB1765" s="11"/>
      <c r="BC1765" s="12"/>
      <c r="BD1765" s="12"/>
      <c r="BE1765" s="12"/>
      <c r="BF1765" s="12"/>
      <c r="BG1765" s="12"/>
      <c r="BH1765" s="12"/>
      <c r="BI1765" s="12"/>
      <c r="BJ1765" s="12"/>
      <c r="BK1765" s="12"/>
      <c r="BL1765" s="12"/>
      <c r="BM1765" s="12"/>
      <c r="BN1765" s="12"/>
      <c r="BO1765" s="12"/>
      <c r="BP1765" s="11"/>
      <c r="BQ1765" s="12"/>
      <c r="BR1765" s="7" t="str">
        <f t="shared" si="1"/>
        <v/>
      </c>
    </row>
    <row r="1766" ht="22.5" customHeight="1">
      <c r="A1766" s="8"/>
      <c r="B1766" s="9"/>
      <c r="C1766" s="10"/>
      <c r="D1766" s="12"/>
      <c r="E1766" s="12"/>
      <c r="F1766" s="12"/>
      <c r="G1766" s="12"/>
      <c r="H1766" s="12"/>
      <c r="I1766" s="12"/>
      <c r="J1766" s="12"/>
      <c r="K1766" s="12"/>
      <c r="L1766" s="12"/>
      <c r="M1766" s="12"/>
      <c r="N1766" s="12"/>
      <c r="O1766" s="12"/>
      <c r="P1766" s="12"/>
      <c r="Q1766" s="12"/>
      <c r="R1766" s="12"/>
      <c r="S1766" s="12"/>
      <c r="T1766" s="12"/>
      <c r="U1766" s="11"/>
      <c r="V1766" s="11"/>
      <c r="W1766" s="11"/>
      <c r="X1766" s="12"/>
      <c r="Y1766" s="12"/>
      <c r="Z1766" s="12"/>
      <c r="AA1766" s="11"/>
      <c r="AB1766" s="12"/>
      <c r="AC1766" s="12"/>
      <c r="AD1766" s="12"/>
      <c r="AE1766" s="12"/>
      <c r="AF1766" s="12"/>
      <c r="AG1766" s="12"/>
      <c r="AH1766" s="12"/>
      <c r="AI1766" s="12"/>
      <c r="AJ1766" s="12"/>
      <c r="AK1766" s="12"/>
      <c r="AL1766" s="12"/>
      <c r="AM1766" s="12"/>
      <c r="AN1766" s="12"/>
      <c r="AO1766" s="12"/>
      <c r="AP1766" s="12"/>
      <c r="AQ1766" s="12"/>
      <c r="AR1766" s="12"/>
      <c r="AS1766" s="12"/>
      <c r="AT1766" s="11"/>
      <c r="AU1766" s="11"/>
      <c r="AV1766" s="11"/>
      <c r="AW1766" s="12"/>
      <c r="AX1766" s="12"/>
      <c r="AY1766" s="12"/>
      <c r="AZ1766" s="11"/>
      <c r="BA1766" s="11"/>
      <c r="BB1766" s="11"/>
      <c r="BC1766" s="12"/>
      <c r="BD1766" s="12"/>
      <c r="BE1766" s="12"/>
      <c r="BF1766" s="12"/>
      <c r="BG1766" s="12"/>
      <c r="BH1766" s="12"/>
      <c r="BI1766" s="12"/>
      <c r="BJ1766" s="12"/>
      <c r="BK1766" s="12"/>
      <c r="BL1766" s="12"/>
      <c r="BM1766" s="12"/>
      <c r="BN1766" s="12"/>
      <c r="BO1766" s="12"/>
      <c r="BP1766" s="11"/>
      <c r="BQ1766" s="12"/>
      <c r="BR1766" s="7" t="str">
        <f t="shared" si="1"/>
        <v/>
      </c>
    </row>
    <row r="1767" ht="22.5" customHeight="1">
      <c r="A1767" s="8"/>
      <c r="B1767" s="9"/>
      <c r="C1767" s="10"/>
      <c r="D1767" s="12"/>
      <c r="E1767" s="12"/>
      <c r="F1767" s="12"/>
      <c r="G1767" s="12"/>
      <c r="H1767" s="12"/>
      <c r="I1767" s="12"/>
      <c r="J1767" s="12"/>
      <c r="K1767" s="12"/>
      <c r="L1767" s="12"/>
      <c r="M1767" s="12"/>
      <c r="N1767" s="12"/>
      <c r="O1767" s="12"/>
      <c r="P1767" s="12"/>
      <c r="Q1767" s="12"/>
      <c r="R1767" s="12"/>
      <c r="S1767" s="12"/>
      <c r="T1767" s="12"/>
      <c r="U1767" s="11"/>
      <c r="V1767" s="11"/>
      <c r="W1767" s="11"/>
      <c r="X1767" s="12"/>
      <c r="Y1767" s="12"/>
      <c r="Z1767" s="12"/>
      <c r="AA1767" s="11"/>
      <c r="AB1767" s="12"/>
      <c r="AC1767" s="12"/>
      <c r="AD1767" s="12"/>
      <c r="AE1767" s="12"/>
      <c r="AF1767" s="12"/>
      <c r="AG1767" s="12"/>
      <c r="AH1767" s="12"/>
      <c r="AI1767" s="12"/>
      <c r="AJ1767" s="12"/>
      <c r="AK1767" s="12"/>
      <c r="AL1767" s="12"/>
      <c r="AM1767" s="12"/>
      <c r="AN1767" s="12"/>
      <c r="AO1767" s="12"/>
      <c r="AP1767" s="12"/>
      <c r="AQ1767" s="12"/>
      <c r="AR1767" s="12"/>
      <c r="AS1767" s="12"/>
      <c r="AT1767" s="11"/>
      <c r="AU1767" s="11"/>
      <c r="AV1767" s="11"/>
      <c r="AW1767" s="12"/>
      <c r="AX1767" s="12"/>
      <c r="AY1767" s="12"/>
      <c r="AZ1767" s="11"/>
      <c r="BA1767" s="11"/>
      <c r="BB1767" s="11"/>
      <c r="BC1767" s="12"/>
      <c r="BD1767" s="12"/>
      <c r="BE1767" s="12"/>
      <c r="BF1767" s="12"/>
      <c r="BG1767" s="12"/>
      <c r="BH1767" s="12"/>
      <c r="BI1767" s="12"/>
      <c r="BJ1767" s="12"/>
      <c r="BK1767" s="12"/>
      <c r="BL1767" s="12"/>
      <c r="BM1767" s="12"/>
      <c r="BN1767" s="12"/>
      <c r="BO1767" s="12"/>
      <c r="BP1767" s="11"/>
      <c r="BQ1767" s="12"/>
      <c r="BR1767" s="7" t="str">
        <f t="shared" si="1"/>
        <v/>
      </c>
    </row>
    <row r="1768" ht="22.5" customHeight="1">
      <c r="A1768" s="8"/>
      <c r="B1768" s="9"/>
      <c r="C1768" s="10"/>
      <c r="D1768" s="12"/>
      <c r="E1768" s="12"/>
      <c r="F1768" s="12"/>
      <c r="G1768" s="12"/>
      <c r="H1768" s="12"/>
      <c r="I1768" s="12"/>
      <c r="J1768" s="12"/>
      <c r="K1768" s="12"/>
      <c r="L1768" s="12"/>
      <c r="M1768" s="12"/>
      <c r="N1768" s="12"/>
      <c r="O1768" s="12"/>
      <c r="P1768" s="12"/>
      <c r="Q1768" s="12"/>
      <c r="R1768" s="12"/>
      <c r="S1768" s="12"/>
      <c r="T1768" s="12"/>
      <c r="U1768" s="11"/>
      <c r="V1768" s="11"/>
      <c r="W1768" s="11"/>
      <c r="X1768" s="12"/>
      <c r="Y1768" s="12"/>
      <c r="Z1768" s="12"/>
      <c r="AA1768" s="11"/>
      <c r="AB1768" s="12"/>
      <c r="AC1768" s="12"/>
      <c r="AD1768" s="12"/>
      <c r="AE1768" s="12"/>
      <c r="AF1768" s="12"/>
      <c r="AG1768" s="12"/>
      <c r="AH1768" s="12"/>
      <c r="AI1768" s="12"/>
      <c r="AJ1768" s="12"/>
      <c r="AK1768" s="12"/>
      <c r="AL1768" s="12"/>
      <c r="AM1768" s="12"/>
      <c r="AN1768" s="12"/>
      <c r="AO1768" s="12"/>
      <c r="AP1768" s="12"/>
      <c r="AQ1768" s="12"/>
      <c r="AR1768" s="12"/>
      <c r="AS1768" s="12"/>
      <c r="AT1768" s="11"/>
      <c r="AU1768" s="11"/>
      <c r="AV1768" s="11"/>
      <c r="AW1768" s="12"/>
      <c r="AX1768" s="12"/>
      <c r="AY1768" s="12"/>
      <c r="AZ1768" s="11"/>
      <c r="BA1768" s="11"/>
      <c r="BB1768" s="11"/>
      <c r="BC1768" s="12"/>
      <c r="BD1768" s="12"/>
      <c r="BE1768" s="12"/>
      <c r="BF1768" s="12"/>
      <c r="BG1768" s="12"/>
      <c r="BH1768" s="12"/>
      <c r="BI1768" s="12"/>
      <c r="BJ1768" s="12"/>
      <c r="BK1768" s="12"/>
      <c r="BL1768" s="12"/>
      <c r="BM1768" s="12"/>
      <c r="BN1768" s="12"/>
      <c r="BO1768" s="12"/>
      <c r="BP1768" s="11"/>
      <c r="BQ1768" s="12"/>
      <c r="BR1768" s="7" t="str">
        <f t="shared" si="1"/>
        <v/>
      </c>
    </row>
    <row r="1769" ht="22.5" customHeight="1">
      <c r="A1769" s="8"/>
      <c r="B1769" s="9"/>
      <c r="C1769" s="10"/>
      <c r="D1769" s="12"/>
      <c r="E1769" s="12"/>
      <c r="F1769" s="12"/>
      <c r="G1769" s="12"/>
      <c r="H1769" s="12"/>
      <c r="I1769" s="12"/>
      <c r="J1769" s="12"/>
      <c r="K1769" s="12"/>
      <c r="L1769" s="12"/>
      <c r="M1769" s="12"/>
      <c r="N1769" s="12"/>
      <c r="O1769" s="12"/>
      <c r="P1769" s="12"/>
      <c r="Q1769" s="12"/>
      <c r="R1769" s="12"/>
      <c r="S1769" s="12"/>
      <c r="T1769" s="12"/>
      <c r="U1769" s="11"/>
      <c r="V1769" s="11"/>
      <c r="W1769" s="11"/>
      <c r="X1769" s="12"/>
      <c r="Y1769" s="12"/>
      <c r="Z1769" s="12"/>
      <c r="AA1769" s="11"/>
      <c r="AB1769" s="12"/>
      <c r="AC1769" s="12"/>
      <c r="AD1769" s="12"/>
      <c r="AE1769" s="12"/>
      <c r="AF1769" s="12"/>
      <c r="AG1769" s="12"/>
      <c r="AH1769" s="12"/>
      <c r="AI1769" s="12"/>
      <c r="AJ1769" s="12"/>
      <c r="AK1769" s="12"/>
      <c r="AL1769" s="12"/>
      <c r="AM1769" s="12"/>
      <c r="AN1769" s="12"/>
      <c r="AO1769" s="12"/>
      <c r="AP1769" s="12"/>
      <c r="AQ1769" s="12"/>
      <c r="AR1769" s="12"/>
      <c r="AS1769" s="12"/>
      <c r="AT1769" s="11"/>
      <c r="AU1769" s="11"/>
      <c r="AV1769" s="11"/>
      <c r="AW1769" s="12"/>
      <c r="AX1769" s="12"/>
      <c r="AY1769" s="12"/>
      <c r="AZ1769" s="11"/>
      <c r="BA1769" s="11"/>
      <c r="BB1769" s="11"/>
      <c r="BC1769" s="12"/>
      <c r="BD1769" s="12"/>
      <c r="BE1769" s="12"/>
      <c r="BF1769" s="12"/>
      <c r="BG1769" s="12"/>
      <c r="BH1769" s="12"/>
      <c r="BI1769" s="12"/>
      <c r="BJ1769" s="12"/>
      <c r="BK1769" s="12"/>
      <c r="BL1769" s="12"/>
      <c r="BM1769" s="12"/>
      <c r="BN1769" s="12"/>
      <c r="BO1769" s="12"/>
      <c r="BP1769" s="11"/>
      <c r="BQ1769" s="12"/>
      <c r="BR1769" s="7" t="str">
        <f t="shared" si="1"/>
        <v/>
      </c>
    </row>
    <row r="1770" ht="22.5" customHeight="1">
      <c r="A1770" s="8"/>
      <c r="B1770" s="9"/>
      <c r="C1770" s="10"/>
      <c r="D1770" s="12"/>
      <c r="E1770" s="12"/>
      <c r="F1770" s="12"/>
      <c r="G1770" s="12"/>
      <c r="H1770" s="12"/>
      <c r="I1770" s="12"/>
      <c r="J1770" s="12"/>
      <c r="K1770" s="12"/>
      <c r="L1770" s="12"/>
      <c r="M1770" s="12"/>
      <c r="N1770" s="12"/>
      <c r="O1770" s="12"/>
      <c r="P1770" s="12"/>
      <c r="Q1770" s="12"/>
      <c r="R1770" s="12"/>
      <c r="S1770" s="12"/>
      <c r="T1770" s="12"/>
      <c r="U1770" s="11"/>
      <c r="V1770" s="11"/>
      <c r="W1770" s="11"/>
      <c r="X1770" s="12"/>
      <c r="Y1770" s="12"/>
      <c r="Z1770" s="12"/>
      <c r="AA1770" s="11"/>
      <c r="AB1770" s="12"/>
      <c r="AC1770" s="12"/>
      <c r="AD1770" s="12"/>
      <c r="AE1770" s="12"/>
      <c r="AF1770" s="12"/>
      <c r="AG1770" s="12"/>
      <c r="AH1770" s="12"/>
      <c r="AI1770" s="12"/>
      <c r="AJ1770" s="12"/>
      <c r="AK1770" s="12"/>
      <c r="AL1770" s="12"/>
      <c r="AM1770" s="12"/>
      <c r="AN1770" s="12"/>
      <c r="AO1770" s="12"/>
      <c r="AP1770" s="12"/>
      <c r="AQ1770" s="12"/>
      <c r="AR1770" s="12"/>
      <c r="AS1770" s="12"/>
      <c r="AT1770" s="11"/>
      <c r="AU1770" s="11"/>
      <c r="AV1770" s="11"/>
      <c r="AW1770" s="12"/>
      <c r="AX1770" s="12"/>
      <c r="AY1770" s="12"/>
      <c r="AZ1770" s="11"/>
      <c r="BA1770" s="11"/>
      <c r="BB1770" s="11"/>
      <c r="BC1770" s="12"/>
      <c r="BD1770" s="12"/>
      <c r="BE1770" s="12"/>
      <c r="BF1770" s="12"/>
      <c r="BG1770" s="12"/>
      <c r="BH1770" s="12"/>
      <c r="BI1770" s="12"/>
      <c r="BJ1770" s="12"/>
      <c r="BK1770" s="12"/>
      <c r="BL1770" s="12"/>
      <c r="BM1770" s="12"/>
      <c r="BN1770" s="12"/>
      <c r="BO1770" s="12"/>
      <c r="BP1770" s="11"/>
      <c r="BQ1770" s="12"/>
      <c r="BR1770" s="7" t="str">
        <f t="shared" si="1"/>
        <v/>
      </c>
    </row>
    <row r="1771" ht="22.5" customHeight="1">
      <c r="A1771" s="8"/>
      <c r="B1771" s="9"/>
      <c r="C1771" s="10"/>
      <c r="D1771" s="12"/>
      <c r="E1771" s="12"/>
      <c r="F1771" s="12"/>
      <c r="G1771" s="12"/>
      <c r="H1771" s="12"/>
      <c r="I1771" s="12"/>
      <c r="J1771" s="12"/>
      <c r="K1771" s="12"/>
      <c r="L1771" s="12"/>
      <c r="M1771" s="12"/>
      <c r="N1771" s="12"/>
      <c r="O1771" s="12"/>
      <c r="P1771" s="12"/>
      <c r="Q1771" s="12"/>
      <c r="R1771" s="12"/>
      <c r="S1771" s="12"/>
      <c r="T1771" s="12"/>
      <c r="U1771" s="11"/>
      <c r="V1771" s="11"/>
      <c r="W1771" s="11"/>
      <c r="X1771" s="12"/>
      <c r="Y1771" s="12"/>
      <c r="Z1771" s="12"/>
      <c r="AA1771" s="11"/>
      <c r="AB1771" s="12"/>
      <c r="AC1771" s="12"/>
      <c r="AD1771" s="12"/>
      <c r="AE1771" s="12"/>
      <c r="AF1771" s="12"/>
      <c r="AG1771" s="12"/>
      <c r="AH1771" s="12"/>
      <c r="AI1771" s="12"/>
      <c r="AJ1771" s="12"/>
      <c r="AK1771" s="12"/>
      <c r="AL1771" s="12"/>
      <c r="AM1771" s="12"/>
      <c r="AN1771" s="12"/>
      <c r="AO1771" s="12"/>
      <c r="AP1771" s="12"/>
      <c r="AQ1771" s="12"/>
      <c r="AR1771" s="12"/>
      <c r="AS1771" s="12"/>
      <c r="AT1771" s="11"/>
      <c r="AU1771" s="11"/>
      <c r="AV1771" s="11"/>
      <c r="AW1771" s="12"/>
      <c r="AX1771" s="12"/>
      <c r="AY1771" s="12"/>
      <c r="AZ1771" s="11"/>
      <c r="BA1771" s="11"/>
      <c r="BB1771" s="11"/>
      <c r="BC1771" s="12"/>
      <c r="BD1771" s="12"/>
      <c r="BE1771" s="12"/>
      <c r="BF1771" s="12"/>
      <c r="BG1771" s="12"/>
      <c r="BH1771" s="12"/>
      <c r="BI1771" s="12"/>
      <c r="BJ1771" s="12"/>
      <c r="BK1771" s="12"/>
      <c r="BL1771" s="12"/>
      <c r="BM1771" s="12"/>
      <c r="BN1771" s="12"/>
      <c r="BO1771" s="12"/>
      <c r="BP1771" s="11"/>
      <c r="BQ1771" s="12"/>
      <c r="BR1771" s="7" t="str">
        <f t="shared" si="1"/>
        <v/>
      </c>
    </row>
    <row r="1772" ht="22.5" customHeight="1">
      <c r="A1772" s="8"/>
      <c r="B1772" s="9"/>
      <c r="C1772" s="10"/>
      <c r="D1772" s="12"/>
      <c r="E1772" s="12"/>
      <c r="F1772" s="12"/>
      <c r="G1772" s="12"/>
      <c r="H1772" s="12"/>
      <c r="I1772" s="12"/>
      <c r="J1772" s="12"/>
      <c r="K1772" s="12"/>
      <c r="L1772" s="12"/>
      <c r="M1772" s="12"/>
      <c r="N1772" s="12"/>
      <c r="O1772" s="12"/>
      <c r="P1772" s="12"/>
      <c r="Q1772" s="12"/>
      <c r="R1772" s="12"/>
      <c r="S1772" s="12"/>
      <c r="T1772" s="12"/>
      <c r="U1772" s="11"/>
      <c r="V1772" s="11"/>
      <c r="W1772" s="11"/>
      <c r="X1772" s="12"/>
      <c r="Y1772" s="12"/>
      <c r="Z1772" s="12"/>
      <c r="AA1772" s="11"/>
      <c r="AB1772" s="12"/>
      <c r="AC1772" s="12"/>
      <c r="AD1772" s="12"/>
      <c r="AE1772" s="12"/>
      <c r="AF1772" s="12"/>
      <c r="AG1772" s="12"/>
      <c r="AH1772" s="12"/>
      <c r="AI1772" s="12"/>
      <c r="AJ1772" s="12"/>
      <c r="AK1772" s="12"/>
      <c r="AL1772" s="12"/>
      <c r="AM1772" s="12"/>
      <c r="AN1772" s="12"/>
      <c r="AO1772" s="12"/>
      <c r="AP1772" s="12"/>
      <c r="AQ1772" s="12"/>
      <c r="AR1772" s="12"/>
      <c r="AS1772" s="12"/>
      <c r="AT1772" s="11"/>
      <c r="AU1772" s="11"/>
      <c r="AV1772" s="11"/>
      <c r="AW1772" s="12"/>
      <c r="AX1772" s="12"/>
      <c r="AY1772" s="12"/>
      <c r="AZ1772" s="11"/>
      <c r="BA1772" s="11"/>
      <c r="BB1772" s="11"/>
      <c r="BC1772" s="12"/>
      <c r="BD1772" s="12"/>
      <c r="BE1772" s="12"/>
      <c r="BF1772" s="12"/>
      <c r="BG1772" s="12"/>
      <c r="BH1772" s="12"/>
      <c r="BI1772" s="12"/>
      <c r="BJ1772" s="12"/>
      <c r="BK1772" s="12"/>
      <c r="BL1772" s="12"/>
      <c r="BM1772" s="12"/>
      <c r="BN1772" s="12"/>
      <c r="BO1772" s="12"/>
      <c r="BP1772" s="11"/>
      <c r="BQ1772" s="12"/>
      <c r="BR1772" s="7" t="str">
        <f t="shared" si="1"/>
        <v/>
      </c>
    </row>
    <row r="1773" ht="22.5" customHeight="1">
      <c r="A1773" s="8"/>
      <c r="B1773" s="9"/>
      <c r="C1773" s="10"/>
      <c r="D1773" s="12"/>
      <c r="E1773" s="12"/>
      <c r="F1773" s="12"/>
      <c r="G1773" s="12"/>
      <c r="H1773" s="12"/>
      <c r="I1773" s="12"/>
      <c r="J1773" s="12"/>
      <c r="K1773" s="12"/>
      <c r="L1773" s="12"/>
      <c r="M1773" s="12"/>
      <c r="N1773" s="12"/>
      <c r="O1773" s="12"/>
      <c r="P1773" s="12"/>
      <c r="Q1773" s="12"/>
      <c r="R1773" s="12"/>
      <c r="S1773" s="12"/>
      <c r="T1773" s="12"/>
      <c r="U1773" s="11"/>
      <c r="V1773" s="11"/>
      <c r="W1773" s="11"/>
      <c r="X1773" s="12"/>
      <c r="Y1773" s="12"/>
      <c r="Z1773" s="12"/>
      <c r="AA1773" s="11"/>
      <c r="AB1773" s="12"/>
      <c r="AC1773" s="12"/>
      <c r="AD1773" s="12"/>
      <c r="AE1773" s="12"/>
      <c r="AF1773" s="12"/>
      <c r="AG1773" s="12"/>
      <c r="AH1773" s="12"/>
      <c r="AI1773" s="12"/>
      <c r="AJ1773" s="12"/>
      <c r="AK1773" s="12"/>
      <c r="AL1773" s="12"/>
      <c r="AM1773" s="12"/>
      <c r="AN1773" s="12"/>
      <c r="AO1773" s="12"/>
      <c r="AP1773" s="12"/>
      <c r="AQ1773" s="12"/>
      <c r="AR1773" s="12"/>
      <c r="AS1773" s="12"/>
      <c r="AT1773" s="11"/>
      <c r="AU1773" s="11"/>
      <c r="AV1773" s="11"/>
      <c r="AW1773" s="12"/>
      <c r="AX1773" s="12"/>
      <c r="AY1773" s="12"/>
      <c r="AZ1773" s="11"/>
      <c r="BA1773" s="11"/>
      <c r="BB1773" s="11"/>
      <c r="BC1773" s="12"/>
      <c r="BD1773" s="12"/>
      <c r="BE1773" s="12"/>
      <c r="BF1773" s="12"/>
      <c r="BG1773" s="12"/>
      <c r="BH1773" s="12"/>
      <c r="BI1773" s="12"/>
      <c r="BJ1773" s="12"/>
      <c r="BK1773" s="12"/>
      <c r="BL1773" s="12"/>
      <c r="BM1773" s="12"/>
      <c r="BN1773" s="12"/>
      <c r="BO1773" s="12"/>
      <c r="BP1773" s="11"/>
      <c r="BQ1773" s="12"/>
      <c r="BR1773" s="7" t="str">
        <f t="shared" si="1"/>
        <v/>
      </c>
    </row>
    <row r="1774" ht="22.5" customHeight="1">
      <c r="A1774" s="8"/>
      <c r="B1774" s="9"/>
      <c r="C1774" s="10"/>
      <c r="D1774" s="12"/>
      <c r="E1774" s="12"/>
      <c r="F1774" s="12"/>
      <c r="G1774" s="12"/>
      <c r="H1774" s="12"/>
      <c r="I1774" s="12"/>
      <c r="J1774" s="12"/>
      <c r="K1774" s="12"/>
      <c r="L1774" s="12"/>
      <c r="M1774" s="12"/>
      <c r="N1774" s="12"/>
      <c r="O1774" s="12"/>
      <c r="P1774" s="12"/>
      <c r="Q1774" s="12"/>
      <c r="R1774" s="12"/>
      <c r="S1774" s="12"/>
      <c r="T1774" s="12"/>
      <c r="U1774" s="11"/>
      <c r="V1774" s="11"/>
      <c r="W1774" s="11"/>
      <c r="X1774" s="12"/>
      <c r="Y1774" s="12"/>
      <c r="Z1774" s="12"/>
      <c r="AA1774" s="11"/>
      <c r="AB1774" s="12"/>
      <c r="AC1774" s="12"/>
      <c r="AD1774" s="12"/>
      <c r="AE1774" s="12"/>
      <c r="AF1774" s="12"/>
      <c r="AG1774" s="12"/>
      <c r="AH1774" s="12"/>
      <c r="AI1774" s="12"/>
      <c r="AJ1774" s="12"/>
      <c r="AK1774" s="12"/>
      <c r="AL1774" s="12"/>
      <c r="AM1774" s="12"/>
      <c r="AN1774" s="12"/>
      <c r="AO1774" s="12"/>
      <c r="AP1774" s="12"/>
      <c r="AQ1774" s="12"/>
      <c r="AR1774" s="12"/>
      <c r="AS1774" s="12"/>
      <c r="AT1774" s="11"/>
      <c r="AU1774" s="11"/>
      <c r="AV1774" s="11"/>
      <c r="AW1774" s="12"/>
      <c r="AX1774" s="12"/>
      <c r="AY1774" s="12"/>
      <c r="AZ1774" s="11"/>
      <c r="BA1774" s="11"/>
      <c r="BB1774" s="11"/>
      <c r="BC1774" s="12"/>
      <c r="BD1774" s="12"/>
      <c r="BE1774" s="12"/>
      <c r="BF1774" s="12"/>
      <c r="BG1774" s="12"/>
      <c r="BH1774" s="12"/>
      <c r="BI1774" s="12"/>
      <c r="BJ1774" s="12"/>
      <c r="BK1774" s="12"/>
      <c r="BL1774" s="12"/>
      <c r="BM1774" s="12"/>
      <c r="BN1774" s="12"/>
      <c r="BO1774" s="12"/>
      <c r="BP1774" s="11"/>
      <c r="BQ1774" s="12"/>
      <c r="BR1774" s="7" t="str">
        <f t="shared" si="1"/>
        <v/>
      </c>
    </row>
    <row r="1775" ht="22.5" customHeight="1">
      <c r="A1775" s="8"/>
      <c r="B1775" s="9"/>
      <c r="C1775" s="10"/>
      <c r="D1775" s="12"/>
      <c r="E1775" s="12"/>
      <c r="F1775" s="12"/>
      <c r="G1775" s="12"/>
      <c r="H1775" s="12"/>
      <c r="I1775" s="12"/>
      <c r="J1775" s="12"/>
      <c r="K1775" s="12"/>
      <c r="L1775" s="12"/>
      <c r="M1775" s="12"/>
      <c r="N1775" s="12"/>
      <c r="O1775" s="12"/>
      <c r="P1775" s="12"/>
      <c r="Q1775" s="12"/>
      <c r="R1775" s="12"/>
      <c r="S1775" s="12"/>
      <c r="T1775" s="12"/>
      <c r="U1775" s="11"/>
      <c r="V1775" s="11"/>
      <c r="W1775" s="11"/>
      <c r="X1775" s="12"/>
      <c r="Y1775" s="12"/>
      <c r="Z1775" s="12"/>
      <c r="AA1775" s="11"/>
      <c r="AB1775" s="12"/>
      <c r="AC1775" s="12"/>
      <c r="AD1775" s="12"/>
      <c r="AE1775" s="12"/>
      <c r="AF1775" s="12"/>
      <c r="AG1775" s="12"/>
      <c r="AH1775" s="12"/>
      <c r="AI1775" s="12"/>
      <c r="AJ1775" s="12"/>
      <c r="AK1775" s="12"/>
      <c r="AL1775" s="12"/>
      <c r="AM1775" s="12"/>
      <c r="AN1775" s="12"/>
      <c r="AO1775" s="12"/>
      <c r="AP1775" s="12"/>
      <c r="AQ1775" s="12"/>
      <c r="AR1775" s="12"/>
      <c r="AS1775" s="12"/>
      <c r="AT1775" s="11"/>
      <c r="AU1775" s="11"/>
      <c r="AV1775" s="11"/>
      <c r="AW1775" s="12"/>
      <c r="AX1775" s="12"/>
      <c r="AY1775" s="12"/>
      <c r="AZ1775" s="11"/>
      <c r="BA1775" s="11"/>
      <c r="BB1775" s="11"/>
      <c r="BC1775" s="12"/>
      <c r="BD1775" s="12"/>
      <c r="BE1775" s="12"/>
      <c r="BF1775" s="12"/>
      <c r="BG1775" s="12"/>
      <c r="BH1775" s="12"/>
      <c r="BI1775" s="12"/>
      <c r="BJ1775" s="12"/>
      <c r="BK1775" s="12"/>
      <c r="BL1775" s="12"/>
      <c r="BM1775" s="12"/>
      <c r="BN1775" s="12"/>
      <c r="BO1775" s="12"/>
      <c r="BP1775" s="11"/>
      <c r="BQ1775" s="12"/>
      <c r="BR1775" s="7" t="str">
        <f t="shared" si="1"/>
        <v/>
      </c>
    </row>
    <row r="1776" ht="22.5" customHeight="1">
      <c r="A1776" s="8"/>
      <c r="B1776" s="9"/>
      <c r="C1776" s="10"/>
      <c r="D1776" s="12"/>
      <c r="E1776" s="12"/>
      <c r="F1776" s="12"/>
      <c r="G1776" s="12"/>
      <c r="H1776" s="12"/>
      <c r="I1776" s="12"/>
      <c r="J1776" s="12"/>
      <c r="K1776" s="12"/>
      <c r="L1776" s="12"/>
      <c r="M1776" s="12"/>
      <c r="N1776" s="12"/>
      <c r="O1776" s="12"/>
      <c r="P1776" s="12"/>
      <c r="Q1776" s="12"/>
      <c r="R1776" s="12"/>
      <c r="S1776" s="12"/>
      <c r="T1776" s="12"/>
      <c r="U1776" s="11"/>
      <c r="V1776" s="11"/>
      <c r="W1776" s="11"/>
      <c r="X1776" s="12"/>
      <c r="Y1776" s="12"/>
      <c r="Z1776" s="12"/>
      <c r="AA1776" s="11"/>
      <c r="AB1776" s="12"/>
      <c r="AC1776" s="12"/>
      <c r="AD1776" s="12"/>
      <c r="AE1776" s="12"/>
      <c r="AF1776" s="12"/>
      <c r="AG1776" s="12"/>
      <c r="AH1776" s="12"/>
      <c r="AI1776" s="12"/>
      <c r="AJ1776" s="12"/>
      <c r="AK1776" s="12"/>
      <c r="AL1776" s="12"/>
      <c r="AM1776" s="12"/>
      <c r="AN1776" s="12"/>
      <c r="AO1776" s="12"/>
      <c r="AP1776" s="12"/>
      <c r="AQ1776" s="12"/>
      <c r="AR1776" s="12"/>
      <c r="AS1776" s="12"/>
      <c r="AT1776" s="11"/>
      <c r="AU1776" s="11"/>
      <c r="AV1776" s="11"/>
      <c r="AW1776" s="12"/>
      <c r="AX1776" s="12"/>
      <c r="AY1776" s="12"/>
      <c r="AZ1776" s="11"/>
      <c r="BA1776" s="11"/>
      <c r="BB1776" s="11"/>
      <c r="BC1776" s="12"/>
      <c r="BD1776" s="12"/>
      <c r="BE1776" s="12"/>
      <c r="BF1776" s="12"/>
      <c r="BG1776" s="12"/>
      <c r="BH1776" s="12"/>
      <c r="BI1776" s="12"/>
      <c r="BJ1776" s="12"/>
      <c r="BK1776" s="12"/>
      <c r="BL1776" s="12"/>
      <c r="BM1776" s="12"/>
      <c r="BN1776" s="12"/>
      <c r="BO1776" s="12"/>
      <c r="BP1776" s="11"/>
      <c r="BQ1776" s="12"/>
      <c r="BR1776" s="7" t="str">
        <f t="shared" si="1"/>
        <v/>
      </c>
    </row>
    <row r="1777" ht="22.5" customHeight="1">
      <c r="A1777" s="8"/>
      <c r="B1777" s="9"/>
      <c r="C1777" s="10"/>
      <c r="D1777" s="12"/>
      <c r="E1777" s="12"/>
      <c r="F1777" s="12"/>
      <c r="G1777" s="12"/>
      <c r="H1777" s="12"/>
      <c r="I1777" s="12"/>
      <c r="J1777" s="12"/>
      <c r="K1777" s="12"/>
      <c r="L1777" s="12"/>
      <c r="M1777" s="12"/>
      <c r="N1777" s="12"/>
      <c r="O1777" s="12"/>
      <c r="P1777" s="12"/>
      <c r="Q1777" s="12"/>
      <c r="R1777" s="12"/>
      <c r="S1777" s="12"/>
      <c r="T1777" s="12"/>
      <c r="U1777" s="11"/>
      <c r="V1777" s="11"/>
      <c r="W1777" s="11"/>
      <c r="X1777" s="12"/>
      <c r="Y1777" s="12"/>
      <c r="Z1777" s="12"/>
      <c r="AA1777" s="11"/>
      <c r="AB1777" s="12"/>
      <c r="AC1777" s="12"/>
      <c r="AD1777" s="12"/>
      <c r="AE1777" s="12"/>
      <c r="AF1777" s="12"/>
      <c r="AG1777" s="12"/>
      <c r="AH1777" s="12"/>
      <c r="AI1777" s="12"/>
      <c r="AJ1777" s="12"/>
      <c r="AK1777" s="12"/>
      <c r="AL1777" s="12"/>
      <c r="AM1777" s="12"/>
      <c r="AN1777" s="12"/>
      <c r="AO1777" s="12"/>
      <c r="AP1777" s="12"/>
      <c r="AQ1777" s="12"/>
      <c r="AR1777" s="12"/>
      <c r="AS1777" s="12"/>
      <c r="AT1777" s="11"/>
      <c r="AU1777" s="11"/>
      <c r="AV1777" s="11"/>
      <c r="AW1777" s="12"/>
      <c r="AX1777" s="12"/>
      <c r="AY1777" s="12"/>
      <c r="AZ1777" s="11"/>
      <c r="BA1777" s="11"/>
      <c r="BB1777" s="11"/>
      <c r="BC1777" s="12"/>
      <c r="BD1777" s="12"/>
      <c r="BE1777" s="12"/>
      <c r="BF1777" s="12"/>
      <c r="BG1777" s="12"/>
      <c r="BH1777" s="12"/>
      <c r="BI1777" s="12"/>
      <c r="BJ1777" s="12"/>
      <c r="BK1777" s="12"/>
      <c r="BL1777" s="12"/>
      <c r="BM1777" s="12"/>
      <c r="BN1777" s="12"/>
      <c r="BO1777" s="12"/>
      <c r="BP1777" s="11"/>
      <c r="BQ1777" s="12"/>
      <c r="BR1777" s="7" t="str">
        <f t="shared" si="1"/>
        <v/>
      </c>
    </row>
  </sheetData>
  <hyperlinks>
    <hyperlink r:id="rId1" ref="AC4"/>
    <hyperlink r:id="rId2" ref="AE4"/>
    <hyperlink r:id="rId3" ref="AG4"/>
    <hyperlink r:id="rId4" ref="AI4"/>
    <hyperlink r:id="rId5" ref="AJ4"/>
    <hyperlink r:id="rId6" ref="S5"/>
    <hyperlink r:id="rId7" ref="AC5"/>
    <hyperlink r:id="rId8" ref="AC7"/>
    <hyperlink r:id="rId9" ref="AE7"/>
    <hyperlink r:id="rId10" ref="AK7"/>
    <hyperlink r:id="rId11" ref="S8"/>
    <hyperlink r:id="rId12" ref="AC8"/>
    <hyperlink r:id="rId13" ref="AE8"/>
    <hyperlink r:id="rId14" ref="AG8"/>
    <hyperlink r:id="rId15" ref="AK8"/>
    <hyperlink r:id="rId16" ref="S9"/>
    <hyperlink r:id="rId17" ref="AC9"/>
    <hyperlink r:id="rId18" ref="AE9"/>
    <hyperlink r:id="rId19" ref="AJ9"/>
    <hyperlink r:id="rId20" ref="AK9"/>
    <hyperlink r:id="rId21" ref="AC10"/>
    <hyperlink r:id="rId22" ref="AE10"/>
    <hyperlink r:id="rId23" ref="AG10"/>
    <hyperlink r:id="rId24" ref="AJ10"/>
    <hyperlink r:id="rId25" ref="AK10"/>
    <hyperlink r:id="rId26" ref="S11"/>
    <hyperlink r:id="rId27" ref="AC11"/>
    <hyperlink r:id="rId28" ref="AE11"/>
    <hyperlink r:id="rId29" ref="AG11"/>
    <hyperlink r:id="rId30" ref="S12"/>
    <hyperlink r:id="rId31" ref="AC12"/>
    <hyperlink r:id="rId32" ref="AE12"/>
    <hyperlink r:id="rId33" ref="AG12"/>
    <hyperlink r:id="rId34" ref="AK12"/>
    <hyperlink r:id="rId35" ref="S13"/>
    <hyperlink r:id="rId36" ref="AC13"/>
    <hyperlink r:id="rId37" ref="AG13"/>
    <hyperlink r:id="rId38" ref="AK13"/>
    <hyperlink r:id="rId39" ref="S16"/>
    <hyperlink r:id="rId40" ref="AC16"/>
    <hyperlink r:id="rId41" ref="AK16"/>
    <hyperlink r:id="rId42" ref="S26"/>
    <hyperlink r:id="rId43" ref="AC26"/>
    <hyperlink r:id="rId44" ref="AG26"/>
    <hyperlink r:id="rId45" ref="S28"/>
    <hyperlink r:id="rId46" ref="AC28"/>
    <hyperlink r:id="rId47" ref="AE28"/>
    <hyperlink r:id="rId48" ref="AG28"/>
    <hyperlink r:id="rId49" ref="S34"/>
    <hyperlink r:id="rId50" ref="AC34"/>
    <hyperlink r:id="rId51" ref="S37"/>
    <hyperlink r:id="rId52" ref="AC37"/>
    <hyperlink r:id="rId53" ref="AG37"/>
    <hyperlink r:id="rId54" ref="S38"/>
    <hyperlink r:id="rId55" ref="AC38"/>
    <hyperlink r:id="rId56" ref="AE38"/>
    <hyperlink r:id="rId57" ref="AG38"/>
    <hyperlink r:id="rId58" ref="AJ38"/>
    <hyperlink r:id="rId59" ref="AK38"/>
    <hyperlink r:id="rId60" ref="S40"/>
    <hyperlink r:id="rId61" ref="AC40"/>
    <hyperlink r:id="rId62" ref="AG40"/>
    <hyperlink r:id="rId63" ref="S47"/>
    <hyperlink r:id="rId64" ref="AC47"/>
    <hyperlink r:id="rId65" ref="AG47"/>
    <hyperlink r:id="rId66" ref="AK47"/>
    <hyperlink r:id="rId67" ref="S48"/>
    <hyperlink r:id="rId68" ref="AC48"/>
    <hyperlink r:id="rId69" ref="AG48"/>
    <hyperlink r:id="rId70" ref="AK48"/>
    <hyperlink r:id="rId71" ref="S54"/>
    <hyperlink r:id="rId72" ref="S55"/>
    <hyperlink r:id="rId73" ref="S56"/>
    <hyperlink r:id="rId74" ref="S57"/>
    <hyperlink r:id="rId75" ref="AC58"/>
    <hyperlink r:id="rId76" ref="AG58"/>
    <hyperlink r:id="rId77" ref="AC59"/>
    <hyperlink r:id="rId78" ref="AG59"/>
    <hyperlink r:id="rId79" ref="AC60"/>
    <hyperlink r:id="rId80" ref="AG60"/>
    <hyperlink r:id="rId81" ref="AC61"/>
    <hyperlink r:id="rId82" ref="AK61"/>
    <hyperlink r:id="rId83" ref="AC62"/>
    <hyperlink r:id="rId84" ref="S63"/>
    <hyperlink r:id="rId85" ref="S64"/>
    <hyperlink r:id="rId86" ref="S65"/>
    <hyperlink r:id="rId87" ref="AC65"/>
    <hyperlink r:id="rId88" ref="AG65"/>
    <hyperlink r:id="rId89" ref="S70"/>
    <hyperlink r:id="rId90" ref="AC70"/>
    <hyperlink r:id="rId91" ref="AG70"/>
    <hyperlink r:id="rId92" ref="AK70"/>
    <hyperlink r:id="rId93" ref="AC74"/>
    <hyperlink r:id="rId94" ref="AE74"/>
    <hyperlink r:id="rId95" ref="AG74"/>
    <hyperlink r:id="rId96" ref="AK74"/>
    <hyperlink r:id="rId97" ref="S75"/>
    <hyperlink r:id="rId98" ref="AC76"/>
    <hyperlink r:id="rId99" ref="AE76"/>
    <hyperlink r:id="rId100" ref="AG76"/>
    <hyperlink r:id="rId101" ref="AJ76"/>
    <hyperlink r:id="rId102" ref="AK76"/>
    <hyperlink r:id="rId103" ref="AC82"/>
    <hyperlink r:id="rId104" ref="AG82"/>
    <hyperlink r:id="rId105" ref="AC84"/>
    <hyperlink r:id="rId106" ref="AG84"/>
    <hyperlink r:id="rId107" ref="S86"/>
    <hyperlink r:id="rId108" ref="S89"/>
    <hyperlink r:id="rId109" ref="AC89"/>
    <hyperlink r:id="rId110" ref="AG89"/>
    <hyperlink r:id="rId111" ref="AK89"/>
    <hyperlink r:id="rId112" ref="S90"/>
    <hyperlink r:id="rId113" ref="S91"/>
    <hyperlink r:id="rId114" ref="AC92"/>
    <hyperlink r:id="rId115" ref="AG92"/>
    <hyperlink r:id="rId116" ref="AI92"/>
    <hyperlink r:id="rId117" ref="AK92"/>
    <hyperlink r:id="rId118" ref="S93"/>
    <hyperlink r:id="rId119" ref="AC96"/>
    <hyperlink r:id="rId120" ref="AE96"/>
    <hyperlink r:id="rId121" ref="AG96"/>
    <hyperlink r:id="rId122" ref="AI96"/>
    <hyperlink r:id="rId123" ref="AC158"/>
    <hyperlink r:id="rId124" ref="AE158"/>
    <hyperlink r:id="rId125" ref="AI158"/>
    <hyperlink r:id="rId126" ref="AK158"/>
    <hyperlink r:id="rId127" ref="S164"/>
    <hyperlink r:id="rId128" ref="AC164"/>
    <hyperlink r:id="rId129" ref="AE164"/>
    <hyperlink r:id="rId130" ref="AI164"/>
    <hyperlink r:id="rId131" ref="S191"/>
    <hyperlink r:id="rId132" ref="AC191"/>
    <hyperlink r:id="rId133" ref="AG191"/>
    <hyperlink r:id="rId134" ref="AI191"/>
    <hyperlink r:id="rId135" ref="AC200"/>
    <hyperlink r:id="rId136" ref="AE200"/>
    <hyperlink r:id="rId137" ref="AG200"/>
    <hyperlink r:id="rId138" ref="AJ200"/>
    <hyperlink r:id="rId139" ref="AC201"/>
    <hyperlink r:id="rId140" ref="AE201"/>
    <hyperlink r:id="rId141" ref="AG201"/>
    <hyperlink r:id="rId142" ref="AJ201"/>
    <hyperlink r:id="rId143" ref="AC204"/>
    <hyperlink r:id="rId144" ref="AE204"/>
    <hyperlink r:id="rId145" ref="AG204"/>
    <hyperlink r:id="rId146" ref="AJ204"/>
    <hyperlink r:id="rId147" ref="S205"/>
    <hyperlink r:id="rId148" ref="AC205"/>
    <hyperlink r:id="rId149" ref="AE205"/>
    <hyperlink r:id="rId150" ref="AG205"/>
    <hyperlink r:id="rId151" ref="AK205"/>
    <hyperlink r:id="rId152" ref="AC231"/>
    <hyperlink r:id="rId153" ref="AE231"/>
    <hyperlink r:id="rId154" ref="AG231"/>
    <hyperlink r:id="rId155" ref="AC234"/>
    <hyperlink r:id="rId156" ref="AG234"/>
    <hyperlink r:id="rId157" ref="AE235"/>
    <hyperlink r:id="rId158" ref="AG235"/>
    <hyperlink r:id="rId159" ref="AK235"/>
    <hyperlink r:id="rId160" ref="S242"/>
    <hyperlink r:id="rId161" ref="S248"/>
    <hyperlink r:id="rId162" ref="S254"/>
    <hyperlink r:id="rId163" ref="S260"/>
    <hyperlink r:id="rId164" ref="AC261"/>
    <hyperlink r:id="rId165" ref="AE261"/>
    <hyperlink r:id="rId166" ref="AG261"/>
    <hyperlink r:id="rId167" ref="AI261"/>
    <hyperlink r:id="rId168" ref="AK261"/>
    <hyperlink r:id="rId169" ref="S262"/>
    <hyperlink r:id="rId170" ref="AC262"/>
    <hyperlink r:id="rId171" ref="AE262"/>
    <hyperlink r:id="rId172" ref="AG262"/>
    <hyperlink r:id="rId173" ref="AK262"/>
    <hyperlink r:id="rId174" ref="S268"/>
    <hyperlink r:id="rId175" ref="S270"/>
    <hyperlink r:id="rId176" ref="AC270"/>
    <hyperlink r:id="rId177" ref="AE270"/>
    <hyperlink r:id="rId178" ref="AG270"/>
    <hyperlink r:id="rId179" ref="AK270"/>
    <hyperlink r:id="rId180" ref="AC277"/>
    <hyperlink r:id="rId181" ref="AJ277"/>
    <hyperlink r:id="rId182" ref="AK277"/>
    <hyperlink r:id="rId183" ref="S281"/>
    <hyperlink r:id="rId184" ref="AC281"/>
    <hyperlink r:id="rId185" ref="AG281"/>
    <hyperlink r:id="rId186" ref="AC282"/>
    <hyperlink r:id="rId187" ref="AG282"/>
    <hyperlink r:id="rId188" ref="AI282"/>
    <hyperlink r:id="rId189" ref="AK282"/>
    <hyperlink r:id="rId190" ref="S283"/>
    <hyperlink r:id="rId191" ref="S292"/>
    <hyperlink r:id="rId192" ref="AC292"/>
    <hyperlink r:id="rId193" ref="AE292"/>
    <hyperlink r:id="rId194" ref="AC297"/>
    <hyperlink r:id="rId195" ref="AE297"/>
    <hyperlink r:id="rId196" ref="AG297"/>
    <hyperlink r:id="rId197" ref="AI297"/>
    <hyperlink r:id="rId198" ref="AK297"/>
    <hyperlink r:id="rId199" ref="S327"/>
    <hyperlink r:id="rId200" ref="S328"/>
    <hyperlink r:id="rId201" ref="S331"/>
    <hyperlink r:id="rId202" ref="S333"/>
    <hyperlink r:id="rId203" ref="S334"/>
    <hyperlink r:id="rId204" ref="S343"/>
    <hyperlink r:id="rId205" ref="S344"/>
    <hyperlink r:id="rId206" ref="AC344"/>
    <hyperlink r:id="rId207" ref="S357"/>
    <hyperlink r:id="rId208" ref="AC372"/>
    <hyperlink r:id="rId209" ref="AG372"/>
    <hyperlink r:id="rId210" ref="S375"/>
    <hyperlink r:id="rId211" ref="AC375"/>
    <hyperlink r:id="rId212" ref="S376"/>
    <hyperlink r:id="rId213" ref="AC376"/>
    <hyperlink r:id="rId214" ref="AG376"/>
    <hyperlink r:id="rId215" ref="AK376"/>
    <hyperlink r:id="rId216" ref="AC377"/>
    <hyperlink r:id="rId217" ref="AG377"/>
    <hyperlink r:id="rId218" ref="AK377"/>
    <hyperlink r:id="rId219" ref="AC381"/>
    <hyperlink r:id="rId220" ref="AG381"/>
    <hyperlink r:id="rId221" ref="AK381"/>
    <hyperlink r:id="rId222" ref="AC396"/>
    <hyperlink r:id="rId223" ref="AG396"/>
    <hyperlink r:id="rId224" ref="AI396"/>
    <hyperlink r:id="rId225" ref="AJ396"/>
    <hyperlink r:id="rId226" ref="AK396"/>
    <hyperlink r:id="rId227" ref="AC400"/>
    <hyperlink r:id="rId228" ref="AG400"/>
    <hyperlink r:id="rId229" ref="AK400"/>
    <hyperlink r:id="rId230" ref="AZ402"/>
    <hyperlink r:id="rId231" ref="AC423"/>
    <hyperlink r:id="rId232" ref="AG423"/>
    <hyperlink r:id="rId233" ref="AI423"/>
    <hyperlink r:id="rId234" ref="AK423"/>
    <hyperlink r:id="rId235" ref="AC435"/>
    <hyperlink r:id="rId236" ref="AG435"/>
    <hyperlink r:id="rId237" ref="S437"/>
    <hyperlink r:id="rId238" ref="AC437"/>
    <hyperlink r:id="rId239" ref="AG437"/>
    <hyperlink r:id="rId240" ref="AK437"/>
    <hyperlink r:id="rId241" ref="S442"/>
    <hyperlink r:id="rId242" ref="AC454"/>
    <hyperlink r:id="rId243" ref="AE454"/>
    <hyperlink r:id="rId244" ref="AG454"/>
    <hyperlink r:id="rId245" ref="AK454"/>
    <hyperlink r:id="rId246" ref="AC455"/>
    <hyperlink r:id="rId247" ref="AG455"/>
    <hyperlink r:id="rId248" ref="AC456"/>
    <hyperlink r:id="rId249" ref="AG456"/>
    <hyperlink r:id="rId250" ref="AK456"/>
    <hyperlink r:id="rId251" ref="AC457"/>
    <hyperlink r:id="rId252" ref="AG457"/>
    <hyperlink r:id="rId253" ref="AC458"/>
    <hyperlink r:id="rId254" ref="AE458"/>
    <hyperlink r:id="rId255" ref="AG458"/>
    <hyperlink r:id="rId256" ref="AK458"/>
    <hyperlink r:id="rId257" ref="AC459"/>
    <hyperlink r:id="rId258" ref="AG459"/>
    <hyperlink r:id="rId259" ref="AK459"/>
    <hyperlink r:id="rId260" ref="AC460"/>
    <hyperlink r:id="rId261" ref="AG460"/>
    <hyperlink r:id="rId262" ref="AK460"/>
    <hyperlink r:id="rId263" ref="AC461"/>
    <hyperlink r:id="rId264" ref="AC462"/>
    <hyperlink r:id="rId265" ref="AE462"/>
    <hyperlink r:id="rId266" ref="AG462"/>
    <hyperlink r:id="rId267" ref="AK462"/>
    <hyperlink r:id="rId268" ref="S463"/>
    <hyperlink r:id="rId269" ref="S483"/>
    <hyperlink r:id="rId270" ref="S484"/>
    <hyperlink r:id="rId271" ref="S486"/>
    <hyperlink r:id="rId272" ref="S487"/>
    <hyperlink r:id="rId273" ref="S488"/>
    <hyperlink r:id="rId274" ref="S490"/>
    <hyperlink r:id="rId275" ref="S491"/>
    <hyperlink r:id="rId276" ref="S492"/>
    <hyperlink r:id="rId277" ref="S493"/>
    <hyperlink r:id="rId278" ref="S494"/>
    <hyperlink r:id="rId279" ref="S495"/>
    <hyperlink r:id="rId280" ref="S496"/>
    <hyperlink r:id="rId281" ref="S497"/>
    <hyperlink r:id="rId282" ref="S499"/>
    <hyperlink r:id="rId283" ref="S522"/>
    <hyperlink r:id="rId284" ref="S526"/>
    <hyperlink r:id="rId285" ref="AC528"/>
    <hyperlink r:id="rId286" ref="AG528"/>
    <hyperlink r:id="rId287" ref="AC533"/>
    <hyperlink r:id="rId288" ref="AC536"/>
    <hyperlink r:id="rId289" ref="AG536"/>
    <hyperlink r:id="rId290" ref="AK536"/>
    <hyperlink r:id="rId291" ref="AC553"/>
    <hyperlink r:id="rId292" ref="AC554"/>
    <hyperlink r:id="rId293" ref="S556"/>
    <hyperlink r:id="rId294" ref="S559"/>
    <hyperlink r:id="rId295" ref="S563"/>
    <hyperlink r:id="rId296" ref="AC563"/>
    <hyperlink r:id="rId297" ref="AG563"/>
    <hyperlink r:id="rId298" ref="AK563"/>
    <hyperlink r:id="rId299" ref="S565"/>
    <hyperlink r:id="rId300" ref="AC580"/>
    <hyperlink r:id="rId301" ref="AG580"/>
    <hyperlink r:id="rId302" ref="S581"/>
    <hyperlink r:id="rId303" ref="AC581"/>
    <hyperlink r:id="rId304" ref="AG581"/>
    <hyperlink r:id="rId305" ref="AK581"/>
    <hyperlink r:id="rId306" ref="S582"/>
    <hyperlink r:id="rId307" ref="AC582"/>
    <hyperlink r:id="rId308" ref="AG582"/>
    <hyperlink r:id="rId309" ref="AJ582"/>
    <hyperlink r:id="rId310" ref="AK582"/>
    <hyperlink r:id="rId311" ref="S583"/>
    <hyperlink r:id="rId312" ref="AC583"/>
    <hyperlink r:id="rId313" ref="AG583"/>
    <hyperlink r:id="rId314" ref="AK583"/>
    <hyperlink r:id="rId315" ref="S584"/>
    <hyperlink r:id="rId316" ref="AC584"/>
    <hyperlink r:id="rId317" ref="AG584"/>
    <hyperlink r:id="rId318" ref="AJ584"/>
    <hyperlink r:id="rId319" ref="AK584"/>
    <hyperlink r:id="rId320" ref="S585"/>
    <hyperlink r:id="rId321" ref="AC585"/>
    <hyperlink r:id="rId322" ref="AE585"/>
    <hyperlink r:id="rId323" ref="AG585"/>
    <hyperlink r:id="rId324" ref="AK585"/>
    <hyperlink r:id="rId325" ref="S586"/>
    <hyperlink r:id="rId326" ref="AC586"/>
    <hyperlink r:id="rId327" ref="AG586"/>
    <hyperlink r:id="rId328" ref="S587"/>
    <hyperlink r:id="rId329" ref="AC587"/>
    <hyperlink r:id="rId330" ref="AG587"/>
    <hyperlink r:id="rId331" ref="AC588"/>
    <hyperlink r:id="rId332" ref="AG588"/>
    <hyperlink r:id="rId333" ref="AK588"/>
    <hyperlink r:id="rId334" ref="S591"/>
    <hyperlink r:id="rId335" ref="AC591"/>
    <hyperlink r:id="rId336" ref="AG591"/>
    <hyperlink r:id="rId337" ref="AJ591"/>
    <hyperlink r:id="rId338" ref="S592"/>
    <hyperlink r:id="rId339" ref="AC592"/>
    <hyperlink r:id="rId340" ref="AG592"/>
    <hyperlink r:id="rId341" ref="AJ592"/>
    <hyperlink r:id="rId342" ref="AK592"/>
    <hyperlink r:id="rId343" ref="S593"/>
    <hyperlink r:id="rId344" ref="AC593"/>
    <hyperlink r:id="rId345" ref="AG593"/>
    <hyperlink r:id="rId346" ref="S594"/>
    <hyperlink r:id="rId347" ref="AC594"/>
    <hyperlink r:id="rId348" ref="AG594"/>
    <hyperlink r:id="rId349" ref="AC595"/>
    <hyperlink r:id="rId350" ref="AG595"/>
    <hyperlink r:id="rId351" ref="AC596"/>
    <hyperlink r:id="rId352" ref="AG596"/>
    <hyperlink r:id="rId353" ref="S597"/>
    <hyperlink r:id="rId354" ref="AC597"/>
    <hyperlink r:id="rId355" ref="AG597"/>
    <hyperlink r:id="rId356" ref="AJ597"/>
    <hyperlink r:id="rId357" ref="AK597"/>
    <hyperlink r:id="rId358" ref="AC609"/>
    <hyperlink r:id="rId359" ref="AC610"/>
    <hyperlink r:id="rId360" ref="AG610"/>
    <hyperlink r:id="rId361" ref="AJ610"/>
    <hyperlink r:id="rId362" ref="AC611"/>
    <hyperlink r:id="rId363" ref="AG611"/>
    <hyperlink r:id="rId364" ref="AC613"/>
    <hyperlink r:id="rId365" ref="AG613"/>
    <hyperlink r:id="rId366" ref="AK613"/>
    <hyperlink r:id="rId367" ref="AC614"/>
    <hyperlink r:id="rId368" ref="AG614"/>
    <hyperlink r:id="rId369" ref="AJ614"/>
    <hyperlink r:id="rId370" ref="AK614"/>
    <hyperlink r:id="rId371" ref="AG615"/>
    <hyperlink r:id="rId372" ref="AC616"/>
    <hyperlink r:id="rId373" ref="AE616"/>
    <hyperlink r:id="rId374" ref="AG616"/>
    <hyperlink r:id="rId375" ref="AC617"/>
    <hyperlink r:id="rId376" ref="AG617"/>
    <hyperlink r:id="rId377" ref="AI617"/>
    <hyperlink r:id="rId378" ref="S618"/>
    <hyperlink r:id="rId379" ref="AC622"/>
    <hyperlink r:id="rId380" ref="AG622"/>
    <hyperlink r:id="rId381" ref="AK622"/>
    <hyperlink r:id="rId382" ref="AC630"/>
    <hyperlink r:id="rId383" ref="AG630"/>
    <hyperlink r:id="rId384" ref="AJ630"/>
    <hyperlink r:id="rId385" ref="AK630"/>
    <hyperlink r:id="rId386" ref="S651"/>
    <hyperlink r:id="rId387" ref="AC652"/>
    <hyperlink r:id="rId388" ref="AG652"/>
    <hyperlink r:id="rId389" ref="AJ652"/>
    <hyperlink r:id="rId390" ref="AK652"/>
    <hyperlink r:id="rId391" ref="S653"/>
    <hyperlink r:id="rId392" ref="AC654"/>
    <hyperlink r:id="rId393" ref="AG654"/>
    <hyperlink r:id="rId394" ref="AK654"/>
    <hyperlink r:id="rId395" ref="AC656"/>
    <hyperlink r:id="rId396" ref="AG656"/>
    <hyperlink r:id="rId397" ref="S673"/>
    <hyperlink r:id="rId398" ref="S674"/>
    <hyperlink r:id="rId399" ref="AC688"/>
    <hyperlink r:id="rId400" ref="AG688"/>
    <hyperlink r:id="rId401" ref="AC689"/>
    <hyperlink r:id="rId402" ref="S690"/>
    <hyperlink r:id="rId403" ref="AC690"/>
    <hyperlink r:id="rId404" ref="AG690"/>
    <hyperlink r:id="rId405" ref="S694"/>
    <hyperlink r:id="rId406" ref="AC694"/>
    <hyperlink r:id="rId407" ref="AG694"/>
    <hyperlink r:id="rId408" ref="S695"/>
    <hyperlink r:id="rId409" ref="AC695"/>
    <hyperlink r:id="rId410" ref="AG695"/>
    <hyperlink r:id="rId411" ref="S696"/>
    <hyperlink r:id="rId412" ref="AC696"/>
    <hyperlink r:id="rId413" ref="AG696"/>
    <hyperlink r:id="rId414" ref="S748"/>
    <hyperlink r:id="rId415" ref="S756"/>
    <hyperlink r:id="rId416" ref="AC756"/>
    <hyperlink r:id="rId417" ref="AG756"/>
    <hyperlink r:id="rId418" ref="AK756"/>
    <hyperlink r:id="rId419" ref="S770"/>
    <hyperlink r:id="rId420" ref="S777"/>
    <hyperlink r:id="rId421" ref="AC777"/>
    <hyperlink r:id="rId422" ref="AG777"/>
    <hyperlink r:id="rId423" ref="AK777"/>
    <hyperlink r:id="rId424" ref="AC779"/>
    <hyperlink r:id="rId425" ref="AG779"/>
    <hyperlink r:id="rId426" ref="AI779"/>
    <hyperlink r:id="rId427" ref="AC780"/>
    <hyperlink r:id="rId428" ref="AG780"/>
    <hyperlink r:id="rId429" ref="AK780"/>
    <hyperlink r:id="rId430" ref="S781"/>
    <hyperlink r:id="rId431" ref="AC812"/>
    <hyperlink r:id="rId432" ref="AG812"/>
    <hyperlink r:id="rId433" ref="AC822"/>
    <hyperlink r:id="rId434" ref="AC826"/>
    <hyperlink r:id="rId435" ref="AE826"/>
    <hyperlink r:id="rId436" ref="AG826"/>
    <hyperlink r:id="rId437" ref="AK826"/>
    <hyperlink r:id="rId438" ref="AC827"/>
    <hyperlink r:id="rId439" ref="AE827"/>
    <hyperlink r:id="rId440" ref="AG827"/>
    <hyperlink r:id="rId441" ref="AK827"/>
    <hyperlink r:id="rId442" ref="S828"/>
    <hyperlink r:id="rId443" ref="S829"/>
    <hyperlink r:id="rId444" ref="S831"/>
    <hyperlink r:id="rId445" ref="W832"/>
    <hyperlink r:id="rId446" ref="S833"/>
    <hyperlink r:id="rId447" ref="AC833"/>
    <hyperlink r:id="rId448" ref="AG833"/>
    <hyperlink r:id="rId449" ref="AK833"/>
    <hyperlink r:id="rId450" ref="S834"/>
    <hyperlink r:id="rId451" ref="S835"/>
    <hyperlink r:id="rId452" ref="AC835"/>
    <hyperlink r:id="rId453" ref="AI835"/>
    <hyperlink r:id="rId454" ref="AK835"/>
    <hyperlink r:id="rId455" ref="S836"/>
    <hyperlink r:id="rId456" ref="AC836"/>
    <hyperlink r:id="rId457" ref="AG836"/>
    <hyperlink r:id="rId458" ref="AK836"/>
    <hyperlink r:id="rId459" ref="S837"/>
    <hyperlink r:id="rId460" ref="AC837"/>
    <hyperlink r:id="rId461" ref="AG837"/>
    <hyperlink r:id="rId462" ref="AK837"/>
    <hyperlink r:id="rId463" ref="S838"/>
    <hyperlink r:id="rId464" ref="AC838"/>
    <hyperlink r:id="rId465" ref="AG838"/>
    <hyperlink r:id="rId466" ref="AK838"/>
    <hyperlink r:id="rId467" ref="AG839"/>
    <hyperlink r:id="rId468" ref="AK839"/>
    <hyperlink r:id="rId469" ref="AC849"/>
    <hyperlink r:id="rId470" ref="AC850"/>
    <hyperlink r:id="rId471" ref="S855"/>
    <hyperlink r:id="rId472" ref="S856"/>
    <hyperlink r:id="rId473" ref="S873"/>
    <hyperlink r:id="rId474" ref="S874"/>
    <hyperlink r:id="rId475" ref="AC899"/>
    <hyperlink r:id="rId476" ref="AC904"/>
    <hyperlink r:id="rId477" ref="S905"/>
    <hyperlink r:id="rId478" ref="AC905"/>
    <hyperlink r:id="rId479" ref="AE905"/>
    <hyperlink r:id="rId480" ref="AG905"/>
    <hyperlink r:id="rId481" ref="AK905"/>
    <hyperlink r:id="rId482" ref="AC906"/>
    <hyperlink r:id="rId483" ref="AG906"/>
    <hyperlink r:id="rId484" ref="AK906"/>
    <hyperlink r:id="rId485" ref="AC907"/>
    <hyperlink r:id="rId486" ref="AG907"/>
    <hyperlink r:id="rId487" ref="AK907"/>
    <hyperlink r:id="rId488" ref="AC908"/>
    <hyperlink r:id="rId489" ref="AG908"/>
    <hyperlink r:id="rId490" ref="AC909"/>
    <hyperlink r:id="rId491" ref="AG909"/>
    <hyperlink r:id="rId492" ref="AK909"/>
    <hyperlink r:id="rId493" ref="AC910"/>
    <hyperlink r:id="rId494" ref="AG910"/>
    <hyperlink r:id="rId495" ref="AI910"/>
    <hyperlink r:id="rId496" ref="AK910"/>
    <hyperlink r:id="rId497" ref="S921"/>
    <hyperlink r:id="rId498" ref="S922"/>
    <hyperlink r:id="rId499" ref="S928"/>
    <hyperlink r:id="rId500" ref="AC928"/>
    <hyperlink r:id="rId501" ref="AG928"/>
    <hyperlink r:id="rId502" ref="S929"/>
    <hyperlink r:id="rId503" ref="AC929"/>
    <hyperlink r:id="rId504" ref="AG929"/>
    <hyperlink r:id="rId505" ref="S930"/>
    <hyperlink r:id="rId506" ref="AC930"/>
    <hyperlink r:id="rId507" ref="AG930"/>
    <hyperlink r:id="rId508" ref="AK930"/>
    <hyperlink r:id="rId509" ref="AC931"/>
    <hyperlink r:id="rId510" ref="AG931"/>
    <hyperlink r:id="rId511" ref="S933"/>
    <hyperlink r:id="rId512" ref="S950"/>
    <hyperlink r:id="rId513" ref="AC988"/>
    <hyperlink r:id="rId514" ref="AE988"/>
    <hyperlink r:id="rId515" ref="AG988"/>
    <hyperlink r:id="rId516" ref="AI988"/>
    <hyperlink r:id="rId517" ref="AK988"/>
    <hyperlink r:id="rId518" ref="AC992"/>
    <hyperlink r:id="rId519" ref="AE992"/>
    <hyperlink r:id="rId520" ref="AG992"/>
    <hyperlink r:id="rId521" ref="AI992"/>
    <hyperlink r:id="rId522" ref="AC996"/>
    <hyperlink r:id="rId523" ref="AE996"/>
    <hyperlink r:id="rId524" ref="AG996"/>
    <hyperlink r:id="rId525" ref="S1005"/>
    <hyperlink r:id="rId526" ref="S1014"/>
    <hyperlink r:id="rId527" ref="S1024"/>
    <hyperlink r:id="rId528" ref="AC1032"/>
    <hyperlink r:id="rId529" ref="AG1032"/>
    <hyperlink r:id="rId530" ref="AK1032"/>
    <hyperlink r:id="rId531" ref="AC1033"/>
    <hyperlink r:id="rId532" ref="AG1033"/>
    <hyperlink r:id="rId533" ref="AK1033"/>
    <hyperlink r:id="rId534" ref="AC1034"/>
    <hyperlink r:id="rId535" ref="AG1034"/>
    <hyperlink r:id="rId536" ref="AK1034"/>
    <hyperlink r:id="rId537" ref="AC1035"/>
    <hyperlink r:id="rId538" ref="AC1039"/>
    <hyperlink r:id="rId539" ref="AE1039"/>
    <hyperlink r:id="rId540" ref="AG1039"/>
    <hyperlink r:id="rId541" ref="AI1039"/>
    <hyperlink r:id="rId542" ref="AK1039"/>
    <hyperlink r:id="rId543" ref="AC1040"/>
    <hyperlink r:id="rId544" ref="AE1040"/>
    <hyperlink r:id="rId545" ref="AG1040"/>
    <hyperlink r:id="rId546" ref="AI1040"/>
    <hyperlink r:id="rId547" ref="AK1040"/>
    <hyperlink r:id="rId548" ref="AC1073"/>
    <hyperlink r:id="rId549" ref="AE1073"/>
    <hyperlink r:id="rId550" ref="AG1073"/>
    <hyperlink r:id="rId551" ref="AK1073"/>
    <hyperlink r:id="rId552" ref="AC1076"/>
    <hyperlink r:id="rId553" ref="AG1076"/>
    <hyperlink r:id="rId554" ref="AK1076"/>
    <hyperlink r:id="rId555" ref="AC1081"/>
    <hyperlink r:id="rId556" ref="AG1081"/>
    <hyperlink r:id="rId557" ref="AI1081"/>
    <hyperlink r:id="rId558" ref="AC1096"/>
    <hyperlink r:id="rId559" ref="AG1096"/>
    <hyperlink r:id="rId560" ref="AC1097"/>
    <hyperlink r:id="rId561" ref="AG1097"/>
    <hyperlink r:id="rId562" ref="S1098"/>
    <hyperlink r:id="rId563" ref="AG1098"/>
    <hyperlink r:id="rId564" ref="AC1099"/>
    <hyperlink r:id="rId565" ref="AG1099"/>
    <hyperlink r:id="rId566" ref="AC1101"/>
    <hyperlink r:id="rId567" ref="AG1101"/>
    <hyperlink r:id="rId568" ref="AC1102"/>
    <hyperlink r:id="rId569" ref="AG1102"/>
    <hyperlink r:id="rId570" ref="S1103"/>
    <hyperlink r:id="rId571" ref="AC1103"/>
    <hyperlink r:id="rId572" ref="AG1103"/>
    <hyperlink r:id="rId573" ref="AK1103"/>
    <hyperlink r:id="rId574" ref="S1104"/>
    <hyperlink r:id="rId575" ref="AC1104"/>
    <hyperlink r:id="rId576" ref="AG1104"/>
    <hyperlink r:id="rId577" ref="AK1104"/>
    <hyperlink r:id="rId578" ref="S1105"/>
    <hyperlink r:id="rId579" ref="S1106"/>
    <hyperlink r:id="rId580" ref="AC1106"/>
    <hyperlink r:id="rId581" ref="AG1106"/>
    <hyperlink r:id="rId582" ref="AK1106"/>
    <hyperlink r:id="rId583" ref="S1107"/>
    <hyperlink r:id="rId584" ref="S1108"/>
    <hyperlink r:id="rId585" ref="AC1108"/>
    <hyperlink r:id="rId586" ref="AE1108"/>
    <hyperlink r:id="rId587" ref="AG1108"/>
    <hyperlink r:id="rId588" ref="AK1108"/>
    <hyperlink r:id="rId589" ref="S1109"/>
    <hyperlink r:id="rId590" ref="AC1109"/>
    <hyperlink r:id="rId591" ref="AE1109"/>
    <hyperlink r:id="rId592" ref="AC1110"/>
    <hyperlink r:id="rId593" ref="AG1110"/>
    <hyperlink r:id="rId594" ref="AI1110"/>
    <hyperlink r:id="rId595" ref="S1116"/>
    <hyperlink r:id="rId596" ref="AC1138"/>
    <hyperlink r:id="rId597" ref="AG1138"/>
    <hyperlink r:id="rId598" ref="AJ1138"/>
    <hyperlink r:id="rId599" ref="AK1138"/>
    <hyperlink r:id="rId600" ref="S1149"/>
    <hyperlink r:id="rId601" ref="AC1172"/>
    <hyperlink r:id="rId602" ref="AG1172"/>
    <hyperlink r:id="rId603" ref="AI1172"/>
    <hyperlink r:id="rId604" ref="AK1172"/>
    <hyperlink r:id="rId605" ref="AC1173"/>
    <hyperlink r:id="rId606" ref="AG1173"/>
    <hyperlink r:id="rId607" ref="AK1173"/>
    <hyperlink r:id="rId608" ref="S1177"/>
    <hyperlink r:id="rId609" ref="AC1177"/>
    <hyperlink r:id="rId610" ref="AE1177"/>
    <hyperlink r:id="rId611" ref="AG1177"/>
    <hyperlink r:id="rId612" ref="AK1177"/>
    <hyperlink r:id="rId613" ref="S1178"/>
    <hyperlink r:id="rId614" ref="AC1178"/>
    <hyperlink r:id="rId615" ref="AE1178"/>
    <hyperlink r:id="rId616" ref="AG1178"/>
    <hyperlink r:id="rId617" ref="AK1178"/>
    <hyperlink r:id="rId618" ref="S1179"/>
    <hyperlink r:id="rId619" ref="AC1179"/>
    <hyperlink r:id="rId620" ref="AE1179"/>
    <hyperlink r:id="rId621" ref="AG1179"/>
    <hyperlink r:id="rId622" ref="AK1179"/>
    <hyperlink r:id="rId623" ref="S1180"/>
    <hyperlink r:id="rId624" ref="AC1180"/>
    <hyperlink r:id="rId625" ref="AE1180"/>
    <hyperlink r:id="rId626" ref="AG1180"/>
    <hyperlink r:id="rId627" ref="AK1180"/>
    <hyperlink r:id="rId628" ref="S1181"/>
    <hyperlink r:id="rId629" ref="AC1181"/>
    <hyperlink r:id="rId630" ref="AE1181"/>
    <hyperlink r:id="rId631" ref="AG1181"/>
    <hyperlink r:id="rId632" ref="AK1181"/>
    <hyperlink r:id="rId633" ref="S1182"/>
    <hyperlink r:id="rId634" ref="AC1182"/>
    <hyperlink r:id="rId635" ref="AG1182"/>
    <hyperlink r:id="rId636" ref="AK1182"/>
    <hyperlink r:id="rId637" ref="S1183"/>
    <hyperlink r:id="rId638" ref="AC1183"/>
    <hyperlink r:id="rId639" ref="AG1183"/>
    <hyperlink r:id="rId640" ref="AK1183"/>
    <hyperlink r:id="rId641" ref="AC1188"/>
    <hyperlink r:id="rId642" ref="S1197"/>
    <hyperlink r:id="rId643" ref="S1200"/>
    <hyperlink r:id="rId644" ref="AG1202"/>
    <hyperlink r:id="rId645" ref="AG1205"/>
    <hyperlink r:id="rId646" ref="AG1206"/>
    <hyperlink r:id="rId647" ref="S1212"/>
    <hyperlink r:id="rId648" ref="AC1212"/>
    <hyperlink r:id="rId649" ref="AG1212"/>
    <hyperlink r:id="rId650" ref="AK1212"/>
    <hyperlink r:id="rId651" ref="AC1220"/>
    <hyperlink r:id="rId652" ref="AC1241"/>
    <hyperlink r:id="rId653" ref="AG1241"/>
    <hyperlink r:id="rId654" ref="AC1254"/>
    <hyperlink r:id="rId655" ref="AG1254"/>
    <hyperlink r:id="rId656" ref="AK1254"/>
    <hyperlink r:id="rId657" ref="AC1255"/>
    <hyperlink r:id="rId658" ref="AE1255"/>
    <hyperlink r:id="rId659" ref="AG1255"/>
    <hyperlink r:id="rId660" ref="AC1277"/>
    <hyperlink r:id="rId661" ref="AE1277"/>
    <hyperlink r:id="rId662" ref="AG1277"/>
    <hyperlink r:id="rId663" ref="AI1277"/>
    <hyperlink r:id="rId664" ref="AK1277"/>
    <hyperlink r:id="rId665" ref="AC1283"/>
    <hyperlink r:id="rId666" ref="AG1283"/>
    <hyperlink r:id="rId667" ref="AC1284"/>
    <hyperlink r:id="rId668" ref="AG1284"/>
    <hyperlink r:id="rId669" ref="AG1291"/>
    <hyperlink r:id="rId670" ref="AJ1291"/>
    <hyperlink r:id="rId671" ref="S1301"/>
    <hyperlink r:id="rId672" ref="AC1301"/>
    <hyperlink r:id="rId673" ref="AG1301"/>
    <hyperlink r:id="rId674" ref="AK1301"/>
    <hyperlink r:id="rId675" ref="S1373"/>
    <hyperlink r:id="rId676" ref="AC1373"/>
    <hyperlink r:id="rId677" ref="AG1373"/>
    <hyperlink r:id="rId678" ref="AK1373"/>
    <hyperlink r:id="rId679" ref="AC1374"/>
    <hyperlink r:id="rId680" ref="AG1374"/>
    <hyperlink r:id="rId681" ref="AJ1374"/>
    <hyperlink r:id="rId682" ref="AK1374"/>
    <hyperlink r:id="rId683" ref="AC1375"/>
    <hyperlink r:id="rId684" ref="AG1375"/>
    <hyperlink r:id="rId685" ref="AK1375"/>
    <hyperlink r:id="rId686" ref="S1385"/>
    <hyperlink r:id="rId687" ref="AC1385"/>
    <hyperlink r:id="rId688" ref="AG1385"/>
    <hyperlink r:id="rId689" ref="S1386"/>
    <hyperlink r:id="rId690" ref="AC1386"/>
    <hyperlink r:id="rId691" ref="AG1386"/>
    <hyperlink r:id="rId692" ref="AK1386"/>
    <hyperlink r:id="rId693" ref="S1387"/>
    <hyperlink r:id="rId694" ref="AC1387"/>
    <hyperlink r:id="rId695" ref="AG1387"/>
    <hyperlink r:id="rId696" ref="S1388"/>
    <hyperlink r:id="rId697" ref="AC1388"/>
    <hyperlink r:id="rId698" ref="AG1388"/>
    <hyperlink r:id="rId699" ref="S1389"/>
    <hyperlink r:id="rId700" ref="AC1389"/>
    <hyperlink r:id="rId701" ref="AG1389"/>
    <hyperlink r:id="rId702" ref="S1390"/>
    <hyperlink r:id="rId703" ref="AC1390"/>
    <hyperlink r:id="rId704" ref="AG1390"/>
    <hyperlink r:id="rId705" ref="AC1422"/>
    <hyperlink r:id="rId706" ref="AG1422"/>
    <hyperlink r:id="rId707" ref="AJ1422"/>
    <hyperlink r:id="rId708" ref="AK1422"/>
    <hyperlink r:id="rId709" ref="AC1423"/>
    <hyperlink r:id="rId710" ref="AG1423"/>
    <hyperlink r:id="rId711" ref="AK1423"/>
    <hyperlink r:id="rId712" ref="S1435"/>
    <hyperlink r:id="rId713" ref="S1437"/>
    <hyperlink r:id="rId714" ref="AC1437"/>
    <hyperlink r:id="rId715" ref="AG1437"/>
    <hyperlink r:id="rId716" ref="AK1437"/>
    <hyperlink r:id="rId717" ref="S1439"/>
    <hyperlink r:id="rId718" ref="AC1439"/>
    <hyperlink r:id="rId719" ref="AG1439"/>
    <hyperlink r:id="rId720" ref="AK1439"/>
    <hyperlink r:id="rId721" ref="S1440"/>
    <hyperlink r:id="rId722" ref="AC1440"/>
    <hyperlink r:id="rId723" ref="AG1440"/>
    <hyperlink r:id="rId724" ref="S1449"/>
    <hyperlink r:id="rId725" ref="AC1449"/>
    <hyperlink r:id="rId726" ref="AG1449"/>
    <hyperlink r:id="rId727" ref="S1459"/>
    <hyperlink r:id="rId728" ref="AC1459"/>
    <hyperlink r:id="rId729" ref="AG1459"/>
    <hyperlink r:id="rId730" ref="AK1459"/>
    <hyperlink r:id="rId731" ref="AC1468"/>
    <hyperlink r:id="rId732" ref="AG1468"/>
    <hyperlink r:id="rId733" ref="AK1468"/>
    <hyperlink r:id="rId734" ref="AC1471"/>
    <hyperlink r:id="rId735" ref="AE1471"/>
    <hyperlink r:id="rId736" ref="AG1471"/>
    <hyperlink r:id="rId737" ref="AK1471"/>
    <hyperlink r:id="rId738" ref="S1475"/>
    <hyperlink r:id="rId739" ref="AC1475"/>
    <hyperlink r:id="rId740" ref="AE1475"/>
    <hyperlink r:id="rId741" ref="AG1475"/>
    <hyperlink r:id="rId742" ref="AK1475"/>
    <hyperlink r:id="rId743" ref="AC1476"/>
    <hyperlink r:id="rId744" ref="AE1476"/>
    <hyperlink r:id="rId745" ref="AG1476"/>
    <hyperlink r:id="rId746" ref="AK1476"/>
    <hyperlink r:id="rId747" ref="S1477"/>
    <hyperlink r:id="rId748" ref="AC1477"/>
    <hyperlink r:id="rId749" ref="AG1477"/>
    <hyperlink r:id="rId750" ref="AK1477"/>
    <hyperlink r:id="rId751" ref="AC1478"/>
    <hyperlink r:id="rId752" ref="AE1478"/>
    <hyperlink r:id="rId753" ref="AG1478"/>
    <hyperlink r:id="rId754" ref="S1493"/>
    <hyperlink r:id="rId755" ref="AC1493"/>
    <hyperlink r:id="rId756" ref="S1494"/>
    <hyperlink r:id="rId757" ref="S1495"/>
    <hyperlink r:id="rId758" ref="S1496"/>
    <hyperlink r:id="rId759" ref="S1497"/>
    <hyperlink r:id="rId760" ref="S1519"/>
    <hyperlink r:id="rId761" ref="AC1519"/>
    <hyperlink r:id="rId762" ref="AG1519"/>
    <hyperlink r:id="rId763" ref="AK1519"/>
    <hyperlink r:id="rId764" ref="AC1520"/>
    <hyperlink r:id="rId765" ref="AG1520"/>
    <hyperlink r:id="rId766" ref="AJ1520"/>
    <hyperlink r:id="rId767" ref="AK1520"/>
    <hyperlink r:id="rId768" ref="S1571"/>
    <hyperlink r:id="rId769" ref="S1608"/>
    <hyperlink r:id="rId770" ref="AC1619"/>
    <hyperlink r:id="rId771" ref="AG1619"/>
    <hyperlink r:id="rId772" ref="AI1619"/>
    <hyperlink r:id="rId773" ref="AK1619"/>
  </hyperlinks>
  <drawing r:id="rId774"/>
  <tableParts count="1">
    <tablePart r:id="rId77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30.0"/>
  </cols>
  <sheetData>
    <row r="1"/>
    <row r="2"/>
    <row r="3"/>
    <row r="4"/>
    <row r="5"/>
    <row r="6"/>
    <row r="7"/>
    <row r="8"/>
    <row r="9"/>
    <row r="10"/>
    <row r="11"/>
    <row r="17"/>
    <row r="18"/>
    <row r="19"/>
    <row r="20"/>
    <row r="21"/>
    <row r="22"/>
    <row r="23"/>
    <row r="24"/>
    <row r="25"/>
    <row r="26"/>
    <row r="27"/>
    <row r="28"/>
    <row r="29"/>
    <row r="30"/>
    <row r="31"/>
    <row r="32"/>
    <row r="33"/>
    <row r="34"/>
  </sheetData>
  <hyperlinks>
    <hyperlink r:id="rId3" ref="A2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37.13"/>
    <col customWidth="1" min="6" max="6" width="14.75"/>
  </cols>
  <sheetData>
    <row r="1">
      <c r="A1" s="28" t="s">
        <v>0</v>
      </c>
      <c r="B1" s="29" t="s">
        <v>1</v>
      </c>
      <c r="C1" s="29" t="s">
        <v>2</v>
      </c>
      <c r="D1" s="29" t="s">
        <v>3</v>
      </c>
      <c r="E1" s="30" t="s">
        <v>69</v>
      </c>
      <c r="F1" s="29" t="s">
        <v>5</v>
      </c>
      <c r="G1" s="29" t="s">
        <v>6</v>
      </c>
      <c r="H1" s="29" t="s">
        <v>7</v>
      </c>
      <c r="I1" s="29" t="s">
        <v>8</v>
      </c>
      <c r="J1" s="29" t="s">
        <v>9</v>
      </c>
      <c r="K1" s="29" t="s">
        <v>10</v>
      </c>
      <c r="L1" s="29" t="s">
        <v>11</v>
      </c>
      <c r="M1" s="29" t="s">
        <v>12</v>
      </c>
      <c r="N1" s="29" t="s">
        <v>13</v>
      </c>
      <c r="O1" s="29" t="s">
        <v>14</v>
      </c>
      <c r="P1" s="29" t="s">
        <v>15</v>
      </c>
      <c r="Q1" s="29" t="s">
        <v>16</v>
      </c>
      <c r="R1" s="29" t="s">
        <v>17</v>
      </c>
      <c r="S1" s="29" t="s">
        <v>18</v>
      </c>
      <c r="T1" s="29" t="s">
        <v>19</v>
      </c>
      <c r="U1" s="29" t="s">
        <v>20</v>
      </c>
      <c r="V1" s="29" t="s">
        <v>21</v>
      </c>
      <c r="W1" s="29" t="s">
        <v>22</v>
      </c>
      <c r="X1" s="29" t="s">
        <v>23</v>
      </c>
      <c r="Y1" s="29" t="s">
        <v>24</v>
      </c>
      <c r="Z1" s="29" t="s">
        <v>25</v>
      </c>
      <c r="AA1" s="29" t="s">
        <v>26</v>
      </c>
      <c r="AB1" s="29" t="s">
        <v>27</v>
      </c>
      <c r="AC1" s="29" t="s">
        <v>28</v>
      </c>
      <c r="AD1" s="29" t="s">
        <v>29</v>
      </c>
      <c r="AE1" s="29" t="s">
        <v>30</v>
      </c>
      <c r="AF1" s="29" t="s">
        <v>31</v>
      </c>
      <c r="AG1" s="29" t="s">
        <v>32</v>
      </c>
      <c r="AH1" s="29" t="s">
        <v>33</v>
      </c>
      <c r="AI1" s="29" t="s">
        <v>34</v>
      </c>
      <c r="AJ1" s="29" t="s">
        <v>35</v>
      </c>
      <c r="AK1" s="29" t="s">
        <v>36</v>
      </c>
      <c r="AL1" s="29" t="s">
        <v>37</v>
      </c>
      <c r="AM1" s="29" t="s">
        <v>38</v>
      </c>
      <c r="AN1" s="29" t="s">
        <v>39</v>
      </c>
      <c r="AO1" s="29" t="s">
        <v>40</v>
      </c>
      <c r="AP1" s="29" t="s">
        <v>41</v>
      </c>
      <c r="AQ1" s="29" t="s">
        <v>42</v>
      </c>
      <c r="AR1" s="29" t="s">
        <v>43</v>
      </c>
      <c r="AS1" s="29" t="s">
        <v>44</v>
      </c>
      <c r="AT1" s="29" t="s">
        <v>45</v>
      </c>
      <c r="AU1" s="29" t="s">
        <v>46</v>
      </c>
      <c r="AV1" s="29" t="s">
        <v>47</v>
      </c>
      <c r="AW1" s="29" t="s">
        <v>48</v>
      </c>
      <c r="AX1" s="29" t="s">
        <v>49</v>
      </c>
      <c r="AY1" s="29" t="s">
        <v>50</v>
      </c>
      <c r="AZ1" s="29" t="s">
        <v>51</v>
      </c>
      <c r="BA1" s="29" t="s">
        <v>52</v>
      </c>
      <c r="BB1" s="29" t="s">
        <v>53</v>
      </c>
      <c r="BC1" s="29" t="s">
        <v>54</v>
      </c>
      <c r="BD1" s="29" t="s">
        <v>55</v>
      </c>
      <c r="BE1" s="29" t="s">
        <v>56</v>
      </c>
      <c r="BF1" s="29" t="s">
        <v>57</v>
      </c>
      <c r="BG1" s="29" t="s">
        <v>58</v>
      </c>
      <c r="BH1" s="29" t="s">
        <v>59</v>
      </c>
      <c r="BI1" s="29" t="s">
        <v>60</v>
      </c>
      <c r="BJ1" s="29" t="s">
        <v>61</v>
      </c>
      <c r="BK1" s="29" t="s">
        <v>62</v>
      </c>
      <c r="BL1" s="29" t="s">
        <v>63</v>
      </c>
      <c r="BM1" s="29" t="s">
        <v>64</v>
      </c>
      <c r="BN1" s="29" t="s">
        <v>65</v>
      </c>
      <c r="BO1" s="29" t="s">
        <v>66</v>
      </c>
      <c r="BP1" s="29" t="s">
        <v>67</v>
      </c>
      <c r="BQ1" s="29" t="s">
        <v>68</v>
      </c>
    </row>
    <row r="2">
      <c r="A2" s="31">
        <v>46059.334208796296</v>
      </c>
      <c r="B2" s="32">
        <v>46058.0</v>
      </c>
      <c r="C2" s="33">
        <v>0.6666666666642413</v>
      </c>
      <c r="D2" s="34" t="s">
        <v>91</v>
      </c>
      <c r="E2" s="35" t="s">
        <v>255</v>
      </c>
      <c r="F2" s="34">
        <v>30.0</v>
      </c>
      <c r="G2" s="34">
        <v>1.0</v>
      </c>
      <c r="H2" s="34">
        <v>1.0</v>
      </c>
      <c r="I2" s="34">
        <v>1.0</v>
      </c>
      <c r="J2" s="34" t="s">
        <v>167</v>
      </c>
      <c r="K2" s="34" t="s">
        <v>134</v>
      </c>
      <c r="L2" s="36"/>
      <c r="M2" s="36"/>
      <c r="N2" s="34">
        <v>1.0</v>
      </c>
      <c r="O2" s="34" t="s">
        <v>256</v>
      </c>
      <c r="P2" s="34" t="s">
        <v>76</v>
      </c>
      <c r="Q2" s="34" t="s">
        <v>97</v>
      </c>
      <c r="R2" s="34" t="s">
        <v>98</v>
      </c>
      <c r="S2" s="34" t="s">
        <v>257</v>
      </c>
      <c r="T2" s="36"/>
      <c r="U2" s="34" t="s">
        <v>258</v>
      </c>
      <c r="V2" s="34">
        <v>8.712220229E9</v>
      </c>
      <c r="W2" s="34" t="s">
        <v>259</v>
      </c>
      <c r="X2" s="36"/>
      <c r="Y2" s="36"/>
      <c r="Z2" s="36"/>
      <c r="AA2" s="34" t="s">
        <v>109</v>
      </c>
      <c r="AB2" s="36"/>
      <c r="AC2" s="36"/>
      <c r="AD2" s="36"/>
      <c r="AE2" s="36"/>
      <c r="AF2" s="36"/>
      <c r="AG2" s="36"/>
      <c r="AH2" s="36"/>
      <c r="AI2" s="36"/>
      <c r="AJ2" s="36"/>
      <c r="AK2" s="36"/>
      <c r="AL2" s="36"/>
      <c r="AM2" s="36"/>
      <c r="AN2" s="36"/>
      <c r="AO2" s="36"/>
      <c r="AP2" s="36"/>
      <c r="AQ2" s="36"/>
      <c r="AR2" s="36"/>
      <c r="AS2" s="36"/>
      <c r="AT2" s="36"/>
      <c r="AU2" s="34" t="s">
        <v>76</v>
      </c>
      <c r="AV2" s="34" t="s">
        <v>260</v>
      </c>
      <c r="AW2" s="36"/>
      <c r="AX2" s="36"/>
      <c r="AY2" s="36"/>
      <c r="AZ2" s="34" t="s">
        <v>243</v>
      </c>
      <c r="BA2" s="36"/>
      <c r="BB2" s="36"/>
      <c r="BC2" s="36"/>
      <c r="BD2" s="36"/>
      <c r="BE2" s="36"/>
      <c r="BF2" s="36"/>
      <c r="BG2" s="36"/>
      <c r="BH2" s="36"/>
      <c r="BI2" s="36"/>
      <c r="BJ2" s="36"/>
      <c r="BK2" s="36"/>
      <c r="BL2" s="36"/>
      <c r="BM2" s="36"/>
      <c r="BN2" s="36"/>
      <c r="BO2" s="36"/>
      <c r="BP2" s="36"/>
      <c r="BQ2" s="36"/>
    </row>
    <row r="3">
      <c r="A3" s="31">
        <v>46059.42609392361</v>
      </c>
      <c r="B3" s="32">
        <v>46175.0</v>
      </c>
      <c r="C3" s="33">
        <v>0.5625</v>
      </c>
      <c r="D3" s="34" t="s">
        <v>91</v>
      </c>
      <c r="E3" s="35" t="s">
        <v>343</v>
      </c>
      <c r="F3" s="34">
        <v>200.0</v>
      </c>
      <c r="G3" s="34">
        <v>500.0</v>
      </c>
      <c r="H3" s="34" t="s">
        <v>344</v>
      </c>
      <c r="I3" s="34">
        <v>1.0</v>
      </c>
      <c r="J3" s="34" t="s">
        <v>167</v>
      </c>
      <c r="K3" s="34" t="s">
        <v>134</v>
      </c>
      <c r="L3" s="34">
        <v>22.0</v>
      </c>
      <c r="M3" s="34">
        <v>20.0</v>
      </c>
      <c r="N3" s="34">
        <v>1.0</v>
      </c>
      <c r="O3" s="34" t="s">
        <v>96</v>
      </c>
      <c r="P3" s="34" t="s">
        <v>76</v>
      </c>
      <c r="Q3" s="34" t="s">
        <v>97</v>
      </c>
      <c r="R3" s="34" t="s">
        <v>76</v>
      </c>
      <c r="S3" s="34" t="s">
        <v>117</v>
      </c>
      <c r="T3" s="36"/>
      <c r="U3" s="34" t="s">
        <v>345</v>
      </c>
      <c r="V3" s="34">
        <v>7.842264138E9</v>
      </c>
      <c r="W3" s="34" t="s">
        <v>344</v>
      </c>
      <c r="X3" s="36"/>
      <c r="Y3" s="36"/>
      <c r="Z3" s="36"/>
      <c r="AA3" s="34" t="s">
        <v>109</v>
      </c>
      <c r="AB3" s="36"/>
      <c r="AC3" s="36"/>
      <c r="AD3" s="36"/>
      <c r="AE3" s="36"/>
      <c r="AF3" s="36"/>
      <c r="AG3" s="36"/>
      <c r="AH3" s="36"/>
      <c r="AI3" s="36"/>
      <c r="AJ3" s="36"/>
      <c r="AK3" s="36"/>
      <c r="AL3" s="36"/>
      <c r="AM3" s="36"/>
      <c r="AN3" s="36"/>
      <c r="AO3" s="36"/>
      <c r="AP3" s="36"/>
      <c r="AQ3" s="36"/>
      <c r="AR3" s="36"/>
      <c r="AS3" s="36"/>
      <c r="AT3" s="36"/>
      <c r="AU3" s="34" t="s">
        <v>76</v>
      </c>
      <c r="AV3" s="34" t="s">
        <v>88</v>
      </c>
      <c r="AW3" s="36"/>
      <c r="AX3" s="32">
        <v>46059.0</v>
      </c>
      <c r="AY3" s="33">
        <v>0.5625</v>
      </c>
      <c r="AZ3" s="34" t="s">
        <v>110</v>
      </c>
      <c r="BA3" s="36"/>
      <c r="BB3" s="36"/>
      <c r="BC3" s="36"/>
      <c r="BD3" s="36"/>
      <c r="BE3" s="36"/>
      <c r="BF3" s="36"/>
      <c r="BG3" s="36"/>
      <c r="BH3" s="36"/>
      <c r="BI3" s="36"/>
      <c r="BJ3" s="36"/>
      <c r="BK3" s="36"/>
      <c r="BL3" s="36"/>
      <c r="BM3" s="36"/>
      <c r="BN3" s="36"/>
      <c r="BO3" s="36"/>
      <c r="BP3" s="36"/>
      <c r="BQ3" s="36"/>
    </row>
    <row r="4">
      <c r="A4" s="31">
        <v>46059.43123717593</v>
      </c>
      <c r="B4" s="32">
        <v>46059.0</v>
      </c>
      <c r="C4" s="33">
        <v>0.6041666666642413</v>
      </c>
      <c r="D4" s="34" t="s">
        <v>91</v>
      </c>
      <c r="E4" s="35" t="s">
        <v>357</v>
      </c>
      <c r="F4" s="34">
        <v>300.0</v>
      </c>
      <c r="G4" s="34">
        <v>1000.0</v>
      </c>
      <c r="H4" s="34" t="s">
        <v>344</v>
      </c>
      <c r="I4" s="34">
        <v>1.0</v>
      </c>
      <c r="J4" s="34" t="s">
        <v>167</v>
      </c>
      <c r="K4" s="34" t="s">
        <v>134</v>
      </c>
      <c r="L4" s="34">
        <v>22.0</v>
      </c>
      <c r="M4" s="34">
        <v>20.0</v>
      </c>
      <c r="N4" s="34">
        <v>1.0</v>
      </c>
      <c r="O4" s="34" t="s">
        <v>96</v>
      </c>
      <c r="P4" s="34" t="s">
        <v>76</v>
      </c>
      <c r="Q4" s="34" t="s">
        <v>97</v>
      </c>
      <c r="R4" s="34" t="s">
        <v>109</v>
      </c>
      <c r="S4" s="34" t="s">
        <v>344</v>
      </c>
      <c r="T4" s="36"/>
      <c r="U4" s="34" t="s">
        <v>358</v>
      </c>
      <c r="V4" s="34">
        <v>8.019447999E9</v>
      </c>
      <c r="W4" s="34" t="s">
        <v>344</v>
      </c>
      <c r="X4" s="36"/>
      <c r="Y4" s="36"/>
      <c r="Z4" s="36"/>
      <c r="AA4" s="34" t="s">
        <v>109</v>
      </c>
      <c r="AB4" s="36"/>
      <c r="AC4" s="36"/>
      <c r="AD4" s="36"/>
      <c r="AE4" s="36"/>
      <c r="AF4" s="36"/>
      <c r="AG4" s="36"/>
      <c r="AH4" s="36"/>
      <c r="AI4" s="36"/>
      <c r="AJ4" s="36"/>
      <c r="AK4" s="36"/>
      <c r="AL4" s="36"/>
      <c r="AM4" s="36"/>
      <c r="AN4" s="36"/>
      <c r="AO4" s="36"/>
      <c r="AP4" s="36"/>
      <c r="AQ4" s="36"/>
      <c r="AR4" s="36"/>
      <c r="AS4" s="36"/>
      <c r="AT4" s="36"/>
      <c r="AU4" s="34" t="s">
        <v>76</v>
      </c>
      <c r="AV4" s="34" t="s">
        <v>88</v>
      </c>
      <c r="AW4" s="36"/>
      <c r="AX4" s="36"/>
      <c r="AY4" s="36"/>
      <c r="AZ4" s="34" t="s">
        <v>110</v>
      </c>
      <c r="BA4" s="36"/>
      <c r="BB4" s="36"/>
      <c r="BC4" s="36"/>
      <c r="BD4" s="36"/>
      <c r="BE4" s="36"/>
      <c r="BF4" s="36"/>
      <c r="BG4" s="36"/>
      <c r="BH4" s="36"/>
      <c r="BI4" s="36"/>
      <c r="BJ4" s="36"/>
      <c r="BK4" s="36"/>
      <c r="BL4" s="36"/>
      <c r="BM4" s="36"/>
      <c r="BN4" s="36"/>
      <c r="BO4" s="36"/>
      <c r="BP4" s="36"/>
      <c r="BQ4" s="36"/>
    </row>
    <row r="5">
      <c r="A5" s="31">
        <v>46059.5423743287</v>
      </c>
      <c r="B5" s="32">
        <v>46059.0</v>
      </c>
      <c r="C5" s="33">
        <v>0.45486111110949423</v>
      </c>
      <c r="D5" s="34" t="s">
        <v>91</v>
      </c>
      <c r="E5" s="35" t="s">
        <v>362</v>
      </c>
      <c r="F5" s="34">
        <v>150.0</v>
      </c>
      <c r="G5" s="34">
        <v>600.0</v>
      </c>
      <c r="H5" s="34" t="s">
        <v>363</v>
      </c>
      <c r="I5" s="34">
        <v>15000.0</v>
      </c>
      <c r="J5" s="34" t="s">
        <v>167</v>
      </c>
      <c r="K5" s="34" t="s">
        <v>134</v>
      </c>
      <c r="L5" s="34">
        <v>17.0</v>
      </c>
      <c r="M5" s="34">
        <v>10.0</v>
      </c>
      <c r="N5" s="34">
        <v>11.0</v>
      </c>
      <c r="O5" s="34" t="s">
        <v>96</v>
      </c>
      <c r="P5" s="34" t="s">
        <v>76</v>
      </c>
      <c r="Q5" s="34" t="s">
        <v>97</v>
      </c>
      <c r="R5" s="34" t="s">
        <v>76</v>
      </c>
      <c r="S5" s="34" t="s">
        <v>113</v>
      </c>
      <c r="T5" s="36"/>
      <c r="U5" s="34" t="s">
        <v>364</v>
      </c>
      <c r="V5" s="34">
        <v>6.309794222E9</v>
      </c>
      <c r="W5" s="34" t="s">
        <v>344</v>
      </c>
      <c r="X5" s="36"/>
      <c r="Y5" s="36"/>
      <c r="Z5" s="36"/>
      <c r="AA5" s="34" t="s">
        <v>109</v>
      </c>
      <c r="AB5" s="36"/>
      <c r="AC5" s="36"/>
      <c r="AD5" s="36"/>
      <c r="AE5" s="36"/>
      <c r="AF5" s="36"/>
      <c r="AG5" s="36"/>
      <c r="AH5" s="36"/>
      <c r="AI5" s="36"/>
      <c r="AJ5" s="36"/>
      <c r="AK5" s="36"/>
      <c r="AL5" s="36"/>
      <c r="AM5" s="36"/>
      <c r="AN5" s="36"/>
      <c r="AO5" s="36"/>
      <c r="AP5" s="36"/>
      <c r="AQ5" s="36"/>
      <c r="AR5" s="36"/>
      <c r="AS5" s="36"/>
      <c r="AT5" s="36"/>
      <c r="AU5" s="34" t="s">
        <v>76</v>
      </c>
      <c r="AV5" s="34" t="s">
        <v>88</v>
      </c>
      <c r="AW5" s="34" t="s">
        <v>365</v>
      </c>
      <c r="AX5" s="32">
        <v>46069.0</v>
      </c>
      <c r="AY5" s="33">
        <v>0.45833333333575865</v>
      </c>
      <c r="AZ5" s="34" t="s">
        <v>110</v>
      </c>
      <c r="BA5" s="36"/>
      <c r="BB5" s="36"/>
      <c r="BC5" s="36"/>
      <c r="BD5" s="36"/>
      <c r="BE5" s="36"/>
      <c r="BF5" s="36"/>
      <c r="BG5" s="36"/>
      <c r="BH5" s="36"/>
      <c r="BI5" s="36"/>
      <c r="BJ5" s="36"/>
      <c r="BK5" s="36"/>
      <c r="BL5" s="36"/>
      <c r="BM5" s="36"/>
      <c r="BN5" s="36"/>
      <c r="BO5" s="36"/>
      <c r="BP5" s="36"/>
      <c r="BQ5" s="36"/>
    </row>
    <row r="6">
      <c r="A6" s="31">
        <v>46059.58608912037</v>
      </c>
      <c r="B6" s="32">
        <v>46059.0</v>
      </c>
      <c r="C6" s="33">
        <v>0.5833333333357587</v>
      </c>
      <c r="D6" s="34" t="s">
        <v>91</v>
      </c>
      <c r="E6" s="35" t="s">
        <v>366</v>
      </c>
      <c r="F6" s="34">
        <v>320.0</v>
      </c>
      <c r="G6" s="34">
        <v>450.0</v>
      </c>
      <c r="H6" s="34" t="s">
        <v>291</v>
      </c>
      <c r="I6" s="34">
        <v>20000.0</v>
      </c>
      <c r="J6" s="34" t="s">
        <v>167</v>
      </c>
      <c r="K6" s="34" t="s">
        <v>134</v>
      </c>
      <c r="L6" s="34">
        <v>20.0</v>
      </c>
      <c r="M6" s="34">
        <v>20.0</v>
      </c>
      <c r="N6" s="34">
        <v>1.0</v>
      </c>
      <c r="O6" s="34" t="s">
        <v>96</v>
      </c>
      <c r="P6" s="34" t="s">
        <v>76</v>
      </c>
      <c r="Q6" s="34" t="s">
        <v>97</v>
      </c>
      <c r="R6" s="34" t="s">
        <v>76</v>
      </c>
      <c r="S6" s="34" t="s">
        <v>344</v>
      </c>
      <c r="T6" s="36"/>
      <c r="U6" s="34" t="s">
        <v>367</v>
      </c>
      <c r="V6" s="34">
        <v>9.100007676E9</v>
      </c>
      <c r="W6" s="34" t="s">
        <v>368</v>
      </c>
      <c r="X6" s="36"/>
      <c r="Y6" s="36"/>
      <c r="Z6" s="36"/>
      <c r="AA6" s="34" t="s">
        <v>109</v>
      </c>
      <c r="AB6" s="36"/>
      <c r="AC6" s="36"/>
      <c r="AD6" s="36"/>
      <c r="AE6" s="36"/>
      <c r="AF6" s="36"/>
      <c r="AG6" s="36"/>
      <c r="AH6" s="36"/>
      <c r="AI6" s="36"/>
      <c r="AJ6" s="36"/>
      <c r="AK6" s="36"/>
      <c r="AL6" s="36"/>
      <c r="AM6" s="36"/>
      <c r="AN6" s="36"/>
      <c r="AO6" s="36"/>
      <c r="AP6" s="36"/>
      <c r="AQ6" s="36"/>
      <c r="AR6" s="36"/>
      <c r="AS6" s="36"/>
      <c r="AT6" s="36"/>
      <c r="AU6" s="34" t="s">
        <v>76</v>
      </c>
      <c r="AV6" s="34" t="s">
        <v>88</v>
      </c>
      <c r="AW6" s="34" t="s">
        <v>369</v>
      </c>
      <c r="AX6" s="32">
        <v>46064.0</v>
      </c>
      <c r="AY6" s="33">
        <v>0.39583333333575865</v>
      </c>
      <c r="AZ6" s="34" t="s">
        <v>110</v>
      </c>
      <c r="BA6" s="36"/>
      <c r="BB6" s="36"/>
      <c r="BC6" s="36"/>
      <c r="BD6" s="36"/>
      <c r="BE6" s="36"/>
      <c r="BF6" s="36"/>
      <c r="BG6" s="36"/>
      <c r="BH6" s="36"/>
      <c r="BI6" s="36"/>
      <c r="BJ6" s="36"/>
      <c r="BK6" s="36"/>
      <c r="BL6" s="36"/>
      <c r="BM6" s="36"/>
      <c r="BN6" s="36"/>
      <c r="BO6" s="36"/>
      <c r="BP6" s="36"/>
      <c r="BQ6" s="36"/>
    </row>
    <row r="7">
      <c r="A7" s="31">
        <v>46059.666718125</v>
      </c>
      <c r="B7" s="32">
        <v>46059.0</v>
      </c>
      <c r="C7" s="33">
        <v>0.6666666666642413</v>
      </c>
      <c r="D7" s="34" t="s">
        <v>91</v>
      </c>
      <c r="E7" s="35" t="s">
        <v>357</v>
      </c>
      <c r="F7" s="34">
        <v>400.0</v>
      </c>
      <c r="G7" s="34">
        <v>500.0</v>
      </c>
      <c r="H7" s="34" t="s">
        <v>370</v>
      </c>
      <c r="I7" s="34">
        <v>100000.0</v>
      </c>
      <c r="J7" s="34" t="s">
        <v>167</v>
      </c>
      <c r="K7" s="34" t="s">
        <v>134</v>
      </c>
      <c r="L7" s="34">
        <v>20.0</v>
      </c>
      <c r="M7" s="34">
        <v>20.0</v>
      </c>
      <c r="N7" s="34">
        <v>1.0</v>
      </c>
      <c r="O7" s="34" t="s">
        <v>371</v>
      </c>
      <c r="P7" s="34" t="s">
        <v>76</v>
      </c>
      <c r="Q7" s="34" t="s">
        <v>97</v>
      </c>
      <c r="R7" s="34" t="s">
        <v>76</v>
      </c>
      <c r="S7" s="34" t="s">
        <v>344</v>
      </c>
      <c r="T7" s="36"/>
      <c r="U7" s="34" t="s">
        <v>372</v>
      </c>
      <c r="V7" s="34">
        <v>8.249132908E9</v>
      </c>
      <c r="W7" s="34" t="s">
        <v>344</v>
      </c>
      <c r="X7" s="36"/>
      <c r="Y7" s="36"/>
      <c r="Z7" s="36"/>
      <c r="AA7" s="34" t="s">
        <v>109</v>
      </c>
      <c r="AB7" s="36"/>
      <c r="AC7" s="36"/>
      <c r="AD7" s="36"/>
      <c r="AE7" s="36"/>
      <c r="AF7" s="36"/>
      <c r="AG7" s="36"/>
      <c r="AH7" s="36"/>
      <c r="AI7" s="36"/>
      <c r="AJ7" s="36"/>
      <c r="AK7" s="36"/>
      <c r="AL7" s="36"/>
      <c r="AM7" s="36"/>
      <c r="AN7" s="36"/>
      <c r="AO7" s="36"/>
      <c r="AP7" s="36"/>
      <c r="AQ7" s="36"/>
      <c r="AR7" s="36"/>
      <c r="AS7" s="36"/>
      <c r="AT7" s="36"/>
      <c r="AU7" s="34" t="s">
        <v>76</v>
      </c>
      <c r="AV7" s="34" t="s">
        <v>373</v>
      </c>
      <c r="AW7" s="34" t="s">
        <v>374</v>
      </c>
      <c r="AX7" s="32">
        <v>46063.0</v>
      </c>
      <c r="AY7" s="33">
        <v>0.7083333333357587</v>
      </c>
      <c r="AZ7" s="34" t="s">
        <v>110</v>
      </c>
      <c r="BA7" s="36"/>
      <c r="BB7" s="36"/>
      <c r="BC7" s="36"/>
      <c r="BD7" s="36"/>
      <c r="BE7" s="36"/>
      <c r="BF7" s="36"/>
      <c r="BG7" s="36"/>
      <c r="BH7" s="36"/>
      <c r="BI7" s="36"/>
      <c r="BJ7" s="36"/>
      <c r="BK7" s="36"/>
      <c r="BL7" s="36"/>
      <c r="BM7" s="36"/>
      <c r="BN7" s="36"/>
      <c r="BO7" s="36"/>
      <c r="BP7" s="36"/>
      <c r="BQ7" s="36"/>
    </row>
    <row r="8">
      <c r="A8" s="31">
        <v>46063.52611003473</v>
      </c>
      <c r="B8" s="32">
        <v>46063.0</v>
      </c>
      <c r="C8" s="33">
        <v>0.08333333333575865</v>
      </c>
      <c r="D8" s="34" t="s">
        <v>91</v>
      </c>
      <c r="E8" s="35" t="s">
        <v>659</v>
      </c>
      <c r="F8" s="34">
        <v>150.0</v>
      </c>
      <c r="G8" s="34">
        <v>500.0</v>
      </c>
      <c r="H8" s="34" t="s">
        <v>117</v>
      </c>
      <c r="I8" s="34">
        <v>23.0</v>
      </c>
      <c r="J8" s="34" t="s">
        <v>167</v>
      </c>
      <c r="K8" s="34" t="s">
        <v>134</v>
      </c>
      <c r="L8" s="36"/>
      <c r="M8" s="36"/>
      <c r="N8" s="34">
        <v>2.0</v>
      </c>
      <c r="O8" s="34" t="s">
        <v>135</v>
      </c>
      <c r="P8" s="34" t="s">
        <v>109</v>
      </c>
      <c r="Q8" s="34" t="s">
        <v>97</v>
      </c>
      <c r="R8" s="34" t="s">
        <v>76</v>
      </c>
      <c r="S8" s="34" t="s">
        <v>117</v>
      </c>
      <c r="T8" s="36"/>
      <c r="U8" s="34" t="s">
        <v>660</v>
      </c>
      <c r="V8" s="34">
        <v>9.032245891E9</v>
      </c>
      <c r="W8" s="34" t="s">
        <v>113</v>
      </c>
      <c r="X8" s="36"/>
      <c r="Y8" s="36"/>
      <c r="Z8" s="36"/>
      <c r="AA8" s="34" t="s">
        <v>109</v>
      </c>
      <c r="AB8" s="36"/>
      <c r="AC8" s="36"/>
      <c r="AD8" s="36"/>
      <c r="AE8" s="36"/>
      <c r="AF8" s="36"/>
      <c r="AG8" s="36"/>
      <c r="AH8" s="36"/>
      <c r="AI8" s="36"/>
      <c r="AJ8" s="36"/>
      <c r="AK8" s="36"/>
      <c r="AL8" s="36"/>
      <c r="AM8" s="36"/>
      <c r="AN8" s="36"/>
      <c r="AO8" s="36"/>
      <c r="AP8" s="36"/>
      <c r="AQ8" s="36"/>
      <c r="AR8" s="36"/>
      <c r="AS8" s="36"/>
      <c r="AT8" s="36"/>
      <c r="AU8" s="34" t="s">
        <v>76</v>
      </c>
      <c r="AV8" s="34" t="s">
        <v>472</v>
      </c>
      <c r="AW8" s="34" t="s">
        <v>661</v>
      </c>
      <c r="AX8" s="32">
        <v>46063.0</v>
      </c>
      <c r="AY8" s="33">
        <v>0.08333333333575865</v>
      </c>
      <c r="AZ8" s="34" t="s">
        <v>356</v>
      </c>
      <c r="BA8" s="34" t="s">
        <v>458</v>
      </c>
      <c r="BB8" s="34" t="s">
        <v>76</v>
      </c>
      <c r="BC8" s="36"/>
      <c r="BD8" s="36"/>
      <c r="BE8" s="36"/>
      <c r="BF8" s="36"/>
      <c r="BG8" s="36"/>
      <c r="BH8" s="36"/>
      <c r="BI8" s="36"/>
      <c r="BJ8" s="36"/>
      <c r="BK8" s="36"/>
      <c r="BL8" s="34" t="s">
        <v>117</v>
      </c>
      <c r="BM8" s="36"/>
      <c r="BN8" s="34" t="s">
        <v>662</v>
      </c>
      <c r="BO8" s="36"/>
      <c r="BP8" s="36"/>
      <c r="BQ8" s="36"/>
    </row>
    <row r="9">
      <c r="A9" s="31">
        <v>46063.528312870374</v>
      </c>
      <c r="B9" s="32">
        <v>46063.0</v>
      </c>
      <c r="C9" s="33">
        <v>0.0625</v>
      </c>
      <c r="D9" s="34" t="s">
        <v>91</v>
      </c>
      <c r="E9" s="35" t="s">
        <v>663</v>
      </c>
      <c r="F9" s="34">
        <v>150.0</v>
      </c>
      <c r="G9" s="34">
        <v>500.0</v>
      </c>
      <c r="H9" s="34" t="s">
        <v>113</v>
      </c>
      <c r="I9" s="34">
        <v>23.0</v>
      </c>
      <c r="J9" s="34" t="s">
        <v>167</v>
      </c>
      <c r="K9" s="36"/>
      <c r="L9" s="36"/>
      <c r="M9" s="36"/>
      <c r="N9" s="34">
        <v>1.0</v>
      </c>
      <c r="O9" s="34" t="s">
        <v>96</v>
      </c>
      <c r="P9" s="34" t="s">
        <v>76</v>
      </c>
      <c r="Q9" s="34" t="s">
        <v>97</v>
      </c>
      <c r="R9" s="34" t="s">
        <v>76</v>
      </c>
      <c r="S9" s="34" t="s">
        <v>664</v>
      </c>
      <c r="T9" s="36"/>
      <c r="U9" s="34" t="s">
        <v>665</v>
      </c>
      <c r="V9" s="34">
        <v>6.300797895E9</v>
      </c>
      <c r="W9" s="34" t="s">
        <v>113</v>
      </c>
      <c r="X9" s="34" t="s">
        <v>113</v>
      </c>
      <c r="Y9" s="36"/>
      <c r="Z9" s="36"/>
      <c r="AA9" s="34" t="s">
        <v>109</v>
      </c>
      <c r="AB9" s="36"/>
      <c r="AC9" s="36"/>
      <c r="AD9" s="36"/>
      <c r="AE9" s="36"/>
      <c r="AF9" s="36"/>
      <c r="AG9" s="36"/>
      <c r="AH9" s="36"/>
      <c r="AI9" s="36"/>
      <c r="AJ9" s="36"/>
      <c r="AK9" s="36"/>
      <c r="AL9" s="36"/>
      <c r="AM9" s="36"/>
      <c r="AN9" s="36"/>
      <c r="AO9" s="36"/>
      <c r="AP9" s="36"/>
      <c r="AQ9" s="36"/>
      <c r="AR9" s="36"/>
      <c r="AS9" s="36"/>
      <c r="AT9" s="36"/>
      <c r="AU9" s="34" t="s">
        <v>76</v>
      </c>
      <c r="AV9" s="34" t="s">
        <v>472</v>
      </c>
      <c r="AW9" s="34" t="s">
        <v>666</v>
      </c>
      <c r="AX9" s="32">
        <v>46064.0</v>
      </c>
      <c r="AY9" s="33">
        <v>0.5208333333357587</v>
      </c>
      <c r="AZ9" s="34" t="s">
        <v>356</v>
      </c>
      <c r="BA9" s="34" t="s">
        <v>458</v>
      </c>
      <c r="BB9" s="34" t="s">
        <v>76</v>
      </c>
      <c r="BC9" s="36"/>
      <c r="BD9" s="36"/>
      <c r="BE9" s="36"/>
      <c r="BF9" s="36"/>
      <c r="BG9" s="36"/>
      <c r="BH9" s="36"/>
      <c r="BI9" s="36"/>
      <c r="BJ9" s="36"/>
      <c r="BK9" s="36"/>
      <c r="BL9" s="34">
        <v>25.0</v>
      </c>
      <c r="BM9" s="36"/>
      <c r="BN9" s="34" t="s">
        <v>667</v>
      </c>
      <c r="BO9" s="36"/>
      <c r="BP9" s="36"/>
      <c r="BQ9" s="36"/>
    </row>
    <row r="10">
      <c r="A10" s="31">
        <v>46063.601767615735</v>
      </c>
      <c r="B10" s="32">
        <v>46063.0</v>
      </c>
      <c r="C10" s="33">
        <v>0.5972222222189885</v>
      </c>
      <c r="D10" s="34" t="s">
        <v>91</v>
      </c>
      <c r="E10" s="35" t="s">
        <v>678</v>
      </c>
      <c r="F10" s="34">
        <v>130.0</v>
      </c>
      <c r="G10" s="34">
        <v>1500.0</v>
      </c>
      <c r="H10" s="34" t="s">
        <v>117</v>
      </c>
      <c r="I10" s="36"/>
      <c r="J10" s="34" t="s">
        <v>167</v>
      </c>
      <c r="K10" s="34" t="s">
        <v>134</v>
      </c>
      <c r="L10" s="36"/>
      <c r="M10" s="36"/>
      <c r="N10" s="34">
        <v>1.0</v>
      </c>
      <c r="O10" s="34" t="s">
        <v>117</v>
      </c>
      <c r="P10" s="34" t="s">
        <v>109</v>
      </c>
      <c r="Q10" s="34" t="s">
        <v>98</v>
      </c>
      <c r="R10" s="34" t="s">
        <v>109</v>
      </c>
      <c r="S10" s="34" t="s">
        <v>117</v>
      </c>
      <c r="T10" s="36"/>
      <c r="U10" s="34" t="s">
        <v>679</v>
      </c>
      <c r="V10" s="34">
        <v>7.977765789E9</v>
      </c>
      <c r="W10" s="34" t="s">
        <v>117</v>
      </c>
      <c r="X10" s="36"/>
      <c r="Y10" s="36"/>
      <c r="Z10" s="36"/>
      <c r="AA10" s="34" t="s">
        <v>109</v>
      </c>
      <c r="AB10" s="36"/>
      <c r="AC10" s="36"/>
      <c r="AD10" s="36"/>
      <c r="AE10" s="36"/>
      <c r="AF10" s="36"/>
      <c r="AG10" s="36"/>
      <c r="AH10" s="36"/>
      <c r="AI10" s="36"/>
      <c r="AJ10" s="36"/>
      <c r="AK10" s="36"/>
      <c r="AL10" s="36"/>
      <c r="AM10" s="36"/>
      <c r="AN10" s="36"/>
      <c r="AO10" s="36"/>
      <c r="AP10" s="36"/>
      <c r="AQ10" s="36"/>
      <c r="AR10" s="36"/>
      <c r="AS10" s="36"/>
      <c r="AT10" s="36"/>
      <c r="AU10" s="34" t="s">
        <v>76</v>
      </c>
      <c r="AV10" s="34" t="s">
        <v>472</v>
      </c>
      <c r="AW10" s="34" t="s">
        <v>680</v>
      </c>
      <c r="AX10" s="36"/>
      <c r="AY10" s="36"/>
      <c r="AZ10" s="34" t="s">
        <v>287</v>
      </c>
      <c r="BA10" s="34" t="s">
        <v>458</v>
      </c>
      <c r="BB10" s="34" t="s">
        <v>76</v>
      </c>
      <c r="BC10" s="36"/>
      <c r="BD10" s="36"/>
      <c r="BE10" s="36"/>
      <c r="BF10" s="36"/>
      <c r="BG10" s="36"/>
      <c r="BH10" s="36"/>
      <c r="BI10" s="36"/>
      <c r="BJ10" s="36"/>
      <c r="BK10" s="36"/>
      <c r="BL10" s="34" t="s">
        <v>681</v>
      </c>
      <c r="BM10" s="36"/>
      <c r="BN10" s="36"/>
      <c r="BO10" s="36"/>
      <c r="BP10" s="36"/>
      <c r="BQ10" s="36"/>
    </row>
    <row r="11">
      <c r="A11" s="31">
        <v>46063.68675759259</v>
      </c>
      <c r="B11" s="32">
        <v>46063.0</v>
      </c>
      <c r="C11" s="33">
        <v>0.16666666666424135</v>
      </c>
      <c r="D11" s="34" t="s">
        <v>91</v>
      </c>
      <c r="E11" s="35" t="s">
        <v>703</v>
      </c>
      <c r="F11" s="34">
        <v>250.0</v>
      </c>
      <c r="G11" s="34">
        <v>1000.0</v>
      </c>
      <c r="H11" s="34" t="s">
        <v>113</v>
      </c>
      <c r="I11" s="36"/>
      <c r="J11" s="34" t="s">
        <v>167</v>
      </c>
      <c r="K11" s="34" t="s">
        <v>134</v>
      </c>
      <c r="L11" s="34">
        <v>18.0</v>
      </c>
      <c r="M11" s="36"/>
      <c r="N11" s="34">
        <v>4.0</v>
      </c>
      <c r="O11" s="34" t="s">
        <v>96</v>
      </c>
      <c r="P11" s="34" t="s">
        <v>76</v>
      </c>
      <c r="Q11" s="34" t="s">
        <v>97</v>
      </c>
      <c r="R11" s="34" t="s">
        <v>76</v>
      </c>
      <c r="S11" s="34" t="s">
        <v>113</v>
      </c>
      <c r="T11" s="36"/>
      <c r="U11" s="34" t="s">
        <v>702</v>
      </c>
      <c r="V11" s="34">
        <v>7.337001104E9</v>
      </c>
      <c r="W11" s="34" t="s">
        <v>113</v>
      </c>
      <c r="X11" s="36"/>
      <c r="Y11" s="36"/>
      <c r="Z11" s="36"/>
      <c r="AA11" s="34" t="s">
        <v>109</v>
      </c>
      <c r="AB11" s="36"/>
      <c r="AC11" s="36"/>
      <c r="AD11" s="36"/>
      <c r="AE11" s="36"/>
      <c r="AF11" s="36"/>
      <c r="AG11" s="36"/>
      <c r="AH11" s="36"/>
      <c r="AI11" s="36"/>
      <c r="AJ11" s="36"/>
      <c r="AK11" s="36"/>
      <c r="AL11" s="36"/>
      <c r="AM11" s="36"/>
      <c r="AN11" s="36"/>
      <c r="AO11" s="36"/>
      <c r="AP11" s="36"/>
      <c r="AQ11" s="36"/>
      <c r="AR11" s="36"/>
      <c r="AS11" s="36"/>
      <c r="AT11" s="36"/>
      <c r="AU11" s="34" t="s">
        <v>76</v>
      </c>
      <c r="AV11" s="34" t="s">
        <v>472</v>
      </c>
      <c r="AW11" s="36"/>
      <c r="AX11" s="36"/>
      <c r="AY11" s="36"/>
      <c r="AZ11" s="34" t="s">
        <v>539</v>
      </c>
      <c r="BA11" s="34" t="s">
        <v>458</v>
      </c>
      <c r="BB11" s="34" t="s">
        <v>76</v>
      </c>
      <c r="BC11" s="36"/>
      <c r="BD11" s="36"/>
      <c r="BE11" s="36"/>
      <c r="BF11" s="36"/>
      <c r="BG11" s="36"/>
      <c r="BH11" s="36"/>
      <c r="BI11" s="36"/>
      <c r="BJ11" s="36"/>
      <c r="BK11" s="36"/>
      <c r="BL11" s="36"/>
      <c r="BM11" s="36"/>
      <c r="BN11" s="34" t="s">
        <v>692</v>
      </c>
      <c r="BO11" s="36"/>
      <c r="BP11" s="36"/>
      <c r="BQ11" s="36"/>
    </row>
    <row r="12">
      <c r="A12" s="31">
        <v>46063.688723969906</v>
      </c>
      <c r="B12" s="32">
        <v>46063.0</v>
      </c>
      <c r="C12" s="33">
        <v>0.1875</v>
      </c>
      <c r="D12" s="34" t="s">
        <v>91</v>
      </c>
      <c r="E12" s="35" t="s">
        <v>704</v>
      </c>
      <c r="F12" s="34">
        <v>25.0</v>
      </c>
      <c r="G12" s="34">
        <v>400.0</v>
      </c>
      <c r="H12" s="34" t="s">
        <v>113</v>
      </c>
      <c r="I12" s="36"/>
      <c r="J12" s="34" t="s">
        <v>167</v>
      </c>
      <c r="K12" s="34" t="s">
        <v>134</v>
      </c>
      <c r="L12" s="36"/>
      <c r="M12" s="36"/>
      <c r="N12" s="34">
        <v>1.0</v>
      </c>
      <c r="O12" s="34" t="s">
        <v>96</v>
      </c>
      <c r="P12" s="34" t="s">
        <v>76</v>
      </c>
      <c r="Q12" s="34" t="s">
        <v>97</v>
      </c>
      <c r="R12" s="34" t="s">
        <v>76</v>
      </c>
      <c r="S12" s="34" t="s">
        <v>113</v>
      </c>
      <c r="T12" s="36"/>
      <c r="U12" s="34" t="s">
        <v>705</v>
      </c>
      <c r="V12" s="34">
        <v>9.172541254E9</v>
      </c>
      <c r="W12" s="34" t="s">
        <v>113</v>
      </c>
      <c r="X12" s="36"/>
      <c r="Y12" s="36"/>
      <c r="Z12" s="36"/>
      <c r="AA12" s="34" t="s">
        <v>109</v>
      </c>
      <c r="AB12" s="36"/>
      <c r="AC12" s="36"/>
      <c r="AD12" s="36"/>
      <c r="AE12" s="36"/>
      <c r="AF12" s="36"/>
      <c r="AG12" s="36"/>
      <c r="AH12" s="36"/>
      <c r="AI12" s="36"/>
      <c r="AJ12" s="36"/>
      <c r="AK12" s="36"/>
      <c r="AL12" s="36"/>
      <c r="AM12" s="36"/>
      <c r="AN12" s="36"/>
      <c r="AO12" s="36"/>
      <c r="AP12" s="36"/>
      <c r="AQ12" s="36"/>
      <c r="AR12" s="36"/>
      <c r="AS12" s="36"/>
      <c r="AT12" s="36"/>
      <c r="AU12" s="34" t="s">
        <v>76</v>
      </c>
      <c r="AV12" s="34" t="s">
        <v>472</v>
      </c>
      <c r="AW12" s="36"/>
      <c r="AX12" s="32">
        <v>46064.0</v>
      </c>
      <c r="AY12" s="33">
        <v>0.5</v>
      </c>
      <c r="AZ12" s="34" t="s">
        <v>539</v>
      </c>
      <c r="BA12" s="34" t="s">
        <v>458</v>
      </c>
      <c r="BB12" s="34" t="s">
        <v>76</v>
      </c>
      <c r="BC12" s="36"/>
      <c r="BD12" s="36"/>
      <c r="BE12" s="36"/>
      <c r="BF12" s="36"/>
      <c r="BG12" s="36"/>
      <c r="BH12" s="36"/>
      <c r="BI12" s="36"/>
      <c r="BJ12" s="36"/>
      <c r="BK12" s="36"/>
      <c r="BL12" s="36"/>
      <c r="BM12" s="36"/>
      <c r="BN12" s="34" t="s">
        <v>692</v>
      </c>
      <c r="BO12" s="36"/>
      <c r="BP12" s="36"/>
      <c r="BQ12" s="36"/>
    </row>
    <row r="13">
      <c r="A13" s="31">
        <v>46063.70740208333</v>
      </c>
      <c r="B13" s="32">
        <v>46063.0</v>
      </c>
      <c r="C13" s="33">
        <v>0.1875</v>
      </c>
      <c r="D13" s="34" t="s">
        <v>91</v>
      </c>
      <c r="E13" s="35" t="s">
        <v>711</v>
      </c>
      <c r="F13" s="34">
        <v>120.0</v>
      </c>
      <c r="G13" s="34">
        <v>600.0</v>
      </c>
      <c r="H13" s="34" t="s">
        <v>509</v>
      </c>
      <c r="I13" s="34">
        <v>600000.0</v>
      </c>
      <c r="J13" s="34" t="s">
        <v>167</v>
      </c>
      <c r="K13" s="34" t="s">
        <v>515</v>
      </c>
      <c r="L13" s="34">
        <v>15.0</v>
      </c>
      <c r="M13" s="34">
        <v>12.0</v>
      </c>
      <c r="N13" s="34">
        <v>4.0</v>
      </c>
      <c r="O13" s="34" t="s">
        <v>96</v>
      </c>
      <c r="P13" s="34" t="s">
        <v>76</v>
      </c>
      <c r="Q13" s="34" t="s">
        <v>97</v>
      </c>
      <c r="R13" s="34" t="s">
        <v>76</v>
      </c>
      <c r="S13" s="34" t="s">
        <v>344</v>
      </c>
      <c r="T13" s="36"/>
      <c r="U13" s="34" t="s">
        <v>712</v>
      </c>
      <c r="V13" s="34">
        <v>9.95902031E9</v>
      </c>
      <c r="W13" s="34" t="s">
        <v>713</v>
      </c>
      <c r="X13" s="36"/>
      <c r="Y13" s="36"/>
      <c r="Z13" s="36"/>
      <c r="AA13" s="34" t="s">
        <v>109</v>
      </c>
      <c r="AB13" s="36"/>
      <c r="AC13" s="36"/>
      <c r="AD13" s="36"/>
      <c r="AE13" s="36"/>
      <c r="AF13" s="36"/>
      <c r="AG13" s="36"/>
      <c r="AH13" s="36"/>
      <c r="AI13" s="36"/>
      <c r="AJ13" s="36"/>
      <c r="AK13" s="36"/>
      <c r="AL13" s="36"/>
      <c r="AM13" s="36"/>
      <c r="AN13" s="36"/>
      <c r="AO13" s="36"/>
      <c r="AP13" s="36"/>
      <c r="AQ13" s="36"/>
      <c r="AR13" s="36"/>
      <c r="AS13" s="36"/>
      <c r="AT13" s="36"/>
      <c r="AU13" s="34" t="s">
        <v>76</v>
      </c>
      <c r="AV13" s="34" t="s">
        <v>373</v>
      </c>
      <c r="AW13" s="34" t="s">
        <v>574</v>
      </c>
      <c r="AX13" s="36"/>
      <c r="AY13" s="36"/>
      <c r="AZ13" s="34" t="s">
        <v>110</v>
      </c>
      <c r="BA13" s="34" t="s">
        <v>491</v>
      </c>
      <c r="BB13" s="36"/>
      <c r="BC13" s="36"/>
      <c r="BD13" s="36"/>
      <c r="BE13" s="36"/>
      <c r="BF13" s="36"/>
      <c r="BG13" s="36"/>
      <c r="BH13" s="36"/>
      <c r="BI13" s="36"/>
      <c r="BJ13" s="36"/>
      <c r="BK13" s="36"/>
      <c r="BL13" s="36"/>
      <c r="BM13" s="36"/>
      <c r="BN13" s="34" t="s">
        <v>714</v>
      </c>
      <c r="BO13" s="36"/>
      <c r="BP13" s="36"/>
      <c r="BQ13" s="36"/>
    </row>
    <row r="14">
      <c r="A14" s="31">
        <v>46063.71282648148</v>
      </c>
      <c r="B14" s="32">
        <v>46063.0</v>
      </c>
      <c r="C14" s="33">
        <v>0.7083333333357587</v>
      </c>
      <c r="D14" s="34" t="s">
        <v>91</v>
      </c>
      <c r="E14" s="35" t="s">
        <v>715</v>
      </c>
      <c r="F14" s="34">
        <v>80.0</v>
      </c>
      <c r="G14" s="34">
        <v>500.0</v>
      </c>
      <c r="H14" s="34" t="s">
        <v>117</v>
      </c>
      <c r="I14" s="36"/>
      <c r="J14" s="34" t="s">
        <v>167</v>
      </c>
      <c r="K14" s="34" t="s">
        <v>134</v>
      </c>
      <c r="L14" s="36"/>
      <c r="M14" s="36"/>
      <c r="N14" s="34">
        <v>1.0</v>
      </c>
      <c r="O14" s="34" t="s">
        <v>117</v>
      </c>
      <c r="P14" s="34" t="s">
        <v>109</v>
      </c>
      <c r="Q14" s="34" t="s">
        <v>98</v>
      </c>
      <c r="R14" s="34" t="s">
        <v>109</v>
      </c>
      <c r="S14" s="34" t="s">
        <v>117</v>
      </c>
      <c r="T14" s="36"/>
      <c r="U14" s="34" t="s">
        <v>716</v>
      </c>
      <c r="V14" s="34">
        <v>7.075777491E9</v>
      </c>
      <c r="W14" s="34" t="s">
        <v>117</v>
      </c>
      <c r="X14" s="36"/>
      <c r="Y14" s="36"/>
      <c r="Z14" s="36"/>
      <c r="AA14" s="34" t="s">
        <v>109</v>
      </c>
      <c r="AB14" s="36"/>
      <c r="AC14" s="36"/>
      <c r="AD14" s="36"/>
      <c r="AE14" s="36"/>
      <c r="AF14" s="36"/>
      <c r="AG14" s="36"/>
      <c r="AH14" s="36"/>
      <c r="AI14" s="36"/>
      <c r="AJ14" s="36"/>
      <c r="AK14" s="36"/>
      <c r="AL14" s="36"/>
      <c r="AM14" s="36"/>
      <c r="AN14" s="36"/>
      <c r="AO14" s="36"/>
      <c r="AP14" s="36"/>
      <c r="AQ14" s="36"/>
      <c r="AR14" s="36"/>
      <c r="AS14" s="36"/>
      <c r="AT14" s="36"/>
      <c r="AU14" s="34" t="s">
        <v>76</v>
      </c>
      <c r="AV14" s="34" t="s">
        <v>472</v>
      </c>
      <c r="AW14" s="36"/>
      <c r="AX14" s="36"/>
      <c r="AY14" s="36"/>
      <c r="AZ14" s="34" t="s">
        <v>287</v>
      </c>
      <c r="BA14" s="34" t="s">
        <v>458</v>
      </c>
      <c r="BB14" s="34" t="s">
        <v>76</v>
      </c>
      <c r="BC14" s="36"/>
      <c r="BD14" s="36"/>
      <c r="BE14" s="36"/>
      <c r="BF14" s="36"/>
      <c r="BG14" s="36"/>
      <c r="BH14" s="36"/>
      <c r="BI14" s="36"/>
      <c r="BJ14" s="36"/>
      <c r="BK14" s="36"/>
      <c r="BL14" s="36"/>
      <c r="BM14" s="36"/>
      <c r="BN14" s="36"/>
      <c r="BO14" s="36"/>
      <c r="BP14" s="36"/>
      <c r="BQ14" s="36"/>
    </row>
    <row r="15">
      <c r="A15" s="31">
        <v>46063.71598623843</v>
      </c>
      <c r="B15" s="32">
        <v>46063.0</v>
      </c>
      <c r="C15" s="33">
        <v>0.7138888888875954</v>
      </c>
      <c r="D15" s="34" t="s">
        <v>91</v>
      </c>
      <c r="E15" s="35" t="s">
        <v>719</v>
      </c>
      <c r="F15" s="34">
        <v>120.0</v>
      </c>
      <c r="G15" s="34">
        <v>500.0</v>
      </c>
      <c r="H15" s="34" t="s">
        <v>416</v>
      </c>
      <c r="I15" s="36"/>
      <c r="J15" s="34" t="s">
        <v>167</v>
      </c>
      <c r="K15" s="34" t="s">
        <v>134</v>
      </c>
      <c r="L15" s="36"/>
      <c r="M15" s="36"/>
      <c r="N15" s="34">
        <v>1.0</v>
      </c>
      <c r="O15" s="34" t="s">
        <v>416</v>
      </c>
      <c r="P15" s="34" t="s">
        <v>76</v>
      </c>
      <c r="Q15" s="34" t="s">
        <v>97</v>
      </c>
      <c r="R15" s="34" t="s">
        <v>109</v>
      </c>
      <c r="S15" s="34" t="s">
        <v>388</v>
      </c>
      <c r="T15" s="36"/>
      <c r="U15" s="34" t="s">
        <v>720</v>
      </c>
      <c r="V15" s="34">
        <v>9.140523292E9</v>
      </c>
      <c r="W15" s="34" t="s">
        <v>388</v>
      </c>
      <c r="X15" s="36"/>
      <c r="Y15" s="36"/>
      <c r="Z15" s="36"/>
      <c r="AA15" s="34" t="s">
        <v>109</v>
      </c>
      <c r="AB15" s="36"/>
      <c r="AC15" s="36"/>
      <c r="AD15" s="36"/>
      <c r="AE15" s="36"/>
      <c r="AF15" s="36"/>
      <c r="AG15" s="36"/>
      <c r="AH15" s="36"/>
      <c r="AI15" s="36"/>
      <c r="AJ15" s="36"/>
      <c r="AK15" s="36"/>
      <c r="AL15" s="36"/>
      <c r="AM15" s="36"/>
      <c r="AN15" s="36"/>
      <c r="AO15" s="36"/>
      <c r="AP15" s="36"/>
      <c r="AQ15" s="36"/>
      <c r="AR15" s="36"/>
      <c r="AS15" s="36"/>
      <c r="AT15" s="36"/>
      <c r="AU15" s="34" t="s">
        <v>76</v>
      </c>
      <c r="AV15" s="34" t="s">
        <v>271</v>
      </c>
      <c r="AW15" s="34" t="s">
        <v>721</v>
      </c>
      <c r="AX15" s="36"/>
      <c r="AY15" s="36"/>
      <c r="AZ15" s="34" t="s">
        <v>243</v>
      </c>
      <c r="BA15" s="34" t="s">
        <v>458</v>
      </c>
      <c r="BB15" s="34" t="s">
        <v>76</v>
      </c>
      <c r="BC15" s="36"/>
      <c r="BD15" s="36"/>
      <c r="BE15" s="36"/>
      <c r="BF15" s="36"/>
      <c r="BG15" s="36"/>
      <c r="BH15" s="36"/>
      <c r="BI15" s="36"/>
      <c r="BJ15" s="36"/>
      <c r="BK15" s="36"/>
      <c r="BL15" s="36"/>
      <c r="BM15" s="36"/>
      <c r="BN15" s="36"/>
      <c r="BO15" s="36"/>
      <c r="BP15" s="36"/>
      <c r="BQ15" s="36"/>
    </row>
    <row r="16">
      <c r="A16" s="31">
        <v>46063.72748364584</v>
      </c>
      <c r="B16" s="32">
        <v>46063.0</v>
      </c>
      <c r="C16" s="33">
        <v>0.7256944444452529</v>
      </c>
      <c r="D16" s="34" t="s">
        <v>91</v>
      </c>
      <c r="E16" s="35" t="s">
        <v>725</v>
      </c>
      <c r="F16" s="34">
        <v>60.0</v>
      </c>
      <c r="G16" s="34">
        <v>400.0</v>
      </c>
      <c r="H16" s="34" t="s">
        <v>117</v>
      </c>
      <c r="I16" s="36"/>
      <c r="J16" s="34" t="s">
        <v>167</v>
      </c>
      <c r="K16" s="34" t="s">
        <v>134</v>
      </c>
      <c r="L16" s="36"/>
      <c r="M16" s="36"/>
      <c r="N16" s="34">
        <v>1.0</v>
      </c>
      <c r="O16" s="34" t="s">
        <v>117</v>
      </c>
      <c r="P16" s="34" t="s">
        <v>76</v>
      </c>
      <c r="Q16" s="34" t="s">
        <v>97</v>
      </c>
      <c r="R16" s="34" t="s">
        <v>76</v>
      </c>
      <c r="S16" s="34" t="s">
        <v>117</v>
      </c>
      <c r="T16" s="36"/>
      <c r="U16" s="34" t="s">
        <v>726</v>
      </c>
      <c r="V16" s="34">
        <v>9.392857604E9</v>
      </c>
      <c r="W16" s="34" t="s">
        <v>388</v>
      </c>
      <c r="X16" s="36"/>
      <c r="Y16" s="36"/>
      <c r="Z16" s="36"/>
      <c r="AA16" s="34" t="s">
        <v>109</v>
      </c>
      <c r="AB16" s="36"/>
      <c r="AC16" s="36"/>
      <c r="AD16" s="36"/>
      <c r="AE16" s="36"/>
      <c r="AF16" s="36"/>
      <c r="AG16" s="36"/>
      <c r="AH16" s="36"/>
      <c r="AI16" s="36"/>
      <c r="AJ16" s="36"/>
      <c r="AK16" s="36"/>
      <c r="AL16" s="36"/>
      <c r="AM16" s="36"/>
      <c r="AN16" s="36"/>
      <c r="AO16" s="36"/>
      <c r="AP16" s="36"/>
      <c r="AQ16" s="36"/>
      <c r="AR16" s="36"/>
      <c r="AS16" s="36"/>
      <c r="AT16" s="36"/>
      <c r="AU16" s="34" t="s">
        <v>76</v>
      </c>
      <c r="AV16" s="34" t="s">
        <v>271</v>
      </c>
      <c r="AW16" s="34" t="s">
        <v>690</v>
      </c>
      <c r="AX16" s="36"/>
      <c r="AY16" s="36"/>
      <c r="AZ16" s="34" t="s">
        <v>243</v>
      </c>
      <c r="BA16" s="34" t="s">
        <v>458</v>
      </c>
      <c r="BB16" s="34" t="s">
        <v>76</v>
      </c>
      <c r="BC16" s="36"/>
      <c r="BD16" s="36"/>
      <c r="BE16" s="36"/>
      <c r="BF16" s="36"/>
      <c r="BG16" s="36"/>
      <c r="BH16" s="36"/>
      <c r="BI16" s="36"/>
      <c r="BJ16" s="36"/>
      <c r="BK16" s="36"/>
      <c r="BL16" s="36"/>
      <c r="BM16" s="36"/>
      <c r="BN16" s="36"/>
      <c r="BO16" s="36"/>
      <c r="BP16" s="36"/>
      <c r="BQ16" s="36"/>
    </row>
    <row r="17">
      <c r="A17" s="31">
        <v>46064.55428921296</v>
      </c>
      <c r="B17" s="32">
        <v>46064.0</v>
      </c>
      <c r="C17" s="33">
        <v>0.5444444444437977</v>
      </c>
      <c r="D17" s="34" t="s">
        <v>91</v>
      </c>
      <c r="E17" s="35" t="s">
        <v>786</v>
      </c>
      <c r="F17" s="34">
        <v>1.0</v>
      </c>
      <c r="G17" s="34">
        <v>500.0</v>
      </c>
      <c r="H17" s="34" t="s">
        <v>117</v>
      </c>
      <c r="I17" s="36"/>
      <c r="J17" s="34" t="s">
        <v>167</v>
      </c>
      <c r="K17" s="36"/>
      <c r="L17" s="36"/>
      <c r="M17" s="36"/>
      <c r="N17" s="34">
        <v>1.0</v>
      </c>
      <c r="O17" s="34" t="s">
        <v>117</v>
      </c>
      <c r="P17" s="34" t="s">
        <v>76</v>
      </c>
      <c r="Q17" s="34" t="s">
        <v>97</v>
      </c>
      <c r="R17" s="34" t="s">
        <v>76</v>
      </c>
      <c r="S17" s="34" t="s">
        <v>117</v>
      </c>
      <c r="T17" s="36"/>
      <c r="U17" s="34" t="s">
        <v>787</v>
      </c>
      <c r="V17" s="34">
        <v>9.052253253E9</v>
      </c>
      <c r="W17" s="34" t="s">
        <v>388</v>
      </c>
      <c r="X17" s="36"/>
      <c r="Y17" s="36"/>
      <c r="Z17" s="36"/>
      <c r="AA17" s="34" t="s">
        <v>109</v>
      </c>
      <c r="AB17" s="36"/>
      <c r="AC17" s="36"/>
      <c r="AD17" s="36"/>
      <c r="AE17" s="36"/>
      <c r="AF17" s="36"/>
      <c r="AG17" s="36"/>
      <c r="AH17" s="36"/>
      <c r="AI17" s="36"/>
      <c r="AJ17" s="36"/>
      <c r="AK17" s="36"/>
      <c r="AL17" s="36"/>
      <c r="AM17" s="36"/>
      <c r="AN17" s="36"/>
      <c r="AO17" s="36"/>
      <c r="AP17" s="36"/>
      <c r="AQ17" s="36"/>
      <c r="AR17" s="36"/>
      <c r="AS17" s="36"/>
      <c r="AT17" s="36"/>
      <c r="AU17" s="34" t="s">
        <v>76</v>
      </c>
      <c r="AV17" s="34" t="s">
        <v>271</v>
      </c>
      <c r="AW17" s="36"/>
      <c r="AX17" s="36"/>
      <c r="AY17" s="36"/>
      <c r="AZ17" s="34" t="s">
        <v>287</v>
      </c>
      <c r="BA17" s="34" t="s">
        <v>458</v>
      </c>
      <c r="BB17" s="34" t="s">
        <v>76</v>
      </c>
      <c r="BC17" s="36"/>
      <c r="BD17" s="36"/>
      <c r="BE17" s="36"/>
      <c r="BF17" s="36"/>
      <c r="BG17" s="36"/>
      <c r="BH17" s="36"/>
      <c r="BI17" s="36"/>
      <c r="BJ17" s="36"/>
      <c r="BK17" s="36"/>
      <c r="BL17" s="36"/>
      <c r="BM17" s="36"/>
      <c r="BN17" s="36"/>
      <c r="BO17" s="36"/>
      <c r="BP17" s="36"/>
      <c r="BQ17" s="36"/>
    </row>
    <row r="18">
      <c r="A18" s="31">
        <v>46064.90872173611</v>
      </c>
      <c r="B18" s="32">
        <v>46053.0</v>
      </c>
      <c r="C18" s="33">
        <v>0.0743055555576575</v>
      </c>
      <c r="D18" s="34" t="s">
        <v>91</v>
      </c>
      <c r="E18" s="35" t="s">
        <v>886</v>
      </c>
      <c r="F18" s="34">
        <v>10.0</v>
      </c>
      <c r="G18" s="34">
        <v>500.0</v>
      </c>
      <c r="H18" s="34" t="s">
        <v>113</v>
      </c>
      <c r="I18" s="36"/>
      <c r="J18" s="34" t="s">
        <v>167</v>
      </c>
      <c r="K18" s="34" t="s">
        <v>134</v>
      </c>
      <c r="L18" s="36"/>
      <c r="M18" s="36"/>
      <c r="N18" s="34">
        <v>1.0</v>
      </c>
      <c r="O18" s="34" t="s">
        <v>96</v>
      </c>
      <c r="P18" s="34" t="s">
        <v>76</v>
      </c>
      <c r="Q18" s="34" t="s">
        <v>97</v>
      </c>
      <c r="R18" s="34" t="s">
        <v>76</v>
      </c>
      <c r="S18" s="34" t="s">
        <v>113</v>
      </c>
      <c r="T18" s="36"/>
      <c r="U18" s="34" t="s">
        <v>887</v>
      </c>
      <c r="V18" s="34">
        <v>8.939369888E9</v>
      </c>
      <c r="W18" s="34" t="s">
        <v>888</v>
      </c>
      <c r="X18" s="36"/>
      <c r="Y18" s="36"/>
      <c r="Z18" s="36"/>
      <c r="AA18" s="34" t="s">
        <v>109</v>
      </c>
      <c r="AB18" s="36"/>
      <c r="AC18" s="36"/>
      <c r="AD18" s="36"/>
      <c r="AE18" s="36"/>
      <c r="AF18" s="36"/>
      <c r="AG18" s="36"/>
      <c r="AH18" s="36"/>
      <c r="AI18" s="36"/>
      <c r="AJ18" s="36"/>
      <c r="AK18" s="36"/>
      <c r="AL18" s="36"/>
      <c r="AM18" s="36"/>
      <c r="AN18" s="36"/>
      <c r="AO18" s="36"/>
      <c r="AP18" s="36"/>
      <c r="AQ18" s="36"/>
      <c r="AR18" s="36"/>
      <c r="AS18" s="36"/>
      <c r="AT18" s="36"/>
      <c r="AU18" s="34" t="s">
        <v>76</v>
      </c>
      <c r="AV18" s="34" t="s">
        <v>472</v>
      </c>
      <c r="AW18" s="36"/>
      <c r="AX18" s="36"/>
      <c r="AY18" s="36"/>
      <c r="AZ18" s="34" t="s">
        <v>539</v>
      </c>
      <c r="BA18" s="34" t="s">
        <v>458</v>
      </c>
      <c r="BB18" s="34" t="s">
        <v>76</v>
      </c>
      <c r="BC18" s="36"/>
      <c r="BD18" s="36"/>
      <c r="BE18" s="36"/>
      <c r="BF18" s="36"/>
      <c r="BG18" s="36"/>
      <c r="BH18" s="36"/>
      <c r="BI18" s="36"/>
      <c r="BJ18" s="36"/>
      <c r="BK18" s="36"/>
      <c r="BL18" s="36"/>
      <c r="BM18" s="36"/>
      <c r="BN18" s="34" t="s">
        <v>889</v>
      </c>
      <c r="BO18" s="36"/>
      <c r="BP18" s="36"/>
      <c r="BQ18" s="36"/>
    </row>
    <row r="19">
      <c r="A19" s="31">
        <v>46064.91016530093</v>
      </c>
      <c r="B19" s="32">
        <v>46053.0</v>
      </c>
      <c r="C19" s="33">
        <v>0.10416666666424135</v>
      </c>
      <c r="D19" s="34" t="s">
        <v>91</v>
      </c>
      <c r="E19" s="35" t="s">
        <v>890</v>
      </c>
      <c r="F19" s="34">
        <v>1.0</v>
      </c>
      <c r="G19" s="34">
        <v>600.0</v>
      </c>
      <c r="H19" s="34" t="s">
        <v>117</v>
      </c>
      <c r="I19" s="36"/>
      <c r="J19" s="34" t="s">
        <v>167</v>
      </c>
      <c r="K19" s="34" t="s">
        <v>134</v>
      </c>
      <c r="L19" s="36"/>
      <c r="M19" s="36"/>
      <c r="N19" s="34">
        <v>1.0</v>
      </c>
      <c r="O19" s="34" t="s">
        <v>96</v>
      </c>
      <c r="P19" s="34" t="s">
        <v>76</v>
      </c>
      <c r="Q19" s="34" t="s">
        <v>97</v>
      </c>
      <c r="R19" s="34" t="s">
        <v>76</v>
      </c>
      <c r="S19" s="34" t="s">
        <v>117</v>
      </c>
      <c r="T19" s="36"/>
      <c r="U19" s="34" t="s">
        <v>891</v>
      </c>
      <c r="V19" s="34">
        <v>9.885199151E9</v>
      </c>
      <c r="W19" s="34" t="s">
        <v>117</v>
      </c>
      <c r="X19" s="36"/>
      <c r="Y19" s="36"/>
      <c r="Z19" s="36"/>
      <c r="AA19" s="34" t="s">
        <v>109</v>
      </c>
      <c r="AB19" s="36"/>
      <c r="AC19" s="36"/>
      <c r="AD19" s="36"/>
      <c r="AE19" s="36"/>
      <c r="AF19" s="36"/>
      <c r="AG19" s="36"/>
      <c r="AH19" s="36"/>
      <c r="AI19" s="36"/>
      <c r="AJ19" s="36"/>
      <c r="AK19" s="36"/>
      <c r="AL19" s="36"/>
      <c r="AM19" s="36"/>
      <c r="AN19" s="36"/>
      <c r="AO19" s="36"/>
      <c r="AP19" s="36"/>
      <c r="AQ19" s="36"/>
      <c r="AR19" s="36"/>
      <c r="AS19" s="36"/>
      <c r="AT19" s="36"/>
      <c r="AU19" s="34" t="s">
        <v>76</v>
      </c>
      <c r="AV19" s="34" t="s">
        <v>472</v>
      </c>
      <c r="AW19" s="36"/>
      <c r="AX19" s="36"/>
      <c r="AY19" s="36"/>
      <c r="AZ19" s="34" t="s">
        <v>539</v>
      </c>
      <c r="BA19" s="34" t="s">
        <v>458</v>
      </c>
      <c r="BB19" s="34" t="s">
        <v>76</v>
      </c>
      <c r="BC19" s="36"/>
      <c r="BD19" s="36"/>
      <c r="BE19" s="36"/>
      <c r="BF19" s="36"/>
      <c r="BG19" s="36"/>
      <c r="BH19" s="36"/>
      <c r="BI19" s="36"/>
      <c r="BJ19" s="36"/>
      <c r="BK19" s="36"/>
      <c r="BL19" s="36"/>
      <c r="BM19" s="36"/>
      <c r="BN19" s="34" t="s">
        <v>892</v>
      </c>
      <c r="BO19" s="36"/>
      <c r="BP19" s="36"/>
      <c r="BQ19" s="36"/>
    </row>
    <row r="20">
      <c r="A20" s="31">
        <v>46065.19476912037</v>
      </c>
      <c r="B20" s="32">
        <v>46064.0</v>
      </c>
      <c r="C20" s="33">
        <v>0.6666666666642413</v>
      </c>
      <c r="D20" s="34" t="s">
        <v>91</v>
      </c>
      <c r="E20" s="35" t="s">
        <v>951</v>
      </c>
      <c r="F20" s="34">
        <v>50.0</v>
      </c>
      <c r="G20" s="34">
        <v>500.0</v>
      </c>
      <c r="H20" s="34" t="s">
        <v>388</v>
      </c>
      <c r="I20" s="34">
        <v>50000.0</v>
      </c>
      <c r="J20" s="34" t="s">
        <v>167</v>
      </c>
      <c r="K20" s="34" t="s">
        <v>134</v>
      </c>
      <c r="L20" s="34">
        <v>22.0</v>
      </c>
      <c r="M20" s="34">
        <v>19.0</v>
      </c>
      <c r="N20" s="34">
        <v>2.0</v>
      </c>
      <c r="O20" s="34" t="s">
        <v>96</v>
      </c>
      <c r="P20" s="34" t="s">
        <v>76</v>
      </c>
      <c r="Q20" s="34" t="s">
        <v>97</v>
      </c>
      <c r="R20" s="34" t="s">
        <v>109</v>
      </c>
      <c r="S20" s="34" t="s">
        <v>388</v>
      </c>
      <c r="T20" s="36"/>
      <c r="U20" s="34" t="s">
        <v>952</v>
      </c>
      <c r="V20" s="34">
        <v>8.688995094E9</v>
      </c>
      <c r="W20" s="34" t="s">
        <v>388</v>
      </c>
      <c r="X20" s="36"/>
      <c r="Y20" s="36"/>
      <c r="Z20" s="36"/>
      <c r="AA20" s="34" t="s">
        <v>109</v>
      </c>
      <c r="AB20" s="36"/>
      <c r="AC20" s="36"/>
      <c r="AD20" s="36"/>
      <c r="AE20" s="36"/>
      <c r="AF20" s="36"/>
      <c r="AG20" s="36"/>
      <c r="AH20" s="36"/>
      <c r="AI20" s="36"/>
      <c r="AJ20" s="36"/>
      <c r="AK20" s="36"/>
      <c r="AL20" s="36"/>
      <c r="AM20" s="36"/>
      <c r="AN20" s="36"/>
      <c r="AO20" s="36"/>
      <c r="AP20" s="36"/>
      <c r="AQ20" s="36"/>
      <c r="AR20" s="36"/>
      <c r="AS20" s="36"/>
      <c r="AT20" s="36"/>
      <c r="AU20" s="34" t="s">
        <v>76</v>
      </c>
      <c r="AV20" s="34" t="s">
        <v>271</v>
      </c>
      <c r="AW20" s="36"/>
      <c r="AX20" s="32">
        <v>46065.0</v>
      </c>
      <c r="AY20" s="33">
        <v>0.625</v>
      </c>
      <c r="AZ20" s="34" t="s">
        <v>131</v>
      </c>
      <c r="BA20" s="34" t="s">
        <v>458</v>
      </c>
      <c r="BB20" s="34" t="s">
        <v>76</v>
      </c>
      <c r="BC20" s="36"/>
      <c r="BD20" s="36"/>
      <c r="BE20" s="36"/>
      <c r="BF20" s="36"/>
      <c r="BG20" s="36"/>
      <c r="BH20" s="36"/>
      <c r="BI20" s="36"/>
      <c r="BJ20" s="36"/>
      <c r="BK20" s="36"/>
      <c r="BL20" s="34">
        <v>50.0</v>
      </c>
      <c r="BM20" s="36"/>
      <c r="BN20" s="34" t="s">
        <v>865</v>
      </c>
      <c r="BO20" s="36"/>
      <c r="BP20" s="36"/>
      <c r="BQ20" s="36"/>
    </row>
    <row r="21">
      <c r="A21" s="31">
        <v>46066.52309540509</v>
      </c>
      <c r="B21" s="32">
        <v>46066.0</v>
      </c>
      <c r="C21" s="33">
        <v>0.5215277777751908</v>
      </c>
      <c r="D21" s="34" t="s">
        <v>91</v>
      </c>
      <c r="E21" s="35" t="s">
        <v>1350</v>
      </c>
      <c r="F21" s="34">
        <v>60.0</v>
      </c>
      <c r="G21" s="34">
        <v>500.0</v>
      </c>
      <c r="H21" s="34" t="s">
        <v>388</v>
      </c>
      <c r="I21" s="36"/>
      <c r="J21" s="34" t="s">
        <v>167</v>
      </c>
      <c r="K21" s="34" t="s">
        <v>134</v>
      </c>
      <c r="L21" s="36"/>
      <c r="M21" s="36"/>
      <c r="N21" s="34">
        <v>1.0</v>
      </c>
      <c r="O21" s="34" t="s">
        <v>388</v>
      </c>
      <c r="P21" s="34" t="s">
        <v>76</v>
      </c>
      <c r="Q21" s="34" t="s">
        <v>97</v>
      </c>
      <c r="R21" s="34" t="s">
        <v>98</v>
      </c>
      <c r="S21" s="34" t="s">
        <v>1347</v>
      </c>
      <c r="T21" s="36"/>
      <c r="U21" s="34" t="s">
        <v>1348</v>
      </c>
      <c r="V21" s="34">
        <v>8.319942382E9</v>
      </c>
      <c r="W21" s="34" t="s">
        <v>388</v>
      </c>
      <c r="X21" s="36"/>
      <c r="Y21" s="36"/>
      <c r="Z21" s="36"/>
      <c r="AA21" s="34" t="s">
        <v>109</v>
      </c>
      <c r="AB21" s="36"/>
      <c r="AC21" s="36"/>
      <c r="AD21" s="36"/>
      <c r="AE21" s="36"/>
      <c r="AF21" s="36"/>
      <c r="AG21" s="36"/>
      <c r="AH21" s="36"/>
      <c r="AI21" s="36"/>
      <c r="AJ21" s="36"/>
      <c r="AK21" s="36"/>
      <c r="AL21" s="36"/>
      <c r="AM21" s="36"/>
      <c r="AN21" s="36"/>
      <c r="AO21" s="36"/>
      <c r="AP21" s="36"/>
      <c r="AQ21" s="36"/>
      <c r="AR21" s="36"/>
      <c r="AS21" s="36"/>
      <c r="AT21" s="36"/>
      <c r="AU21" s="34" t="s">
        <v>76</v>
      </c>
      <c r="AV21" s="34" t="s">
        <v>472</v>
      </c>
      <c r="AW21" s="34" t="s">
        <v>1349</v>
      </c>
      <c r="AX21" s="36"/>
      <c r="AY21" s="36"/>
      <c r="AZ21" s="34" t="s">
        <v>243</v>
      </c>
      <c r="BA21" s="34" t="s">
        <v>458</v>
      </c>
      <c r="BB21" s="34" t="s">
        <v>76</v>
      </c>
      <c r="BC21" s="36"/>
      <c r="BD21" s="36"/>
      <c r="BE21" s="36"/>
      <c r="BF21" s="36"/>
      <c r="BG21" s="36"/>
      <c r="BH21" s="36"/>
      <c r="BI21" s="36"/>
      <c r="BJ21" s="36"/>
      <c r="BK21" s="36"/>
      <c r="BL21" s="36"/>
      <c r="BM21" s="36"/>
      <c r="BN21" s="36"/>
      <c r="BO21" s="36"/>
      <c r="BP21" s="34" t="s">
        <v>1350</v>
      </c>
      <c r="BQ21" s="36"/>
    </row>
    <row r="22">
      <c r="A22" s="31">
        <v>46066.56083524306</v>
      </c>
      <c r="B22" s="32">
        <v>46066.0</v>
      </c>
      <c r="C22" s="33">
        <v>0.5208333333357587</v>
      </c>
      <c r="D22" s="34" t="s">
        <v>91</v>
      </c>
      <c r="E22" s="35" t="s">
        <v>1364</v>
      </c>
      <c r="F22" s="34">
        <v>250.0</v>
      </c>
      <c r="G22" s="34">
        <v>500.0</v>
      </c>
      <c r="H22" s="34" t="s">
        <v>388</v>
      </c>
      <c r="I22" s="34">
        <v>70000.0</v>
      </c>
      <c r="J22" s="34" t="s">
        <v>167</v>
      </c>
      <c r="K22" s="34" t="s">
        <v>134</v>
      </c>
      <c r="L22" s="36"/>
      <c r="M22" s="36"/>
      <c r="N22" s="34">
        <v>1.0</v>
      </c>
      <c r="O22" s="34" t="s">
        <v>371</v>
      </c>
      <c r="P22" s="34" t="s">
        <v>76</v>
      </c>
      <c r="Q22" s="34" t="s">
        <v>97</v>
      </c>
      <c r="R22" s="34" t="s">
        <v>76</v>
      </c>
      <c r="S22" s="37" t="s">
        <v>1361</v>
      </c>
      <c r="T22" s="36"/>
      <c r="U22" s="34" t="s">
        <v>1362</v>
      </c>
      <c r="V22" s="34" t="s">
        <v>1363</v>
      </c>
      <c r="W22" s="34" t="s">
        <v>1362</v>
      </c>
      <c r="X22" s="36"/>
      <c r="Y22" s="36"/>
      <c r="Z22" s="36"/>
      <c r="AA22" s="34" t="s">
        <v>109</v>
      </c>
      <c r="AB22" s="36"/>
      <c r="AC22" s="36"/>
      <c r="AD22" s="36"/>
      <c r="AE22" s="36"/>
      <c r="AF22" s="36"/>
      <c r="AG22" s="36"/>
      <c r="AH22" s="36"/>
      <c r="AI22" s="36"/>
      <c r="AJ22" s="36"/>
      <c r="AK22" s="36"/>
      <c r="AL22" s="36"/>
      <c r="AM22" s="36"/>
      <c r="AN22" s="36"/>
      <c r="AO22" s="36"/>
      <c r="AP22" s="36"/>
      <c r="AQ22" s="36"/>
      <c r="AR22" s="36"/>
      <c r="AS22" s="36"/>
      <c r="AT22" s="36"/>
      <c r="AU22" s="34" t="s">
        <v>76</v>
      </c>
      <c r="AV22" s="34" t="s">
        <v>271</v>
      </c>
      <c r="AW22" s="36"/>
      <c r="AX22" s="36"/>
      <c r="AY22" s="36"/>
      <c r="AZ22" s="34" t="s">
        <v>151</v>
      </c>
      <c r="BA22" s="34" t="s">
        <v>491</v>
      </c>
      <c r="BB22" s="36"/>
      <c r="BC22" s="36"/>
      <c r="BD22" s="36"/>
      <c r="BE22" s="36"/>
      <c r="BF22" s="36"/>
      <c r="BG22" s="36"/>
      <c r="BH22" s="36"/>
      <c r="BI22" s="36"/>
      <c r="BJ22" s="36"/>
      <c r="BK22" s="36"/>
      <c r="BL22" s="36"/>
      <c r="BM22" s="36"/>
      <c r="BN22" s="34" t="s">
        <v>388</v>
      </c>
      <c r="BO22" s="36"/>
      <c r="BP22" s="34" t="s">
        <v>1364</v>
      </c>
      <c r="BQ22" s="36"/>
    </row>
    <row r="23">
      <c r="A23" s="31">
        <v>46066.56295553241</v>
      </c>
      <c r="B23" s="32">
        <v>46066.0</v>
      </c>
      <c r="C23" s="33">
        <v>0.5416666666642413</v>
      </c>
      <c r="D23" s="34" t="s">
        <v>91</v>
      </c>
      <c r="E23" s="35" t="s">
        <v>1367</v>
      </c>
      <c r="F23" s="34">
        <v>200.0</v>
      </c>
      <c r="G23" s="34">
        <v>500.0</v>
      </c>
      <c r="H23" s="34" t="s">
        <v>388</v>
      </c>
      <c r="I23" s="34">
        <v>80000.0</v>
      </c>
      <c r="J23" s="34" t="s">
        <v>167</v>
      </c>
      <c r="K23" s="34" t="s">
        <v>134</v>
      </c>
      <c r="L23" s="36"/>
      <c r="M23" s="36"/>
      <c r="N23" s="34">
        <v>1.0</v>
      </c>
      <c r="O23" s="34" t="s">
        <v>96</v>
      </c>
      <c r="P23" s="34" t="s">
        <v>76</v>
      </c>
      <c r="Q23" s="34" t="s">
        <v>97</v>
      </c>
      <c r="R23" s="34" t="s">
        <v>109</v>
      </c>
      <c r="S23" s="37" t="s">
        <v>1365</v>
      </c>
      <c r="T23" s="36"/>
      <c r="U23" s="34" t="s">
        <v>1366</v>
      </c>
      <c r="V23" s="34" t="s">
        <v>1362</v>
      </c>
      <c r="W23" s="34" t="s">
        <v>1362</v>
      </c>
      <c r="X23" s="36"/>
      <c r="Y23" s="36"/>
      <c r="Z23" s="36"/>
      <c r="AA23" s="34" t="s">
        <v>109</v>
      </c>
      <c r="AB23" s="36"/>
      <c r="AC23" s="36"/>
      <c r="AD23" s="36"/>
      <c r="AE23" s="36"/>
      <c r="AF23" s="36"/>
      <c r="AG23" s="36"/>
      <c r="AH23" s="36"/>
      <c r="AI23" s="36"/>
      <c r="AJ23" s="36"/>
      <c r="AK23" s="36"/>
      <c r="AL23" s="36"/>
      <c r="AM23" s="36"/>
      <c r="AN23" s="36"/>
      <c r="AO23" s="36"/>
      <c r="AP23" s="36"/>
      <c r="AQ23" s="36"/>
      <c r="AR23" s="36"/>
      <c r="AS23" s="36"/>
      <c r="AT23" s="36"/>
      <c r="AU23" s="34" t="s">
        <v>76</v>
      </c>
      <c r="AV23" s="34" t="s">
        <v>373</v>
      </c>
      <c r="AW23" s="36"/>
      <c r="AX23" s="36"/>
      <c r="AY23" s="36"/>
      <c r="AZ23" s="34" t="s">
        <v>151</v>
      </c>
      <c r="BA23" s="34" t="s">
        <v>491</v>
      </c>
      <c r="BB23" s="36"/>
      <c r="BC23" s="36"/>
      <c r="BD23" s="36"/>
      <c r="BE23" s="36"/>
      <c r="BF23" s="36"/>
      <c r="BG23" s="36"/>
      <c r="BH23" s="36"/>
      <c r="BI23" s="36"/>
      <c r="BJ23" s="36"/>
      <c r="BK23" s="36"/>
      <c r="BL23" s="34">
        <v>100.0</v>
      </c>
      <c r="BM23" s="36"/>
      <c r="BN23" s="36"/>
      <c r="BO23" s="36"/>
      <c r="BP23" s="34" t="s">
        <v>1367</v>
      </c>
      <c r="BQ23" s="36"/>
    </row>
    <row r="24">
      <c r="A24" s="31">
        <v>46066.56550166667</v>
      </c>
      <c r="B24" s="32">
        <v>46066.0</v>
      </c>
      <c r="C24" s="33">
        <v>0.5416666666642413</v>
      </c>
      <c r="D24" s="34" t="s">
        <v>91</v>
      </c>
      <c r="E24" s="35" t="s">
        <v>1377</v>
      </c>
      <c r="F24" s="34">
        <v>500.0</v>
      </c>
      <c r="G24" s="34">
        <v>500.0</v>
      </c>
      <c r="H24" s="34" t="s">
        <v>388</v>
      </c>
      <c r="I24" s="34">
        <v>80000.0</v>
      </c>
      <c r="J24" s="34" t="s">
        <v>167</v>
      </c>
      <c r="K24" s="34" t="s">
        <v>134</v>
      </c>
      <c r="L24" s="36"/>
      <c r="M24" s="36"/>
      <c r="N24" s="34">
        <v>1.0</v>
      </c>
      <c r="O24" s="34" t="s">
        <v>135</v>
      </c>
      <c r="P24" s="34" t="s">
        <v>76</v>
      </c>
      <c r="Q24" s="34" t="s">
        <v>97</v>
      </c>
      <c r="R24" s="34" t="s">
        <v>76</v>
      </c>
      <c r="S24" s="37" t="s">
        <v>1374</v>
      </c>
      <c r="T24" s="36"/>
      <c r="U24" s="34" t="s">
        <v>1375</v>
      </c>
      <c r="V24" s="34" t="s">
        <v>1362</v>
      </c>
      <c r="W24" s="34" t="s">
        <v>1376</v>
      </c>
      <c r="X24" s="36"/>
      <c r="Y24" s="36"/>
      <c r="Z24" s="36"/>
      <c r="AA24" s="34" t="s">
        <v>109</v>
      </c>
      <c r="AB24" s="36"/>
      <c r="AC24" s="36"/>
      <c r="AD24" s="36"/>
      <c r="AE24" s="36"/>
      <c r="AF24" s="36"/>
      <c r="AG24" s="36"/>
      <c r="AH24" s="36"/>
      <c r="AI24" s="36"/>
      <c r="AJ24" s="36"/>
      <c r="AK24" s="36"/>
      <c r="AL24" s="36"/>
      <c r="AM24" s="36"/>
      <c r="AN24" s="36"/>
      <c r="AO24" s="36"/>
      <c r="AP24" s="36"/>
      <c r="AQ24" s="36"/>
      <c r="AR24" s="36"/>
      <c r="AS24" s="36"/>
      <c r="AT24" s="36"/>
      <c r="AU24" s="34" t="s">
        <v>76</v>
      </c>
      <c r="AV24" s="34" t="s">
        <v>373</v>
      </c>
      <c r="AW24" s="36"/>
      <c r="AX24" s="36"/>
      <c r="AY24" s="36"/>
      <c r="AZ24" s="34" t="s">
        <v>151</v>
      </c>
      <c r="BA24" s="34" t="s">
        <v>491</v>
      </c>
      <c r="BB24" s="36"/>
      <c r="BC24" s="36"/>
      <c r="BD24" s="36"/>
      <c r="BE24" s="36"/>
      <c r="BF24" s="36"/>
      <c r="BG24" s="36"/>
      <c r="BH24" s="36"/>
      <c r="BI24" s="36"/>
      <c r="BJ24" s="36"/>
      <c r="BK24" s="36"/>
      <c r="BL24" s="34">
        <v>80.0</v>
      </c>
      <c r="BM24" s="36"/>
      <c r="BN24" s="34" t="s">
        <v>388</v>
      </c>
      <c r="BO24" s="36"/>
      <c r="BP24" s="34" t="s">
        <v>1377</v>
      </c>
      <c r="BQ24" s="36"/>
    </row>
    <row r="25">
      <c r="A25" s="31">
        <v>46066.56898287037</v>
      </c>
      <c r="B25" s="32">
        <v>46066.0</v>
      </c>
      <c r="C25" s="33">
        <v>0.5208333333357587</v>
      </c>
      <c r="D25" s="34" t="s">
        <v>91</v>
      </c>
      <c r="E25" s="35" t="s">
        <v>1384</v>
      </c>
      <c r="F25" s="34">
        <v>150.0</v>
      </c>
      <c r="G25" s="34">
        <v>350.0</v>
      </c>
      <c r="H25" s="34" t="s">
        <v>388</v>
      </c>
      <c r="I25" s="36"/>
      <c r="J25" s="34" t="s">
        <v>167</v>
      </c>
      <c r="K25" s="34" t="s">
        <v>134</v>
      </c>
      <c r="L25" s="36"/>
      <c r="M25" s="36"/>
      <c r="N25" s="34">
        <v>1.0</v>
      </c>
      <c r="O25" s="34" t="s">
        <v>135</v>
      </c>
      <c r="P25" s="34" t="s">
        <v>76</v>
      </c>
      <c r="Q25" s="34" t="s">
        <v>97</v>
      </c>
      <c r="R25" s="34" t="s">
        <v>76</v>
      </c>
      <c r="S25" s="37" t="s">
        <v>1383</v>
      </c>
      <c r="T25" s="36"/>
      <c r="U25" s="34" t="s">
        <v>1362</v>
      </c>
      <c r="V25" s="34" t="s">
        <v>1362</v>
      </c>
      <c r="W25" s="34" t="s">
        <v>1376</v>
      </c>
      <c r="X25" s="34" t="s">
        <v>1376</v>
      </c>
      <c r="Y25" s="36"/>
      <c r="Z25" s="36"/>
      <c r="AA25" s="34" t="s">
        <v>109</v>
      </c>
      <c r="AB25" s="36"/>
      <c r="AC25" s="36"/>
      <c r="AD25" s="36"/>
      <c r="AE25" s="36"/>
      <c r="AF25" s="36"/>
      <c r="AG25" s="36"/>
      <c r="AH25" s="36"/>
      <c r="AI25" s="36"/>
      <c r="AJ25" s="36"/>
      <c r="AK25" s="36"/>
      <c r="AL25" s="36"/>
      <c r="AM25" s="36"/>
      <c r="AN25" s="36"/>
      <c r="AO25" s="36"/>
      <c r="AP25" s="36"/>
      <c r="AQ25" s="36"/>
      <c r="AR25" s="36"/>
      <c r="AS25" s="36"/>
      <c r="AT25" s="36"/>
      <c r="AU25" s="34" t="s">
        <v>76</v>
      </c>
      <c r="AV25" s="36"/>
      <c r="AW25" s="34" t="s">
        <v>388</v>
      </c>
      <c r="AX25" s="32">
        <v>46067.0</v>
      </c>
      <c r="AY25" s="33">
        <v>0.5</v>
      </c>
      <c r="AZ25" s="34" t="s">
        <v>151</v>
      </c>
      <c r="BA25" s="34" t="s">
        <v>491</v>
      </c>
      <c r="BB25" s="36"/>
      <c r="BC25" s="36"/>
      <c r="BD25" s="36"/>
      <c r="BE25" s="36"/>
      <c r="BF25" s="36"/>
      <c r="BG25" s="36"/>
      <c r="BH25" s="36"/>
      <c r="BI25" s="36"/>
      <c r="BJ25" s="36"/>
      <c r="BK25" s="36"/>
      <c r="BL25" s="36"/>
      <c r="BM25" s="36"/>
      <c r="BN25" s="36"/>
      <c r="BO25" s="36"/>
      <c r="BP25" s="34" t="s">
        <v>1384</v>
      </c>
      <c r="BQ25" s="36"/>
    </row>
    <row r="26">
      <c r="A26" s="31">
        <v>46066.695858969906</v>
      </c>
      <c r="B26" s="32">
        <v>46066.0</v>
      </c>
      <c r="C26" s="33">
        <v>0.10416666666424135</v>
      </c>
      <c r="D26" s="34" t="s">
        <v>91</v>
      </c>
      <c r="E26" s="35" t="s">
        <v>1446</v>
      </c>
      <c r="F26" s="34">
        <v>90.0</v>
      </c>
      <c r="G26" s="34">
        <v>900.0</v>
      </c>
      <c r="H26" s="34" t="s">
        <v>1441</v>
      </c>
      <c r="I26" s="36"/>
      <c r="J26" s="34" t="s">
        <v>167</v>
      </c>
      <c r="K26" s="34" t="s">
        <v>134</v>
      </c>
      <c r="L26" s="36"/>
      <c r="M26" s="36"/>
      <c r="N26" s="34">
        <v>1.0</v>
      </c>
      <c r="O26" s="34" t="s">
        <v>371</v>
      </c>
      <c r="P26" s="34" t="s">
        <v>76</v>
      </c>
      <c r="Q26" s="34" t="s">
        <v>97</v>
      </c>
      <c r="R26" s="34" t="s">
        <v>109</v>
      </c>
      <c r="S26" s="37" t="s">
        <v>1442</v>
      </c>
      <c r="T26" s="36"/>
      <c r="U26" s="34" t="s">
        <v>1443</v>
      </c>
      <c r="V26" s="34">
        <v>9.989649223E9</v>
      </c>
      <c r="W26" s="34" t="s">
        <v>1444</v>
      </c>
      <c r="X26" s="36"/>
      <c r="Y26" s="36"/>
      <c r="Z26" s="36"/>
      <c r="AA26" s="34" t="s">
        <v>109</v>
      </c>
      <c r="AB26" s="36"/>
      <c r="AC26" s="36"/>
      <c r="AD26" s="36"/>
      <c r="AE26" s="36"/>
      <c r="AF26" s="36"/>
      <c r="AG26" s="36"/>
      <c r="AH26" s="36"/>
      <c r="AI26" s="36"/>
      <c r="AJ26" s="36"/>
      <c r="AK26" s="36"/>
      <c r="AL26" s="36"/>
      <c r="AM26" s="36"/>
      <c r="AN26" s="36"/>
      <c r="AO26" s="36"/>
      <c r="AP26" s="36"/>
      <c r="AQ26" s="36"/>
      <c r="AR26" s="36"/>
      <c r="AS26" s="36"/>
      <c r="AT26" s="36"/>
      <c r="AU26" s="34" t="s">
        <v>76</v>
      </c>
      <c r="AV26" s="34" t="s">
        <v>271</v>
      </c>
      <c r="AW26" s="34" t="s">
        <v>1091</v>
      </c>
      <c r="AX26" s="32">
        <v>46069.0</v>
      </c>
      <c r="AY26" s="33">
        <v>0.10416666666424135</v>
      </c>
      <c r="AZ26" s="34" t="s">
        <v>356</v>
      </c>
      <c r="BA26" s="34" t="s">
        <v>491</v>
      </c>
      <c r="BB26" s="36"/>
      <c r="BC26" s="36"/>
      <c r="BD26" s="36"/>
      <c r="BE26" s="36"/>
      <c r="BF26" s="36"/>
      <c r="BG26" s="36"/>
      <c r="BH26" s="36"/>
      <c r="BI26" s="36"/>
      <c r="BJ26" s="36"/>
      <c r="BK26" s="36"/>
      <c r="BL26" s="36"/>
      <c r="BM26" s="36"/>
      <c r="BN26" s="34" t="s">
        <v>1445</v>
      </c>
      <c r="BO26" s="36"/>
      <c r="BP26" s="34" t="s">
        <v>1446</v>
      </c>
      <c r="BQ26" s="36"/>
    </row>
    <row r="27">
      <c r="A27" s="31">
        <v>46066.705858483794</v>
      </c>
      <c r="B27" s="32">
        <v>46066.0</v>
      </c>
      <c r="C27" s="33">
        <v>0.20138888889050577</v>
      </c>
      <c r="D27" s="34" t="s">
        <v>91</v>
      </c>
      <c r="E27" s="35" t="s">
        <v>1462</v>
      </c>
      <c r="F27" s="34">
        <v>120.0</v>
      </c>
      <c r="G27" s="34">
        <v>500.0</v>
      </c>
      <c r="H27" s="34" t="s">
        <v>509</v>
      </c>
      <c r="I27" s="36"/>
      <c r="J27" s="34" t="s">
        <v>167</v>
      </c>
      <c r="K27" s="34" t="s">
        <v>134</v>
      </c>
      <c r="L27" s="36"/>
      <c r="M27" s="36"/>
      <c r="N27" s="34">
        <v>1.0</v>
      </c>
      <c r="O27" s="34" t="s">
        <v>1264</v>
      </c>
      <c r="P27" s="34" t="s">
        <v>76</v>
      </c>
      <c r="Q27" s="34" t="s">
        <v>97</v>
      </c>
      <c r="R27" s="34" t="s">
        <v>76</v>
      </c>
      <c r="S27" s="34" t="s">
        <v>664</v>
      </c>
      <c r="T27" s="36"/>
      <c r="U27" s="34" t="s">
        <v>1460</v>
      </c>
      <c r="V27" s="34">
        <v>8.886741212E9</v>
      </c>
      <c r="W27" s="34" t="s">
        <v>388</v>
      </c>
      <c r="X27" s="36"/>
      <c r="Y27" s="36"/>
      <c r="Z27" s="36"/>
      <c r="AA27" s="34" t="s">
        <v>109</v>
      </c>
      <c r="AB27" s="36"/>
      <c r="AC27" s="36"/>
      <c r="AD27" s="36"/>
      <c r="AE27" s="36"/>
      <c r="AF27" s="36"/>
      <c r="AG27" s="36"/>
      <c r="AH27" s="36"/>
      <c r="AI27" s="36"/>
      <c r="AJ27" s="36"/>
      <c r="AK27" s="36"/>
      <c r="AL27" s="36"/>
      <c r="AM27" s="36"/>
      <c r="AN27" s="36"/>
      <c r="AO27" s="36"/>
      <c r="AP27" s="36"/>
      <c r="AQ27" s="36"/>
      <c r="AR27" s="36"/>
      <c r="AS27" s="36"/>
      <c r="AT27" s="36"/>
      <c r="AU27" s="34" t="s">
        <v>76</v>
      </c>
      <c r="AV27" s="34" t="s">
        <v>271</v>
      </c>
      <c r="AW27" s="36"/>
      <c r="AX27" s="36"/>
      <c r="AY27" s="36"/>
      <c r="AZ27" s="34" t="s">
        <v>356</v>
      </c>
      <c r="BA27" s="34" t="s">
        <v>491</v>
      </c>
      <c r="BB27" s="36"/>
      <c r="BC27" s="36"/>
      <c r="BD27" s="36"/>
      <c r="BE27" s="36"/>
      <c r="BF27" s="36"/>
      <c r="BG27" s="36"/>
      <c r="BH27" s="36"/>
      <c r="BI27" s="36"/>
      <c r="BJ27" s="36"/>
      <c r="BK27" s="36"/>
      <c r="BL27" s="36"/>
      <c r="BM27" s="36"/>
      <c r="BN27" s="34" t="s">
        <v>1461</v>
      </c>
      <c r="BO27" s="36"/>
      <c r="BP27" s="34" t="s">
        <v>1462</v>
      </c>
      <c r="BQ27" s="36"/>
    </row>
    <row r="28">
      <c r="A28" s="31">
        <v>46069.80557376157</v>
      </c>
      <c r="B28" s="32">
        <v>46069.0</v>
      </c>
      <c r="C28" s="33">
        <v>0.75</v>
      </c>
      <c r="D28" s="34" t="s">
        <v>91</v>
      </c>
      <c r="E28" s="35" t="s">
        <v>5761</v>
      </c>
      <c r="F28" s="34">
        <v>80.0</v>
      </c>
      <c r="G28" s="34">
        <v>800.0</v>
      </c>
      <c r="H28" s="34" t="s">
        <v>1730</v>
      </c>
      <c r="I28" s="36"/>
      <c r="J28" s="34" t="s">
        <v>167</v>
      </c>
      <c r="K28" s="34" t="s">
        <v>134</v>
      </c>
      <c r="L28" s="36"/>
      <c r="M28" s="36"/>
      <c r="N28" s="34">
        <v>3.0</v>
      </c>
      <c r="O28" s="34" t="s">
        <v>371</v>
      </c>
      <c r="P28" s="34" t="s">
        <v>76</v>
      </c>
      <c r="Q28" s="34" t="s">
        <v>97</v>
      </c>
      <c r="R28" s="34" t="s">
        <v>98</v>
      </c>
      <c r="S28" s="37" t="s">
        <v>1731</v>
      </c>
      <c r="T28" s="34" t="s">
        <v>1732</v>
      </c>
      <c r="U28" s="34" t="s">
        <v>1733</v>
      </c>
      <c r="V28" s="34">
        <v>9.985287122E9</v>
      </c>
      <c r="W28" s="34" t="s">
        <v>1734</v>
      </c>
      <c r="X28" s="36"/>
      <c r="Y28" s="36"/>
      <c r="Z28" s="36"/>
      <c r="AA28" s="34" t="s">
        <v>109</v>
      </c>
      <c r="AB28" s="36"/>
      <c r="AC28" s="36"/>
      <c r="AD28" s="36"/>
      <c r="AE28" s="36"/>
      <c r="AF28" s="36"/>
      <c r="AG28" s="36"/>
      <c r="AH28" s="36"/>
      <c r="AI28" s="36"/>
      <c r="AJ28" s="36"/>
      <c r="AK28" s="36"/>
      <c r="AL28" s="36"/>
      <c r="AM28" s="36"/>
      <c r="AN28" s="36"/>
      <c r="AO28" s="36"/>
      <c r="AP28" s="36"/>
      <c r="AQ28" s="36"/>
      <c r="AR28" s="36"/>
      <c r="AS28" s="36"/>
      <c r="AT28" s="34" t="s">
        <v>1735</v>
      </c>
      <c r="AU28" s="34" t="s">
        <v>76</v>
      </c>
      <c r="AV28" s="34" t="s">
        <v>472</v>
      </c>
      <c r="AW28" s="36"/>
      <c r="AX28" s="38">
        <v>46070.0</v>
      </c>
      <c r="AY28" s="36"/>
      <c r="AZ28" s="34" t="s">
        <v>1607</v>
      </c>
      <c r="BA28" s="34" t="s">
        <v>458</v>
      </c>
      <c r="BB28" s="34" t="s">
        <v>76</v>
      </c>
      <c r="BC28" s="36"/>
      <c r="BD28" s="36"/>
      <c r="BE28" s="36"/>
      <c r="BF28" s="36"/>
      <c r="BG28" s="36"/>
      <c r="BH28" s="36"/>
      <c r="BI28" s="36"/>
      <c r="BJ28" s="36"/>
      <c r="BK28" s="36"/>
      <c r="BL28" s="36"/>
      <c r="BM28" s="36"/>
      <c r="BN28" s="36"/>
      <c r="BO28" s="36"/>
      <c r="BP28" s="34" t="s">
        <v>1732</v>
      </c>
      <c r="BQ28" s="36"/>
    </row>
    <row r="29">
      <c r="A29" s="31">
        <v>46070.38492488426</v>
      </c>
      <c r="B29" s="32">
        <v>46070.0</v>
      </c>
      <c r="C29" s="33">
        <v>0.27083333333575865</v>
      </c>
      <c r="D29" s="34" t="s">
        <v>91</v>
      </c>
      <c r="E29" s="35" t="s">
        <v>1862</v>
      </c>
      <c r="F29" s="34">
        <v>80.0</v>
      </c>
      <c r="G29" s="34">
        <v>900.0</v>
      </c>
      <c r="H29" s="34" t="s">
        <v>611</v>
      </c>
      <c r="I29" s="36"/>
      <c r="J29" s="34" t="s">
        <v>167</v>
      </c>
      <c r="K29" s="34" t="s">
        <v>134</v>
      </c>
      <c r="L29" s="36"/>
      <c r="M29" s="36"/>
      <c r="N29" s="34">
        <v>1.0</v>
      </c>
      <c r="O29" s="34" t="s">
        <v>96</v>
      </c>
      <c r="P29" s="34" t="s">
        <v>76</v>
      </c>
      <c r="Q29" s="34" t="s">
        <v>97</v>
      </c>
      <c r="R29" s="34" t="s">
        <v>76</v>
      </c>
      <c r="S29" s="34" t="s">
        <v>664</v>
      </c>
      <c r="T29" s="36"/>
      <c r="U29" s="34" t="s">
        <v>1501</v>
      </c>
      <c r="V29" s="34" t="s">
        <v>1861</v>
      </c>
      <c r="W29" s="34" t="s">
        <v>388</v>
      </c>
      <c r="X29" s="36"/>
      <c r="Y29" s="36"/>
      <c r="Z29" s="36"/>
      <c r="AA29" s="34" t="s">
        <v>109</v>
      </c>
      <c r="AB29" s="36"/>
      <c r="AC29" s="36"/>
      <c r="AD29" s="36"/>
      <c r="AE29" s="36"/>
      <c r="AF29" s="36"/>
      <c r="AG29" s="36"/>
      <c r="AH29" s="36"/>
      <c r="AI29" s="36"/>
      <c r="AJ29" s="36"/>
      <c r="AK29" s="36"/>
      <c r="AL29" s="36"/>
      <c r="AM29" s="36"/>
      <c r="AN29" s="36"/>
      <c r="AO29" s="36"/>
      <c r="AP29" s="36"/>
      <c r="AQ29" s="36"/>
      <c r="AR29" s="36"/>
      <c r="AS29" s="36"/>
      <c r="AT29" s="34" t="s">
        <v>388</v>
      </c>
      <c r="AU29" s="34" t="s">
        <v>76</v>
      </c>
      <c r="AV29" s="34" t="s">
        <v>271</v>
      </c>
      <c r="AW29" s="36"/>
      <c r="AX29" s="32">
        <v>46072.0</v>
      </c>
      <c r="AY29" s="33">
        <v>0.10416666666424135</v>
      </c>
      <c r="AZ29" s="34" t="s">
        <v>356</v>
      </c>
      <c r="BA29" s="34" t="s">
        <v>458</v>
      </c>
      <c r="BB29" s="34" t="s">
        <v>76</v>
      </c>
      <c r="BC29" s="36"/>
      <c r="BD29" s="36"/>
      <c r="BE29" s="36"/>
      <c r="BF29" s="36"/>
      <c r="BG29" s="36"/>
      <c r="BH29" s="36"/>
      <c r="BI29" s="36"/>
      <c r="BJ29" s="36"/>
      <c r="BK29" s="36"/>
      <c r="BL29" s="36"/>
      <c r="BM29" s="36"/>
      <c r="BN29" s="34" t="s">
        <v>1445</v>
      </c>
      <c r="BO29" s="36"/>
      <c r="BP29" s="34" t="s">
        <v>1862</v>
      </c>
      <c r="BQ29" s="36"/>
    </row>
    <row r="30">
      <c r="A30" s="31">
        <v>46070.50967600694</v>
      </c>
      <c r="B30" s="32">
        <v>46069.0</v>
      </c>
      <c r="C30" s="33">
        <v>0.5451388888905058</v>
      </c>
      <c r="D30" s="34" t="s">
        <v>91</v>
      </c>
      <c r="E30" s="35" t="s">
        <v>1919</v>
      </c>
      <c r="F30" s="34">
        <v>98.0</v>
      </c>
      <c r="G30" s="34">
        <v>600.0</v>
      </c>
      <c r="H30" s="34" t="s">
        <v>388</v>
      </c>
      <c r="I30" s="34">
        <v>7200.0</v>
      </c>
      <c r="J30" s="34" t="s">
        <v>167</v>
      </c>
      <c r="K30" s="34" t="s">
        <v>515</v>
      </c>
      <c r="L30" s="36"/>
      <c r="M30" s="36"/>
      <c r="N30" s="34">
        <v>52.0</v>
      </c>
      <c r="O30" s="34" t="s">
        <v>371</v>
      </c>
      <c r="P30" s="34" t="s">
        <v>76</v>
      </c>
      <c r="Q30" s="34" t="s">
        <v>97</v>
      </c>
      <c r="R30" s="34" t="s">
        <v>109</v>
      </c>
      <c r="S30" s="37" t="s">
        <v>1913</v>
      </c>
      <c r="T30" s="36"/>
      <c r="U30" s="34" t="s">
        <v>1914</v>
      </c>
      <c r="V30" s="34">
        <v>9.818808004E9</v>
      </c>
      <c r="W30" s="34" t="s">
        <v>117</v>
      </c>
      <c r="X30" s="34" t="s">
        <v>1915</v>
      </c>
      <c r="Y30" s="34">
        <v>9.281054033E9</v>
      </c>
      <c r="Z30" s="34" t="s">
        <v>117</v>
      </c>
      <c r="AA30" s="34" t="s">
        <v>109</v>
      </c>
      <c r="AB30" s="36"/>
      <c r="AC30" s="36"/>
      <c r="AD30" s="36"/>
      <c r="AE30" s="36"/>
      <c r="AF30" s="36"/>
      <c r="AG30" s="36"/>
      <c r="AH30" s="36"/>
      <c r="AI30" s="36"/>
      <c r="AJ30" s="36"/>
      <c r="AK30" s="36"/>
      <c r="AL30" s="36"/>
      <c r="AM30" s="36"/>
      <c r="AN30" s="36"/>
      <c r="AO30" s="36"/>
      <c r="AP30" s="36"/>
      <c r="AQ30" s="36"/>
      <c r="AR30" s="36"/>
      <c r="AS30" s="36"/>
      <c r="AT30" s="34" t="s">
        <v>1916</v>
      </c>
      <c r="AU30" s="34" t="s">
        <v>76</v>
      </c>
      <c r="AV30" s="34" t="s">
        <v>373</v>
      </c>
      <c r="AW30" s="34" t="s">
        <v>1917</v>
      </c>
      <c r="AX30" s="32">
        <v>46071.0</v>
      </c>
      <c r="AY30" s="33">
        <v>0.75</v>
      </c>
      <c r="AZ30" s="34" t="s">
        <v>1581</v>
      </c>
      <c r="BA30" s="34" t="s">
        <v>458</v>
      </c>
      <c r="BB30" s="34" t="s">
        <v>76</v>
      </c>
      <c r="BC30" s="36"/>
      <c r="BD30" s="36"/>
      <c r="BE30" s="36"/>
      <c r="BF30" s="36"/>
      <c r="BG30" s="36"/>
      <c r="BH30" s="36"/>
      <c r="BI30" s="36"/>
      <c r="BJ30" s="36"/>
      <c r="BK30" s="36"/>
      <c r="BL30" s="34">
        <v>10.0</v>
      </c>
      <c r="BM30" s="36"/>
      <c r="BN30" s="34" t="s">
        <v>1918</v>
      </c>
      <c r="BO30" s="36"/>
      <c r="BP30" s="34" t="s">
        <v>1919</v>
      </c>
      <c r="BQ30" s="36"/>
    </row>
    <row r="31">
      <c r="A31" s="31">
        <v>46070.51643856481</v>
      </c>
      <c r="B31" s="32">
        <v>46069.0</v>
      </c>
      <c r="C31" s="33">
        <v>0.5416666666642413</v>
      </c>
      <c r="D31" s="34" t="s">
        <v>91</v>
      </c>
      <c r="E31" s="35" t="s">
        <v>1925</v>
      </c>
      <c r="F31" s="34">
        <v>150.0</v>
      </c>
      <c r="G31" s="34">
        <v>650.0</v>
      </c>
      <c r="H31" s="34" t="s">
        <v>388</v>
      </c>
      <c r="I31" s="34">
        <v>500000.0</v>
      </c>
      <c r="J31" s="34" t="s">
        <v>167</v>
      </c>
      <c r="K31" s="34" t="s">
        <v>515</v>
      </c>
      <c r="L31" s="36"/>
      <c r="M31" s="36"/>
      <c r="N31" s="34">
        <v>7.0</v>
      </c>
      <c r="O31" s="34" t="s">
        <v>371</v>
      </c>
      <c r="P31" s="34" t="s">
        <v>76</v>
      </c>
      <c r="Q31" s="34" t="s">
        <v>97</v>
      </c>
      <c r="R31" s="34" t="s">
        <v>109</v>
      </c>
      <c r="S31" s="37" t="s">
        <v>1920</v>
      </c>
      <c r="T31" s="36"/>
      <c r="U31" s="34" t="s">
        <v>1921</v>
      </c>
      <c r="V31" s="34">
        <v>7.893734731E9</v>
      </c>
      <c r="W31" s="34" t="s">
        <v>388</v>
      </c>
      <c r="X31" s="36"/>
      <c r="Y31" s="36"/>
      <c r="Z31" s="36"/>
      <c r="AA31" s="34" t="s">
        <v>109</v>
      </c>
      <c r="AB31" s="36"/>
      <c r="AC31" s="36"/>
      <c r="AD31" s="36"/>
      <c r="AE31" s="36"/>
      <c r="AF31" s="36"/>
      <c r="AG31" s="36"/>
      <c r="AH31" s="36"/>
      <c r="AI31" s="36"/>
      <c r="AJ31" s="36"/>
      <c r="AK31" s="36"/>
      <c r="AL31" s="36"/>
      <c r="AM31" s="36"/>
      <c r="AN31" s="36"/>
      <c r="AO31" s="36"/>
      <c r="AP31" s="36"/>
      <c r="AQ31" s="36"/>
      <c r="AR31" s="36"/>
      <c r="AS31" s="36"/>
      <c r="AT31" s="34" t="s">
        <v>1922</v>
      </c>
      <c r="AU31" s="34" t="s">
        <v>76</v>
      </c>
      <c r="AV31" s="34" t="s">
        <v>472</v>
      </c>
      <c r="AW31" s="34" t="s">
        <v>1923</v>
      </c>
      <c r="AX31" s="32">
        <v>46070.0</v>
      </c>
      <c r="AY31" s="33">
        <v>0.7083333333357587</v>
      </c>
      <c r="AZ31" s="34" t="s">
        <v>1581</v>
      </c>
      <c r="BA31" s="34" t="s">
        <v>458</v>
      </c>
      <c r="BB31" s="34" t="s">
        <v>76</v>
      </c>
      <c r="BC31" s="36"/>
      <c r="BD31" s="36"/>
      <c r="BE31" s="36"/>
      <c r="BF31" s="36"/>
      <c r="BG31" s="36"/>
      <c r="BH31" s="36"/>
      <c r="BI31" s="36"/>
      <c r="BJ31" s="36"/>
      <c r="BK31" s="36"/>
      <c r="BL31" s="36"/>
      <c r="BM31" s="36"/>
      <c r="BN31" s="34" t="s">
        <v>1924</v>
      </c>
      <c r="BO31" s="36"/>
      <c r="BP31" s="34" t="s">
        <v>1925</v>
      </c>
      <c r="BQ31" s="36"/>
    </row>
    <row r="32">
      <c r="A32" s="31">
        <v>46070.52392443287</v>
      </c>
      <c r="B32" s="32">
        <v>46069.0</v>
      </c>
      <c r="C32" s="33">
        <v>0.5833333333357587</v>
      </c>
      <c r="D32" s="34" t="s">
        <v>91</v>
      </c>
      <c r="E32" s="35" t="s">
        <v>1940</v>
      </c>
      <c r="F32" s="34">
        <v>140.0</v>
      </c>
      <c r="G32" s="34">
        <v>1500.0</v>
      </c>
      <c r="H32" s="34" t="s">
        <v>117</v>
      </c>
      <c r="I32" s="34">
        <v>1.0</v>
      </c>
      <c r="J32" s="34" t="s">
        <v>167</v>
      </c>
      <c r="K32" s="34" t="s">
        <v>134</v>
      </c>
      <c r="L32" s="34">
        <v>1.0</v>
      </c>
      <c r="M32" s="36"/>
      <c r="N32" s="34">
        <v>2.0</v>
      </c>
      <c r="O32" s="34" t="s">
        <v>371</v>
      </c>
      <c r="P32" s="34" t="s">
        <v>76</v>
      </c>
      <c r="Q32" s="34" t="s">
        <v>97</v>
      </c>
      <c r="R32" s="34" t="s">
        <v>76</v>
      </c>
      <c r="S32" s="37" t="s">
        <v>1936</v>
      </c>
      <c r="T32" s="36"/>
      <c r="U32" s="34" t="s">
        <v>1937</v>
      </c>
      <c r="V32" s="34">
        <v>7.030998709E9</v>
      </c>
      <c r="W32" s="34" t="s">
        <v>117</v>
      </c>
      <c r="X32" s="34" t="s">
        <v>1938</v>
      </c>
      <c r="Y32" s="34">
        <v>9.832874225E9</v>
      </c>
      <c r="Z32" s="36"/>
      <c r="AA32" s="34" t="s">
        <v>109</v>
      </c>
      <c r="AB32" s="36"/>
      <c r="AC32" s="36"/>
      <c r="AD32" s="36"/>
      <c r="AE32" s="36"/>
      <c r="AF32" s="36"/>
      <c r="AG32" s="36"/>
      <c r="AH32" s="36"/>
      <c r="AI32" s="36"/>
      <c r="AJ32" s="36"/>
      <c r="AK32" s="36"/>
      <c r="AL32" s="36"/>
      <c r="AM32" s="36"/>
      <c r="AN32" s="36"/>
      <c r="AO32" s="36"/>
      <c r="AP32" s="36"/>
      <c r="AQ32" s="36"/>
      <c r="AR32" s="36"/>
      <c r="AS32" s="36"/>
      <c r="AT32" s="34" t="s">
        <v>1939</v>
      </c>
      <c r="AU32" s="34" t="s">
        <v>76</v>
      </c>
      <c r="AV32" s="34" t="s">
        <v>472</v>
      </c>
      <c r="AW32" s="34" t="s">
        <v>1939</v>
      </c>
      <c r="AX32" s="32">
        <v>46071.0</v>
      </c>
      <c r="AY32" s="33">
        <v>0.7083333333357587</v>
      </c>
      <c r="AZ32" s="34" t="s">
        <v>1581</v>
      </c>
      <c r="BA32" s="34" t="s">
        <v>458</v>
      </c>
      <c r="BB32" s="34" t="s">
        <v>76</v>
      </c>
      <c r="BC32" s="36"/>
      <c r="BD32" s="36"/>
      <c r="BE32" s="36"/>
      <c r="BF32" s="36"/>
      <c r="BG32" s="36"/>
      <c r="BH32" s="36"/>
      <c r="BI32" s="36"/>
      <c r="BJ32" s="36"/>
      <c r="BK32" s="36"/>
      <c r="BL32" s="34" t="s">
        <v>117</v>
      </c>
      <c r="BM32" s="36"/>
      <c r="BN32" s="34" t="s">
        <v>1924</v>
      </c>
      <c r="BO32" s="36"/>
      <c r="BP32" s="34" t="s">
        <v>1940</v>
      </c>
      <c r="BQ32" s="36"/>
    </row>
    <row r="33">
      <c r="A33" s="31">
        <v>46070.52626594907</v>
      </c>
      <c r="B33" s="32">
        <v>46069.0</v>
      </c>
      <c r="C33" s="33">
        <v>0.5833333333357587</v>
      </c>
      <c r="D33" s="34" t="s">
        <v>91</v>
      </c>
      <c r="E33" s="35" t="s">
        <v>1946</v>
      </c>
      <c r="F33" s="34">
        <v>1.0</v>
      </c>
      <c r="G33" s="34">
        <v>400.0</v>
      </c>
      <c r="H33" s="34" t="s">
        <v>1941</v>
      </c>
      <c r="I33" s="34">
        <v>120000.0</v>
      </c>
      <c r="J33" s="34" t="s">
        <v>167</v>
      </c>
      <c r="K33" s="34" t="s">
        <v>134</v>
      </c>
      <c r="L33" s="36"/>
      <c r="M33" s="36"/>
      <c r="N33" s="34">
        <v>5.0</v>
      </c>
      <c r="O33" s="34" t="s">
        <v>371</v>
      </c>
      <c r="P33" s="34" t="s">
        <v>76</v>
      </c>
      <c r="Q33" s="34" t="s">
        <v>97</v>
      </c>
      <c r="R33" s="34" t="s">
        <v>76</v>
      </c>
      <c r="S33" s="37" t="s">
        <v>1942</v>
      </c>
      <c r="T33" s="36"/>
      <c r="U33" s="34" t="s">
        <v>1943</v>
      </c>
      <c r="V33" s="34">
        <v>9.663743265E9</v>
      </c>
      <c r="W33" s="34" t="s">
        <v>117</v>
      </c>
      <c r="X33" s="34" t="s">
        <v>1944</v>
      </c>
      <c r="Y33" s="36"/>
      <c r="Z33" s="36"/>
      <c r="AA33" s="34" t="s">
        <v>109</v>
      </c>
      <c r="AB33" s="36"/>
      <c r="AC33" s="36"/>
      <c r="AD33" s="36"/>
      <c r="AE33" s="36"/>
      <c r="AF33" s="36"/>
      <c r="AG33" s="36"/>
      <c r="AH33" s="36"/>
      <c r="AI33" s="36"/>
      <c r="AJ33" s="36"/>
      <c r="AK33" s="36"/>
      <c r="AL33" s="36"/>
      <c r="AM33" s="36"/>
      <c r="AN33" s="36"/>
      <c r="AO33" s="36"/>
      <c r="AP33" s="36"/>
      <c r="AQ33" s="36"/>
      <c r="AR33" s="36"/>
      <c r="AS33" s="36"/>
      <c r="AT33" s="34" t="s">
        <v>1945</v>
      </c>
      <c r="AU33" s="34" t="s">
        <v>76</v>
      </c>
      <c r="AV33" s="34" t="s">
        <v>472</v>
      </c>
      <c r="AW33" s="34" t="s">
        <v>1945</v>
      </c>
      <c r="AX33" s="32">
        <v>46071.0</v>
      </c>
      <c r="AY33" s="33">
        <v>0.5833333333357587</v>
      </c>
      <c r="AZ33" s="34" t="s">
        <v>1581</v>
      </c>
      <c r="BA33" s="34" t="s">
        <v>458</v>
      </c>
      <c r="BB33" s="34" t="s">
        <v>76</v>
      </c>
      <c r="BC33" s="36"/>
      <c r="BD33" s="36"/>
      <c r="BE33" s="36"/>
      <c r="BF33" s="36"/>
      <c r="BG33" s="36"/>
      <c r="BH33" s="36"/>
      <c r="BI33" s="36"/>
      <c r="BJ33" s="36"/>
      <c r="BK33" s="36"/>
      <c r="BL33" s="34">
        <v>200.0</v>
      </c>
      <c r="BM33" s="36"/>
      <c r="BN33" s="34" t="s">
        <v>1924</v>
      </c>
      <c r="BO33" s="36"/>
      <c r="BP33" s="34" t="s">
        <v>1946</v>
      </c>
      <c r="BQ33" s="36"/>
    </row>
    <row r="34">
      <c r="A34" s="31">
        <v>46070.53427655093</v>
      </c>
      <c r="B34" s="32">
        <v>46069.0</v>
      </c>
      <c r="C34" s="33">
        <v>0.5833333333357587</v>
      </c>
      <c r="D34" s="34" t="s">
        <v>91</v>
      </c>
      <c r="E34" s="35" t="s">
        <v>1965</v>
      </c>
      <c r="F34" s="34">
        <v>1.0</v>
      </c>
      <c r="G34" s="34">
        <v>300.0</v>
      </c>
      <c r="H34" s="34" t="s">
        <v>117</v>
      </c>
      <c r="I34" s="34">
        <v>90000.0</v>
      </c>
      <c r="J34" s="34" t="s">
        <v>167</v>
      </c>
      <c r="K34" s="34" t="s">
        <v>134</v>
      </c>
      <c r="L34" s="36"/>
      <c r="M34" s="36"/>
      <c r="N34" s="34">
        <v>33.0</v>
      </c>
      <c r="O34" s="34" t="s">
        <v>371</v>
      </c>
      <c r="P34" s="34" t="s">
        <v>76</v>
      </c>
      <c r="Q34" s="34" t="s">
        <v>97</v>
      </c>
      <c r="R34" s="34" t="s">
        <v>76</v>
      </c>
      <c r="S34" s="37" t="s">
        <v>1960</v>
      </c>
      <c r="T34" s="36"/>
      <c r="U34" s="34" t="s">
        <v>1961</v>
      </c>
      <c r="V34" s="34">
        <v>7.002773847E9</v>
      </c>
      <c r="W34" s="34" t="s">
        <v>117</v>
      </c>
      <c r="X34" s="34" t="s">
        <v>1962</v>
      </c>
      <c r="Y34" s="36"/>
      <c r="Z34" s="36"/>
      <c r="AA34" s="34" t="s">
        <v>109</v>
      </c>
      <c r="AB34" s="36"/>
      <c r="AC34" s="36"/>
      <c r="AD34" s="36"/>
      <c r="AE34" s="36"/>
      <c r="AF34" s="36"/>
      <c r="AG34" s="36"/>
      <c r="AH34" s="36"/>
      <c r="AI34" s="36"/>
      <c r="AJ34" s="36"/>
      <c r="AK34" s="36"/>
      <c r="AL34" s="36"/>
      <c r="AM34" s="36"/>
      <c r="AN34" s="36"/>
      <c r="AO34" s="36"/>
      <c r="AP34" s="36"/>
      <c r="AQ34" s="36"/>
      <c r="AR34" s="36"/>
      <c r="AS34" s="36"/>
      <c r="AT34" s="34" t="s">
        <v>1963</v>
      </c>
      <c r="AU34" s="34" t="s">
        <v>76</v>
      </c>
      <c r="AV34" s="34" t="s">
        <v>472</v>
      </c>
      <c r="AW34" s="34" t="s">
        <v>1964</v>
      </c>
      <c r="AX34" s="32">
        <v>46071.0</v>
      </c>
      <c r="AY34" s="33">
        <v>0.5416666666642413</v>
      </c>
      <c r="AZ34" s="34" t="s">
        <v>1581</v>
      </c>
      <c r="BA34" s="34" t="s">
        <v>458</v>
      </c>
      <c r="BB34" s="34" t="s">
        <v>76</v>
      </c>
      <c r="BC34" s="36"/>
      <c r="BD34" s="36"/>
      <c r="BE34" s="36"/>
      <c r="BF34" s="36"/>
      <c r="BG34" s="36"/>
      <c r="BH34" s="36"/>
      <c r="BI34" s="36"/>
      <c r="BJ34" s="36"/>
      <c r="BK34" s="36"/>
      <c r="BL34" s="34">
        <v>300.0</v>
      </c>
      <c r="BM34" s="36"/>
      <c r="BN34" s="34" t="s">
        <v>1924</v>
      </c>
      <c r="BO34" s="36"/>
      <c r="BP34" s="34" t="s">
        <v>1965</v>
      </c>
      <c r="BQ34" s="36"/>
    </row>
    <row r="35">
      <c r="A35" s="31">
        <v>46070.53738548611</v>
      </c>
      <c r="B35" s="32">
        <v>46069.0</v>
      </c>
      <c r="C35" s="33">
        <v>0.5416666666642413</v>
      </c>
      <c r="D35" s="34" t="s">
        <v>91</v>
      </c>
      <c r="E35" s="35" t="s">
        <v>1971</v>
      </c>
      <c r="F35" s="34">
        <v>1.0</v>
      </c>
      <c r="G35" s="34">
        <v>500.0</v>
      </c>
      <c r="H35" s="34" t="s">
        <v>117</v>
      </c>
      <c r="I35" s="34">
        <v>1.0</v>
      </c>
      <c r="J35" s="34" t="s">
        <v>167</v>
      </c>
      <c r="K35" s="34" t="s">
        <v>134</v>
      </c>
      <c r="L35" s="36"/>
      <c r="M35" s="36"/>
      <c r="N35" s="34">
        <v>30.0</v>
      </c>
      <c r="O35" s="34" t="s">
        <v>371</v>
      </c>
      <c r="P35" s="34" t="s">
        <v>76</v>
      </c>
      <c r="Q35" s="34" t="s">
        <v>97</v>
      </c>
      <c r="R35" s="34" t="s">
        <v>76</v>
      </c>
      <c r="S35" s="37" t="s">
        <v>1966</v>
      </c>
      <c r="T35" s="36"/>
      <c r="U35" s="34" t="s">
        <v>1967</v>
      </c>
      <c r="V35" s="34">
        <v>9.398596919E9</v>
      </c>
      <c r="W35" s="34" t="s">
        <v>117</v>
      </c>
      <c r="X35" s="34" t="s">
        <v>1968</v>
      </c>
      <c r="Y35" s="34">
        <v>7.416690785E9</v>
      </c>
      <c r="Z35" s="34" t="s">
        <v>117</v>
      </c>
      <c r="AA35" s="34" t="s">
        <v>109</v>
      </c>
      <c r="AB35" s="36"/>
      <c r="AC35" s="36"/>
      <c r="AD35" s="36"/>
      <c r="AE35" s="36"/>
      <c r="AF35" s="36"/>
      <c r="AG35" s="36"/>
      <c r="AH35" s="36"/>
      <c r="AI35" s="36"/>
      <c r="AJ35" s="36"/>
      <c r="AK35" s="36"/>
      <c r="AL35" s="36"/>
      <c r="AM35" s="36"/>
      <c r="AN35" s="36"/>
      <c r="AO35" s="36"/>
      <c r="AP35" s="36"/>
      <c r="AQ35" s="36"/>
      <c r="AR35" s="36"/>
      <c r="AS35" s="36"/>
      <c r="AT35" s="34" t="s">
        <v>1969</v>
      </c>
      <c r="AU35" s="34" t="s">
        <v>76</v>
      </c>
      <c r="AV35" s="34" t="s">
        <v>472</v>
      </c>
      <c r="AW35" s="34" t="s">
        <v>1970</v>
      </c>
      <c r="AX35" s="32">
        <v>46071.0</v>
      </c>
      <c r="AY35" s="33">
        <v>0.5833333333357587</v>
      </c>
      <c r="AZ35" s="34" t="s">
        <v>1581</v>
      </c>
      <c r="BA35" s="34" t="s">
        <v>458</v>
      </c>
      <c r="BB35" s="34" t="s">
        <v>76</v>
      </c>
      <c r="BC35" s="36"/>
      <c r="BD35" s="36"/>
      <c r="BE35" s="36"/>
      <c r="BF35" s="36"/>
      <c r="BG35" s="36"/>
      <c r="BH35" s="36"/>
      <c r="BI35" s="36"/>
      <c r="BJ35" s="36"/>
      <c r="BK35" s="36"/>
      <c r="BL35" s="34">
        <v>1.0</v>
      </c>
      <c r="BM35" s="36"/>
      <c r="BN35" s="34" t="s">
        <v>1924</v>
      </c>
      <c r="BO35" s="36"/>
      <c r="BP35" s="34" t="s">
        <v>1971</v>
      </c>
      <c r="BQ35" s="36"/>
    </row>
    <row r="36">
      <c r="A36" s="31">
        <v>46070.541669467595</v>
      </c>
      <c r="B36" s="32">
        <v>46069.0</v>
      </c>
      <c r="C36" s="33">
        <v>0.5833333333357587</v>
      </c>
      <c r="D36" s="34" t="s">
        <v>91</v>
      </c>
      <c r="E36" s="35" t="s">
        <v>687</v>
      </c>
      <c r="F36" s="34">
        <v>1.0</v>
      </c>
      <c r="G36" s="34">
        <v>600.0</v>
      </c>
      <c r="H36" s="34" t="s">
        <v>611</v>
      </c>
      <c r="I36" s="34">
        <v>24000.0</v>
      </c>
      <c r="J36" s="34" t="s">
        <v>167</v>
      </c>
      <c r="K36" s="34" t="s">
        <v>134</v>
      </c>
      <c r="L36" s="36"/>
      <c r="M36" s="36"/>
      <c r="N36" s="34">
        <v>9.0</v>
      </c>
      <c r="O36" s="34" t="s">
        <v>371</v>
      </c>
      <c r="P36" s="34" t="s">
        <v>76</v>
      </c>
      <c r="Q36" s="34" t="s">
        <v>97</v>
      </c>
      <c r="R36" s="34" t="s">
        <v>76</v>
      </c>
      <c r="S36" s="37" t="s">
        <v>1972</v>
      </c>
      <c r="T36" s="36"/>
      <c r="U36" s="34" t="s">
        <v>1973</v>
      </c>
      <c r="V36" s="34">
        <v>8.374972864E9</v>
      </c>
      <c r="W36" s="34" t="s">
        <v>117</v>
      </c>
      <c r="X36" s="36"/>
      <c r="Y36" s="36"/>
      <c r="Z36" s="36"/>
      <c r="AA36" s="34" t="s">
        <v>109</v>
      </c>
      <c r="AB36" s="36"/>
      <c r="AC36" s="36"/>
      <c r="AD36" s="36"/>
      <c r="AE36" s="36"/>
      <c r="AF36" s="36"/>
      <c r="AG36" s="36"/>
      <c r="AH36" s="36"/>
      <c r="AI36" s="36"/>
      <c r="AJ36" s="36"/>
      <c r="AK36" s="36"/>
      <c r="AL36" s="36"/>
      <c r="AM36" s="36"/>
      <c r="AN36" s="36"/>
      <c r="AO36" s="36"/>
      <c r="AP36" s="36"/>
      <c r="AQ36" s="36"/>
      <c r="AR36" s="36"/>
      <c r="AS36" s="36"/>
      <c r="AT36" s="34" t="s">
        <v>1974</v>
      </c>
      <c r="AU36" s="34" t="s">
        <v>76</v>
      </c>
      <c r="AV36" s="34" t="s">
        <v>472</v>
      </c>
      <c r="AW36" s="34" t="s">
        <v>1974</v>
      </c>
      <c r="AX36" s="32">
        <v>46071.0</v>
      </c>
      <c r="AY36" s="33">
        <v>0.5833333333357587</v>
      </c>
      <c r="AZ36" s="34" t="s">
        <v>1581</v>
      </c>
      <c r="BA36" s="34" t="s">
        <v>458</v>
      </c>
      <c r="BB36" s="34" t="s">
        <v>76</v>
      </c>
      <c r="BC36" s="36"/>
      <c r="BD36" s="36"/>
      <c r="BE36" s="36"/>
      <c r="BF36" s="36"/>
      <c r="BG36" s="36"/>
      <c r="BH36" s="36"/>
      <c r="BI36" s="36"/>
      <c r="BJ36" s="36"/>
      <c r="BK36" s="36"/>
      <c r="BL36" s="34">
        <v>40.0</v>
      </c>
      <c r="BM36" s="36"/>
      <c r="BN36" s="34" t="s">
        <v>1924</v>
      </c>
      <c r="BO36" s="36"/>
      <c r="BP36" s="34" t="s">
        <v>687</v>
      </c>
      <c r="BQ36" s="36"/>
    </row>
    <row r="37">
      <c r="A37" s="31">
        <v>46070.54897209491</v>
      </c>
      <c r="B37" s="32">
        <v>46069.0</v>
      </c>
      <c r="C37" s="33">
        <v>0.5833333333357587</v>
      </c>
      <c r="D37" s="34" t="s">
        <v>91</v>
      </c>
      <c r="E37" s="35" t="s">
        <v>1992</v>
      </c>
      <c r="F37" s="34">
        <v>130.0</v>
      </c>
      <c r="G37" s="34">
        <v>1200.0</v>
      </c>
      <c r="H37" s="34" t="s">
        <v>117</v>
      </c>
      <c r="I37" s="36"/>
      <c r="J37" s="34" t="s">
        <v>167</v>
      </c>
      <c r="K37" s="34" t="s">
        <v>134</v>
      </c>
      <c r="L37" s="36"/>
      <c r="M37" s="36"/>
      <c r="N37" s="34">
        <v>1.0</v>
      </c>
      <c r="O37" s="34" t="s">
        <v>371</v>
      </c>
      <c r="P37" s="34" t="s">
        <v>76</v>
      </c>
      <c r="Q37" s="34" t="s">
        <v>97</v>
      </c>
      <c r="R37" s="34" t="s">
        <v>76</v>
      </c>
      <c r="S37" s="37" t="s">
        <v>1988</v>
      </c>
      <c r="T37" s="36"/>
      <c r="U37" s="34" t="s">
        <v>1989</v>
      </c>
      <c r="V37" s="34">
        <v>7.093369917E9</v>
      </c>
      <c r="W37" s="34" t="s">
        <v>388</v>
      </c>
      <c r="X37" s="34" t="s">
        <v>1990</v>
      </c>
      <c r="Y37" s="36"/>
      <c r="Z37" s="36"/>
      <c r="AA37" s="34" t="s">
        <v>109</v>
      </c>
      <c r="AB37" s="36"/>
      <c r="AC37" s="36"/>
      <c r="AD37" s="36"/>
      <c r="AE37" s="36"/>
      <c r="AF37" s="36"/>
      <c r="AG37" s="36"/>
      <c r="AH37" s="36"/>
      <c r="AI37" s="36"/>
      <c r="AJ37" s="36"/>
      <c r="AK37" s="36"/>
      <c r="AL37" s="36"/>
      <c r="AM37" s="36"/>
      <c r="AN37" s="36"/>
      <c r="AO37" s="36"/>
      <c r="AP37" s="36"/>
      <c r="AQ37" s="36"/>
      <c r="AR37" s="36"/>
      <c r="AS37" s="36"/>
      <c r="AT37" s="34" t="s">
        <v>1991</v>
      </c>
      <c r="AU37" s="34" t="s">
        <v>76</v>
      </c>
      <c r="AV37" s="34" t="s">
        <v>472</v>
      </c>
      <c r="AW37" s="34" t="s">
        <v>1991</v>
      </c>
      <c r="AX37" s="32">
        <v>46071.0</v>
      </c>
      <c r="AY37" s="33">
        <v>0.5</v>
      </c>
      <c r="AZ37" s="34" t="s">
        <v>1581</v>
      </c>
      <c r="BA37" s="34" t="s">
        <v>458</v>
      </c>
      <c r="BB37" s="34" t="s">
        <v>76</v>
      </c>
      <c r="BC37" s="36"/>
      <c r="BD37" s="36"/>
      <c r="BE37" s="36"/>
      <c r="BF37" s="36"/>
      <c r="BG37" s="36"/>
      <c r="BH37" s="36"/>
      <c r="BI37" s="36"/>
      <c r="BJ37" s="36"/>
      <c r="BK37" s="36"/>
      <c r="BL37" s="36"/>
      <c r="BM37" s="36"/>
      <c r="BN37" s="34" t="s">
        <v>1924</v>
      </c>
      <c r="BO37" s="36"/>
      <c r="BP37" s="34" t="s">
        <v>1992</v>
      </c>
      <c r="BQ37" s="36"/>
    </row>
    <row r="38">
      <c r="A38" s="31">
        <v>46070.5524103125</v>
      </c>
      <c r="B38" s="32">
        <v>46069.0</v>
      </c>
      <c r="C38" s="33">
        <v>0.5</v>
      </c>
      <c r="D38" s="34" t="s">
        <v>91</v>
      </c>
      <c r="E38" s="35" t="s">
        <v>1999</v>
      </c>
      <c r="F38" s="34">
        <v>700.0</v>
      </c>
      <c r="G38" s="34">
        <v>550.0</v>
      </c>
      <c r="H38" s="34" t="s">
        <v>1993</v>
      </c>
      <c r="I38" s="36"/>
      <c r="J38" s="34" t="s">
        <v>167</v>
      </c>
      <c r="K38" s="34" t="s">
        <v>134</v>
      </c>
      <c r="L38" s="36"/>
      <c r="M38" s="36"/>
      <c r="N38" s="34">
        <v>1.0</v>
      </c>
      <c r="O38" s="34" t="s">
        <v>371</v>
      </c>
      <c r="P38" s="34" t="s">
        <v>76</v>
      </c>
      <c r="Q38" s="34" t="s">
        <v>97</v>
      </c>
      <c r="R38" s="34" t="s">
        <v>76</v>
      </c>
      <c r="S38" s="37" t="s">
        <v>1994</v>
      </c>
      <c r="T38" s="36"/>
      <c r="U38" s="34" t="s">
        <v>1995</v>
      </c>
      <c r="V38" s="34">
        <v>7.731019977E9</v>
      </c>
      <c r="W38" s="34" t="s">
        <v>117</v>
      </c>
      <c r="X38" s="34" t="s">
        <v>1996</v>
      </c>
      <c r="Y38" s="34">
        <v>7.731019988E9</v>
      </c>
      <c r="Z38" s="36"/>
      <c r="AA38" s="34" t="s">
        <v>109</v>
      </c>
      <c r="AB38" s="36"/>
      <c r="AC38" s="36"/>
      <c r="AD38" s="36"/>
      <c r="AE38" s="36"/>
      <c r="AF38" s="36"/>
      <c r="AG38" s="36"/>
      <c r="AH38" s="36"/>
      <c r="AI38" s="36"/>
      <c r="AJ38" s="36"/>
      <c r="AK38" s="36"/>
      <c r="AL38" s="36"/>
      <c r="AM38" s="36"/>
      <c r="AN38" s="36"/>
      <c r="AO38" s="36"/>
      <c r="AP38" s="36"/>
      <c r="AQ38" s="36"/>
      <c r="AR38" s="36"/>
      <c r="AS38" s="36"/>
      <c r="AT38" s="34" t="s">
        <v>1997</v>
      </c>
      <c r="AU38" s="34" t="s">
        <v>76</v>
      </c>
      <c r="AV38" s="34" t="s">
        <v>472</v>
      </c>
      <c r="AW38" s="34" t="s">
        <v>1998</v>
      </c>
      <c r="AX38" s="32">
        <v>46071.0</v>
      </c>
      <c r="AY38" s="33">
        <v>0.6666666666642413</v>
      </c>
      <c r="AZ38" s="34" t="s">
        <v>1581</v>
      </c>
      <c r="BA38" s="34" t="s">
        <v>458</v>
      </c>
      <c r="BB38" s="34" t="s">
        <v>76</v>
      </c>
      <c r="BC38" s="36"/>
      <c r="BD38" s="36"/>
      <c r="BE38" s="36"/>
      <c r="BF38" s="36"/>
      <c r="BG38" s="36"/>
      <c r="BH38" s="36"/>
      <c r="BI38" s="36"/>
      <c r="BJ38" s="36"/>
      <c r="BK38" s="36"/>
      <c r="BL38" s="36"/>
      <c r="BM38" s="36"/>
      <c r="BN38" s="34" t="s">
        <v>1924</v>
      </c>
      <c r="BO38" s="36"/>
      <c r="BP38" s="34" t="s">
        <v>1999</v>
      </c>
      <c r="BQ38" s="36"/>
    </row>
    <row r="39">
      <c r="A39" s="31">
        <v>46070.5564897338</v>
      </c>
      <c r="B39" s="32">
        <v>46069.0</v>
      </c>
      <c r="C39" s="33">
        <v>0.5833333333357587</v>
      </c>
      <c r="D39" s="34" t="s">
        <v>91</v>
      </c>
      <c r="E39" s="35" t="s">
        <v>2006</v>
      </c>
      <c r="F39" s="34">
        <v>150.0</v>
      </c>
      <c r="G39" s="34">
        <v>1200.0</v>
      </c>
      <c r="H39" s="34" t="s">
        <v>2000</v>
      </c>
      <c r="I39" s="36"/>
      <c r="J39" s="34" t="s">
        <v>167</v>
      </c>
      <c r="K39" s="34" t="s">
        <v>134</v>
      </c>
      <c r="L39" s="36"/>
      <c r="M39" s="36"/>
      <c r="N39" s="34">
        <v>14.0</v>
      </c>
      <c r="O39" s="34" t="s">
        <v>371</v>
      </c>
      <c r="P39" s="34" t="s">
        <v>76</v>
      </c>
      <c r="Q39" s="34" t="s">
        <v>97</v>
      </c>
      <c r="R39" s="34" t="s">
        <v>76</v>
      </c>
      <c r="S39" s="34" t="s">
        <v>2001</v>
      </c>
      <c r="T39" s="36"/>
      <c r="U39" s="34" t="s">
        <v>2002</v>
      </c>
      <c r="V39" s="34">
        <v>9.907958581E9</v>
      </c>
      <c r="W39" s="34" t="s">
        <v>117</v>
      </c>
      <c r="X39" s="34" t="s">
        <v>2003</v>
      </c>
      <c r="Y39" s="34">
        <v>9.121165812E9</v>
      </c>
      <c r="Z39" s="36"/>
      <c r="AA39" s="34" t="s">
        <v>109</v>
      </c>
      <c r="AB39" s="36"/>
      <c r="AC39" s="36"/>
      <c r="AD39" s="36"/>
      <c r="AE39" s="36"/>
      <c r="AF39" s="36"/>
      <c r="AG39" s="36"/>
      <c r="AH39" s="36"/>
      <c r="AI39" s="36"/>
      <c r="AJ39" s="36"/>
      <c r="AK39" s="36"/>
      <c r="AL39" s="36"/>
      <c r="AM39" s="36"/>
      <c r="AN39" s="36"/>
      <c r="AO39" s="36"/>
      <c r="AP39" s="36"/>
      <c r="AQ39" s="36"/>
      <c r="AR39" s="36"/>
      <c r="AS39" s="36"/>
      <c r="AT39" s="34" t="s">
        <v>2004</v>
      </c>
      <c r="AU39" s="34" t="s">
        <v>76</v>
      </c>
      <c r="AV39" s="34" t="s">
        <v>472</v>
      </c>
      <c r="AW39" s="34" t="s">
        <v>2005</v>
      </c>
      <c r="AX39" s="32">
        <v>46071.0</v>
      </c>
      <c r="AY39" s="33">
        <v>0.5833333333357587</v>
      </c>
      <c r="AZ39" s="34" t="s">
        <v>1581</v>
      </c>
      <c r="BA39" s="34" t="s">
        <v>458</v>
      </c>
      <c r="BB39" s="34" t="s">
        <v>76</v>
      </c>
      <c r="BC39" s="36"/>
      <c r="BD39" s="36"/>
      <c r="BE39" s="36"/>
      <c r="BF39" s="36"/>
      <c r="BG39" s="36"/>
      <c r="BH39" s="36"/>
      <c r="BI39" s="36"/>
      <c r="BJ39" s="36"/>
      <c r="BK39" s="36"/>
      <c r="BL39" s="36"/>
      <c r="BM39" s="36"/>
      <c r="BN39" s="34" t="s">
        <v>1924</v>
      </c>
      <c r="BO39" s="36"/>
      <c r="BP39" s="34" t="s">
        <v>2006</v>
      </c>
      <c r="BQ39" s="36"/>
    </row>
    <row r="40">
      <c r="A40" s="31">
        <v>46070.56085337963</v>
      </c>
      <c r="B40" s="32">
        <v>46069.0</v>
      </c>
      <c r="C40" s="33">
        <v>0.5833333333357587</v>
      </c>
      <c r="D40" s="34" t="s">
        <v>91</v>
      </c>
      <c r="E40" s="35" t="s">
        <v>2013</v>
      </c>
      <c r="F40" s="34">
        <v>230.0</v>
      </c>
      <c r="G40" s="34">
        <v>1500.0</v>
      </c>
      <c r="H40" s="34" t="s">
        <v>388</v>
      </c>
      <c r="I40" s="36"/>
      <c r="J40" s="34" t="s">
        <v>167</v>
      </c>
      <c r="K40" s="34" t="s">
        <v>95</v>
      </c>
      <c r="L40" s="36"/>
      <c r="M40" s="36"/>
      <c r="N40" s="34">
        <v>19.0</v>
      </c>
      <c r="O40" s="34" t="s">
        <v>371</v>
      </c>
      <c r="P40" s="34" t="s">
        <v>76</v>
      </c>
      <c r="Q40" s="34" t="s">
        <v>97</v>
      </c>
      <c r="R40" s="34" t="s">
        <v>76</v>
      </c>
      <c r="S40" s="37" t="s">
        <v>2007</v>
      </c>
      <c r="T40" s="36"/>
      <c r="U40" s="34" t="s">
        <v>2008</v>
      </c>
      <c r="V40" s="34">
        <v>9.867122223E9</v>
      </c>
      <c r="W40" s="34" t="s">
        <v>2009</v>
      </c>
      <c r="X40" s="34" t="s">
        <v>2010</v>
      </c>
      <c r="Y40" s="34">
        <v>8.099420329E9</v>
      </c>
      <c r="Z40" s="36"/>
      <c r="AA40" s="34" t="s">
        <v>109</v>
      </c>
      <c r="AB40" s="36"/>
      <c r="AC40" s="36"/>
      <c r="AD40" s="36"/>
      <c r="AE40" s="36"/>
      <c r="AF40" s="36"/>
      <c r="AG40" s="36"/>
      <c r="AH40" s="36"/>
      <c r="AI40" s="36"/>
      <c r="AJ40" s="36"/>
      <c r="AK40" s="36"/>
      <c r="AL40" s="36"/>
      <c r="AM40" s="36"/>
      <c r="AN40" s="36"/>
      <c r="AO40" s="36"/>
      <c r="AP40" s="36"/>
      <c r="AQ40" s="36"/>
      <c r="AR40" s="36"/>
      <c r="AS40" s="36"/>
      <c r="AT40" s="34" t="s">
        <v>2011</v>
      </c>
      <c r="AU40" s="34" t="s">
        <v>76</v>
      </c>
      <c r="AV40" s="34" t="s">
        <v>472</v>
      </c>
      <c r="AW40" s="34" t="s">
        <v>2012</v>
      </c>
      <c r="AX40" s="32">
        <v>46071.0</v>
      </c>
      <c r="AY40" s="33">
        <v>0.5833333333357587</v>
      </c>
      <c r="AZ40" s="34" t="s">
        <v>1581</v>
      </c>
      <c r="BA40" s="34" t="s">
        <v>458</v>
      </c>
      <c r="BB40" s="34" t="s">
        <v>76</v>
      </c>
      <c r="BC40" s="36"/>
      <c r="BD40" s="36"/>
      <c r="BE40" s="36"/>
      <c r="BF40" s="36"/>
      <c r="BG40" s="36"/>
      <c r="BH40" s="36"/>
      <c r="BI40" s="36"/>
      <c r="BJ40" s="36"/>
      <c r="BK40" s="36"/>
      <c r="BL40" s="36"/>
      <c r="BM40" s="36"/>
      <c r="BN40" s="34" t="s">
        <v>1924</v>
      </c>
      <c r="BO40" s="36"/>
      <c r="BP40" s="34" t="s">
        <v>2013</v>
      </c>
      <c r="BQ40" s="36"/>
    </row>
    <row r="41">
      <c r="A41" s="31">
        <v>46070.56642959491</v>
      </c>
      <c r="B41" s="32">
        <v>46070.0</v>
      </c>
      <c r="C41" s="33">
        <v>0.5145833333372138</v>
      </c>
      <c r="D41" s="34" t="s">
        <v>91</v>
      </c>
      <c r="E41" s="35" t="s">
        <v>5762</v>
      </c>
      <c r="F41" s="34">
        <v>60.0</v>
      </c>
      <c r="G41" s="34">
        <v>500.0</v>
      </c>
      <c r="H41" s="34" t="s">
        <v>117</v>
      </c>
      <c r="I41" s="36"/>
      <c r="J41" s="34" t="s">
        <v>167</v>
      </c>
      <c r="K41" s="36"/>
      <c r="L41" s="36"/>
      <c r="M41" s="36"/>
      <c r="N41" s="34">
        <v>1.0</v>
      </c>
      <c r="O41" s="34" t="s">
        <v>96</v>
      </c>
      <c r="P41" s="34" t="s">
        <v>76</v>
      </c>
      <c r="Q41" s="34" t="s">
        <v>97</v>
      </c>
      <c r="R41" s="34" t="s">
        <v>98</v>
      </c>
      <c r="S41" s="34" t="s">
        <v>2014</v>
      </c>
      <c r="T41" s="34" t="s">
        <v>2015</v>
      </c>
      <c r="U41" s="34" t="s">
        <v>2016</v>
      </c>
      <c r="V41" s="34">
        <v>8.668045147E9</v>
      </c>
      <c r="W41" s="34" t="s">
        <v>2017</v>
      </c>
      <c r="X41" s="36"/>
      <c r="Y41" s="36"/>
      <c r="Z41" s="36"/>
      <c r="AA41" s="34" t="s">
        <v>109</v>
      </c>
      <c r="AB41" s="36"/>
      <c r="AC41" s="36"/>
      <c r="AD41" s="36"/>
      <c r="AE41" s="36"/>
      <c r="AF41" s="36"/>
      <c r="AG41" s="36"/>
      <c r="AH41" s="36"/>
      <c r="AI41" s="36"/>
      <c r="AJ41" s="36"/>
      <c r="AK41" s="36"/>
      <c r="AL41" s="36"/>
      <c r="AM41" s="36"/>
      <c r="AN41" s="36"/>
      <c r="AO41" s="36"/>
      <c r="AP41" s="36"/>
      <c r="AQ41" s="36"/>
      <c r="AR41" s="36"/>
      <c r="AS41" s="36"/>
      <c r="AT41" s="34" t="s">
        <v>2018</v>
      </c>
      <c r="AU41" s="34" t="s">
        <v>76</v>
      </c>
      <c r="AV41" s="34" t="s">
        <v>472</v>
      </c>
      <c r="AW41" s="36"/>
      <c r="AX41" s="36"/>
      <c r="AY41" s="36"/>
      <c r="AZ41" s="34" t="s">
        <v>1607</v>
      </c>
      <c r="BA41" s="34" t="s">
        <v>458</v>
      </c>
      <c r="BB41" s="34" t="s">
        <v>76</v>
      </c>
      <c r="BC41" s="36"/>
      <c r="BD41" s="36"/>
      <c r="BE41" s="36"/>
      <c r="BF41" s="36"/>
      <c r="BG41" s="36"/>
      <c r="BH41" s="36"/>
      <c r="BI41" s="36"/>
      <c r="BJ41" s="36"/>
      <c r="BK41" s="36"/>
      <c r="BL41" s="36"/>
      <c r="BM41" s="36"/>
      <c r="BN41" s="34" t="s">
        <v>2015</v>
      </c>
      <c r="BO41" s="36"/>
      <c r="BP41" s="34" t="s">
        <v>2015</v>
      </c>
      <c r="BQ41" s="36"/>
    </row>
    <row r="42">
      <c r="A42" s="31">
        <v>46070.5739958912</v>
      </c>
      <c r="B42" s="32">
        <v>46070.0</v>
      </c>
      <c r="C42" s="33">
        <v>0.5194444444423425</v>
      </c>
      <c r="D42" s="34" t="s">
        <v>91</v>
      </c>
      <c r="E42" s="35" t="s">
        <v>5763</v>
      </c>
      <c r="F42" s="34">
        <v>40.0</v>
      </c>
      <c r="G42" s="34">
        <v>450.0</v>
      </c>
      <c r="H42" s="34" t="s">
        <v>117</v>
      </c>
      <c r="I42" s="36"/>
      <c r="J42" s="34" t="s">
        <v>167</v>
      </c>
      <c r="K42" s="36"/>
      <c r="L42" s="36"/>
      <c r="M42" s="36"/>
      <c r="N42" s="34">
        <v>1.0</v>
      </c>
      <c r="O42" s="34" t="s">
        <v>96</v>
      </c>
      <c r="P42" s="34" t="s">
        <v>76</v>
      </c>
      <c r="Q42" s="34" t="s">
        <v>97</v>
      </c>
      <c r="R42" s="34" t="s">
        <v>76</v>
      </c>
      <c r="S42" s="34" t="s">
        <v>2014</v>
      </c>
      <c r="T42" s="34" t="s">
        <v>2019</v>
      </c>
      <c r="U42" s="34" t="s">
        <v>566</v>
      </c>
      <c r="V42" s="34">
        <v>9.967535945E9</v>
      </c>
      <c r="W42" s="34" t="s">
        <v>117</v>
      </c>
      <c r="X42" s="36"/>
      <c r="Y42" s="36"/>
      <c r="Z42" s="36"/>
      <c r="AA42" s="34" t="s">
        <v>109</v>
      </c>
      <c r="AB42" s="36"/>
      <c r="AC42" s="36"/>
      <c r="AD42" s="36"/>
      <c r="AE42" s="36"/>
      <c r="AF42" s="36"/>
      <c r="AG42" s="36"/>
      <c r="AH42" s="36"/>
      <c r="AI42" s="36"/>
      <c r="AJ42" s="36"/>
      <c r="AK42" s="36"/>
      <c r="AL42" s="36"/>
      <c r="AM42" s="36"/>
      <c r="AN42" s="36"/>
      <c r="AO42" s="36"/>
      <c r="AP42" s="36"/>
      <c r="AQ42" s="36"/>
      <c r="AR42" s="36"/>
      <c r="AS42" s="36"/>
      <c r="AT42" s="34" t="s">
        <v>2020</v>
      </c>
      <c r="AU42" s="34" t="s">
        <v>76</v>
      </c>
      <c r="AV42" s="34" t="s">
        <v>472</v>
      </c>
      <c r="AW42" s="36"/>
      <c r="AX42" s="36"/>
      <c r="AY42" s="36"/>
      <c r="AZ42" s="34" t="s">
        <v>1607</v>
      </c>
      <c r="BA42" s="34" t="s">
        <v>458</v>
      </c>
      <c r="BB42" s="34" t="s">
        <v>76</v>
      </c>
      <c r="BC42" s="36"/>
      <c r="BD42" s="36"/>
      <c r="BE42" s="36"/>
      <c r="BF42" s="36"/>
      <c r="BG42" s="36"/>
      <c r="BH42" s="36"/>
      <c r="BI42" s="36"/>
      <c r="BJ42" s="36"/>
      <c r="BK42" s="36"/>
      <c r="BL42" s="36"/>
      <c r="BM42" s="36"/>
      <c r="BN42" s="34" t="s">
        <v>2019</v>
      </c>
      <c r="BO42" s="36"/>
      <c r="BP42" s="34" t="s">
        <v>2019</v>
      </c>
      <c r="BQ42" s="36"/>
    </row>
    <row r="43">
      <c r="A43" s="31">
        <v>46070.58790017361</v>
      </c>
      <c r="B43" s="32">
        <v>46070.0</v>
      </c>
      <c r="C43" s="33">
        <v>0.5243055555547471</v>
      </c>
      <c r="D43" s="34" t="s">
        <v>91</v>
      </c>
      <c r="E43" s="35" t="s">
        <v>5764</v>
      </c>
      <c r="F43" s="34">
        <v>40.0</v>
      </c>
      <c r="G43" s="34">
        <v>500.0</v>
      </c>
      <c r="H43" s="34" t="s">
        <v>117</v>
      </c>
      <c r="I43" s="36"/>
      <c r="J43" s="34" t="s">
        <v>167</v>
      </c>
      <c r="K43" s="36"/>
      <c r="L43" s="36"/>
      <c r="M43" s="36"/>
      <c r="N43" s="34">
        <v>1.0</v>
      </c>
      <c r="O43" s="34" t="s">
        <v>96</v>
      </c>
      <c r="P43" s="34" t="s">
        <v>76</v>
      </c>
      <c r="Q43" s="34" t="s">
        <v>97</v>
      </c>
      <c r="R43" s="34" t="s">
        <v>76</v>
      </c>
      <c r="S43" s="34" t="s">
        <v>2014</v>
      </c>
      <c r="T43" s="34" t="s">
        <v>2021</v>
      </c>
      <c r="U43" s="34" t="s">
        <v>2022</v>
      </c>
      <c r="V43" s="34">
        <v>9.100009426E9</v>
      </c>
      <c r="W43" s="34" t="s">
        <v>117</v>
      </c>
      <c r="X43" s="36"/>
      <c r="Y43" s="36"/>
      <c r="Z43" s="36"/>
      <c r="AA43" s="34" t="s">
        <v>109</v>
      </c>
      <c r="AB43" s="36"/>
      <c r="AC43" s="36"/>
      <c r="AD43" s="36"/>
      <c r="AE43" s="36"/>
      <c r="AF43" s="36"/>
      <c r="AG43" s="36"/>
      <c r="AH43" s="36"/>
      <c r="AI43" s="36"/>
      <c r="AJ43" s="36"/>
      <c r="AK43" s="36"/>
      <c r="AL43" s="36"/>
      <c r="AM43" s="36"/>
      <c r="AN43" s="36"/>
      <c r="AO43" s="36"/>
      <c r="AP43" s="36"/>
      <c r="AQ43" s="36"/>
      <c r="AR43" s="36"/>
      <c r="AS43" s="36"/>
      <c r="AT43" s="34" t="s">
        <v>2023</v>
      </c>
      <c r="AU43" s="34" t="s">
        <v>76</v>
      </c>
      <c r="AV43" s="34" t="s">
        <v>472</v>
      </c>
      <c r="AW43" s="36"/>
      <c r="AX43" s="36"/>
      <c r="AY43" s="36"/>
      <c r="AZ43" s="34" t="s">
        <v>1607</v>
      </c>
      <c r="BA43" s="34" t="s">
        <v>458</v>
      </c>
      <c r="BB43" s="34" t="s">
        <v>76</v>
      </c>
      <c r="BC43" s="36"/>
      <c r="BD43" s="36"/>
      <c r="BE43" s="36"/>
      <c r="BF43" s="36"/>
      <c r="BG43" s="36"/>
      <c r="BH43" s="36"/>
      <c r="BI43" s="36"/>
      <c r="BJ43" s="36"/>
      <c r="BK43" s="36"/>
      <c r="BL43" s="36"/>
      <c r="BM43" s="36"/>
      <c r="BN43" s="34" t="s">
        <v>2021</v>
      </c>
      <c r="BO43" s="36"/>
      <c r="BP43" s="34" t="s">
        <v>2021</v>
      </c>
      <c r="BQ43" s="36"/>
    </row>
    <row r="44">
      <c r="A44" s="31">
        <v>46070.64353909722</v>
      </c>
      <c r="B44" s="32">
        <v>46070.0</v>
      </c>
      <c r="C44" s="33">
        <v>0.05833333333430346</v>
      </c>
      <c r="D44" s="34" t="s">
        <v>91</v>
      </c>
      <c r="E44" s="35" t="s">
        <v>5765</v>
      </c>
      <c r="F44" s="34">
        <v>1.0</v>
      </c>
      <c r="G44" s="34">
        <v>500.0</v>
      </c>
      <c r="H44" s="34" t="s">
        <v>117</v>
      </c>
      <c r="I44" s="36"/>
      <c r="J44" s="34" t="s">
        <v>167</v>
      </c>
      <c r="K44" s="36"/>
      <c r="L44" s="36"/>
      <c r="M44" s="36"/>
      <c r="N44" s="34">
        <v>1.0</v>
      </c>
      <c r="O44" s="34" t="s">
        <v>96</v>
      </c>
      <c r="P44" s="34" t="s">
        <v>76</v>
      </c>
      <c r="Q44" s="34" t="s">
        <v>97</v>
      </c>
      <c r="R44" s="34" t="s">
        <v>98</v>
      </c>
      <c r="S44" s="34" t="s">
        <v>2014</v>
      </c>
      <c r="T44" s="34" t="s">
        <v>2046</v>
      </c>
      <c r="U44" s="34" t="s">
        <v>2047</v>
      </c>
      <c r="V44" s="34">
        <v>7.032888705E9</v>
      </c>
      <c r="W44" s="34" t="s">
        <v>2048</v>
      </c>
      <c r="X44" s="36"/>
      <c r="Y44" s="36"/>
      <c r="Z44" s="36"/>
      <c r="AA44" s="34" t="s">
        <v>109</v>
      </c>
      <c r="AB44" s="36"/>
      <c r="AC44" s="36"/>
      <c r="AD44" s="36"/>
      <c r="AE44" s="36"/>
      <c r="AF44" s="36"/>
      <c r="AG44" s="36"/>
      <c r="AH44" s="36"/>
      <c r="AI44" s="36"/>
      <c r="AJ44" s="36"/>
      <c r="AK44" s="36"/>
      <c r="AL44" s="36"/>
      <c r="AM44" s="36"/>
      <c r="AN44" s="36"/>
      <c r="AO44" s="36"/>
      <c r="AP44" s="36"/>
      <c r="AQ44" s="36"/>
      <c r="AR44" s="36"/>
      <c r="AS44" s="36"/>
      <c r="AT44" s="34" t="s">
        <v>2049</v>
      </c>
      <c r="AU44" s="34" t="s">
        <v>76</v>
      </c>
      <c r="AV44" s="34" t="s">
        <v>472</v>
      </c>
      <c r="AW44" s="36"/>
      <c r="AX44" s="36"/>
      <c r="AY44" s="36"/>
      <c r="AZ44" s="34" t="s">
        <v>1607</v>
      </c>
      <c r="BA44" s="34" t="s">
        <v>458</v>
      </c>
      <c r="BB44" s="34" t="s">
        <v>76</v>
      </c>
      <c r="BC44" s="36"/>
      <c r="BD44" s="36"/>
      <c r="BE44" s="36"/>
      <c r="BF44" s="36"/>
      <c r="BG44" s="36"/>
      <c r="BH44" s="36"/>
      <c r="BI44" s="36"/>
      <c r="BJ44" s="36"/>
      <c r="BK44" s="36"/>
      <c r="BL44" s="36"/>
      <c r="BM44" s="36"/>
      <c r="BN44" s="34" t="s">
        <v>2046</v>
      </c>
      <c r="BO44" s="36"/>
      <c r="BP44" s="34" t="s">
        <v>2046</v>
      </c>
      <c r="BQ44" s="36"/>
    </row>
    <row r="45">
      <c r="A45" s="31">
        <v>46071.4068443287</v>
      </c>
      <c r="B45" s="32">
        <v>46070.0</v>
      </c>
      <c r="C45" s="33">
        <v>0.625</v>
      </c>
      <c r="D45" s="34" t="s">
        <v>91</v>
      </c>
      <c r="E45" s="35" t="s">
        <v>2105</v>
      </c>
      <c r="F45" s="34">
        <v>50.0</v>
      </c>
      <c r="G45" s="34">
        <v>400.0</v>
      </c>
      <c r="H45" s="34" t="s">
        <v>113</v>
      </c>
      <c r="I45" s="36"/>
      <c r="J45" s="34" t="s">
        <v>167</v>
      </c>
      <c r="K45" s="34" t="s">
        <v>118</v>
      </c>
      <c r="L45" s="36"/>
      <c r="M45" s="36"/>
      <c r="N45" s="34">
        <v>1.0</v>
      </c>
      <c r="O45" s="34" t="s">
        <v>135</v>
      </c>
      <c r="P45" s="34" t="s">
        <v>76</v>
      </c>
      <c r="Q45" s="34" t="s">
        <v>97</v>
      </c>
      <c r="R45" s="34" t="s">
        <v>98</v>
      </c>
      <c r="S45" s="34" t="s">
        <v>2102</v>
      </c>
      <c r="T45" s="36"/>
      <c r="U45" s="34" t="s">
        <v>2103</v>
      </c>
      <c r="V45" s="34">
        <v>7.33099147E9</v>
      </c>
      <c r="W45" s="34" t="s">
        <v>113</v>
      </c>
      <c r="X45" s="36"/>
      <c r="Y45" s="36"/>
      <c r="Z45" s="36"/>
      <c r="AA45" s="34" t="s">
        <v>109</v>
      </c>
      <c r="AB45" s="36"/>
      <c r="AC45" s="36"/>
      <c r="AD45" s="36"/>
      <c r="AE45" s="36"/>
      <c r="AF45" s="36"/>
      <c r="AG45" s="36"/>
      <c r="AH45" s="36"/>
      <c r="AI45" s="36"/>
      <c r="AJ45" s="36"/>
      <c r="AK45" s="36"/>
      <c r="AL45" s="36"/>
      <c r="AM45" s="36"/>
      <c r="AN45" s="36"/>
      <c r="AO45" s="36"/>
      <c r="AP45" s="36"/>
      <c r="AQ45" s="36"/>
      <c r="AR45" s="36"/>
      <c r="AS45" s="36"/>
      <c r="AT45" s="34" t="s">
        <v>2104</v>
      </c>
      <c r="AU45" s="34" t="s">
        <v>76</v>
      </c>
      <c r="AV45" s="34" t="s">
        <v>271</v>
      </c>
      <c r="AW45" s="36"/>
      <c r="AX45" s="36"/>
      <c r="AY45" s="36"/>
      <c r="AZ45" s="34" t="s">
        <v>243</v>
      </c>
      <c r="BA45" s="34" t="s">
        <v>458</v>
      </c>
      <c r="BB45" s="34" t="s">
        <v>76</v>
      </c>
      <c r="BC45" s="36"/>
      <c r="BD45" s="36"/>
      <c r="BE45" s="36"/>
      <c r="BF45" s="36"/>
      <c r="BG45" s="36"/>
      <c r="BH45" s="36"/>
      <c r="BI45" s="36"/>
      <c r="BJ45" s="36"/>
      <c r="BK45" s="36"/>
      <c r="BL45" s="36"/>
      <c r="BM45" s="36"/>
      <c r="BN45" s="36"/>
      <c r="BO45" s="36"/>
      <c r="BP45" s="34" t="s">
        <v>2105</v>
      </c>
      <c r="BQ45" s="36"/>
    </row>
    <row r="46">
      <c r="A46" s="31">
        <v>46071.48431452546</v>
      </c>
      <c r="B46" s="32">
        <v>46071.0</v>
      </c>
      <c r="C46" s="33">
        <v>0.4798611111109494</v>
      </c>
      <c r="D46" s="34" t="s">
        <v>91</v>
      </c>
      <c r="E46" s="35" t="s">
        <v>5766</v>
      </c>
      <c r="F46" s="34">
        <v>120.0</v>
      </c>
      <c r="G46" s="34">
        <v>1200.0</v>
      </c>
      <c r="H46" s="34" t="s">
        <v>2187</v>
      </c>
      <c r="I46" s="34">
        <v>100000.0</v>
      </c>
      <c r="J46" s="34" t="s">
        <v>167</v>
      </c>
      <c r="K46" s="34" t="s">
        <v>134</v>
      </c>
      <c r="L46" s="36"/>
      <c r="M46" s="36"/>
      <c r="N46" s="34">
        <v>4.0</v>
      </c>
      <c r="O46" s="34" t="s">
        <v>371</v>
      </c>
      <c r="P46" s="34" t="s">
        <v>76</v>
      </c>
      <c r="Q46" s="34" t="s">
        <v>97</v>
      </c>
      <c r="R46" s="34" t="s">
        <v>76</v>
      </c>
      <c r="S46" s="37" t="s">
        <v>2188</v>
      </c>
      <c r="T46" s="34" t="s">
        <v>2189</v>
      </c>
      <c r="U46" s="34" t="s">
        <v>2190</v>
      </c>
      <c r="V46" s="34" t="s">
        <v>2191</v>
      </c>
      <c r="W46" s="34" t="s">
        <v>2192</v>
      </c>
      <c r="X46" s="36"/>
      <c r="Y46" s="36"/>
      <c r="Z46" s="36"/>
      <c r="AA46" s="34" t="s">
        <v>109</v>
      </c>
      <c r="AB46" s="36"/>
      <c r="AC46" s="36"/>
      <c r="AD46" s="36"/>
      <c r="AE46" s="36"/>
      <c r="AF46" s="36"/>
      <c r="AG46" s="36"/>
      <c r="AH46" s="36"/>
      <c r="AI46" s="36"/>
      <c r="AJ46" s="36"/>
      <c r="AK46" s="36"/>
      <c r="AL46" s="36"/>
      <c r="AM46" s="36"/>
      <c r="AN46" s="36"/>
      <c r="AO46" s="36"/>
      <c r="AP46" s="36"/>
      <c r="AQ46" s="36"/>
      <c r="AR46" s="36"/>
      <c r="AS46" s="36"/>
      <c r="AT46" s="34" t="s">
        <v>1735</v>
      </c>
      <c r="AU46" s="34" t="s">
        <v>76</v>
      </c>
      <c r="AV46" s="34" t="s">
        <v>472</v>
      </c>
      <c r="AW46" s="36"/>
      <c r="AX46" s="36"/>
      <c r="AY46" s="36"/>
      <c r="AZ46" s="34" t="s">
        <v>1607</v>
      </c>
      <c r="BA46" s="34" t="s">
        <v>458</v>
      </c>
      <c r="BB46" s="34" t="s">
        <v>76</v>
      </c>
      <c r="BC46" s="36"/>
      <c r="BD46" s="36"/>
      <c r="BE46" s="36"/>
      <c r="BF46" s="36"/>
      <c r="BG46" s="36"/>
      <c r="BH46" s="36"/>
      <c r="BI46" s="36"/>
      <c r="BJ46" s="36"/>
      <c r="BK46" s="36"/>
      <c r="BL46" s="34">
        <v>85.0</v>
      </c>
      <c r="BM46" s="36"/>
      <c r="BN46" s="34" t="s">
        <v>2193</v>
      </c>
      <c r="BO46" s="36"/>
      <c r="BP46" s="34" t="s">
        <v>2193</v>
      </c>
      <c r="BQ46" s="36"/>
    </row>
    <row r="47">
      <c r="A47" s="31">
        <v>46071.64873439815</v>
      </c>
      <c r="B47" s="32">
        <v>46071.0</v>
      </c>
      <c r="C47" s="33">
        <v>0.6423611111094942</v>
      </c>
      <c r="D47" s="34" t="s">
        <v>91</v>
      </c>
      <c r="E47" s="35" t="s">
        <v>5767</v>
      </c>
      <c r="F47" s="34">
        <v>200.0</v>
      </c>
      <c r="G47" s="34">
        <v>3000.0</v>
      </c>
      <c r="H47" s="34" t="s">
        <v>2187</v>
      </c>
      <c r="I47" s="36"/>
      <c r="J47" s="34" t="s">
        <v>167</v>
      </c>
      <c r="K47" s="34" t="s">
        <v>134</v>
      </c>
      <c r="L47" s="36"/>
      <c r="M47" s="36"/>
      <c r="N47" s="34">
        <v>1.0</v>
      </c>
      <c r="O47" s="34" t="s">
        <v>371</v>
      </c>
      <c r="P47" s="34" t="s">
        <v>76</v>
      </c>
      <c r="Q47" s="34" t="s">
        <v>97</v>
      </c>
      <c r="R47" s="34" t="s">
        <v>76</v>
      </c>
      <c r="S47" s="34" t="s">
        <v>2014</v>
      </c>
      <c r="T47" s="34" t="s">
        <v>2205</v>
      </c>
      <c r="U47" s="34" t="s">
        <v>2206</v>
      </c>
      <c r="V47" s="34" t="s">
        <v>2207</v>
      </c>
      <c r="W47" s="34" t="s">
        <v>2208</v>
      </c>
      <c r="X47" s="36"/>
      <c r="Y47" s="36"/>
      <c r="Z47" s="36"/>
      <c r="AA47" s="34" t="s">
        <v>109</v>
      </c>
      <c r="AB47" s="36"/>
      <c r="AC47" s="36"/>
      <c r="AD47" s="36"/>
      <c r="AE47" s="36"/>
      <c r="AF47" s="36"/>
      <c r="AG47" s="36"/>
      <c r="AH47" s="36"/>
      <c r="AI47" s="36"/>
      <c r="AJ47" s="36"/>
      <c r="AK47" s="36"/>
      <c r="AL47" s="36"/>
      <c r="AM47" s="36"/>
      <c r="AN47" s="36"/>
      <c r="AO47" s="36"/>
      <c r="AP47" s="36"/>
      <c r="AQ47" s="36"/>
      <c r="AR47" s="36"/>
      <c r="AS47" s="36"/>
      <c r="AT47" s="34" t="s">
        <v>1606</v>
      </c>
      <c r="AU47" s="34" t="s">
        <v>76</v>
      </c>
      <c r="AV47" s="34" t="s">
        <v>472</v>
      </c>
      <c r="AW47" s="34" t="s">
        <v>2204</v>
      </c>
      <c r="AX47" s="36"/>
      <c r="AY47" s="36"/>
      <c r="AZ47" s="34" t="s">
        <v>1607</v>
      </c>
      <c r="BA47" s="34" t="s">
        <v>458</v>
      </c>
      <c r="BB47" s="34" t="s">
        <v>76</v>
      </c>
      <c r="BC47" s="36"/>
      <c r="BD47" s="36"/>
      <c r="BE47" s="36"/>
      <c r="BF47" s="36"/>
      <c r="BG47" s="36"/>
      <c r="BH47" s="36"/>
      <c r="BI47" s="36"/>
      <c r="BJ47" s="36"/>
      <c r="BK47" s="36"/>
      <c r="BL47" s="36"/>
      <c r="BM47" s="36"/>
      <c r="BN47" s="34" t="s">
        <v>2209</v>
      </c>
      <c r="BO47" s="36"/>
      <c r="BP47" s="34" t="s">
        <v>2209</v>
      </c>
      <c r="BQ47" s="36"/>
    </row>
    <row r="48">
      <c r="A48" s="31">
        <v>46071.81852241898</v>
      </c>
      <c r="B48" s="32">
        <v>46071.0</v>
      </c>
      <c r="C48" s="33">
        <v>0.7291666666642413</v>
      </c>
      <c r="D48" s="34" t="s">
        <v>91</v>
      </c>
      <c r="E48" s="35" t="s">
        <v>2267</v>
      </c>
      <c r="F48" s="34">
        <v>273.0</v>
      </c>
      <c r="G48" s="34">
        <v>500.0</v>
      </c>
      <c r="H48" s="34" t="s">
        <v>117</v>
      </c>
      <c r="I48" s="36"/>
      <c r="J48" s="34" t="s">
        <v>167</v>
      </c>
      <c r="K48" s="34" t="s">
        <v>134</v>
      </c>
      <c r="L48" s="36"/>
      <c r="M48" s="36"/>
      <c r="N48" s="34">
        <v>3.0</v>
      </c>
      <c r="O48" s="34" t="s">
        <v>371</v>
      </c>
      <c r="P48" s="34" t="s">
        <v>76</v>
      </c>
      <c r="Q48" s="34" t="s">
        <v>97</v>
      </c>
      <c r="R48" s="34" t="s">
        <v>76</v>
      </c>
      <c r="S48" s="34" t="s">
        <v>2263</v>
      </c>
      <c r="T48" s="36"/>
      <c r="U48" s="34" t="s">
        <v>2264</v>
      </c>
      <c r="V48" s="34">
        <v>9.493304525E9</v>
      </c>
      <c r="W48" s="34" t="s">
        <v>117</v>
      </c>
      <c r="X48" s="34" t="s">
        <v>2265</v>
      </c>
      <c r="Y48" s="34">
        <v>9.010023567E9</v>
      </c>
      <c r="Z48" s="36"/>
      <c r="AA48" s="34" t="s">
        <v>109</v>
      </c>
      <c r="AB48" s="36"/>
      <c r="AC48" s="36"/>
      <c r="AD48" s="36"/>
      <c r="AE48" s="36"/>
      <c r="AF48" s="36"/>
      <c r="AG48" s="36"/>
      <c r="AH48" s="36"/>
      <c r="AI48" s="36"/>
      <c r="AJ48" s="36"/>
      <c r="AK48" s="36"/>
      <c r="AL48" s="36"/>
      <c r="AM48" s="36"/>
      <c r="AN48" s="36"/>
      <c r="AO48" s="36"/>
      <c r="AP48" s="36"/>
      <c r="AQ48" s="36"/>
      <c r="AR48" s="36"/>
      <c r="AS48" s="36"/>
      <c r="AT48" s="34" t="s">
        <v>2266</v>
      </c>
      <c r="AU48" s="34" t="s">
        <v>76</v>
      </c>
      <c r="AV48" s="34" t="s">
        <v>472</v>
      </c>
      <c r="AW48" s="34" t="s">
        <v>117</v>
      </c>
      <c r="AX48" s="32">
        <v>46074.0</v>
      </c>
      <c r="AY48" s="33">
        <v>0.7083333333357587</v>
      </c>
      <c r="AZ48" s="34" t="s">
        <v>1581</v>
      </c>
      <c r="BA48" s="34" t="s">
        <v>458</v>
      </c>
      <c r="BB48" s="34" t="s">
        <v>76</v>
      </c>
      <c r="BC48" s="36"/>
      <c r="BD48" s="36"/>
      <c r="BE48" s="36"/>
      <c r="BF48" s="36"/>
      <c r="BG48" s="36"/>
      <c r="BH48" s="36"/>
      <c r="BI48" s="36"/>
      <c r="BJ48" s="36"/>
      <c r="BK48" s="36"/>
      <c r="BL48" s="34">
        <v>25.0</v>
      </c>
      <c r="BM48" s="36"/>
      <c r="BN48" s="34" t="s">
        <v>1924</v>
      </c>
      <c r="BO48" s="36"/>
      <c r="BP48" s="34" t="s">
        <v>2267</v>
      </c>
      <c r="BQ48" s="36"/>
    </row>
    <row r="49">
      <c r="A49" s="31">
        <v>46071.82237486111</v>
      </c>
      <c r="B49" s="32">
        <v>46071.0</v>
      </c>
      <c r="C49" s="33">
        <v>0.75</v>
      </c>
      <c r="D49" s="34" t="s">
        <v>91</v>
      </c>
      <c r="E49" s="35" t="s">
        <v>2272</v>
      </c>
      <c r="F49" s="34">
        <v>34.0</v>
      </c>
      <c r="G49" s="34">
        <v>800.0</v>
      </c>
      <c r="H49" s="34" t="s">
        <v>117</v>
      </c>
      <c r="I49" s="36"/>
      <c r="J49" s="34" t="s">
        <v>167</v>
      </c>
      <c r="K49" s="34" t="s">
        <v>134</v>
      </c>
      <c r="L49" s="36"/>
      <c r="M49" s="36"/>
      <c r="N49" s="34">
        <v>2.0</v>
      </c>
      <c r="O49" s="34" t="s">
        <v>371</v>
      </c>
      <c r="P49" s="34" t="s">
        <v>76</v>
      </c>
      <c r="Q49" s="34" t="s">
        <v>97</v>
      </c>
      <c r="R49" s="34" t="s">
        <v>76</v>
      </c>
      <c r="S49" s="34" t="s">
        <v>2268</v>
      </c>
      <c r="T49" s="36"/>
      <c r="U49" s="34" t="s">
        <v>2269</v>
      </c>
      <c r="V49" s="34">
        <v>9.840561868E9</v>
      </c>
      <c r="W49" s="34" t="s">
        <v>117</v>
      </c>
      <c r="X49" s="34" t="s">
        <v>2270</v>
      </c>
      <c r="Y49" s="34">
        <v>9.57334519E9</v>
      </c>
      <c r="Z49" s="34" t="s">
        <v>117</v>
      </c>
      <c r="AA49" s="34" t="s">
        <v>109</v>
      </c>
      <c r="AB49" s="36"/>
      <c r="AC49" s="36"/>
      <c r="AD49" s="36"/>
      <c r="AE49" s="36"/>
      <c r="AF49" s="36"/>
      <c r="AG49" s="36"/>
      <c r="AH49" s="36"/>
      <c r="AI49" s="36"/>
      <c r="AJ49" s="36"/>
      <c r="AK49" s="36"/>
      <c r="AL49" s="36"/>
      <c r="AM49" s="36"/>
      <c r="AN49" s="36"/>
      <c r="AO49" s="36"/>
      <c r="AP49" s="36"/>
      <c r="AQ49" s="36"/>
      <c r="AR49" s="36"/>
      <c r="AS49" s="36"/>
      <c r="AT49" s="34" t="s">
        <v>2271</v>
      </c>
      <c r="AU49" s="34" t="s">
        <v>76</v>
      </c>
      <c r="AV49" s="34" t="s">
        <v>472</v>
      </c>
      <c r="AW49" s="36"/>
      <c r="AX49" s="32">
        <v>46072.0</v>
      </c>
      <c r="AY49" s="33">
        <v>0.5</v>
      </c>
      <c r="AZ49" s="34" t="s">
        <v>1581</v>
      </c>
      <c r="BA49" s="34" t="s">
        <v>458</v>
      </c>
      <c r="BB49" s="34" t="s">
        <v>76</v>
      </c>
      <c r="BC49" s="36"/>
      <c r="BD49" s="36"/>
      <c r="BE49" s="36"/>
      <c r="BF49" s="36"/>
      <c r="BG49" s="36"/>
      <c r="BH49" s="36"/>
      <c r="BI49" s="36"/>
      <c r="BJ49" s="36"/>
      <c r="BK49" s="36"/>
      <c r="BL49" s="34">
        <v>15.0</v>
      </c>
      <c r="BM49" s="36"/>
      <c r="BN49" s="34" t="s">
        <v>1924</v>
      </c>
      <c r="BO49" s="36"/>
      <c r="BP49" s="34" t="s">
        <v>2272</v>
      </c>
      <c r="BQ49" s="36"/>
    </row>
    <row r="50">
      <c r="A50" s="31">
        <v>46071.82577708333</v>
      </c>
      <c r="B50" s="32">
        <v>46071.0</v>
      </c>
      <c r="C50" s="33">
        <v>0.75</v>
      </c>
      <c r="D50" s="34" t="s">
        <v>91</v>
      </c>
      <c r="E50" s="35" t="s">
        <v>2278</v>
      </c>
      <c r="F50" s="34">
        <v>112.0</v>
      </c>
      <c r="G50" s="34">
        <v>800.0</v>
      </c>
      <c r="H50" s="34" t="s">
        <v>117</v>
      </c>
      <c r="I50" s="36"/>
      <c r="J50" s="34" t="s">
        <v>167</v>
      </c>
      <c r="K50" s="34" t="s">
        <v>134</v>
      </c>
      <c r="L50" s="36"/>
      <c r="M50" s="36"/>
      <c r="N50" s="34">
        <v>2.0</v>
      </c>
      <c r="O50" s="34" t="s">
        <v>371</v>
      </c>
      <c r="P50" s="34" t="s">
        <v>76</v>
      </c>
      <c r="Q50" s="34" t="s">
        <v>97</v>
      </c>
      <c r="R50" s="34" t="s">
        <v>76</v>
      </c>
      <c r="S50" s="34" t="s">
        <v>2273</v>
      </c>
      <c r="T50" s="36"/>
      <c r="U50" s="34" t="s">
        <v>2274</v>
      </c>
      <c r="V50" s="34">
        <v>9.63747578E9</v>
      </c>
      <c r="W50" s="34" t="s">
        <v>117</v>
      </c>
      <c r="X50" s="36"/>
      <c r="Y50" s="36"/>
      <c r="Z50" s="36"/>
      <c r="AA50" s="34" t="s">
        <v>109</v>
      </c>
      <c r="AB50" s="36"/>
      <c r="AC50" s="36"/>
      <c r="AD50" s="36"/>
      <c r="AE50" s="36"/>
      <c r="AF50" s="36"/>
      <c r="AG50" s="36"/>
      <c r="AH50" s="36"/>
      <c r="AI50" s="36"/>
      <c r="AJ50" s="36"/>
      <c r="AK50" s="36"/>
      <c r="AL50" s="36"/>
      <c r="AM50" s="36"/>
      <c r="AN50" s="36"/>
      <c r="AO50" s="36"/>
      <c r="AP50" s="36"/>
      <c r="AQ50" s="36"/>
      <c r="AR50" s="36"/>
      <c r="AS50" s="36"/>
      <c r="AT50" s="34" t="s">
        <v>2275</v>
      </c>
      <c r="AU50" s="34" t="s">
        <v>76</v>
      </c>
      <c r="AV50" s="34" t="s">
        <v>472</v>
      </c>
      <c r="AW50" s="34" t="s">
        <v>2276</v>
      </c>
      <c r="AX50" s="32">
        <v>46073.0</v>
      </c>
      <c r="AY50" s="33">
        <v>0.5</v>
      </c>
      <c r="AZ50" s="34" t="s">
        <v>1581</v>
      </c>
      <c r="BA50" s="34" t="s">
        <v>458</v>
      </c>
      <c r="BB50" s="34" t="s">
        <v>76</v>
      </c>
      <c r="BC50" s="36"/>
      <c r="BD50" s="36"/>
      <c r="BE50" s="36"/>
      <c r="BF50" s="36"/>
      <c r="BG50" s="36"/>
      <c r="BH50" s="36"/>
      <c r="BI50" s="36"/>
      <c r="BJ50" s="36"/>
      <c r="BK50" s="36"/>
      <c r="BL50" s="36"/>
      <c r="BM50" s="36"/>
      <c r="BN50" s="34" t="s">
        <v>2277</v>
      </c>
      <c r="BO50" s="36"/>
      <c r="BP50" s="34" t="s">
        <v>2278</v>
      </c>
      <c r="BQ50" s="36"/>
    </row>
    <row r="51">
      <c r="A51" s="31">
        <v>46072.42366222222</v>
      </c>
      <c r="B51" s="32">
        <v>46071.0</v>
      </c>
      <c r="C51" s="33">
        <v>0.75</v>
      </c>
      <c r="D51" s="34" t="s">
        <v>91</v>
      </c>
      <c r="E51" s="35" t="s">
        <v>2407</v>
      </c>
      <c r="F51" s="34">
        <v>15.0</v>
      </c>
      <c r="G51" s="34">
        <v>400.0</v>
      </c>
      <c r="H51" s="34" t="s">
        <v>388</v>
      </c>
      <c r="I51" s="36"/>
      <c r="J51" s="34" t="s">
        <v>167</v>
      </c>
      <c r="K51" s="34" t="s">
        <v>134</v>
      </c>
      <c r="L51" s="36"/>
      <c r="M51" s="36"/>
      <c r="N51" s="34">
        <v>2.0</v>
      </c>
      <c r="O51" s="34" t="s">
        <v>371</v>
      </c>
      <c r="P51" s="34" t="s">
        <v>76</v>
      </c>
      <c r="Q51" s="34" t="s">
        <v>97</v>
      </c>
      <c r="R51" s="34" t="s">
        <v>76</v>
      </c>
      <c r="S51" s="34" t="s">
        <v>2403</v>
      </c>
      <c r="T51" s="36"/>
      <c r="U51" s="34" t="s">
        <v>2404</v>
      </c>
      <c r="V51" s="34">
        <v>8.97874752E9</v>
      </c>
      <c r="W51" s="34" t="s">
        <v>117</v>
      </c>
      <c r="X51" s="36"/>
      <c r="Y51" s="36"/>
      <c r="Z51" s="36"/>
      <c r="AA51" s="34" t="s">
        <v>109</v>
      </c>
      <c r="AB51" s="36"/>
      <c r="AC51" s="36"/>
      <c r="AD51" s="36"/>
      <c r="AE51" s="36"/>
      <c r="AF51" s="36"/>
      <c r="AG51" s="36"/>
      <c r="AH51" s="36"/>
      <c r="AI51" s="36"/>
      <c r="AJ51" s="36"/>
      <c r="AK51" s="36"/>
      <c r="AL51" s="36"/>
      <c r="AM51" s="36"/>
      <c r="AN51" s="36"/>
      <c r="AO51" s="36"/>
      <c r="AP51" s="36"/>
      <c r="AQ51" s="36"/>
      <c r="AR51" s="36"/>
      <c r="AS51" s="36"/>
      <c r="AT51" s="34" t="s">
        <v>2405</v>
      </c>
      <c r="AU51" s="34" t="s">
        <v>76</v>
      </c>
      <c r="AV51" s="34" t="s">
        <v>472</v>
      </c>
      <c r="AW51" s="34" t="s">
        <v>2406</v>
      </c>
      <c r="AX51" s="32">
        <v>46072.0</v>
      </c>
      <c r="AY51" s="33">
        <v>0.5</v>
      </c>
      <c r="AZ51" s="34" t="s">
        <v>1581</v>
      </c>
      <c r="BA51" s="34" t="s">
        <v>458</v>
      </c>
      <c r="BB51" s="34" t="s">
        <v>76</v>
      </c>
      <c r="BC51" s="36"/>
      <c r="BD51" s="36"/>
      <c r="BE51" s="36"/>
      <c r="BF51" s="36"/>
      <c r="BG51" s="36"/>
      <c r="BH51" s="36"/>
      <c r="BI51" s="36"/>
      <c r="BJ51" s="36"/>
      <c r="BK51" s="36"/>
      <c r="BL51" s="36"/>
      <c r="BM51" s="36"/>
      <c r="BN51" s="34" t="s">
        <v>1924</v>
      </c>
      <c r="BO51" s="36"/>
      <c r="BP51" s="34" t="s">
        <v>2407</v>
      </c>
      <c r="BQ51" s="36"/>
    </row>
    <row r="52">
      <c r="A52" s="31">
        <v>46072.82178574074</v>
      </c>
      <c r="B52" s="32">
        <v>46072.0</v>
      </c>
      <c r="C52" s="33">
        <v>0.5833333333357587</v>
      </c>
      <c r="D52" s="34" t="s">
        <v>91</v>
      </c>
      <c r="E52" s="35" t="s">
        <v>2494</v>
      </c>
      <c r="F52" s="34">
        <v>50.0</v>
      </c>
      <c r="G52" s="34">
        <v>1000.0</v>
      </c>
      <c r="H52" s="34" t="s">
        <v>117</v>
      </c>
      <c r="I52" s="36"/>
      <c r="J52" s="34" t="s">
        <v>167</v>
      </c>
      <c r="K52" s="34" t="s">
        <v>134</v>
      </c>
      <c r="L52" s="36"/>
      <c r="M52" s="36"/>
      <c r="N52" s="34">
        <v>3.0</v>
      </c>
      <c r="O52" s="34" t="s">
        <v>135</v>
      </c>
      <c r="P52" s="34" t="s">
        <v>76</v>
      </c>
      <c r="Q52" s="34" t="s">
        <v>97</v>
      </c>
      <c r="R52" s="34" t="s">
        <v>98</v>
      </c>
      <c r="S52" s="34" t="s">
        <v>2492</v>
      </c>
      <c r="T52" s="36"/>
      <c r="U52" s="34" t="s">
        <v>1887</v>
      </c>
      <c r="V52" s="34">
        <v>9.133711711E9</v>
      </c>
      <c r="W52" s="34" t="s">
        <v>113</v>
      </c>
      <c r="X52" s="36"/>
      <c r="Y52" s="36"/>
      <c r="Z52" s="36"/>
      <c r="AA52" s="34" t="s">
        <v>109</v>
      </c>
      <c r="AB52" s="36"/>
      <c r="AC52" s="36"/>
      <c r="AD52" s="36"/>
      <c r="AE52" s="36"/>
      <c r="AF52" s="36"/>
      <c r="AG52" s="36"/>
      <c r="AH52" s="36"/>
      <c r="AI52" s="36"/>
      <c r="AJ52" s="36"/>
      <c r="AK52" s="36"/>
      <c r="AL52" s="36"/>
      <c r="AM52" s="36"/>
      <c r="AN52" s="36"/>
      <c r="AO52" s="36"/>
      <c r="AP52" s="36"/>
      <c r="AQ52" s="36"/>
      <c r="AR52" s="36"/>
      <c r="AS52" s="36"/>
      <c r="AT52" s="34" t="s">
        <v>2493</v>
      </c>
      <c r="AU52" s="34" t="s">
        <v>76</v>
      </c>
      <c r="AV52" s="34" t="s">
        <v>472</v>
      </c>
      <c r="AW52" s="36"/>
      <c r="AX52" s="36"/>
      <c r="AY52" s="36"/>
      <c r="AZ52" s="34" t="s">
        <v>243</v>
      </c>
      <c r="BA52" s="34" t="s">
        <v>458</v>
      </c>
      <c r="BB52" s="34" t="s">
        <v>76</v>
      </c>
      <c r="BC52" s="36"/>
      <c r="BD52" s="36"/>
      <c r="BE52" s="36"/>
      <c r="BF52" s="36"/>
      <c r="BG52" s="36"/>
      <c r="BH52" s="36"/>
      <c r="BI52" s="36"/>
      <c r="BJ52" s="36"/>
      <c r="BK52" s="36"/>
      <c r="BL52" s="36"/>
      <c r="BM52" s="36"/>
      <c r="BN52" s="36"/>
      <c r="BO52" s="36"/>
      <c r="BP52" s="34" t="s">
        <v>2494</v>
      </c>
      <c r="BQ52" s="36"/>
    </row>
    <row r="53">
      <c r="A53" s="31">
        <v>46072.98822738426</v>
      </c>
      <c r="B53" s="32">
        <v>46071.0</v>
      </c>
      <c r="C53" s="33">
        <v>0.7222222222189885</v>
      </c>
      <c r="D53" s="34" t="s">
        <v>91</v>
      </c>
      <c r="E53" s="35" t="s">
        <v>2589</v>
      </c>
      <c r="F53" s="34">
        <v>50.0</v>
      </c>
      <c r="G53" s="34">
        <v>500.0</v>
      </c>
      <c r="H53" s="34" t="s">
        <v>184</v>
      </c>
      <c r="I53" s="34">
        <v>75000.0</v>
      </c>
      <c r="J53" s="34" t="s">
        <v>167</v>
      </c>
      <c r="K53" s="34" t="s">
        <v>118</v>
      </c>
      <c r="L53" s="34">
        <v>17.0</v>
      </c>
      <c r="M53" s="34">
        <v>22.0</v>
      </c>
      <c r="N53" s="34">
        <v>4.0</v>
      </c>
      <c r="O53" s="34" t="s">
        <v>135</v>
      </c>
      <c r="P53" s="34" t="s">
        <v>76</v>
      </c>
      <c r="Q53" s="34" t="s">
        <v>97</v>
      </c>
      <c r="R53" s="34" t="s">
        <v>76</v>
      </c>
      <c r="S53" s="34" t="s">
        <v>2585</v>
      </c>
      <c r="T53" s="36"/>
      <c r="U53" s="34" t="s">
        <v>2586</v>
      </c>
      <c r="V53" s="34">
        <v>7.207477577E9</v>
      </c>
      <c r="W53" s="34" t="s">
        <v>117</v>
      </c>
      <c r="X53" s="36"/>
      <c r="Y53" s="36"/>
      <c r="Z53" s="36"/>
      <c r="AA53" s="34" t="s">
        <v>109</v>
      </c>
      <c r="AB53" s="36"/>
      <c r="AC53" s="36"/>
      <c r="AD53" s="36"/>
      <c r="AE53" s="36"/>
      <c r="AF53" s="36"/>
      <c r="AG53" s="36"/>
      <c r="AH53" s="36"/>
      <c r="AI53" s="36"/>
      <c r="AJ53" s="36"/>
      <c r="AK53" s="36"/>
      <c r="AL53" s="36"/>
      <c r="AM53" s="36"/>
      <c r="AN53" s="36"/>
      <c r="AO53" s="36"/>
      <c r="AP53" s="36"/>
      <c r="AQ53" s="36"/>
      <c r="AR53" s="36"/>
      <c r="AS53" s="36"/>
      <c r="AT53" s="34" t="s">
        <v>193</v>
      </c>
      <c r="AU53" s="34" t="s">
        <v>76</v>
      </c>
      <c r="AV53" s="34" t="s">
        <v>88</v>
      </c>
      <c r="AW53" s="34" t="s">
        <v>2587</v>
      </c>
      <c r="AX53" s="32">
        <v>46076.0</v>
      </c>
      <c r="AY53" s="33">
        <v>0.6145833333357587</v>
      </c>
      <c r="AZ53" s="34" t="s">
        <v>164</v>
      </c>
      <c r="BA53" s="34" t="s">
        <v>458</v>
      </c>
      <c r="BB53" s="34" t="s">
        <v>76</v>
      </c>
      <c r="BC53" s="36"/>
      <c r="BD53" s="36"/>
      <c r="BE53" s="36"/>
      <c r="BF53" s="36"/>
      <c r="BG53" s="36"/>
      <c r="BH53" s="36"/>
      <c r="BI53" s="36"/>
      <c r="BJ53" s="36"/>
      <c r="BK53" s="36"/>
      <c r="BL53" s="34">
        <v>150.0</v>
      </c>
      <c r="BM53" s="36"/>
      <c r="BN53" s="34" t="s">
        <v>2588</v>
      </c>
      <c r="BO53" s="36"/>
      <c r="BP53" s="34" t="s">
        <v>2589</v>
      </c>
      <c r="BQ53" s="36"/>
    </row>
    <row r="54">
      <c r="A54" s="31">
        <v>46073.659601747684</v>
      </c>
      <c r="B54" s="32">
        <v>46073.0</v>
      </c>
      <c r="C54" s="33">
        <v>0.14583333333575865</v>
      </c>
      <c r="D54" s="34" t="s">
        <v>91</v>
      </c>
      <c r="E54" s="35" t="s">
        <v>2750</v>
      </c>
      <c r="F54" s="34">
        <v>200.0</v>
      </c>
      <c r="G54" s="34">
        <v>500.0</v>
      </c>
      <c r="H54" s="34" t="s">
        <v>423</v>
      </c>
      <c r="I54" s="36"/>
      <c r="J54" s="34" t="s">
        <v>167</v>
      </c>
      <c r="K54" s="36"/>
      <c r="L54" s="36"/>
      <c r="M54" s="36"/>
      <c r="N54" s="34">
        <v>1.0</v>
      </c>
      <c r="O54" s="34" t="s">
        <v>135</v>
      </c>
      <c r="P54" s="34" t="s">
        <v>76</v>
      </c>
      <c r="Q54" s="34" t="s">
        <v>97</v>
      </c>
      <c r="R54" s="34" t="s">
        <v>76</v>
      </c>
      <c r="S54" s="37" t="s">
        <v>2746</v>
      </c>
      <c r="T54" s="36"/>
      <c r="U54" s="34" t="s">
        <v>2747</v>
      </c>
      <c r="V54" s="34">
        <v>8.37457252E9</v>
      </c>
      <c r="W54" s="34" t="s">
        <v>388</v>
      </c>
      <c r="X54" s="34" t="s">
        <v>2748</v>
      </c>
      <c r="Y54" s="34">
        <v>9.390442627E9</v>
      </c>
      <c r="Z54" s="36"/>
      <c r="AA54" s="34" t="s">
        <v>109</v>
      </c>
      <c r="AB54" s="36"/>
      <c r="AC54" s="36"/>
      <c r="AD54" s="36"/>
      <c r="AE54" s="36"/>
      <c r="AF54" s="36"/>
      <c r="AG54" s="36"/>
      <c r="AH54" s="36"/>
      <c r="AI54" s="36"/>
      <c r="AJ54" s="36"/>
      <c r="AK54" s="36"/>
      <c r="AL54" s="36"/>
      <c r="AM54" s="36"/>
      <c r="AN54" s="36"/>
      <c r="AO54" s="36"/>
      <c r="AP54" s="36"/>
      <c r="AQ54" s="36"/>
      <c r="AR54" s="36"/>
      <c r="AS54" s="36"/>
      <c r="AT54" s="34" t="s">
        <v>2749</v>
      </c>
      <c r="AU54" s="34" t="s">
        <v>76</v>
      </c>
      <c r="AV54" s="34" t="s">
        <v>472</v>
      </c>
      <c r="AW54" s="36"/>
      <c r="AX54" s="36"/>
      <c r="AY54" s="36"/>
      <c r="AZ54" s="34" t="s">
        <v>1910</v>
      </c>
      <c r="BA54" s="34" t="s">
        <v>458</v>
      </c>
      <c r="BB54" s="34" t="s">
        <v>76</v>
      </c>
      <c r="BC54" s="36"/>
      <c r="BD54" s="36"/>
      <c r="BE54" s="36"/>
      <c r="BF54" s="36"/>
      <c r="BG54" s="36"/>
      <c r="BH54" s="36"/>
      <c r="BI54" s="36"/>
      <c r="BJ54" s="36"/>
      <c r="BK54" s="36"/>
      <c r="BL54" s="36"/>
      <c r="BM54" s="36"/>
      <c r="BN54" s="36"/>
      <c r="BO54" s="36"/>
      <c r="BP54" s="34" t="s">
        <v>2750</v>
      </c>
      <c r="BQ54" s="36"/>
    </row>
    <row r="55">
      <c r="A55" s="31">
        <v>46074.434170266206</v>
      </c>
      <c r="B55" s="32">
        <v>46071.0</v>
      </c>
      <c r="C55" s="33">
        <v>0.08402777777519077</v>
      </c>
      <c r="D55" s="34" t="s">
        <v>91</v>
      </c>
      <c r="E55" s="35" t="s">
        <v>2901</v>
      </c>
      <c r="F55" s="34">
        <v>20.0</v>
      </c>
      <c r="G55" s="34">
        <v>300.0</v>
      </c>
      <c r="H55" s="34" t="s">
        <v>113</v>
      </c>
      <c r="I55" s="36"/>
      <c r="J55" s="34" t="s">
        <v>167</v>
      </c>
      <c r="K55" s="34" t="s">
        <v>134</v>
      </c>
      <c r="L55" s="36"/>
      <c r="M55" s="36"/>
      <c r="N55" s="34">
        <v>1.0</v>
      </c>
      <c r="O55" s="34" t="s">
        <v>96</v>
      </c>
      <c r="P55" s="34" t="s">
        <v>109</v>
      </c>
      <c r="Q55" s="34" t="s">
        <v>97</v>
      </c>
      <c r="R55" s="34" t="s">
        <v>76</v>
      </c>
      <c r="S55" s="34" t="s">
        <v>113</v>
      </c>
      <c r="T55" s="36"/>
      <c r="U55" s="34" t="s">
        <v>113</v>
      </c>
      <c r="V55" s="34">
        <v>8.688612955E9</v>
      </c>
      <c r="W55" s="34" t="s">
        <v>117</v>
      </c>
      <c r="X55" s="36"/>
      <c r="Y55" s="36"/>
      <c r="Z55" s="36"/>
      <c r="AA55" s="34" t="s">
        <v>109</v>
      </c>
      <c r="AB55" s="36"/>
      <c r="AC55" s="36"/>
      <c r="AD55" s="36"/>
      <c r="AE55" s="36"/>
      <c r="AF55" s="36"/>
      <c r="AG55" s="36"/>
      <c r="AH55" s="36"/>
      <c r="AI55" s="36"/>
      <c r="AJ55" s="36"/>
      <c r="AK55" s="36"/>
      <c r="AL55" s="36"/>
      <c r="AM55" s="36"/>
      <c r="AN55" s="36"/>
      <c r="AO55" s="36"/>
      <c r="AP55" s="36"/>
      <c r="AQ55" s="36"/>
      <c r="AR55" s="36"/>
      <c r="AS55" s="36"/>
      <c r="AT55" s="34" t="s">
        <v>2899</v>
      </c>
      <c r="AU55" s="34" t="s">
        <v>76</v>
      </c>
      <c r="AV55" s="36"/>
      <c r="AW55" s="36"/>
      <c r="AX55" s="36"/>
      <c r="AY55" s="36"/>
      <c r="AZ55" s="34" t="s">
        <v>539</v>
      </c>
      <c r="BA55" s="34" t="s">
        <v>458</v>
      </c>
      <c r="BB55" s="34" t="s">
        <v>76</v>
      </c>
      <c r="BC55" s="36"/>
      <c r="BD55" s="36"/>
      <c r="BE55" s="36"/>
      <c r="BF55" s="36"/>
      <c r="BG55" s="36"/>
      <c r="BH55" s="36"/>
      <c r="BI55" s="36"/>
      <c r="BJ55" s="36"/>
      <c r="BK55" s="36"/>
      <c r="BL55" s="36"/>
      <c r="BM55" s="36"/>
      <c r="BN55" s="34" t="s">
        <v>2900</v>
      </c>
      <c r="BO55" s="36"/>
      <c r="BP55" s="34" t="s">
        <v>2901</v>
      </c>
      <c r="BQ55" s="36"/>
    </row>
    <row r="56">
      <c r="A56" s="31">
        <v>46074.436315914354</v>
      </c>
      <c r="B56" s="32">
        <v>46071.0</v>
      </c>
      <c r="C56" s="33">
        <v>0.13541666666424135</v>
      </c>
      <c r="D56" s="34" t="s">
        <v>91</v>
      </c>
      <c r="E56" s="35" t="s">
        <v>2911</v>
      </c>
      <c r="F56" s="34">
        <v>100.0</v>
      </c>
      <c r="G56" s="34">
        <v>400.0</v>
      </c>
      <c r="H56" s="34" t="s">
        <v>291</v>
      </c>
      <c r="I56" s="36"/>
      <c r="J56" s="34" t="s">
        <v>167</v>
      </c>
      <c r="K56" s="34" t="s">
        <v>134</v>
      </c>
      <c r="L56" s="36"/>
      <c r="M56" s="36"/>
      <c r="N56" s="34">
        <v>1.0</v>
      </c>
      <c r="O56" s="34" t="s">
        <v>96</v>
      </c>
      <c r="P56" s="34" t="s">
        <v>76</v>
      </c>
      <c r="Q56" s="34" t="s">
        <v>97</v>
      </c>
      <c r="R56" s="34" t="s">
        <v>76</v>
      </c>
      <c r="S56" s="34" t="s">
        <v>113</v>
      </c>
      <c r="T56" s="36"/>
      <c r="U56" s="34" t="s">
        <v>2910</v>
      </c>
      <c r="V56" s="34">
        <v>7.207206239E9</v>
      </c>
      <c r="W56" s="34" t="s">
        <v>113</v>
      </c>
      <c r="X56" s="36"/>
      <c r="Y56" s="36"/>
      <c r="Z56" s="36"/>
      <c r="AA56" s="34" t="s">
        <v>109</v>
      </c>
      <c r="AB56" s="36"/>
      <c r="AC56" s="36"/>
      <c r="AD56" s="36"/>
      <c r="AE56" s="36"/>
      <c r="AF56" s="36"/>
      <c r="AG56" s="36"/>
      <c r="AH56" s="36"/>
      <c r="AI56" s="36"/>
      <c r="AJ56" s="36"/>
      <c r="AK56" s="36"/>
      <c r="AL56" s="36"/>
      <c r="AM56" s="36"/>
      <c r="AN56" s="36"/>
      <c r="AO56" s="36"/>
      <c r="AP56" s="36"/>
      <c r="AQ56" s="36"/>
      <c r="AR56" s="36"/>
      <c r="AS56" s="36"/>
      <c r="AT56" s="34" t="s">
        <v>2894</v>
      </c>
      <c r="AU56" s="34" t="s">
        <v>76</v>
      </c>
      <c r="AV56" s="34" t="s">
        <v>472</v>
      </c>
      <c r="AW56" s="36"/>
      <c r="AX56" s="36"/>
      <c r="AY56" s="36"/>
      <c r="AZ56" s="34" t="s">
        <v>539</v>
      </c>
      <c r="BA56" s="34" t="s">
        <v>458</v>
      </c>
      <c r="BB56" s="34" t="s">
        <v>76</v>
      </c>
      <c r="BC56" s="36"/>
      <c r="BD56" s="36"/>
      <c r="BE56" s="36"/>
      <c r="BF56" s="36"/>
      <c r="BG56" s="36"/>
      <c r="BH56" s="36"/>
      <c r="BI56" s="36"/>
      <c r="BJ56" s="36"/>
      <c r="BK56" s="36"/>
      <c r="BL56" s="36"/>
      <c r="BM56" s="36"/>
      <c r="BN56" s="34" t="s">
        <v>2900</v>
      </c>
      <c r="BO56" s="36"/>
      <c r="BP56" s="34" t="s">
        <v>2911</v>
      </c>
      <c r="BQ56" s="36"/>
    </row>
    <row r="57">
      <c r="A57" s="31">
        <v>46074.44472738426</v>
      </c>
      <c r="B57" s="32">
        <v>46072.0</v>
      </c>
      <c r="C57" s="33">
        <v>0.06458333333284827</v>
      </c>
      <c r="D57" s="34" t="s">
        <v>91</v>
      </c>
      <c r="E57" s="35" t="s">
        <v>2939</v>
      </c>
      <c r="F57" s="34">
        <v>20.0</v>
      </c>
      <c r="G57" s="34">
        <v>800.0</v>
      </c>
      <c r="H57" s="34" t="s">
        <v>291</v>
      </c>
      <c r="I57" s="36"/>
      <c r="J57" s="34" t="s">
        <v>167</v>
      </c>
      <c r="K57" s="36"/>
      <c r="L57" s="36"/>
      <c r="M57" s="36"/>
      <c r="N57" s="34">
        <v>4.0</v>
      </c>
      <c r="O57" s="34" t="s">
        <v>96</v>
      </c>
      <c r="P57" s="34" t="s">
        <v>76</v>
      </c>
      <c r="Q57" s="34" t="s">
        <v>97</v>
      </c>
      <c r="R57" s="34" t="s">
        <v>76</v>
      </c>
      <c r="S57" s="34" t="s">
        <v>113</v>
      </c>
      <c r="T57" s="36"/>
      <c r="U57" s="34" t="s">
        <v>2937</v>
      </c>
      <c r="V57" s="34">
        <v>9.502201776E9</v>
      </c>
      <c r="W57" s="34" t="s">
        <v>113</v>
      </c>
      <c r="X57" s="36"/>
      <c r="Y57" s="36"/>
      <c r="Z57" s="36"/>
      <c r="AA57" s="34" t="s">
        <v>109</v>
      </c>
      <c r="AB57" s="36"/>
      <c r="AC57" s="36"/>
      <c r="AD57" s="36"/>
      <c r="AE57" s="36"/>
      <c r="AF57" s="36"/>
      <c r="AG57" s="36"/>
      <c r="AH57" s="36"/>
      <c r="AI57" s="36"/>
      <c r="AJ57" s="36"/>
      <c r="AK57" s="36"/>
      <c r="AL57" s="36"/>
      <c r="AM57" s="36"/>
      <c r="AN57" s="36"/>
      <c r="AO57" s="36"/>
      <c r="AP57" s="36"/>
      <c r="AQ57" s="36"/>
      <c r="AR57" s="36"/>
      <c r="AS57" s="36"/>
      <c r="AT57" s="34" t="s">
        <v>842</v>
      </c>
      <c r="AU57" s="34" t="s">
        <v>76</v>
      </c>
      <c r="AV57" s="36"/>
      <c r="AW57" s="36"/>
      <c r="AX57" s="36"/>
      <c r="AY57" s="36"/>
      <c r="AZ57" s="34" t="s">
        <v>539</v>
      </c>
      <c r="BA57" s="34" t="s">
        <v>458</v>
      </c>
      <c r="BB57" s="34" t="s">
        <v>76</v>
      </c>
      <c r="BC57" s="36"/>
      <c r="BD57" s="36"/>
      <c r="BE57" s="36"/>
      <c r="BF57" s="36"/>
      <c r="BG57" s="36"/>
      <c r="BH57" s="36"/>
      <c r="BI57" s="36"/>
      <c r="BJ57" s="36"/>
      <c r="BK57" s="36"/>
      <c r="BL57" s="36"/>
      <c r="BM57" s="36"/>
      <c r="BN57" s="34" t="s">
        <v>2938</v>
      </c>
      <c r="BO57" s="36"/>
      <c r="BP57" s="34" t="s">
        <v>2939</v>
      </c>
      <c r="BQ57" s="36"/>
    </row>
    <row r="58">
      <c r="A58" s="31">
        <v>46074.67238024306</v>
      </c>
      <c r="B58" s="32">
        <v>46074.0</v>
      </c>
      <c r="C58" s="33">
        <v>0.04166666666424135</v>
      </c>
      <c r="D58" s="34" t="s">
        <v>91</v>
      </c>
      <c r="E58" s="35" t="s">
        <v>3015</v>
      </c>
      <c r="F58" s="34">
        <v>300.0</v>
      </c>
      <c r="G58" s="34">
        <v>5000.0</v>
      </c>
      <c r="H58" s="34" t="s">
        <v>113</v>
      </c>
      <c r="I58" s="36"/>
      <c r="J58" s="34" t="s">
        <v>167</v>
      </c>
      <c r="K58" s="34" t="s">
        <v>134</v>
      </c>
      <c r="L58" s="36"/>
      <c r="M58" s="36"/>
      <c r="N58" s="34">
        <v>1.0</v>
      </c>
      <c r="O58" s="34" t="s">
        <v>96</v>
      </c>
      <c r="P58" s="34" t="s">
        <v>76</v>
      </c>
      <c r="Q58" s="34" t="s">
        <v>97</v>
      </c>
      <c r="R58" s="34" t="s">
        <v>76</v>
      </c>
      <c r="S58" s="34" t="s">
        <v>113</v>
      </c>
      <c r="T58" s="36"/>
      <c r="U58" s="34" t="s">
        <v>3012</v>
      </c>
      <c r="V58" s="34">
        <v>9.14067331122E11</v>
      </c>
      <c r="W58" s="34" t="s">
        <v>3013</v>
      </c>
      <c r="X58" s="36"/>
      <c r="Y58" s="36"/>
      <c r="Z58" s="36"/>
      <c r="AA58" s="34" t="s">
        <v>109</v>
      </c>
      <c r="AB58" s="36"/>
      <c r="AC58" s="36"/>
      <c r="AD58" s="36"/>
      <c r="AE58" s="36"/>
      <c r="AF58" s="36"/>
      <c r="AG58" s="36"/>
      <c r="AH58" s="36"/>
      <c r="AI58" s="36"/>
      <c r="AJ58" s="36"/>
      <c r="AK58" s="36"/>
      <c r="AL58" s="36"/>
      <c r="AM58" s="36"/>
      <c r="AN58" s="36"/>
      <c r="AO58" s="36"/>
      <c r="AP58" s="36"/>
      <c r="AQ58" s="36"/>
      <c r="AR58" s="36"/>
      <c r="AS58" s="36"/>
      <c r="AT58" s="34" t="s">
        <v>3014</v>
      </c>
      <c r="AU58" s="34" t="s">
        <v>76</v>
      </c>
      <c r="AV58" s="34" t="s">
        <v>472</v>
      </c>
      <c r="AW58" s="36"/>
      <c r="AX58" s="36"/>
      <c r="AY58" s="36"/>
      <c r="AZ58" s="34" t="s">
        <v>539</v>
      </c>
      <c r="BA58" s="34" t="s">
        <v>458</v>
      </c>
      <c r="BB58" s="34" t="s">
        <v>76</v>
      </c>
      <c r="BC58" s="36"/>
      <c r="BD58" s="36"/>
      <c r="BE58" s="36"/>
      <c r="BF58" s="36"/>
      <c r="BG58" s="36"/>
      <c r="BH58" s="36"/>
      <c r="BI58" s="36"/>
      <c r="BJ58" s="36"/>
      <c r="BK58" s="36"/>
      <c r="BL58" s="36"/>
      <c r="BM58" s="36"/>
      <c r="BN58" s="34" t="s">
        <v>1537</v>
      </c>
      <c r="BO58" s="36"/>
      <c r="BP58" s="34" t="s">
        <v>3015</v>
      </c>
      <c r="BQ58" s="36"/>
    </row>
    <row r="59">
      <c r="A59" s="31">
        <v>46074.674065694446</v>
      </c>
      <c r="B59" s="32">
        <v>46074.0</v>
      </c>
      <c r="C59" s="33">
        <v>0.07083333333139308</v>
      </c>
      <c r="D59" s="34" t="s">
        <v>91</v>
      </c>
      <c r="E59" s="35" t="s">
        <v>3018</v>
      </c>
      <c r="F59" s="34">
        <v>25.0</v>
      </c>
      <c r="G59" s="34">
        <v>800.0</v>
      </c>
      <c r="H59" s="34" t="s">
        <v>113</v>
      </c>
      <c r="I59" s="36"/>
      <c r="J59" s="34" t="s">
        <v>167</v>
      </c>
      <c r="K59" s="34" t="s">
        <v>134</v>
      </c>
      <c r="L59" s="36"/>
      <c r="M59" s="36"/>
      <c r="N59" s="34">
        <v>14.0</v>
      </c>
      <c r="O59" s="34" t="s">
        <v>96</v>
      </c>
      <c r="P59" s="34" t="s">
        <v>76</v>
      </c>
      <c r="Q59" s="34" t="s">
        <v>97</v>
      </c>
      <c r="R59" s="34" t="s">
        <v>76</v>
      </c>
      <c r="S59" s="34" t="s">
        <v>113</v>
      </c>
      <c r="T59" s="36"/>
      <c r="U59" s="34" t="s">
        <v>3016</v>
      </c>
      <c r="V59" s="34">
        <v>8.374223982E9</v>
      </c>
      <c r="W59" s="34" t="s">
        <v>113</v>
      </c>
      <c r="X59" s="36"/>
      <c r="Y59" s="36"/>
      <c r="Z59" s="36"/>
      <c r="AA59" s="34" t="s">
        <v>109</v>
      </c>
      <c r="AB59" s="36"/>
      <c r="AC59" s="36"/>
      <c r="AD59" s="36"/>
      <c r="AE59" s="36"/>
      <c r="AF59" s="36"/>
      <c r="AG59" s="36"/>
      <c r="AH59" s="36"/>
      <c r="AI59" s="36"/>
      <c r="AJ59" s="36"/>
      <c r="AK59" s="36"/>
      <c r="AL59" s="36"/>
      <c r="AM59" s="36"/>
      <c r="AN59" s="36"/>
      <c r="AO59" s="36"/>
      <c r="AP59" s="36"/>
      <c r="AQ59" s="36"/>
      <c r="AR59" s="36"/>
      <c r="AS59" s="36"/>
      <c r="AT59" s="34" t="s">
        <v>3017</v>
      </c>
      <c r="AU59" s="34" t="s">
        <v>76</v>
      </c>
      <c r="AV59" s="36"/>
      <c r="AW59" s="36"/>
      <c r="AX59" s="36"/>
      <c r="AY59" s="36"/>
      <c r="AZ59" s="34" t="s">
        <v>539</v>
      </c>
      <c r="BA59" s="34" t="s">
        <v>458</v>
      </c>
      <c r="BB59" s="34" t="s">
        <v>76</v>
      </c>
      <c r="BC59" s="36"/>
      <c r="BD59" s="36"/>
      <c r="BE59" s="36"/>
      <c r="BF59" s="36"/>
      <c r="BG59" s="36"/>
      <c r="BH59" s="36"/>
      <c r="BI59" s="36"/>
      <c r="BJ59" s="36"/>
      <c r="BK59" s="36"/>
      <c r="BL59" s="36"/>
      <c r="BM59" s="36"/>
      <c r="BN59" s="34" t="s">
        <v>1537</v>
      </c>
      <c r="BO59" s="36"/>
      <c r="BP59" s="34" t="s">
        <v>3018</v>
      </c>
      <c r="BQ59" s="36"/>
    </row>
    <row r="60">
      <c r="A60" s="31">
        <v>46074.70132644676</v>
      </c>
      <c r="B60" s="32">
        <v>46074.0</v>
      </c>
      <c r="C60" s="33">
        <v>0.0625</v>
      </c>
      <c r="D60" s="34" t="s">
        <v>91</v>
      </c>
      <c r="E60" s="35" t="s">
        <v>3045</v>
      </c>
      <c r="F60" s="34">
        <v>100.0</v>
      </c>
      <c r="G60" s="34">
        <v>450.0</v>
      </c>
      <c r="H60" s="34" t="s">
        <v>113</v>
      </c>
      <c r="I60" s="36"/>
      <c r="J60" s="34" t="s">
        <v>167</v>
      </c>
      <c r="K60" s="34" t="s">
        <v>134</v>
      </c>
      <c r="L60" s="36"/>
      <c r="M60" s="36"/>
      <c r="N60" s="34">
        <v>5.0</v>
      </c>
      <c r="O60" s="34" t="s">
        <v>96</v>
      </c>
      <c r="P60" s="34" t="s">
        <v>76</v>
      </c>
      <c r="Q60" s="34" t="s">
        <v>97</v>
      </c>
      <c r="R60" s="34" t="s">
        <v>76</v>
      </c>
      <c r="S60" s="34" t="s">
        <v>113</v>
      </c>
      <c r="T60" s="36"/>
      <c r="U60" s="34" t="s">
        <v>113</v>
      </c>
      <c r="V60" s="34" t="s">
        <v>113</v>
      </c>
      <c r="W60" s="34" t="s">
        <v>113</v>
      </c>
      <c r="X60" s="36"/>
      <c r="Y60" s="36"/>
      <c r="Z60" s="36"/>
      <c r="AA60" s="34" t="s">
        <v>109</v>
      </c>
      <c r="AB60" s="36"/>
      <c r="AC60" s="36"/>
      <c r="AD60" s="36"/>
      <c r="AE60" s="36"/>
      <c r="AF60" s="36"/>
      <c r="AG60" s="36"/>
      <c r="AH60" s="36"/>
      <c r="AI60" s="36"/>
      <c r="AJ60" s="36"/>
      <c r="AK60" s="36"/>
      <c r="AL60" s="36"/>
      <c r="AM60" s="36"/>
      <c r="AN60" s="36"/>
      <c r="AO60" s="36"/>
      <c r="AP60" s="36"/>
      <c r="AQ60" s="36"/>
      <c r="AR60" s="36"/>
      <c r="AS60" s="36"/>
      <c r="AT60" s="34" t="s">
        <v>3043</v>
      </c>
      <c r="AU60" s="34" t="s">
        <v>76</v>
      </c>
      <c r="AV60" s="34" t="s">
        <v>271</v>
      </c>
      <c r="AW60" s="34" t="s">
        <v>3044</v>
      </c>
      <c r="AX60" s="32">
        <v>46076.0</v>
      </c>
      <c r="AY60" s="33">
        <v>0.125</v>
      </c>
      <c r="AZ60" s="34" t="s">
        <v>3034</v>
      </c>
      <c r="BA60" s="34" t="s">
        <v>458</v>
      </c>
      <c r="BB60" s="34" t="s">
        <v>76</v>
      </c>
      <c r="BC60" s="36"/>
      <c r="BD60" s="36"/>
      <c r="BE60" s="36"/>
      <c r="BF60" s="36"/>
      <c r="BG60" s="36"/>
      <c r="BH60" s="36"/>
      <c r="BI60" s="36"/>
      <c r="BJ60" s="36"/>
      <c r="BK60" s="36"/>
      <c r="BL60" s="36"/>
      <c r="BM60" s="36"/>
      <c r="BN60" s="34" t="s">
        <v>3041</v>
      </c>
      <c r="BO60" s="36"/>
      <c r="BP60" s="34" t="s">
        <v>3045</v>
      </c>
      <c r="BQ60" s="36"/>
    </row>
    <row r="61">
      <c r="A61" s="31">
        <v>46074.703536064815</v>
      </c>
      <c r="B61" s="32">
        <v>46074.0</v>
      </c>
      <c r="C61" s="33">
        <v>0.07847222222335404</v>
      </c>
      <c r="D61" s="34" t="s">
        <v>91</v>
      </c>
      <c r="E61" s="35" t="s">
        <v>3049</v>
      </c>
      <c r="F61" s="34">
        <v>80.0</v>
      </c>
      <c r="G61" s="34">
        <v>500.0</v>
      </c>
      <c r="H61" s="34" t="s">
        <v>113</v>
      </c>
      <c r="I61" s="36"/>
      <c r="J61" s="34" t="s">
        <v>167</v>
      </c>
      <c r="K61" s="34" t="s">
        <v>134</v>
      </c>
      <c r="L61" s="36"/>
      <c r="M61" s="36"/>
      <c r="N61" s="34">
        <v>1.0</v>
      </c>
      <c r="O61" s="34" t="s">
        <v>96</v>
      </c>
      <c r="P61" s="34" t="s">
        <v>76</v>
      </c>
      <c r="Q61" s="34" t="s">
        <v>97</v>
      </c>
      <c r="R61" s="34" t="s">
        <v>76</v>
      </c>
      <c r="S61" s="34" t="s">
        <v>113</v>
      </c>
      <c r="T61" s="36"/>
      <c r="U61" s="34" t="s">
        <v>3046</v>
      </c>
      <c r="V61" s="34">
        <v>6.39410162E9</v>
      </c>
      <c r="W61" s="34" t="s">
        <v>113</v>
      </c>
      <c r="X61" s="36"/>
      <c r="Y61" s="36"/>
      <c r="Z61" s="36"/>
      <c r="AA61" s="34" t="s">
        <v>109</v>
      </c>
      <c r="AB61" s="36"/>
      <c r="AC61" s="36"/>
      <c r="AD61" s="36"/>
      <c r="AE61" s="36"/>
      <c r="AF61" s="36"/>
      <c r="AG61" s="36"/>
      <c r="AH61" s="36"/>
      <c r="AI61" s="36"/>
      <c r="AJ61" s="36"/>
      <c r="AK61" s="36"/>
      <c r="AL61" s="36"/>
      <c r="AM61" s="36"/>
      <c r="AN61" s="36"/>
      <c r="AO61" s="36"/>
      <c r="AP61" s="36"/>
      <c r="AQ61" s="36"/>
      <c r="AR61" s="36"/>
      <c r="AS61" s="36"/>
      <c r="AT61" s="34" t="s">
        <v>3047</v>
      </c>
      <c r="AU61" s="34" t="s">
        <v>76</v>
      </c>
      <c r="AV61" s="34" t="s">
        <v>271</v>
      </c>
      <c r="AW61" s="34" t="s">
        <v>3048</v>
      </c>
      <c r="AX61" s="32">
        <v>46109.0</v>
      </c>
      <c r="AY61" s="33">
        <v>0.125</v>
      </c>
      <c r="AZ61" s="34" t="s">
        <v>3034</v>
      </c>
      <c r="BA61" s="34" t="s">
        <v>458</v>
      </c>
      <c r="BB61" s="34" t="s">
        <v>76</v>
      </c>
      <c r="BC61" s="36"/>
      <c r="BD61" s="36"/>
      <c r="BE61" s="36"/>
      <c r="BF61" s="36"/>
      <c r="BG61" s="36"/>
      <c r="BH61" s="36"/>
      <c r="BI61" s="36"/>
      <c r="BJ61" s="36"/>
      <c r="BK61" s="36"/>
      <c r="BL61" s="36"/>
      <c r="BM61" s="36"/>
      <c r="BN61" s="34" t="s">
        <v>3041</v>
      </c>
      <c r="BO61" s="36"/>
      <c r="BP61" s="34" t="s">
        <v>3049</v>
      </c>
      <c r="BQ61" s="36"/>
    </row>
    <row r="62">
      <c r="A62" s="31">
        <v>46074.707241261574</v>
      </c>
      <c r="B62" s="32">
        <v>46074.0</v>
      </c>
      <c r="C62" s="33">
        <v>0.09236111110658385</v>
      </c>
      <c r="D62" s="34" t="s">
        <v>91</v>
      </c>
      <c r="E62" s="35" t="s">
        <v>3053</v>
      </c>
      <c r="F62" s="34">
        <v>100.0</v>
      </c>
      <c r="G62" s="34">
        <v>500.0</v>
      </c>
      <c r="H62" s="34" t="s">
        <v>113</v>
      </c>
      <c r="I62" s="36"/>
      <c r="J62" s="34" t="s">
        <v>167</v>
      </c>
      <c r="K62" s="34" t="s">
        <v>134</v>
      </c>
      <c r="L62" s="36"/>
      <c r="M62" s="36"/>
      <c r="N62" s="34">
        <v>1.0</v>
      </c>
      <c r="O62" s="34" t="s">
        <v>135</v>
      </c>
      <c r="P62" s="34" t="s">
        <v>76</v>
      </c>
      <c r="Q62" s="34" t="s">
        <v>97</v>
      </c>
      <c r="R62" s="34" t="s">
        <v>76</v>
      </c>
      <c r="S62" s="34" t="s">
        <v>113</v>
      </c>
      <c r="T62" s="36"/>
      <c r="U62" s="34" t="s">
        <v>113</v>
      </c>
      <c r="V62" s="34">
        <v>9.014113139E9</v>
      </c>
      <c r="W62" s="34" t="s">
        <v>3050</v>
      </c>
      <c r="X62" s="36"/>
      <c r="Y62" s="36"/>
      <c r="Z62" s="36"/>
      <c r="AA62" s="34" t="s">
        <v>109</v>
      </c>
      <c r="AB62" s="36"/>
      <c r="AC62" s="36"/>
      <c r="AD62" s="36"/>
      <c r="AE62" s="36"/>
      <c r="AF62" s="36"/>
      <c r="AG62" s="36"/>
      <c r="AH62" s="36"/>
      <c r="AI62" s="36"/>
      <c r="AJ62" s="36"/>
      <c r="AK62" s="36"/>
      <c r="AL62" s="36"/>
      <c r="AM62" s="36"/>
      <c r="AN62" s="36"/>
      <c r="AO62" s="36"/>
      <c r="AP62" s="36"/>
      <c r="AQ62" s="36"/>
      <c r="AR62" s="36"/>
      <c r="AS62" s="36"/>
      <c r="AT62" s="34" t="s">
        <v>3051</v>
      </c>
      <c r="AU62" s="34" t="s">
        <v>76</v>
      </c>
      <c r="AV62" s="34" t="s">
        <v>271</v>
      </c>
      <c r="AW62" s="34" t="s">
        <v>3052</v>
      </c>
      <c r="AX62" s="32">
        <v>46081.0</v>
      </c>
      <c r="AY62" s="33">
        <v>0.16666666666424135</v>
      </c>
      <c r="AZ62" s="34" t="s">
        <v>3034</v>
      </c>
      <c r="BA62" s="34" t="s">
        <v>458</v>
      </c>
      <c r="BB62" s="34" t="s">
        <v>76</v>
      </c>
      <c r="BC62" s="36"/>
      <c r="BD62" s="36"/>
      <c r="BE62" s="36"/>
      <c r="BF62" s="36"/>
      <c r="BG62" s="36"/>
      <c r="BH62" s="36"/>
      <c r="BI62" s="36"/>
      <c r="BJ62" s="36"/>
      <c r="BK62" s="36"/>
      <c r="BL62" s="36"/>
      <c r="BM62" s="36"/>
      <c r="BN62" s="34" t="s">
        <v>3041</v>
      </c>
      <c r="BO62" s="36"/>
      <c r="BP62" s="34" t="s">
        <v>3053</v>
      </c>
      <c r="BQ62" s="36"/>
    </row>
    <row r="63">
      <c r="A63" s="31">
        <v>46074.74220798611</v>
      </c>
      <c r="B63" s="32">
        <v>46074.0</v>
      </c>
      <c r="C63" s="33">
        <v>0.41666666666424135</v>
      </c>
      <c r="D63" s="34" t="s">
        <v>91</v>
      </c>
      <c r="E63" s="35" t="s">
        <v>3088</v>
      </c>
      <c r="F63" s="34">
        <v>100.0</v>
      </c>
      <c r="G63" s="34">
        <v>500.0</v>
      </c>
      <c r="H63" s="34" t="s">
        <v>423</v>
      </c>
      <c r="I63" s="34">
        <v>70000.0</v>
      </c>
      <c r="J63" s="34" t="s">
        <v>167</v>
      </c>
      <c r="K63" s="34" t="s">
        <v>515</v>
      </c>
      <c r="L63" s="36"/>
      <c r="M63" s="36"/>
      <c r="N63" s="34">
        <v>10.0</v>
      </c>
      <c r="O63" s="34" t="s">
        <v>135</v>
      </c>
      <c r="P63" s="34" t="s">
        <v>76</v>
      </c>
      <c r="Q63" s="34" t="s">
        <v>97</v>
      </c>
      <c r="R63" s="34" t="s">
        <v>76</v>
      </c>
      <c r="S63" s="37" t="s">
        <v>3085</v>
      </c>
      <c r="T63" s="36"/>
      <c r="U63" s="34" t="s">
        <v>494</v>
      </c>
      <c r="V63" s="34">
        <v>8.341379379E9</v>
      </c>
      <c r="W63" s="34" t="s">
        <v>388</v>
      </c>
      <c r="X63" s="36"/>
      <c r="Y63" s="36"/>
      <c r="Z63" s="36"/>
      <c r="AA63" s="34" t="s">
        <v>109</v>
      </c>
      <c r="AB63" s="36"/>
      <c r="AC63" s="36"/>
      <c r="AD63" s="36"/>
      <c r="AE63" s="36"/>
      <c r="AF63" s="36"/>
      <c r="AG63" s="36"/>
      <c r="AH63" s="36"/>
      <c r="AI63" s="36"/>
      <c r="AJ63" s="36"/>
      <c r="AK63" s="36"/>
      <c r="AL63" s="36"/>
      <c r="AM63" s="36"/>
      <c r="AN63" s="36"/>
      <c r="AO63" s="36"/>
      <c r="AP63" s="36"/>
      <c r="AQ63" s="36"/>
      <c r="AR63" s="36"/>
      <c r="AS63" s="36"/>
      <c r="AT63" s="34" t="s">
        <v>3086</v>
      </c>
      <c r="AU63" s="34" t="s">
        <v>76</v>
      </c>
      <c r="AV63" s="34" t="s">
        <v>271</v>
      </c>
      <c r="AW63" s="36"/>
      <c r="AX63" s="32">
        <v>46078.0</v>
      </c>
      <c r="AY63" s="33">
        <v>0.04166666666424135</v>
      </c>
      <c r="AZ63" s="34" t="s">
        <v>151</v>
      </c>
      <c r="BA63" s="34" t="s">
        <v>458</v>
      </c>
      <c r="BB63" s="34" t="s">
        <v>76</v>
      </c>
      <c r="BC63" s="36"/>
      <c r="BD63" s="36"/>
      <c r="BE63" s="36"/>
      <c r="BF63" s="36"/>
      <c r="BG63" s="36"/>
      <c r="BH63" s="36"/>
      <c r="BI63" s="36"/>
      <c r="BJ63" s="36"/>
      <c r="BK63" s="36"/>
      <c r="BL63" s="34">
        <v>120.0</v>
      </c>
      <c r="BM63" s="36"/>
      <c r="BN63" s="34" t="s">
        <v>3087</v>
      </c>
      <c r="BO63" s="36"/>
      <c r="BP63" s="34" t="s">
        <v>3088</v>
      </c>
      <c r="BQ63" s="36"/>
    </row>
    <row r="64">
      <c r="A64" s="31">
        <v>46074.76536628472</v>
      </c>
      <c r="B64" s="32">
        <v>46074.0</v>
      </c>
      <c r="C64" s="33">
        <v>0.5763888888905058</v>
      </c>
      <c r="D64" s="34" t="s">
        <v>91</v>
      </c>
      <c r="E64" s="35" t="s">
        <v>3091</v>
      </c>
      <c r="F64" s="34">
        <v>200.0</v>
      </c>
      <c r="G64" s="34">
        <v>400.0</v>
      </c>
      <c r="H64" s="34" t="s">
        <v>509</v>
      </c>
      <c r="I64" s="34">
        <v>5000.0</v>
      </c>
      <c r="J64" s="34" t="s">
        <v>167</v>
      </c>
      <c r="K64" s="34" t="s">
        <v>134</v>
      </c>
      <c r="L64" s="36"/>
      <c r="M64" s="36"/>
      <c r="N64" s="34">
        <v>1.0</v>
      </c>
      <c r="O64" s="34" t="s">
        <v>96</v>
      </c>
      <c r="P64" s="34" t="s">
        <v>109</v>
      </c>
      <c r="Q64" s="34" t="s">
        <v>1583</v>
      </c>
      <c r="R64" s="34" t="s">
        <v>109</v>
      </c>
      <c r="S64" s="34" t="s">
        <v>3089</v>
      </c>
      <c r="T64" s="36"/>
      <c r="U64" s="34" t="s">
        <v>950</v>
      </c>
      <c r="V64" s="34">
        <v>9.705659494E9</v>
      </c>
      <c r="W64" s="34" t="s">
        <v>388</v>
      </c>
      <c r="X64" s="36"/>
      <c r="Y64" s="36"/>
      <c r="Z64" s="36"/>
      <c r="AA64" s="34" t="s">
        <v>109</v>
      </c>
      <c r="AB64" s="36"/>
      <c r="AC64" s="36"/>
      <c r="AD64" s="36"/>
      <c r="AE64" s="36"/>
      <c r="AF64" s="36"/>
      <c r="AG64" s="36"/>
      <c r="AH64" s="36"/>
      <c r="AI64" s="36"/>
      <c r="AJ64" s="36"/>
      <c r="AK64" s="36"/>
      <c r="AL64" s="36"/>
      <c r="AM64" s="36"/>
      <c r="AN64" s="36"/>
      <c r="AO64" s="36"/>
      <c r="AP64" s="36"/>
      <c r="AQ64" s="36"/>
      <c r="AR64" s="36"/>
      <c r="AS64" s="36"/>
      <c r="AT64" s="34" t="s">
        <v>388</v>
      </c>
      <c r="AU64" s="34" t="s">
        <v>76</v>
      </c>
      <c r="AV64" s="34" t="s">
        <v>373</v>
      </c>
      <c r="AW64" s="36"/>
      <c r="AX64" s="32">
        <v>46081.0</v>
      </c>
      <c r="AY64" s="33">
        <v>0.41666666666424135</v>
      </c>
      <c r="AZ64" s="34" t="s">
        <v>151</v>
      </c>
      <c r="BA64" s="34" t="s">
        <v>458</v>
      </c>
      <c r="BB64" s="34" t="s">
        <v>76</v>
      </c>
      <c r="BC64" s="36"/>
      <c r="BD64" s="36"/>
      <c r="BE64" s="36"/>
      <c r="BF64" s="36"/>
      <c r="BG64" s="36"/>
      <c r="BH64" s="36"/>
      <c r="BI64" s="36"/>
      <c r="BJ64" s="36"/>
      <c r="BK64" s="36"/>
      <c r="BL64" s="34">
        <v>50000.0</v>
      </c>
      <c r="BM64" s="36"/>
      <c r="BN64" s="34" t="s">
        <v>3090</v>
      </c>
      <c r="BO64" s="36"/>
      <c r="BP64" s="34" t="s">
        <v>3091</v>
      </c>
      <c r="BQ64" s="36"/>
    </row>
    <row r="65">
      <c r="A65" s="31">
        <v>46076.53462021991</v>
      </c>
      <c r="B65" s="32">
        <v>46076.0</v>
      </c>
      <c r="C65" s="33">
        <v>0.5326388888934162</v>
      </c>
      <c r="D65" s="34" t="s">
        <v>91</v>
      </c>
      <c r="E65" s="35" t="s">
        <v>3226</v>
      </c>
      <c r="F65" s="34">
        <v>46.0</v>
      </c>
      <c r="G65" s="34">
        <v>400.0</v>
      </c>
      <c r="H65" s="34" t="s">
        <v>423</v>
      </c>
      <c r="I65" s="36"/>
      <c r="J65" s="34" t="s">
        <v>167</v>
      </c>
      <c r="K65" s="34" t="s">
        <v>134</v>
      </c>
      <c r="L65" s="36"/>
      <c r="M65" s="36"/>
      <c r="N65" s="34">
        <v>1.0</v>
      </c>
      <c r="O65" s="34" t="s">
        <v>135</v>
      </c>
      <c r="P65" s="34" t="s">
        <v>76</v>
      </c>
      <c r="Q65" s="34" t="s">
        <v>97</v>
      </c>
      <c r="R65" s="34" t="s">
        <v>98</v>
      </c>
      <c r="S65" s="37" t="s">
        <v>3223</v>
      </c>
      <c r="T65" s="36"/>
      <c r="U65" s="34" t="s">
        <v>3224</v>
      </c>
      <c r="V65" s="34">
        <v>9.833858958E9</v>
      </c>
      <c r="W65" s="34" t="s">
        <v>957</v>
      </c>
      <c r="X65" s="36"/>
      <c r="Y65" s="36"/>
      <c r="Z65" s="36"/>
      <c r="AA65" s="34" t="s">
        <v>109</v>
      </c>
      <c r="AB65" s="36"/>
      <c r="AC65" s="36"/>
      <c r="AD65" s="36"/>
      <c r="AE65" s="36"/>
      <c r="AF65" s="36"/>
      <c r="AG65" s="36"/>
      <c r="AH65" s="36"/>
      <c r="AI65" s="36"/>
      <c r="AJ65" s="36"/>
      <c r="AK65" s="36"/>
      <c r="AL65" s="36"/>
      <c r="AM65" s="36"/>
      <c r="AN65" s="36"/>
      <c r="AO65" s="36"/>
      <c r="AP65" s="36"/>
      <c r="AQ65" s="36"/>
      <c r="AR65" s="36"/>
      <c r="AS65" s="36"/>
      <c r="AT65" s="34" t="s">
        <v>3225</v>
      </c>
      <c r="AU65" s="34" t="s">
        <v>76</v>
      </c>
      <c r="AV65" s="34" t="s">
        <v>472</v>
      </c>
      <c r="AW65" s="36"/>
      <c r="AX65" s="36"/>
      <c r="AY65" s="36"/>
      <c r="AZ65" s="34" t="s">
        <v>1910</v>
      </c>
      <c r="BA65" s="34" t="s">
        <v>458</v>
      </c>
      <c r="BB65" s="34" t="s">
        <v>76</v>
      </c>
      <c r="BC65" s="36"/>
      <c r="BD65" s="36"/>
      <c r="BE65" s="36"/>
      <c r="BF65" s="36"/>
      <c r="BG65" s="36"/>
      <c r="BH65" s="36"/>
      <c r="BI65" s="36"/>
      <c r="BJ65" s="36"/>
      <c r="BK65" s="36"/>
      <c r="BL65" s="34" t="s">
        <v>594</v>
      </c>
      <c r="BM65" s="36"/>
      <c r="BN65" s="36"/>
      <c r="BO65" s="36"/>
      <c r="BP65" s="34" t="s">
        <v>3226</v>
      </c>
      <c r="BQ65" s="36"/>
    </row>
    <row r="66">
      <c r="A66" s="31">
        <v>46076.74100825231</v>
      </c>
      <c r="B66" s="32">
        <v>46072.0</v>
      </c>
      <c r="C66" s="33">
        <v>0.5416666666642413</v>
      </c>
      <c r="D66" s="34" t="s">
        <v>91</v>
      </c>
      <c r="E66" s="35" t="s">
        <v>5768</v>
      </c>
      <c r="F66" s="34">
        <v>200.0</v>
      </c>
      <c r="G66" s="34">
        <v>1200.0</v>
      </c>
      <c r="H66" s="34" t="s">
        <v>117</v>
      </c>
      <c r="I66" s="36"/>
      <c r="J66" s="34" t="s">
        <v>167</v>
      </c>
      <c r="K66" s="34" t="s">
        <v>134</v>
      </c>
      <c r="L66" s="36"/>
      <c r="M66" s="36"/>
      <c r="N66" s="34">
        <v>2.0</v>
      </c>
      <c r="O66" s="34" t="s">
        <v>371</v>
      </c>
      <c r="P66" s="34" t="s">
        <v>76</v>
      </c>
      <c r="Q66" s="34" t="s">
        <v>97</v>
      </c>
      <c r="R66" s="34" t="s">
        <v>76</v>
      </c>
      <c r="S66" s="37" t="s">
        <v>3325</v>
      </c>
      <c r="T66" s="34" t="s">
        <v>3326</v>
      </c>
      <c r="U66" s="34" t="s">
        <v>3327</v>
      </c>
      <c r="V66" s="34">
        <v>9.246526606E9</v>
      </c>
      <c r="W66" s="34" t="s">
        <v>3328</v>
      </c>
      <c r="X66" s="36"/>
      <c r="Y66" s="36"/>
      <c r="Z66" s="36"/>
      <c r="AA66" s="34" t="s">
        <v>109</v>
      </c>
      <c r="AB66" s="36"/>
      <c r="AC66" s="36"/>
      <c r="AD66" s="36"/>
      <c r="AE66" s="36"/>
      <c r="AF66" s="36"/>
      <c r="AG66" s="36"/>
      <c r="AH66" s="36"/>
      <c r="AI66" s="36"/>
      <c r="AJ66" s="36"/>
      <c r="AK66" s="36"/>
      <c r="AL66" s="36"/>
      <c r="AM66" s="36"/>
      <c r="AN66" s="36"/>
      <c r="AO66" s="36"/>
      <c r="AP66" s="36"/>
      <c r="AQ66" s="36"/>
      <c r="AR66" s="36"/>
      <c r="AS66" s="36"/>
      <c r="AT66" s="34" t="s">
        <v>3329</v>
      </c>
      <c r="AU66" s="34" t="s">
        <v>76</v>
      </c>
      <c r="AV66" s="34" t="s">
        <v>271</v>
      </c>
      <c r="AW66" s="36"/>
      <c r="AX66" s="36"/>
      <c r="AY66" s="36"/>
      <c r="AZ66" s="34" t="s">
        <v>1607</v>
      </c>
      <c r="BA66" s="34" t="s">
        <v>491</v>
      </c>
      <c r="BB66" s="36"/>
      <c r="BC66" s="36"/>
      <c r="BD66" s="36"/>
      <c r="BE66" s="36"/>
      <c r="BF66" s="36"/>
      <c r="BG66" s="36"/>
      <c r="BH66" s="36"/>
      <c r="BI66" s="36"/>
      <c r="BJ66" s="36"/>
      <c r="BK66" s="36"/>
      <c r="BL66" s="36"/>
      <c r="BM66" s="36"/>
      <c r="BN66" s="34" t="s">
        <v>3326</v>
      </c>
      <c r="BO66" s="36"/>
      <c r="BP66" s="34" t="s">
        <v>3326</v>
      </c>
      <c r="BQ66" s="36"/>
    </row>
    <row r="67">
      <c r="A67" s="31">
        <v>46076.74523240741</v>
      </c>
      <c r="B67" s="32">
        <v>46072.0</v>
      </c>
      <c r="C67" s="33">
        <v>0.5625</v>
      </c>
      <c r="D67" s="34" t="s">
        <v>91</v>
      </c>
      <c r="E67" s="35" t="s">
        <v>5769</v>
      </c>
      <c r="F67" s="34">
        <v>120.0</v>
      </c>
      <c r="G67" s="34">
        <v>800.0</v>
      </c>
      <c r="H67" s="34" t="s">
        <v>2187</v>
      </c>
      <c r="I67" s="36"/>
      <c r="J67" s="34" t="s">
        <v>167</v>
      </c>
      <c r="K67" s="34" t="s">
        <v>134</v>
      </c>
      <c r="L67" s="36"/>
      <c r="M67" s="36"/>
      <c r="N67" s="34">
        <v>1.0</v>
      </c>
      <c r="O67" s="34" t="s">
        <v>371</v>
      </c>
      <c r="P67" s="34" t="s">
        <v>76</v>
      </c>
      <c r="Q67" s="34" t="s">
        <v>97</v>
      </c>
      <c r="R67" s="34" t="s">
        <v>76</v>
      </c>
      <c r="S67" s="37" t="s">
        <v>3330</v>
      </c>
      <c r="T67" s="34" t="s">
        <v>3331</v>
      </c>
      <c r="U67" s="34" t="s">
        <v>3332</v>
      </c>
      <c r="V67" s="34">
        <v>9.84863319E9</v>
      </c>
      <c r="W67" s="34" t="s">
        <v>3333</v>
      </c>
      <c r="X67" s="36"/>
      <c r="Y67" s="36"/>
      <c r="Z67" s="36"/>
      <c r="AA67" s="34" t="s">
        <v>109</v>
      </c>
      <c r="AB67" s="36"/>
      <c r="AC67" s="36"/>
      <c r="AD67" s="36"/>
      <c r="AE67" s="36"/>
      <c r="AF67" s="36"/>
      <c r="AG67" s="36"/>
      <c r="AH67" s="36"/>
      <c r="AI67" s="36"/>
      <c r="AJ67" s="36"/>
      <c r="AK67" s="36"/>
      <c r="AL67" s="36"/>
      <c r="AM67" s="36"/>
      <c r="AN67" s="36"/>
      <c r="AO67" s="36"/>
      <c r="AP67" s="36"/>
      <c r="AQ67" s="36"/>
      <c r="AR67" s="36"/>
      <c r="AS67" s="36"/>
      <c r="AT67" s="34" t="s">
        <v>3334</v>
      </c>
      <c r="AU67" s="34" t="s">
        <v>76</v>
      </c>
      <c r="AV67" s="34" t="s">
        <v>271</v>
      </c>
      <c r="AW67" s="36"/>
      <c r="AX67" s="36"/>
      <c r="AY67" s="36"/>
      <c r="AZ67" s="34" t="s">
        <v>1607</v>
      </c>
      <c r="BA67" s="34" t="s">
        <v>491</v>
      </c>
      <c r="BB67" s="36"/>
      <c r="BC67" s="36"/>
      <c r="BD67" s="36"/>
      <c r="BE67" s="36"/>
      <c r="BF67" s="36"/>
      <c r="BG67" s="36"/>
      <c r="BH67" s="36"/>
      <c r="BI67" s="36"/>
      <c r="BJ67" s="36"/>
      <c r="BK67" s="36"/>
      <c r="BL67" s="36"/>
      <c r="BM67" s="36"/>
      <c r="BN67" s="34" t="s">
        <v>3335</v>
      </c>
      <c r="BO67" s="36"/>
      <c r="BP67" s="34" t="s">
        <v>3335</v>
      </c>
      <c r="BQ67" s="36"/>
    </row>
    <row r="68">
      <c r="A68" s="31">
        <v>46076.8381680787</v>
      </c>
      <c r="B68" s="32">
        <v>46076.0</v>
      </c>
      <c r="C68" s="33">
        <v>0.625</v>
      </c>
      <c r="D68" s="34" t="s">
        <v>91</v>
      </c>
      <c r="E68" s="35" t="s">
        <v>5770</v>
      </c>
      <c r="F68" s="34">
        <v>200.0</v>
      </c>
      <c r="G68" s="34">
        <v>800.0</v>
      </c>
      <c r="H68" s="34" t="s">
        <v>117</v>
      </c>
      <c r="I68" s="36"/>
      <c r="J68" s="34" t="s">
        <v>167</v>
      </c>
      <c r="K68" s="34" t="s">
        <v>134</v>
      </c>
      <c r="L68" s="36"/>
      <c r="M68" s="36"/>
      <c r="N68" s="34">
        <v>1.0</v>
      </c>
      <c r="O68" s="34" t="s">
        <v>371</v>
      </c>
      <c r="P68" s="34" t="s">
        <v>76</v>
      </c>
      <c r="Q68" s="34" t="s">
        <v>97</v>
      </c>
      <c r="R68" s="34" t="s">
        <v>76</v>
      </c>
      <c r="S68" s="37" t="s">
        <v>3383</v>
      </c>
      <c r="T68" s="34" t="s">
        <v>3384</v>
      </c>
      <c r="U68" s="34" t="s">
        <v>3385</v>
      </c>
      <c r="V68" s="34">
        <v>7.090567395E9</v>
      </c>
      <c r="W68" s="34" t="s">
        <v>3386</v>
      </c>
      <c r="X68" s="34" t="s">
        <v>3387</v>
      </c>
      <c r="Y68" s="34">
        <v>7.376299999E9</v>
      </c>
      <c r="Z68" s="34" t="s">
        <v>3388</v>
      </c>
      <c r="AA68" s="34" t="s">
        <v>109</v>
      </c>
      <c r="AB68" s="36"/>
      <c r="AC68" s="36"/>
      <c r="AD68" s="36"/>
      <c r="AE68" s="36"/>
      <c r="AF68" s="36"/>
      <c r="AG68" s="36"/>
      <c r="AH68" s="36"/>
      <c r="AI68" s="36"/>
      <c r="AJ68" s="36"/>
      <c r="AK68" s="36"/>
      <c r="AL68" s="36"/>
      <c r="AM68" s="36"/>
      <c r="AN68" s="36"/>
      <c r="AO68" s="36"/>
      <c r="AP68" s="36"/>
      <c r="AQ68" s="36"/>
      <c r="AR68" s="36"/>
      <c r="AS68" s="36"/>
      <c r="AT68" s="34" t="s">
        <v>3389</v>
      </c>
      <c r="AU68" s="34" t="s">
        <v>76</v>
      </c>
      <c r="AV68" s="34" t="s">
        <v>472</v>
      </c>
      <c r="AW68" s="36"/>
      <c r="AX68" s="32">
        <v>46077.0</v>
      </c>
      <c r="AY68" s="33">
        <v>0.625</v>
      </c>
      <c r="AZ68" s="34" t="s">
        <v>1607</v>
      </c>
      <c r="BA68" s="34" t="s">
        <v>458</v>
      </c>
      <c r="BB68" s="34" t="s">
        <v>76</v>
      </c>
      <c r="BC68" s="36"/>
      <c r="BD68" s="36"/>
      <c r="BE68" s="36"/>
      <c r="BF68" s="36"/>
      <c r="BG68" s="36"/>
      <c r="BH68" s="36"/>
      <c r="BI68" s="36"/>
      <c r="BJ68" s="36"/>
      <c r="BK68" s="36"/>
      <c r="BL68" s="36"/>
      <c r="BM68" s="36"/>
      <c r="BN68" s="34" t="s">
        <v>3384</v>
      </c>
      <c r="BO68" s="36"/>
      <c r="BP68" s="34" t="s">
        <v>3384</v>
      </c>
      <c r="BQ68" s="36"/>
    </row>
    <row r="69">
      <c r="A69" s="31">
        <v>46076.841502986106</v>
      </c>
      <c r="B69" s="32">
        <v>46076.0</v>
      </c>
      <c r="C69" s="33">
        <v>0.6875</v>
      </c>
      <c r="D69" s="34" t="s">
        <v>91</v>
      </c>
      <c r="E69" s="35" t="s">
        <v>5771</v>
      </c>
      <c r="F69" s="34">
        <v>200.0</v>
      </c>
      <c r="G69" s="34">
        <v>600.0</v>
      </c>
      <c r="H69" s="34" t="s">
        <v>291</v>
      </c>
      <c r="I69" s="36"/>
      <c r="J69" s="34" t="s">
        <v>167</v>
      </c>
      <c r="K69" s="34" t="s">
        <v>134</v>
      </c>
      <c r="L69" s="36"/>
      <c r="M69" s="36"/>
      <c r="N69" s="34">
        <v>17.0</v>
      </c>
      <c r="O69" s="34" t="s">
        <v>371</v>
      </c>
      <c r="P69" s="34" t="s">
        <v>76</v>
      </c>
      <c r="Q69" s="34" t="s">
        <v>97</v>
      </c>
      <c r="R69" s="34" t="s">
        <v>76</v>
      </c>
      <c r="S69" s="37" t="s">
        <v>3390</v>
      </c>
      <c r="T69" s="34" t="s">
        <v>3391</v>
      </c>
      <c r="U69" s="34" t="s">
        <v>3392</v>
      </c>
      <c r="V69" s="34" t="s">
        <v>3393</v>
      </c>
      <c r="W69" s="34" t="s">
        <v>117</v>
      </c>
      <c r="X69" s="36"/>
      <c r="Y69" s="36"/>
      <c r="Z69" s="36"/>
      <c r="AA69" s="34" t="s">
        <v>109</v>
      </c>
      <c r="AB69" s="36"/>
      <c r="AC69" s="36"/>
      <c r="AD69" s="36"/>
      <c r="AE69" s="36"/>
      <c r="AF69" s="36"/>
      <c r="AG69" s="36"/>
      <c r="AH69" s="36"/>
      <c r="AI69" s="36"/>
      <c r="AJ69" s="36"/>
      <c r="AK69" s="36"/>
      <c r="AL69" s="36"/>
      <c r="AM69" s="36"/>
      <c r="AN69" s="36"/>
      <c r="AO69" s="36"/>
      <c r="AP69" s="36"/>
      <c r="AQ69" s="36"/>
      <c r="AR69" s="36"/>
      <c r="AS69" s="36"/>
      <c r="AT69" s="34" t="s">
        <v>3394</v>
      </c>
      <c r="AU69" s="34" t="s">
        <v>76</v>
      </c>
      <c r="AV69" s="34" t="s">
        <v>472</v>
      </c>
      <c r="AW69" s="34" t="s">
        <v>2204</v>
      </c>
      <c r="AX69" s="32">
        <v>46077.0</v>
      </c>
      <c r="AY69" s="33">
        <v>0.45833333333575865</v>
      </c>
      <c r="AZ69" s="34" t="s">
        <v>1607</v>
      </c>
      <c r="BA69" s="34" t="s">
        <v>458</v>
      </c>
      <c r="BB69" s="34" t="s">
        <v>76</v>
      </c>
      <c r="BC69" s="36"/>
      <c r="BD69" s="36"/>
      <c r="BE69" s="36"/>
      <c r="BF69" s="36"/>
      <c r="BG69" s="36"/>
      <c r="BH69" s="36"/>
      <c r="BI69" s="36"/>
      <c r="BJ69" s="36"/>
      <c r="BK69" s="36"/>
      <c r="BL69" s="36"/>
      <c r="BM69" s="36"/>
      <c r="BN69" s="34" t="s">
        <v>3391</v>
      </c>
      <c r="BO69" s="36"/>
      <c r="BP69" s="34" t="s">
        <v>3391</v>
      </c>
      <c r="BQ69" s="36"/>
    </row>
    <row r="70">
      <c r="A70" s="31">
        <v>46077.50267086805</v>
      </c>
      <c r="B70" s="32">
        <v>46076.0</v>
      </c>
      <c r="C70" s="33">
        <v>0.6666666666642413</v>
      </c>
      <c r="D70" s="34" t="s">
        <v>91</v>
      </c>
      <c r="E70" s="35" t="s">
        <v>5772</v>
      </c>
      <c r="F70" s="34">
        <v>10.0</v>
      </c>
      <c r="G70" s="34">
        <v>700.0</v>
      </c>
      <c r="H70" s="34" t="s">
        <v>611</v>
      </c>
      <c r="I70" s="36"/>
      <c r="J70" s="34" t="s">
        <v>167</v>
      </c>
      <c r="K70" s="34" t="s">
        <v>134</v>
      </c>
      <c r="L70" s="36"/>
      <c r="M70" s="36"/>
      <c r="N70" s="34">
        <v>1.0</v>
      </c>
      <c r="O70" s="34" t="s">
        <v>371</v>
      </c>
      <c r="P70" s="34" t="s">
        <v>76</v>
      </c>
      <c r="Q70" s="34" t="s">
        <v>97</v>
      </c>
      <c r="R70" s="34" t="s">
        <v>76</v>
      </c>
      <c r="S70" s="34" t="s">
        <v>664</v>
      </c>
      <c r="T70" s="34" t="s">
        <v>2201</v>
      </c>
      <c r="U70" s="34" t="s">
        <v>3577</v>
      </c>
      <c r="V70" s="34">
        <v>7.416022022E9</v>
      </c>
      <c r="W70" s="34" t="s">
        <v>2203</v>
      </c>
      <c r="X70" s="36"/>
      <c r="Y70" s="36"/>
      <c r="Z70" s="36"/>
      <c r="AA70" s="34" t="s">
        <v>109</v>
      </c>
      <c r="AB70" s="36"/>
      <c r="AC70" s="36"/>
      <c r="AD70" s="36"/>
      <c r="AE70" s="36"/>
      <c r="AF70" s="36"/>
      <c r="AG70" s="36"/>
      <c r="AH70" s="36"/>
      <c r="AI70" s="36"/>
      <c r="AJ70" s="36"/>
      <c r="AK70" s="36"/>
      <c r="AL70" s="36"/>
      <c r="AM70" s="36"/>
      <c r="AN70" s="36"/>
      <c r="AO70" s="36"/>
      <c r="AP70" s="36"/>
      <c r="AQ70" s="36"/>
      <c r="AR70" s="36"/>
      <c r="AS70" s="36"/>
      <c r="AT70" s="34" t="s">
        <v>3578</v>
      </c>
      <c r="AU70" s="34" t="s">
        <v>76</v>
      </c>
      <c r="AV70" s="34" t="s">
        <v>373</v>
      </c>
      <c r="AW70" s="36"/>
      <c r="AX70" s="36"/>
      <c r="AY70" s="36"/>
      <c r="AZ70" s="34" t="s">
        <v>1607</v>
      </c>
      <c r="BA70" s="34" t="s">
        <v>458</v>
      </c>
      <c r="BB70" s="34" t="s">
        <v>76</v>
      </c>
      <c r="BC70" s="36"/>
      <c r="BD70" s="36"/>
      <c r="BE70" s="36"/>
      <c r="BF70" s="36"/>
      <c r="BG70" s="36"/>
      <c r="BH70" s="36"/>
      <c r="BI70" s="36"/>
      <c r="BJ70" s="36"/>
      <c r="BK70" s="36"/>
      <c r="BL70" s="36"/>
      <c r="BM70" s="36"/>
      <c r="BN70" s="34" t="s">
        <v>2201</v>
      </c>
      <c r="BO70" s="36"/>
      <c r="BP70" s="34" t="s">
        <v>2201</v>
      </c>
      <c r="BQ70" s="36"/>
    </row>
    <row r="71">
      <c r="A71" s="31">
        <v>46077.511258611106</v>
      </c>
      <c r="B71" s="32">
        <v>46076.0</v>
      </c>
      <c r="C71" s="33">
        <v>0.5</v>
      </c>
      <c r="D71" s="34" t="s">
        <v>91</v>
      </c>
      <c r="E71" s="35" t="s">
        <v>5773</v>
      </c>
      <c r="F71" s="34">
        <v>200.0</v>
      </c>
      <c r="G71" s="34">
        <v>1200.0</v>
      </c>
      <c r="H71" s="34" t="s">
        <v>2187</v>
      </c>
      <c r="I71" s="36"/>
      <c r="J71" s="34" t="s">
        <v>167</v>
      </c>
      <c r="K71" s="34" t="s">
        <v>134</v>
      </c>
      <c r="L71" s="36"/>
      <c r="M71" s="36"/>
      <c r="N71" s="34">
        <v>2.0</v>
      </c>
      <c r="O71" s="34" t="s">
        <v>371</v>
      </c>
      <c r="P71" s="34" t="s">
        <v>76</v>
      </c>
      <c r="Q71" s="34" t="s">
        <v>97</v>
      </c>
      <c r="R71" s="34" t="s">
        <v>76</v>
      </c>
      <c r="S71" s="37" t="s">
        <v>3579</v>
      </c>
      <c r="T71" s="34" t="s">
        <v>3580</v>
      </c>
      <c r="U71" s="34" t="s">
        <v>3581</v>
      </c>
      <c r="V71" s="34">
        <v>7.767042422E9</v>
      </c>
      <c r="W71" s="34" t="s">
        <v>3582</v>
      </c>
      <c r="X71" s="36"/>
      <c r="Y71" s="36"/>
      <c r="Z71" s="36"/>
      <c r="AA71" s="34" t="s">
        <v>109</v>
      </c>
      <c r="AB71" s="36"/>
      <c r="AC71" s="36"/>
      <c r="AD71" s="36"/>
      <c r="AE71" s="36"/>
      <c r="AF71" s="36"/>
      <c r="AG71" s="36"/>
      <c r="AH71" s="36"/>
      <c r="AI71" s="36"/>
      <c r="AJ71" s="36"/>
      <c r="AK71" s="36"/>
      <c r="AL71" s="36"/>
      <c r="AM71" s="36"/>
      <c r="AN71" s="36"/>
      <c r="AO71" s="36"/>
      <c r="AP71" s="36"/>
      <c r="AQ71" s="36"/>
      <c r="AR71" s="36"/>
      <c r="AS71" s="36"/>
      <c r="AT71" s="34" t="s">
        <v>3583</v>
      </c>
      <c r="AU71" s="34" t="s">
        <v>76</v>
      </c>
      <c r="AV71" s="34" t="s">
        <v>271</v>
      </c>
      <c r="AW71" s="36"/>
      <c r="AX71" s="36"/>
      <c r="AY71" s="36"/>
      <c r="AZ71" s="34" t="s">
        <v>1607</v>
      </c>
      <c r="BA71" s="34" t="s">
        <v>458</v>
      </c>
      <c r="BB71" s="34" t="s">
        <v>76</v>
      </c>
      <c r="BC71" s="36"/>
      <c r="BD71" s="36"/>
      <c r="BE71" s="36"/>
      <c r="BF71" s="36"/>
      <c r="BG71" s="36"/>
      <c r="BH71" s="36"/>
      <c r="BI71" s="36"/>
      <c r="BJ71" s="36"/>
      <c r="BK71" s="36"/>
      <c r="BL71" s="36"/>
      <c r="BM71" s="36"/>
      <c r="BN71" s="34" t="s">
        <v>3580</v>
      </c>
      <c r="BO71" s="36"/>
      <c r="BP71" s="34" t="s">
        <v>3580</v>
      </c>
      <c r="BQ71" s="36"/>
    </row>
    <row r="72">
      <c r="A72" s="31">
        <v>46077.52384657407</v>
      </c>
      <c r="B72" s="32">
        <v>46077.0</v>
      </c>
      <c r="C72" s="33">
        <v>0.45833333333575865</v>
      </c>
      <c r="D72" s="34" t="s">
        <v>91</v>
      </c>
      <c r="E72" s="35" t="s">
        <v>5774</v>
      </c>
      <c r="F72" s="34">
        <v>200.0</v>
      </c>
      <c r="G72" s="34">
        <v>900.0</v>
      </c>
      <c r="H72" s="34" t="s">
        <v>117</v>
      </c>
      <c r="I72" s="36"/>
      <c r="J72" s="34" t="s">
        <v>167</v>
      </c>
      <c r="K72" s="34" t="s">
        <v>134</v>
      </c>
      <c r="L72" s="36"/>
      <c r="M72" s="36"/>
      <c r="N72" s="34">
        <v>2.0</v>
      </c>
      <c r="O72" s="34" t="s">
        <v>371</v>
      </c>
      <c r="P72" s="34" t="s">
        <v>76</v>
      </c>
      <c r="Q72" s="34" t="s">
        <v>97</v>
      </c>
      <c r="R72" s="34" t="s">
        <v>76</v>
      </c>
      <c r="S72" s="37" t="s">
        <v>3584</v>
      </c>
      <c r="T72" s="34" t="s">
        <v>3585</v>
      </c>
      <c r="U72" s="34" t="s">
        <v>3586</v>
      </c>
      <c r="V72" s="34" t="s">
        <v>3587</v>
      </c>
      <c r="W72" s="34" t="s">
        <v>3588</v>
      </c>
      <c r="X72" s="36"/>
      <c r="Y72" s="36"/>
      <c r="Z72" s="36"/>
      <c r="AA72" s="34" t="s">
        <v>109</v>
      </c>
      <c r="AB72" s="36"/>
      <c r="AC72" s="36"/>
      <c r="AD72" s="36"/>
      <c r="AE72" s="36"/>
      <c r="AF72" s="36"/>
      <c r="AG72" s="36"/>
      <c r="AH72" s="36"/>
      <c r="AI72" s="36"/>
      <c r="AJ72" s="36"/>
      <c r="AK72" s="36"/>
      <c r="AL72" s="36"/>
      <c r="AM72" s="36"/>
      <c r="AN72" s="36"/>
      <c r="AO72" s="36"/>
      <c r="AP72" s="36"/>
      <c r="AQ72" s="36"/>
      <c r="AR72" s="36"/>
      <c r="AS72" s="36"/>
      <c r="AT72" s="34" t="s">
        <v>3589</v>
      </c>
      <c r="AU72" s="34" t="s">
        <v>76</v>
      </c>
      <c r="AV72" s="34" t="s">
        <v>472</v>
      </c>
      <c r="AW72" s="36"/>
      <c r="AX72" s="36"/>
      <c r="AY72" s="36"/>
      <c r="AZ72" s="34" t="s">
        <v>1607</v>
      </c>
      <c r="BA72" s="34" t="s">
        <v>458</v>
      </c>
      <c r="BB72" s="34" t="s">
        <v>76</v>
      </c>
      <c r="BC72" s="36"/>
      <c r="BD72" s="36"/>
      <c r="BE72" s="36"/>
      <c r="BF72" s="36"/>
      <c r="BG72" s="36"/>
      <c r="BH72" s="36"/>
      <c r="BI72" s="36"/>
      <c r="BJ72" s="36"/>
      <c r="BK72" s="36"/>
      <c r="BL72" s="36"/>
      <c r="BM72" s="36"/>
      <c r="BN72" s="34" t="s">
        <v>3590</v>
      </c>
      <c r="BO72" s="36"/>
      <c r="BP72" s="34" t="s">
        <v>3590</v>
      </c>
      <c r="BQ72" s="36"/>
    </row>
    <row r="73">
      <c r="A73" s="31">
        <v>46077.71385905093</v>
      </c>
      <c r="B73" s="32">
        <v>46077.0</v>
      </c>
      <c r="C73" s="33">
        <v>0.5034722222189885</v>
      </c>
      <c r="D73" s="34" t="s">
        <v>91</v>
      </c>
      <c r="E73" s="35" t="s">
        <v>3646</v>
      </c>
      <c r="F73" s="34">
        <v>120.0</v>
      </c>
      <c r="G73" s="34">
        <v>300.0</v>
      </c>
      <c r="H73" s="34" t="s">
        <v>117</v>
      </c>
      <c r="I73" s="36"/>
      <c r="J73" s="34" t="s">
        <v>167</v>
      </c>
      <c r="K73" s="34" t="s">
        <v>134</v>
      </c>
      <c r="L73" s="36"/>
      <c r="M73" s="36"/>
      <c r="N73" s="34">
        <v>1.0</v>
      </c>
      <c r="O73" s="34" t="s">
        <v>135</v>
      </c>
      <c r="P73" s="34" t="s">
        <v>76</v>
      </c>
      <c r="Q73" s="34" t="s">
        <v>97</v>
      </c>
      <c r="R73" s="34" t="s">
        <v>98</v>
      </c>
      <c r="S73" s="37" t="s">
        <v>3643</v>
      </c>
      <c r="T73" s="36"/>
      <c r="U73" s="34" t="s">
        <v>3644</v>
      </c>
      <c r="V73" s="34">
        <v>9.938380231E9</v>
      </c>
      <c r="W73" s="34" t="s">
        <v>117</v>
      </c>
      <c r="X73" s="36"/>
      <c r="Y73" s="36"/>
      <c r="Z73" s="36"/>
      <c r="AA73" s="34" t="s">
        <v>109</v>
      </c>
      <c r="AB73" s="36"/>
      <c r="AC73" s="36"/>
      <c r="AD73" s="36"/>
      <c r="AE73" s="36"/>
      <c r="AF73" s="36"/>
      <c r="AG73" s="36"/>
      <c r="AH73" s="36"/>
      <c r="AI73" s="36"/>
      <c r="AJ73" s="36"/>
      <c r="AK73" s="36"/>
      <c r="AL73" s="36"/>
      <c r="AM73" s="36"/>
      <c r="AN73" s="36"/>
      <c r="AO73" s="36"/>
      <c r="AP73" s="36"/>
      <c r="AQ73" s="36"/>
      <c r="AR73" s="36"/>
      <c r="AS73" s="36"/>
      <c r="AT73" s="34" t="s">
        <v>3645</v>
      </c>
      <c r="AU73" s="34" t="s">
        <v>76</v>
      </c>
      <c r="AV73" s="34" t="s">
        <v>472</v>
      </c>
      <c r="AW73" s="36"/>
      <c r="AX73" s="36"/>
      <c r="AY73" s="36"/>
      <c r="AZ73" s="34" t="s">
        <v>1910</v>
      </c>
      <c r="BA73" s="34" t="s">
        <v>458</v>
      </c>
      <c r="BB73" s="34" t="s">
        <v>76</v>
      </c>
      <c r="BC73" s="36"/>
      <c r="BD73" s="36"/>
      <c r="BE73" s="36"/>
      <c r="BF73" s="36"/>
      <c r="BG73" s="36"/>
      <c r="BH73" s="36"/>
      <c r="BI73" s="36"/>
      <c r="BJ73" s="36"/>
      <c r="BK73" s="36"/>
      <c r="BL73" s="36"/>
      <c r="BM73" s="36"/>
      <c r="BN73" s="36"/>
      <c r="BO73" s="36"/>
      <c r="BP73" s="34" t="s">
        <v>3646</v>
      </c>
      <c r="BQ73" s="36"/>
    </row>
    <row r="74">
      <c r="A74" s="31">
        <v>46078.52874136574</v>
      </c>
      <c r="B74" s="32">
        <v>46078.0</v>
      </c>
      <c r="C74" s="33">
        <v>0.5243055555547471</v>
      </c>
      <c r="D74" s="34" t="s">
        <v>91</v>
      </c>
      <c r="E74" s="35" t="s">
        <v>3871</v>
      </c>
      <c r="F74" s="34">
        <v>120.0</v>
      </c>
      <c r="G74" s="34">
        <v>600.0</v>
      </c>
      <c r="H74" s="34" t="s">
        <v>388</v>
      </c>
      <c r="I74" s="36"/>
      <c r="J74" s="34" t="s">
        <v>167</v>
      </c>
      <c r="K74" s="34" t="s">
        <v>134</v>
      </c>
      <c r="L74" s="36"/>
      <c r="M74" s="36"/>
      <c r="N74" s="34">
        <v>1.0</v>
      </c>
      <c r="O74" s="34" t="s">
        <v>96</v>
      </c>
      <c r="P74" s="34" t="s">
        <v>76</v>
      </c>
      <c r="Q74" s="34" t="s">
        <v>97</v>
      </c>
      <c r="R74" s="34" t="s">
        <v>98</v>
      </c>
      <c r="S74" s="37" t="s">
        <v>3866</v>
      </c>
      <c r="T74" s="36"/>
      <c r="U74" s="34" t="s">
        <v>3867</v>
      </c>
      <c r="V74" s="34">
        <v>8.247031311E9</v>
      </c>
      <c r="W74" s="34" t="s">
        <v>3868</v>
      </c>
      <c r="X74" s="36"/>
      <c r="Y74" s="36"/>
      <c r="Z74" s="36"/>
      <c r="AA74" s="34" t="s">
        <v>109</v>
      </c>
      <c r="AB74" s="36"/>
      <c r="AC74" s="36"/>
      <c r="AD74" s="36"/>
      <c r="AE74" s="36"/>
      <c r="AF74" s="36"/>
      <c r="AG74" s="36"/>
      <c r="AH74" s="36"/>
      <c r="AI74" s="36"/>
      <c r="AJ74" s="36"/>
      <c r="AK74" s="36"/>
      <c r="AL74" s="36"/>
      <c r="AM74" s="36"/>
      <c r="AN74" s="36"/>
      <c r="AO74" s="36"/>
      <c r="AP74" s="36"/>
      <c r="AQ74" s="36"/>
      <c r="AR74" s="36"/>
      <c r="AS74" s="36"/>
      <c r="AT74" s="34" t="s">
        <v>3869</v>
      </c>
      <c r="AU74" s="34" t="s">
        <v>76</v>
      </c>
      <c r="AV74" s="34" t="s">
        <v>373</v>
      </c>
      <c r="AW74" s="36"/>
      <c r="AX74" s="36"/>
      <c r="AY74" s="36"/>
      <c r="AZ74" s="34" t="s">
        <v>1910</v>
      </c>
      <c r="BA74" s="34" t="s">
        <v>458</v>
      </c>
      <c r="BB74" s="34" t="s">
        <v>76</v>
      </c>
      <c r="BC74" s="36"/>
      <c r="BD74" s="36"/>
      <c r="BE74" s="36"/>
      <c r="BF74" s="36"/>
      <c r="BG74" s="36"/>
      <c r="BH74" s="36"/>
      <c r="BI74" s="36"/>
      <c r="BJ74" s="36"/>
      <c r="BK74" s="36"/>
      <c r="BL74" s="36"/>
      <c r="BM74" s="36"/>
      <c r="BN74" s="34" t="s">
        <v>3870</v>
      </c>
      <c r="BO74" s="36"/>
      <c r="BP74" s="34" t="s">
        <v>3871</v>
      </c>
      <c r="BQ74" s="36"/>
    </row>
    <row r="75">
      <c r="A75" s="31">
        <v>46078.54013944445</v>
      </c>
      <c r="B75" s="32">
        <v>46077.0</v>
      </c>
      <c r="C75" s="33">
        <v>0.609027777776646</v>
      </c>
      <c r="D75" s="34" t="s">
        <v>91</v>
      </c>
      <c r="E75" s="35" t="s">
        <v>3875</v>
      </c>
      <c r="F75" s="34">
        <v>80.0</v>
      </c>
      <c r="G75" s="34">
        <v>600.0</v>
      </c>
      <c r="H75" s="34" t="s">
        <v>117</v>
      </c>
      <c r="I75" s="36"/>
      <c r="J75" s="34" t="s">
        <v>167</v>
      </c>
      <c r="K75" s="34" t="s">
        <v>134</v>
      </c>
      <c r="L75" s="36"/>
      <c r="M75" s="36"/>
      <c r="N75" s="34">
        <v>17.0</v>
      </c>
      <c r="O75" s="34" t="s">
        <v>371</v>
      </c>
      <c r="P75" s="34" t="s">
        <v>76</v>
      </c>
      <c r="Q75" s="34" t="s">
        <v>97</v>
      </c>
      <c r="R75" s="34" t="s">
        <v>76</v>
      </c>
      <c r="S75" s="34" t="s">
        <v>664</v>
      </c>
      <c r="T75" s="36"/>
      <c r="U75" s="34" t="s">
        <v>3872</v>
      </c>
      <c r="V75" s="34">
        <v>9.66622946E9</v>
      </c>
      <c r="W75" s="34" t="s">
        <v>3873</v>
      </c>
      <c r="X75" s="36"/>
      <c r="Y75" s="36"/>
      <c r="Z75" s="36"/>
      <c r="AA75" s="34" t="s">
        <v>109</v>
      </c>
      <c r="AB75" s="36"/>
      <c r="AC75" s="36"/>
      <c r="AD75" s="36"/>
      <c r="AE75" s="36"/>
      <c r="AF75" s="36"/>
      <c r="AG75" s="36"/>
      <c r="AH75" s="36"/>
      <c r="AI75" s="36"/>
      <c r="AJ75" s="36"/>
      <c r="AK75" s="36"/>
      <c r="AL75" s="36"/>
      <c r="AM75" s="36"/>
      <c r="AN75" s="36"/>
      <c r="AO75" s="36"/>
      <c r="AP75" s="36"/>
      <c r="AQ75" s="36"/>
      <c r="AR75" s="36"/>
      <c r="AS75" s="36"/>
      <c r="AT75" s="34" t="s">
        <v>3874</v>
      </c>
      <c r="AU75" s="34" t="s">
        <v>76</v>
      </c>
      <c r="AV75" s="34" t="s">
        <v>472</v>
      </c>
      <c r="AW75" s="36"/>
      <c r="AX75" s="36"/>
      <c r="AY75" s="36"/>
      <c r="AZ75" s="34" t="s">
        <v>1607</v>
      </c>
      <c r="BA75" s="34" t="s">
        <v>458</v>
      </c>
      <c r="BB75" s="34" t="s">
        <v>76</v>
      </c>
      <c r="BC75" s="36"/>
      <c r="BD75" s="36"/>
      <c r="BE75" s="36"/>
      <c r="BF75" s="36"/>
      <c r="BG75" s="36"/>
      <c r="BH75" s="36"/>
      <c r="BI75" s="36"/>
      <c r="BJ75" s="36"/>
      <c r="BK75" s="36"/>
      <c r="BL75" s="36"/>
      <c r="BM75" s="36"/>
      <c r="BN75" s="34" t="s">
        <v>3875</v>
      </c>
      <c r="BO75" s="36"/>
      <c r="BP75" s="34" t="s">
        <v>3875</v>
      </c>
      <c r="BQ75" s="36"/>
    </row>
    <row r="76">
      <c r="A76" s="31">
        <v>46078.71886125</v>
      </c>
      <c r="B76" s="32">
        <v>46078.0</v>
      </c>
      <c r="C76" s="33">
        <v>0.125</v>
      </c>
      <c r="D76" s="34" t="s">
        <v>91</v>
      </c>
      <c r="E76" s="35" t="s">
        <v>3908</v>
      </c>
      <c r="F76" s="34">
        <v>250.0</v>
      </c>
      <c r="G76" s="34">
        <v>400.0</v>
      </c>
      <c r="H76" s="34" t="s">
        <v>423</v>
      </c>
      <c r="I76" s="36"/>
      <c r="J76" s="34" t="s">
        <v>167</v>
      </c>
      <c r="K76" s="34" t="s">
        <v>134</v>
      </c>
      <c r="L76" s="36"/>
      <c r="M76" s="36"/>
      <c r="N76" s="34">
        <v>10.0</v>
      </c>
      <c r="O76" s="34" t="s">
        <v>135</v>
      </c>
      <c r="P76" s="34" t="s">
        <v>76</v>
      </c>
      <c r="Q76" s="34" t="s">
        <v>97</v>
      </c>
      <c r="R76" s="34" t="s">
        <v>98</v>
      </c>
      <c r="S76" s="37" t="s">
        <v>3903</v>
      </c>
      <c r="T76" s="36"/>
      <c r="U76" s="34" t="s">
        <v>3904</v>
      </c>
      <c r="V76" s="34" t="s">
        <v>117</v>
      </c>
      <c r="W76" s="34" t="s">
        <v>3905</v>
      </c>
      <c r="X76" s="34" t="s">
        <v>3906</v>
      </c>
      <c r="Y76" s="34">
        <v>7.799678883E9</v>
      </c>
      <c r="Z76" s="34" t="s">
        <v>3905</v>
      </c>
      <c r="AA76" s="34" t="s">
        <v>109</v>
      </c>
      <c r="AB76" s="36"/>
      <c r="AC76" s="36"/>
      <c r="AD76" s="36"/>
      <c r="AE76" s="36"/>
      <c r="AF76" s="36"/>
      <c r="AG76" s="36"/>
      <c r="AH76" s="36"/>
      <c r="AI76" s="36"/>
      <c r="AJ76" s="36"/>
      <c r="AK76" s="36"/>
      <c r="AL76" s="36"/>
      <c r="AM76" s="36"/>
      <c r="AN76" s="36"/>
      <c r="AO76" s="36"/>
      <c r="AP76" s="36"/>
      <c r="AQ76" s="36"/>
      <c r="AR76" s="36"/>
      <c r="AS76" s="36"/>
      <c r="AT76" s="34" t="s">
        <v>3907</v>
      </c>
      <c r="AU76" s="34" t="s">
        <v>76</v>
      </c>
      <c r="AV76" s="36"/>
      <c r="AW76" s="36"/>
      <c r="AX76" s="36"/>
      <c r="AY76" s="36"/>
      <c r="AZ76" s="34" t="s">
        <v>1910</v>
      </c>
      <c r="BA76" s="34" t="s">
        <v>458</v>
      </c>
      <c r="BB76" s="34" t="s">
        <v>76</v>
      </c>
      <c r="BC76" s="36"/>
      <c r="BD76" s="36"/>
      <c r="BE76" s="36"/>
      <c r="BF76" s="36"/>
      <c r="BG76" s="36"/>
      <c r="BH76" s="36"/>
      <c r="BI76" s="36"/>
      <c r="BJ76" s="36"/>
      <c r="BK76" s="36"/>
      <c r="BL76" s="34">
        <v>50.0</v>
      </c>
      <c r="BM76" s="36"/>
      <c r="BN76" s="34" t="s">
        <v>1461</v>
      </c>
      <c r="BO76" s="36"/>
      <c r="BP76" s="34" t="s">
        <v>3908</v>
      </c>
      <c r="BQ76" s="36"/>
    </row>
    <row r="77">
      <c r="A77" s="31">
        <v>46078.91113086806</v>
      </c>
      <c r="B77" s="32">
        <v>46078.0</v>
      </c>
      <c r="C77" s="33">
        <v>0.4562500000029104</v>
      </c>
      <c r="D77" s="34" t="s">
        <v>91</v>
      </c>
      <c r="E77" s="35" t="s">
        <v>4005</v>
      </c>
      <c r="F77" s="34">
        <v>50.0</v>
      </c>
      <c r="G77" s="34">
        <v>300.0</v>
      </c>
      <c r="H77" s="34" t="s">
        <v>291</v>
      </c>
      <c r="I77" s="36"/>
      <c r="J77" s="34" t="s">
        <v>167</v>
      </c>
      <c r="K77" s="34" t="s">
        <v>134</v>
      </c>
      <c r="L77" s="36"/>
      <c r="M77" s="36"/>
      <c r="N77" s="34">
        <v>7.0</v>
      </c>
      <c r="O77" s="34" t="s">
        <v>96</v>
      </c>
      <c r="P77" s="34" t="s">
        <v>76</v>
      </c>
      <c r="Q77" s="34" t="s">
        <v>97</v>
      </c>
      <c r="R77" s="34" t="s">
        <v>76</v>
      </c>
      <c r="S77" s="34" t="s">
        <v>113</v>
      </c>
      <c r="T77" s="36"/>
      <c r="U77" s="34" t="s">
        <v>4003</v>
      </c>
      <c r="V77" s="34">
        <v>9.441166869E9</v>
      </c>
      <c r="W77" s="34" t="s">
        <v>113</v>
      </c>
      <c r="X77" s="36"/>
      <c r="Y77" s="36"/>
      <c r="Z77" s="36"/>
      <c r="AA77" s="34" t="s">
        <v>109</v>
      </c>
      <c r="AB77" s="36"/>
      <c r="AC77" s="36"/>
      <c r="AD77" s="36"/>
      <c r="AE77" s="36"/>
      <c r="AF77" s="36"/>
      <c r="AG77" s="36"/>
      <c r="AH77" s="36"/>
      <c r="AI77" s="36"/>
      <c r="AJ77" s="36"/>
      <c r="AK77" s="36"/>
      <c r="AL77" s="36"/>
      <c r="AM77" s="36"/>
      <c r="AN77" s="36"/>
      <c r="AO77" s="36"/>
      <c r="AP77" s="36"/>
      <c r="AQ77" s="36"/>
      <c r="AR77" s="36"/>
      <c r="AS77" s="36"/>
      <c r="AT77" s="34" t="s">
        <v>4004</v>
      </c>
      <c r="AU77" s="34" t="s">
        <v>76</v>
      </c>
      <c r="AV77" s="34" t="s">
        <v>472</v>
      </c>
      <c r="AW77" s="36"/>
      <c r="AX77" s="32">
        <v>46081.0</v>
      </c>
      <c r="AY77" s="33">
        <v>0.41666666666424135</v>
      </c>
      <c r="AZ77" s="34" t="s">
        <v>539</v>
      </c>
      <c r="BA77" s="34" t="s">
        <v>458</v>
      </c>
      <c r="BB77" s="34" t="s">
        <v>76</v>
      </c>
      <c r="BC77" s="36"/>
      <c r="BD77" s="36"/>
      <c r="BE77" s="36"/>
      <c r="BF77" s="36"/>
      <c r="BG77" s="36"/>
      <c r="BH77" s="36"/>
      <c r="BI77" s="36"/>
      <c r="BJ77" s="36"/>
      <c r="BK77" s="36"/>
      <c r="BL77" s="36"/>
      <c r="BM77" s="36"/>
      <c r="BN77" s="34" t="s">
        <v>1550</v>
      </c>
      <c r="BO77" s="36"/>
      <c r="BP77" s="34" t="s">
        <v>4005</v>
      </c>
      <c r="BQ77" s="36"/>
    </row>
    <row r="78">
      <c r="A78" s="31">
        <v>46078.91825016204</v>
      </c>
      <c r="B78" s="32">
        <v>46078.0</v>
      </c>
      <c r="C78" s="33">
        <v>0.09097222222044365</v>
      </c>
      <c r="D78" s="34" t="s">
        <v>91</v>
      </c>
      <c r="E78" s="35" t="s">
        <v>4014</v>
      </c>
      <c r="F78" s="34">
        <v>20.0</v>
      </c>
      <c r="G78" s="34">
        <v>400.0</v>
      </c>
      <c r="H78" s="34" t="s">
        <v>291</v>
      </c>
      <c r="I78" s="36"/>
      <c r="J78" s="34" t="s">
        <v>167</v>
      </c>
      <c r="K78" s="34" t="s">
        <v>134</v>
      </c>
      <c r="L78" s="36"/>
      <c r="M78" s="36"/>
      <c r="N78" s="34">
        <v>2.0</v>
      </c>
      <c r="O78" s="34" t="s">
        <v>96</v>
      </c>
      <c r="P78" s="34" t="s">
        <v>76</v>
      </c>
      <c r="Q78" s="34" t="s">
        <v>97</v>
      </c>
      <c r="R78" s="34" t="s">
        <v>76</v>
      </c>
      <c r="S78" s="34" t="s">
        <v>113</v>
      </c>
      <c r="T78" s="36"/>
      <c r="U78" s="34" t="s">
        <v>4012</v>
      </c>
      <c r="V78" s="34">
        <v>8.328135391E9</v>
      </c>
      <c r="W78" s="34" t="s">
        <v>113</v>
      </c>
      <c r="X78" s="36"/>
      <c r="Y78" s="36"/>
      <c r="Z78" s="36"/>
      <c r="AA78" s="34" t="s">
        <v>109</v>
      </c>
      <c r="AB78" s="36"/>
      <c r="AC78" s="36"/>
      <c r="AD78" s="36"/>
      <c r="AE78" s="36"/>
      <c r="AF78" s="36"/>
      <c r="AG78" s="36"/>
      <c r="AH78" s="36"/>
      <c r="AI78" s="36"/>
      <c r="AJ78" s="36"/>
      <c r="AK78" s="36"/>
      <c r="AL78" s="36"/>
      <c r="AM78" s="36"/>
      <c r="AN78" s="36"/>
      <c r="AO78" s="36"/>
      <c r="AP78" s="36"/>
      <c r="AQ78" s="36"/>
      <c r="AR78" s="36"/>
      <c r="AS78" s="36"/>
      <c r="AT78" s="34" t="s">
        <v>4013</v>
      </c>
      <c r="AU78" s="34" t="s">
        <v>76</v>
      </c>
      <c r="AV78" s="36"/>
      <c r="AW78" s="36"/>
      <c r="AX78" s="36"/>
      <c r="AY78" s="36"/>
      <c r="AZ78" s="34" t="s">
        <v>539</v>
      </c>
      <c r="BA78" s="34" t="s">
        <v>458</v>
      </c>
      <c r="BB78" s="34" t="s">
        <v>76</v>
      </c>
      <c r="BC78" s="36"/>
      <c r="BD78" s="36"/>
      <c r="BE78" s="36"/>
      <c r="BF78" s="36"/>
      <c r="BG78" s="36"/>
      <c r="BH78" s="36"/>
      <c r="BI78" s="36"/>
      <c r="BJ78" s="36"/>
      <c r="BK78" s="36"/>
      <c r="BL78" s="36"/>
      <c r="BM78" s="36"/>
      <c r="BN78" s="34" t="s">
        <v>2900</v>
      </c>
      <c r="BO78" s="36"/>
      <c r="BP78" s="34" t="s">
        <v>4014</v>
      </c>
      <c r="BQ78" s="36"/>
    </row>
    <row r="79">
      <c r="A79" s="31">
        <v>46078.9231797338</v>
      </c>
      <c r="B79" s="32">
        <v>46078.0</v>
      </c>
      <c r="C79" s="33">
        <v>0.2819444444467081</v>
      </c>
      <c r="D79" s="34" t="s">
        <v>91</v>
      </c>
      <c r="E79" s="35" t="s">
        <v>4020</v>
      </c>
      <c r="F79" s="34">
        <v>50.0</v>
      </c>
      <c r="G79" s="34">
        <v>450.0</v>
      </c>
      <c r="H79" s="34" t="s">
        <v>113</v>
      </c>
      <c r="I79" s="36"/>
      <c r="J79" s="34" t="s">
        <v>167</v>
      </c>
      <c r="K79" s="34" t="s">
        <v>134</v>
      </c>
      <c r="L79" s="36"/>
      <c r="M79" s="36"/>
      <c r="N79" s="34">
        <v>1.0</v>
      </c>
      <c r="O79" s="34" t="s">
        <v>96</v>
      </c>
      <c r="P79" s="34" t="s">
        <v>76</v>
      </c>
      <c r="Q79" s="34" t="s">
        <v>97</v>
      </c>
      <c r="R79" s="34" t="s">
        <v>76</v>
      </c>
      <c r="S79" s="34" t="s">
        <v>113</v>
      </c>
      <c r="T79" s="36"/>
      <c r="U79" s="34" t="s">
        <v>2918</v>
      </c>
      <c r="V79" s="34">
        <v>9.986881566E9</v>
      </c>
      <c r="W79" s="34" t="s">
        <v>113</v>
      </c>
      <c r="X79" s="36"/>
      <c r="Y79" s="36"/>
      <c r="Z79" s="36"/>
      <c r="AA79" s="34" t="s">
        <v>109</v>
      </c>
      <c r="AB79" s="36"/>
      <c r="AC79" s="36"/>
      <c r="AD79" s="36"/>
      <c r="AE79" s="36"/>
      <c r="AF79" s="36"/>
      <c r="AG79" s="36"/>
      <c r="AH79" s="36"/>
      <c r="AI79" s="36"/>
      <c r="AJ79" s="36"/>
      <c r="AK79" s="36"/>
      <c r="AL79" s="36"/>
      <c r="AM79" s="36"/>
      <c r="AN79" s="36"/>
      <c r="AO79" s="36"/>
      <c r="AP79" s="36"/>
      <c r="AQ79" s="36"/>
      <c r="AR79" s="36"/>
      <c r="AS79" s="36"/>
      <c r="AT79" s="34" t="s">
        <v>237</v>
      </c>
      <c r="AU79" s="34" t="s">
        <v>76</v>
      </c>
      <c r="AV79" s="36"/>
      <c r="AW79" s="36"/>
      <c r="AX79" s="36"/>
      <c r="AY79" s="36"/>
      <c r="AZ79" s="34" t="s">
        <v>539</v>
      </c>
      <c r="BA79" s="34" t="s">
        <v>458</v>
      </c>
      <c r="BB79" s="34" t="s">
        <v>76</v>
      </c>
      <c r="BC79" s="36"/>
      <c r="BD79" s="36"/>
      <c r="BE79" s="36"/>
      <c r="BF79" s="36"/>
      <c r="BG79" s="36"/>
      <c r="BH79" s="36"/>
      <c r="BI79" s="36"/>
      <c r="BJ79" s="36"/>
      <c r="BK79" s="36"/>
      <c r="BL79" s="36"/>
      <c r="BM79" s="36"/>
      <c r="BN79" s="34" t="s">
        <v>2865</v>
      </c>
      <c r="BO79" s="36"/>
      <c r="BP79" s="34" t="s">
        <v>4020</v>
      </c>
      <c r="BQ79" s="36"/>
    </row>
    <row r="80">
      <c r="A80" s="31">
        <v>46080.66595163195</v>
      </c>
      <c r="B80" s="32">
        <v>46080.0</v>
      </c>
      <c r="C80" s="33">
        <v>0.65625</v>
      </c>
      <c r="D80" s="34" t="s">
        <v>91</v>
      </c>
      <c r="E80" s="35" t="s">
        <v>4303</v>
      </c>
      <c r="F80" s="34">
        <v>100.0</v>
      </c>
      <c r="G80" s="34">
        <v>700.0</v>
      </c>
      <c r="H80" s="34" t="s">
        <v>509</v>
      </c>
      <c r="I80" s="34">
        <v>30000.0</v>
      </c>
      <c r="J80" s="34" t="s">
        <v>167</v>
      </c>
      <c r="K80" s="34" t="s">
        <v>134</v>
      </c>
      <c r="L80" s="34">
        <v>25.0</v>
      </c>
      <c r="M80" s="34">
        <v>22.0</v>
      </c>
      <c r="N80" s="34">
        <v>4.0</v>
      </c>
      <c r="O80" s="34" t="s">
        <v>96</v>
      </c>
      <c r="P80" s="34" t="s">
        <v>76</v>
      </c>
      <c r="Q80" s="34" t="s">
        <v>97</v>
      </c>
      <c r="R80" s="34" t="s">
        <v>76</v>
      </c>
      <c r="S80" s="37" t="s">
        <v>4299</v>
      </c>
      <c r="T80" s="36"/>
      <c r="U80" s="34" t="s">
        <v>4300</v>
      </c>
      <c r="V80" s="34">
        <v>9.381305084E9</v>
      </c>
      <c r="W80" s="34" t="s">
        <v>388</v>
      </c>
      <c r="X80" s="36"/>
      <c r="Y80" s="36"/>
      <c r="Z80" s="36"/>
      <c r="AA80" s="34" t="s">
        <v>109</v>
      </c>
      <c r="AB80" s="36"/>
      <c r="AC80" s="36"/>
      <c r="AD80" s="36"/>
      <c r="AE80" s="36"/>
      <c r="AF80" s="36"/>
      <c r="AG80" s="36"/>
      <c r="AH80" s="36"/>
      <c r="AI80" s="36"/>
      <c r="AJ80" s="36"/>
      <c r="AK80" s="36"/>
      <c r="AL80" s="36"/>
      <c r="AM80" s="36"/>
      <c r="AN80" s="36"/>
      <c r="AO80" s="36"/>
      <c r="AP80" s="36"/>
      <c r="AQ80" s="36"/>
      <c r="AR80" s="36"/>
      <c r="AS80" s="36"/>
      <c r="AT80" s="34" t="s">
        <v>4301</v>
      </c>
      <c r="AU80" s="34" t="s">
        <v>76</v>
      </c>
      <c r="AV80" s="34" t="s">
        <v>88</v>
      </c>
      <c r="AW80" s="34" t="s">
        <v>4302</v>
      </c>
      <c r="AX80" s="32">
        <v>46083.0</v>
      </c>
      <c r="AY80" s="33">
        <v>0.5416666666642413</v>
      </c>
      <c r="AZ80" s="34" t="s">
        <v>110</v>
      </c>
      <c r="BA80" s="34" t="s">
        <v>458</v>
      </c>
      <c r="BB80" s="34" t="s">
        <v>76</v>
      </c>
      <c r="BC80" s="36"/>
      <c r="BD80" s="36"/>
      <c r="BE80" s="36"/>
      <c r="BF80" s="36"/>
      <c r="BG80" s="36"/>
      <c r="BH80" s="36"/>
      <c r="BI80" s="36"/>
      <c r="BJ80" s="36"/>
      <c r="BK80" s="36"/>
      <c r="BL80" s="34">
        <v>30.0</v>
      </c>
      <c r="BM80" s="36"/>
      <c r="BN80" s="34" t="s">
        <v>978</v>
      </c>
      <c r="BO80" s="36"/>
      <c r="BP80" s="34" t="s">
        <v>4303</v>
      </c>
      <c r="BQ80" s="36"/>
    </row>
    <row r="81">
      <c r="A81" s="31">
        <v>46083.38837994213</v>
      </c>
      <c r="B81" s="32">
        <v>46081.0</v>
      </c>
      <c r="C81" s="33">
        <v>0.7083333333357587</v>
      </c>
      <c r="D81" s="34" t="s">
        <v>91</v>
      </c>
      <c r="E81" s="35" t="s">
        <v>4428</v>
      </c>
      <c r="F81" s="34">
        <v>60.0</v>
      </c>
      <c r="G81" s="34">
        <v>1500.0</v>
      </c>
      <c r="H81" s="34" t="s">
        <v>291</v>
      </c>
      <c r="I81" s="34">
        <v>200000.0</v>
      </c>
      <c r="J81" s="34" t="s">
        <v>167</v>
      </c>
      <c r="K81" s="34" t="s">
        <v>118</v>
      </c>
      <c r="L81" s="34">
        <v>22.0</v>
      </c>
      <c r="M81" s="34">
        <v>20.0</v>
      </c>
      <c r="N81" s="34">
        <v>1.0</v>
      </c>
      <c r="O81" s="34" t="s">
        <v>96</v>
      </c>
      <c r="P81" s="34" t="s">
        <v>76</v>
      </c>
      <c r="Q81" s="34" t="s">
        <v>97</v>
      </c>
      <c r="R81" s="34" t="s">
        <v>76</v>
      </c>
      <c r="S81" s="34" t="s">
        <v>4424</v>
      </c>
      <c r="T81" s="36"/>
      <c r="U81" s="34" t="s">
        <v>4425</v>
      </c>
      <c r="V81" s="34">
        <v>9.032785954E9</v>
      </c>
      <c r="W81" s="34" t="s">
        <v>113</v>
      </c>
      <c r="X81" s="36"/>
      <c r="Y81" s="36"/>
      <c r="Z81" s="36"/>
      <c r="AA81" s="34" t="s">
        <v>109</v>
      </c>
      <c r="AB81" s="36"/>
      <c r="AC81" s="36"/>
      <c r="AD81" s="36"/>
      <c r="AE81" s="36"/>
      <c r="AF81" s="36"/>
      <c r="AG81" s="36"/>
      <c r="AH81" s="36"/>
      <c r="AI81" s="36"/>
      <c r="AJ81" s="36"/>
      <c r="AK81" s="36"/>
      <c r="AL81" s="36"/>
      <c r="AM81" s="36"/>
      <c r="AN81" s="36"/>
      <c r="AO81" s="36"/>
      <c r="AP81" s="36"/>
      <c r="AQ81" s="36"/>
      <c r="AR81" s="36"/>
      <c r="AS81" s="36"/>
      <c r="AT81" s="34" t="s">
        <v>4426</v>
      </c>
      <c r="AU81" s="34" t="s">
        <v>76</v>
      </c>
      <c r="AV81" s="34" t="s">
        <v>88</v>
      </c>
      <c r="AW81" s="36"/>
      <c r="AX81" s="36"/>
      <c r="AY81" s="36"/>
      <c r="AZ81" s="34" t="s">
        <v>131</v>
      </c>
      <c r="BA81" s="34" t="s">
        <v>458</v>
      </c>
      <c r="BB81" s="34" t="s">
        <v>76</v>
      </c>
      <c r="BC81" s="36"/>
      <c r="BD81" s="36"/>
      <c r="BE81" s="36"/>
      <c r="BF81" s="36"/>
      <c r="BG81" s="36"/>
      <c r="BH81" s="36"/>
      <c r="BI81" s="36"/>
      <c r="BJ81" s="36"/>
      <c r="BK81" s="36"/>
      <c r="BL81" s="34">
        <v>100.0</v>
      </c>
      <c r="BM81" s="36"/>
      <c r="BN81" s="34" t="s">
        <v>4427</v>
      </c>
      <c r="BO81" s="36"/>
      <c r="BP81" s="34" t="s">
        <v>4428</v>
      </c>
      <c r="BQ81" s="36"/>
    </row>
    <row r="82">
      <c r="A82" s="31">
        <v>46083.57214193287</v>
      </c>
      <c r="B82" s="32">
        <v>46083.0</v>
      </c>
      <c r="C82" s="33">
        <v>0.5625</v>
      </c>
      <c r="D82" s="34" t="s">
        <v>91</v>
      </c>
      <c r="E82" s="35" t="s">
        <v>4472</v>
      </c>
      <c r="F82" s="34">
        <v>15.0</v>
      </c>
      <c r="G82" s="34">
        <v>300.0</v>
      </c>
      <c r="H82" s="34" t="s">
        <v>4468</v>
      </c>
      <c r="I82" s="36"/>
      <c r="J82" s="34" t="s">
        <v>167</v>
      </c>
      <c r="K82" s="34" t="s">
        <v>134</v>
      </c>
      <c r="L82" s="34">
        <v>24.0</v>
      </c>
      <c r="M82" s="36"/>
      <c r="N82" s="34">
        <v>8.0</v>
      </c>
      <c r="O82" s="34" t="s">
        <v>96</v>
      </c>
      <c r="P82" s="34" t="s">
        <v>76</v>
      </c>
      <c r="Q82" s="34" t="s">
        <v>97</v>
      </c>
      <c r="R82" s="34" t="s">
        <v>76</v>
      </c>
      <c r="S82" s="37" t="s">
        <v>4469</v>
      </c>
      <c r="T82" s="36"/>
      <c r="U82" s="34" t="s">
        <v>1238</v>
      </c>
      <c r="V82" s="34">
        <v>9.951343434E9</v>
      </c>
      <c r="W82" s="34" t="s">
        <v>4470</v>
      </c>
      <c r="X82" s="36"/>
      <c r="Y82" s="36"/>
      <c r="Z82" s="36"/>
      <c r="AA82" s="34" t="s">
        <v>109</v>
      </c>
      <c r="AB82" s="36"/>
      <c r="AC82" s="36"/>
      <c r="AD82" s="36"/>
      <c r="AE82" s="36"/>
      <c r="AF82" s="36"/>
      <c r="AG82" s="36"/>
      <c r="AH82" s="36"/>
      <c r="AI82" s="36"/>
      <c r="AJ82" s="36"/>
      <c r="AK82" s="36"/>
      <c r="AL82" s="36"/>
      <c r="AM82" s="36"/>
      <c r="AN82" s="36"/>
      <c r="AO82" s="36"/>
      <c r="AP82" s="36"/>
      <c r="AQ82" s="36"/>
      <c r="AR82" s="36"/>
      <c r="AS82" s="36"/>
      <c r="AT82" s="34" t="s">
        <v>4471</v>
      </c>
      <c r="AU82" s="34" t="s">
        <v>76</v>
      </c>
      <c r="AV82" s="34" t="s">
        <v>88</v>
      </c>
      <c r="AW82" s="36"/>
      <c r="AX82" s="36"/>
      <c r="AY82" s="36"/>
      <c r="AZ82" s="34" t="s">
        <v>110</v>
      </c>
      <c r="BA82" s="34" t="s">
        <v>458</v>
      </c>
      <c r="BB82" s="34" t="s">
        <v>76</v>
      </c>
      <c r="BC82" s="36"/>
      <c r="BD82" s="36"/>
      <c r="BE82" s="36"/>
      <c r="BF82" s="36"/>
      <c r="BG82" s="36"/>
      <c r="BH82" s="36"/>
      <c r="BI82" s="36"/>
      <c r="BJ82" s="36"/>
      <c r="BK82" s="36"/>
      <c r="BL82" s="36"/>
      <c r="BM82" s="36"/>
      <c r="BN82" s="34" t="s">
        <v>779</v>
      </c>
      <c r="BO82" s="36"/>
      <c r="BP82" s="34" t="s">
        <v>4472</v>
      </c>
      <c r="BQ82" s="36"/>
    </row>
    <row r="83">
      <c r="A83" s="31">
        <v>46083.59133850694</v>
      </c>
      <c r="B83" s="32">
        <v>46083.0</v>
      </c>
      <c r="C83" s="33">
        <v>0.5881944444408873</v>
      </c>
      <c r="D83" s="34" t="s">
        <v>91</v>
      </c>
      <c r="E83" s="35" t="s">
        <v>4482</v>
      </c>
      <c r="F83" s="34">
        <v>150.0</v>
      </c>
      <c r="G83" s="34">
        <v>350.0</v>
      </c>
      <c r="H83" s="34" t="s">
        <v>509</v>
      </c>
      <c r="I83" s="34">
        <v>60000.0</v>
      </c>
      <c r="J83" s="34" t="s">
        <v>167</v>
      </c>
      <c r="K83" s="34" t="s">
        <v>134</v>
      </c>
      <c r="L83" s="34">
        <v>25.0</v>
      </c>
      <c r="M83" s="34">
        <v>20.0</v>
      </c>
      <c r="N83" s="34">
        <v>1.0</v>
      </c>
      <c r="O83" s="34" t="s">
        <v>135</v>
      </c>
      <c r="P83" s="34" t="s">
        <v>76</v>
      </c>
      <c r="Q83" s="34" t="s">
        <v>97</v>
      </c>
      <c r="R83" s="34" t="s">
        <v>76</v>
      </c>
      <c r="S83" s="37" t="s">
        <v>4478</v>
      </c>
      <c r="T83" s="36"/>
      <c r="U83" s="34" t="s">
        <v>4479</v>
      </c>
      <c r="V83" s="34">
        <v>8.688880266E9</v>
      </c>
      <c r="W83" s="34" t="s">
        <v>4480</v>
      </c>
      <c r="X83" s="36"/>
      <c r="Y83" s="36"/>
      <c r="Z83" s="36"/>
      <c r="AA83" s="34" t="s">
        <v>109</v>
      </c>
      <c r="AB83" s="36"/>
      <c r="AC83" s="36"/>
      <c r="AD83" s="36"/>
      <c r="AE83" s="36"/>
      <c r="AF83" s="36"/>
      <c r="AG83" s="36"/>
      <c r="AH83" s="36"/>
      <c r="AI83" s="36"/>
      <c r="AJ83" s="36"/>
      <c r="AK83" s="36"/>
      <c r="AL83" s="36"/>
      <c r="AM83" s="36"/>
      <c r="AN83" s="36"/>
      <c r="AO83" s="36"/>
      <c r="AP83" s="36"/>
      <c r="AQ83" s="36"/>
      <c r="AR83" s="36"/>
      <c r="AS83" s="36"/>
      <c r="AT83" s="34" t="s">
        <v>4481</v>
      </c>
      <c r="AU83" s="34" t="s">
        <v>76</v>
      </c>
      <c r="AV83" s="34" t="s">
        <v>88</v>
      </c>
      <c r="AW83" s="34" t="s">
        <v>1740</v>
      </c>
      <c r="AX83" s="32">
        <v>46085.0</v>
      </c>
      <c r="AY83" s="33">
        <v>0.5625</v>
      </c>
      <c r="AZ83" s="34" t="s">
        <v>110</v>
      </c>
      <c r="BA83" s="34" t="s">
        <v>458</v>
      </c>
      <c r="BB83" s="34" t="s">
        <v>76</v>
      </c>
      <c r="BC83" s="36"/>
      <c r="BD83" s="36"/>
      <c r="BE83" s="36"/>
      <c r="BF83" s="36"/>
      <c r="BG83" s="36"/>
      <c r="BH83" s="36"/>
      <c r="BI83" s="36"/>
      <c r="BJ83" s="36"/>
      <c r="BK83" s="36"/>
      <c r="BL83" s="34">
        <v>300.0</v>
      </c>
      <c r="BM83" s="36"/>
      <c r="BN83" s="34" t="s">
        <v>1088</v>
      </c>
      <c r="BO83" s="36"/>
      <c r="BP83" s="34" t="s">
        <v>4482</v>
      </c>
      <c r="BQ83" s="36"/>
    </row>
    <row r="84">
      <c r="A84" s="31">
        <v>46083.75234157407</v>
      </c>
      <c r="B84" s="32">
        <v>46083.0</v>
      </c>
      <c r="C84" s="33">
        <v>0.5208333333357587</v>
      </c>
      <c r="D84" s="34" t="s">
        <v>91</v>
      </c>
      <c r="E84" s="35" t="s">
        <v>4578</v>
      </c>
      <c r="F84" s="34">
        <v>60.0</v>
      </c>
      <c r="G84" s="34">
        <v>700.0</v>
      </c>
      <c r="H84" s="34" t="s">
        <v>863</v>
      </c>
      <c r="I84" s="34">
        <v>49000.0</v>
      </c>
      <c r="J84" s="34" t="s">
        <v>167</v>
      </c>
      <c r="K84" s="34" t="s">
        <v>95</v>
      </c>
      <c r="L84" s="36"/>
      <c r="M84" s="34">
        <v>22.0</v>
      </c>
      <c r="N84" s="34">
        <v>1.0</v>
      </c>
      <c r="O84" s="34" t="s">
        <v>135</v>
      </c>
      <c r="P84" s="34" t="s">
        <v>76</v>
      </c>
      <c r="Q84" s="34" t="s">
        <v>97</v>
      </c>
      <c r="R84" s="34" t="s">
        <v>76</v>
      </c>
      <c r="S84" s="34" t="s">
        <v>4572</v>
      </c>
      <c r="T84" s="36"/>
      <c r="U84" s="34" t="s">
        <v>4573</v>
      </c>
      <c r="V84" s="34">
        <v>9.154999897E9</v>
      </c>
      <c r="W84" s="34" t="s">
        <v>4574</v>
      </c>
      <c r="X84" s="36"/>
      <c r="Y84" s="36"/>
      <c r="Z84" s="36"/>
      <c r="AA84" s="34" t="s">
        <v>109</v>
      </c>
      <c r="AB84" s="36"/>
      <c r="AC84" s="36"/>
      <c r="AD84" s="36"/>
      <c r="AE84" s="36"/>
      <c r="AF84" s="36"/>
      <c r="AG84" s="36"/>
      <c r="AH84" s="36"/>
      <c r="AI84" s="36"/>
      <c r="AJ84" s="36"/>
      <c r="AK84" s="36"/>
      <c r="AL84" s="36"/>
      <c r="AM84" s="36"/>
      <c r="AN84" s="36"/>
      <c r="AO84" s="36"/>
      <c r="AP84" s="36"/>
      <c r="AQ84" s="36"/>
      <c r="AR84" s="36"/>
      <c r="AS84" s="36"/>
      <c r="AT84" s="34" t="s">
        <v>4575</v>
      </c>
      <c r="AU84" s="34" t="s">
        <v>76</v>
      </c>
      <c r="AV84" s="34" t="s">
        <v>472</v>
      </c>
      <c r="AW84" s="34" t="s">
        <v>4576</v>
      </c>
      <c r="AX84" s="32">
        <v>46086.0</v>
      </c>
      <c r="AY84" s="33">
        <v>0.5416666666642413</v>
      </c>
      <c r="AZ84" s="34" t="s">
        <v>164</v>
      </c>
      <c r="BA84" s="34" t="s">
        <v>458</v>
      </c>
      <c r="BB84" s="34" t="s">
        <v>76</v>
      </c>
      <c r="BC84" s="36"/>
      <c r="BD84" s="36"/>
      <c r="BE84" s="36"/>
      <c r="BF84" s="36"/>
      <c r="BG84" s="36"/>
      <c r="BH84" s="36"/>
      <c r="BI84" s="36"/>
      <c r="BJ84" s="36"/>
      <c r="BK84" s="36"/>
      <c r="BL84" s="34">
        <v>70.0</v>
      </c>
      <c r="BM84" s="36"/>
      <c r="BN84" s="34" t="s">
        <v>4577</v>
      </c>
      <c r="BO84" s="36"/>
      <c r="BP84" s="34" t="s">
        <v>4578</v>
      </c>
      <c r="BQ84" s="36"/>
    </row>
    <row r="85">
      <c r="A85" s="31">
        <v>46085.97837103009</v>
      </c>
      <c r="B85" s="32">
        <v>46084.0</v>
      </c>
      <c r="C85" s="33">
        <v>0.10486111111094942</v>
      </c>
      <c r="D85" s="34" t="s">
        <v>91</v>
      </c>
      <c r="E85" s="35" t="s">
        <v>4788</v>
      </c>
      <c r="F85" s="34">
        <v>200.0</v>
      </c>
      <c r="G85" s="34">
        <v>400.0</v>
      </c>
      <c r="H85" s="34" t="s">
        <v>113</v>
      </c>
      <c r="I85" s="36"/>
      <c r="J85" s="34" t="s">
        <v>167</v>
      </c>
      <c r="K85" s="34" t="s">
        <v>134</v>
      </c>
      <c r="L85" s="36"/>
      <c r="M85" s="36"/>
      <c r="N85" s="34">
        <v>34.0</v>
      </c>
      <c r="O85" s="34" t="s">
        <v>96</v>
      </c>
      <c r="P85" s="34" t="s">
        <v>76</v>
      </c>
      <c r="Q85" s="34" t="s">
        <v>97</v>
      </c>
      <c r="R85" s="34" t="s">
        <v>76</v>
      </c>
      <c r="S85" s="34" t="s">
        <v>113</v>
      </c>
      <c r="T85" s="36"/>
      <c r="U85" s="34" t="s">
        <v>4786</v>
      </c>
      <c r="V85" s="34" t="s">
        <v>113</v>
      </c>
      <c r="W85" s="34" t="s">
        <v>113</v>
      </c>
      <c r="X85" s="36"/>
      <c r="Y85" s="36"/>
      <c r="Z85" s="36"/>
      <c r="AA85" s="34" t="s">
        <v>109</v>
      </c>
      <c r="AB85" s="36"/>
      <c r="AC85" s="36"/>
      <c r="AD85" s="36"/>
      <c r="AE85" s="36"/>
      <c r="AF85" s="36"/>
      <c r="AG85" s="36"/>
      <c r="AH85" s="36"/>
      <c r="AI85" s="36"/>
      <c r="AJ85" s="36"/>
      <c r="AK85" s="36"/>
      <c r="AL85" s="36"/>
      <c r="AM85" s="36"/>
      <c r="AN85" s="36"/>
      <c r="AO85" s="36"/>
      <c r="AP85" s="36"/>
      <c r="AQ85" s="36"/>
      <c r="AR85" s="36"/>
      <c r="AS85" s="36"/>
      <c r="AT85" s="34" t="s">
        <v>113</v>
      </c>
      <c r="AU85" s="34" t="s">
        <v>76</v>
      </c>
      <c r="AV85" s="34" t="s">
        <v>472</v>
      </c>
      <c r="AW85" s="36"/>
      <c r="AX85" s="36"/>
      <c r="AY85" s="36"/>
      <c r="AZ85" s="34" t="s">
        <v>539</v>
      </c>
      <c r="BA85" s="34" t="s">
        <v>458</v>
      </c>
      <c r="BB85" s="34" t="s">
        <v>76</v>
      </c>
      <c r="BC85" s="36"/>
      <c r="BD85" s="36"/>
      <c r="BE85" s="36"/>
      <c r="BF85" s="36"/>
      <c r="BG85" s="36"/>
      <c r="BH85" s="36"/>
      <c r="BI85" s="36"/>
      <c r="BJ85" s="36"/>
      <c r="BK85" s="36"/>
      <c r="BL85" s="36"/>
      <c r="BM85" s="36"/>
      <c r="BN85" s="34" t="s">
        <v>4787</v>
      </c>
      <c r="BO85" s="36"/>
      <c r="BP85" s="34" t="s">
        <v>4788</v>
      </c>
      <c r="BQ85" s="36"/>
    </row>
    <row r="86">
      <c r="A86" s="31">
        <v>46085.97936125</v>
      </c>
      <c r="B86" s="32">
        <v>46084.0</v>
      </c>
      <c r="C86" s="33">
        <v>0.10833333333721384</v>
      </c>
      <c r="D86" s="34" t="s">
        <v>91</v>
      </c>
      <c r="E86" s="35" t="s">
        <v>4789</v>
      </c>
      <c r="F86" s="34">
        <v>200.0</v>
      </c>
      <c r="G86" s="34">
        <v>600.0</v>
      </c>
      <c r="H86" s="34" t="s">
        <v>113</v>
      </c>
      <c r="I86" s="36"/>
      <c r="J86" s="34" t="s">
        <v>167</v>
      </c>
      <c r="K86" s="34" t="s">
        <v>134</v>
      </c>
      <c r="L86" s="36"/>
      <c r="M86" s="36"/>
      <c r="N86" s="34">
        <v>27.0</v>
      </c>
      <c r="O86" s="34" t="s">
        <v>96</v>
      </c>
      <c r="P86" s="34" t="s">
        <v>76</v>
      </c>
      <c r="Q86" s="34" t="s">
        <v>97</v>
      </c>
      <c r="R86" s="34" t="s">
        <v>76</v>
      </c>
      <c r="S86" s="34" t="s">
        <v>113</v>
      </c>
      <c r="T86" s="36"/>
      <c r="U86" s="34" t="s">
        <v>113</v>
      </c>
      <c r="V86" s="34">
        <v>9.652374967E9</v>
      </c>
      <c r="W86" s="34" t="s">
        <v>113</v>
      </c>
      <c r="X86" s="36"/>
      <c r="Y86" s="36"/>
      <c r="Z86" s="36"/>
      <c r="AA86" s="34" t="s">
        <v>109</v>
      </c>
      <c r="AB86" s="36"/>
      <c r="AC86" s="36"/>
      <c r="AD86" s="36"/>
      <c r="AE86" s="36"/>
      <c r="AF86" s="36"/>
      <c r="AG86" s="36"/>
      <c r="AH86" s="36"/>
      <c r="AI86" s="36"/>
      <c r="AJ86" s="36"/>
      <c r="AK86" s="36"/>
      <c r="AL86" s="36"/>
      <c r="AM86" s="36"/>
      <c r="AN86" s="36"/>
      <c r="AO86" s="36"/>
      <c r="AP86" s="36"/>
      <c r="AQ86" s="36"/>
      <c r="AR86" s="36"/>
      <c r="AS86" s="36"/>
      <c r="AT86" s="34" t="s">
        <v>113</v>
      </c>
      <c r="AU86" s="34" t="s">
        <v>76</v>
      </c>
      <c r="AV86" s="34" t="s">
        <v>472</v>
      </c>
      <c r="AW86" s="36"/>
      <c r="AX86" s="36"/>
      <c r="AY86" s="36"/>
      <c r="AZ86" s="34" t="s">
        <v>539</v>
      </c>
      <c r="BA86" s="34" t="s">
        <v>458</v>
      </c>
      <c r="BB86" s="34" t="s">
        <v>76</v>
      </c>
      <c r="BC86" s="36"/>
      <c r="BD86" s="36"/>
      <c r="BE86" s="36"/>
      <c r="BF86" s="36"/>
      <c r="BG86" s="36"/>
      <c r="BH86" s="36"/>
      <c r="BI86" s="36"/>
      <c r="BJ86" s="36"/>
      <c r="BK86" s="36"/>
      <c r="BL86" s="36"/>
      <c r="BM86" s="36"/>
      <c r="BN86" s="34" t="s">
        <v>2900</v>
      </c>
      <c r="BO86" s="36"/>
      <c r="BP86" s="34" t="s">
        <v>4789</v>
      </c>
      <c r="BQ86" s="36"/>
    </row>
    <row r="87">
      <c r="A87" s="31">
        <v>46085.98044328704</v>
      </c>
      <c r="B87" s="32">
        <v>46084.0</v>
      </c>
      <c r="C87" s="33">
        <v>0.11180555555620231</v>
      </c>
      <c r="D87" s="34" t="s">
        <v>91</v>
      </c>
      <c r="E87" s="35" t="s">
        <v>4791</v>
      </c>
      <c r="F87" s="34">
        <v>200.0</v>
      </c>
      <c r="G87" s="34">
        <v>600.0</v>
      </c>
      <c r="H87" s="34" t="s">
        <v>113</v>
      </c>
      <c r="I87" s="36"/>
      <c r="J87" s="34" t="s">
        <v>167</v>
      </c>
      <c r="K87" s="34" t="s">
        <v>134</v>
      </c>
      <c r="L87" s="36"/>
      <c r="M87" s="36"/>
      <c r="N87" s="34">
        <v>38.0</v>
      </c>
      <c r="O87" s="34" t="s">
        <v>96</v>
      </c>
      <c r="P87" s="34" t="s">
        <v>76</v>
      </c>
      <c r="Q87" s="34" t="s">
        <v>97</v>
      </c>
      <c r="R87" s="34" t="s">
        <v>76</v>
      </c>
      <c r="S87" s="34" t="s">
        <v>113</v>
      </c>
      <c r="T87" s="36"/>
      <c r="U87" s="34" t="s">
        <v>113</v>
      </c>
      <c r="V87" s="34">
        <v>9.398596919E9</v>
      </c>
      <c r="W87" s="34" t="s">
        <v>113</v>
      </c>
      <c r="X87" s="36"/>
      <c r="Y87" s="36"/>
      <c r="Z87" s="36"/>
      <c r="AA87" s="34" t="s">
        <v>109</v>
      </c>
      <c r="AB87" s="36"/>
      <c r="AC87" s="36"/>
      <c r="AD87" s="36"/>
      <c r="AE87" s="36"/>
      <c r="AF87" s="36"/>
      <c r="AG87" s="36"/>
      <c r="AH87" s="36"/>
      <c r="AI87" s="36"/>
      <c r="AJ87" s="36"/>
      <c r="AK87" s="36"/>
      <c r="AL87" s="36"/>
      <c r="AM87" s="36"/>
      <c r="AN87" s="36"/>
      <c r="AO87" s="36"/>
      <c r="AP87" s="36"/>
      <c r="AQ87" s="36"/>
      <c r="AR87" s="36"/>
      <c r="AS87" s="36"/>
      <c r="AT87" s="34" t="s">
        <v>4790</v>
      </c>
      <c r="AU87" s="34" t="s">
        <v>76</v>
      </c>
      <c r="AV87" s="36"/>
      <c r="AW87" s="36"/>
      <c r="AX87" s="36"/>
      <c r="AY87" s="36"/>
      <c r="AZ87" s="34" t="s">
        <v>539</v>
      </c>
      <c r="BA87" s="34" t="s">
        <v>458</v>
      </c>
      <c r="BB87" s="34" t="s">
        <v>76</v>
      </c>
      <c r="BC87" s="36"/>
      <c r="BD87" s="36"/>
      <c r="BE87" s="36"/>
      <c r="BF87" s="36"/>
      <c r="BG87" s="36"/>
      <c r="BH87" s="36"/>
      <c r="BI87" s="36"/>
      <c r="BJ87" s="36"/>
      <c r="BK87" s="36"/>
      <c r="BL87" s="36"/>
      <c r="BM87" s="36"/>
      <c r="BN87" s="34" t="s">
        <v>2900</v>
      </c>
      <c r="BO87" s="36"/>
      <c r="BP87" s="34" t="s">
        <v>4791</v>
      </c>
      <c r="BQ87" s="36"/>
    </row>
    <row r="88">
      <c r="A88" s="31">
        <v>46085.982453055556</v>
      </c>
      <c r="B88" s="32">
        <v>46084.0</v>
      </c>
      <c r="C88" s="33">
        <v>0.11805555555474712</v>
      </c>
      <c r="D88" s="34" t="s">
        <v>91</v>
      </c>
      <c r="E88" s="35" t="s">
        <v>4796</v>
      </c>
      <c r="F88" s="34">
        <v>300.0</v>
      </c>
      <c r="G88" s="34">
        <v>400.0</v>
      </c>
      <c r="H88" s="34" t="s">
        <v>113</v>
      </c>
      <c r="I88" s="36"/>
      <c r="J88" s="34" t="s">
        <v>167</v>
      </c>
      <c r="K88" s="36"/>
      <c r="L88" s="36"/>
      <c r="M88" s="36"/>
      <c r="N88" s="34">
        <v>3.0</v>
      </c>
      <c r="O88" s="34" t="s">
        <v>96</v>
      </c>
      <c r="P88" s="34" t="s">
        <v>76</v>
      </c>
      <c r="Q88" s="34" t="s">
        <v>97</v>
      </c>
      <c r="R88" s="34" t="s">
        <v>76</v>
      </c>
      <c r="S88" s="34" t="s">
        <v>113</v>
      </c>
      <c r="T88" s="36"/>
      <c r="U88" s="34" t="s">
        <v>4795</v>
      </c>
      <c r="V88" s="34">
        <v>9.100086888E9</v>
      </c>
      <c r="W88" s="34" t="s">
        <v>113</v>
      </c>
      <c r="X88" s="36"/>
      <c r="Y88" s="36"/>
      <c r="Z88" s="36"/>
      <c r="AA88" s="34" t="s">
        <v>109</v>
      </c>
      <c r="AB88" s="36"/>
      <c r="AC88" s="36"/>
      <c r="AD88" s="36"/>
      <c r="AE88" s="36"/>
      <c r="AF88" s="36"/>
      <c r="AG88" s="36"/>
      <c r="AH88" s="36"/>
      <c r="AI88" s="36"/>
      <c r="AJ88" s="36"/>
      <c r="AK88" s="36"/>
      <c r="AL88" s="36"/>
      <c r="AM88" s="36"/>
      <c r="AN88" s="36"/>
      <c r="AO88" s="36"/>
      <c r="AP88" s="36"/>
      <c r="AQ88" s="36"/>
      <c r="AR88" s="36"/>
      <c r="AS88" s="36"/>
      <c r="AT88" s="34" t="s">
        <v>113</v>
      </c>
      <c r="AU88" s="34" t="s">
        <v>76</v>
      </c>
      <c r="AV88" s="34" t="s">
        <v>472</v>
      </c>
      <c r="AW88" s="36"/>
      <c r="AX88" s="36"/>
      <c r="AY88" s="36"/>
      <c r="AZ88" s="34" t="s">
        <v>539</v>
      </c>
      <c r="BA88" s="34" t="s">
        <v>458</v>
      </c>
      <c r="BB88" s="34" t="s">
        <v>76</v>
      </c>
      <c r="BC88" s="36"/>
      <c r="BD88" s="36"/>
      <c r="BE88" s="36"/>
      <c r="BF88" s="36"/>
      <c r="BG88" s="36"/>
      <c r="BH88" s="36"/>
      <c r="BI88" s="36"/>
      <c r="BJ88" s="36"/>
      <c r="BK88" s="36"/>
      <c r="BL88" s="36"/>
      <c r="BM88" s="36"/>
      <c r="BN88" s="34" t="s">
        <v>2900</v>
      </c>
      <c r="BO88" s="36"/>
      <c r="BP88" s="34" t="s">
        <v>4796</v>
      </c>
      <c r="BQ88" s="36"/>
    </row>
    <row r="89">
      <c r="A89" s="31">
        <v>46085.98353671296</v>
      </c>
      <c r="B89" s="32">
        <v>46084.0</v>
      </c>
      <c r="C89" s="33">
        <v>0.12152777778101154</v>
      </c>
      <c r="D89" s="34" t="s">
        <v>91</v>
      </c>
      <c r="E89" s="35" t="s">
        <v>4800</v>
      </c>
      <c r="F89" s="34">
        <v>300.0</v>
      </c>
      <c r="G89" s="34">
        <v>400.0</v>
      </c>
      <c r="H89" s="34" t="s">
        <v>651</v>
      </c>
      <c r="I89" s="36"/>
      <c r="J89" s="34" t="s">
        <v>167</v>
      </c>
      <c r="K89" s="34" t="s">
        <v>134</v>
      </c>
      <c r="L89" s="36"/>
      <c r="M89" s="36"/>
      <c r="N89" s="34">
        <v>23.0</v>
      </c>
      <c r="O89" s="34" t="s">
        <v>96</v>
      </c>
      <c r="P89" s="34" t="s">
        <v>76</v>
      </c>
      <c r="Q89" s="34" t="s">
        <v>97</v>
      </c>
      <c r="R89" s="34" t="s">
        <v>76</v>
      </c>
      <c r="S89" s="34" t="s">
        <v>113</v>
      </c>
      <c r="T89" s="36"/>
      <c r="U89" s="34" t="s">
        <v>4797</v>
      </c>
      <c r="V89" s="34">
        <v>9.392458705E9</v>
      </c>
      <c r="W89" s="34" t="s">
        <v>113</v>
      </c>
      <c r="X89" s="36"/>
      <c r="Y89" s="36"/>
      <c r="Z89" s="36"/>
      <c r="AA89" s="34" t="s">
        <v>109</v>
      </c>
      <c r="AB89" s="36"/>
      <c r="AC89" s="36"/>
      <c r="AD89" s="36"/>
      <c r="AE89" s="36"/>
      <c r="AF89" s="36"/>
      <c r="AG89" s="36"/>
      <c r="AH89" s="36"/>
      <c r="AI89" s="36"/>
      <c r="AJ89" s="36"/>
      <c r="AK89" s="36"/>
      <c r="AL89" s="36"/>
      <c r="AM89" s="36"/>
      <c r="AN89" s="36"/>
      <c r="AO89" s="36"/>
      <c r="AP89" s="36"/>
      <c r="AQ89" s="36"/>
      <c r="AR89" s="36"/>
      <c r="AS89" s="36"/>
      <c r="AT89" s="34" t="s">
        <v>4798</v>
      </c>
      <c r="AU89" s="34" t="s">
        <v>76</v>
      </c>
      <c r="AV89" s="36"/>
      <c r="AW89" s="36"/>
      <c r="AX89" s="36"/>
      <c r="AY89" s="36"/>
      <c r="AZ89" s="34" t="s">
        <v>539</v>
      </c>
      <c r="BA89" s="34" t="s">
        <v>458</v>
      </c>
      <c r="BB89" s="34" t="s">
        <v>76</v>
      </c>
      <c r="BC89" s="36"/>
      <c r="BD89" s="36"/>
      <c r="BE89" s="36"/>
      <c r="BF89" s="36"/>
      <c r="BG89" s="36"/>
      <c r="BH89" s="36"/>
      <c r="BI89" s="36"/>
      <c r="BJ89" s="36"/>
      <c r="BK89" s="36"/>
      <c r="BL89" s="36"/>
      <c r="BM89" s="36"/>
      <c r="BN89" s="34" t="s">
        <v>4799</v>
      </c>
      <c r="BO89" s="36"/>
      <c r="BP89" s="34" t="s">
        <v>4800</v>
      </c>
      <c r="BQ89" s="36"/>
    </row>
    <row r="90">
      <c r="A90" s="31">
        <v>46085.984609340274</v>
      </c>
      <c r="B90" s="32">
        <v>46084.0</v>
      </c>
      <c r="C90" s="33">
        <v>0.125</v>
      </c>
      <c r="D90" s="34" t="s">
        <v>91</v>
      </c>
      <c r="E90" s="35" t="s">
        <v>3095</v>
      </c>
      <c r="F90" s="34">
        <v>300.0</v>
      </c>
      <c r="G90" s="34">
        <v>200.0</v>
      </c>
      <c r="H90" s="34" t="s">
        <v>113</v>
      </c>
      <c r="I90" s="36"/>
      <c r="J90" s="34" t="s">
        <v>167</v>
      </c>
      <c r="K90" s="36"/>
      <c r="L90" s="36"/>
      <c r="M90" s="36"/>
      <c r="N90" s="34">
        <v>112.0</v>
      </c>
      <c r="O90" s="34" t="s">
        <v>96</v>
      </c>
      <c r="P90" s="34" t="s">
        <v>76</v>
      </c>
      <c r="Q90" s="34" t="s">
        <v>97</v>
      </c>
      <c r="R90" s="34" t="s">
        <v>76</v>
      </c>
      <c r="S90" s="34" t="s">
        <v>113</v>
      </c>
      <c r="T90" s="36"/>
      <c r="U90" s="34" t="s">
        <v>4801</v>
      </c>
      <c r="V90" s="34">
        <v>7.397400542E9</v>
      </c>
      <c r="W90" s="34" t="s">
        <v>113</v>
      </c>
      <c r="X90" s="36"/>
      <c r="Y90" s="36"/>
      <c r="Z90" s="36"/>
      <c r="AA90" s="34" t="s">
        <v>109</v>
      </c>
      <c r="AB90" s="36"/>
      <c r="AC90" s="36"/>
      <c r="AD90" s="36"/>
      <c r="AE90" s="36"/>
      <c r="AF90" s="36"/>
      <c r="AG90" s="36"/>
      <c r="AH90" s="36"/>
      <c r="AI90" s="36"/>
      <c r="AJ90" s="36"/>
      <c r="AK90" s="36"/>
      <c r="AL90" s="36"/>
      <c r="AM90" s="36"/>
      <c r="AN90" s="36"/>
      <c r="AO90" s="36"/>
      <c r="AP90" s="36"/>
      <c r="AQ90" s="36"/>
      <c r="AR90" s="36"/>
      <c r="AS90" s="36"/>
      <c r="AT90" s="34" t="s">
        <v>113</v>
      </c>
      <c r="AU90" s="34" t="s">
        <v>76</v>
      </c>
      <c r="AV90" s="36"/>
      <c r="AW90" s="36"/>
      <c r="AX90" s="36"/>
      <c r="AY90" s="36"/>
      <c r="AZ90" s="34" t="s">
        <v>539</v>
      </c>
      <c r="BA90" s="34" t="s">
        <v>458</v>
      </c>
      <c r="BB90" s="34" t="s">
        <v>76</v>
      </c>
      <c r="BC90" s="36"/>
      <c r="BD90" s="36"/>
      <c r="BE90" s="36"/>
      <c r="BF90" s="36"/>
      <c r="BG90" s="36"/>
      <c r="BH90" s="36"/>
      <c r="BI90" s="36"/>
      <c r="BJ90" s="36"/>
      <c r="BK90" s="36"/>
      <c r="BL90" s="36"/>
      <c r="BM90" s="36"/>
      <c r="BN90" s="34" t="s">
        <v>2900</v>
      </c>
      <c r="BO90" s="36"/>
      <c r="BP90" s="34" t="s">
        <v>3095</v>
      </c>
      <c r="BQ90" s="36"/>
    </row>
    <row r="91">
      <c r="A91" s="31">
        <v>46085.987568125</v>
      </c>
      <c r="B91" s="32">
        <v>46084.0</v>
      </c>
      <c r="C91" s="33">
        <v>0.27083333333575865</v>
      </c>
      <c r="D91" s="34" t="s">
        <v>91</v>
      </c>
      <c r="E91" s="35" t="s">
        <v>4807</v>
      </c>
      <c r="F91" s="34">
        <v>20.0</v>
      </c>
      <c r="G91" s="34">
        <v>300.0</v>
      </c>
      <c r="H91" s="34" t="s">
        <v>113</v>
      </c>
      <c r="I91" s="36"/>
      <c r="J91" s="34" t="s">
        <v>167</v>
      </c>
      <c r="K91" s="34" t="s">
        <v>273</v>
      </c>
      <c r="L91" s="36"/>
      <c r="M91" s="36"/>
      <c r="N91" s="34">
        <v>12.0</v>
      </c>
      <c r="O91" s="34" t="s">
        <v>96</v>
      </c>
      <c r="P91" s="34" t="s">
        <v>76</v>
      </c>
      <c r="Q91" s="34" t="s">
        <v>97</v>
      </c>
      <c r="R91" s="34" t="s">
        <v>76</v>
      </c>
      <c r="S91" s="34" t="s">
        <v>4798</v>
      </c>
      <c r="T91" s="36"/>
      <c r="U91" s="34" t="s">
        <v>113</v>
      </c>
      <c r="V91" s="34" t="s">
        <v>113</v>
      </c>
      <c r="W91" s="34" t="s">
        <v>113</v>
      </c>
      <c r="X91" s="36"/>
      <c r="Y91" s="36"/>
      <c r="Z91" s="36"/>
      <c r="AA91" s="34" t="s">
        <v>109</v>
      </c>
      <c r="AB91" s="36"/>
      <c r="AC91" s="36"/>
      <c r="AD91" s="36"/>
      <c r="AE91" s="36"/>
      <c r="AF91" s="36"/>
      <c r="AG91" s="36"/>
      <c r="AH91" s="36"/>
      <c r="AI91" s="36"/>
      <c r="AJ91" s="36"/>
      <c r="AK91" s="36"/>
      <c r="AL91" s="36"/>
      <c r="AM91" s="36"/>
      <c r="AN91" s="36"/>
      <c r="AO91" s="36"/>
      <c r="AP91" s="36"/>
      <c r="AQ91" s="36"/>
      <c r="AR91" s="36"/>
      <c r="AS91" s="36"/>
      <c r="AT91" s="34" t="s">
        <v>113</v>
      </c>
      <c r="AU91" s="34" t="s">
        <v>76</v>
      </c>
      <c r="AV91" s="36"/>
      <c r="AW91" s="36"/>
      <c r="AX91" s="36"/>
      <c r="AY91" s="36"/>
      <c r="AZ91" s="34" t="s">
        <v>539</v>
      </c>
      <c r="BA91" s="34" t="s">
        <v>458</v>
      </c>
      <c r="BB91" s="34" t="s">
        <v>76</v>
      </c>
      <c r="BC91" s="36"/>
      <c r="BD91" s="36"/>
      <c r="BE91" s="36"/>
      <c r="BF91" s="36"/>
      <c r="BG91" s="36"/>
      <c r="BH91" s="36"/>
      <c r="BI91" s="36"/>
      <c r="BJ91" s="36"/>
      <c r="BK91" s="36"/>
      <c r="BL91" s="36"/>
      <c r="BM91" s="36"/>
      <c r="BN91" s="34" t="s">
        <v>4806</v>
      </c>
      <c r="BO91" s="36"/>
      <c r="BP91" s="34" t="s">
        <v>4807</v>
      </c>
      <c r="BQ91" s="36"/>
    </row>
    <row r="92">
      <c r="A92" s="31">
        <v>46085.993177118056</v>
      </c>
      <c r="B92" s="32">
        <v>46083.0</v>
      </c>
      <c r="C92" s="33">
        <v>0.20833333333575865</v>
      </c>
      <c r="D92" s="34" t="s">
        <v>91</v>
      </c>
      <c r="E92" s="35" t="s">
        <v>4817</v>
      </c>
      <c r="F92" s="34">
        <v>50.0</v>
      </c>
      <c r="G92" s="34">
        <v>300.0</v>
      </c>
      <c r="H92" s="34" t="s">
        <v>113</v>
      </c>
      <c r="I92" s="36"/>
      <c r="J92" s="34" t="s">
        <v>167</v>
      </c>
      <c r="K92" s="34" t="s">
        <v>134</v>
      </c>
      <c r="L92" s="36"/>
      <c r="M92" s="36"/>
      <c r="N92" s="34">
        <v>1.0</v>
      </c>
      <c r="O92" s="34" t="s">
        <v>96</v>
      </c>
      <c r="P92" s="34" t="s">
        <v>109</v>
      </c>
      <c r="Q92" s="34" t="s">
        <v>97</v>
      </c>
      <c r="R92" s="34" t="s">
        <v>76</v>
      </c>
      <c r="S92" s="34" t="s">
        <v>113</v>
      </c>
      <c r="T92" s="36"/>
      <c r="U92" s="34" t="s">
        <v>4816</v>
      </c>
      <c r="V92" s="34">
        <v>9.030944113E9</v>
      </c>
      <c r="W92" s="34" t="s">
        <v>113</v>
      </c>
      <c r="X92" s="36"/>
      <c r="Y92" s="36"/>
      <c r="Z92" s="36"/>
      <c r="AA92" s="34" t="s">
        <v>109</v>
      </c>
      <c r="AB92" s="36"/>
      <c r="AC92" s="36"/>
      <c r="AD92" s="36"/>
      <c r="AE92" s="36"/>
      <c r="AF92" s="36"/>
      <c r="AG92" s="36"/>
      <c r="AH92" s="36"/>
      <c r="AI92" s="36"/>
      <c r="AJ92" s="36"/>
      <c r="AK92" s="36"/>
      <c r="AL92" s="36"/>
      <c r="AM92" s="36"/>
      <c r="AN92" s="36"/>
      <c r="AO92" s="36"/>
      <c r="AP92" s="36"/>
      <c r="AQ92" s="36"/>
      <c r="AR92" s="36"/>
      <c r="AS92" s="36"/>
      <c r="AT92" s="34" t="s">
        <v>113</v>
      </c>
      <c r="AU92" s="34" t="s">
        <v>76</v>
      </c>
      <c r="AV92" s="36"/>
      <c r="AW92" s="36"/>
      <c r="AX92" s="36"/>
      <c r="AY92" s="36"/>
      <c r="AZ92" s="34" t="s">
        <v>539</v>
      </c>
      <c r="BA92" s="34" t="s">
        <v>458</v>
      </c>
      <c r="BB92" s="34" t="s">
        <v>76</v>
      </c>
      <c r="BC92" s="36"/>
      <c r="BD92" s="36"/>
      <c r="BE92" s="36"/>
      <c r="BF92" s="36"/>
      <c r="BG92" s="36"/>
      <c r="BH92" s="36"/>
      <c r="BI92" s="36"/>
      <c r="BJ92" s="36"/>
      <c r="BK92" s="36"/>
      <c r="BL92" s="36"/>
      <c r="BM92" s="36"/>
      <c r="BN92" s="34" t="s">
        <v>2900</v>
      </c>
      <c r="BO92" s="36"/>
      <c r="BP92" s="34" t="s">
        <v>4817</v>
      </c>
      <c r="BQ92" s="36"/>
    </row>
    <row r="93">
      <c r="A93" s="31">
        <v>46087.800547164356</v>
      </c>
      <c r="B93" s="32">
        <v>46083.0</v>
      </c>
      <c r="C93" s="33">
        <v>0.125</v>
      </c>
      <c r="D93" s="34" t="s">
        <v>91</v>
      </c>
      <c r="E93" s="35" t="s">
        <v>5051</v>
      </c>
      <c r="F93" s="34">
        <v>200.0</v>
      </c>
      <c r="G93" s="34">
        <v>200.0</v>
      </c>
      <c r="H93" s="34" t="s">
        <v>388</v>
      </c>
      <c r="I93" s="36"/>
      <c r="J93" s="34" t="s">
        <v>167</v>
      </c>
      <c r="K93" s="34" t="s">
        <v>134</v>
      </c>
      <c r="L93" s="36"/>
      <c r="M93" s="36"/>
      <c r="N93" s="34">
        <v>1.0</v>
      </c>
      <c r="O93" s="34" t="s">
        <v>96</v>
      </c>
      <c r="P93" s="34" t="s">
        <v>76</v>
      </c>
      <c r="Q93" s="34" t="s">
        <v>97</v>
      </c>
      <c r="R93" s="34" t="s">
        <v>109</v>
      </c>
      <c r="S93" s="34" t="s">
        <v>388</v>
      </c>
      <c r="T93" s="36"/>
      <c r="U93" s="34" t="s">
        <v>388</v>
      </c>
      <c r="V93" s="34" t="s">
        <v>388</v>
      </c>
      <c r="W93" s="34" t="s">
        <v>388</v>
      </c>
      <c r="X93" s="36"/>
      <c r="Y93" s="36"/>
      <c r="Z93" s="36"/>
      <c r="AA93" s="34" t="s">
        <v>109</v>
      </c>
      <c r="AB93" s="36"/>
      <c r="AC93" s="36"/>
      <c r="AD93" s="36"/>
      <c r="AE93" s="36"/>
      <c r="AF93" s="36"/>
      <c r="AG93" s="36"/>
      <c r="AH93" s="36"/>
      <c r="AI93" s="36"/>
      <c r="AJ93" s="36"/>
      <c r="AK93" s="36"/>
      <c r="AL93" s="36"/>
      <c r="AM93" s="36"/>
      <c r="AN93" s="36"/>
      <c r="AO93" s="36"/>
      <c r="AP93" s="36"/>
      <c r="AQ93" s="36"/>
      <c r="AR93" s="36"/>
      <c r="AS93" s="36"/>
      <c r="AT93" s="34" t="s">
        <v>388</v>
      </c>
      <c r="AU93" s="34" t="s">
        <v>76</v>
      </c>
      <c r="AV93" s="36"/>
      <c r="AW93" s="36"/>
      <c r="AX93" s="36"/>
      <c r="AY93" s="36"/>
      <c r="AZ93" s="34" t="s">
        <v>539</v>
      </c>
      <c r="BA93" s="34" t="s">
        <v>458</v>
      </c>
      <c r="BB93" s="34" t="s">
        <v>76</v>
      </c>
      <c r="BC93" s="36"/>
      <c r="BD93" s="36"/>
      <c r="BE93" s="36"/>
      <c r="BF93" s="36"/>
      <c r="BG93" s="36"/>
      <c r="BH93" s="36"/>
      <c r="BI93" s="36"/>
      <c r="BJ93" s="36"/>
      <c r="BK93" s="36"/>
      <c r="BL93" s="36"/>
      <c r="BM93" s="36"/>
      <c r="BN93" s="36"/>
      <c r="BO93" s="36"/>
      <c r="BP93" s="34" t="s">
        <v>5051</v>
      </c>
      <c r="BQ93" s="36"/>
    </row>
    <row r="94">
      <c r="A94" s="31">
        <v>46091.491327627315</v>
      </c>
      <c r="B94" s="32">
        <v>46091.0</v>
      </c>
      <c r="C94" s="33">
        <v>0.47916666666424135</v>
      </c>
      <c r="D94" s="34" t="s">
        <v>91</v>
      </c>
      <c r="E94" s="35" t="s">
        <v>5307</v>
      </c>
      <c r="F94" s="34">
        <v>80.0</v>
      </c>
      <c r="G94" s="34">
        <v>400.0</v>
      </c>
      <c r="H94" s="34" t="s">
        <v>388</v>
      </c>
      <c r="I94" s="36"/>
      <c r="J94" s="34" t="s">
        <v>167</v>
      </c>
      <c r="K94" s="36"/>
      <c r="L94" s="36"/>
      <c r="M94" s="36"/>
      <c r="N94" s="34">
        <v>10.0</v>
      </c>
      <c r="O94" s="34" t="s">
        <v>388</v>
      </c>
      <c r="P94" s="34" t="s">
        <v>76</v>
      </c>
      <c r="Q94" s="34" t="s">
        <v>97</v>
      </c>
      <c r="R94" s="34" t="s">
        <v>76</v>
      </c>
      <c r="S94" s="34" t="s">
        <v>388</v>
      </c>
      <c r="T94" s="36"/>
      <c r="U94" s="34" t="s">
        <v>5304</v>
      </c>
      <c r="V94" s="34">
        <v>9.949391723E9</v>
      </c>
      <c r="W94" s="34" t="s">
        <v>5305</v>
      </c>
      <c r="X94" s="36"/>
      <c r="Y94" s="36"/>
      <c r="Z94" s="36"/>
      <c r="AA94" s="34" t="s">
        <v>109</v>
      </c>
      <c r="AB94" s="36"/>
      <c r="AC94" s="36"/>
      <c r="AD94" s="36"/>
      <c r="AE94" s="36"/>
      <c r="AF94" s="36"/>
      <c r="AG94" s="36"/>
      <c r="AH94" s="36"/>
      <c r="AI94" s="36"/>
      <c r="AJ94" s="36"/>
      <c r="AK94" s="36"/>
      <c r="AL94" s="36"/>
      <c r="AM94" s="36"/>
      <c r="AN94" s="36"/>
      <c r="AO94" s="36"/>
      <c r="AP94" s="36"/>
      <c r="AQ94" s="36"/>
      <c r="AR94" s="36"/>
      <c r="AS94" s="36"/>
      <c r="AT94" s="34" t="s">
        <v>5306</v>
      </c>
      <c r="AU94" s="34" t="s">
        <v>76</v>
      </c>
      <c r="AV94" s="36"/>
      <c r="AW94" s="36"/>
      <c r="AX94" s="36"/>
      <c r="AY94" s="36"/>
      <c r="AZ94" s="34" t="s">
        <v>243</v>
      </c>
      <c r="BA94" s="34" t="s">
        <v>458</v>
      </c>
      <c r="BB94" s="34" t="s">
        <v>76</v>
      </c>
      <c r="BC94" s="36"/>
      <c r="BD94" s="36"/>
      <c r="BE94" s="36"/>
      <c r="BF94" s="36"/>
      <c r="BG94" s="36"/>
      <c r="BH94" s="36"/>
      <c r="BI94" s="36"/>
      <c r="BJ94" s="36"/>
      <c r="BK94" s="36"/>
      <c r="BL94" s="36"/>
      <c r="BM94" s="36"/>
      <c r="BN94" s="34" t="s">
        <v>5269</v>
      </c>
      <c r="BO94" s="36"/>
      <c r="BP94" s="34" t="s">
        <v>5307</v>
      </c>
      <c r="BQ94" s="36"/>
    </row>
    <row r="95">
      <c r="A95" s="31">
        <v>46091.77237497685</v>
      </c>
      <c r="B95" s="32">
        <v>46091.0</v>
      </c>
      <c r="C95" s="33">
        <v>0.6458333333357587</v>
      </c>
      <c r="D95" s="34" t="s">
        <v>91</v>
      </c>
      <c r="E95" s="35" t="s">
        <v>5340</v>
      </c>
      <c r="F95" s="34">
        <v>50.0</v>
      </c>
      <c r="G95" s="34">
        <v>400.0</v>
      </c>
      <c r="H95" s="34" t="s">
        <v>509</v>
      </c>
      <c r="I95" s="34">
        <v>50000.0</v>
      </c>
      <c r="J95" s="34" t="s">
        <v>167</v>
      </c>
      <c r="K95" s="34" t="s">
        <v>515</v>
      </c>
      <c r="L95" s="36"/>
      <c r="M95" s="36"/>
      <c r="N95" s="34">
        <v>30.0</v>
      </c>
      <c r="O95" s="34" t="s">
        <v>135</v>
      </c>
      <c r="P95" s="34" t="s">
        <v>76</v>
      </c>
      <c r="Q95" s="34" t="s">
        <v>97</v>
      </c>
      <c r="R95" s="34" t="s">
        <v>76</v>
      </c>
      <c r="S95" s="34" t="s">
        <v>5340</v>
      </c>
      <c r="T95" s="36"/>
      <c r="U95" s="34" t="s">
        <v>5341</v>
      </c>
      <c r="V95" s="34" t="s">
        <v>388</v>
      </c>
      <c r="W95" s="34" t="s">
        <v>388</v>
      </c>
      <c r="X95" s="36"/>
      <c r="Y95" s="36"/>
      <c r="Z95" s="36"/>
      <c r="AA95" s="34" t="s">
        <v>109</v>
      </c>
      <c r="AB95" s="36"/>
      <c r="AC95" s="36"/>
      <c r="AD95" s="36"/>
      <c r="AE95" s="36"/>
      <c r="AF95" s="36"/>
      <c r="AG95" s="36"/>
      <c r="AH95" s="36"/>
      <c r="AI95" s="36"/>
      <c r="AJ95" s="36"/>
      <c r="AK95" s="36"/>
      <c r="AL95" s="36"/>
      <c r="AM95" s="36"/>
      <c r="AN95" s="36"/>
      <c r="AO95" s="36"/>
      <c r="AP95" s="36"/>
      <c r="AQ95" s="36"/>
      <c r="AR95" s="36"/>
      <c r="AS95" s="36"/>
      <c r="AT95" s="34" t="s">
        <v>5342</v>
      </c>
      <c r="AU95" s="34" t="s">
        <v>76</v>
      </c>
      <c r="AV95" s="34" t="s">
        <v>114</v>
      </c>
      <c r="AW95" s="36"/>
      <c r="AX95" s="32">
        <v>46093.0</v>
      </c>
      <c r="AY95" s="36"/>
      <c r="AZ95" s="34" t="s">
        <v>151</v>
      </c>
      <c r="BA95" s="34" t="s">
        <v>458</v>
      </c>
      <c r="BB95" s="34" t="s">
        <v>76</v>
      </c>
      <c r="BC95" s="36"/>
      <c r="BD95" s="36"/>
      <c r="BE95" s="36"/>
      <c r="BF95" s="36"/>
      <c r="BG95" s="36"/>
      <c r="BH95" s="36"/>
      <c r="BI95" s="36"/>
      <c r="BJ95" s="36"/>
      <c r="BK95" s="36"/>
      <c r="BL95" s="36"/>
      <c r="BM95" s="36"/>
      <c r="BN95" s="36"/>
      <c r="BO95" s="36"/>
      <c r="BP95" s="34" t="s">
        <v>5340</v>
      </c>
      <c r="BQ95" s="36"/>
    </row>
    <row r="96">
      <c r="A96" s="31">
        <v>46091.77550878472</v>
      </c>
      <c r="B96" s="32">
        <v>46091.0</v>
      </c>
      <c r="C96" s="33">
        <v>0.625</v>
      </c>
      <c r="D96" s="34" t="s">
        <v>91</v>
      </c>
      <c r="E96" s="35" t="s">
        <v>5346</v>
      </c>
      <c r="F96" s="34">
        <v>100.0</v>
      </c>
      <c r="G96" s="34">
        <v>600.0</v>
      </c>
      <c r="H96" s="34" t="s">
        <v>509</v>
      </c>
      <c r="I96" s="36"/>
      <c r="J96" s="34" t="s">
        <v>167</v>
      </c>
      <c r="K96" s="34" t="s">
        <v>134</v>
      </c>
      <c r="L96" s="36"/>
      <c r="M96" s="36"/>
      <c r="N96" s="34">
        <v>20.0</v>
      </c>
      <c r="O96" s="34" t="s">
        <v>96</v>
      </c>
      <c r="P96" s="34" t="s">
        <v>76</v>
      </c>
      <c r="Q96" s="34" t="s">
        <v>97</v>
      </c>
      <c r="R96" s="34" t="s">
        <v>76</v>
      </c>
      <c r="S96" s="34" t="s">
        <v>388</v>
      </c>
      <c r="T96" s="36"/>
      <c r="U96" s="34" t="s">
        <v>5343</v>
      </c>
      <c r="V96" s="34" t="s">
        <v>388</v>
      </c>
      <c r="W96" s="34" t="s">
        <v>388</v>
      </c>
      <c r="X96" s="36"/>
      <c r="Y96" s="36"/>
      <c r="Z96" s="36"/>
      <c r="AA96" s="34" t="s">
        <v>109</v>
      </c>
      <c r="AB96" s="36"/>
      <c r="AC96" s="36"/>
      <c r="AD96" s="36"/>
      <c r="AE96" s="36"/>
      <c r="AF96" s="36"/>
      <c r="AG96" s="36"/>
      <c r="AH96" s="36"/>
      <c r="AI96" s="36"/>
      <c r="AJ96" s="36"/>
      <c r="AK96" s="36"/>
      <c r="AL96" s="36"/>
      <c r="AM96" s="36"/>
      <c r="AN96" s="36"/>
      <c r="AO96" s="36"/>
      <c r="AP96" s="36"/>
      <c r="AQ96" s="36"/>
      <c r="AR96" s="36"/>
      <c r="AS96" s="36"/>
      <c r="AT96" s="34" t="s">
        <v>5344</v>
      </c>
      <c r="AU96" s="34" t="s">
        <v>76</v>
      </c>
      <c r="AV96" s="34" t="s">
        <v>373</v>
      </c>
      <c r="AW96" s="36"/>
      <c r="AX96" s="36"/>
      <c r="AY96" s="36"/>
      <c r="AZ96" s="34" t="s">
        <v>151</v>
      </c>
      <c r="BA96" s="34" t="s">
        <v>458</v>
      </c>
      <c r="BB96" s="34" t="s">
        <v>76</v>
      </c>
      <c r="BC96" s="36"/>
      <c r="BD96" s="36"/>
      <c r="BE96" s="36"/>
      <c r="BF96" s="36"/>
      <c r="BG96" s="36"/>
      <c r="BH96" s="36"/>
      <c r="BI96" s="36"/>
      <c r="BJ96" s="36"/>
      <c r="BK96" s="36"/>
      <c r="BL96" s="36"/>
      <c r="BM96" s="36"/>
      <c r="BN96" s="34" t="s">
        <v>5345</v>
      </c>
      <c r="BO96" s="36"/>
      <c r="BP96" s="34" t="s">
        <v>5346</v>
      </c>
      <c r="BQ96" s="36"/>
    </row>
    <row r="97">
      <c r="A97" s="31">
        <v>46092.64323306713</v>
      </c>
      <c r="B97" s="32">
        <v>46092.0</v>
      </c>
      <c r="C97" s="33">
        <v>0.5763888888905058</v>
      </c>
      <c r="D97" s="34" t="s">
        <v>91</v>
      </c>
      <c r="E97" s="35" t="s">
        <v>5500</v>
      </c>
      <c r="F97" s="34">
        <v>80.0</v>
      </c>
      <c r="G97" s="34">
        <v>400.0</v>
      </c>
      <c r="H97" s="34" t="s">
        <v>423</v>
      </c>
      <c r="I97" s="36"/>
      <c r="J97" s="34" t="s">
        <v>167</v>
      </c>
      <c r="K97" s="34" t="s">
        <v>134</v>
      </c>
      <c r="L97" s="34">
        <v>25.0</v>
      </c>
      <c r="M97" s="34">
        <v>18.0</v>
      </c>
      <c r="N97" s="34">
        <v>1.0</v>
      </c>
      <c r="O97" s="34" t="s">
        <v>96</v>
      </c>
      <c r="P97" s="34" t="s">
        <v>76</v>
      </c>
      <c r="Q97" s="34" t="s">
        <v>97</v>
      </c>
      <c r="R97" s="34" t="s">
        <v>76</v>
      </c>
      <c r="S97" s="37" t="s">
        <v>5496</v>
      </c>
      <c r="T97" s="36"/>
      <c r="U97" s="34" t="s">
        <v>5497</v>
      </c>
      <c r="V97" s="34">
        <v>8.867857222E9</v>
      </c>
      <c r="W97" s="34" t="s">
        <v>117</v>
      </c>
      <c r="X97" s="36"/>
      <c r="Y97" s="36"/>
      <c r="Z97" s="36"/>
      <c r="AA97" s="34" t="s">
        <v>109</v>
      </c>
      <c r="AB97" s="36"/>
      <c r="AC97" s="36"/>
      <c r="AD97" s="36"/>
      <c r="AE97" s="36"/>
      <c r="AF97" s="36"/>
      <c r="AG97" s="36"/>
      <c r="AH97" s="36"/>
      <c r="AI97" s="36"/>
      <c r="AJ97" s="36"/>
      <c r="AK97" s="36"/>
      <c r="AL97" s="36"/>
      <c r="AM97" s="36"/>
      <c r="AN97" s="36"/>
      <c r="AO97" s="36"/>
      <c r="AP97" s="36"/>
      <c r="AQ97" s="36"/>
      <c r="AR97" s="36"/>
      <c r="AS97" s="36"/>
      <c r="AT97" s="34" t="s">
        <v>5498</v>
      </c>
      <c r="AU97" s="34" t="s">
        <v>76</v>
      </c>
      <c r="AV97" s="34" t="s">
        <v>472</v>
      </c>
      <c r="AW97" s="36"/>
      <c r="AX97" s="36"/>
      <c r="AY97" s="36"/>
      <c r="AZ97" s="34" t="s">
        <v>110</v>
      </c>
      <c r="BA97" s="34" t="s">
        <v>458</v>
      </c>
      <c r="BB97" s="34" t="s">
        <v>76</v>
      </c>
      <c r="BC97" s="36"/>
      <c r="BD97" s="36"/>
      <c r="BE97" s="36"/>
      <c r="BF97" s="36"/>
      <c r="BG97" s="36"/>
      <c r="BH97" s="36"/>
      <c r="BI97" s="36"/>
      <c r="BJ97" s="36"/>
      <c r="BK97" s="36"/>
      <c r="BL97" s="36"/>
      <c r="BM97" s="36"/>
      <c r="BN97" s="34" t="s">
        <v>5499</v>
      </c>
      <c r="BO97" s="36"/>
      <c r="BP97" s="34" t="s">
        <v>5500</v>
      </c>
      <c r="BQ97" s="36"/>
    </row>
  </sheetData>
  <hyperlinks>
    <hyperlink r:id="rId1" ref="S22"/>
    <hyperlink r:id="rId2" ref="S23"/>
    <hyperlink r:id="rId3" ref="S24"/>
    <hyperlink r:id="rId4" ref="S25"/>
    <hyperlink r:id="rId5" ref="S26"/>
    <hyperlink r:id="rId6" ref="S28"/>
    <hyperlink r:id="rId7" ref="S30"/>
    <hyperlink r:id="rId8" ref="S31"/>
    <hyperlink r:id="rId9" ref="S32"/>
    <hyperlink r:id="rId10" ref="S33"/>
    <hyperlink r:id="rId11" ref="S34"/>
    <hyperlink r:id="rId12" ref="S35"/>
    <hyperlink r:id="rId13" ref="S36"/>
    <hyperlink r:id="rId14" ref="S37"/>
    <hyperlink r:id="rId15" ref="S38"/>
    <hyperlink r:id="rId16" ref="S40"/>
    <hyperlink r:id="rId17" ref="S46"/>
    <hyperlink r:id="rId18" ref="S54"/>
    <hyperlink r:id="rId19" ref="S63"/>
    <hyperlink r:id="rId20" ref="S65"/>
    <hyperlink r:id="rId21" ref="S66"/>
    <hyperlink r:id="rId22" ref="S67"/>
    <hyperlink r:id="rId23" ref="S68"/>
    <hyperlink r:id="rId24" ref="S69"/>
    <hyperlink r:id="rId25" ref="S71"/>
    <hyperlink r:id="rId26" ref="S72"/>
    <hyperlink r:id="rId27" ref="S73"/>
    <hyperlink r:id="rId28" ref="S74"/>
    <hyperlink r:id="rId29" ref="S76"/>
    <hyperlink r:id="rId30" ref="S80"/>
    <hyperlink r:id="rId31" ref="S82"/>
    <hyperlink r:id="rId32" ref="S83"/>
    <hyperlink r:id="rId33" ref="S97"/>
  </hyperlinks>
  <drawing r:id="rId34"/>
  <tableParts count="1">
    <tablePart r:id="rId3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28.88"/>
  </cols>
  <sheetData>
    <row r="1"/>
    <row r="2"/>
    <row r="3"/>
    <row r="4"/>
    <row r="5"/>
    <row r="6"/>
    <row r="7"/>
    <row r="8"/>
    <row r="9"/>
    <row r="10"/>
    <row r="11"/>
    <row r="12"/>
    <row r="13"/>
  </sheetData>
  <conditionalFormatting sqref="AC3:AM12">
    <cfRule type="cellIs" dxfId="7" priority="1" operator="lessThanOrEqual">
      <formula>7</formula>
    </cfRule>
  </conditionalFormatting>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32.63"/>
  </cols>
  <sheetData>
    <row r="1"/>
    <row r="2">
      <c r="O2" s="39"/>
      <c r="P2" s="39"/>
      <c r="Q2" s="39"/>
      <c r="R2" s="39"/>
      <c r="S2" s="39"/>
      <c r="T2" s="39"/>
      <c r="U2" s="39"/>
      <c r="V2" s="39"/>
      <c r="W2" s="39"/>
      <c r="X2" s="39"/>
      <c r="Y2" s="39"/>
      <c r="Z2" s="39"/>
      <c r="AA2" s="39"/>
      <c r="AC2" s="26"/>
      <c r="AI2" s="26"/>
      <c r="AJ2" s="26"/>
      <c r="AK2" s="26"/>
      <c r="AL2" s="26"/>
      <c r="AM2" s="26"/>
      <c r="AN2" s="26"/>
      <c r="AO2" s="26"/>
    </row>
    <row r="3">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row>
    <row r="4">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row>
    <row r="5">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row>
    <row r="6">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row>
    <row r="7">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row>
    <row r="8">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row>
    <row r="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row>
    <row r="10">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row>
    <row r="11" ht="15.0" customHeight="1">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row>
    <row r="12">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row>
    <row r="13">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row>
    <row r="14">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row>
    <row r="15">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row>
    <row r="16">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row>
    <row r="17">
      <c r="A17" s="39"/>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row>
    <row r="18">
      <c r="A18" s="39"/>
      <c r="B18" s="39"/>
      <c r="C18" s="39"/>
      <c r="D18" s="39"/>
      <c r="E18" s="39"/>
      <c r="F18" s="39"/>
      <c r="G18" s="39"/>
      <c r="H18" s="39"/>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row>
    <row r="19">
      <c r="A19" s="39"/>
      <c r="B19" s="39"/>
      <c r="C19" s="39"/>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row>
  </sheetData>
  <autoFilter ref="$A$2:$AL$20"/>
  <conditionalFormatting sqref="X3:AO19">
    <cfRule type="cellIs" dxfId="7" priority="1" operator="lessThan">
      <formula>8</formula>
    </cfRule>
  </conditionalFormatting>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25.38"/>
    <col customWidth="1" min="6" max="6" width="16.63"/>
  </cols>
  <sheetData>
    <row r="1">
      <c r="E1" s="41" t="s">
        <v>507</v>
      </c>
      <c r="F1" s="42"/>
      <c r="G1" s="43"/>
    </row>
    <row r="2">
      <c r="E2" s="44" t="s">
        <v>7</v>
      </c>
      <c r="F2" s="44" t="s">
        <v>5775</v>
      </c>
      <c r="G2" s="45" t="s">
        <v>5776</v>
      </c>
    </row>
    <row r="3">
      <c r="E3" s="46" t="s">
        <v>184</v>
      </c>
      <c r="F3" s="46">
        <v>26.0</v>
      </c>
      <c r="G3" s="47">
        <f t="shared" ref="G3:G10" si="1">F3/$F$10</f>
        <v>0.6046511628</v>
      </c>
    </row>
    <row r="4">
      <c r="E4" s="46" t="s">
        <v>1792</v>
      </c>
      <c r="F4" s="48">
        <v>4.0</v>
      </c>
      <c r="G4" s="47">
        <f t="shared" si="1"/>
        <v>0.09302325581</v>
      </c>
    </row>
    <row r="5">
      <c r="E5" s="46" t="s">
        <v>133</v>
      </c>
      <c r="F5" s="48">
        <v>4.0</v>
      </c>
      <c r="G5" s="47">
        <f t="shared" si="1"/>
        <v>0.09302325581</v>
      </c>
    </row>
    <row r="6">
      <c r="E6" s="46" t="s">
        <v>229</v>
      </c>
      <c r="F6" s="48">
        <v>3.0</v>
      </c>
      <c r="G6" s="47">
        <f t="shared" si="1"/>
        <v>0.06976744186</v>
      </c>
    </row>
    <row r="7">
      <c r="E7" s="46" t="s">
        <v>564</v>
      </c>
      <c r="F7" s="48">
        <v>3.0</v>
      </c>
      <c r="G7" s="47">
        <f t="shared" si="1"/>
        <v>0.06976744186</v>
      </c>
    </row>
    <row r="8">
      <c r="E8" s="46" t="s">
        <v>1397</v>
      </c>
      <c r="F8" s="46">
        <v>2.0</v>
      </c>
      <c r="G8" s="47">
        <f t="shared" si="1"/>
        <v>0.04651162791</v>
      </c>
    </row>
    <row r="9">
      <c r="E9" s="46" t="s">
        <v>1846</v>
      </c>
      <c r="F9" s="46">
        <v>1.0</v>
      </c>
      <c r="G9" s="47">
        <f t="shared" si="1"/>
        <v>0.02325581395</v>
      </c>
    </row>
    <row r="10">
      <c r="E10" s="48" t="s">
        <v>5777</v>
      </c>
      <c r="F10" s="46">
        <f>SUM(F3:F9)</f>
        <v>43</v>
      </c>
      <c r="G10" s="47">
        <f t="shared" si="1"/>
        <v>1</v>
      </c>
    </row>
    <row r="11"/>
    <row r="12">
      <c r="E12" s="49" t="s">
        <v>5778</v>
      </c>
    </row>
    <row r="13">
      <c r="E13" s="46" t="s">
        <v>7</v>
      </c>
      <c r="F13" s="46" t="s">
        <v>5775</v>
      </c>
      <c r="G13" s="45" t="s">
        <v>5776</v>
      </c>
    </row>
    <row r="14">
      <c r="E14" s="46" t="s">
        <v>1441</v>
      </c>
      <c r="F14" s="48">
        <v>85.0</v>
      </c>
      <c r="G14" s="47">
        <f t="shared" ref="G14:G31" si="2">F14/$F$32</f>
        <v>0.6967213115</v>
      </c>
    </row>
    <row r="15">
      <c r="E15" s="46" t="s">
        <v>133</v>
      </c>
      <c r="F15" s="48">
        <v>5.0</v>
      </c>
      <c r="G15" s="47">
        <f t="shared" si="2"/>
        <v>0.04098360656</v>
      </c>
    </row>
    <row r="16">
      <c r="E16" s="46" t="s">
        <v>363</v>
      </c>
      <c r="F16" s="48">
        <v>4.0</v>
      </c>
      <c r="G16" s="47">
        <f t="shared" si="2"/>
        <v>0.03278688525</v>
      </c>
    </row>
    <row r="17">
      <c r="E17" s="46" t="s">
        <v>771</v>
      </c>
      <c r="F17" s="48">
        <v>4.0</v>
      </c>
      <c r="G17" s="47">
        <f t="shared" si="2"/>
        <v>0.03278688525</v>
      </c>
    </row>
    <row r="18">
      <c r="E18" s="46" t="s">
        <v>588</v>
      </c>
      <c r="F18" s="48">
        <v>5.0</v>
      </c>
      <c r="G18" s="47">
        <f t="shared" si="2"/>
        <v>0.04098360656</v>
      </c>
    </row>
    <row r="19">
      <c r="E19" s="46" t="s">
        <v>1397</v>
      </c>
      <c r="F19" s="46">
        <v>2.0</v>
      </c>
      <c r="G19" s="47">
        <f t="shared" si="2"/>
        <v>0.01639344262</v>
      </c>
    </row>
    <row r="20">
      <c r="E20" s="46" t="s">
        <v>2187</v>
      </c>
      <c r="F20" s="46">
        <v>2.0</v>
      </c>
      <c r="G20" s="47">
        <f t="shared" si="2"/>
        <v>0.01639344262</v>
      </c>
    </row>
    <row r="21">
      <c r="E21" s="46" t="s">
        <v>564</v>
      </c>
      <c r="F21" s="46">
        <v>2.0</v>
      </c>
      <c r="G21" s="47">
        <f t="shared" si="2"/>
        <v>0.01639344262</v>
      </c>
    </row>
    <row r="22">
      <c r="E22" s="46" t="s">
        <v>93</v>
      </c>
      <c r="F22" s="46">
        <v>2.0</v>
      </c>
      <c r="G22" s="47">
        <f t="shared" si="2"/>
        <v>0.01639344262</v>
      </c>
    </row>
    <row r="23">
      <c r="E23" s="46" t="s">
        <v>405</v>
      </c>
      <c r="F23" s="46">
        <v>2.0</v>
      </c>
      <c r="G23" s="47">
        <f t="shared" si="2"/>
        <v>0.01639344262</v>
      </c>
    </row>
    <row r="24">
      <c r="E24" s="46" t="s">
        <v>1846</v>
      </c>
      <c r="F24" s="46">
        <v>2.0</v>
      </c>
      <c r="G24" s="47">
        <f t="shared" si="2"/>
        <v>0.01639344262</v>
      </c>
    </row>
    <row r="25">
      <c r="E25" s="46" t="s">
        <v>1993</v>
      </c>
      <c r="F25" s="46">
        <v>1.0</v>
      </c>
      <c r="G25" s="47">
        <f t="shared" si="2"/>
        <v>0.008196721311</v>
      </c>
    </row>
    <row r="26">
      <c r="E26" s="46" t="s">
        <v>370</v>
      </c>
      <c r="F26" s="46">
        <v>1.0</v>
      </c>
      <c r="G26" s="47">
        <f t="shared" si="2"/>
        <v>0.008196721311</v>
      </c>
    </row>
    <row r="27">
      <c r="E27" s="46" t="s">
        <v>2252</v>
      </c>
      <c r="F27" s="46">
        <v>1.0</v>
      </c>
      <c r="G27" s="47">
        <f t="shared" si="2"/>
        <v>0.008196721311</v>
      </c>
    </row>
    <row r="28">
      <c r="E28" s="46" t="s">
        <v>1947</v>
      </c>
      <c r="F28" s="46">
        <v>1.0</v>
      </c>
      <c r="G28" s="47">
        <f t="shared" si="2"/>
        <v>0.008196721311</v>
      </c>
    </row>
    <row r="29">
      <c r="E29" s="46" t="s">
        <v>1941</v>
      </c>
      <c r="F29" s="46">
        <v>1.0</v>
      </c>
      <c r="G29" s="47">
        <f t="shared" si="2"/>
        <v>0.008196721311</v>
      </c>
    </row>
    <row r="30">
      <c r="E30" s="46" t="s">
        <v>1982</v>
      </c>
      <c r="F30" s="46">
        <v>1.0</v>
      </c>
      <c r="G30" s="47">
        <f t="shared" si="2"/>
        <v>0.008196721311</v>
      </c>
    </row>
    <row r="31">
      <c r="E31" s="46" t="s">
        <v>1730</v>
      </c>
      <c r="F31" s="46">
        <v>1.0</v>
      </c>
      <c r="G31" s="47">
        <f t="shared" si="2"/>
        <v>0.008196721311</v>
      </c>
    </row>
    <row r="32">
      <c r="E32" s="48" t="s">
        <v>5779</v>
      </c>
      <c r="F32" s="46">
        <f>sUM(F14:F31)</f>
        <v>122</v>
      </c>
      <c r="G32" s="46"/>
    </row>
    <row r="33"/>
    <row r="34"/>
    <row r="35"/>
    <row r="36"/>
    <row r="37"/>
    <row r="38"/>
    <row r="39"/>
    <row r="40"/>
    <row r="41"/>
    <row r="42"/>
    <row r="43"/>
    <row r="44"/>
    <row r="45"/>
    <row r="46"/>
    <row r="47"/>
  </sheetData>
  <autoFilter ref="$E$2:$F$10">
    <sortState ref="E2:F10">
      <sortCondition descending="1" ref="F2:F10"/>
    </sortState>
  </autoFilter>
  <mergeCells count="2">
    <mergeCell ref="E1:G1"/>
    <mergeCell ref="E12:G12"/>
  </mergeCell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63"/>
    <col customWidth="1" min="3" max="3" width="29.5"/>
    <col customWidth="1" min="4" max="4" width="45.88"/>
    <col customWidth="1" min="8" max="8" width="36.63"/>
    <col customWidth="1" min="10" max="10" width="21.0"/>
    <col customWidth="1" min="13" max="13" width="33.75"/>
    <col customWidth="1" min="15" max="15" width="32.63"/>
    <col customWidth="1" min="27" max="27" width="14.25"/>
    <col customWidth="1" min="34" max="35" width="19.63"/>
  </cols>
  <sheetData>
    <row r="1">
      <c r="A1" s="50" t="s">
        <v>1</v>
      </c>
      <c r="B1" s="50" t="s">
        <v>5780</v>
      </c>
      <c r="C1" s="50" t="s">
        <v>5781</v>
      </c>
      <c r="D1" s="50" t="s">
        <v>5782</v>
      </c>
      <c r="E1" s="50" t="s">
        <v>5783</v>
      </c>
      <c r="F1" s="50" t="s">
        <v>5784</v>
      </c>
      <c r="G1" s="50" t="s">
        <v>5785</v>
      </c>
      <c r="H1" s="50" t="str">
        <f>Form_Responses[[#HEADERS],[Points to be prepared]]</f>
        <v>Points to be prepared</v>
      </c>
      <c r="I1" s="50" t="s">
        <v>5786</v>
      </c>
      <c r="J1" s="50" t="s">
        <v>5787</v>
      </c>
      <c r="K1" s="50" t="s">
        <v>6</v>
      </c>
      <c r="L1" s="50" t="s">
        <v>5</v>
      </c>
      <c r="M1" s="50" t="s">
        <v>5788</v>
      </c>
      <c r="N1" s="50" t="s">
        <v>5789</v>
      </c>
      <c r="O1" s="50" t="s">
        <v>5790</v>
      </c>
      <c r="P1" s="50" t="s">
        <v>5791</v>
      </c>
      <c r="Q1" s="50" t="s">
        <v>5792</v>
      </c>
      <c r="R1" s="50" t="s">
        <v>5793</v>
      </c>
      <c r="S1" s="50" t="str">
        <f>Form_Responses[[#HEADERS],[FSSAI]]</f>
        <v>FSSAI</v>
      </c>
      <c r="T1" s="51" t="str">
        <f>Form_Responses[[#HEADERS],[GST]]</f>
        <v>GST</v>
      </c>
      <c r="U1" s="51" t="str">
        <f>Form_Responses[[#HEADERS],[PAN Card]]</f>
        <v>PAN Card</v>
      </c>
      <c r="V1" s="51" t="str">
        <f>Form_Responses[[#HEADERS],[Labour License]]</f>
        <v>Labour License</v>
      </c>
      <c r="W1" s="51" t="str">
        <f>Form_Responses[[#HEADERS],[Menu (Image)]]</f>
        <v>Menu (Image)</v>
      </c>
      <c r="X1" s="51" t="str">
        <f>Form_Responses[[#HEADERS],[Bank Account Proof]]</f>
        <v>Bank Account Proof</v>
      </c>
      <c r="Y1" s="50" t="s">
        <v>5794</v>
      </c>
      <c r="Z1" s="50" t="s">
        <v>5795</v>
      </c>
      <c r="AA1" s="50" t="s">
        <v>5796</v>
      </c>
      <c r="AB1" s="50" t="s">
        <v>5797</v>
      </c>
      <c r="AC1" s="50" t="s">
        <v>5798</v>
      </c>
      <c r="AD1" s="50" t="s">
        <v>5799</v>
      </c>
      <c r="AE1" s="51" t="str">
        <f>Form_Responses[[#HEADERS],[Name on Bank Account]]</f>
        <v>Name on Bank Account</v>
      </c>
      <c r="AF1" s="51" t="str">
        <f>Form_Responses[[#HEADERS],[Owner Name]]</f>
        <v>Owner Name</v>
      </c>
      <c r="AG1" s="51" t="str">
        <f>Form_Responses[[#HEADERS],[Owner Contact Number]]</f>
        <v>Owner Contact Number</v>
      </c>
      <c r="AH1" s="51" t="str">
        <f>Form_Responses[[#HEADERS],[Owner Email address]]</f>
        <v>Owner Email address</v>
      </c>
      <c r="AI1" s="51" t="str">
        <f>Form_Responses[[#HEADERS],[Legal Entity Name]]</f>
        <v>Legal Entity Name</v>
      </c>
    </row>
    <row r="2">
      <c r="A2" s="26">
        <f>'Form responses 1'!B4</f>
        <v>44577</v>
      </c>
      <c r="B2" s="4" t="str">
        <f>'Form responses 1'!AZ4</f>
        <v>TEST</v>
      </c>
      <c r="C2" s="4" t="str">
        <f>'Form responses 1'!BR4</f>
        <v>5823694</v>
      </c>
      <c r="D2" s="4" t="str">
        <f>'Form responses 1'!AT4</f>
        <v/>
      </c>
      <c r="E2" s="4" t="str">
        <f>'Form responses 1'!AU4</f>
        <v>Yes</v>
      </c>
      <c r="F2" s="26">
        <f>'Form responses 1'!AX4</f>
        <v>35098</v>
      </c>
      <c r="G2" s="52">
        <f>'Form responses 1'!AY4</f>
        <v>0.4243055556</v>
      </c>
      <c r="H2" s="53" t="str">
        <f>'Form responses 1'!AW4</f>
        <v>KBUHIH</v>
      </c>
      <c r="I2" s="4" t="str">
        <f>'Form responses 1'!AS4</f>
        <v>Yes</v>
      </c>
      <c r="J2" s="4" t="str">
        <f>'Form responses 1'!J4</f>
        <v/>
      </c>
      <c r="K2" s="4" t="str">
        <f>'Form responses 1'!G4</f>
        <v/>
      </c>
      <c r="L2" s="4" t="str">
        <f>'Form responses 1'!F4</f>
        <v/>
      </c>
      <c r="M2" s="4" t="str">
        <f>'Form responses 1'!U4</f>
        <v>sandeep</v>
      </c>
      <c r="N2" s="4">
        <f>'Form responses 1'!V4</f>
        <v>916679555</v>
      </c>
      <c r="O2" s="4" t="str">
        <f>'Form responses 1'!W4</f>
        <v>parul986@gmail</v>
      </c>
      <c r="P2" s="4" t="str">
        <f>'Form responses 1'!X4</f>
        <v>amit</v>
      </c>
      <c r="Q2" s="4">
        <f>'Form responses 1'!Y4</f>
        <v>7896541232</v>
      </c>
      <c r="R2" s="4" t="str">
        <f>'Form responses 1'!Z4</f>
        <v>parul@gmail</v>
      </c>
      <c r="S2" s="54" t="str">
        <f>'Form responses 1'!AC4</f>
        <v>https://drive.google.com/open?id=1K2GAYdf9j8OoeRQJN7a2rrWNqrJv-Yr8</v>
      </c>
      <c r="T2" s="54" t="str">
        <f>'Form responses 1'!AE4</f>
        <v>https://drive.google.com/open?id=1Xrc3uPOk64pgUM1gMvRHq-hhYc6pYKJT</v>
      </c>
      <c r="U2" s="54" t="str">
        <f>'Form responses 1'!AG4</f>
        <v>https://drive.google.com/open?id=1P8o5u-wkGayDLIcyTArlaMzpPcBL8IP1</v>
      </c>
      <c r="V2" s="54" t="str">
        <f>'Form responses 1'!AI4</f>
        <v>https://drive.google.com/open?id=1zOmxq565qkkMqqCAFCaCRWzjb7i60OTF</v>
      </c>
      <c r="W2" s="54" t="str">
        <f>'Form responses 1'!AJ4</f>
        <v>https://drive.google.com/open?id=1qsXvdJuct7_aToPR8ThIMJcmid9TRtyr</v>
      </c>
      <c r="X2" s="4" t="str">
        <f>'Form responses 1'!AK4</f>
        <v/>
      </c>
      <c r="Y2" s="4">
        <f t="shared" ref="Y2:AD2" si="1">if(S2&gt;0,1,0)</f>
        <v>1</v>
      </c>
      <c r="Z2" s="4">
        <f t="shared" si="1"/>
        <v>1</v>
      </c>
      <c r="AA2" s="4">
        <f t="shared" si="1"/>
        <v>1</v>
      </c>
      <c r="AB2" s="4">
        <f t="shared" si="1"/>
        <v>1</v>
      </c>
      <c r="AC2" s="4">
        <f t="shared" si="1"/>
        <v>1</v>
      </c>
      <c r="AD2" s="4">
        <f t="shared" si="1"/>
        <v>0</v>
      </c>
      <c r="AE2" s="4" t="str">
        <f>'Form responses 1'!AN4</f>
        <v>icici</v>
      </c>
      <c r="AF2" s="4" t="str">
        <f>'Form responses 1'!AO4</f>
        <v>jihughyfu</v>
      </c>
      <c r="AG2" s="4">
        <f>'Form responses 1'!AP4</f>
        <v>64946165597</v>
      </c>
      <c r="AH2" s="4" t="str">
        <f>'Form responses 1'!AQ4</f>
        <v>jhgyfyf2@GMAIL,COM</v>
      </c>
      <c r="AI2" s="4" t="str">
        <f>'Form responses 1'!AR4</f>
        <v>HVTFUGYFYGJH</v>
      </c>
    </row>
    <row r="3">
      <c r="A3" s="26">
        <f>'Form responses 1'!B5</f>
        <v>46056</v>
      </c>
      <c r="B3" s="4" t="str">
        <f>'Form responses 1'!AZ5</f>
        <v>manasa.chigurupati@capsdelivery.com</v>
      </c>
      <c r="C3" s="4" t="str">
        <f>'Form responses 1'!BR5</f>
        <v>Bhuvan’s Kitchen </v>
      </c>
      <c r="D3" s="4" t="str">
        <f>'Form responses 1'!AT5</f>
        <v>Res has been onboarded </v>
      </c>
      <c r="E3" s="4" t="str">
        <f>'Form responses 1'!AU5</f>
        <v>No</v>
      </c>
      <c r="F3" s="4" t="str">
        <f>'Form responses 1'!AX5</f>
        <v/>
      </c>
      <c r="G3" s="4" t="str">
        <f>'Form responses 1'!AY5</f>
        <v/>
      </c>
      <c r="H3" s="53" t="str">
        <f>'Form responses 1'!AW5</f>
        <v/>
      </c>
      <c r="I3" s="4" t="str">
        <f>'Form responses 1'!AS5</f>
        <v>Yes</v>
      </c>
      <c r="J3" s="4" t="str">
        <f>'Form responses 1'!J5</f>
        <v>Tier-2 (AOV &lt;400)</v>
      </c>
      <c r="K3" s="4">
        <f>'Form responses 1'!G5</f>
        <v>250</v>
      </c>
      <c r="L3" s="4">
        <f>'Form responses 1'!F5</f>
        <v>85</v>
      </c>
      <c r="M3" s="4" t="str">
        <f>'Form responses 1'!U5</f>
        <v>Rama Rao</v>
      </c>
      <c r="N3" s="4">
        <f>'Form responses 1'!V5</f>
        <v>9030611616</v>
      </c>
      <c r="O3" s="4" t="str">
        <f>'Form responses 1'!W5</f>
        <v>Bhuvan’skitchen25@gmail.com</v>
      </c>
      <c r="P3" s="4" t="str">
        <f>'Form responses 1'!X5</f>
        <v/>
      </c>
      <c r="Q3" s="4" t="str">
        <f>'Form responses 1'!Y5</f>
        <v/>
      </c>
      <c r="R3" s="4" t="str">
        <f>'Form responses 1'!Z5</f>
        <v/>
      </c>
      <c r="S3" s="54" t="str">
        <f>'Form responses 1'!AC5</f>
        <v>https://drive.google.com/open?id=1zQ8cp3_66Bhden1m6eXDLNsshBt8JXb3</v>
      </c>
      <c r="T3" s="4" t="str">
        <f>'Form responses 1'!AE5</f>
        <v/>
      </c>
      <c r="U3" s="4" t="str">
        <f>'Form responses 1'!AG5</f>
        <v/>
      </c>
      <c r="V3" s="4" t="str">
        <f>'Form responses 1'!AI5</f>
        <v/>
      </c>
      <c r="W3" s="4" t="str">
        <f>'Form responses 1'!AJ5</f>
        <v/>
      </c>
      <c r="X3" s="4" t="str">
        <f>'Form responses 1'!AK5</f>
        <v/>
      </c>
      <c r="Y3" s="4">
        <f t="shared" ref="Y3:AD3" si="2">if(S3&gt;0,1,0)</f>
        <v>1</v>
      </c>
      <c r="Z3" s="4">
        <f t="shared" si="2"/>
        <v>0</v>
      </c>
      <c r="AA3" s="4">
        <f t="shared" si="2"/>
        <v>0</v>
      </c>
      <c r="AB3" s="4">
        <f t="shared" si="2"/>
        <v>0</v>
      </c>
      <c r="AC3" s="4">
        <f t="shared" si="2"/>
        <v>0</v>
      </c>
      <c r="AD3" s="4">
        <f t="shared" si="2"/>
        <v>0</v>
      </c>
      <c r="AE3" s="4" t="str">
        <f>'Form responses 1'!AN5</f>
        <v>HDFC Bank </v>
      </c>
      <c r="AF3" s="4" t="str">
        <f>'Form responses 1'!AO5</f>
        <v>Rama Rao</v>
      </c>
      <c r="AG3" s="4">
        <f>'Form responses 1'!AP5</f>
        <v>9030611616</v>
      </c>
      <c r="AH3" s="4" t="str">
        <f>'Form responses 1'!AQ5</f>
        <v>bhuvanskitchen25@gmail.com</v>
      </c>
      <c r="AI3" s="4" t="str">
        <f>'Form responses 1'!AR5</f>
        <v>Bhuvan’s Kitchen</v>
      </c>
    </row>
    <row r="4">
      <c r="A4" s="26">
        <f>'Form responses 1'!B6</f>
        <v>46056</v>
      </c>
      <c r="B4" s="4" t="str">
        <f>'Form responses 1'!AZ6</f>
        <v>sumadhur.mummadi@capsdelivery.com</v>
      </c>
      <c r="C4" s="4" t="str">
        <f>'Form responses 1'!BR6</f>
        <v>12345578</v>
      </c>
      <c r="D4" s="4" t="str">
        <f>'Form responses 1'!AT6</f>
        <v/>
      </c>
      <c r="E4" s="4" t="str">
        <f>'Form responses 1'!AU6</f>
        <v>Yes</v>
      </c>
      <c r="F4" s="26">
        <f>'Form responses 1'!AX6</f>
        <v>46057</v>
      </c>
      <c r="G4" s="52">
        <f>'Form responses 1'!AY6</f>
        <v>0.4583333333</v>
      </c>
      <c r="H4" s="53" t="str">
        <f>'Form responses 1'!AW6</f>
        <v/>
      </c>
      <c r="I4" s="4" t="str">
        <f>'Form responses 1'!AS6</f>
        <v/>
      </c>
      <c r="J4" s="4" t="str">
        <f>'Form responses 1'!J6</f>
        <v/>
      </c>
      <c r="K4" s="4" t="str">
        <f>'Form responses 1'!G6</f>
        <v/>
      </c>
      <c r="L4" s="4" t="str">
        <f>'Form responses 1'!F6</f>
        <v/>
      </c>
      <c r="M4" s="4" t="str">
        <f>'Form responses 1'!U6</f>
        <v>Mohammed Amir</v>
      </c>
      <c r="N4" s="4">
        <f>'Form responses 1'!V6</f>
        <v>9949814600</v>
      </c>
      <c r="O4" s="4" t="str">
        <f>'Form responses 1'!W6</f>
        <v>na</v>
      </c>
      <c r="P4" s="4" t="str">
        <f>'Form responses 1'!X6</f>
        <v/>
      </c>
      <c r="Q4" s="4" t="str">
        <f>'Form responses 1'!Y6</f>
        <v/>
      </c>
      <c r="R4" s="4" t="str">
        <f>'Form responses 1'!Z6</f>
        <v/>
      </c>
      <c r="S4" s="4" t="str">
        <f>'Form responses 1'!AC6</f>
        <v/>
      </c>
      <c r="T4" s="4" t="str">
        <f>'Form responses 1'!AE6</f>
        <v/>
      </c>
      <c r="U4" s="4" t="str">
        <f>'Form responses 1'!AG6</f>
        <v/>
      </c>
      <c r="V4" s="4" t="str">
        <f>'Form responses 1'!AI6</f>
        <v/>
      </c>
      <c r="W4" s="4" t="str">
        <f>'Form responses 1'!AJ6</f>
        <v/>
      </c>
      <c r="X4" s="4" t="str">
        <f>'Form responses 1'!AK6</f>
        <v/>
      </c>
      <c r="Y4" s="4">
        <f t="shared" ref="Y4:AD4" si="3">if(S4&gt;0,1,0)</f>
        <v>0</v>
      </c>
      <c r="Z4" s="4">
        <f t="shared" si="3"/>
        <v>0</v>
      </c>
      <c r="AA4" s="4">
        <f t="shared" si="3"/>
        <v>0</v>
      </c>
      <c r="AB4" s="4">
        <f t="shared" si="3"/>
        <v>0</v>
      </c>
      <c r="AC4" s="4">
        <f t="shared" si="3"/>
        <v>0</v>
      </c>
      <c r="AD4" s="4">
        <f t="shared" si="3"/>
        <v>0</v>
      </c>
      <c r="AE4" s="4" t="str">
        <f>'Form responses 1'!AN6</f>
        <v/>
      </c>
      <c r="AF4" s="4" t="str">
        <f>'Form responses 1'!AO6</f>
        <v/>
      </c>
      <c r="AG4" s="4" t="str">
        <f>'Form responses 1'!AP6</f>
        <v/>
      </c>
      <c r="AH4" s="4" t="str">
        <f>'Form responses 1'!AQ6</f>
        <v/>
      </c>
      <c r="AI4" s="4" t="str">
        <f>'Form responses 1'!AR6</f>
        <v/>
      </c>
    </row>
    <row r="5">
      <c r="A5" s="26">
        <f>'Form responses 1'!B7</f>
        <v>46056</v>
      </c>
      <c r="B5" s="4" t="str">
        <f>'Form responses 1'!AZ7</f>
        <v>chanakya.inugala@capsdelivery.com</v>
      </c>
      <c r="C5" s="4" t="str">
        <f>'Form responses 1'!BR7</f>
        <v>Bhojanams &amp; Birynis</v>
      </c>
      <c r="D5" s="4" t="str">
        <f>'Form responses 1'!AT7</f>
        <v>PARTNER ON BOARDED</v>
      </c>
      <c r="E5" s="4" t="str">
        <f>'Form responses 1'!AU7</f>
        <v>No</v>
      </c>
      <c r="F5" s="26">
        <f>'Form responses 1'!AX7</f>
        <v>46056</v>
      </c>
      <c r="G5" s="52">
        <f>'Form responses 1'!AY7</f>
        <v>0.8472222222</v>
      </c>
      <c r="H5" s="53" t="str">
        <f>'Form responses 1'!AW7</f>
        <v/>
      </c>
      <c r="I5" s="4" t="str">
        <f>'Form responses 1'!AS7</f>
        <v>Yes</v>
      </c>
      <c r="J5" s="4" t="str">
        <f>'Form responses 1'!J7</f>
        <v>Tier-2 (AOV &lt;400)</v>
      </c>
      <c r="K5" s="4">
        <f>'Form responses 1'!G7</f>
        <v>500</v>
      </c>
      <c r="L5" s="4">
        <f>'Form responses 1'!F7</f>
        <v>30</v>
      </c>
      <c r="M5" s="4" t="str">
        <f>'Form responses 1'!U7</f>
        <v>Shesha sai</v>
      </c>
      <c r="N5" s="4">
        <f>'Form responses 1'!V7</f>
        <v>9052592437</v>
      </c>
      <c r="O5" s="4" t="str">
        <f>'Form responses 1'!W7</f>
        <v>sheshasai@gmail.com</v>
      </c>
      <c r="P5" s="4" t="str">
        <f>'Form responses 1'!X7</f>
        <v/>
      </c>
      <c r="Q5" s="4" t="str">
        <f>'Form responses 1'!Y7</f>
        <v/>
      </c>
      <c r="R5" s="4" t="str">
        <f>'Form responses 1'!Z7</f>
        <v/>
      </c>
      <c r="S5" s="54" t="str">
        <f>'Form responses 1'!AC7</f>
        <v>https://drive.google.com/open?id=1jDd9udZkiYFM95E6qDnBXxB9dZAPA3Q6</v>
      </c>
      <c r="T5" s="54" t="str">
        <f>'Form responses 1'!AE7</f>
        <v>https://drive.google.com/open?id=1wmAzfgRO6AUexNEcncft5vbltGIV8av4</v>
      </c>
      <c r="U5" s="4" t="str">
        <f>'Form responses 1'!AG7</f>
        <v/>
      </c>
      <c r="V5" s="4" t="str">
        <f>'Form responses 1'!AI7</f>
        <v/>
      </c>
      <c r="W5" s="4" t="str">
        <f>'Form responses 1'!AJ7</f>
        <v/>
      </c>
      <c r="X5" s="54" t="str">
        <f>'Form responses 1'!AK7</f>
        <v>https://drive.google.com/open?id=13qbsLsi98K74BchvdcD_7-swJp4EtkeO</v>
      </c>
      <c r="Y5" s="4">
        <f t="shared" ref="Y5:AD5" si="4">if(S5&gt;0,1,0)</f>
        <v>1</v>
      </c>
      <c r="Z5" s="4">
        <f t="shared" si="4"/>
        <v>1</v>
      </c>
      <c r="AA5" s="4">
        <f t="shared" si="4"/>
        <v>0</v>
      </c>
      <c r="AB5" s="4">
        <f t="shared" si="4"/>
        <v>0</v>
      </c>
      <c r="AC5" s="4">
        <f t="shared" si="4"/>
        <v>0</v>
      </c>
      <c r="AD5" s="4">
        <f t="shared" si="4"/>
        <v>1</v>
      </c>
      <c r="AE5" s="4" t="str">
        <f>'Form responses 1'!AN7</f>
        <v>IDFC</v>
      </c>
      <c r="AF5" s="4" t="str">
        <f>'Form responses 1'!AO7</f>
        <v>SHESHA SAI</v>
      </c>
      <c r="AG5" s="4">
        <f>'Form responses 1'!AP7</f>
        <v>9052592437</v>
      </c>
      <c r="AH5" s="4" t="str">
        <f>'Form responses 1'!AQ7</f>
        <v/>
      </c>
      <c r="AI5" s="4" t="str">
        <f>'Form responses 1'!AR7</f>
        <v>INVENCES FOODS</v>
      </c>
    </row>
    <row r="6">
      <c r="A6" s="26">
        <f>'Form responses 1'!B8</f>
        <v>46055</v>
      </c>
      <c r="B6" s="4" t="str">
        <f>'Form responses 1'!AZ8</f>
        <v>parthive.maganti@capsdelivery.com</v>
      </c>
      <c r="C6" s="4" t="str">
        <f>'Form responses 1'!BR8</f>
        <v>Sunrise Business Hotel</v>
      </c>
      <c r="D6" s="4" t="str">
        <f>'Form responses 1'!AT8</f>
        <v>They got impress with our application take away point </v>
      </c>
      <c r="E6" s="4" t="str">
        <f>'Form responses 1'!AU8</f>
        <v>No</v>
      </c>
      <c r="F6" s="26">
        <f>'Form responses 1'!AX8</f>
        <v>46056</v>
      </c>
      <c r="G6" s="52">
        <f>'Form responses 1'!AY8</f>
        <v>0.2395833333</v>
      </c>
      <c r="H6" s="53" t="str">
        <f>'Form responses 1'!AW8</f>
        <v/>
      </c>
      <c r="I6" s="4" t="str">
        <f>'Form responses 1'!AS8</f>
        <v>Yes</v>
      </c>
      <c r="J6" s="4" t="str">
        <f>'Form responses 1'!J8</f>
        <v>Tier-2 (AOV &lt;400)</v>
      </c>
      <c r="K6" s="4">
        <f>'Form responses 1'!G8</f>
        <v>300</v>
      </c>
      <c r="L6" s="4">
        <f>'Form responses 1'!F8</f>
        <v>100</v>
      </c>
      <c r="M6" s="4" t="str">
        <f>'Form responses 1'!U8</f>
        <v>Venkat Lingam</v>
      </c>
      <c r="N6" s="4">
        <f>'Form responses 1'!V8</f>
        <v>8989873636</v>
      </c>
      <c r="O6" s="4" t="str">
        <f>'Form responses 1'!W8</f>
        <v>bowlrise.srnagar@gmail.com</v>
      </c>
      <c r="P6" s="4" t="str">
        <f>'Form responses 1'!X8</f>
        <v/>
      </c>
      <c r="Q6" s="4" t="str">
        <f>'Form responses 1'!Y8</f>
        <v/>
      </c>
      <c r="R6" s="4" t="str">
        <f>'Form responses 1'!Z8</f>
        <v/>
      </c>
      <c r="S6" s="54" t="str">
        <f>'Form responses 1'!AC8</f>
        <v>https://drive.google.com/open?id=1p7jWoaNGA48ZsmXz8piawFvDD6h8MZPo</v>
      </c>
      <c r="T6" s="54" t="str">
        <f>'Form responses 1'!AE8</f>
        <v>https://drive.google.com/open?id=1hZ4_XJa0ar_5viyQyWSwjO63ut7o3QIh</v>
      </c>
      <c r="U6" s="54" t="str">
        <f>'Form responses 1'!AG8</f>
        <v>https://drive.google.com/open?id=11LbxcMTLS62PuKE6EHwzu8WdUemKU5ba</v>
      </c>
      <c r="V6" s="4" t="str">
        <f>'Form responses 1'!AI8</f>
        <v/>
      </c>
      <c r="W6" s="4" t="str">
        <f>'Form responses 1'!AJ8</f>
        <v/>
      </c>
      <c r="X6" s="54" t="str">
        <f>'Form responses 1'!AK8</f>
        <v>https://drive.google.com/open?id=1LV1wXeDgKShlIJHBUn--Sn9J2gR1xgxD</v>
      </c>
      <c r="Y6" s="4">
        <f t="shared" ref="Y6:AD6" si="5">if(S6&gt;0,1,0)</f>
        <v>1</v>
      </c>
      <c r="Z6" s="4">
        <f t="shared" si="5"/>
        <v>1</v>
      </c>
      <c r="AA6" s="4">
        <f t="shared" si="5"/>
        <v>1</v>
      </c>
      <c r="AB6" s="4">
        <f t="shared" si="5"/>
        <v>0</v>
      </c>
      <c r="AC6" s="4">
        <f t="shared" si="5"/>
        <v>0</v>
      </c>
      <c r="AD6" s="4">
        <f t="shared" si="5"/>
        <v>1</v>
      </c>
      <c r="AE6" s="4" t="str">
        <f>'Form responses 1'!AN8</f>
        <v>ICICI BANK</v>
      </c>
      <c r="AF6" s="4" t="str">
        <f>'Form responses 1'!AO8</f>
        <v>VENKAT LINGAM</v>
      </c>
      <c r="AG6" s="4">
        <f>'Form responses 1'!AP8</f>
        <v>8989873636</v>
      </c>
      <c r="AH6" s="4" t="str">
        <f>'Form responses 1'!AQ8</f>
        <v>BOWLRISE.SRNAGAR@GMAIL.COM</v>
      </c>
      <c r="AI6" s="4" t="str">
        <f>'Form responses 1'!AR8</f>
        <v>AARAV SUNRISE HOSPITALITES</v>
      </c>
    </row>
    <row r="7">
      <c r="A7" s="26">
        <f>'Form responses 1'!B9</f>
        <v>46056</v>
      </c>
      <c r="B7" s="4" t="str">
        <f>'Form responses 1'!AZ9</f>
        <v>moin.khan@capsdelivery.com</v>
      </c>
      <c r="C7" s="4" t="str">
        <f>'Form responses 1'!BR9</f>
        <v>ZYROS BIRYANI HOUSE </v>
      </c>
      <c r="D7" s="4" t="str">
        <f>'Form responses 1'!AT9</f>
        <v>ONBOARDED </v>
      </c>
      <c r="E7" s="4" t="str">
        <f>'Form responses 1'!AU9</f>
        <v>No</v>
      </c>
      <c r="F7" s="4" t="str">
        <f>'Form responses 1'!AX9</f>
        <v/>
      </c>
      <c r="G7" s="4" t="str">
        <f>'Form responses 1'!AY9</f>
        <v/>
      </c>
      <c r="H7" s="53" t="str">
        <f>'Form responses 1'!AW9</f>
        <v/>
      </c>
      <c r="I7" s="4" t="str">
        <f>'Form responses 1'!AS9</f>
        <v>Yes</v>
      </c>
      <c r="J7" s="4" t="str">
        <f>'Form responses 1'!J9</f>
        <v>Tier-2 (AOV &lt;400)</v>
      </c>
      <c r="K7" s="4">
        <f>'Form responses 1'!G9</f>
        <v>300</v>
      </c>
      <c r="L7" s="4">
        <f>'Form responses 1'!F9</f>
        <v>8</v>
      </c>
      <c r="M7" s="4" t="str">
        <f>'Form responses 1'!U9</f>
        <v>NATVA SANTOSH KUMAR</v>
      </c>
      <c r="N7" s="4">
        <f>'Form responses 1'!V9</f>
        <v>6302181276</v>
      </c>
      <c r="O7" s="4" t="str">
        <f>'Form responses 1'!W9</f>
        <v>nsantosh086@gmail.com</v>
      </c>
      <c r="P7" s="4" t="str">
        <f>'Form responses 1'!X9</f>
        <v>NA</v>
      </c>
      <c r="Q7" s="4" t="str">
        <f>'Form responses 1'!Y9</f>
        <v/>
      </c>
      <c r="R7" s="4" t="str">
        <f>'Form responses 1'!Z9</f>
        <v/>
      </c>
      <c r="S7" s="54" t="str">
        <f>'Form responses 1'!AC9</f>
        <v>https://drive.google.com/open?id=19PGovlvYadreb67eUHeNKzrktgJO-8bX</v>
      </c>
      <c r="T7" s="54" t="str">
        <f>'Form responses 1'!AE9</f>
        <v>https://drive.google.com/open?id=1xkvSfuIbWsf_ar7Z_3_MFx49cCnJTGSd</v>
      </c>
      <c r="U7" s="4" t="str">
        <f>'Form responses 1'!AG9</f>
        <v/>
      </c>
      <c r="V7" s="4" t="str">
        <f>'Form responses 1'!AI9</f>
        <v/>
      </c>
      <c r="W7" s="54" t="str">
        <f>'Form responses 1'!AJ9</f>
        <v>https://drive.google.com/open?id=1zs5LVtkzfw6Ig4tlx1lPWSn0Lm-7bwoP</v>
      </c>
      <c r="X7" s="54" t="str">
        <f>'Form responses 1'!AK9</f>
        <v>https://drive.google.com/open?id=12sEwp13vy0B0IOgjOaR48di8G3M0dgC6</v>
      </c>
      <c r="Y7" s="4">
        <f t="shared" ref="Y7:AD7" si="6">if(S7&gt;0,1,0)</f>
        <v>1</v>
      </c>
      <c r="Z7" s="4">
        <f t="shared" si="6"/>
        <v>1</v>
      </c>
      <c r="AA7" s="4">
        <f t="shared" si="6"/>
        <v>0</v>
      </c>
      <c r="AB7" s="4">
        <f t="shared" si="6"/>
        <v>0</v>
      </c>
      <c r="AC7" s="4">
        <f t="shared" si="6"/>
        <v>1</v>
      </c>
      <c r="AD7" s="4">
        <f t="shared" si="6"/>
        <v>1</v>
      </c>
      <c r="AE7" s="4" t="str">
        <f>'Form responses 1'!AN9</f>
        <v/>
      </c>
      <c r="AF7" s="4" t="str">
        <f>'Form responses 1'!AO9</f>
        <v>NATVA SANTOSH KUMAR</v>
      </c>
      <c r="AG7" s="4">
        <f>'Form responses 1'!AP9</f>
        <v>6302181276</v>
      </c>
      <c r="AH7" s="4" t="str">
        <f>'Form responses 1'!AQ9</f>
        <v>nsantosh086@gmail.com</v>
      </c>
      <c r="AI7" s="4" t="str">
        <f>'Form responses 1'!AR9</f>
        <v>NATVA SANTOSH KUMAR</v>
      </c>
    </row>
    <row r="8">
      <c r="A8" s="26">
        <f>'Form responses 1'!B10</f>
        <v>46055</v>
      </c>
      <c r="B8" s="4" t="str">
        <f>'Form responses 1'!AZ10</f>
        <v>nitya.akshara@capsdelivery.com</v>
      </c>
      <c r="C8" s="4" t="str">
        <f>'Form responses 1'!BR10</f>
        <v>Slice of Spice</v>
      </c>
      <c r="D8" s="4" t="str">
        <f>'Form responses 1'!AT10</f>
        <v>Onboarded</v>
      </c>
      <c r="E8" s="4" t="str">
        <f>'Form responses 1'!AU10</f>
        <v>No</v>
      </c>
      <c r="F8" s="4" t="str">
        <f>'Form responses 1'!AX10</f>
        <v/>
      </c>
      <c r="G8" s="4" t="str">
        <f>'Form responses 1'!AY10</f>
        <v/>
      </c>
      <c r="H8" s="53" t="str">
        <f>'Form responses 1'!AW10</f>
        <v/>
      </c>
      <c r="I8" s="4" t="str">
        <f>'Form responses 1'!AS10</f>
        <v>Yes</v>
      </c>
      <c r="J8" s="4" t="str">
        <f>'Form responses 1'!J10</f>
        <v>Tier-1(AOV&gt;400)</v>
      </c>
      <c r="K8" s="4">
        <f>'Form responses 1'!G10</f>
        <v>5000</v>
      </c>
      <c r="L8" s="4">
        <f>'Form responses 1'!F10</f>
        <v>150</v>
      </c>
      <c r="M8" s="4" t="str">
        <f>'Form responses 1'!U10</f>
        <v>Venkat Lingam</v>
      </c>
      <c r="N8" s="4">
        <f>'Form responses 1'!V10</f>
        <v>888655996</v>
      </c>
      <c r="O8" s="4" t="str">
        <f>'Form responses 1'!W10</f>
        <v>bowlrise.srnagar@gmail.com </v>
      </c>
      <c r="P8" s="4" t="str">
        <f>'Form responses 1'!X10</f>
        <v/>
      </c>
      <c r="Q8" s="4" t="str">
        <f>'Form responses 1'!Y10</f>
        <v/>
      </c>
      <c r="R8" s="4" t="str">
        <f>'Form responses 1'!Z10</f>
        <v/>
      </c>
      <c r="S8" s="54" t="str">
        <f>'Form responses 1'!AC10</f>
        <v>https://drive.google.com/open?id=1O-A-ESorVgS21JbM9bD4LsPgYXHMCp0d</v>
      </c>
      <c r="T8" s="54" t="str">
        <f>'Form responses 1'!AE10</f>
        <v>https://drive.google.com/open?id=15R5f8q3so1Ik7UrWJk_3rCjAQY8sBEFO</v>
      </c>
      <c r="U8" s="54" t="str">
        <f>'Form responses 1'!AG10</f>
        <v>https://drive.google.com/open?id=1r4LwvkbszhmmgLl56dsxPyTtENCSry3W</v>
      </c>
      <c r="V8" s="4" t="str">
        <f>'Form responses 1'!AI10</f>
        <v/>
      </c>
      <c r="W8" s="54" t="str">
        <f>'Form responses 1'!AJ10</f>
        <v>https://drive.google.com/open?id=1kddVXBDtmyxBYZuEGyQzheu06kPD2YCr</v>
      </c>
      <c r="X8" s="54" t="str">
        <f>'Form responses 1'!AK10</f>
        <v>https://drive.google.com/open?id=1HMbFf9NKxwpNmJpRUAoeT4JSbWFH_gsM</v>
      </c>
      <c r="Y8" s="4">
        <f t="shared" ref="Y8:AD8" si="7">if(S8&gt;0,1,0)</f>
        <v>1</v>
      </c>
      <c r="Z8" s="4">
        <f t="shared" si="7"/>
        <v>1</v>
      </c>
      <c r="AA8" s="4">
        <f t="shared" si="7"/>
        <v>1</v>
      </c>
      <c r="AB8" s="4">
        <f t="shared" si="7"/>
        <v>0</v>
      </c>
      <c r="AC8" s="4">
        <f t="shared" si="7"/>
        <v>1</v>
      </c>
      <c r="AD8" s="4">
        <f t="shared" si="7"/>
        <v>1</v>
      </c>
      <c r="AE8" s="4" t="str">
        <f>'Form responses 1'!AN10</f>
        <v>EASTIN HOTELS AND RESORTS </v>
      </c>
      <c r="AF8" s="4" t="str">
        <f>'Form responses 1'!AO10</f>
        <v>VAMSI</v>
      </c>
      <c r="AG8" s="4">
        <f>'Form responses 1'!AP10</f>
        <v>9014707850</v>
      </c>
      <c r="AH8" s="4" t="str">
        <f>'Form responses 1'!AQ10</f>
        <v>info@eastinhotel.com</v>
      </c>
      <c r="AI8" s="4" t="str">
        <f>'Form responses 1'!AR10</f>
        <v/>
      </c>
    </row>
    <row r="9">
      <c r="A9" s="26">
        <f>'Form responses 1'!B11</f>
        <v>46057</v>
      </c>
      <c r="B9" s="4" t="str">
        <f>'Form responses 1'!AZ11</f>
        <v>moin.khan@capsdelivery.com</v>
      </c>
      <c r="C9" s="4" t="str">
        <f>'Form responses 1'!BR11</f>
        <v>ROLO BAKERS</v>
      </c>
      <c r="D9" s="4" t="str">
        <f>'Form responses 1'!AT11</f>
        <v>ONBOARDED</v>
      </c>
      <c r="E9" s="4" t="str">
        <f>'Form responses 1'!AU11</f>
        <v>No</v>
      </c>
      <c r="F9" s="4" t="str">
        <f>'Form responses 1'!AX11</f>
        <v/>
      </c>
      <c r="G9" s="4" t="str">
        <f>'Form responses 1'!AY11</f>
        <v/>
      </c>
      <c r="H9" s="53" t="str">
        <f>'Form responses 1'!AW11</f>
        <v/>
      </c>
      <c r="I9" s="4" t="str">
        <f>'Form responses 1'!AS11</f>
        <v>Yes</v>
      </c>
      <c r="J9" s="4" t="str">
        <f>'Form responses 1'!J11</f>
        <v>Tier-2 (AOV &lt;400)</v>
      </c>
      <c r="K9" s="4">
        <f>'Form responses 1'!G11</f>
        <v>250</v>
      </c>
      <c r="L9" s="4">
        <f>'Form responses 1'!F11</f>
        <v>20</v>
      </c>
      <c r="M9" s="4" t="str">
        <f>'Form responses 1'!U11</f>
        <v>GM RAGHAVENDRA</v>
      </c>
      <c r="N9" s="4">
        <f>'Form responses 1'!V11</f>
        <v>9963968917</v>
      </c>
      <c r="O9" s="4" t="str">
        <f>'Form responses 1'!W11</f>
        <v>NA</v>
      </c>
      <c r="P9" s="4" t="str">
        <f>'Form responses 1'!X11</f>
        <v/>
      </c>
      <c r="Q9" s="4" t="str">
        <f>'Form responses 1'!Y11</f>
        <v/>
      </c>
      <c r="R9" s="4" t="str">
        <f>'Form responses 1'!Z11</f>
        <v/>
      </c>
      <c r="S9" s="54" t="str">
        <f>'Form responses 1'!AC11</f>
        <v>https://drive.google.com/open?id=16IQXYD4HTTgs7GCdBU6iPTmSXHfWlbQY</v>
      </c>
      <c r="T9" s="54" t="str">
        <f>'Form responses 1'!AE11</f>
        <v>https://drive.google.com/open?id=1QyRpGDX2lP1lX3GoLj4kqxGuQ7cNxZ5q</v>
      </c>
      <c r="U9" s="54" t="str">
        <f>'Form responses 1'!AG11</f>
        <v>https://drive.google.com/open?id=1wLa_Pt-AJbdtSV0NDD93Cgm0a-yocPNO</v>
      </c>
      <c r="V9" s="4" t="str">
        <f>'Form responses 1'!AI11</f>
        <v/>
      </c>
      <c r="W9" s="4" t="str">
        <f>'Form responses 1'!AJ11</f>
        <v/>
      </c>
      <c r="X9" s="4" t="str">
        <f>'Form responses 1'!AK11</f>
        <v/>
      </c>
      <c r="Y9" s="4">
        <f t="shared" ref="Y9:AD9" si="8">if(S9&gt;0,1,0)</f>
        <v>1</v>
      </c>
      <c r="Z9" s="4">
        <f t="shared" si="8"/>
        <v>1</v>
      </c>
      <c r="AA9" s="4">
        <f t="shared" si="8"/>
        <v>1</v>
      </c>
      <c r="AB9" s="4">
        <f t="shared" si="8"/>
        <v>0</v>
      </c>
      <c r="AC9" s="4">
        <f t="shared" si="8"/>
        <v>0</v>
      </c>
      <c r="AD9" s="4">
        <f t="shared" si="8"/>
        <v>0</v>
      </c>
      <c r="AE9" s="4" t="str">
        <f>'Form responses 1'!AN11</f>
        <v/>
      </c>
      <c r="AF9" s="4" t="str">
        <f>'Form responses 1'!AO11</f>
        <v>GM RAGHAVENDRA</v>
      </c>
      <c r="AG9" s="4">
        <f>'Form responses 1'!AP11</f>
        <v>9963968917</v>
      </c>
      <c r="AH9" s="4" t="str">
        <f>'Form responses 1'!AQ11</f>
        <v/>
      </c>
      <c r="AI9" s="4" t="str">
        <f>'Form responses 1'!AR11</f>
        <v>ROLO ONE BAKERS</v>
      </c>
    </row>
    <row r="10">
      <c r="A10" s="26">
        <f>'Form responses 1'!B12</f>
        <v>46057</v>
      </c>
      <c r="B10" s="4" t="str">
        <f>'Form responses 1'!AZ12</f>
        <v>moin.khan@capsdelivery.com</v>
      </c>
      <c r="C10" s="4" t="str">
        <f>'Form responses 1'!BR12</f>
        <v> rayalseema spice  restaurant  </v>
      </c>
      <c r="D10" s="4" t="str">
        <f>'Form responses 1'!AT12</f>
        <v>ONBOARDED</v>
      </c>
      <c r="E10" s="4" t="str">
        <f>'Form responses 1'!AU12</f>
        <v>No</v>
      </c>
      <c r="F10" s="4" t="str">
        <f>'Form responses 1'!AX12</f>
        <v/>
      </c>
      <c r="G10" s="4" t="str">
        <f>'Form responses 1'!AY12</f>
        <v/>
      </c>
      <c r="H10" s="53" t="str">
        <f>'Form responses 1'!AW12</f>
        <v/>
      </c>
      <c r="I10" s="4" t="str">
        <f>'Form responses 1'!AS12</f>
        <v>Yes</v>
      </c>
      <c r="J10" s="4" t="str">
        <f>'Form responses 1'!J12</f>
        <v>Tier-2 (AOV &lt;400)</v>
      </c>
      <c r="K10" s="4">
        <f>'Form responses 1'!G12</f>
        <v>300</v>
      </c>
      <c r="L10" s="4">
        <f>'Form responses 1'!F12</f>
        <v>40</v>
      </c>
      <c r="M10" s="4" t="str">
        <f>'Form responses 1'!U12</f>
        <v>narapu reddy </v>
      </c>
      <c r="N10" s="4">
        <f>'Form responses 1'!V12</f>
        <v>6301782448</v>
      </c>
      <c r="O10" s="4" t="str">
        <f>'Form responses 1'!W12</f>
        <v>rayalseemaspice@gmail.com</v>
      </c>
      <c r="P10" s="4" t="str">
        <f>'Form responses 1'!X12</f>
        <v/>
      </c>
      <c r="Q10" s="4" t="str">
        <f>'Form responses 1'!Y12</f>
        <v/>
      </c>
      <c r="R10" s="4" t="str">
        <f>'Form responses 1'!Z12</f>
        <v/>
      </c>
      <c r="S10" s="54" t="str">
        <f>'Form responses 1'!AC12</f>
        <v>https://drive.google.com/open?id=12A0pBqsWeMNRgfr4-RewydCYL1MhGFzW</v>
      </c>
      <c r="T10" s="54" t="str">
        <f>'Form responses 1'!AE12</f>
        <v>https://drive.google.com/open?id=1w2-0S2iGSW_hsqhFAKZANxRRUo2t8rGA</v>
      </c>
      <c r="U10" s="54" t="str">
        <f>'Form responses 1'!AG12</f>
        <v>https://drive.google.com/open?id=1pP1p8yHifkOvlMj3fFQXJ-_zZU02HhTR</v>
      </c>
      <c r="V10" s="4" t="str">
        <f>'Form responses 1'!AI12</f>
        <v/>
      </c>
      <c r="W10" s="4" t="str">
        <f>'Form responses 1'!AJ12</f>
        <v/>
      </c>
      <c r="X10" s="54" t="str">
        <f>'Form responses 1'!AK12</f>
        <v>https://drive.google.com/open?id=1B_C4vy9xoX9tPLwjSW2tR-EM6ekXOlYl</v>
      </c>
      <c r="Y10" s="4">
        <f t="shared" ref="Y10:AD10" si="9">if(S10&gt;0,1,0)</f>
        <v>1</v>
      </c>
      <c r="Z10" s="4">
        <f t="shared" si="9"/>
        <v>1</v>
      </c>
      <c r="AA10" s="4">
        <f t="shared" si="9"/>
        <v>1</v>
      </c>
      <c r="AB10" s="4">
        <f t="shared" si="9"/>
        <v>0</v>
      </c>
      <c r="AC10" s="4">
        <f t="shared" si="9"/>
        <v>0</v>
      </c>
      <c r="AD10" s="4">
        <f t="shared" si="9"/>
        <v>1</v>
      </c>
      <c r="AE10" s="4" t="str">
        <f>'Form responses 1'!AN12</f>
        <v>BANDHAN BANK</v>
      </c>
      <c r="AF10" s="4" t="str">
        <f>'Form responses 1'!AO12</f>
        <v>POKURI PRATHYUSHA</v>
      </c>
      <c r="AG10" s="4">
        <f>'Form responses 1'!AP12</f>
        <v>6301782448</v>
      </c>
      <c r="AH10" s="4" t="str">
        <f>'Form responses 1'!AQ12</f>
        <v/>
      </c>
      <c r="AI10" s="4" t="str">
        <f>'Form responses 1'!AR12</f>
        <v>POKURI PRATHYUSHA</v>
      </c>
    </row>
    <row r="11">
      <c r="A11" s="26">
        <f>'Form responses 1'!B13</f>
        <v>46057</v>
      </c>
      <c r="B11" s="4" t="str">
        <f>'Form responses 1'!AZ13</f>
        <v>moin.khan@capsdelivery.com</v>
      </c>
      <c r="C11" s="4" t="str">
        <f>'Form responses 1'!BR13</f>
        <v>alankrutha multicuisine restaurant </v>
      </c>
      <c r="D11" s="4" t="str">
        <f>'Form responses 1'!AT13</f>
        <v>ONBOARDED</v>
      </c>
      <c r="E11" s="4" t="str">
        <f>'Form responses 1'!AU13</f>
        <v>No</v>
      </c>
      <c r="F11" s="4" t="str">
        <f>'Form responses 1'!AX13</f>
        <v/>
      </c>
      <c r="G11" s="4" t="str">
        <f>'Form responses 1'!AY13</f>
        <v/>
      </c>
      <c r="H11" s="53" t="str">
        <f>'Form responses 1'!AW13</f>
        <v/>
      </c>
      <c r="I11" s="4" t="str">
        <f>'Form responses 1'!AS13</f>
        <v>Yes</v>
      </c>
      <c r="J11" s="4" t="str">
        <f>'Form responses 1'!J13</f>
        <v>Tier-2 (AOV &lt;400)</v>
      </c>
      <c r="K11" s="4">
        <f>'Form responses 1'!G13</f>
        <v>300</v>
      </c>
      <c r="L11" s="4">
        <f>'Form responses 1'!F13</f>
        <v>20</v>
      </c>
      <c r="M11" s="4" t="str">
        <f>'Form responses 1'!U13</f>
        <v>AKASH</v>
      </c>
      <c r="N11" s="4">
        <f>'Form responses 1'!V13</f>
        <v>8341514984</v>
      </c>
      <c r="O11" s="4" t="str">
        <f>'Form responses 1'!W13</f>
        <v>cakash121@gmail.com</v>
      </c>
      <c r="P11" s="4" t="str">
        <f>'Form responses 1'!X13</f>
        <v/>
      </c>
      <c r="Q11" s="4" t="str">
        <f>'Form responses 1'!Y13</f>
        <v/>
      </c>
      <c r="R11" s="4" t="str">
        <f>'Form responses 1'!Z13</f>
        <v/>
      </c>
      <c r="S11" s="54" t="str">
        <f>'Form responses 1'!AC13</f>
        <v>https://drive.google.com/open?id=1yUrIaR5y55zD2nSA-kJ0RTpJklMZhyOE</v>
      </c>
      <c r="T11" s="4" t="str">
        <f>'Form responses 1'!AE13</f>
        <v/>
      </c>
      <c r="U11" s="54" t="str">
        <f>'Form responses 1'!AG13</f>
        <v>https://drive.google.com/open?id=1lHnQS6jFD0j-ODzzm6ncc6Fds_MkMTOj</v>
      </c>
      <c r="V11" s="4" t="str">
        <f>'Form responses 1'!AI13</f>
        <v/>
      </c>
      <c r="W11" s="4" t="str">
        <f>'Form responses 1'!AJ13</f>
        <v/>
      </c>
      <c r="X11" s="54" t="str">
        <f>'Form responses 1'!AK13</f>
        <v>https://drive.google.com/open?id=1xJurv609CUKpePCGd0rcMOwYy6MJKEto</v>
      </c>
      <c r="Y11" s="4">
        <f t="shared" ref="Y11:AD11" si="10">if(S11&gt;0,1,0)</f>
        <v>1</v>
      </c>
      <c r="Z11" s="4">
        <f t="shared" si="10"/>
        <v>0</v>
      </c>
      <c r="AA11" s="4">
        <f t="shared" si="10"/>
        <v>1</v>
      </c>
      <c r="AB11" s="4">
        <f t="shared" si="10"/>
        <v>0</v>
      </c>
      <c r="AC11" s="4">
        <f t="shared" si="10"/>
        <v>0</v>
      </c>
      <c r="AD11" s="4">
        <f t="shared" si="10"/>
        <v>1</v>
      </c>
      <c r="AE11" s="4" t="str">
        <f>'Form responses 1'!AN13</f>
        <v>BANK OF BARODA</v>
      </c>
      <c r="AF11" s="4" t="str">
        <f>'Form responses 1'!AO13</f>
        <v>ALANKRUTHA RESTAURANT</v>
      </c>
      <c r="AG11" s="4">
        <f>'Form responses 1'!AP13</f>
        <v>8341514984</v>
      </c>
      <c r="AH11" s="4" t="str">
        <f>'Form responses 1'!AQ13</f>
        <v>cakash121@gmail.com</v>
      </c>
      <c r="AI11" s="4" t="str">
        <f>'Form responses 1'!AR13</f>
        <v>ALANKRUTHA MULTICUSINE RESTAURANT</v>
      </c>
    </row>
    <row r="12">
      <c r="A12" s="26">
        <f>'Form responses 1'!B14</f>
        <v>46057</v>
      </c>
      <c r="B12" s="4" t="str">
        <f>'Form responses 1'!AZ14</f>
        <v>chanakya.inugala@capsdelivery.com</v>
      </c>
      <c r="C12" s="4" t="str">
        <f>'Form responses 1'!BR14</f>
        <v>GUNTUR MESS</v>
      </c>
      <c r="D12" s="4" t="str">
        <f>'Form responses 1'!AT14</f>
        <v>on boarded waiting for documents</v>
      </c>
      <c r="E12" s="4" t="str">
        <f>'Form responses 1'!AU14</f>
        <v>No</v>
      </c>
      <c r="F12" s="4" t="str">
        <f>'Form responses 1'!AX14</f>
        <v/>
      </c>
      <c r="G12" s="4" t="str">
        <f>'Form responses 1'!AY14</f>
        <v/>
      </c>
      <c r="H12" s="53" t="str">
        <f>'Form responses 1'!AW14</f>
        <v/>
      </c>
      <c r="I12" s="4" t="str">
        <f>'Form responses 1'!AS14</f>
        <v>Yes</v>
      </c>
      <c r="J12" s="4" t="str">
        <f>'Form responses 1'!J14</f>
        <v>Tier-3 ( AOV&lt;200 )</v>
      </c>
      <c r="K12" s="4">
        <f>'Form responses 1'!G14</f>
        <v>200</v>
      </c>
      <c r="L12" s="4">
        <f>'Form responses 1'!F14</f>
        <v>20</v>
      </c>
      <c r="M12" s="4" t="str">
        <f>'Form responses 1'!U14</f>
        <v>SHIVA</v>
      </c>
      <c r="N12" s="4">
        <f>'Form responses 1'!V14</f>
        <v>9391167117</v>
      </c>
      <c r="O12" s="4" t="str">
        <f>'Form responses 1'!W14</f>
        <v>shiva@gmail.com</v>
      </c>
      <c r="P12" s="4" t="str">
        <f>'Form responses 1'!X14</f>
        <v/>
      </c>
      <c r="Q12" s="4" t="str">
        <f>'Form responses 1'!Y14</f>
        <v/>
      </c>
      <c r="R12" s="4" t="str">
        <f>'Form responses 1'!Z14</f>
        <v/>
      </c>
      <c r="S12" s="4" t="str">
        <f>'Form responses 1'!AC14</f>
        <v/>
      </c>
      <c r="T12" s="4" t="str">
        <f>'Form responses 1'!AE14</f>
        <v/>
      </c>
      <c r="U12" s="4" t="str">
        <f>'Form responses 1'!AG14</f>
        <v/>
      </c>
      <c r="V12" s="4" t="str">
        <f>'Form responses 1'!AI14</f>
        <v/>
      </c>
      <c r="W12" s="4" t="str">
        <f>'Form responses 1'!AJ14</f>
        <v/>
      </c>
      <c r="X12" s="4" t="str">
        <f>'Form responses 1'!AK14</f>
        <v/>
      </c>
      <c r="Y12" s="4">
        <f t="shared" ref="Y12:AD12" si="11">if(S12&gt;0,1,0)</f>
        <v>0</v>
      </c>
      <c r="Z12" s="4">
        <f t="shared" si="11"/>
        <v>0</v>
      </c>
      <c r="AA12" s="4">
        <f t="shared" si="11"/>
        <v>0</v>
      </c>
      <c r="AB12" s="4">
        <f t="shared" si="11"/>
        <v>0</v>
      </c>
      <c r="AC12" s="4">
        <f t="shared" si="11"/>
        <v>0</v>
      </c>
      <c r="AD12" s="4">
        <f t="shared" si="11"/>
        <v>0</v>
      </c>
      <c r="AE12" s="4" t="str">
        <f>'Form responses 1'!AN14</f>
        <v/>
      </c>
      <c r="AF12" s="4" t="str">
        <f>'Form responses 1'!AO14</f>
        <v/>
      </c>
      <c r="AG12" s="4" t="str">
        <f>'Form responses 1'!AP14</f>
        <v/>
      </c>
      <c r="AH12" s="4" t="str">
        <f>'Form responses 1'!AQ14</f>
        <v/>
      </c>
      <c r="AI12" s="4" t="str">
        <f>'Form responses 1'!AR14</f>
        <v/>
      </c>
    </row>
    <row r="13">
      <c r="A13" s="26">
        <f>'Form responses 1'!B15</f>
        <v>46058</v>
      </c>
      <c r="B13" s="4" t="str">
        <f>'Form responses 1'!AZ15</f>
        <v>chanakya.inugala@capsdelivery.com</v>
      </c>
      <c r="C13" s="4" t="str">
        <f>'Form responses 1'!BR15</f>
        <v>Bihar Dhaba</v>
      </c>
      <c r="D13" s="4" t="str">
        <f>'Form responses 1'!AT15</f>
        <v>onboarded waiting for documets</v>
      </c>
      <c r="E13" s="4" t="str">
        <f>'Form responses 1'!AU15</f>
        <v>No</v>
      </c>
      <c r="F13" s="26">
        <f>'Form responses 1'!AX15</f>
        <v>46059</v>
      </c>
      <c r="G13" s="52">
        <f>'Form responses 1'!AY15</f>
        <v>0.625</v>
      </c>
      <c r="H13" s="53" t="str">
        <f>'Form responses 1'!AW15</f>
        <v/>
      </c>
      <c r="I13" s="4" t="str">
        <f>'Form responses 1'!AS15</f>
        <v/>
      </c>
      <c r="J13" s="4" t="str">
        <f>'Form responses 1'!J15</f>
        <v>Tier-3 ( AOV&lt;200 )</v>
      </c>
      <c r="K13" s="4">
        <f>'Form responses 1'!G15</f>
        <v>200</v>
      </c>
      <c r="L13" s="4">
        <f>'Form responses 1'!F15</f>
        <v>30</v>
      </c>
      <c r="M13" s="4" t="str">
        <f>'Form responses 1'!U15</f>
        <v>prajwah kumar</v>
      </c>
      <c r="N13" s="4">
        <f>'Form responses 1'!V15</f>
        <v>9441674841</v>
      </c>
      <c r="O13" s="4" t="str">
        <f>'Form responses 1'!W15</f>
        <v>na</v>
      </c>
      <c r="P13" s="4" t="str">
        <f>'Form responses 1'!X15</f>
        <v/>
      </c>
      <c r="Q13" s="4" t="str">
        <f>'Form responses 1'!Y15</f>
        <v/>
      </c>
      <c r="R13" s="4" t="str">
        <f>'Form responses 1'!Z15</f>
        <v/>
      </c>
      <c r="S13" s="4" t="str">
        <f>'Form responses 1'!AC15</f>
        <v/>
      </c>
      <c r="T13" s="4" t="str">
        <f>'Form responses 1'!AE15</f>
        <v/>
      </c>
      <c r="U13" s="4" t="str">
        <f>'Form responses 1'!AG15</f>
        <v/>
      </c>
      <c r="V13" s="4" t="str">
        <f>'Form responses 1'!AI15</f>
        <v/>
      </c>
      <c r="W13" s="4" t="str">
        <f>'Form responses 1'!AJ15</f>
        <v/>
      </c>
      <c r="X13" s="4" t="str">
        <f>'Form responses 1'!AK15</f>
        <v/>
      </c>
      <c r="Y13" s="4">
        <f t="shared" ref="Y13:AD13" si="12">if(S13&gt;0,1,0)</f>
        <v>0</v>
      </c>
      <c r="Z13" s="4">
        <f t="shared" si="12"/>
        <v>0</v>
      </c>
      <c r="AA13" s="4">
        <f t="shared" si="12"/>
        <v>0</v>
      </c>
      <c r="AB13" s="4">
        <f t="shared" si="12"/>
        <v>0</v>
      </c>
      <c r="AC13" s="4">
        <f t="shared" si="12"/>
        <v>0</v>
      </c>
      <c r="AD13" s="4">
        <f t="shared" si="12"/>
        <v>0</v>
      </c>
      <c r="AE13" s="4" t="str">
        <f>'Form responses 1'!AN15</f>
        <v/>
      </c>
      <c r="AF13" s="4" t="str">
        <f>'Form responses 1'!AO15</f>
        <v/>
      </c>
      <c r="AG13" s="4" t="str">
        <f>'Form responses 1'!AP15</f>
        <v/>
      </c>
      <c r="AH13" s="4" t="str">
        <f>'Form responses 1'!AQ15</f>
        <v/>
      </c>
      <c r="AI13" s="4" t="str">
        <f>'Form responses 1'!AR15</f>
        <v/>
      </c>
    </row>
    <row r="14">
      <c r="A14" s="26">
        <f>'Form responses 1'!B16</f>
        <v>46058</v>
      </c>
      <c r="B14" s="4" t="str">
        <f>'Form responses 1'!AZ16</f>
        <v>moin.khan@capsdelivery.com</v>
      </c>
      <c r="C14" s="4" t="str">
        <f>'Form responses 1'!BR16</f>
        <v>hunan chinese cusine </v>
      </c>
      <c r="D14" s="4" t="str">
        <f>'Form responses 1'!AT16</f>
        <v>onboarded</v>
      </c>
      <c r="E14" s="4" t="str">
        <f>'Form responses 1'!AU16</f>
        <v>No</v>
      </c>
      <c r="F14" s="4" t="str">
        <f>'Form responses 1'!AX16</f>
        <v/>
      </c>
      <c r="G14" s="4" t="str">
        <f>'Form responses 1'!AY16</f>
        <v/>
      </c>
      <c r="H14" s="53" t="str">
        <f>'Form responses 1'!AW16</f>
        <v/>
      </c>
      <c r="I14" s="4" t="str">
        <f>'Form responses 1'!AS16</f>
        <v>Yes</v>
      </c>
      <c r="J14" s="4" t="str">
        <f>'Form responses 1'!J16</f>
        <v>Tier-2 (AOV &lt;400)</v>
      </c>
      <c r="K14" s="4">
        <f>'Form responses 1'!G16</f>
        <v>200</v>
      </c>
      <c r="L14" s="4">
        <f>'Form responses 1'!F16</f>
        <v>20</v>
      </c>
      <c r="M14" s="4" t="str">
        <f>'Form responses 1'!U16</f>
        <v>RAVI</v>
      </c>
      <c r="N14" s="4">
        <f>'Form responses 1'!V16</f>
        <v>7396735758</v>
      </c>
      <c r="O14" s="4" t="str">
        <f>'Form responses 1'!W16</f>
        <v>thehumanspice@gmail.com</v>
      </c>
      <c r="P14" s="4" t="str">
        <f>'Form responses 1'!X16</f>
        <v>NA</v>
      </c>
      <c r="Q14" s="4" t="str">
        <f>'Form responses 1'!Y16</f>
        <v/>
      </c>
      <c r="R14" s="4" t="str">
        <f>'Form responses 1'!Z16</f>
        <v>NA</v>
      </c>
      <c r="S14" s="54" t="str">
        <f>'Form responses 1'!AC16</f>
        <v>https://drive.google.com/open?id=1eq2DvTRrEKjx7F39onOqBAWekTlxGmlf</v>
      </c>
      <c r="T14" s="4" t="str">
        <f>'Form responses 1'!AE16</f>
        <v/>
      </c>
      <c r="U14" s="4" t="str">
        <f>'Form responses 1'!AG16</f>
        <v/>
      </c>
      <c r="V14" s="4" t="str">
        <f>'Form responses 1'!AI16</f>
        <v/>
      </c>
      <c r="W14" s="4" t="str">
        <f>'Form responses 1'!AJ16</f>
        <v/>
      </c>
      <c r="X14" s="54" t="str">
        <f>'Form responses 1'!AK16</f>
        <v>https://drive.google.com/open?id=1EM4vsraBCi3CmJzJUZ8gpuR8XRGBOcDh</v>
      </c>
      <c r="Y14" s="4">
        <f t="shared" ref="Y14:AD14" si="13">if(S14&gt;0,1,0)</f>
        <v>1</v>
      </c>
      <c r="Z14" s="4">
        <f t="shared" si="13"/>
        <v>0</v>
      </c>
      <c r="AA14" s="4">
        <f t="shared" si="13"/>
        <v>0</v>
      </c>
      <c r="AB14" s="4">
        <f t="shared" si="13"/>
        <v>0</v>
      </c>
      <c r="AC14" s="4">
        <f t="shared" si="13"/>
        <v>0</v>
      </c>
      <c r="AD14" s="4">
        <f t="shared" si="13"/>
        <v>1</v>
      </c>
      <c r="AE14" s="4" t="str">
        <f>'Form responses 1'!AN16</f>
        <v>HUNAN CHINESE CUSINE</v>
      </c>
      <c r="AF14" s="4" t="str">
        <f>'Form responses 1'!AO16</f>
        <v>RAVI</v>
      </c>
      <c r="AG14" s="4">
        <f>'Form responses 1'!AP16</f>
        <v>7396735758</v>
      </c>
      <c r="AH14" s="4" t="str">
        <f>'Form responses 1'!AQ16</f>
        <v>thehumanspice@gmail.com</v>
      </c>
      <c r="AI14" s="4" t="str">
        <f>'Form responses 1'!AR16</f>
        <v>Ravi </v>
      </c>
    </row>
    <row r="15">
      <c r="A15" s="26">
        <f>'Form responses 1'!B17</f>
        <v>46058</v>
      </c>
      <c r="B15" s="4" t="str">
        <f>'Form responses 1'!AZ17</f>
        <v>greeshma.vanneldas@capsdelivery.com</v>
      </c>
      <c r="C15" s="4" t="str">
        <f>'Form responses 1'!BR17</f>
        <v>Krishna teeram</v>
      </c>
      <c r="D15" s="4" t="str">
        <f>'Form responses 1'!AT17</f>
        <v>Onboarding done but Adhar and pan details didnt recevied at.</v>
      </c>
      <c r="E15" s="4" t="str">
        <f>'Form responses 1'!AU17</f>
        <v>No</v>
      </c>
      <c r="F15" s="4" t="str">
        <f>'Form responses 1'!AX17</f>
        <v/>
      </c>
      <c r="G15" s="4" t="str">
        <f>'Form responses 1'!AY17</f>
        <v/>
      </c>
      <c r="H15" s="53" t="str">
        <f>'Form responses 1'!AW17</f>
        <v/>
      </c>
      <c r="I15" s="4" t="str">
        <f>'Form responses 1'!AS17</f>
        <v/>
      </c>
      <c r="J15" s="4" t="str">
        <f>'Form responses 1'!J17</f>
        <v/>
      </c>
      <c r="K15" s="4" t="str">
        <f>'Form responses 1'!G17</f>
        <v/>
      </c>
      <c r="L15" s="4" t="str">
        <f>'Form responses 1'!F17</f>
        <v/>
      </c>
      <c r="M15" s="4" t="str">
        <f>'Form responses 1'!U17</f>
        <v>Suresh</v>
      </c>
      <c r="N15" s="4">
        <f>'Form responses 1'!V17</f>
        <v>9985609966</v>
      </c>
      <c r="O15" s="4" t="str">
        <f>'Form responses 1'!W17</f>
        <v>krishnateeram2025@gmail.com</v>
      </c>
      <c r="P15" s="4" t="str">
        <f>'Form responses 1'!X17</f>
        <v/>
      </c>
      <c r="Q15" s="4" t="str">
        <f>'Form responses 1'!Y17</f>
        <v/>
      </c>
      <c r="R15" s="4" t="str">
        <f>'Form responses 1'!Z17</f>
        <v/>
      </c>
      <c r="S15" s="4" t="str">
        <f>'Form responses 1'!AC17</f>
        <v/>
      </c>
      <c r="T15" s="4" t="str">
        <f>'Form responses 1'!AE17</f>
        <v/>
      </c>
      <c r="U15" s="4" t="str">
        <f>'Form responses 1'!AG17</f>
        <v/>
      </c>
      <c r="V15" s="4" t="str">
        <f>'Form responses 1'!AI17</f>
        <v/>
      </c>
      <c r="W15" s="4" t="str">
        <f>'Form responses 1'!AJ17</f>
        <v/>
      </c>
      <c r="X15" s="4" t="str">
        <f>'Form responses 1'!AK17</f>
        <v/>
      </c>
      <c r="Y15" s="4">
        <f t="shared" ref="Y15:AD15" si="14">if(S15&gt;0,1,0)</f>
        <v>0</v>
      </c>
      <c r="Z15" s="4">
        <f t="shared" si="14"/>
        <v>0</v>
      </c>
      <c r="AA15" s="4">
        <f t="shared" si="14"/>
        <v>0</v>
      </c>
      <c r="AB15" s="4">
        <f t="shared" si="14"/>
        <v>0</v>
      </c>
      <c r="AC15" s="4">
        <f t="shared" si="14"/>
        <v>0</v>
      </c>
      <c r="AD15" s="4">
        <f t="shared" si="14"/>
        <v>0</v>
      </c>
      <c r="AE15" s="4" t="str">
        <f>'Form responses 1'!AN17</f>
        <v/>
      </c>
      <c r="AF15" s="4" t="str">
        <f>'Form responses 1'!AO17</f>
        <v/>
      </c>
      <c r="AG15" s="4" t="str">
        <f>'Form responses 1'!AP17</f>
        <v/>
      </c>
      <c r="AH15" s="4" t="str">
        <f>'Form responses 1'!AQ17</f>
        <v/>
      </c>
      <c r="AI15" s="4" t="str">
        <f>'Form responses 1'!AR17</f>
        <v/>
      </c>
    </row>
    <row r="16">
      <c r="A16" s="26">
        <f>'Form responses 1'!B18</f>
        <v>46058</v>
      </c>
      <c r="B16" s="4" t="str">
        <f>'Form responses 1'!AZ18</f>
        <v>greeshma.vanneldas@capsdelivery.com</v>
      </c>
      <c r="C16" s="4" t="str">
        <f>'Form responses 1'!BR18</f>
        <v>Ahaladha kitchen</v>
      </c>
      <c r="D16" s="4" t="str">
        <f>'Form responses 1'!AT18</f>
        <v>Onboarding done </v>
      </c>
      <c r="E16" s="4" t="str">
        <f>'Form responses 1'!AU18</f>
        <v>No</v>
      </c>
      <c r="F16" s="4" t="str">
        <f>'Form responses 1'!AX18</f>
        <v/>
      </c>
      <c r="G16" s="4" t="str">
        <f>'Form responses 1'!AY18</f>
        <v/>
      </c>
      <c r="H16" s="53" t="str">
        <f>'Form responses 1'!AW18</f>
        <v/>
      </c>
      <c r="I16" s="4" t="str">
        <f>'Form responses 1'!AS18</f>
        <v/>
      </c>
      <c r="J16" s="4" t="str">
        <f>'Form responses 1'!J18</f>
        <v/>
      </c>
      <c r="K16" s="4" t="str">
        <f>'Form responses 1'!G18</f>
        <v/>
      </c>
      <c r="L16" s="4" t="str">
        <f>'Form responses 1'!F18</f>
        <v/>
      </c>
      <c r="M16" s="4" t="str">
        <f>'Form responses 1'!U18</f>
        <v>Naveen</v>
      </c>
      <c r="N16" s="4">
        <f>'Form responses 1'!V18</f>
        <v>8555086883</v>
      </c>
      <c r="O16" s="4" t="str">
        <f>'Form responses 1'!W18</f>
        <v>didnt recevied</v>
      </c>
      <c r="P16" s="4" t="str">
        <f>'Form responses 1'!X18</f>
        <v/>
      </c>
      <c r="Q16" s="4" t="str">
        <f>'Form responses 1'!Y18</f>
        <v/>
      </c>
      <c r="R16" s="4" t="str">
        <f>'Form responses 1'!Z18</f>
        <v/>
      </c>
      <c r="S16" s="4" t="str">
        <f>'Form responses 1'!AC18</f>
        <v/>
      </c>
      <c r="T16" s="4" t="str">
        <f>'Form responses 1'!AE18</f>
        <v/>
      </c>
      <c r="U16" s="4" t="str">
        <f>'Form responses 1'!AG18</f>
        <v/>
      </c>
      <c r="V16" s="4" t="str">
        <f>'Form responses 1'!AI18</f>
        <v/>
      </c>
      <c r="W16" s="4" t="str">
        <f>'Form responses 1'!AJ18</f>
        <v/>
      </c>
      <c r="X16" s="4" t="str">
        <f>'Form responses 1'!AK18</f>
        <v/>
      </c>
      <c r="Y16" s="4">
        <f t="shared" ref="Y16:AD16" si="15">if(S16&gt;0,1,0)</f>
        <v>0</v>
      </c>
      <c r="Z16" s="4">
        <f t="shared" si="15"/>
        <v>0</v>
      </c>
      <c r="AA16" s="4">
        <f t="shared" si="15"/>
        <v>0</v>
      </c>
      <c r="AB16" s="4">
        <f t="shared" si="15"/>
        <v>0</v>
      </c>
      <c r="AC16" s="4">
        <f t="shared" si="15"/>
        <v>0</v>
      </c>
      <c r="AD16" s="4">
        <f t="shared" si="15"/>
        <v>0</v>
      </c>
      <c r="AE16" s="4" t="str">
        <f>'Form responses 1'!AN18</f>
        <v/>
      </c>
      <c r="AF16" s="4" t="str">
        <f>'Form responses 1'!AO18</f>
        <v/>
      </c>
      <c r="AG16" s="4" t="str">
        <f>'Form responses 1'!AP18</f>
        <v/>
      </c>
      <c r="AH16" s="4" t="str">
        <f>'Form responses 1'!AQ18</f>
        <v/>
      </c>
      <c r="AI16" s="4" t="str">
        <f>'Form responses 1'!AR18</f>
        <v/>
      </c>
    </row>
    <row r="17">
      <c r="A17" s="26">
        <f>'Form responses 1'!B19</f>
        <v>46058</v>
      </c>
      <c r="B17" s="4" t="str">
        <f>'Form responses 1'!AZ19</f>
        <v>greeshma.vanneldas@capsdelivery.com</v>
      </c>
      <c r="C17" s="4" t="str">
        <f>'Form responses 1'!BR19</f>
        <v>Rameshwaram cafe</v>
      </c>
      <c r="D17" s="4" t="str">
        <f>'Form responses 1'!AT19</f>
        <v/>
      </c>
      <c r="E17" s="4" t="str">
        <f>'Form responses 1'!AU19</f>
        <v>Yes</v>
      </c>
      <c r="F17" s="4" t="str">
        <f>'Form responses 1'!AX19</f>
        <v/>
      </c>
      <c r="G17" s="4" t="str">
        <f>'Form responses 1'!AY19</f>
        <v/>
      </c>
      <c r="H17" s="53" t="str">
        <f>'Form responses 1'!AW19</f>
        <v/>
      </c>
      <c r="I17" s="4" t="str">
        <f>'Form responses 1'!AS19</f>
        <v/>
      </c>
      <c r="J17" s="4" t="str">
        <f>'Form responses 1'!J19</f>
        <v>Tier-2 (AOV &lt;400)</v>
      </c>
      <c r="K17" s="4">
        <f>'Form responses 1'!G19</f>
        <v>1</v>
      </c>
      <c r="L17" s="4">
        <f>'Form responses 1'!F19</f>
        <v>80</v>
      </c>
      <c r="M17" s="4" t="str">
        <f>'Form responses 1'!U19</f>
        <v>no details</v>
      </c>
      <c r="N17" s="4" t="str">
        <f>'Form responses 1'!V19</f>
        <v>no details</v>
      </c>
      <c r="O17" s="4" t="str">
        <f>'Form responses 1'!W19</f>
        <v>no details</v>
      </c>
      <c r="P17" s="4" t="str">
        <f>'Form responses 1'!X19</f>
        <v/>
      </c>
      <c r="Q17" s="4" t="str">
        <f>'Form responses 1'!Y19</f>
        <v/>
      </c>
      <c r="R17" s="4" t="str">
        <f>'Form responses 1'!Z19</f>
        <v/>
      </c>
      <c r="S17" s="4" t="str">
        <f>'Form responses 1'!AC19</f>
        <v/>
      </c>
      <c r="T17" s="4" t="str">
        <f>'Form responses 1'!AE19</f>
        <v/>
      </c>
      <c r="U17" s="4" t="str">
        <f>'Form responses 1'!AG19</f>
        <v/>
      </c>
      <c r="V17" s="4" t="str">
        <f>'Form responses 1'!AI19</f>
        <v/>
      </c>
      <c r="W17" s="4" t="str">
        <f>'Form responses 1'!AJ19</f>
        <v/>
      </c>
      <c r="X17" s="4" t="str">
        <f>'Form responses 1'!AK19</f>
        <v/>
      </c>
      <c r="Y17" s="4">
        <f t="shared" ref="Y17:AD17" si="16">if(S17&gt;0,1,0)</f>
        <v>0</v>
      </c>
      <c r="Z17" s="4">
        <f t="shared" si="16"/>
        <v>0</v>
      </c>
      <c r="AA17" s="4">
        <f t="shared" si="16"/>
        <v>0</v>
      </c>
      <c r="AB17" s="4">
        <f t="shared" si="16"/>
        <v>0</v>
      </c>
      <c r="AC17" s="4">
        <f t="shared" si="16"/>
        <v>0</v>
      </c>
      <c r="AD17" s="4">
        <f t="shared" si="16"/>
        <v>0</v>
      </c>
      <c r="AE17" s="4" t="str">
        <f>'Form responses 1'!AN19</f>
        <v/>
      </c>
      <c r="AF17" s="4" t="str">
        <f>'Form responses 1'!AO19</f>
        <v/>
      </c>
      <c r="AG17" s="4" t="str">
        <f>'Form responses 1'!AP19</f>
        <v/>
      </c>
      <c r="AH17" s="4" t="str">
        <f>'Form responses 1'!AQ19</f>
        <v/>
      </c>
      <c r="AI17" s="4" t="str">
        <f>'Form responses 1'!AR19</f>
        <v/>
      </c>
    </row>
    <row r="18">
      <c r="A18" s="26">
        <f>'Form responses 1'!B20</f>
        <v>46058</v>
      </c>
      <c r="B18" s="4" t="str">
        <f>'Form responses 1'!AZ20</f>
        <v>greeshma.vanneldas@capsdelivery.com</v>
      </c>
      <c r="C18" s="4" t="str">
        <f>'Form responses 1'!BR20</f>
        <v>Hamara Adda</v>
      </c>
      <c r="D18" s="4" t="str">
        <f>'Form responses 1'!AT20</f>
        <v/>
      </c>
      <c r="E18" s="4" t="str">
        <f>'Form responses 1'!AU20</f>
        <v>Yes</v>
      </c>
      <c r="F18" s="4" t="str">
        <f>'Form responses 1'!AX20</f>
        <v/>
      </c>
      <c r="G18" s="4" t="str">
        <f>'Form responses 1'!AY20</f>
        <v/>
      </c>
      <c r="H18" s="53" t="str">
        <f>'Form responses 1'!AW20</f>
        <v/>
      </c>
      <c r="I18" s="4" t="str">
        <f>'Form responses 1'!AS20</f>
        <v/>
      </c>
      <c r="J18" s="4" t="str">
        <f>'Form responses 1'!J20</f>
        <v>Tier-1(AOV&gt;400)</v>
      </c>
      <c r="K18" s="4">
        <f>'Form responses 1'!G20</f>
        <v>1</v>
      </c>
      <c r="L18" s="4">
        <f>'Form responses 1'!F20</f>
        <v>30</v>
      </c>
      <c r="M18" s="4" t="str">
        <f>'Form responses 1'!U20</f>
        <v>owner</v>
      </c>
      <c r="N18" s="4">
        <f>'Form responses 1'!V20</f>
        <v>8712220229</v>
      </c>
      <c r="O18" s="4" t="str">
        <f>'Form responses 1'!W20</f>
        <v>didnt received</v>
      </c>
      <c r="P18" s="4" t="str">
        <f>'Form responses 1'!X20</f>
        <v/>
      </c>
      <c r="Q18" s="4" t="str">
        <f>'Form responses 1'!Y20</f>
        <v/>
      </c>
      <c r="R18" s="4" t="str">
        <f>'Form responses 1'!Z20</f>
        <v/>
      </c>
      <c r="S18" s="4" t="str">
        <f>'Form responses 1'!AC20</f>
        <v/>
      </c>
      <c r="T18" s="4" t="str">
        <f>'Form responses 1'!AE20</f>
        <v/>
      </c>
      <c r="U18" s="4" t="str">
        <f>'Form responses 1'!AG20</f>
        <v/>
      </c>
      <c r="V18" s="4" t="str">
        <f>'Form responses 1'!AI20</f>
        <v/>
      </c>
      <c r="W18" s="4" t="str">
        <f>'Form responses 1'!AJ20</f>
        <v/>
      </c>
      <c r="X18" s="4" t="str">
        <f>'Form responses 1'!AK20</f>
        <v/>
      </c>
      <c r="Y18" s="4">
        <f t="shared" ref="Y18:AD18" si="17">if(S18&gt;0,1,0)</f>
        <v>0</v>
      </c>
      <c r="Z18" s="4">
        <f t="shared" si="17"/>
        <v>0</v>
      </c>
      <c r="AA18" s="4">
        <f t="shared" si="17"/>
        <v>0</v>
      </c>
      <c r="AB18" s="4">
        <f t="shared" si="17"/>
        <v>0</v>
      </c>
      <c r="AC18" s="4">
        <f t="shared" si="17"/>
        <v>0</v>
      </c>
      <c r="AD18" s="4">
        <f t="shared" si="17"/>
        <v>0</v>
      </c>
      <c r="AE18" s="4" t="str">
        <f>'Form responses 1'!AN20</f>
        <v/>
      </c>
      <c r="AF18" s="4" t="str">
        <f>'Form responses 1'!AO20</f>
        <v/>
      </c>
      <c r="AG18" s="4" t="str">
        <f>'Form responses 1'!AP20</f>
        <v/>
      </c>
      <c r="AH18" s="4" t="str">
        <f>'Form responses 1'!AQ20</f>
        <v/>
      </c>
      <c r="AI18" s="4" t="str">
        <f>'Form responses 1'!AR20</f>
        <v/>
      </c>
    </row>
    <row r="19">
      <c r="A19" s="26">
        <f>'Form responses 1'!B21</f>
        <v>46058</v>
      </c>
      <c r="B19" s="4" t="str">
        <f>'Form responses 1'!AZ21</f>
        <v>greeshma.vanneldas@capsdelivery.com</v>
      </c>
      <c r="C19" s="4" t="str">
        <f>'Form responses 1'!BR21</f>
        <v>Delicia</v>
      </c>
      <c r="D19" s="4" t="str">
        <f>'Form responses 1'!AT21</f>
        <v/>
      </c>
      <c r="E19" s="4" t="str">
        <f>'Form responses 1'!AU21</f>
        <v>Yes</v>
      </c>
      <c r="F19" s="4" t="str">
        <f>'Form responses 1'!AX21</f>
        <v/>
      </c>
      <c r="G19" s="4" t="str">
        <f>'Form responses 1'!AY21</f>
        <v/>
      </c>
      <c r="H19" s="53" t="str">
        <f>'Form responses 1'!AW21</f>
        <v/>
      </c>
      <c r="I19" s="4" t="str">
        <f>'Form responses 1'!AS21</f>
        <v/>
      </c>
      <c r="J19" s="4" t="str">
        <f>'Form responses 1'!J21</f>
        <v/>
      </c>
      <c r="K19" s="4" t="str">
        <f>'Form responses 1'!G21</f>
        <v/>
      </c>
      <c r="L19" s="4" t="str">
        <f>'Form responses 1'!F21</f>
        <v/>
      </c>
      <c r="M19" s="4" t="str">
        <f>'Form responses 1'!U21</f>
        <v>Vishwa</v>
      </c>
      <c r="N19" s="4">
        <f>'Form responses 1'!V21</f>
        <v>8522886035</v>
      </c>
      <c r="O19" s="4" t="str">
        <f>'Form responses 1'!W21</f>
        <v>didnt provided</v>
      </c>
      <c r="P19" s="4" t="str">
        <f>'Form responses 1'!X21</f>
        <v/>
      </c>
      <c r="Q19" s="4" t="str">
        <f>'Form responses 1'!Y21</f>
        <v/>
      </c>
      <c r="R19" s="4" t="str">
        <f>'Form responses 1'!Z21</f>
        <v/>
      </c>
      <c r="S19" s="4" t="str">
        <f>'Form responses 1'!AC21</f>
        <v/>
      </c>
      <c r="T19" s="4" t="str">
        <f>'Form responses 1'!AE21</f>
        <v/>
      </c>
      <c r="U19" s="4" t="str">
        <f>'Form responses 1'!AG21</f>
        <v/>
      </c>
      <c r="V19" s="4" t="str">
        <f>'Form responses 1'!AI21</f>
        <v/>
      </c>
      <c r="W19" s="4" t="str">
        <f>'Form responses 1'!AJ21</f>
        <v/>
      </c>
      <c r="X19" s="4" t="str">
        <f>'Form responses 1'!AK21</f>
        <v/>
      </c>
      <c r="Y19" s="4">
        <f t="shared" ref="Y19:AD19" si="18">if(S19&gt;0,1,0)</f>
        <v>0</v>
      </c>
      <c r="Z19" s="4">
        <f t="shared" si="18"/>
        <v>0</v>
      </c>
      <c r="AA19" s="4">
        <f t="shared" si="18"/>
        <v>0</v>
      </c>
      <c r="AB19" s="4">
        <f t="shared" si="18"/>
        <v>0</v>
      </c>
      <c r="AC19" s="4">
        <f t="shared" si="18"/>
        <v>0</v>
      </c>
      <c r="AD19" s="4">
        <f t="shared" si="18"/>
        <v>0</v>
      </c>
      <c r="AE19" s="4" t="str">
        <f>'Form responses 1'!AN21</f>
        <v/>
      </c>
      <c r="AF19" s="4" t="str">
        <f>'Form responses 1'!AO21</f>
        <v/>
      </c>
      <c r="AG19" s="4" t="str">
        <f>'Form responses 1'!AP21</f>
        <v/>
      </c>
      <c r="AH19" s="4" t="str">
        <f>'Form responses 1'!AQ21</f>
        <v/>
      </c>
      <c r="AI19" s="4" t="str">
        <f>'Form responses 1'!AR21</f>
        <v/>
      </c>
    </row>
    <row r="20">
      <c r="A20" s="26">
        <f>'Form responses 1'!B22</f>
        <v>46058</v>
      </c>
      <c r="B20" s="4" t="str">
        <f>'Form responses 1'!AZ22</f>
        <v>greeshma.vanneldas@capsdelivery.com</v>
      </c>
      <c r="C20" s="4" t="str">
        <f>'Form responses 1'!BR22</f>
        <v>Palapitta Ruchulu</v>
      </c>
      <c r="D20" s="4" t="str">
        <f>'Form responses 1'!AT22</f>
        <v/>
      </c>
      <c r="E20" s="4" t="str">
        <f>'Form responses 1'!AU22</f>
        <v>Yes</v>
      </c>
      <c r="F20" s="4" t="str">
        <f>'Form responses 1'!AX22</f>
        <v/>
      </c>
      <c r="G20" s="4" t="str">
        <f>'Form responses 1'!AY22</f>
        <v/>
      </c>
      <c r="H20" s="53" t="str">
        <f>'Form responses 1'!AW22</f>
        <v/>
      </c>
      <c r="I20" s="4" t="str">
        <f>'Form responses 1'!AS22</f>
        <v/>
      </c>
      <c r="J20" s="4" t="str">
        <f>'Form responses 1'!J22</f>
        <v/>
      </c>
      <c r="K20" s="4" t="str">
        <f>'Form responses 1'!G22</f>
        <v/>
      </c>
      <c r="L20" s="4" t="str">
        <f>'Form responses 1'!F22</f>
        <v/>
      </c>
      <c r="M20" s="4" t="str">
        <f>'Form responses 1'!U22</f>
        <v>didnt mention</v>
      </c>
      <c r="N20" s="4">
        <f>'Form responses 1'!V22</f>
        <v>7032682089</v>
      </c>
      <c r="O20" s="4" t="str">
        <f>'Form responses 1'!W22</f>
        <v>didnt got mail</v>
      </c>
      <c r="P20" s="4" t="str">
        <f>'Form responses 1'!X22</f>
        <v/>
      </c>
      <c r="Q20" s="4" t="str">
        <f>'Form responses 1'!Y22</f>
        <v/>
      </c>
      <c r="R20" s="4" t="str">
        <f>'Form responses 1'!Z22</f>
        <v/>
      </c>
      <c r="S20" s="4" t="str">
        <f>'Form responses 1'!AC22</f>
        <v/>
      </c>
      <c r="T20" s="4" t="str">
        <f>'Form responses 1'!AE22</f>
        <v/>
      </c>
      <c r="U20" s="4" t="str">
        <f>'Form responses 1'!AG22</f>
        <v/>
      </c>
      <c r="V20" s="4" t="str">
        <f>'Form responses 1'!AI22</f>
        <v/>
      </c>
      <c r="W20" s="4" t="str">
        <f>'Form responses 1'!AJ22</f>
        <v/>
      </c>
      <c r="X20" s="4" t="str">
        <f>'Form responses 1'!AK22</f>
        <v/>
      </c>
      <c r="Y20" s="4">
        <f t="shared" ref="Y20:AD20" si="19">if(S20&gt;0,1,0)</f>
        <v>0</v>
      </c>
      <c r="Z20" s="4">
        <f t="shared" si="19"/>
        <v>0</v>
      </c>
      <c r="AA20" s="4">
        <f t="shared" si="19"/>
        <v>0</v>
      </c>
      <c r="AB20" s="4">
        <f t="shared" si="19"/>
        <v>0</v>
      </c>
      <c r="AC20" s="4">
        <f t="shared" si="19"/>
        <v>0</v>
      </c>
      <c r="AD20" s="4">
        <f t="shared" si="19"/>
        <v>0</v>
      </c>
      <c r="AE20" s="4" t="str">
        <f>'Form responses 1'!AN22</f>
        <v/>
      </c>
      <c r="AF20" s="4" t="str">
        <f>'Form responses 1'!AO22</f>
        <v/>
      </c>
      <c r="AG20" s="4" t="str">
        <f>'Form responses 1'!AP22</f>
        <v/>
      </c>
      <c r="AH20" s="4" t="str">
        <f>'Form responses 1'!AQ22</f>
        <v/>
      </c>
      <c r="AI20" s="4" t="str">
        <f>'Form responses 1'!AR22</f>
        <v/>
      </c>
    </row>
    <row r="21">
      <c r="A21" s="26">
        <f>'Form responses 1'!B23</f>
        <v>46058</v>
      </c>
      <c r="B21" s="4" t="str">
        <f>'Form responses 1'!AZ23</f>
        <v>moin.khan@capsdelivery.com</v>
      </c>
      <c r="C21" s="4" t="str">
        <f>'Form responses 1'!BR23</f>
        <v>lucky restaurant </v>
      </c>
      <c r="D21" s="4" t="str">
        <f>'Form responses 1'!AT23</f>
        <v/>
      </c>
      <c r="E21" s="4" t="str">
        <f>'Form responses 1'!AU23</f>
        <v>Yes</v>
      </c>
      <c r="F21" s="26">
        <f>'Form responses 1'!AX23</f>
        <v>46059</v>
      </c>
      <c r="G21" s="52">
        <f>'Form responses 1'!AY23</f>
        <v>0.625</v>
      </c>
      <c r="H21" s="53" t="str">
        <f>'Form responses 1'!AW23</f>
        <v/>
      </c>
      <c r="I21" s="4" t="str">
        <f>'Form responses 1'!AS23</f>
        <v/>
      </c>
      <c r="J21" s="4" t="str">
        <f>'Form responses 1'!J23</f>
        <v/>
      </c>
      <c r="K21" s="4" t="str">
        <f>'Form responses 1'!G23</f>
        <v/>
      </c>
      <c r="L21" s="4" t="str">
        <f>'Form responses 1'!F23</f>
        <v/>
      </c>
      <c r="M21" s="4" t="str">
        <f>'Form responses 1'!U23</f>
        <v>khasim </v>
      </c>
      <c r="N21" s="4">
        <f>'Form responses 1'!V23</f>
        <v>9849108337</v>
      </c>
      <c r="O21" s="4" t="str">
        <f>'Form responses 1'!W23</f>
        <v>na</v>
      </c>
      <c r="P21" s="4" t="str">
        <f>'Form responses 1'!X23</f>
        <v/>
      </c>
      <c r="Q21" s="4" t="str">
        <f>'Form responses 1'!Y23</f>
        <v/>
      </c>
      <c r="R21" s="4" t="str">
        <f>'Form responses 1'!Z23</f>
        <v/>
      </c>
      <c r="S21" s="4" t="str">
        <f>'Form responses 1'!AC23</f>
        <v/>
      </c>
      <c r="T21" s="4" t="str">
        <f>'Form responses 1'!AE23</f>
        <v/>
      </c>
      <c r="U21" s="4" t="str">
        <f>'Form responses 1'!AG23</f>
        <v/>
      </c>
      <c r="V21" s="4" t="str">
        <f>'Form responses 1'!AI23</f>
        <v/>
      </c>
      <c r="W21" s="4" t="str">
        <f>'Form responses 1'!AJ23</f>
        <v/>
      </c>
      <c r="X21" s="4" t="str">
        <f>'Form responses 1'!AK23</f>
        <v/>
      </c>
      <c r="Y21" s="4">
        <f t="shared" ref="Y21:AD21" si="20">if(S21&gt;0,1,0)</f>
        <v>0</v>
      </c>
      <c r="Z21" s="4">
        <f t="shared" si="20"/>
        <v>0</v>
      </c>
      <c r="AA21" s="4">
        <f t="shared" si="20"/>
        <v>0</v>
      </c>
      <c r="AB21" s="4">
        <f t="shared" si="20"/>
        <v>0</v>
      </c>
      <c r="AC21" s="4">
        <f t="shared" si="20"/>
        <v>0</v>
      </c>
      <c r="AD21" s="4">
        <f t="shared" si="20"/>
        <v>0</v>
      </c>
      <c r="AE21" s="4" t="str">
        <f>'Form responses 1'!AN23</f>
        <v/>
      </c>
      <c r="AF21" s="4" t="str">
        <f>'Form responses 1'!AO23</f>
        <v/>
      </c>
      <c r="AG21" s="4" t="str">
        <f>'Form responses 1'!AP23</f>
        <v/>
      </c>
      <c r="AH21" s="4" t="str">
        <f>'Form responses 1'!AQ23</f>
        <v/>
      </c>
      <c r="AI21" s="4" t="str">
        <f>'Form responses 1'!AR23</f>
        <v/>
      </c>
    </row>
    <row r="22">
      <c r="A22" s="26">
        <f>'Form responses 1'!B24</f>
        <v>46058</v>
      </c>
      <c r="B22" s="4" t="str">
        <f>'Form responses 1'!AZ24</f>
        <v>chanakya.inugala@capsdelivery.com</v>
      </c>
      <c r="C22" s="4" t="str">
        <f>'Form responses 1'!BR24</f>
        <v>kiss me mandi</v>
      </c>
      <c r="D22" s="4" t="str">
        <f>'Form responses 1'!AT24</f>
        <v/>
      </c>
      <c r="E22" s="4" t="str">
        <f>'Form responses 1'!AU24</f>
        <v>Yes</v>
      </c>
      <c r="F22" s="26">
        <f>'Form responses 1'!AX24</f>
        <v>46059</v>
      </c>
      <c r="G22" s="52">
        <f>'Form responses 1'!AY24</f>
        <v>0.5833333333</v>
      </c>
      <c r="H22" s="53" t="str">
        <f>'Form responses 1'!AW24</f>
        <v>NA</v>
      </c>
      <c r="I22" s="4" t="str">
        <f>'Form responses 1'!AS24</f>
        <v/>
      </c>
      <c r="J22" s="4" t="str">
        <f>'Form responses 1'!J24</f>
        <v>Tier-3 ( AOV&lt;200 )</v>
      </c>
      <c r="K22" s="4">
        <f>'Form responses 1'!G24</f>
        <v>300</v>
      </c>
      <c r="L22" s="4">
        <f>'Form responses 1'!F24</f>
        <v>50</v>
      </c>
      <c r="M22" s="4" t="str">
        <f>'Form responses 1'!U24</f>
        <v>syed Aman</v>
      </c>
      <c r="N22" s="4">
        <f>'Form responses 1'!V24</f>
        <v>9866174396</v>
      </c>
      <c r="O22" s="4" t="str">
        <f>'Form responses 1'!W24</f>
        <v>NA</v>
      </c>
      <c r="P22" s="4" t="str">
        <f>'Form responses 1'!X24</f>
        <v/>
      </c>
      <c r="Q22" s="4" t="str">
        <f>'Form responses 1'!Y24</f>
        <v/>
      </c>
      <c r="R22" s="4" t="str">
        <f>'Form responses 1'!Z24</f>
        <v/>
      </c>
      <c r="S22" s="4" t="str">
        <f>'Form responses 1'!AC24</f>
        <v/>
      </c>
      <c r="T22" s="4" t="str">
        <f>'Form responses 1'!AE24</f>
        <v/>
      </c>
      <c r="U22" s="4" t="str">
        <f>'Form responses 1'!AG24</f>
        <v/>
      </c>
      <c r="V22" s="4" t="str">
        <f>'Form responses 1'!AI24</f>
        <v/>
      </c>
      <c r="W22" s="4" t="str">
        <f>'Form responses 1'!AJ24</f>
        <v/>
      </c>
      <c r="X22" s="4" t="str">
        <f>'Form responses 1'!AK24</f>
        <v/>
      </c>
      <c r="Y22" s="4">
        <f t="shared" ref="Y22:AD22" si="21">if(S22&gt;0,1,0)</f>
        <v>0</v>
      </c>
      <c r="Z22" s="4">
        <f t="shared" si="21"/>
        <v>0</v>
      </c>
      <c r="AA22" s="4">
        <f t="shared" si="21"/>
        <v>0</v>
      </c>
      <c r="AB22" s="4">
        <f t="shared" si="21"/>
        <v>0</v>
      </c>
      <c r="AC22" s="4">
        <f t="shared" si="21"/>
        <v>0</v>
      </c>
      <c r="AD22" s="4">
        <f t="shared" si="21"/>
        <v>0</v>
      </c>
      <c r="AE22" s="4" t="str">
        <f>'Form responses 1'!AN24</f>
        <v/>
      </c>
      <c r="AF22" s="4" t="str">
        <f>'Form responses 1'!AO24</f>
        <v/>
      </c>
      <c r="AG22" s="4" t="str">
        <f>'Form responses 1'!AP24</f>
        <v/>
      </c>
      <c r="AH22" s="4" t="str">
        <f>'Form responses 1'!AQ24</f>
        <v/>
      </c>
      <c r="AI22" s="4" t="str">
        <f>'Form responses 1'!AR24</f>
        <v/>
      </c>
    </row>
    <row r="23">
      <c r="A23" s="26">
        <f>'Form responses 1'!B25</f>
        <v>46058</v>
      </c>
      <c r="B23" s="4" t="str">
        <f>'Form responses 1'!AZ25</f>
        <v>chanakya.inugala@capsdelivery.com</v>
      </c>
      <c r="C23" s="4" t="str">
        <f>'Form responses 1'!BR25</f>
        <v>Girl Friend Mandi</v>
      </c>
      <c r="D23" s="4" t="str">
        <f>'Form responses 1'!AT25</f>
        <v/>
      </c>
      <c r="E23" s="4" t="str">
        <f>'Form responses 1'!AU25</f>
        <v>Yes</v>
      </c>
      <c r="F23" s="26">
        <f>'Form responses 1'!AX25</f>
        <v>46062</v>
      </c>
      <c r="G23" s="52">
        <f>'Form responses 1'!AY25</f>
        <v>0.5416666667</v>
      </c>
      <c r="H23" s="53" t="str">
        <f>'Form responses 1'!AW25</f>
        <v/>
      </c>
      <c r="I23" s="4" t="str">
        <f>'Form responses 1'!AS25</f>
        <v/>
      </c>
      <c r="J23" s="4" t="str">
        <f>'Form responses 1'!J25</f>
        <v>Tier-3 ( AOV&lt;200 )</v>
      </c>
      <c r="K23" s="4">
        <f>'Form responses 1'!G25</f>
        <v>300</v>
      </c>
      <c r="L23" s="4">
        <f>'Form responses 1'!F25</f>
        <v>40</v>
      </c>
      <c r="M23" s="4" t="str">
        <f>'Form responses 1'!U25</f>
        <v>shiek Nazeer</v>
      </c>
      <c r="N23" s="4">
        <f>'Form responses 1'!V25</f>
        <v>8886904546</v>
      </c>
      <c r="O23" s="4" t="str">
        <f>'Form responses 1'!W25</f>
        <v>na</v>
      </c>
      <c r="P23" s="4" t="str">
        <f>'Form responses 1'!X25</f>
        <v/>
      </c>
      <c r="Q23" s="4" t="str">
        <f>'Form responses 1'!Y25</f>
        <v/>
      </c>
      <c r="R23" s="4" t="str">
        <f>'Form responses 1'!Z25</f>
        <v/>
      </c>
      <c r="S23" s="4" t="str">
        <f>'Form responses 1'!AC25</f>
        <v/>
      </c>
      <c r="T23" s="4" t="str">
        <f>'Form responses 1'!AE25</f>
        <v/>
      </c>
      <c r="U23" s="4" t="str">
        <f>'Form responses 1'!AG25</f>
        <v/>
      </c>
      <c r="V23" s="4" t="str">
        <f>'Form responses 1'!AI25</f>
        <v/>
      </c>
      <c r="W23" s="4" t="str">
        <f>'Form responses 1'!AJ25</f>
        <v/>
      </c>
      <c r="X23" s="4" t="str">
        <f>'Form responses 1'!AK25</f>
        <v/>
      </c>
      <c r="Y23" s="4">
        <f t="shared" ref="Y23:AD23" si="22">if(S23&gt;0,1,0)</f>
        <v>0</v>
      </c>
      <c r="Z23" s="4">
        <f t="shared" si="22"/>
        <v>0</v>
      </c>
      <c r="AA23" s="4">
        <f t="shared" si="22"/>
        <v>0</v>
      </c>
      <c r="AB23" s="4">
        <f t="shared" si="22"/>
        <v>0</v>
      </c>
      <c r="AC23" s="4">
        <f t="shared" si="22"/>
        <v>0</v>
      </c>
      <c r="AD23" s="4">
        <f t="shared" si="22"/>
        <v>0</v>
      </c>
      <c r="AE23" s="4" t="str">
        <f>'Form responses 1'!AN25</f>
        <v/>
      </c>
      <c r="AF23" s="4" t="str">
        <f>'Form responses 1'!AO25</f>
        <v/>
      </c>
      <c r="AG23" s="4" t="str">
        <f>'Form responses 1'!AP25</f>
        <v/>
      </c>
      <c r="AH23" s="4" t="str">
        <f>'Form responses 1'!AQ25</f>
        <v/>
      </c>
      <c r="AI23" s="4" t="str">
        <f>'Form responses 1'!AR25</f>
        <v/>
      </c>
    </row>
    <row r="24">
      <c r="A24" s="26">
        <f>'Form responses 1'!B26</f>
        <v>46057</v>
      </c>
      <c r="B24" s="4" t="str">
        <f>'Form responses 1'!AZ26</f>
        <v>ankitha.baske@capsdelivery.com</v>
      </c>
      <c r="C24" s="4" t="str">
        <f>'Form responses 1'!BR26</f>
        <v>Shree Balaji Tiffin Center</v>
      </c>
      <c r="D24" s="4" t="str">
        <f>'Form responses 1'!AT26</f>
        <v>Onboarding is Done</v>
      </c>
      <c r="E24" s="4" t="str">
        <f>'Form responses 1'!AU26</f>
        <v>No</v>
      </c>
      <c r="F24" s="4" t="str">
        <f>'Form responses 1'!AX26</f>
        <v/>
      </c>
      <c r="G24" s="4" t="str">
        <f>'Form responses 1'!AY26</f>
        <v/>
      </c>
      <c r="H24" s="53" t="str">
        <f>'Form responses 1'!AW26</f>
        <v/>
      </c>
      <c r="I24" s="4" t="str">
        <f>'Form responses 1'!AS26</f>
        <v>Yes</v>
      </c>
      <c r="J24" s="4" t="str">
        <f>'Form responses 1'!J26</f>
        <v>Tier-3 ( AOV&lt;200 )</v>
      </c>
      <c r="K24" s="4">
        <f>'Form responses 1'!G26</f>
        <v>90</v>
      </c>
      <c r="L24" s="4">
        <f>'Form responses 1'!F26</f>
        <v>60</v>
      </c>
      <c r="M24" s="4" t="str">
        <f>'Form responses 1'!U26</f>
        <v>B.Raja Yeshwanth Kumar</v>
      </c>
      <c r="N24" s="4">
        <f>'Form responses 1'!V26</f>
        <v>9705812524</v>
      </c>
      <c r="O24" s="4" t="str">
        <f>'Form responses 1'!W26</f>
        <v>NA</v>
      </c>
      <c r="P24" s="4" t="str">
        <f>'Form responses 1'!X26</f>
        <v/>
      </c>
      <c r="Q24" s="4" t="str">
        <f>'Form responses 1'!Y26</f>
        <v/>
      </c>
      <c r="R24" s="4" t="str">
        <f>'Form responses 1'!Z26</f>
        <v/>
      </c>
      <c r="S24" s="54" t="str">
        <f>'Form responses 1'!AC26</f>
        <v>https://drive.google.com/open?id=1FDLfrP2vE0w4X7UHEaSFNcpu27KdfG4j</v>
      </c>
      <c r="T24" s="4" t="str">
        <f>'Form responses 1'!AE26</f>
        <v/>
      </c>
      <c r="U24" s="54" t="str">
        <f>'Form responses 1'!AG26</f>
        <v>https://drive.google.com/open?id=1-S0Ms1yARTteTRwzAtfYIosgIvtAoKrD</v>
      </c>
      <c r="V24" s="4" t="str">
        <f>'Form responses 1'!AI26</f>
        <v/>
      </c>
      <c r="W24" s="4" t="str">
        <f>'Form responses 1'!AJ26</f>
        <v/>
      </c>
      <c r="X24" s="4" t="str">
        <f>'Form responses 1'!AK26</f>
        <v/>
      </c>
      <c r="Y24" s="4">
        <f t="shared" ref="Y24:AD24" si="23">if(S24&gt;0,1,0)</f>
        <v>1</v>
      </c>
      <c r="Z24" s="4">
        <f t="shared" si="23"/>
        <v>0</v>
      </c>
      <c r="AA24" s="4">
        <f t="shared" si="23"/>
        <v>1</v>
      </c>
      <c r="AB24" s="4">
        <f t="shared" si="23"/>
        <v>0</v>
      </c>
      <c r="AC24" s="4">
        <f t="shared" si="23"/>
        <v>0</v>
      </c>
      <c r="AD24" s="4">
        <f t="shared" si="23"/>
        <v>0</v>
      </c>
      <c r="AE24" s="4" t="str">
        <f>'Form responses 1'!AN26</f>
        <v/>
      </c>
      <c r="AF24" s="4" t="str">
        <f>'Form responses 1'!AO26</f>
        <v>B RAJA YESHWANTH KUMAR</v>
      </c>
      <c r="AG24" s="4">
        <f>'Form responses 1'!AP26</f>
        <v>9705812524</v>
      </c>
      <c r="AH24" s="4" t="str">
        <f>'Form responses 1'!AQ26</f>
        <v/>
      </c>
      <c r="AI24" s="4" t="str">
        <f>'Form responses 1'!AR26</f>
        <v>SHREE BALAJI TIFFIN CENTER</v>
      </c>
    </row>
    <row r="25">
      <c r="A25" s="26">
        <f>'Form responses 1'!B27</f>
        <v>46058</v>
      </c>
      <c r="B25" s="4" t="str">
        <f>'Form responses 1'!AZ27</f>
        <v>chanakya.inugala@capsdelivery.com</v>
      </c>
      <c r="C25" s="4" t="str">
        <f>'Form responses 1'!BR27</f>
        <v>President Dhaba</v>
      </c>
      <c r="D25" s="4" t="str">
        <f>'Form responses 1'!AT27</f>
        <v/>
      </c>
      <c r="E25" s="4" t="str">
        <f>'Form responses 1'!AU27</f>
        <v>Yes</v>
      </c>
      <c r="F25" s="26">
        <f>'Form responses 1'!AX27</f>
        <v>46062</v>
      </c>
      <c r="G25" s="52">
        <f>'Form responses 1'!AY27</f>
        <v>0.625</v>
      </c>
      <c r="H25" s="53" t="str">
        <f>'Form responses 1'!AW27</f>
        <v/>
      </c>
      <c r="I25" s="4" t="str">
        <f>'Form responses 1'!AS27</f>
        <v/>
      </c>
      <c r="J25" s="4" t="str">
        <f>'Form responses 1'!J27</f>
        <v>Tier-2 (AOV &lt;400)</v>
      </c>
      <c r="K25" s="4">
        <f>'Form responses 1'!G27</f>
        <v>250</v>
      </c>
      <c r="L25" s="4">
        <f>'Form responses 1'!F27</f>
        <v>50</v>
      </c>
      <c r="M25" s="4" t="str">
        <f>'Form responses 1'!U27</f>
        <v>Nikhil</v>
      </c>
      <c r="N25" s="4">
        <f>'Form responses 1'!V27</f>
        <v>7799956667</v>
      </c>
      <c r="O25" s="4" t="str">
        <f>'Form responses 1'!W27</f>
        <v>na</v>
      </c>
      <c r="P25" s="4" t="str">
        <f>'Form responses 1'!X27</f>
        <v/>
      </c>
      <c r="Q25" s="4" t="str">
        <f>'Form responses 1'!Y27</f>
        <v/>
      </c>
      <c r="R25" s="4" t="str">
        <f>'Form responses 1'!Z27</f>
        <v/>
      </c>
      <c r="S25" s="4" t="str">
        <f>'Form responses 1'!AC27</f>
        <v/>
      </c>
      <c r="T25" s="4" t="str">
        <f>'Form responses 1'!AE27</f>
        <v/>
      </c>
      <c r="U25" s="4" t="str">
        <f>'Form responses 1'!AG27</f>
        <v/>
      </c>
      <c r="V25" s="4" t="str">
        <f>'Form responses 1'!AI27</f>
        <v/>
      </c>
      <c r="W25" s="4" t="str">
        <f>'Form responses 1'!AJ27</f>
        <v/>
      </c>
      <c r="X25" s="4" t="str">
        <f>'Form responses 1'!AK27</f>
        <v/>
      </c>
      <c r="Y25" s="4">
        <f t="shared" ref="Y25:AD25" si="24">if(S25&gt;0,1,0)</f>
        <v>0</v>
      </c>
      <c r="Z25" s="4">
        <f t="shared" si="24"/>
        <v>0</v>
      </c>
      <c r="AA25" s="4">
        <f t="shared" si="24"/>
        <v>0</v>
      </c>
      <c r="AB25" s="4">
        <f t="shared" si="24"/>
        <v>0</v>
      </c>
      <c r="AC25" s="4">
        <f t="shared" si="24"/>
        <v>0</v>
      </c>
      <c r="AD25" s="4">
        <f t="shared" si="24"/>
        <v>0</v>
      </c>
      <c r="AE25" s="4" t="str">
        <f>'Form responses 1'!AN27</f>
        <v/>
      </c>
      <c r="AF25" s="4" t="str">
        <f>'Form responses 1'!AO27</f>
        <v/>
      </c>
      <c r="AG25" s="4" t="str">
        <f>'Form responses 1'!AP27</f>
        <v/>
      </c>
      <c r="AH25" s="4" t="str">
        <f>'Form responses 1'!AQ27</f>
        <v/>
      </c>
      <c r="AI25" s="4" t="str">
        <f>'Form responses 1'!AR27</f>
        <v/>
      </c>
    </row>
    <row r="26">
      <c r="A26" s="26">
        <f>'Form responses 1'!B28</f>
        <v>46058</v>
      </c>
      <c r="B26" s="4" t="str">
        <f>'Form responses 1'!AZ28</f>
        <v>moin.khan@capsdelivery.com</v>
      </c>
      <c r="C26" s="4" t="str">
        <f>'Form responses 1'!BR28</f>
        <v> lucky multicusine restaurant </v>
      </c>
      <c r="D26" s="4" t="str">
        <f>'Form responses 1'!AT28</f>
        <v>ONBOARDED</v>
      </c>
      <c r="E26" s="4" t="str">
        <f>'Form responses 1'!AU28</f>
        <v>No</v>
      </c>
      <c r="F26" s="4" t="str">
        <f>'Form responses 1'!AX28</f>
        <v/>
      </c>
      <c r="G26" s="4" t="str">
        <f>'Form responses 1'!AY28</f>
        <v/>
      </c>
      <c r="H26" s="53" t="str">
        <f>'Form responses 1'!AW28</f>
        <v/>
      </c>
      <c r="I26" s="4" t="str">
        <f>'Form responses 1'!AS28</f>
        <v>Yes</v>
      </c>
      <c r="J26" s="4" t="str">
        <f>'Form responses 1'!J28</f>
        <v>Tier-2 (AOV &lt;400)</v>
      </c>
      <c r="K26" s="4">
        <f>'Form responses 1'!G28</f>
        <v>300</v>
      </c>
      <c r="L26" s="4">
        <f>'Form responses 1'!F28</f>
        <v>200</v>
      </c>
      <c r="M26" s="4" t="str">
        <f>'Form responses 1'!U28</f>
        <v>Mansoor</v>
      </c>
      <c r="N26" s="4">
        <f>'Form responses 1'!V28</f>
        <v>9676213874</v>
      </c>
      <c r="O26" s="4" t="str">
        <f>'Form responses 1'!W28</f>
        <v>ya6822534@gmail.com</v>
      </c>
      <c r="P26" s="4" t="str">
        <f>'Form responses 1'!X28</f>
        <v/>
      </c>
      <c r="Q26" s="4" t="str">
        <f>'Form responses 1'!Y28</f>
        <v/>
      </c>
      <c r="R26" s="4" t="str">
        <f>'Form responses 1'!Z28</f>
        <v/>
      </c>
      <c r="S26" s="54" t="str">
        <f>'Form responses 1'!AC28</f>
        <v>https://drive.google.com/open?id=1M7jn0BGrwdxzFH55n7AA8m6MyWVZRx1z</v>
      </c>
      <c r="T26" s="54" t="str">
        <f>'Form responses 1'!AE28</f>
        <v>https://drive.google.com/open?id=19lSB9R9cl_cCitMQsEsLggwyE9tp94F1</v>
      </c>
      <c r="U26" s="54" t="str">
        <f>'Form responses 1'!AG28</f>
        <v>https://drive.google.com/open?id=1NsZ5WcHnZIPbzaY8z4g91aZM_fe2ibN8</v>
      </c>
      <c r="V26" s="4" t="str">
        <f>'Form responses 1'!AI28</f>
        <v/>
      </c>
      <c r="W26" s="4" t="str">
        <f>'Form responses 1'!AJ28</f>
        <v/>
      </c>
      <c r="X26" s="4" t="str">
        <f>'Form responses 1'!AK28</f>
        <v/>
      </c>
      <c r="Y26" s="4">
        <f t="shared" ref="Y26:AD26" si="25">if(S26&gt;0,1,0)</f>
        <v>1</v>
      </c>
      <c r="Z26" s="4">
        <f t="shared" si="25"/>
        <v>1</v>
      </c>
      <c r="AA26" s="4">
        <f t="shared" si="25"/>
        <v>1</v>
      </c>
      <c r="AB26" s="4">
        <f t="shared" si="25"/>
        <v>0</v>
      </c>
      <c r="AC26" s="4">
        <f t="shared" si="25"/>
        <v>0</v>
      </c>
      <c r="AD26" s="4">
        <f t="shared" si="25"/>
        <v>0</v>
      </c>
      <c r="AE26" s="4" t="str">
        <f>'Form responses 1'!AN28</f>
        <v>LUCKY MULTI CUISINE RESTAURANT</v>
      </c>
      <c r="AF26" s="4" t="str">
        <f>'Form responses 1'!AO28</f>
        <v>MANSOOR</v>
      </c>
      <c r="AG26" s="4">
        <f>'Form responses 1'!AP28</f>
        <v>9676213874</v>
      </c>
      <c r="AH26" s="4" t="str">
        <f>'Form responses 1'!AQ28</f>
        <v>ya6822534@gmail.com</v>
      </c>
      <c r="AI26" s="4" t="str">
        <f>'Form responses 1'!AR28</f>
        <v>LUCKY MULTI CUISINE RESTAURANT</v>
      </c>
    </row>
    <row r="27">
      <c r="A27" s="26">
        <f>'Form responses 1'!B29</f>
        <v>46058</v>
      </c>
      <c r="B27" s="4" t="str">
        <f>'Form responses 1'!AZ29</f>
        <v>moin.khan@capsdelivery.com</v>
      </c>
      <c r="C27" s="4" t="str">
        <f>'Form responses 1'!BR29</f>
        <v>godavari restaurant </v>
      </c>
      <c r="D27" s="4" t="str">
        <f>'Form responses 1'!AT29</f>
        <v/>
      </c>
      <c r="E27" s="4" t="str">
        <f>'Form responses 1'!AU29</f>
        <v>Yes</v>
      </c>
      <c r="F27" s="26">
        <f>'Form responses 1'!AX29</f>
        <v>46059</v>
      </c>
      <c r="G27" s="52">
        <f>'Form responses 1'!AY29</f>
        <v>0.5416666667</v>
      </c>
      <c r="H27" s="53" t="str">
        <f>'Form responses 1'!AW29</f>
        <v/>
      </c>
      <c r="I27" s="4" t="str">
        <f>'Form responses 1'!AS29</f>
        <v/>
      </c>
      <c r="J27" s="4" t="str">
        <f>'Form responses 1'!J29</f>
        <v/>
      </c>
      <c r="K27" s="4" t="str">
        <f>'Form responses 1'!G29</f>
        <v/>
      </c>
      <c r="L27" s="4" t="str">
        <f>'Form responses 1'!F29</f>
        <v/>
      </c>
      <c r="M27" s="4" t="str">
        <f>'Form responses 1'!U29</f>
        <v>satya</v>
      </c>
      <c r="N27" s="4">
        <f>'Form responses 1'!V29</f>
        <v>9553119997</v>
      </c>
      <c r="O27" s="4" t="str">
        <f>'Form responses 1'!W29</f>
        <v>na</v>
      </c>
      <c r="P27" s="4" t="str">
        <f>'Form responses 1'!X29</f>
        <v/>
      </c>
      <c r="Q27" s="4" t="str">
        <f>'Form responses 1'!Y29</f>
        <v/>
      </c>
      <c r="R27" s="4" t="str">
        <f>'Form responses 1'!Z29</f>
        <v/>
      </c>
      <c r="S27" s="4" t="str">
        <f>'Form responses 1'!AC29</f>
        <v/>
      </c>
      <c r="T27" s="4" t="str">
        <f>'Form responses 1'!AE29</f>
        <v/>
      </c>
      <c r="U27" s="4" t="str">
        <f>'Form responses 1'!AG29</f>
        <v/>
      </c>
      <c r="V27" s="4" t="str">
        <f>'Form responses 1'!AI29</f>
        <v/>
      </c>
      <c r="W27" s="4" t="str">
        <f>'Form responses 1'!AJ29</f>
        <v/>
      </c>
      <c r="X27" s="4" t="str">
        <f>'Form responses 1'!AK29</f>
        <v/>
      </c>
      <c r="Y27" s="4">
        <f t="shared" ref="Y27:AD27" si="26">if(S27&gt;0,1,0)</f>
        <v>0</v>
      </c>
      <c r="Z27" s="4">
        <f t="shared" si="26"/>
        <v>0</v>
      </c>
      <c r="AA27" s="4">
        <f t="shared" si="26"/>
        <v>0</v>
      </c>
      <c r="AB27" s="4">
        <f t="shared" si="26"/>
        <v>0</v>
      </c>
      <c r="AC27" s="4">
        <f t="shared" si="26"/>
        <v>0</v>
      </c>
      <c r="AD27" s="4">
        <f t="shared" si="26"/>
        <v>0</v>
      </c>
      <c r="AE27" s="4" t="str">
        <f>'Form responses 1'!AN29</f>
        <v/>
      </c>
      <c r="AF27" s="4" t="str">
        <f>'Form responses 1'!AO29</f>
        <v/>
      </c>
      <c r="AG27" s="4" t="str">
        <f>'Form responses 1'!AP29</f>
        <v/>
      </c>
      <c r="AH27" s="4" t="str">
        <f>'Form responses 1'!AQ29</f>
        <v/>
      </c>
      <c r="AI27" s="4" t="str">
        <f>'Form responses 1'!AR29</f>
        <v/>
      </c>
    </row>
    <row r="28">
      <c r="A28" s="26">
        <f>'Form responses 1'!B30</f>
        <v>46058</v>
      </c>
      <c r="B28" s="4" t="str">
        <f>'Form responses 1'!AZ30</f>
        <v>moin.khan@capsdelivery.com</v>
      </c>
      <c r="C28" s="4" t="str">
        <f>'Form responses 1'!BR30</f>
        <v>frozen bottles </v>
      </c>
      <c r="D28" s="4" t="str">
        <f>'Form responses 1'!AT30</f>
        <v/>
      </c>
      <c r="E28" s="4" t="str">
        <f>'Form responses 1'!AU30</f>
        <v>Yes</v>
      </c>
      <c r="F28" s="26">
        <f>'Form responses 1'!AX30</f>
        <v>46059</v>
      </c>
      <c r="G28" s="52">
        <f>'Form responses 1'!AY30</f>
        <v>0.5833333333</v>
      </c>
      <c r="H28" s="53" t="str">
        <f>'Form responses 1'!AW30</f>
        <v>interface about the AAP</v>
      </c>
      <c r="I28" s="4" t="str">
        <f>'Form responses 1'!AS30</f>
        <v/>
      </c>
      <c r="J28" s="4" t="str">
        <f>'Form responses 1'!J30</f>
        <v/>
      </c>
      <c r="K28" s="4" t="str">
        <f>'Form responses 1'!G30</f>
        <v/>
      </c>
      <c r="L28" s="4" t="str">
        <f>'Form responses 1'!F30</f>
        <v/>
      </c>
      <c r="M28" s="4" t="str">
        <f>'Form responses 1'!U30</f>
        <v>bhanu</v>
      </c>
      <c r="N28" s="4">
        <f>'Form responses 1'!V30</f>
        <v>8309230685</v>
      </c>
      <c r="O28" s="4" t="str">
        <f>'Form responses 1'!W30</f>
        <v>na</v>
      </c>
      <c r="P28" s="4" t="str">
        <f>'Form responses 1'!X30</f>
        <v/>
      </c>
      <c r="Q28" s="4" t="str">
        <f>'Form responses 1'!Y30</f>
        <v/>
      </c>
      <c r="R28" s="4" t="str">
        <f>'Form responses 1'!Z30</f>
        <v/>
      </c>
      <c r="S28" s="4" t="str">
        <f>'Form responses 1'!AC30</f>
        <v/>
      </c>
      <c r="T28" s="4" t="str">
        <f>'Form responses 1'!AE30</f>
        <v/>
      </c>
      <c r="U28" s="4" t="str">
        <f>'Form responses 1'!AG30</f>
        <v/>
      </c>
      <c r="V28" s="4" t="str">
        <f>'Form responses 1'!AI30</f>
        <v/>
      </c>
      <c r="W28" s="4" t="str">
        <f>'Form responses 1'!AJ30</f>
        <v/>
      </c>
      <c r="X28" s="4" t="str">
        <f>'Form responses 1'!AK30</f>
        <v/>
      </c>
      <c r="Y28" s="4">
        <f t="shared" ref="Y28:AD28" si="27">if(S28&gt;0,1,0)</f>
        <v>0</v>
      </c>
      <c r="Z28" s="4">
        <f t="shared" si="27"/>
        <v>0</v>
      </c>
      <c r="AA28" s="4">
        <f t="shared" si="27"/>
        <v>0</v>
      </c>
      <c r="AB28" s="4">
        <f t="shared" si="27"/>
        <v>0</v>
      </c>
      <c r="AC28" s="4">
        <f t="shared" si="27"/>
        <v>0</v>
      </c>
      <c r="AD28" s="4">
        <f t="shared" si="27"/>
        <v>0</v>
      </c>
      <c r="AE28" s="4" t="str">
        <f>'Form responses 1'!AN30</f>
        <v/>
      </c>
      <c r="AF28" s="4" t="str">
        <f>'Form responses 1'!AO30</f>
        <v/>
      </c>
      <c r="AG28" s="4" t="str">
        <f>'Form responses 1'!AP30</f>
        <v/>
      </c>
      <c r="AH28" s="4" t="str">
        <f>'Form responses 1'!AQ30</f>
        <v/>
      </c>
      <c r="AI28" s="4" t="str">
        <f>'Form responses 1'!AR30</f>
        <v/>
      </c>
    </row>
    <row r="29">
      <c r="A29" s="26">
        <f>'Form responses 1'!B31</f>
        <v>46058</v>
      </c>
      <c r="B29" s="4" t="str">
        <f>'Form responses 1'!AZ31</f>
        <v>chanakya.inugala@capsdelivery.com</v>
      </c>
      <c r="C29" s="4" t="str">
        <f>'Form responses 1'!BR31</f>
        <v>Adhirath</v>
      </c>
      <c r="D29" s="4" t="str">
        <f>'Form responses 1'!AT31</f>
        <v/>
      </c>
      <c r="E29" s="4" t="str">
        <f>'Form responses 1'!AU31</f>
        <v>Yes</v>
      </c>
      <c r="F29" s="26">
        <f>'Form responses 1'!AX31</f>
        <v>46063</v>
      </c>
      <c r="G29" s="52">
        <f>'Form responses 1'!AY31</f>
        <v>0.6666666667</v>
      </c>
      <c r="H29" s="53" t="str">
        <f>'Form responses 1'!AW31</f>
        <v/>
      </c>
      <c r="I29" s="4" t="str">
        <f>'Form responses 1'!AS31</f>
        <v/>
      </c>
      <c r="J29" s="4" t="str">
        <f>'Form responses 1'!J31</f>
        <v>Tier-2 (AOV &lt;400)</v>
      </c>
      <c r="K29" s="4">
        <f>'Form responses 1'!G31</f>
        <v>200</v>
      </c>
      <c r="L29" s="4">
        <f>'Form responses 1'!F31</f>
        <v>25</v>
      </c>
      <c r="M29" s="4" t="str">
        <f>'Form responses 1'!U31</f>
        <v>Mukesh</v>
      </c>
      <c r="N29" s="4" t="str">
        <f>'Form responses 1'!V31</f>
        <v>na</v>
      </c>
      <c r="O29" s="4" t="str">
        <f>'Form responses 1'!W31</f>
        <v>na</v>
      </c>
      <c r="P29" s="4" t="str">
        <f>'Form responses 1'!X31</f>
        <v/>
      </c>
      <c r="Q29" s="4" t="str">
        <f>'Form responses 1'!Y31</f>
        <v/>
      </c>
      <c r="R29" s="4" t="str">
        <f>'Form responses 1'!Z31</f>
        <v/>
      </c>
      <c r="S29" s="4" t="str">
        <f>'Form responses 1'!AC31</f>
        <v/>
      </c>
      <c r="T29" s="4" t="str">
        <f>'Form responses 1'!AE31</f>
        <v/>
      </c>
      <c r="U29" s="4" t="str">
        <f>'Form responses 1'!AG31</f>
        <v/>
      </c>
      <c r="V29" s="4" t="str">
        <f>'Form responses 1'!AI31</f>
        <v/>
      </c>
      <c r="W29" s="4" t="str">
        <f>'Form responses 1'!AJ31</f>
        <v/>
      </c>
      <c r="X29" s="4" t="str">
        <f>'Form responses 1'!AK31</f>
        <v/>
      </c>
      <c r="Y29" s="4">
        <f t="shared" ref="Y29:AD29" si="28">if(S29&gt;0,1,0)</f>
        <v>0</v>
      </c>
      <c r="Z29" s="4">
        <f t="shared" si="28"/>
        <v>0</v>
      </c>
      <c r="AA29" s="4">
        <f t="shared" si="28"/>
        <v>0</v>
      </c>
      <c r="AB29" s="4">
        <f t="shared" si="28"/>
        <v>0</v>
      </c>
      <c r="AC29" s="4">
        <f t="shared" si="28"/>
        <v>0</v>
      </c>
      <c r="AD29" s="4">
        <f t="shared" si="28"/>
        <v>0</v>
      </c>
      <c r="AE29" s="4" t="str">
        <f>'Form responses 1'!AN31</f>
        <v/>
      </c>
      <c r="AF29" s="4" t="str">
        <f>'Form responses 1'!AO31</f>
        <v/>
      </c>
      <c r="AG29" s="4" t="str">
        <f>'Form responses 1'!AP31</f>
        <v/>
      </c>
      <c r="AH29" s="4" t="str">
        <f>'Form responses 1'!AQ31</f>
        <v/>
      </c>
      <c r="AI29" s="4" t="str">
        <f>'Form responses 1'!AR31</f>
        <v/>
      </c>
    </row>
    <row r="30">
      <c r="A30" s="26">
        <f>'Form responses 1'!B32</f>
        <v>46058</v>
      </c>
      <c r="B30" s="4" t="str">
        <f>'Form responses 1'!AZ32</f>
        <v>moin.khan@capsdelivery.com</v>
      </c>
      <c r="C30" s="4" t="str">
        <f>'Form responses 1'!BR32</f>
        <v>minyu</v>
      </c>
      <c r="D30" s="4" t="str">
        <f>'Form responses 1'!AT32</f>
        <v/>
      </c>
      <c r="E30" s="4" t="str">
        <f>'Form responses 1'!AU32</f>
        <v>Yes</v>
      </c>
      <c r="F30" s="26">
        <f>'Form responses 1'!AX32</f>
        <v>46059</v>
      </c>
      <c r="G30" s="52">
        <f>'Form responses 1'!AY32</f>
        <v>0.625</v>
      </c>
      <c r="H30" s="53" t="str">
        <f>'Form responses 1'!AW32</f>
        <v/>
      </c>
      <c r="I30" s="4" t="str">
        <f>'Form responses 1'!AS32</f>
        <v/>
      </c>
      <c r="J30" s="4" t="str">
        <f>'Form responses 1'!J32</f>
        <v/>
      </c>
      <c r="K30" s="4" t="str">
        <f>'Form responses 1'!G32</f>
        <v/>
      </c>
      <c r="L30" s="4" t="str">
        <f>'Form responses 1'!F32</f>
        <v/>
      </c>
      <c r="M30" s="4" t="str">
        <f>'Form responses 1'!U32</f>
        <v>ajay </v>
      </c>
      <c r="N30" s="4">
        <f>'Form responses 1'!V32</f>
        <v>7799223445</v>
      </c>
      <c r="O30" s="4" t="str">
        <f>'Form responses 1'!W32</f>
        <v>na</v>
      </c>
      <c r="P30" s="4" t="str">
        <f>'Form responses 1'!X32</f>
        <v/>
      </c>
      <c r="Q30" s="4" t="str">
        <f>'Form responses 1'!Y32</f>
        <v/>
      </c>
      <c r="R30" s="4" t="str">
        <f>'Form responses 1'!Z32</f>
        <v/>
      </c>
      <c r="S30" s="4" t="str">
        <f>'Form responses 1'!AC32</f>
        <v/>
      </c>
      <c r="T30" s="4" t="str">
        <f>'Form responses 1'!AE32</f>
        <v/>
      </c>
      <c r="U30" s="4" t="str">
        <f>'Form responses 1'!AG32</f>
        <v/>
      </c>
      <c r="V30" s="4" t="str">
        <f>'Form responses 1'!AI32</f>
        <v/>
      </c>
      <c r="W30" s="4" t="str">
        <f>'Form responses 1'!AJ32</f>
        <v/>
      </c>
      <c r="X30" s="4" t="str">
        <f>'Form responses 1'!AK32</f>
        <v/>
      </c>
      <c r="Y30" s="4">
        <f t="shared" ref="Y30:AD30" si="29">if(S30&gt;0,1,0)</f>
        <v>0</v>
      </c>
      <c r="Z30" s="4">
        <f t="shared" si="29"/>
        <v>0</v>
      </c>
      <c r="AA30" s="4">
        <f t="shared" si="29"/>
        <v>0</v>
      </c>
      <c r="AB30" s="4">
        <f t="shared" si="29"/>
        <v>0</v>
      </c>
      <c r="AC30" s="4">
        <f t="shared" si="29"/>
        <v>0</v>
      </c>
      <c r="AD30" s="4">
        <f t="shared" si="29"/>
        <v>0</v>
      </c>
      <c r="AE30" s="4" t="str">
        <f>'Form responses 1'!AN32</f>
        <v/>
      </c>
      <c r="AF30" s="4" t="str">
        <f>'Form responses 1'!AO32</f>
        <v/>
      </c>
      <c r="AG30" s="4" t="str">
        <f>'Form responses 1'!AP32</f>
        <v/>
      </c>
      <c r="AH30" s="4" t="str">
        <f>'Form responses 1'!AQ32</f>
        <v/>
      </c>
      <c r="AI30" s="4" t="str">
        <f>'Form responses 1'!AR32</f>
        <v/>
      </c>
    </row>
    <row r="31">
      <c r="A31" s="26">
        <f>'Form responses 1'!B33</f>
        <v>46058</v>
      </c>
      <c r="B31" s="4" t="str">
        <f>'Form responses 1'!AZ33</f>
        <v>moin.khan@capsdelivery.com</v>
      </c>
      <c r="C31" s="4" t="str">
        <f>'Form responses 1'!BR33</f>
        <v> hyderabad host</v>
      </c>
      <c r="D31" s="4" t="str">
        <f>'Form responses 1'!AT33</f>
        <v/>
      </c>
      <c r="E31" s="4" t="str">
        <f>'Form responses 1'!AU33</f>
        <v>Yes</v>
      </c>
      <c r="F31" s="26">
        <f>'Form responses 1'!AX33</f>
        <v>46059</v>
      </c>
      <c r="G31" s="52">
        <f>'Form responses 1'!AY33</f>
        <v>0.625</v>
      </c>
      <c r="H31" s="53" t="str">
        <f>'Form responses 1'!AW33</f>
        <v/>
      </c>
      <c r="I31" s="4" t="str">
        <f>'Form responses 1'!AS33</f>
        <v/>
      </c>
      <c r="J31" s="4" t="str">
        <f>'Form responses 1'!J33</f>
        <v/>
      </c>
      <c r="K31" s="4" t="str">
        <f>'Form responses 1'!G33</f>
        <v/>
      </c>
      <c r="L31" s="4" t="str">
        <f>'Form responses 1'!F33</f>
        <v/>
      </c>
      <c r="M31" s="4" t="str">
        <f>'Form responses 1'!U33</f>
        <v>HARI</v>
      </c>
      <c r="N31" s="4">
        <f>'Form responses 1'!V33</f>
        <v>9849991664</v>
      </c>
      <c r="O31" s="4" t="str">
        <f>'Form responses 1'!W33</f>
        <v>NA</v>
      </c>
      <c r="P31" s="4" t="str">
        <f>'Form responses 1'!X33</f>
        <v/>
      </c>
      <c r="Q31" s="4" t="str">
        <f>'Form responses 1'!Y33</f>
        <v/>
      </c>
      <c r="R31" s="4" t="str">
        <f>'Form responses 1'!Z33</f>
        <v/>
      </c>
      <c r="S31" s="4" t="str">
        <f>'Form responses 1'!AC33</f>
        <v/>
      </c>
      <c r="T31" s="4" t="str">
        <f>'Form responses 1'!AE33</f>
        <v/>
      </c>
      <c r="U31" s="4" t="str">
        <f>'Form responses 1'!AG33</f>
        <v/>
      </c>
      <c r="V31" s="4" t="str">
        <f>'Form responses 1'!AI33</f>
        <v/>
      </c>
      <c r="W31" s="4" t="str">
        <f>'Form responses 1'!AJ33</f>
        <v/>
      </c>
      <c r="X31" s="4" t="str">
        <f>'Form responses 1'!AK33</f>
        <v/>
      </c>
      <c r="Y31" s="4">
        <f t="shared" ref="Y31:AD31" si="30">if(S31&gt;0,1,0)</f>
        <v>0</v>
      </c>
      <c r="Z31" s="4">
        <f t="shared" si="30"/>
        <v>0</v>
      </c>
      <c r="AA31" s="4">
        <f t="shared" si="30"/>
        <v>0</v>
      </c>
      <c r="AB31" s="4">
        <f t="shared" si="30"/>
        <v>0</v>
      </c>
      <c r="AC31" s="4">
        <f t="shared" si="30"/>
        <v>0</v>
      </c>
      <c r="AD31" s="4">
        <f t="shared" si="30"/>
        <v>0</v>
      </c>
      <c r="AE31" s="4" t="str">
        <f>'Form responses 1'!AN33</f>
        <v/>
      </c>
      <c r="AF31" s="4" t="str">
        <f>'Form responses 1'!AO33</f>
        <v/>
      </c>
      <c r="AG31" s="4" t="str">
        <f>'Form responses 1'!AP33</f>
        <v/>
      </c>
      <c r="AH31" s="4" t="str">
        <f>'Form responses 1'!AQ33</f>
        <v/>
      </c>
      <c r="AI31" s="4" t="str">
        <f>'Form responses 1'!AR33</f>
        <v/>
      </c>
    </row>
    <row r="32">
      <c r="A32" s="26">
        <f>'Form responses 1'!B34</f>
        <v>46056</v>
      </c>
      <c r="B32" s="4" t="str">
        <f>'Form responses 1'!AZ34</f>
        <v>ankitha.baske@capsdelivery.com</v>
      </c>
      <c r="C32" s="4" t="str">
        <f>'Form responses 1'!BR34</f>
        <v>BIRYANI N BIRYANI</v>
      </c>
      <c r="D32" s="4" t="str">
        <f>'Form responses 1'!AT34</f>
        <v/>
      </c>
      <c r="E32" s="4" t="str">
        <f>'Form responses 1'!AU34</f>
        <v>Yes</v>
      </c>
      <c r="F32" s="4" t="str">
        <f>'Form responses 1'!AX34</f>
        <v/>
      </c>
      <c r="G32" s="4" t="str">
        <f>'Form responses 1'!AY34</f>
        <v/>
      </c>
      <c r="H32" s="53" t="str">
        <f>'Form responses 1'!AW34</f>
        <v/>
      </c>
      <c r="I32" s="4" t="str">
        <f>'Form responses 1'!AS34</f>
        <v>Yes</v>
      </c>
      <c r="J32" s="4" t="str">
        <f>'Form responses 1'!J34</f>
        <v>Tier-3 ( AOV&lt;200 )</v>
      </c>
      <c r="K32" s="4">
        <f>'Form responses 1'!G34</f>
        <v>150</v>
      </c>
      <c r="L32" s="4">
        <f>'Form responses 1'!F34</f>
        <v>150</v>
      </c>
      <c r="M32" s="4" t="str">
        <f>'Form responses 1'!U34</f>
        <v>Uttam Kumar</v>
      </c>
      <c r="N32" s="4">
        <f>'Form responses 1'!V34</f>
        <v>9010022093</v>
      </c>
      <c r="O32" s="4" t="str">
        <f>'Form responses 1'!W34</f>
        <v>NA</v>
      </c>
      <c r="P32" s="4" t="str">
        <f>'Form responses 1'!X34</f>
        <v/>
      </c>
      <c r="Q32" s="4" t="str">
        <f>'Form responses 1'!Y34</f>
        <v/>
      </c>
      <c r="R32" s="4" t="str">
        <f>'Form responses 1'!Z34</f>
        <v/>
      </c>
      <c r="S32" s="54" t="str">
        <f>'Form responses 1'!AC34</f>
        <v>https://drive.google.com/open?id=1uEv1SbghR4V6SRNuV_W5cWmXTxOGaOTk</v>
      </c>
      <c r="T32" s="4" t="str">
        <f>'Form responses 1'!AE34</f>
        <v/>
      </c>
      <c r="U32" s="4" t="str">
        <f>'Form responses 1'!AG34</f>
        <v/>
      </c>
      <c r="V32" s="4" t="str">
        <f>'Form responses 1'!AI34</f>
        <v/>
      </c>
      <c r="W32" s="4" t="str">
        <f>'Form responses 1'!AJ34</f>
        <v/>
      </c>
      <c r="X32" s="4" t="str">
        <f>'Form responses 1'!AK34</f>
        <v/>
      </c>
      <c r="Y32" s="4">
        <f t="shared" ref="Y32:AD32" si="31">if(S32&gt;0,1,0)</f>
        <v>1</v>
      </c>
      <c r="Z32" s="4">
        <f t="shared" si="31"/>
        <v>0</v>
      </c>
      <c r="AA32" s="4">
        <f t="shared" si="31"/>
        <v>0</v>
      </c>
      <c r="AB32" s="4">
        <f t="shared" si="31"/>
        <v>0</v>
      </c>
      <c r="AC32" s="4">
        <f t="shared" si="31"/>
        <v>0</v>
      </c>
      <c r="AD32" s="4">
        <f t="shared" si="31"/>
        <v>0</v>
      </c>
      <c r="AE32" s="4" t="str">
        <f>'Form responses 1'!AN34</f>
        <v/>
      </c>
      <c r="AF32" s="4" t="str">
        <f>'Form responses 1'!AO34</f>
        <v>Uttam Kumar</v>
      </c>
      <c r="AG32" s="4">
        <f>'Form responses 1'!AP34</f>
        <v>9010022093</v>
      </c>
      <c r="AH32" s="4" t="str">
        <f>'Form responses 1'!AQ34</f>
        <v/>
      </c>
      <c r="AI32" s="4" t="str">
        <f>'Form responses 1'!AR34</f>
        <v>BIRYANI N BIRYANI</v>
      </c>
    </row>
    <row r="33">
      <c r="A33" s="26">
        <f>'Form responses 1'!B35</f>
        <v>46058</v>
      </c>
      <c r="B33" s="4" t="str">
        <f>'Form responses 1'!AZ35</f>
        <v>chanakya.inugala@capsdelivery.com</v>
      </c>
      <c r="C33" s="4" t="str">
        <f>'Form responses 1'!BR35</f>
        <v>Mehfil</v>
      </c>
      <c r="D33" s="4" t="str">
        <f>'Form responses 1'!AT35</f>
        <v/>
      </c>
      <c r="E33" s="4" t="str">
        <f>'Form responses 1'!AU35</f>
        <v>Yes</v>
      </c>
      <c r="F33" s="26">
        <f>'Form responses 1'!AX35</f>
        <v>46062</v>
      </c>
      <c r="G33" s="52">
        <f>'Form responses 1'!AY35</f>
        <v>0.5</v>
      </c>
      <c r="H33" s="53" t="str">
        <f>'Form responses 1'!AW35</f>
        <v>na</v>
      </c>
      <c r="I33" s="4" t="str">
        <f>'Form responses 1'!AS35</f>
        <v/>
      </c>
      <c r="J33" s="4" t="str">
        <f>'Form responses 1'!J35</f>
        <v>Tier-2 (AOV &lt;400)</v>
      </c>
      <c r="K33" s="4">
        <f>'Form responses 1'!G35</f>
        <v>300</v>
      </c>
      <c r="L33" s="4">
        <f>'Form responses 1'!F35</f>
        <v>70</v>
      </c>
      <c r="M33" s="4" t="str">
        <f>'Form responses 1'!U35</f>
        <v>Masood</v>
      </c>
      <c r="N33" s="4" t="str">
        <f>'Form responses 1'!V35</f>
        <v>na</v>
      </c>
      <c r="O33" s="4" t="str">
        <f>'Form responses 1'!W35</f>
        <v>na</v>
      </c>
      <c r="P33" s="4" t="str">
        <f>'Form responses 1'!X35</f>
        <v/>
      </c>
      <c r="Q33" s="4" t="str">
        <f>'Form responses 1'!Y35</f>
        <v/>
      </c>
      <c r="R33" s="4" t="str">
        <f>'Form responses 1'!Z35</f>
        <v/>
      </c>
      <c r="S33" s="4" t="str">
        <f>'Form responses 1'!AC35</f>
        <v/>
      </c>
      <c r="T33" s="4" t="str">
        <f>'Form responses 1'!AE35</f>
        <v/>
      </c>
      <c r="U33" s="4" t="str">
        <f>'Form responses 1'!AG35</f>
        <v/>
      </c>
      <c r="V33" s="4" t="str">
        <f>'Form responses 1'!AI35</f>
        <v/>
      </c>
      <c r="W33" s="4" t="str">
        <f>'Form responses 1'!AJ35</f>
        <v/>
      </c>
      <c r="X33" s="4" t="str">
        <f>'Form responses 1'!AK35</f>
        <v/>
      </c>
      <c r="Y33" s="4">
        <f t="shared" ref="Y33:AD33" si="32">if(S33&gt;0,1,0)</f>
        <v>0</v>
      </c>
      <c r="Z33" s="4">
        <f t="shared" si="32"/>
        <v>0</v>
      </c>
      <c r="AA33" s="4">
        <f t="shared" si="32"/>
        <v>0</v>
      </c>
      <c r="AB33" s="4">
        <f t="shared" si="32"/>
        <v>0</v>
      </c>
      <c r="AC33" s="4">
        <f t="shared" si="32"/>
        <v>0</v>
      </c>
      <c r="AD33" s="4">
        <f t="shared" si="32"/>
        <v>0</v>
      </c>
      <c r="AE33" s="4" t="str">
        <f>'Form responses 1'!AN35</f>
        <v/>
      </c>
      <c r="AF33" s="4" t="str">
        <f>'Form responses 1'!AO35</f>
        <v/>
      </c>
      <c r="AG33" s="4" t="str">
        <f>'Form responses 1'!AP35</f>
        <v/>
      </c>
      <c r="AH33" s="4" t="str">
        <f>'Form responses 1'!AQ35</f>
        <v/>
      </c>
      <c r="AI33" s="4" t="str">
        <f>'Form responses 1'!AR35</f>
        <v/>
      </c>
    </row>
    <row r="34">
      <c r="A34" s="26">
        <f>'Form responses 1'!B36</f>
        <v>46058</v>
      </c>
      <c r="B34" s="4" t="str">
        <f>'Form responses 1'!AZ36</f>
        <v>moin.khan@capsdelivery.com</v>
      </c>
      <c r="C34" s="4" t="str">
        <f>'Form responses 1'!BR36</f>
        <v>king mandi </v>
      </c>
      <c r="D34" s="4" t="str">
        <f>'Form responses 1'!AT36</f>
        <v/>
      </c>
      <c r="E34" s="4" t="str">
        <f>'Form responses 1'!AU36</f>
        <v>Yes</v>
      </c>
      <c r="F34" s="26">
        <f>'Form responses 1'!AX36</f>
        <v>46059</v>
      </c>
      <c r="G34" s="52">
        <f>'Form responses 1'!AY36</f>
        <v>0.7916666667</v>
      </c>
      <c r="H34" s="53" t="str">
        <f>'Form responses 1'!AW36</f>
        <v/>
      </c>
      <c r="I34" s="4" t="str">
        <f>'Form responses 1'!AS36</f>
        <v/>
      </c>
      <c r="J34" s="4" t="str">
        <f>'Form responses 1'!J36</f>
        <v/>
      </c>
      <c r="K34" s="4" t="str">
        <f>'Form responses 1'!G36</f>
        <v/>
      </c>
      <c r="L34" s="4" t="str">
        <f>'Form responses 1'!F36</f>
        <v/>
      </c>
      <c r="M34" s="4" t="str">
        <f>'Form responses 1'!U36</f>
        <v>kavi raj</v>
      </c>
      <c r="N34" s="4">
        <f>'Form responses 1'!V36</f>
        <v>9059787788</v>
      </c>
      <c r="O34" s="4" t="str">
        <f>'Form responses 1'!W36</f>
        <v>NA</v>
      </c>
      <c r="P34" s="4" t="str">
        <f>'Form responses 1'!X36</f>
        <v/>
      </c>
      <c r="Q34" s="4" t="str">
        <f>'Form responses 1'!Y36</f>
        <v/>
      </c>
      <c r="R34" s="4" t="str">
        <f>'Form responses 1'!Z36</f>
        <v/>
      </c>
      <c r="S34" s="4" t="str">
        <f>'Form responses 1'!AC36</f>
        <v/>
      </c>
      <c r="T34" s="4" t="str">
        <f>'Form responses 1'!AE36</f>
        <v/>
      </c>
      <c r="U34" s="4" t="str">
        <f>'Form responses 1'!AG36</f>
        <v/>
      </c>
      <c r="V34" s="4" t="str">
        <f>'Form responses 1'!AI36</f>
        <v/>
      </c>
      <c r="W34" s="4" t="str">
        <f>'Form responses 1'!AJ36</f>
        <v/>
      </c>
      <c r="X34" s="4" t="str">
        <f>'Form responses 1'!AK36</f>
        <v/>
      </c>
      <c r="Y34" s="4">
        <f t="shared" ref="Y34:AD34" si="33">if(S34&gt;0,1,0)</f>
        <v>0</v>
      </c>
      <c r="Z34" s="4">
        <f t="shared" si="33"/>
        <v>0</v>
      </c>
      <c r="AA34" s="4">
        <f t="shared" si="33"/>
        <v>0</v>
      </c>
      <c r="AB34" s="4">
        <f t="shared" si="33"/>
        <v>0</v>
      </c>
      <c r="AC34" s="4">
        <f t="shared" si="33"/>
        <v>0</v>
      </c>
      <c r="AD34" s="4">
        <f t="shared" si="33"/>
        <v>0</v>
      </c>
      <c r="AE34" s="4" t="str">
        <f>'Form responses 1'!AN36</f>
        <v/>
      </c>
      <c r="AF34" s="4" t="str">
        <f>'Form responses 1'!AO36</f>
        <v/>
      </c>
      <c r="AG34" s="4" t="str">
        <f>'Form responses 1'!AP36</f>
        <v/>
      </c>
      <c r="AH34" s="4" t="str">
        <f>'Form responses 1'!AQ36</f>
        <v/>
      </c>
      <c r="AI34" s="4" t="str">
        <f>'Form responses 1'!AR36</f>
        <v/>
      </c>
    </row>
    <row r="35">
      <c r="A35" s="26">
        <f>'Form responses 1'!B37</f>
        <v>46056</v>
      </c>
      <c r="B35" s="4" t="str">
        <f>'Form responses 1'!AZ37</f>
        <v>ankitha.baske@capsdelivery.com</v>
      </c>
      <c r="C35" s="4" t="str">
        <f>'Form responses 1'!BR37</f>
        <v>AL RAWAF HOME MADE DISHES</v>
      </c>
      <c r="D35" s="4" t="str">
        <f>'Form responses 1'!AT37</f>
        <v>Onboarding Completed</v>
      </c>
      <c r="E35" s="4" t="str">
        <f>'Form responses 1'!AU37</f>
        <v>No</v>
      </c>
      <c r="F35" s="4" t="str">
        <f>'Form responses 1'!AX37</f>
        <v/>
      </c>
      <c r="G35" s="4" t="str">
        <f>'Form responses 1'!AY37</f>
        <v/>
      </c>
      <c r="H35" s="53" t="str">
        <f>'Form responses 1'!AW37</f>
        <v/>
      </c>
      <c r="I35" s="4" t="str">
        <f>'Form responses 1'!AS37</f>
        <v>Yes</v>
      </c>
      <c r="J35" s="4" t="str">
        <f>'Form responses 1'!J37</f>
        <v>Cloud Kitchen</v>
      </c>
      <c r="K35" s="4">
        <f>'Form responses 1'!G37</f>
        <v>300</v>
      </c>
      <c r="L35" s="4">
        <f>'Form responses 1'!F37</f>
        <v>1</v>
      </c>
      <c r="M35" s="4" t="str">
        <f>'Form responses 1'!U37</f>
        <v>ASFIYA SULTANA</v>
      </c>
      <c r="N35" s="4">
        <f>'Form responses 1'!V37</f>
        <v>9502632532</v>
      </c>
      <c r="O35" s="4" t="str">
        <f>'Form responses 1'!W37</f>
        <v>NA</v>
      </c>
      <c r="P35" s="4" t="str">
        <f>'Form responses 1'!X37</f>
        <v/>
      </c>
      <c r="Q35" s="4" t="str">
        <f>'Form responses 1'!Y37</f>
        <v/>
      </c>
      <c r="R35" s="4" t="str">
        <f>'Form responses 1'!Z37</f>
        <v/>
      </c>
      <c r="S35" s="54" t="str">
        <f>'Form responses 1'!AC37</f>
        <v>https://drive.google.com/open?id=1jlS2uzGgdXIiBFtKTniOqZcQQP1Def9B</v>
      </c>
      <c r="T35" s="4" t="str">
        <f>'Form responses 1'!AE37</f>
        <v/>
      </c>
      <c r="U35" s="54" t="str">
        <f>'Form responses 1'!AG37</f>
        <v>https://drive.google.com/open?id=14vl9WR1NycmF9z9tVJiiS1sjEI4BpUgn</v>
      </c>
      <c r="V35" s="4" t="str">
        <f>'Form responses 1'!AI37</f>
        <v/>
      </c>
      <c r="W35" s="4" t="str">
        <f>'Form responses 1'!AJ37</f>
        <v/>
      </c>
      <c r="X35" s="4" t="str">
        <f>'Form responses 1'!AK37</f>
        <v/>
      </c>
      <c r="Y35" s="4">
        <f t="shared" ref="Y35:AD35" si="34">if(S35&gt;0,1,0)</f>
        <v>1</v>
      </c>
      <c r="Z35" s="4">
        <f t="shared" si="34"/>
        <v>0</v>
      </c>
      <c r="AA35" s="4">
        <f t="shared" si="34"/>
        <v>1</v>
      </c>
      <c r="AB35" s="4">
        <f t="shared" si="34"/>
        <v>0</v>
      </c>
      <c r="AC35" s="4">
        <f t="shared" si="34"/>
        <v>0</v>
      </c>
      <c r="AD35" s="4">
        <f t="shared" si="34"/>
        <v>0</v>
      </c>
      <c r="AE35" s="4" t="str">
        <f>'Form responses 1'!AN37</f>
        <v/>
      </c>
      <c r="AF35" s="4" t="str">
        <f>'Form responses 1'!AO37</f>
        <v/>
      </c>
      <c r="AG35" s="4" t="str">
        <f>'Form responses 1'!AP37</f>
        <v/>
      </c>
      <c r="AH35" s="4" t="str">
        <f>'Form responses 1'!AQ37</f>
        <v/>
      </c>
      <c r="AI35" s="4" t="str">
        <f>'Form responses 1'!AR37</f>
        <v/>
      </c>
    </row>
    <row r="36">
      <c r="A36" s="26">
        <f>'Form responses 1'!B38</f>
        <v>46057</v>
      </c>
      <c r="B36" s="4" t="str">
        <f>'Form responses 1'!AZ38</f>
        <v>ankitha.baske@capsdelivery.com</v>
      </c>
      <c r="C36" s="4" t="str">
        <f>'Form responses 1'!BR38</f>
        <v>Govinda's Resturant</v>
      </c>
      <c r="D36" s="4" t="str">
        <f>'Form responses 1'!AT38</f>
        <v>Onboarding Completed</v>
      </c>
      <c r="E36" s="4" t="str">
        <f>'Form responses 1'!AU38</f>
        <v>No</v>
      </c>
      <c r="F36" s="4" t="str">
        <f>'Form responses 1'!AX38</f>
        <v/>
      </c>
      <c r="G36" s="4" t="str">
        <f>'Form responses 1'!AY38</f>
        <v/>
      </c>
      <c r="H36" s="53" t="str">
        <f>'Form responses 1'!AW38</f>
        <v/>
      </c>
      <c r="I36" s="4" t="str">
        <f>'Form responses 1'!AS38</f>
        <v>Yes</v>
      </c>
      <c r="J36" s="4" t="str">
        <f>'Form responses 1'!J38</f>
        <v>Tier-2 (AOV &lt;400)</v>
      </c>
      <c r="K36" s="4">
        <f>'Form responses 1'!G38</f>
        <v>400</v>
      </c>
      <c r="L36" s="4">
        <f>'Form responses 1'!F38</f>
        <v>25</v>
      </c>
      <c r="M36" s="4" t="str">
        <f>'Form responses 1'!U38</f>
        <v>Harish Dhas</v>
      </c>
      <c r="N36" s="4">
        <f>'Form responses 1'!V38</f>
        <v>9964818700</v>
      </c>
      <c r="O36" s="4" t="str">
        <f>'Form responses 1'!W38</f>
        <v>NA</v>
      </c>
      <c r="P36" s="4" t="str">
        <f>'Form responses 1'!X38</f>
        <v/>
      </c>
      <c r="Q36" s="4" t="str">
        <f>'Form responses 1'!Y38</f>
        <v/>
      </c>
      <c r="R36" s="4" t="str">
        <f>'Form responses 1'!Z38</f>
        <v/>
      </c>
      <c r="S36" s="54" t="str">
        <f>'Form responses 1'!AC38</f>
        <v>https://drive.google.com/open?id=1XHti40Q6rcjbNTd4338mnP-gp5zYiTTo</v>
      </c>
      <c r="T36" s="54" t="str">
        <f>'Form responses 1'!AE38</f>
        <v>https://drive.google.com/open?id=1wfQiIC4z7mrMJ5O4AxkRDuixJ2qPRhk2</v>
      </c>
      <c r="U36" s="54" t="str">
        <f>'Form responses 1'!AG38</f>
        <v>https://drive.google.com/open?id=1i3JNiPqA3bg9GskvIiKQOkcygNvWSwFo</v>
      </c>
      <c r="V36" s="4" t="str">
        <f>'Form responses 1'!AI38</f>
        <v/>
      </c>
      <c r="W36" s="54" t="str">
        <f>'Form responses 1'!AJ38</f>
        <v>https://drive.google.com/open?id=1DMx_aqiNEP9UWnIpWFPjhq9IVflDo6wh</v>
      </c>
      <c r="X36" s="54" t="str">
        <f>'Form responses 1'!AK38</f>
        <v>https://drive.google.com/open?id=1-_wWaTH5f5gEAIqiuRyYQXb_tpy1C51V</v>
      </c>
      <c r="Y36" s="4">
        <f t="shared" ref="Y36:AD36" si="35">if(S36&gt;0,1,0)</f>
        <v>1</v>
      </c>
      <c r="Z36" s="4">
        <f t="shared" si="35"/>
        <v>1</v>
      </c>
      <c r="AA36" s="4">
        <f t="shared" si="35"/>
        <v>1</v>
      </c>
      <c r="AB36" s="4">
        <f t="shared" si="35"/>
        <v>0</v>
      </c>
      <c r="AC36" s="4">
        <f t="shared" si="35"/>
        <v>1</v>
      </c>
      <c r="AD36" s="4">
        <f t="shared" si="35"/>
        <v>1</v>
      </c>
      <c r="AE36" s="4" t="str">
        <f>'Form responses 1'!AN38</f>
        <v/>
      </c>
      <c r="AF36" s="4" t="str">
        <f>'Form responses 1'!AO38</f>
        <v>Harish Dhas</v>
      </c>
      <c r="AG36" s="4">
        <f>'Form responses 1'!AP38</f>
        <v>9964818700</v>
      </c>
      <c r="AH36" s="4" t="str">
        <f>'Form responses 1'!AQ38</f>
        <v/>
      </c>
      <c r="AI36" s="4" t="str">
        <f>'Form responses 1'!AR38</f>
        <v/>
      </c>
    </row>
    <row r="37">
      <c r="A37" s="26">
        <f>'Form responses 1'!B39</f>
        <v>46175</v>
      </c>
      <c r="B37" s="4" t="str">
        <f>'Form responses 1'!AZ39</f>
        <v>manasa.chigurupati@capsdelivery.com</v>
      </c>
      <c r="C37" s="4" t="str">
        <f>'Form responses 1'!BR39</f>
        <v>KNOX</v>
      </c>
      <c r="D37" s="4" t="str">
        <f>'Form responses 1'!AT39</f>
        <v/>
      </c>
      <c r="E37" s="4" t="str">
        <f>'Form responses 1'!AU39</f>
        <v>Yes</v>
      </c>
      <c r="F37" s="26">
        <f>'Form responses 1'!AX39</f>
        <v>46059</v>
      </c>
      <c r="G37" s="52">
        <f>'Form responses 1'!AY39</f>
        <v>0.5625</v>
      </c>
      <c r="H37" s="53" t="str">
        <f>'Form responses 1'!AW39</f>
        <v/>
      </c>
      <c r="I37" s="4" t="str">
        <f>'Form responses 1'!AS39</f>
        <v/>
      </c>
      <c r="J37" s="4" t="str">
        <f>'Form responses 1'!J39</f>
        <v>Tier-1(AOV&gt;400)</v>
      </c>
      <c r="K37" s="4">
        <f>'Form responses 1'!G39</f>
        <v>500</v>
      </c>
      <c r="L37" s="4">
        <f>'Form responses 1'!F39</f>
        <v>200</v>
      </c>
      <c r="M37" s="4" t="str">
        <f>'Form responses 1'!U39</f>
        <v>Das </v>
      </c>
      <c r="N37" s="4">
        <f>'Form responses 1'!V39</f>
        <v>7842264138</v>
      </c>
      <c r="O37" s="4" t="str">
        <f>'Form responses 1'!W39</f>
        <v>-</v>
      </c>
      <c r="P37" s="4" t="str">
        <f>'Form responses 1'!X39</f>
        <v/>
      </c>
      <c r="Q37" s="4" t="str">
        <f>'Form responses 1'!Y39</f>
        <v/>
      </c>
      <c r="R37" s="4" t="str">
        <f>'Form responses 1'!Z39</f>
        <v/>
      </c>
      <c r="S37" s="4" t="str">
        <f>'Form responses 1'!AC39</f>
        <v/>
      </c>
      <c r="T37" s="4" t="str">
        <f>'Form responses 1'!AE39</f>
        <v/>
      </c>
      <c r="U37" s="4" t="str">
        <f>'Form responses 1'!AG39</f>
        <v/>
      </c>
      <c r="V37" s="4" t="str">
        <f>'Form responses 1'!AI39</f>
        <v/>
      </c>
      <c r="W37" s="4" t="str">
        <f>'Form responses 1'!AJ39</f>
        <v/>
      </c>
      <c r="X37" s="4" t="str">
        <f>'Form responses 1'!AK39</f>
        <v/>
      </c>
      <c r="Y37" s="4">
        <f t="shared" ref="Y37:AD37" si="36">if(S37&gt;0,1,0)</f>
        <v>0</v>
      </c>
      <c r="Z37" s="4">
        <f t="shared" si="36"/>
        <v>0</v>
      </c>
      <c r="AA37" s="4">
        <f t="shared" si="36"/>
        <v>0</v>
      </c>
      <c r="AB37" s="4">
        <f t="shared" si="36"/>
        <v>0</v>
      </c>
      <c r="AC37" s="4">
        <f t="shared" si="36"/>
        <v>0</v>
      </c>
      <c r="AD37" s="4">
        <f t="shared" si="36"/>
        <v>0</v>
      </c>
      <c r="AE37" s="4" t="str">
        <f>'Form responses 1'!AN39</f>
        <v/>
      </c>
      <c r="AF37" s="4" t="str">
        <f>'Form responses 1'!AO39</f>
        <v/>
      </c>
      <c r="AG37" s="4" t="str">
        <f>'Form responses 1'!AP39</f>
        <v/>
      </c>
      <c r="AH37" s="4" t="str">
        <f>'Form responses 1'!AQ39</f>
        <v/>
      </c>
      <c r="AI37" s="4" t="str">
        <f>'Form responses 1'!AR39</f>
        <v/>
      </c>
    </row>
    <row r="38">
      <c r="A38" s="26">
        <f>'Form responses 1'!B40</f>
        <v>46055</v>
      </c>
      <c r="B38" s="4" t="str">
        <f>'Form responses 1'!AZ40</f>
        <v>ankitha.baske@capsdelivery.com</v>
      </c>
      <c r="C38" s="4" t="str">
        <f>'Form responses 1'!BR40</f>
        <v>NEW FARMAISH RESTAURANT</v>
      </c>
      <c r="D38" s="4" t="str">
        <f>'Form responses 1'!AT40</f>
        <v>Onboarding Completed</v>
      </c>
      <c r="E38" s="4" t="str">
        <f>'Form responses 1'!AU40</f>
        <v>No</v>
      </c>
      <c r="F38" s="4" t="str">
        <f>'Form responses 1'!AX40</f>
        <v/>
      </c>
      <c r="G38" s="4" t="str">
        <f>'Form responses 1'!AY40</f>
        <v/>
      </c>
      <c r="H38" s="53" t="str">
        <f>'Form responses 1'!AW40</f>
        <v/>
      </c>
      <c r="I38" s="4" t="str">
        <f>'Form responses 1'!AS40</f>
        <v>Yes</v>
      </c>
      <c r="J38" s="4" t="str">
        <f>'Form responses 1'!J40</f>
        <v>Tier-3 ( AOV&lt;200 )</v>
      </c>
      <c r="K38" s="4">
        <f>'Form responses 1'!G40</f>
        <v>300</v>
      </c>
      <c r="L38" s="4">
        <f>'Form responses 1'!F40</f>
        <v>50</v>
      </c>
      <c r="M38" s="4" t="str">
        <f>'Form responses 1'!U40</f>
        <v>SYED AMEER HUSSAIN</v>
      </c>
      <c r="N38" s="4">
        <f>'Form responses 1'!V40</f>
        <v>9742645678</v>
      </c>
      <c r="O38" s="4" t="str">
        <f>'Form responses 1'!W40</f>
        <v>NA</v>
      </c>
      <c r="P38" s="4" t="str">
        <f>'Form responses 1'!X40</f>
        <v/>
      </c>
      <c r="Q38" s="4" t="str">
        <f>'Form responses 1'!Y40</f>
        <v/>
      </c>
      <c r="R38" s="4" t="str">
        <f>'Form responses 1'!Z40</f>
        <v/>
      </c>
      <c r="S38" s="54" t="str">
        <f>'Form responses 1'!AC40</f>
        <v>https://drive.google.com/open?id=1GwUWxdepNWvDVaZTDr0zsGPPIuKR_QoL</v>
      </c>
      <c r="T38" s="4" t="str">
        <f>'Form responses 1'!AE40</f>
        <v/>
      </c>
      <c r="U38" s="54" t="str">
        <f>'Form responses 1'!AG40</f>
        <v>https://drive.google.com/open?id=1Uop_OL_J095nxx7Re4m3p62_DS8J7Cai</v>
      </c>
      <c r="V38" s="4" t="str">
        <f>'Form responses 1'!AI40</f>
        <v/>
      </c>
      <c r="W38" s="4" t="str">
        <f>'Form responses 1'!AJ40</f>
        <v/>
      </c>
      <c r="X38" s="4" t="str">
        <f>'Form responses 1'!AK40</f>
        <v/>
      </c>
      <c r="Y38" s="4">
        <f t="shared" ref="Y38:AD38" si="37">if(S38&gt;0,1,0)</f>
        <v>1</v>
      </c>
      <c r="Z38" s="4">
        <f t="shared" si="37"/>
        <v>0</v>
      </c>
      <c r="AA38" s="4">
        <f t="shared" si="37"/>
        <v>1</v>
      </c>
      <c r="AB38" s="4">
        <f t="shared" si="37"/>
        <v>0</v>
      </c>
      <c r="AC38" s="4">
        <f t="shared" si="37"/>
        <v>0</v>
      </c>
      <c r="AD38" s="4">
        <f t="shared" si="37"/>
        <v>0</v>
      </c>
      <c r="AE38" s="4" t="str">
        <f>'Form responses 1'!AN40</f>
        <v/>
      </c>
      <c r="AF38" s="4" t="str">
        <f>'Form responses 1'!AO40</f>
        <v>SYED</v>
      </c>
      <c r="AG38" s="4">
        <f>'Form responses 1'!AP40</f>
        <v>9742645678</v>
      </c>
      <c r="AH38" s="4" t="str">
        <f>'Form responses 1'!AQ40</f>
        <v/>
      </c>
      <c r="AI38" s="4" t="str">
        <f>'Form responses 1'!AR40</f>
        <v/>
      </c>
    </row>
    <row r="39">
      <c r="A39" s="26">
        <f>'Form responses 1'!B41</f>
        <v>46059</v>
      </c>
      <c r="B39" s="4" t="str">
        <f>'Form responses 1'!AZ41</f>
        <v>akhila.narra@capsdelivery.com</v>
      </c>
      <c r="C39" s="4" t="str">
        <f>'Form responses 1'!BR41</f>
        <v>Bahar Biryani</v>
      </c>
      <c r="D39" s="4" t="str">
        <f>'Form responses 1'!AT41</f>
        <v/>
      </c>
      <c r="E39" s="4" t="str">
        <f>'Form responses 1'!AU41</f>
        <v>Yes</v>
      </c>
      <c r="F39" s="26">
        <f>'Form responses 1'!AX41</f>
        <v>46059</v>
      </c>
      <c r="G39" s="52">
        <f>'Form responses 1'!AY41</f>
        <v>0.4791666667</v>
      </c>
      <c r="H39" s="53" t="str">
        <f>'Form responses 1'!AW41</f>
        <v>Comiision</v>
      </c>
      <c r="I39" s="4" t="str">
        <f>'Form responses 1'!AS41</f>
        <v/>
      </c>
      <c r="J39" s="4" t="str">
        <f>'Form responses 1'!J41</f>
        <v/>
      </c>
      <c r="K39" s="4" t="str">
        <f>'Form responses 1'!G41</f>
        <v/>
      </c>
      <c r="L39" s="4" t="str">
        <f>'Form responses 1'!F41</f>
        <v/>
      </c>
      <c r="M39" s="4" t="str">
        <f>'Form responses 1'!U41</f>
        <v>Bodh</v>
      </c>
      <c r="N39" s="4">
        <f>'Form responses 1'!V41</f>
        <v>8978216439</v>
      </c>
      <c r="O39" s="4" t="str">
        <f>'Form responses 1'!W41</f>
        <v>NA</v>
      </c>
      <c r="P39" s="4" t="str">
        <f>'Form responses 1'!X41</f>
        <v/>
      </c>
      <c r="Q39" s="4" t="str">
        <f>'Form responses 1'!Y41</f>
        <v/>
      </c>
      <c r="R39" s="4" t="str">
        <f>'Form responses 1'!Z41</f>
        <v>NA</v>
      </c>
      <c r="S39" s="4" t="str">
        <f>'Form responses 1'!AC41</f>
        <v/>
      </c>
      <c r="T39" s="4" t="str">
        <f>'Form responses 1'!AE41</f>
        <v/>
      </c>
      <c r="U39" s="4" t="str">
        <f>'Form responses 1'!AG41</f>
        <v/>
      </c>
      <c r="V39" s="4" t="str">
        <f>'Form responses 1'!AI41</f>
        <v/>
      </c>
      <c r="W39" s="4" t="str">
        <f>'Form responses 1'!AJ41</f>
        <v/>
      </c>
      <c r="X39" s="4" t="str">
        <f>'Form responses 1'!AK41</f>
        <v/>
      </c>
      <c r="Y39" s="4">
        <f t="shared" ref="Y39:AD39" si="38">if(S39&gt;0,1,0)</f>
        <v>0</v>
      </c>
      <c r="Z39" s="4">
        <f t="shared" si="38"/>
        <v>0</v>
      </c>
      <c r="AA39" s="4">
        <f t="shared" si="38"/>
        <v>0</v>
      </c>
      <c r="AB39" s="4">
        <f t="shared" si="38"/>
        <v>0</v>
      </c>
      <c r="AC39" s="4">
        <f t="shared" si="38"/>
        <v>0</v>
      </c>
      <c r="AD39" s="4">
        <f t="shared" si="38"/>
        <v>0</v>
      </c>
      <c r="AE39" s="4" t="str">
        <f>'Form responses 1'!AN41</f>
        <v/>
      </c>
      <c r="AF39" s="4" t="str">
        <f>'Form responses 1'!AO41</f>
        <v/>
      </c>
      <c r="AG39" s="4" t="str">
        <f>'Form responses 1'!AP41</f>
        <v/>
      </c>
      <c r="AH39" s="4" t="str">
        <f>'Form responses 1'!AQ41</f>
        <v/>
      </c>
      <c r="AI39" s="4" t="str">
        <f>'Form responses 1'!AR41</f>
        <v/>
      </c>
    </row>
    <row r="40">
      <c r="A40" s="26">
        <f>'Form responses 1'!B42</f>
        <v>46059</v>
      </c>
      <c r="B40" s="4" t="str">
        <f>'Form responses 1'!AZ42</f>
        <v>manasa.chigurupati@capsdelivery.com</v>
      </c>
      <c r="C40" s="4" t="str">
        <f>'Form responses 1'!BR42</f>
        <v>Zythum</v>
      </c>
      <c r="D40" s="4" t="str">
        <f>'Form responses 1'!AT42</f>
        <v/>
      </c>
      <c r="E40" s="4" t="str">
        <f>'Form responses 1'!AU42</f>
        <v>Yes</v>
      </c>
      <c r="F40" s="4" t="str">
        <f>'Form responses 1'!AX42</f>
        <v/>
      </c>
      <c r="G40" s="4" t="str">
        <f>'Form responses 1'!AY42</f>
        <v/>
      </c>
      <c r="H40" s="53" t="str">
        <f>'Form responses 1'!AW42</f>
        <v/>
      </c>
      <c r="I40" s="4" t="str">
        <f>'Form responses 1'!AS42</f>
        <v/>
      </c>
      <c r="J40" s="4" t="str">
        <f>'Form responses 1'!J42</f>
        <v>Tier-1(AOV&gt;400)</v>
      </c>
      <c r="K40" s="4">
        <f>'Form responses 1'!G42</f>
        <v>1000</v>
      </c>
      <c r="L40" s="4">
        <f>'Form responses 1'!F42</f>
        <v>300</v>
      </c>
      <c r="M40" s="4" t="str">
        <f>'Form responses 1'!U42</f>
        <v>Bhargav</v>
      </c>
      <c r="N40" s="4">
        <f>'Form responses 1'!V42</f>
        <v>8019447999</v>
      </c>
      <c r="O40" s="4" t="str">
        <f>'Form responses 1'!W42</f>
        <v>-</v>
      </c>
      <c r="P40" s="4" t="str">
        <f>'Form responses 1'!X42</f>
        <v/>
      </c>
      <c r="Q40" s="4" t="str">
        <f>'Form responses 1'!Y42</f>
        <v/>
      </c>
      <c r="R40" s="4" t="str">
        <f>'Form responses 1'!Z42</f>
        <v/>
      </c>
      <c r="S40" s="4" t="str">
        <f>'Form responses 1'!AC42</f>
        <v/>
      </c>
      <c r="T40" s="4" t="str">
        <f>'Form responses 1'!AE42</f>
        <v/>
      </c>
      <c r="U40" s="4" t="str">
        <f>'Form responses 1'!AG42</f>
        <v/>
      </c>
      <c r="V40" s="4" t="str">
        <f>'Form responses 1'!AI42</f>
        <v/>
      </c>
      <c r="W40" s="4" t="str">
        <f>'Form responses 1'!AJ42</f>
        <v/>
      </c>
      <c r="X40" s="4" t="str">
        <f>'Form responses 1'!AK42</f>
        <v/>
      </c>
      <c r="Y40" s="4">
        <f t="shared" ref="Y40:AD40" si="39">if(S40&gt;0,1,0)</f>
        <v>0</v>
      </c>
      <c r="Z40" s="4">
        <f t="shared" si="39"/>
        <v>0</v>
      </c>
      <c r="AA40" s="4">
        <f t="shared" si="39"/>
        <v>0</v>
      </c>
      <c r="AB40" s="4">
        <f t="shared" si="39"/>
        <v>0</v>
      </c>
      <c r="AC40" s="4">
        <f t="shared" si="39"/>
        <v>0</v>
      </c>
      <c r="AD40" s="4">
        <f t="shared" si="39"/>
        <v>0</v>
      </c>
      <c r="AE40" s="4" t="str">
        <f>'Form responses 1'!AN42</f>
        <v/>
      </c>
      <c r="AF40" s="4" t="str">
        <f>'Form responses 1'!AO42</f>
        <v/>
      </c>
      <c r="AG40" s="4" t="str">
        <f>'Form responses 1'!AP42</f>
        <v/>
      </c>
      <c r="AH40" s="4" t="str">
        <f>'Form responses 1'!AQ42</f>
        <v/>
      </c>
      <c r="AI40" s="4" t="str">
        <f>'Form responses 1'!AR42</f>
        <v/>
      </c>
    </row>
    <row r="41">
      <c r="A41" s="26">
        <f>'Form responses 1'!B43</f>
        <v>46059</v>
      </c>
      <c r="B41" s="4" t="str">
        <f>'Form responses 1'!AZ43</f>
        <v>akhila.narra@capsdelivery.com</v>
      </c>
      <c r="C41" s="4" t="str">
        <f>'Form responses 1'!BR43</f>
        <v>Singha Dhaba</v>
      </c>
      <c r="D41" s="4" t="str">
        <f>'Form responses 1'!AT43</f>
        <v/>
      </c>
      <c r="E41" s="4" t="str">
        <f>'Form responses 1'!AU43</f>
        <v>Yes</v>
      </c>
      <c r="F41" s="26">
        <f>'Form responses 1'!AX43</f>
        <v>46059</v>
      </c>
      <c r="G41" s="52">
        <f>'Form responses 1'!AY43</f>
        <v>0.5208333333</v>
      </c>
      <c r="H41" s="53" t="str">
        <f>'Form responses 1'!AW43</f>
        <v>NA</v>
      </c>
      <c r="I41" s="4" t="str">
        <f>'Form responses 1'!AS43</f>
        <v/>
      </c>
      <c r="J41" s="4" t="str">
        <f>'Form responses 1'!J43</f>
        <v/>
      </c>
      <c r="K41" s="4" t="str">
        <f>'Form responses 1'!G43</f>
        <v/>
      </c>
      <c r="L41" s="4" t="str">
        <f>'Form responses 1'!F43</f>
        <v/>
      </c>
      <c r="M41" s="4" t="str">
        <f>'Form responses 1'!U43</f>
        <v>Surendar Singh</v>
      </c>
      <c r="N41" s="4">
        <f>'Form responses 1'!V43</f>
        <v>9848814600</v>
      </c>
      <c r="O41" s="4" t="str">
        <f>'Form responses 1'!W43</f>
        <v>NA</v>
      </c>
      <c r="P41" s="4" t="str">
        <f>'Form responses 1'!X43</f>
        <v>Jaspreet Singh</v>
      </c>
      <c r="Q41" s="4">
        <f>'Form responses 1'!Y43</f>
        <v>9848444396</v>
      </c>
      <c r="R41" s="4" t="str">
        <f>'Form responses 1'!Z43</f>
        <v>NA</v>
      </c>
      <c r="S41" s="4" t="str">
        <f>'Form responses 1'!AC43</f>
        <v/>
      </c>
      <c r="T41" s="4" t="str">
        <f>'Form responses 1'!AE43</f>
        <v/>
      </c>
      <c r="U41" s="4" t="str">
        <f>'Form responses 1'!AG43</f>
        <v/>
      </c>
      <c r="V41" s="4" t="str">
        <f>'Form responses 1'!AI43</f>
        <v/>
      </c>
      <c r="W41" s="4" t="str">
        <f>'Form responses 1'!AJ43</f>
        <v/>
      </c>
      <c r="X41" s="4" t="str">
        <f>'Form responses 1'!AK43</f>
        <v/>
      </c>
      <c r="Y41" s="4">
        <f t="shared" ref="Y41:AD41" si="40">if(S41&gt;0,1,0)</f>
        <v>0</v>
      </c>
      <c r="Z41" s="4">
        <f t="shared" si="40"/>
        <v>0</v>
      </c>
      <c r="AA41" s="4">
        <f t="shared" si="40"/>
        <v>0</v>
      </c>
      <c r="AB41" s="4">
        <f t="shared" si="40"/>
        <v>0</v>
      </c>
      <c r="AC41" s="4">
        <f t="shared" si="40"/>
        <v>0</v>
      </c>
      <c r="AD41" s="4">
        <f t="shared" si="40"/>
        <v>0</v>
      </c>
      <c r="AE41" s="4" t="str">
        <f>'Form responses 1'!AN43</f>
        <v/>
      </c>
      <c r="AF41" s="4" t="str">
        <f>'Form responses 1'!AO43</f>
        <v/>
      </c>
      <c r="AG41" s="4" t="str">
        <f>'Form responses 1'!AP43</f>
        <v/>
      </c>
      <c r="AH41" s="4" t="str">
        <f>'Form responses 1'!AQ43</f>
        <v/>
      </c>
      <c r="AI41" s="4" t="str">
        <f>'Form responses 1'!AR43</f>
        <v/>
      </c>
    </row>
    <row r="42">
      <c r="A42" s="26">
        <f>'Form responses 1'!B44</f>
        <v>46059</v>
      </c>
      <c r="B42" s="4" t="str">
        <f>'Form responses 1'!AZ44</f>
        <v>manasa.chigurupati@capsdelivery.com</v>
      </c>
      <c r="C42" s="4" t="str">
        <f>'Form responses 1'!BR44</f>
        <v>Ohri's Cake Nation</v>
      </c>
      <c r="D42" s="4" t="str">
        <f>'Form responses 1'!AT44</f>
        <v/>
      </c>
      <c r="E42" s="4" t="str">
        <f>'Form responses 1'!AU44</f>
        <v>Yes</v>
      </c>
      <c r="F42" s="26">
        <f>'Form responses 1'!AX44</f>
        <v>46069</v>
      </c>
      <c r="G42" s="52">
        <f>'Form responses 1'!AY44</f>
        <v>0.4583333333</v>
      </c>
      <c r="H42" s="53" t="str">
        <f>'Form responses 1'!AW44</f>
        <v>documents collection</v>
      </c>
      <c r="I42" s="4" t="str">
        <f>'Form responses 1'!AS44</f>
        <v/>
      </c>
      <c r="J42" s="4" t="str">
        <f>'Form responses 1'!J44</f>
        <v>Tier-1(AOV&gt;400)</v>
      </c>
      <c r="K42" s="4">
        <f>'Form responses 1'!G44</f>
        <v>600</v>
      </c>
      <c r="L42" s="4">
        <f>'Form responses 1'!F44</f>
        <v>150</v>
      </c>
      <c r="M42" s="4" t="str">
        <f>'Form responses 1'!U44</f>
        <v>Ravi Kanth</v>
      </c>
      <c r="N42" s="4">
        <f>'Form responses 1'!V44</f>
        <v>6309794222</v>
      </c>
      <c r="O42" s="4" t="str">
        <f>'Form responses 1'!W44</f>
        <v>-</v>
      </c>
      <c r="P42" s="4" t="str">
        <f>'Form responses 1'!X44</f>
        <v/>
      </c>
      <c r="Q42" s="4" t="str">
        <f>'Form responses 1'!Y44</f>
        <v/>
      </c>
      <c r="R42" s="4" t="str">
        <f>'Form responses 1'!Z44</f>
        <v/>
      </c>
      <c r="S42" s="4" t="str">
        <f>'Form responses 1'!AC44</f>
        <v/>
      </c>
      <c r="T42" s="4" t="str">
        <f>'Form responses 1'!AE44</f>
        <v/>
      </c>
      <c r="U42" s="4" t="str">
        <f>'Form responses 1'!AG44</f>
        <v/>
      </c>
      <c r="V42" s="4" t="str">
        <f>'Form responses 1'!AI44</f>
        <v/>
      </c>
      <c r="W42" s="4" t="str">
        <f>'Form responses 1'!AJ44</f>
        <v/>
      </c>
      <c r="X42" s="4" t="str">
        <f>'Form responses 1'!AK44</f>
        <v/>
      </c>
      <c r="Y42" s="4">
        <f t="shared" ref="Y42:AD42" si="41">if(S42&gt;0,1,0)</f>
        <v>0</v>
      </c>
      <c r="Z42" s="4">
        <f t="shared" si="41"/>
        <v>0</v>
      </c>
      <c r="AA42" s="4">
        <f t="shared" si="41"/>
        <v>0</v>
      </c>
      <c r="AB42" s="4">
        <f t="shared" si="41"/>
        <v>0</v>
      </c>
      <c r="AC42" s="4">
        <f t="shared" si="41"/>
        <v>0</v>
      </c>
      <c r="AD42" s="4">
        <f t="shared" si="41"/>
        <v>0</v>
      </c>
      <c r="AE42" s="4" t="str">
        <f>'Form responses 1'!AN44</f>
        <v/>
      </c>
      <c r="AF42" s="4" t="str">
        <f>'Form responses 1'!AO44</f>
        <v/>
      </c>
      <c r="AG42" s="4" t="str">
        <f>'Form responses 1'!AP44</f>
        <v/>
      </c>
      <c r="AH42" s="4" t="str">
        <f>'Form responses 1'!AQ44</f>
        <v/>
      </c>
      <c r="AI42" s="4" t="str">
        <f>'Form responses 1'!AR44</f>
        <v/>
      </c>
    </row>
    <row r="43">
      <c r="A43" s="26">
        <f>'Form responses 1'!B45</f>
        <v>46059</v>
      </c>
      <c r="B43" s="4" t="str">
        <f>'Form responses 1'!AZ45</f>
        <v>manasa.chigurupati@capsdelivery.com</v>
      </c>
      <c r="C43" s="4" t="str">
        <f>'Form responses 1'!BR45</f>
        <v>KNOX </v>
      </c>
      <c r="D43" s="4" t="str">
        <f>'Form responses 1'!AT45</f>
        <v/>
      </c>
      <c r="E43" s="4" t="str">
        <f>'Form responses 1'!AU45</f>
        <v>Yes</v>
      </c>
      <c r="F43" s="26">
        <f>'Form responses 1'!AX45</f>
        <v>46064</v>
      </c>
      <c r="G43" s="52">
        <f>'Form responses 1'!AY45</f>
        <v>0.3958333333</v>
      </c>
      <c r="H43" s="53" t="str">
        <f>'Form responses 1'!AW45</f>
        <v>commissions &amp; documents signs</v>
      </c>
      <c r="I43" s="4" t="str">
        <f>'Form responses 1'!AS45</f>
        <v/>
      </c>
      <c r="J43" s="4" t="str">
        <f>'Form responses 1'!J45</f>
        <v>Tier-1(AOV&gt;400)</v>
      </c>
      <c r="K43" s="4">
        <f>'Form responses 1'!G45</f>
        <v>450</v>
      </c>
      <c r="L43" s="4">
        <f>'Form responses 1'!F45</f>
        <v>320</v>
      </c>
      <c r="M43" s="4" t="str">
        <f>'Form responses 1'!U45</f>
        <v>Jashwanth</v>
      </c>
      <c r="N43" s="4">
        <f>'Form responses 1'!V45</f>
        <v>9100007676</v>
      </c>
      <c r="O43" s="4" t="str">
        <f>'Form responses 1'!W45</f>
        <v>knowclubandkitchen@gmail.com</v>
      </c>
      <c r="P43" s="4" t="str">
        <f>'Form responses 1'!X45</f>
        <v/>
      </c>
      <c r="Q43" s="4" t="str">
        <f>'Form responses 1'!Y45</f>
        <v/>
      </c>
      <c r="R43" s="4" t="str">
        <f>'Form responses 1'!Z45</f>
        <v/>
      </c>
      <c r="S43" s="4" t="str">
        <f>'Form responses 1'!AC45</f>
        <v/>
      </c>
      <c r="T43" s="4" t="str">
        <f>'Form responses 1'!AE45</f>
        <v/>
      </c>
      <c r="U43" s="4" t="str">
        <f>'Form responses 1'!AG45</f>
        <v/>
      </c>
      <c r="V43" s="4" t="str">
        <f>'Form responses 1'!AI45</f>
        <v/>
      </c>
      <c r="W43" s="4" t="str">
        <f>'Form responses 1'!AJ45</f>
        <v/>
      </c>
      <c r="X43" s="4" t="str">
        <f>'Form responses 1'!AK45</f>
        <v/>
      </c>
      <c r="Y43" s="4">
        <f t="shared" ref="Y43:AD43" si="42">if(S43&gt;0,1,0)</f>
        <v>0</v>
      </c>
      <c r="Z43" s="4">
        <f t="shared" si="42"/>
        <v>0</v>
      </c>
      <c r="AA43" s="4">
        <f t="shared" si="42"/>
        <v>0</v>
      </c>
      <c r="AB43" s="4">
        <f t="shared" si="42"/>
        <v>0</v>
      </c>
      <c r="AC43" s="4">
        <f t="shared" si="42"/>
        <v>0</v>
      </c>
      <c r="AD43" s="4">
        <f t="shared" si="42"/>
        <v>0</v>
      </c>
      <c r="AE43" s="4" t="str">
        <f>'Form responses 1'!AN45</f>
        <v/>
      </c>
      <c r="AF43" s="4" t="str">
        <f>'Form responses 1'!AO45</f>
        <v/>
      </c>
      <c r="AG43" s="4" t="str">
        <f>'Form responses 1'!AP45</f>
        <v/>
      </c>
      <c r="AH43" s="4" t="str">
        <f>'Form responses 1'!AQ45</f>
        <v/>
      </c>
      <c r="AI43" s="4" t="str">
        <f>'Form responses 1'!AR45</f>
        <v/>
      </c>
    </row>
    <row r="44">
      <c r="A44" s="26">
        <f>'Form responses 1'!B46</f>
        <v>46059</v>
      </c>
      <c r="B44" s="4" t="str">
        <f>'Form responses 1'!AZ46</f>
        <v>manasa.chigurupati@capsdelivery.com</v>
      </c>
      <c r="C44" s="4" t="str">
        <f>'Form responses 1'!BR46</f>
        <v>Zythum</v>
      </c>
      <c r="D44" s="4" t="str">
        <f>'Form responses 1'!AT46</f>
        <v/>
      </c>
      <c r="E44" s="4" t="str">
        <f>'Form responses 1'!AU46</f>
        <v>Yes</v>
      </c>
      <c r="F44" s="26">
        <f>'Form responses 1'!AX46</f>
        <v>46063</v>
      </c>
      <c r="G44" s="52">
        <f>'Form responses 1'!AY46</f>
        <v>0.7083333333</v>
      </c>
      <c r="H44" s="53" t="str">
        <f>'Form responses 1'!AW46</f>
        <v>Commissions, documents collections, Competrtiors</v>
      </c>
      <c r="I44" s="4" t="str">
        <f>'Form responses 1'!AS46</f>
        <v/>
      </c>
      <c r="J44" s="4" t="str">
        <f>'Form responses 1'!J46</f>
        <v>Tier-1(AOV&gt;400)</v>
      </c>
      <c r="K44" s="4">
        <f>'Form responses 1'!G46</f>
        <v>500</v>
      </c>
      <c r="L44" s="4">
        <f>'Form responses 1'!F46</f>
        <v>400</v>
      </c>
      <c r="M44" s="4" t="str">
        <f>'Form responses 1'!U46</f>
        <v>BHURDHABAN</v>
      </c>
      <c r="N44" s="4">
        <f>'Form responses 1'!V46</f>
        <v>8249132908</v>
      </c>
      <c r="O44" s="4" t="str">
        <f>'Form responses 1'!W46</f>
        <v>-</v>
      </c>
      <c r="P44" s="4" t="str">
        <f>'Form responses 1'!X46</f>
        <v/>
      </c>
      <c r="Q44" s="4" t="str">
        <f>'Form responses 1'!Y46</f>
        <v/>
      </c>
      <c r="R44" s="4" t="str">
        <f>'Form responses 1'!Z46</f>
        <v/>
      </c>
      <c r="S44" s="4" t="str">
        <f>'Form responses 1'!AC46</f>
        <v/>
      </c>
      <c r="T44" s="4" t="str">
        <f>'Form responses 1'!AE46</f>
        <v/>
      </c>
      <c r="U44" s="4" t="str">
        <f>'Form responses 1'!AG46</f>
        <v/>
      </c>
      <c r="V44" s="4" t="str">
        <f>'Form responses 1'!AI46</f>
        <v/>
      </c>
      <c r="W44" s="4" t="str">
        <f>'Form responses 1'!AJ46</f>
        <v/>
      </c>
      <c r="X44" s="4" t="str">
        <f>'Form responses 1'!AK46</f>
        <v/>
      </c>
      <c r="Y44" s="4">
        <f t="shared" ref="Y44:AD44" si="43">if(S44&gt;0,1,0)</f>
        <v>0</v>
      </c>
      <c r="Z44" s="4">
        <f t="shared" si="43"/>
        <v>0</v>
      </c>
      <c r="AA44" s="4">
        <f t="shared" si="43"/>
        <v>0</v>
      </c>
      <c r="AB44" s="4">
        <f t="shared" si="43"/>
        <v>0</v>
      </c>
      <c r="AC44" s="4">
        <f t="shared" si="43"/>
        <v>0</v>
      </c>
      <c r="AD44" s="4">
        <f t="shared" si="43"/>
        <v>0</v>
      </c>
      <c r="AE44" s="4" t="str">
        <f>'Form responses 1'!AN46</f>
        <v/>
      </c>
      <c r="AF44" s="4" t="str">
        <f>'Form responses 1'!AO46</f>
        <v/>
      </c>
      <c r="AG44" s="4" t="str">
        <f>'Form responses 1'!AP46</f>
        <v/>
      </c>
      <c r="AH44" s="4" t="str">
        <f>'Form responses 1'!AQ46</f>
        <v/>
      </c>
      <c r="AI44" s="4" t="str">
        <f>'Form responses 1'!AR46</f>
        <v/>
      </c>
    </row>
    <row r="45">
      <c r="A45" s="26">
        <f>'Form responses 1'!B47</f>
        <v>46059</v>
      </c>
      <c r="B45" s="4" t="str">
        <f>'Form responses 1'!AZ47</f>
        <v>ankitha.baske@capsdelivery.com</v>
      </c>
      <c r="C45" s="4" t="str">
        <f>'Form responses 1'!BR47</f>
        <v>Naseeb Cafe</v>
      </c>
      <c r="D45" s="4" t="str">
        <f>'Form responses 1'!AT47</f>
        <v>Onboarding Done</v>
      </c>
      <c r="E45" s="4" t="str">
        <f>'Form responses 1'!AU47</f>
        <v>No</v>
      </c>
      <c r="F45" s="4" t="str">
        <f>'Form responses 1'!AX47</f>
        <v/>
      </c>
      <c r="G45" s="4" t="str">
        <f>'Form responses 1'!AY47</f>
        <v/>
      </c>
      <c r="H45" s="53" t="str">
        <f>'Form responses 1'!AW47</f>
        <v/>
      </c>
      <c r="I45" s="4" t="str">
        <f>'Form responses 1'!AS47</f>
        <v>Yes</v>
      </c>
      <c r="J45" s="4" t="str">
        <f>'Form responses 1'!J47</f>
        <v>Tier-3 ( AOV&lt;200 )</v>
      </c>
      <c r="K45" s="4">
        <f>'Form responses 1'!G47</f>
        <v>250</v>
      </c>
      <c r="L45" s="4">
        <f>'Form responses 1'!F47</f>
        <v>25</v>
      </c>
      <c r="M45" s="4" t="str">
        <f>'Form responses 1'!U47</f>
        <v>Khuddus Hussian</v>
      </c>
      <c r="N45" s="4">
        <f>'Form responses 1'!V47</f>
        <v>9182466676</v>
      </c>
      <c r="O45" s="4" t="str">
        <f>'Form responses 1'!W47</f>
        <v>khuddushussian7@gmail.com</v>
      </c>
      <c r="P45" s="4" t="str">
        <f>'Form responses 1'!X47</f>
        <v/>
      </c>
      <c r="Q45" s="4" t="str">
        <f>'Form responses 1'!Y47</f>
        <v/>
      </c>
      <c r="R45" s="4" t="str">
        <f>'Form responses 1'!Z47</f>
        <v/>
      </c>
      <c r="S45" s="54" t="str">
        <f>'Form responses 1'!AC47</f>
        <v>https://drive.google.com/open?id=1hhJ4HCs3cnLc731dz0ty_EzVSMGi6q8m</v>
      </c>
      <c r="T45" s="4" t="str">
        <f>'Form responses 1'!AE47</f>
        <v/>
      </c>
      <c r="U45" s="54" t="str">
        <f>'Form responses 1'!AG47</f>
        <v>https://drive.google.com/open?id=14IVRIxSnIQQt6lva1v7ExVvqU4V4bM6l</v>
      </c>
      <c r="V45" s="4" t="str">
        <f>'Form responses 1'!AI47</f>
        <v/>
      </c>
      <c r="W45" s="4" t="str">
        <f>'Form responses 1'!AJ47</f>
        <v/>
      </c>
      <c r="X45" s="54" t="str">
        <f>'Form responses 1'!AK47</f>
        <v>https://drive.google.com/open?id=1HoToRS41uHrqu_gErmgajRS9Q13SKrzV</v>
      </c>
      <c r="Y45" s="4">
        <f t="shared" ref="Y45:AD45" si="44">if(S45&gt;0,1,0)</f>
        <v>1</v>
      </c>
      <c r="Z45" s="4">
        <f t="shared" si="44"/>
        <v>0</v>
      </c>
      <c r="AA45" s="4">
        <f t="shared" si="44"/>
        <v>1</v>
      </c>
      <c r="AB45" s="4">
        <f t="shared" si="44"/>
        <v>0</v>
      </c>
      <c r="AC45" s="4">
        <f t="shared" si="44"/>
        <v>0</v>
      </c>
      <c r="AD45" s="4">
        <f t="shared" si="44"/>
        <v>1</v>
      </c>
      <c r="AE45" s="4" t="str">
        <f>'Form responses 1'!AN47</f>
        <v>State Bank Of India</v>
      </c>
      <c r="AF45" s="4" t="str">
        <f>'Form responses 1'!AO47</f>
        <v>Quddus Hussain</v>
      </c>
      <c r="AG45" s="4">
        <f>'Form responses 1'!AP47</f>
        <v>9182466676</v>
      </c>
      <c r="AH45" s="4" t="str">
        <f>'Form responses 1'!AQ47</f>
        <v>khuddushussian7@gmail.com</v>
      </c>
      <c r="AI45" s="4" t="str">
        <f>'Form responses 1'!AR47</f>
        <v>Naseeb Cafe</v>
      </c>
    </row>
    <row r="46">
      <c r="A46" s="26">
        <f>'Form responses 1'!B48</f>
        <v>46059</v>
      </c>
      <c r="B46" s="4" t="str">
        <f>'Form responses 1'!AZ48</f>
        <v>ankitha.baske@capsdelivery.com</v>
      </c>
      <c r="C46" s="4" t="str">
        <f>'Form responses 1'!BR48</f>
        <v>Sri Balaji Family Dhaba</v>
      </c>
      <c r="D46" s="4" t="str">
        <f>'Form responses 1'!AT48</f>
        <v>Onboarding Completed</v>
      </c>
      <c r="E46" s="4" t="str">
        <f>'Form responses 1'!AU48</f>
        <v>No</v>
      </c>
      <c r="F46" s="4" t="str">
        <f>'Form responses 1'!AX48</f>
        <v/>
      </c>
      <c r="G46" s="4" t="str">
        <f>'Form responses 1'!AY48</f>
        <v/>
      </c>
      <c r="H46" s="53" t="str">
        <f>'Form responses 1'!AW48</f>
        <v/>
      </c>
      <c r="I46" s="4" t="str">
        <f>'Form responses 1'!AS48</f>
        <v>Yes</v>
      </c>
      <c r="J46" s="4" t="str">
        <f>'Form responses 1'!J48</f>
        <v>Tier-3 ( AOV&lt;200 )</v>
      </c>
      <c r="K46" s="4">
        <f>'Form responses 1'!G48</f>
        <v>200</v>
      </c>
      <c r="L46" s="4">
        <f>'Form responses 1'!F48</f>
        <v>60</v>
      </c>
      <c r="M46" s="4" t="str">
        <f>'Form responses 1'!U48</f>
        <v>Rihaan</v>
      </c>
      <c r="N46" s="4" t="str">
        <f>'Form responses 1'!V48</f>
        <v>04023536061</v>
      </c>
      <c r="O46" s="4" t="str">
        <f>'Form responses 1'!W48</f>
        <v>bidhaniyasony@gmail.com</v>
      </c>
      <c r="P46" s="4" t="str">
        <f>'Form responses 1'!X48</f>
        <v/>
      </c>
      <c r="Q46" s="4" t="str">
        <f>'Form responses 1'!Y48</f>
        <v/>
      </c>
      <c r="R46" s="4" t="str">
        <f>'Form responses 1'!Z48</f>
        <v/>
      </c>
      <c r="S46" s="54" t="str">
        <f>'Form responses 1'!AC48</f>
        <v>https://drive.google.com/open?id=1aZgR-8WQbSPhz8kdHLDR2naTnc3fOi42</v>
      </c>
      <c r="T46" s="4" t="str">
        <f>'Form responses 1'!AE48</f>
        <v/>
      </c>
      <c r="U46" s="54" t="str">
        <f>'Form responses 1'!AG48</f>
        <v>https://drive.google.com/open?id=1TGEb0yhwAAch3o-uj61e77IJ76PBiiNm</v>
      </c>
      <c r="V46" s="4" t="str">
        <f>'Form responses 1'!AI48</f>
        <v/>
      </c>
      <c r="W46" s="4" t="str">
        <f>'Form responses 1'!AJ48</f>
        <v/>
      </c>
      <c r="X46" s="54" t="str">
        <f>'Form responses 1'!AK48</f>
        <v>https://drive.google.com/open?id=1FHEOkgoHN1uVC9-OPnLYD4xoB1lkx6FT</v>
      </c>
      <c r="Y46" s="4">
        <f t="shared" ref="Y46:AD46" si="45">if(S46&gt;0,1,0)</f>
        <v>1</v>
      </c>
      <c r="Z46" s="4">
        <f t="shared" si="45"/>
        <v>0</v>
      </c>
      <c r="AA46" s="4">
        <f t="shared" si="45"/>
        <v>1</v>
      </c>
      <c r="AB46" s="4">
        <f t="shared" si="45"/>
        <v>0</v>
      </c>
      <c r="AC46" s="4">
        <f t="shared" si="45"/>
        <v>0</v>
      </c>
      <c r="AD46" s="4">
        <f t="shared" si="45"/>
        <v>1</v>
      </c>
      <c r="AE46" s="4" t="str">
        <f>'Form responses 1'!AN48</f>
        <v>DCB Bank Limited</v>
      </c>
      <c r="AF46" s="4" t="str">
        <f>'Form responses 1'!AO48</f>
        <v>B SONI</v>
      </c>
      <c r="AG46" s="4">
        <f>'Form responses 1'!AP48</f>
        <v>9010022093</v>
      </c>
      <c r="AH46" s="4" t="str">
        <f>'Form responses 1'!AQ48</f>
        <v>bidhaniyasony@gmail.com</v>
      </c>
      <c r="AI46" s="4" t="str">
        <f>'Form responses 1'!AR48</f>
        <v>Sri Balaji Family Dhaba</v>
      </c>
    </row>
    <row r="47">
      <c r="A47" s="26">
        <f>'Form responses 1'!B49</f>
        <v>46059</v>
      </c>
      <c r="B47" s="4" t="str">
        <f>'Form responses 1'!AZ49</f>
        <v>manasa.chigurupati@capsdelivery.com</v>
      </c>
      <c r="C47" s="4" t="str">
        <f>'Form responses 1'!BR49</f>
        <v>10th street coffee</v>
      </c>
      <c r="D47" s="4" t="str">
        <f>'Form responses 1'!AT49</f>
        <v/>
      </c>
      <c r="E47" s="4" t="str">
        <f>'Form responses 1'!AU49</f>
        <v>Yes</v>
      </c>
      <c r="F47" s="26">
        <f>'Form responses 1'!AX49</f>
        <v>46082</v>
      </c>
      <c r="G47" s="52">
        <f>'Form responses 1'!AY49</f>
        <v>0.7083333333</v>
      </c>
      <c r="H47" s="53" t="str">
        <f>'Form responses 1'!AW49</f>
        <v>commissions, demo</v>
      </c>
      <c r="I47" s="4" t="str">
        <f>'Form responses 1'!AS49</f>
        <v/>
      </c>
      <c r="J47" s="4" t="str">
        <f>'Form responses 1'!J49</f>
        <v>Tier-2 (AOV &lt;400)</v>
      </c>
      <c r="K47" s="4">
        <f>'Form responses 1'!G49</f>
        <v>300</v>
      </c>
      <c r="L47" s="4">
        <f>'Form responses 1'!F49</f>
        <v>15</v>
      </c>
      <c r="M47" s="4" t="str">
        <f>'Form responses 1'!U49</f>
        <v>Prathap</v>
      </c>
      <c r="N47" s="4">
        <f>'Form responses 1'!V49</f>
        <v>9063906004</v>
      </c>
      <c r="O47" s="4" t="str">
        <f>'Form responses 1'!W49</f>
        <v>-</v>
      </c>
      <c r="P47" s="4" t="str">
        <f>'Form responses 1'!X49</f>
        <v/>
      </c>
      <c r="Q47" s="4" t="str">
        <f>'Form responses 1'!Y49</f>
        <v/>
      </c>
      <c r="R47" s="4" t="str">
        <f>'Form responses 1'!Z49</f>
        <v/>
      </c>
      <c r="S47" s="4" t="str">
        <f>'Form responses 1'!AC49</f>
        <v/>
      </c>
      <c r="T47" s="4" t="str">
        <f>'Form responses 1'!AE49</f>
        <v/>
      </c>
      <c r="U47" s="4" t="str">
        <f>'Form responses 1'!AG49</f>
        <v/>
      </c>
      <c r="V47" s="4" t="str">
        <f>'Form responses 1'!AI49</f>
        <v/>
      </c>
      <c r="W47" s="4" t="str">
        <f>'Form responses 1'!AJ49</f>
        <v/>
      </c>
      <c r="X47" s="4" t="str">
        <f>'Form responses 1'!AK49</f>
        <v/>
      </c>
      <c r="Y47" s="4">
        <f t="shared" ref="Y47:AD47" si="46">if(S47&gt;0,1,0)</f>
        <v>0</v>
      </c>
      <c r="Z47" s="4">
        <f t="shared" si="46"/>
        <v>0</v>
      </c>
      <c r="AA47" s="4">
        <f t="shared" si="46"/>
        <v>0</v>
      </c>
      <c r="AB47" s="4">
        <f t="shared" si="46"/>
        <v>0</v>
      </c>
      <c r="AC47" s="4">
        <f t="shared" si="46"/>
        <v>0</v>
      </c>
      <c r="AD47" s="4">
        <f t="shared" si="46"/>
        <v>0</v>
      </c>
      <c r="AE47" s="4" t="str">
        <f>'Form responses 1'!AN49</f>
        <v/>
      </c>
      <c r="AF47" s="4" t="str">
        <f>'Form responses 1'!AO49</f>
        <v/>
      </c>
      <c r="AG47" s="4" t="str">
        <f>'Form responses 1'!AP49</f>
        <v/>
      </c>
      <c r="AH47" s="4" t="str">
        <f>'Form responses 1'!AQ49</f>
        <v/>
      </c>
      <c r="AI47" s="4" t="str">
        <f>'Form responses 1'!AR49</f>
        <v/>
      </c>
    </row>
    <row r="48">
      <c r="A48" s="26">
        <f>'Form responses 1'!B50</f>
        <v>46059</v>
      </c>
      <c r="B48" s="4" t="str">
        <f>'Form responses 1'!AZ50</f>
        <v>manasa.chigurupati@capsdelivery.com</v>
      </c>
      <c r="C48" s="4" t="str">
        <f>'Form responses 1'!BR50</f>
        <v>Mujataba Grills</v>
      </c>
      <c r="D48" s="4" t="str">
        <f>'Form responses 1'!AT50</f>
        <v/>
      </c>
      <c r="E48" s="4" t="str">
        <f>'Form responses 1'!AU50</f>
        <v>Yes</v>
      </c>
      <c r="F48" s="26">
        <f>'Form responses 1'!AX50</f>
        <v>46063</v>
      </c>
      <c r="G48" s="52">
        <f>'Form responses 1'!AY50</f>
        <v>0.75</v>
      </c>
      <c r="H48" s="53" t="str">
        <f>'Form responses 1'!AW50</f>
        <v>NA</v>
      </c>
      <c r="I48" s="4" t="str">
        <f>'Form responses 1'!AS50</f>
        <v/>
      </c>
      <c r="J48" s="4" t="str">
        <f>'Form responses 1'!J50</f>
        <v>Tier-2 (AOV &lt;400)</v>
      </c>
      <c r="K48" s="4">
        <f>'Form responses 1'!G50</f>
        <v>300</v>
      </c>
      <c r="L48" s="4">
        <f>'Form responses 1'!F50</f>
        <v>200</v>
      </c>
      <c r="M48" s="4" t="str">
        <f>'Form responses 1'!U50</f>
        <v>AFROZE</v>
      </c>
      <c r="N48" s="4">
        <f>'Form responses 1'!V50</f>
        <v>9032417871</v>
      </c>
      <c r="O48" s="4" t="str">
        <f>'Form responses 1'!W50</f>
        <v>-</v>
      </c>
      <c r="P48" s="4" t="str">
        <f>'Form responses 1'!X50</f>
        <v/>
      </c>
      <c r="Q48" s="4" t="str">
        <f>'Form responses 1'!Y50</f>
        <v/>
      </c>
      <c r="R48" s="4" t="str">
        <f>'Form responses 1'!Z50</f>
        <v/>
      </c>
      <c r="S48" s="4" t="str">
        <f>'Form responses 1'!AC50</f>
        <v/>
      </c>
      <c r="T48" s="4" t="str">
        <f>'Form responses 1'!AE50</f>
        <v/>
      </c>
      <c r="U48" s="4" t="str">
        <f>'Form responses 1'!AG50</f>
        <v/>
      </c>
      <c r="V48" s="4" t="str">
        <f>'Form responses 1'!AI50</f>
        <v/>
      </c>
      <c r="W48" s="4" t="str">
        <f>'Form responses 1'!AJ50</f>
        <v/>
      </c>
      <c r="X48" s="4" t="str">
        <f>'Form responses 1'!AK50</f>
        <v/>
      </c>
      <c r="Y48" s="4">
        <f t="shared" ref="Y48:AD48" si="47">if(S48&gt;0,1,0)</f>
        <v>0</v>
      </c>
      <c r="Z48" s="4">
        <f t="shared" si="47"/>
        <v>0</v>
      </c>
      <c r="AA48" s="4">
        <f t="shared" si="47"/>
        <v>0</v>
      </c>
      <c r="AB48" s="4">
        <f t="shared" si="47"/>
        <v>0</v>
      </c>
      <c r="AC48" s="4">
        <f t="shared" si="47"/>
        <v>0</v>
      </c>
      <c r="AD48" s="4">
        <f t="shared" si="47"/>
        <v>0</v>
      </c>
      <c r="AE48" s="4" t="str">
        <f>'Form responses 1'!AN50</f>
        <v/>
      </c>
      <c r="AF48" s="4" t="str">
        <f>'Form responses 1'!AO50</f>
        <v/>
      </c>
      <c r="AG48" s="4" t="str">
        <f>'Form responses 1'!AP50</f>
        <v/>
      </c>
      <c r="AH48" s="4" t="str">
        <f>'Form responses 1'!AQ50</f>
        <v/>
      </c>
      <c r="AI48" s="4" t="str">
        <f>'Form responses 1'!AR50</f>
        <v/>
      </c>
    </row>
    <row r="49">
      <c r="A49" s="26">
        <f>'Form responses 1'!B51</f>
        <v>46062</v>
      </c>
      <c r="B49" s="4" t="str">
        <f>'Form responses 1'!AZ51</f>
        <v>parthive.maganti@capsdelivery.com</v>
      </c>
      <c r="C49" s="4" t="str">
        <f>'Form responses 1'!BR51</f>
        <v>Minerva Blue fox hotel </v>
      </c>
      <c r="D49" s="4" t="str">
        <f>'Form responses 1'!AT51</f>
        <v/>
      </c>
      <c r="E49" s="4" t="str">
        <f>'Form responses 1'!AU51</f>
        <v>Yes</v>
      </c>
      <c r="F49" s="26">
        <f>'Form responses 1'!AX51</f>
        <v>46062</v>
      </c>
      <c r="G49" s="52">
        <f>'Form responses 1'!AY51</f>
        <v>0.125</v>
      </c>
      <c r="H49" s="53" t="str">
        <f>'Form responses 1'!AW51</f>
        <v>Meetings are with HOD's at minerva group of hotels</v>
      </c>
      <c r="I49" s="4" t="str">
        <f>'Form responses 1'!AS51</f>
        <v/>
      </c>
      <c r="J49" s="4" t="str">
        <f>'Form responses 1'!J51</f>
        <v/>
      </c>
      <c r="K49" s="4" t="str">
        <f>'Form responses 1'!G51</f>
        <v/>
      </c>
      <c r="L49" s="4" t="str">
        <f>'Form responses 1'!F51</f>
        <v/>
      </c>
      <c r="M49" s="4" t="str">
        <f>'Form responses 1'!U51</f>
        <v>Hamzad ali</v>
      </c>
      <c r="N49" s="4">
        <f>'Form responses 1'!V51</f>
        <v>9030266975</v>
      </c>
      <c r="O49" s="4" t="str">
        <f>'Form responses 1'!W51</f>
        <v>Na</v>
      </c>
      <c r="P49" s="4" t="str">
        <f>'Form responses 1'!X51</f>
        <v/>
      </c>
      <c r="Q49" s="4" t="str">
        <f>'Form responses 1'!Y51</f>
        <v/>
      </c>
      <c r="R49" s="4" t="str">
        <f>'Form responses 1'!Z51</f>
        <v/>
      </c>
      <c r="S49" s="4" t="str">
        <f>'Form responses 1'!AC51</f>
        <v/>
      </c>
      <c r="T49" s="4" t="str">
        <f>'Form responses 1'!AE51</f>
        <v/>
      </c>
      <c r="U49" s="4" t="str">
        <f>'Form responses 1'!AG51</f>
        <v/>
      </c>
      <c r="V49" s="4" t="str">
        <f>'Form responses 1'!AI51</f>
        <v/>
      </c>
      <c r="W49" s="4" t="str">
        <f>'Form responses 1'!AJ51</f>
        <v/>
      </c>
      <c r="X49" s="4" t="str">
        <f>'Form responses 1'!AK51</f>
        <v/>
      </c>
      <c r="Y49" s="4">
        <f t="shared" ref="Y49:AD49" si="48">if(S49&gt;0,1,0)</f>
        <v>0</v>
      </c>
      <c r="Z49" s="4">
        <f t="shared" si="48"/>
        <v>0</v>
      </c>
      <c r="AA49" s="4">
        <f t="shared" si="48"/>
        <v>0</v>
      </c>
      <c r="AB49" s="4">
        <f t="shared" si="48"/>
        <v>0</v>
      </c>
      <c r="AC49" s="4">
        <f t="shared" si="48"/>
        <v>0</v>
      </c>
      <c r="AD49" s="4">
        <f t="shared" si="48"/>
        <v>0</v>
      </c>
      <c r="AE49" s="4" t="str">
        <f>'Form responses 1'!AN51</f>
        <v/>
      </c>
      <c r="AF49" s="4" t="str">
        <f>'Form responses 1'!AO51</f>
        <v/>
      </c>
      <c r="AG49" s="4" t="str">
        <f>'Form responses 1'!AP51</f>
        <v/>
      </c>
      <c r="AH49" s="4" t="str">
        <f>'Form responses 1'!AQ51</f>
        <v/>
      </c>
      <c r="AI49" s="4" t="str">
        <f>'Form responses 1'!AR51</f>
        <v/>
      </c>
    </row>
    <row r="50">
      <c r="A50" s="26">
        <f>'Form responses 1'!B52</f>
        <v>46062</v>
      </c>
      <c r="B50" s="4" t="str">
        <f>'Form responses 1'!AZ52</f>
        <v>akhila.narra@capsdelivery.com</v>
      </c>
      <c r="C50" s="4" t="str">
        <f>'Form responses 1'!BR52</f>
        <v>Rayalasema Ruchulu</v>
      </c>
      <c r="D50" s="4" t="str">
        <f>'Form responses 1'!AT52</f>
        <v/>
      </c>
      <c r="E50" s="4" t="str">
        <f>'Form responses 1'!AU52</f>
        <v>Yes</v>
      </c>
      <c r="F50" s="26">
        <f>'Form responses 1'!AX52</f>
        <v>46061</v>
      </c>
      <c r="G50" s="52">
        <f>'Form responses 1'!AY52</f>
        <v>0.5208333333</v>
      </c>
      <c r="H50" s="53" t="str">
        <f>'Form responses 1'!AW52</f>
        <v>Need discuss how are Planning the things What our Vision from merchant Pointnof View</v>
      </c>
      <c r="I50" s="4" t="str">
        <f>'Form responses 1'!AS52</f>
        <v/>
      </c>
      <c r="J50" s="4" t="str">
        <f>'Form responses 1'!J52</f>
        <v/>
      </c>
      <c r="K50" s="4" t="str">
        <f>'Form responses 1'!G52</f>
        <v/>
      </c>
      <c r="L50" s="4" t="str">
        <f>'Form responses 1'!F52</f>
        <v/>
      </c>
      <c r="M50" s="4" t="str">
        <f>'Form responses 1'!U52</f>
        <v>99590 20310</v>
      </c>
      <c r="N50" s="4" t="str">
        <f>'Form responses 1'!V52</f>
        <v>99590 20310</v>
      </c>
      <c r="O50" s="4" t="str">
        <f>'Form responses 1'!W52</f>
        <v>NA</v>
      </c>
      <c r="P50" s="4" t="str">
        <f>'Form responses 1'!X52</f>
        <v>NA</v>
      </c>
      <c r="Q50" s="4">
        <f>'Form responses 1'!Y52</f>
        <v>9959020310</v>
      </c>
      <c r="R50" s="4" t="str">
        <f>'Form responses 1'!Z52</f>
        <v>NA</v>
      </c>
      <c r="S50" s="4" t="str">
        <f>'Form responses 1'!AC52</f>
        <v/>
      </c>
      <c r="T50" s="4" t="str">
        <f>'Form responses 1'!AE52</f>
        <v/>
      </c>
      <c r="U50" s="4" t="str">
        <f>'Form responses 1'!AG52</f>
        <v/>
      </c>
      <c r="V50" s="4" t="str">
        <f>'Form responses 1'!AI52</f>
        <v/>
      </c>
      <c r="W50" s="4" t="str">
        <f>'Form responses 1'!AJ52</f>
        <v/>
      </c>
      <c r="X50" s="4" t="str">
        <f>'Form responses 1'!AK52</f>
        <v/>
      </c>
      <c r="Y50" s="4">
        <f t="shared" ref="Y50:AD50" si="49">if(S50&gt;0,1,0)</f>
        <v>0</v>
      </c>
      <c r="Z50" s="4">
        <f t="shared" si="49"/>
        <v>0</v>
      </c>
      <c r="AA50" s="4">
        <f t="shared" si="49"/>
        <v>0</v>
      </c>
      <c r="AB50" s="4">
        <f t="shared" si="49"/>
        <v>0</v>
      </c>
      <c r="AC50" s="4">
        <f t="shared" si="49"/>
        <v>0</v>
      </c>
      <c r="AD50" s="4">
        <f t="shared" si="49"/>
        <v>0</v>
      </c>
      <c r="AE50" s="4" t="str">
        <f>'Form responses 1'!AN52</f>
        <v/>
      </c>
      <c r="AF50" s="4" t="str">
        <f>'Form responses 1'!AO52</f>
        <v/>
      </c>
      <c r="AG50" s="4" t="str">
        <f>'Form responses 1'!AP52</f>
        <v/>
      </c>
      <c r="AH50" s="4" t="str">
        <f>'Form responses 1'!AQ52</f>
        <v/>
      </c>
      <c r="AI50" s="4" t="str">
        <f>'Form responses 1'!AR52</f>
        <v/>
      </c>
    </row>
    <row r="51">
      <c r="A51" s="26">
        <f>'Form responses 1'!B53</f>
        <v>46062</v>
      </c>
      <c r="B51" s="4" t="str">
        <f>'Form responses 1'!AZ53</f>
        <v>parthive.maganti@capsdelivery.com</v>
      </c>
      <c r="C51" s="4" t="str">
        <f>'Form responses 1'!BR53</f>
        <v>Ahara Tiffins</v>
      </c>
      <c r="D51" s="4" t="str">
        <f>'Form responses 1'!AT53</f>
        <v/>
      </c>
      <c r="E51" s="4" t="str">
        <f>'Form responses 1'!AU53</f>
        <v>Yes</v>
      </c>
      <c r="F51" s="26">
        <f>'Form responses 1'!AX53</f>
        <v>46062</v>
      </c>
      <c r="G51" s="52">
        <f>'Form responses 1'!AY53</f>
        <v>0.5416666667</v>
      </c>
      <c r="H51" s="53" t="str">
        <f>'Form responses 1'!AW53</f>
        <v>Na</v>
      </c>
      <c r="I51" s="4" t="str">
        <f>'Form responses 1'!AS53</f>
        <v/>
      </c>
      <c r="J51" s="4" t="str">
        <f>'Form responses 1'!J53</f>
        <v/>
      </c>
      <c r="K51" s="4" t="str">
        <f>'Form responses 1'!G53</f>
        <v/>
      </c>
      <c r="L51" s="4" t="str">
        <f>'Form responses 1'!F53</f>
        <v/>
      </c>
      <c r="M51" s="4" t="str">
        <f>'Form responses 1'!U53</f>
        <v>Venu</v>
      </c>
      <c r="N51" s="4">
        <f>'Form responses 1'!V53</f>
        <v>9493106693</v>
      </c>
      <c r="O51" s="4" t="str">
        <f>'Form responses 1'!W53</f>
        <v>Na</v>
      </c>
      <c r="P51" s="4" t="str">
        <f>'Form responses 1'!X53</f>
        <v/>
      </c>
      <c r="Q51" s="4" t="str">
        <f>'Form responses 1'!Y53</f>
        <v/>
      </c>
      <c r="R51" s="4" t="str">
        <f>'Form responses 1'!Z53</f>
        <v/>
      </c>
      <c r="S51" s="4" t="str">
        <f>'Form responses 1'!AC53</f>
        <v/>
      </c>
      <c r="T51" s="4" t="str">
        <f>'Form responses 1'!AE53</f>
        <v/>
      </c>
      <c r="U51" s="4" t="str">
        <f>'Form responses 1'!AG53</f>
        <v/>
      </c>
      <c r="V51" s="4" t="str">
        <f>'Form responses 1'!AI53</f>
        <v/>
      </c>
      <c r="W51" s="4" t="str">
        <f>'Form responses 1'!AJ53</f>
        <v/>
      </c>
      <c r="X51" s="4" t="str">
        <f>'Form responses 1'!AK53</f>
        <v/>
      </c>
      <c r="Y51" s="4">
        <f t="shared" ref="Y51:AD51" si="50">if(S51&gt;0,1,0)</f>
        <v>0</v>
      </c>
      <c r="Z51" s="4">
        <f t="shared" si="50"/>
        <v>0</v>
      </c>
      <c r="AA51" s="4">
        <f t="shared" si="50"/>
        <v>0</v>
      </c>
      <c r="AB51" s="4">
        <f t="shared" si="50"/>
        <v>0</v>
      </c>
      <c r="AC51" s="4">
        <f t="shared" si="50"/>
        <v>0</v>
      </c>
      <c r="AD51" s="4">
        <f t="shared" si="50"/>
        <v>0</v>
      </c>
      <c r="AE51" s="4" t="str">
        <f>'Form responses 1'!AN53</f>
        <v/>
      </c>
      <c r="AF51" s="4" t="str">
        <f>'Form responses 1'!AO53</f>
        <v/>
      </c>
      <c r="AG51" s="4" t="str">
        <f>'Form responses 1'!AP53</f>
        <v/>
      </c>
      <c r="AH51" s="4" t="str">
        <f>'Form responses 1'!AQ53</f>
        <v/>
      </c>
      <c r="AI51" s="4" t="str">
        <f>'Form responses 1'!AR53</f>
        <v/>
      </c>
    </row>
    <row r="52">
      <c r="A52" s="26">
        <f>'Form responses 1'!B54</f>
        <v>46059</v>
      </c>
      <c r="B52" s="4" t="str">
        <f>'Form responses 1'!AZ54</f>
        <v>parthive.maganti@capsdelivery.com</v>
      </c>
      <c r="C52" s="4" t="str">
        <f>'Form responses 1'!BR54</f>
        <v>Samastha Tiffins </v>
      </c>
      <c r="D52" s="4" t="str">
        <f>'Form responses 1'!AT54</f>
        <v/>
      </c>
      <c r="E52" s="4" t="str">
        <f>'Form responses 1'!AU54</f>
        <v>Yes</v>
      </c>
      <c r="F52" s="26">
        <f>'Form responses 1'!AX54</f>
        <v>46062</v>
      </c>
      <c r="G52" s="52">
        <f>'Form responses 1'!AY54</f>
        <v>0.625</v>
      </c>
      <c r="H52" s="53" t="str">
        <f>'Form responses 1'!AW54</f>
        <v>Na</v>
      </c>
      <c r="I52" s="4" t="str">
        <f>'Form responses 1'!AS54</f>
        <v/>
      </c>
      <c r="J52" s="4" t="str">
        <f>'Form responses 1'!J54</f>
        <v>Tier-3 ( AOV&lt;200 )</v>
      </c>
      <c r="K52" s="4">
        <f>'Form responses 1'!G54</f>
        <v>120</v>
      </c>
      <c r="L52" s="4">
        <f>'Form responses 1'!F54</f>
        <v>90</v>
      </c>
      <c r="M52" s="4" t="str">
        <f>'Form responses 1'!U54</f>
        <v>Harsha </v>
      </c>
      <c r="N52" s="4">
        <f>'Form responses 1'!V54</f>
        <v>9704204592</v>
      </c>
      <c r="O52" s="4" t="str">
        <f>'Form responses 1'!W54</f>
        <v>Na</v>
      </c>
      <c r="P52" s="4" t="str">
        <f>'Form responses 1'!X54</f>
        <v/>
      </c>
      <c r="Q52" s="4" t="str">
        <f>'Form responses 1'!Y54</f>
        <v/>
      </c>
      <c r="R52" s="4" t="str">
        <f>'Form responses 1'!Z54</f>
        <v/>
      </c>
      <c r="S52" s="4" t="str">
        <f>'Form responses 1'!AC54</f>
        <v/>
      </c>
      <c r="T52" s="4" t="str">
        <f>'Form responses 1'!AE54</f>
        <v/>
      </c>
      <c r="U52" s="4" t="str">
        <f>'Form responses 1'!AG54</f>
        <v/>
      </c>
      <c r="V52" s="4" t="str">
        <f>'Form responses 1'!AI54</f>
        <v/>
      </c>
      <c r="W52" s="4" t="str">
        <f>'Form responses 1'!AJ54</f>
        <v/>
      </c>
      <c r="X52" s="4" t="str">
        <f>'Form responses 1'!AK54</f>
        <v/>
      </c>
      <c r="Y52" s="4">
        <f t="shared" ref="Y52:AD52" si="51">if(S52&gt;0,1,0)</f>
        <v>0</v>
      </c>
      <c r="Z52" s="4">
        <f t="shared" si="51"/>
        <v>0</v>
      </c>
      <c r="AA52" s="4">
        <f t="shared" si="51"/>
        <v>0</v>
      </c>
      <c r="AB52" s="4">
        <f t="shared" si="51"/>
        <v>0</v>
      </c>
      <c r="AC52" s="4">
        <f t="shared" si="51"/>
        <v>0</v>
      </c>
      <c r="AD52" s="4">
        <f t="shared" si="51"/>
        <v>0</v>
      </c>
      <c r="AE52" s="4" t="str">
        <f>'Form responses 1'!AN54</f>
        <v/>
      </c>
      <c r="AF52" s="4" t="str">
        <f>'Form responses 1'!AO54</f>
        <v/>
      </c>
      <c r="AG52" s="4" t="str">
        <f>'Form responses 1'!AP54</f>
        <v/>
      </c>
      <c r="AH52" s="4" t="str">
        <f>'Form responses 1'!AQ54</f>
        <v/>
      </c>
      <c r="AI52" s="4" t="str">
        <f>'Form responses 1'!AR54</f>
        <v/>
      </c>
    </row>
    <row r="53">
      <c r="A53" s="26">
        <f>'Form responses 1'!B55</f>
        <v>46059</v>
      </c>
      <c r="B53" s="4" t="str">
        <f>'Form responses 1'!AZ55</f>
        <v>parthive.maganti@capsdelivery.com</v>
      </c>
      <c r="C53" s="4" t="str">
        <f>'Form responses 1'!BR55</f>
        <v>Mokshi kitchens</v>
      </c>
      <c r="D53" s="4" t="str">
        <f>'Form responses 1'!AT55</f>
        <v/>
      </c>
      <c r="E53" s="4" t="str">
        <f>'Form responses 1'!AU55</f>
        <v>Yes</v>
      </c>
      <c r="F53" s="26">
        <f>'Form responses 1'!AX55</f>
        <v>46062</v>
      </c>
      <c r="G53" s="52">
        <f>'Form responses 1'!AY55</f>
        <v>0.6458333333</v>
      </c>
      <c r="H53" s="53" t="str">
        <f>'Form responses 1'!AW55</f>
        <v>Na</v>
      </c>
      <c r="I53" s="4" t="str">
        <f>'Form responses 1'!AS55</f>
        <v/>
      </c>
      <c r="J53" s="4" t="str">
        <f>'Form responses 1'!J55</f>
        <v>Tier-3 ( AOV&lt;200 )</v>
      </c>
      <c r="K53" s="4">
        <f>'Form responses 1'!G55</f>
        <v>150</v>
      </c>
      <c r="L53" s="4">
        <f>'Form responses 1'!F55</f>
        <v>90</v>
      </c>
      <c r="M53" s="4" t="str">
        <f>'Form responses 1'!U55</f>
        <v>Harsha</v>
      </c>
      <c r="N53" s="4">
        <f>'Form responses 1'!V55</f>
        <v>9604204592</v>
      </c>
      <c r="O53" s="4" t="str">
        <f>'Form responses 1'!W55</f>
        <v>Na</v>
      </c>
      <c r="P53" s="4" t="str">
        <f>'Form responses 1'!X55</f>
        <v/>
      </c>
      <c r="Q53" s="4" t="str">
        <f>'Form responses 1'!Y55</f>
        <v/>
      </c>
      <c r="R53" s="4" t="str">
        <f>'Form responses 1'!Z55</f>
        <v/>
      </c>
      <c r="S53" s="4" t="str">
        <f>'Form responses 1'!AC55</f>
        <v/>
      </c>
      <c r="T53" s="4" t="str">
        <f>'Form responses 1'!AE55</f>
        <v/>
      </c>
      <c r="U53" s="4" t="str">
        <f>'Form responses 1'!AG55</f>
        <v/>
      </c>
      <c r="V53" s="4" t="str">
        <f>'Form responses 1'!AI55</f>
        <v/>
      </c>
      <c r="W53" s="4" t="str">
        <f>'Form responses 1'!AJ55</f>
        <v/>
      </c>
      <c r="X53" s="4" t="str">
        <f>'Form responses 1'!AK55</f>
        <v/>
      </c>
      <c r="Y53" s="4">
        <f t="shared" ref="Y53:AD53" si="52">if(S53&gt;0,1,0)</f>
        <v>0</v>
      </c>
      <c r="Z53" s="4">
        <f t="shared" si="52"/>
        <v>0</v>
      </c>
      <c r="AA53" s="4">
        <f t="shared" si="52"/>
        <v>0</v>
      </c>
      <c r="AB53" s="4">
        <f t="shared" si="52"/>
        <v>0</v>
      </c>
      <c r="AC53" s="4">
        <f t="shared" si="52"/>
        <v>0</v>
      </c>
      <c r="AD53" s="4">
        <f t="shared" si="52"/>
        <v>0</v>
      </c>
      <c r="AE53" s="4" t="str">
        <f>'Form responses 1'!AN55</f>
        <v/>
      </c>
      <c r="AF53" s="4" t="str">
        <f>'Form responses 1'!AO55</f>
        <v/>
      </c>
      <c r="AG53" s="4" t="str">
        <f>'Form responses 1'!AP55</f>
        <v/>
      </c>
      <c r="AH53" s="4" t="str">
        <f>'Form responses 1'!AQ55</f>
        <v/>
      </c>
      <c r="AI53" s="4" t="str">
        <f>'Form responses 1'!AR55</f>
        <v/>
      </c>
    </row>
    <row r="54">
      <c r="A54" s="26">
        <f>'Form responses 1'!B56</f>
        <v>46059</v>
      </c>
      <c r="B54" s="4" t="str">
        <f>'Form responses 1'!AZ56</f>
        <v>parthive.maganti@capsdelivery.com</v>
      </c>
      <c r="C54" s="4" t="str">
        <f>'Form responses 1'!BR56</f>
        <v>Exotic Shawarma</v>
      </c>
      <c r="D54" s="4" t="str">
        <f>'Form responses 1'!AT56</f>
        <v/>
      </c>
      <c r="E54" s="4" t="str">
        <f>'Form responses 1'!AU56</f>
        <v>Yes</v>
      </c>
      <c r="F54" s="26">
        <f>'Form responses 1'!AX56</f>
        <v>46062</v>
      </c>
      <c r="G54" s="52">
        <f>'Form responses 1'!AY56</f>
        <v>0.4166666667</v>
      </c>
      <c r="H54" s="53" t="str">
        <f>'Form responses 1'!AW56</f>
        <v>Na</v>
      </c>
      <c r="I54" s="4" t="str">
        <f>'Form responses 1'!AS56</f>
        <v/>
      </c>
      <c r="J54" s="4" t="str">
        <f>'Form responses 1'!J56</f>
        <v>Tier-3 ( AOV&lt;200 )</v>
      </c>
      <c r="K54" s="4">
        <f>'Form responses 1'!G56</f>
        <v>160</v>
      </c>
      <c r="L54" s="4">
        <f>'Form responses 1'!F56</f>
        <v>60</v>
      </c>
      <c r="M54" s="4" t="str">
        <f>'Form responses 1'!U56</f>
        <v>Vinesh Reddy</v>
      </c>
      <c r="N54" s="4">
        <f>'Form responses 1'!V56</f>
        <v>8500703171</v>
      </c>
      <c r="O54" s="4" t="str">
        <f>'Form responses 1'!W56</f>
        <v>Na</v>
      </c>
      <c r="P54" s="4" t="str">
        <f>'Form responses 1'!X56</f>
        <v/>
      </c>
      <c r="Q54" s="4" t="str">
        <f>'Form responses 1'!Y56</f>
        <v/>
      </c>
      <c r="R54" s="4" t="str">
        <f>'Form responses 1'!Z56</f>
        <v/>
      </c>
      <c r="S54" s="4" t="str">
        <f>'Form responses 1'!AC56</f>
        <v/>
      </c>
      <c r="T54" s="4" t="str">
        <f>'Form responses 1'!AE56</f>
        <v/>
      </c>
      <c r="U54" s="4" t="str">
        <f>'Form responses 1'!AG56</f>
        <v/>
      </c>
      <c r="V54" s="4" t="str">
        <f>'Form responses 1'!AI56</f>
        <v/>
      </c>
      <c r="W54" s="4" t="str">
        <f>'Form responses 1'!AJ56</f>
        <v/>
      </c>
      <c r="X54" s="4" t="str">
        <f>'Form responses 1'!AK56</f>
        <v/>
      </c>
      <c r="Y54" s="4">
        <f t="shared" ref="Y54:AD54" si="53">if(S54&gt;0,1,0)</f>
        <v>0</v>
      </c>
      <c r="Z54" s="4">
        <f t="shared" si="53"/>
        <v>0</v>
      </c>
      <c r="AA54" s="4">
        <f t="shared" si="53"/>
        <v>0</v>
      </c>
      <c r="AB54" s="4">
        <f t="shared" si="53"/>
        <v>0</v>
      </c>
      <c r="AC54" s="4">
        <f t="shared" si="53"/>
        <v>0</v>
      </c>
      <c r="AD54" s="4">
        <f t="shared" si="53"/>
        <v>0</v>
      </c>
      <c r="AE54" s="4" t="str">
        <f>'Form responses 1'!AN56</f>
        <v/>
      </c>
      <c r="AF54" s="4" t="str">
        <f>'Form responses 1'!AO56</f>
        <v/>
      </c>
      <c r="AG54" s="4" t="str">
        <f>'Form responses 1'!AP56</f>
        <v/>
      </c>
      <c r="AH54" s="4" t="str">
        <f>'Form responses 1'!AQ56</f>
        <v/>
      </c>
      <c r="AI54" s="4" t="str">
        <f>'Form responses 1'!AR56</f>
        <v/>
      </c>
    </row>
    <row r="55">
      <c r="A55" s="26">
        <f>'Form responses 1'!B57</f>
        <v>46059</v>
      </c>
      <c r="B55" s="4" t="str">
        <f>'Form responses 1'!AZ57</f>
        <v>parthive.maganti@capsdelivery.com</v>
      </c>
      <c r="C55" s="4" t="str">
        <f>'Form responses 1'!BR57</f>
        <v>Sri Sai Swetha foods</v>
      </c>
      <c r="D55" s="4" t="str">
        <f>'Form responses 1'!AT57</f>
        <v/>
      </c>
      <c r="E55" s="4" t="str">
        <f>'Form responses 1'!AU57</f>
        <v>Yes</v>
      </c>
      <c r="F55" s="26">
        <f>'Form responses 1'!AX57</f>
        <v>46062</v>
      </c>
      <c r="G55" s="52">
        <f>'Form responses 1'!AY57</f>
        <v>0.4375</v>
      </c>
      <c r="H55" s="53" t="str">
        <f>'Form responses 1'!AW57</f>
        <v>Na</v>
      </c>
      <c r="I55" s="4" t="str">
        <f>'Form responses 1'!AS57</f>
        <v/>
      </c>
      <c r="J55" s="4" t="str">
        <f>'Form responses 1'!J57</f>
        <v>Tier-3 ( AOV&lt;200 )</v>
      </c>
      <c r="K55" s="4">
        <f>'Form responses 1'!G57</f>
        <v>200</v>
      </c>
      <c r="L55" s="4">
        <f>'Form responses 1'!F57</f>
        <v>100</v>
      </c>
      <c r="M55" s="4" t="str">
        <f>'Form responses 1'!U57</f>
        <v>Praveen</v>
      </c>
      <c r="N55" s="4">
        <f>'Form responses 1'!V57</f>
        <v>9032460766</v>
      </c>
      <c r="O55" s="4" t="str">
        <f>'Form responses 1'!W57</f>
        <v>Na</v>
      </c>
      <c r="P55" s="4" t="str">
        <f>'Form responses 1'!X57</f>
        <v/>
      </c>
      <c r="Q55" s="4" t="str">
        <f>'Form responses 1'!Y57</f>
        <v/>
      </c>
      <c r="R55" s="4" t="str">
        <f>'Form responses 1'!Z57</f>
        <v/>
      </c>
      <c r="S55" s="4" t="str">
        <f>'Form responses 1'!AC57</f>
        <v/>
      </c>
      <c r="T55" s="4" t="str">
        <f>'Form responses 1'!AE57</f>
        <v/>
      </c>
      <c r="U55" s="4" t="str">
        <f>'Form responses 1'!AG57</f>
        <v/>
      </c>
      <c r="V55" s="4" t="str">
        <f>'Form responses 1'!AI57</f>
        <v/>
      </c>
      <c r="W55" s="4" t="str">
        <f>'Form responses 1'!AJ57</f>
        <v/>
      </c>
      <c r="X55" s="4" t="str">
        <f>'Form responses 1'!AK57</f>
        <v/>
      </c>
      <c r="Y55" s="4">
        <f t="shared" ref="Y55:AD55" si="54">if(S55&gt;0,1,0)</f>
        <v>0</v>
      </c>
      <c r="Z55" s="4">
        <f t="shared" si="54"/>
        <v>0</v>
      </c>
      <c r="AA55" s="4">
        <f t="shared" si="54"/>
        <v>0</v>
      </c>
      <c r="AB55" s="4">
        <f t="shared" si="54"/>
        <v>0</v>
      </c>
      <c r="AC55" s="4">
        <f t="shared" si="54"/>
        <v>0</v>
      </c>
      <c r="AD55" s="4">
        <f t="shared" si="54"/>
        <v>0</v>
      </c>
      <c r="AE55" s="4" t="str">
        <f>'Form responses 1'!AN57</f>
        <v/>
      </c>
      <c r="AF55" s="4" t="str">
        <f>'Form responses 1'!AO57</f>
        <v/>
      </c>
      <c r="AG55" s="4" t="str">
        <f>'Form responses 1'!AP57</f>
        <v/>
      </c>
      <c r="AH55" s="4" t="str">
        <f>'Form responses 1'!AQ57</f>
        <v/>
      </c>
      <c r="AI55" s="4" t="str">
        <f>'Form responses 1'!AR57</f>
        <v/>
      </c>
    </row>
    <row r="56">
      <c r="A56" s="26">
        <f>'Form responses 1'!B58</f>
        <v>46055</v>
      </c>
      <c r="B56" s="4" t="str">
        <f>'Form responses 1'!AZ58</f>
        <v>ankitha.baske@capsdelivery.com</v>
      </c>
      <c r="C56" s="4" t="str">
        <f>'Form responses 1'!BR58</f>
        <v>JUS VOUS</v>
      </c>
      <c r="D56" s="4" t="str">
        <f>'Form responses 1'!AT58</f>
        <v>Onboarded</v>
      </c>
      <c r="E56" s="4" t="str">
        <f>'Form responses 1'!AU58</f>
        <v>No</v>
      </c>
      <c r="F56" s="4" t="str">
        <f>'Form responses 1'!AX58</f>
        <v/>
      </c>
      <c r="G56" s="4" t="str">
        <f>'Form responses 1'!AY58</f>
        <v/>
      </c>
      <c r="H56" s="53" t="str">
        <f>'Form responses 1'!AW58</f>
        <v/>
      </c>
      <c r="I56" s="4" t="str">
        <f>'Form responses 1'!AS58</f>
        <v>Yes</v>
      </c>
      <c r="J56" s="4" t="str">
        <f>'Form responses 1'!J58</f>
        <v>Tier-3 ( AOV&lt;200 )</v>
      </c>
      <c r="K56" s="4">
        <f>'Form responses 1'!G58</f>
        <v>150</v>
      </c>
      <c r="L56" s="4">
        <f>'Form responses 1'!F58</f>
        <v>50</v>
      </c>
      <c r="M56" s="4" t="str">
        <f>'Form responses 1'!U58</f>
        <v>SHABANA BEGUM</v>
      </c>
      <c r="N56" s="4">
        <f>'Form responses 1'!V58</f>
        <v>8121007155</v>
      </c>
      <c r="O56" s="4" t="str">
        <f>'Form responses 1'!W58</f>
        <v>NA</v>
      </c>
      <c r="P56" s="4" t="str">
        <f>'Form responses 1'!X58</f>
        <v/>
      </c>
      <c r="Q56" s="4" t="str">
        <f>'Form responses 1'!Y58</f>
        <v/>
      </c>
      <c r="R56" s="4" t="str">
        <f>'Form responses 1'!Z58</f>
        <v/>
      </c>
      <c r="S56" s="54" t="str">
        <f>'Form responses 1'!AC58</f>
        <v>https://drive.google.com/open?id=1sAnOS-klkKNxUHLQQA1nebfrNs7UHF3f</v>
      </c>
      <c r="T56" s="4" t="str">
        <f>'Form responses 1'!AE58</f>
        <v/>
      </c>
      <c r="U56" s="54" t="str">
        <f>'Form responses 1'!AG58</f>
        <v>https://drive.google.com/open?id=1SefsNnW2N-5RAzKURGcWE46DoH3EFMvZ</v>
      </c>
      <c r="V56" s="4" t="str">
        <f>'Form responses 1'!AI58</f>
        <v/>
      </c>
      <c r="W56" s="4" t="str">
        <f>'Form responses 1'!AJ58</f>
        <v/>
      </c>
      <c r="X56" s="4" t="str">
        <f>'Form responses 1'!AK58</f>
        <v/>
      </c>
      <c r="Y56" s="4">
        <f t="shared" ref="Y56:AD56" si="55">if(S56&gt;0,1,0)</f>
        <v>1</v>
      </c>
      <c r="Z56" s="4">
        <f t="shared" si="55"/>
        <v>0</v>
      </c>
      <c r="AA56" s="4">
        <f t="shared" si="55"/>
        <v>1</v>
      </c>
      <c r="AB56" s="4">
        <f t="shared" si="55"/>
        <v>0</v>
      </c>
      <c r="AC56" s="4">
        <f t="shared" si="55"/>
        <v>0</v>
      </c>
      <c r="AD56" s="4">
        <f t="shared" si="55"/>
        <v>0</v>
      </c>
      <c r="AE56" s="4" t="str">
        <f>'Form responses 1'!AN58</f>
        <v/>
      </c>
      <c r="AF56" s="4" t="str">
        <f>'Form responses 1'!AO58</f>
        <v/>
      </c>
      <c r="AG56" s="4" t="str">
        <f>'Form responses 1'!AP58</f>
        <v/>
      </c>
      <c r="AH56" s="4" t="str">
        <f>'Form responses 1'!AQ58</f>
        <v/>
      </c>
      <c r="AI56" s="4" t="str">
        <f>'Form responses 1'!AR58</f>
        <v/>
      </c>
    </row>
    <row r="57">
      <c r="A57" s="26">
        <f>'Form responses 1'!B59</f>
        <v>46055</v>
      </c>
      <c r="B57" s="4" t="str">
        <f>'Form responses 1'!AZ59</f>
        <v>ankitha.baske@capsdelivery.com</v>
      </c>
      <c r="C57" s="4" t="str">
        <f>'Form responses 1'!BR59</f>
        <v>BEGUM KI BIRYANI</v>
      </c>
      <c r="D57" s="4" t="str">
        <f>'Form responses 1'!AT59</f>
        <v>ONBOARDED</v>
      </c>
      <c r="E57" s="4" t="str">
        <f>'Form responses 1'!AU59</f>
        <v>No</v>
      </c>
      <c r="F57" s="4" t="str">
        <f>'Form responses 1'!AX59</f>
        <v/>
      </c>
      <c r="G57" s="4" t="str">
        <f>'Form responses 1'!AY59</f>
        <v/>
      </c>
      <c r="H57" s="53" t="str">
        <f>'Form responses 1'!AW59</f>
        <v/>
      </c>
      <c r="I57" s="4" t="str">
        <f>'Form responses 1'!AS59</f>
        <v>Yes</v>
      </c>
      <c r="J57" s="4" t="str">
        <f>'Form responses 1'!J59</f>
        <v>Tier-3 ( AOV&lt;200 )</v>
      </c>
      <c r="K57" s="4">
        <f>'Form responses 1'!G59</f>
        <v>200</v>
      </c>
      <c r="L57" s="4">
        <f>'Form responses 1'!F59</f>
        <v>100</v>
      </c>
      <c r="M57" s="4" t="str">
        <f>'Form responses 1'!U59</f>
        <v>SYED AMEER HUSSIAN</v>
      </c>
      <c r="N57" s="4">
        <f>'Form responses 1'!V59</f>
        <v>8121007155</v>
      </c>
      <c r="O57" s="4" t="str">
        <f>'Form responses 1'!W59</f>
        <v>NA</v>
      </c>
      <c r="P57" s="4" t="str">
        <f>'Form responses 1'!X59</f>
        <v/>
      </c>
      <c r="Q57" s="4" t="str">
        <f>'Form responses 1'!Y59</f>
        <v/>
      </c>
      <c r="R57" s="4" t="str">
        <f>'Form responses 1'!Z59</f>
        <v/>
      </c>
      <c r="S57" s="54" t="str">
        <f>'Form responses 1'!AC59</f>
        <v>https://drive.google.com/open?id=1S1WlPojpvf1raedXv-niWA3UjYFTUlk5</v>
      </c>
      <c r="T57" s="4" t="str">
        <f>'Form responses 1'!AE59</f>
        <v/>
      </c>
      <c r="U57" s="54" t="str">
        <f>'Form responses 1'!AG59</f>
        <v>https://drive.google.com/open?id=16VMSkJtnx2sth2a93gMBw8bIauhQ4QgY</v>
      </c>
      <c r="V57" s="4" t="str">
        <f>'Form responses 1'!AI59</f>
        <v/>
      </c>
      <c r="W57" s="4" t="str">
        <f>'Form responses 1'!AJ59</f>
        <v/>
      </c>
      <c r="X57" s="4" t="str">
        <f>'Form responses 1'!AK59</f>
        <v/>
      </c>
      <c r="Y57" s="4">
        <f t="shared" ref="Y57:AD57" si="56">if(S57&gt;0,1,0)</f>
        <v>1</v>
      </c>
      <c r="Z57" s="4">
        <f t="shared" si="56"/>
        <v>0</v>
      </c>
      <c r="AA57" s="4">
        <f t="shared" si="56"/>
        <v>1</v>
      </c>
      <c r="AB57" s="4">
        <f t="shared" si="56"/>
        <v>0</v>
      </c>
      <c r="AC57" s="4">
        <f t="shared" si="56"/>
        <v>0</v>
      </c>
      <c r="AD57" s="4">
        <f t="shared" si="56"/>
        <v>0</v>
      </c>
      <c r="AE57" s="4" t="str">
        <f>'Form responses 1'!AN59</f>
        <v/>
      </c>
      <c r="AF57" s="4" t="str">
        <f>'Form responses 1'!AO59</f>
        <v/>
      </c>
      <c r="AG57" s="4" t="str">
        <f>'Form responses 1'!AP59</f>
        <v/>
      </c>
      <c r="AH57" s="4" t="str">
        <f>'Form responses 1'!AQ59</f>
        <v/>
      </c>
      <c r="AI57" s="4" t="str">
        <f>'Form responses 1'!AR59</f>
        <v/>
      </c>
    </row>
    <row r="58">
      <c r="A58" s="26">
        <f>'Form responses 1'!B60</f>
        <v>46058</v>
      </c>
      <c r="B58" s="4" t="str">
        <f>'Form responses 1'!AZ60</f>
        <v>ankitha.baske@capsdelivery.com</v>
      </c>
      <c r="C58" s="4" t="str">
        <f>'Form responses 1'!BR60</f>
        <v>FOOD 4 U</v>
      </c>
      <c r="D58" s="4" t="str">
        <f>'Form responses 1'!AT60</f>
        <v>ONBOARDED</v>
      </c>
      <c r="E58" s="4" t="str">
        <f>'Form responses 1'!AU60</f>
        <v>No</v>
      </c>
      <c r="F58" s="4" t="str">
        <f>'Form responses 1'!AX60</f>
        <v/>
      </c>
      <c r="G58" s="4" t="str">
        <f>'Form responses 1'!AY60</f>
        <v/>
      </c>
      <c r="H58" s="53" t="str">
        <f>'Form responses 1'!AW60</f>
        <v/>
      </c>
      <c r="I58" s="4" t="str">
        <f>'Form responses 1'!AS60</f>
        <v>Yes</v>
      </c>
      <c r="J58" s="4" t="str">
        <f>'Form responses 1'!J60</f>
        <v>Tier-3 ( AOV&lt;200 )</v>
      </c>
      <c r="K58" s="4">
        <f>'Form responses 1'!G60</f>
        <v>150</v>
      </c>
      <c r="L58" s="4">
        <f>'Form responses 1'!F60</f>
        <v>60</v>
      </c>
      <c r="M58" s="4" t="str">
        <f>'Form responses 1'!U60</f>
        <v>MOHD ARSHAD</v>
      </c>
      <c r="N58" s="4">
        <f>'Form responses 1'!V60</f>
        <v>8247496273</v>
      </c>
      <c r="O58" s="4" t="str">
        <f>'Form responses 1'!W60</f>
        <v>NA</v>
      </c>
      <c r="P58" s="4" t="str">
        <f>'Form responses 1'!X60</f>
        <v/>
      </c>
      <c r="Q58" s="4" t="str">
        <f>'Form responses 1'!Y60</f>
        <v/>
      </c>
      <c r="R58" s="4" t="str">
        <f>'Form responses 1'!Z60</f>
        <v/>
      </c>
      <c r="S58" s="54" t="str">
        <f>'Form responses 1'!AC60</f>
        <v>https://drive.google.com/open?id=1yf9M7K7UhdTNA3TQu2NOSU6PrAh13spn</v>
      </c>
      <c r="T58" s="4" t="str">
        <f>'Form responses 1'!AE60</f>
        <v/>
      </c>
      <c r="U58" s="54" t="str">
        <f>'Form responses 1'!AG60</f>
        <v>https://drive.google.com/open?id=1_dVx2u88AJbRK_cdhlcm5w9BOa-NL-qE</v>
      </c>
      <c r="V58" s="4" t="str">
        <f>'Form responses 1'!AI60</f>
        <v/>
      </c>
      <c r="W58" s="4" t="str">
        <f>'Form responses 1'!AJ60</f>
        <v/>
      </c>
      <c r="X58" s="4" t="str">
        <f>'Form responses 1'!AK60</f>
        <v/>
      </c>
      <c r="Y58" s="4">
        <f t="shared" ref="Y58:AD58" si="57">if(S58&gt;0,1,0)</f>
        <v>1</v>
      </c>
      <c r="Z58" s="4">
        <f t="shared" si="57"/>
        <v>0</v>
      </c>
      <c r="AA58" s="4">
        <f t="shared" si="57"/>
        <v>1</v>
      </c>
      <c r="AB58" s="4">
        <f t="shared" si="57"/>
        <v>0</v>
      </c>
      <c r="AC58" s="4">
        <f t="shared" si="57"/>
        <v>0</v>
      </c>
      <c r="AD58" s="4">
        <f t="shared" si="57"/>
        <v>0</v>
      </c>
      <c r="AE58" s="4" t="str">
        <f>'Form responses 1'!AN60</f>
        <v/>
      </c>
      <c r="AF58" s="4" t="str">
        <f>'Form responses 1'!AO60</f>
        <v/>
      </c>
      <c r="AG58" s="4" t="str">
        <f>'Form responses 1'!AP60</f>
        <v/>
      </c>
      <c r="AH58" s="4" t="str">
        <f>'Form responses 1'!AQ60</f>
        <v/>
      </c>
      <c r="AI58" s="4" t="str">
        <f>'Form responses 1'!AR60</f>
        <v/>
      </c>
    </row>
    <row r="59">
      <c r="A59" s="26">
        <f>'Form responses 1'!B61</f>
        <v>46058</v>
      </c>
      <c r="B59" s="4" t="str">
        <f>'Form responses 1'!AZ61</f>
        <v>ankitha.baske@capsdelivery.com</v>
      </c>
      <c r="C59" s="4" t="str">
        <f>'Form responses 1'!BR61</f>
        <v>TAHARI HOUSE</v>
      </c>
      <c r="D59" s="4" t="str">
        <f>'Form responses 1'!AT61</f>
        <v>ONBOARDED</v>
      </c>
      <c r="E59" s="4" t="str">
        <f>'Form responses 1'!AU61</f>
        <v>No</v>
      </c>
      <c r="F59" s="4" t="str">
        <f>'Form responses 1'!AX61</f>
        <v/>
      </c>
      <c r="G59" s="4" t="str">
        <f>'Form responses 1'!AY61</f>
        <v/>
      </c>
      <c r="H59" s="53" t="str">
        <f>'Form responses 1'!AW61</f>
        <v/>
      </c>
      <c r="I59" s="4" t="str">
        <f>'Form responses 1'!AS61</f>
        <v>Yes</v>
      </c>
      <c r="J59" s="4" t="str">
        <f>'Form responses 1'!J61</f>
        <v>Tier-3 ( AOV&lt;200 )</v>
      </c>
      <c r="K59" s="4">
        <f>'Form responses 1'!G61</f>
        <v>200</v>
      </c>
      <c r="L59" s="4">
        <f>'Form responses 1'!F61</f>
        <v>80</v>
      </c>
      <c r="M59" s="4" t="str">
        <f>'Form responses 1'!U61</f>
        <v>MOHAMMED FEROZ</v>
      </c>
      <c r="N59" s="4">
        <f>'Form responses 1'!V61</f>
        <v>7097949648</v>
      </c>
      <c r="O59" s="4" t="str">
        <f>'Form responses 1'!W61</f>
        <v>ak.8977.ak@gmail.com</v>
      </c>
      <c r="P59" s="4" t="str">
        <f>'Form responses 1'!X61</f>
        <v/>
      </c>
      <c r="Q59" s="4" t="str">
        <f>'Form responses 1'!Y61</f>
        <v/>
      </c>
      <c r="R59" s="4" t="str">
        <f>'Form responses 1'!Z61</f>
        <v/>
      </c>
      <c r="S59" s="54" t="str">
        <f>'Form responses 1'!AC61</f>
        <v>https://drive.google.com/open?id=1AlxCOdJ1Za0jZBdQ3zWZHURu3hmd6ii2</v>
      </c>
      <c r="T59" s="4" t="str">
        <f>'Form responses 1'!AE61</f>
        <v/>
      </c>
      <c r="U59" s="4" t="str">
        <f>'Form responses 1'!AG61</f>
        <v/>
      </c>
      <c r="V59" s="4" t="str">
        <f>'Form responses 1'!AI61</f>
        <v/>
      </c>
      <c r="W59" s="4" t="str">
        <f>'Form responses 1'!AJ61</f>
        <v/>
      </c>
      <c r="X59" s="54" t="str">
        <f>'Form responses 1'!AK61</f>
        <v>https://drive.google.com/open?id=1-wjf481GOo4dlMS7Mn0_aN82x0QlqFIb</v>
      </c>
      <c r="Y59" s="4">
        <f t="shared" ref="Y59:AD59" si="58">if(S59&gt;0,1,0)</f>
        <v>1</v>
      </c>
      <c r="Z59" s="4">
        <f t="shared" si="58"/>
        <v>0</v>
      </c>
      <c r="AA59" s="4">
        <f t="shared" si="58"/>
        <v>0</v>
      </c>
      <c r="AB59" s="4">
        <f t="shared" si="58"/>
        <v>0</v>
      </c>
      <c r="AC59" s="4">
        <f t="shared" si="58"/>
        <v>0</v>
      </c>
      <c r="AD59" s="4">
        <f t="shared" si="58"/>
        <v>1</v>
      </c>
      <c r="AE59" s="4" t="str">
        <f>'Form responses 1'!AN61</f>
        <v>Indusland Bank</v>
      </c>
      <c r="AF59" s="4" t="str">
        <f>'Form responses 1'!AO61</f>
        <v>MOHAMMED FEROZ</v>
      </c>
      <c r="AG59" s="4">
        <f>'Form responses 1'!AP61</f>
        <v>7097949648</v>
      </c>
      <c r="AH59" s="4" t="str">
        <f>'Form responses 1'!AQ61</f>
        <v/>
      </c>
      <c r="AI59" s="4" t="str">
        <f>'Form responses 1'!AR61</f>
        <v/>
      </c>
    </row>
    <row r="60">
      <c r="A60" s="26">
        <f>'Form responses 1'!B62</f>
        <v>46058</v>
      </c>
      <c r="B60" s="4" t="str">
        <f>'Form responses 1'!AZ62</f>
        <v>ankitha.baske@capsdelivery.com</v>
      </c>
      <c r="C60" s="4" t="str">
        <f>'Form responses 1'!BR62</f>
        <v>RAHAT RESTURANT</v>
      </c>
      <c r="D60" s="4" t="str">
        <f>'Form responses 1'!AT62</f>
        <v>ONBOARDED</v>
      </c>
      <c r="E60" s="4" t="str">
        <f>'Form responses 1'!AU62</f>
        <v>No</v>
      </c>
      <c r="F60" s="4" t="str">
        <f>'Form responses 1'!AX62</f>
        <v/>
      </c>
      <c r="G60" s="4" t="str">
        <f>'Form responses 1'!AY62</f>
        <v/>
      </c>
      <c r="H60" s="53" t="str">
        <f>'Form responses 1'!AW62</f>
        <v/>
      </c>
      <c r="I60" s="4" t="str">
        <f>'Form responses 1'!AS62</f>
        <v>Yes</v>
      </c>
      <c r="J60" s="4" t="str">
        <f>'Form responses 1'!J62</f>
        <v>Tier-3 ( AOV&lt;200 )</v>
      </c>
      <c r="K60" s="4">
        <f>'Form responses 1'!G62</f>
        <v>200</v>
      </c>
      <c r="L60" s="4">
        <f>'Form responses 1'!F62</f>
        <v>100</v>
      </c>
      <c r="M60" s="4" t="str">
        <f>'Form responses 1'!U62</f>
        <v>MOHAMMED FEROZ</v>
      </c>
      <c r="N60" s="4">
        <f>'Form responses 1'!V62</f>
        <v>7097949648</v>
      </c>
      <c r="O60" s="4" t="str">
        <f>'Form responses 1'!W62</f>
        <v>NA</v>
      </c>
      <c r="P60" s="4" t="str">
        <f>'Form responses 1'!X62</f>
        <v/>
      </c>
      <c r="Q60" s="4" t="str">
        <f>'Form responses 1'!Y62</f>
        <v/>
      </c>
      <c r="R60" s="4" t="str">
        <f>'Form responses 1'!Z62</f>
        <v/>
      </c>
      <c r="S60" s="54" t="str">
        <f>'Form responses 1'!AC62</f>
        <v>https://drive.google.com/open?id=1-8lOUY6jgkJa66YVEByy-q1eWlWTl5rK</v>
      </c>
      <c r="T60" s="4" t="str">
        <f>'Form responses 1'!AE62</f>
        <v/>
      </c>
      <c r="U60" s="4" t="str">
        <f>'Form responses 1'!AG62</f>
        <v/>
      </c>
      <c r="V60" s="4" t="str">
        <f>'Form responses 1'!AI62</f>
        <v/>
      </c>
      <c r="W60" s="4" t="str">
        <f>'Form responses 1'!AJ62</f>
        <v/>
      </c>
      <c r="X60" s="4" t="str">
        <f>'Form responses 1'!AK62</f>
        <v/>
      </c>
      <c r="Y60" s="4">
        <f t="shared" ref="Y60:AD60" si="59">if(S60&gt;0,1,0)</f>
        <v>1</v>
      </c>
      <c r="Z60" s="4">
        <f t="shared" si="59"/>
        <v>0</v>
      </c>
      <c r="AA60" s="4">
        <f t="shared" si="59"/>
        <v>0</v>
      </c>
      <c r="AB60" s="4">
        <f t="shared" si="59"/>
        <v>0</v>
      </c>
      <c r="AC60" s="4">
        <f t="shared" si="59"/>
        <v>0</v>
      </c>
      <c r="AD60" s="4">
        <f t="shared" si="59"/>
        <v>0</v>
      </c>
      <c r="AE60" s="4" t="str">
        <f>'Form responses 1'!AN62</f>
        <v/>
      </c>
      <c r="AF60" s="4" t="str">
        <f>'Form responses 1'!AO62</f>
        <v/>
      </c>
      <c r="AG60" s="4" t="str">
        <f>'Form responses 1'!AP62</f>
        <v/>
      </c>
      <c r="AH60" s="4" t="str">
        <f>'Form responses 1'!AQ62</f>
        <v/>
      </c>
      <c r="AI60" s="4" t="str">
        <f>'Form responses 1'!AR62</f>
        <v/>
      </c>
    </row>
    <row r="61">
      <c r="A61" s="26">
        <f>'Form responses 1'!B63</f>
        <v>46058</v>
      </c>
      <c r="B61" s="4" t="str">
        <f>'Form responses 1'!AZ63</f>
        <v>sumadhur.mummadi@capsdelivery.com</v>
      </c>
      <c r="C61" s="4" t="str">
        <f>'Form responses 1'!BR63</f>
        <v>Bhavani mess</v>
      </c>
      <c r="D61" s="4" t="str">
        <f>'Form responses 1'!AT63</f>
        <v>The restaurant owner Mr Satyanarayana lives in khammam, will get confirmation from him tomorrow. Mr Anil who takes care of bhavani mess in Hyderabad is very impressed with the pitch and is okay for onboarding. Just need Mr Satyanarayana's permission.</v>
      </c>
      <c r="E61" s="4" t="str">
        <f>'Form responses 1'!AU63</f>
        <v/>
      </c>
      <c r="F61" s="4" t="str">
        <f>'Form responses 1'!AX63</f>
        <v/>
      </c>
      <c r="G61" s="4" t="str">
        <f>'Form responses 1'!AY63</f>
        <v/>
      </c>
      <c r="H61" s="53" t="str">
        <f>'Form responses 1'!AW63</f>
        <v/>
      </c>
      <c r="I61" s="4" t="str">
        <f>'Form responses 1'!AS63</f>
        <v>Will follow up tomorrow </v>
      </c>
      <c r="J61" s="4" t="str">
        <f>'Form responses 1'!J63</f>
        <v>Tier-2 (AOV &lt;400)</v>
      </c>
      <c r="K61" s="4">
        <f>'Form responses 1'!G63</f>
        <v>250</v>
      </c>
      <c r="L61" s="4">
        <f>'Form responses 1'!F63</f>
        <v>50</v>
      </c>
      <c r="M61" s="4" t="str">
        <f>'Form responses 1'!U63</f>
        <v>Anil</v>
      </c>
      <c r="N61" s="4" t="str">
        <f>'Form responses 1'!V63</f>
        <v>72868 01930</v>
      </c>
      <c r="O61" s="4" t="str">
        <f>'Form responses 1'!W63</f>
        <v>Na</v>
      </c>
      <c r="P61" s="4" t="str">
        <f>'Form responses 1'!X63</f>
        <v/>
      </c>
      <c r="Q61" s="4" t="str">
        <f>'Form responses 1'!Y63</f>
        <v/>
      </c>
      <c r="R61" s="4" t="str">
        <f>'Form responses 1'!Z63</f>
        <v/>
      </c>
      <c r="S61" s="4" t="str">
        <f>'Form responses 1'!AC63</f>
        <v/>
      </c>
      <c r="T61" s="4" t="str">
        <f>'Form responses 1'!AE63</f>
        <v/>
      </c>
      <c r="U61" s="4" t="str">
        <f>'Form responses 1'!AG63</f>
        <v/>
      </c>
      <c r="V61" s="4" t="str">
        <f>'Form responses 1'!AI63</f>
        <v/>
      </c>
      <c r="W61" s="4" t="str">
        <f>'Form responses 1'!AJ63</f>
        <v/>
      </c>
      <c r="X61" s="4" t="str">
        <f>'Form responses 1'!AK63</f>
        <v/>
      </c>
      <c r="Y61" s="4">
        <f t="shared" ref="Y61:AD61" si="60">if(S61&gt;0,1,0)</f>
        <v>0</v>
      </c>
      <c r="Z61" s="4">
        <f t="shared" si="60"/>
        <v>0</v>
      </c>
      <c r="AA61" s="4">
        <f t="shared" si="60"/>
        <v>0</v>
      </c>
      <c r="AB61" s="4">
        <f t="shared" si="60"/>
        <v>0</v>
      </c>
      <c r="AC61" s="4">
        <f t="shared" si="60"/>
        <v>0</v>
      </c>
      <c r="AD61" s="4">
        <f t="shared" si="60"/>
        <v>0</v>
      </c>
      <c r="AE61" s="4" t="str">
        <f>'Form responses 1'!AN63</f>
        <v/>
      </c>
      <c r="AF61" s="4" t="str">
        <f>'Form responses 1'!AO63</f>
        <v/>
      </c>
      <c r="AG61" s="4" t="str">
        <f>'Form responses 1'!AP63</f>
        <v/>
      </c>
      <c r="AH61" s="4" t="str">
        <f>'Form responses 1'!AQ63</f>
        <v/>
      </c>
      <c r="AI61" s="4" t="str">
        <f>'Form responses 1'!AR63</f>
        <v/>
      </c>
    </row>
    <row r="62">
      <c r="A62" s="26">
        <f>'Form responses 1'!B64</f>
        <v>46058</v>
      </c>
      <c r="B62" s="4" t="str">
        <f>'Form responses 1'!AZ64</f>
        <v>sumadhur.mummadi@capsdelivery.com</v>
      </c>
      <c r="C62" s="4" t="str">
        <f>'Form responses 1'!BR64</f>
        <v>Kausar cafe,Al nabi cafe</v>
      </c>
      <c r="D62" s="4" t="str">
        <f>'Form responses 1'!AT64</f>
        <v/>
      </c>
      <c r="E62" s="4" t="str">
        <f>'Form responses 1'!AU64</f>
        <v>Yes</v>
      </c>
      <c r="F62" s="26">
        <f>'Form responses 1'!AX64</f>
        <v>46062</v>
      </c>
      <c r="G62" s="52">
        <f>'Form responses 1'!AY64</f>
        <v>0.6041666667</v>
      </c>
      <c r="H62" s="53" t="str">
        <f>'Form responses 1'!AW64</f>
        <v/>
      </c>
      <c r="I62" s="4" t="str">
        <f>'Form responses 1'!AS64</f>
        <v>No</v>
      </c>
      <c r="J62" s="4" t="str">
        <f>'Form responses 1'!J64</f>
        <v>Both restaurants are newly opened so no info regarding AOV and POS</v>
      </c>
      <c r="K62" s="4">
        <f>'Form responses 1'!G64</f>
        <v>100</v>
      </c>
      <c r="L62" s="4">
        <f>'Form responses 1'!F64</f>
        <v>30</v>
      </c>
      <c r="M62" s="4" t="str">
        <f>'Form responses 1'!U64</f>
        <v>Mirza Hussain</v>
      </c>
      <c r="N62" s="4" t="str">
        <f>'Form responses 1'!V64</f>
        <v>96403 07014</v>
      </c>
      <c r="O62" s="4" t="str">
        <f>'Form responses 1'!W64</f>
        <v>NA</v>
      </c>
      <c r="P62" s="4" t="str">
        <f>'Form responses 1'!X64</f>
        <v/>
      </c>
      <c r="Q62" s="4" t="str">
        <f>'Form responses 1'!Y64</f>
        <v/>
      </c>
      <c r="R62" s="4" t="str">
        <f>'Form responses 1'!Z64</f>
        <v/>
      </c>
      <c r="S62" s="4" t="str">
        <f>'Form responses 1'!AC64</f>
        <v/>
      </c>
      <c r="T62" s="4" t="str">
        <f>'Form responses 1'!AE64</f>
        <v/>
      </c>
      <c r="U62" s="4" t="str">
        <f>'Form responses 1'!AG64</f>
        <v/>
      </c>
      <c r="V62" s="4" t="str">
        <f>'Form responses 1'!AI64</f>
        <v/>
      </c>
      <c r="W62" s="4" t="str">
        <f>'Form responses 1'!AJ64</f>
        <v/>
      </c>
      <c r="X62" s="4" t="str">
        <f>'Form responses 1'!AK64</f>
        <v/>
      </c>
      <c r="Y62" s="4">
        <f t="shared" ref="Y62:AD62" si="61">if(S62&gt;0,1,0)</f>
        <v>0</v>
      </c>
      <c r="Z62" s="4">
        <f t="shared" si="61"/>
        <v>0</v>
      </c>
      <c r="AA62" s="4">
        <f t="shared" si="61"/>
        <v>0</v>
      </c>
      <c r="AB62" s="4">
        <f t="shared" si="61"/>
        <v>0</v>
      </c>
      <c r="AC62" s="4">
        <f t="shared" si="61"/>
        <v>0</v>
      </c>
      <c r="AD62" s="4">
        <f t="shared" si="61"/>
        <v>0</v>
      </c>
      <c r="AE62" s="4" t="str">
        <f>'Form responses 1'!AN64</f>
        <v/>
      </c>
      <c r="AF62" s="4" t="str">
        <f>'Form responses 1'!AO64</f>
        <v/>
      </c>
      <c r="AG62" s="4" t="str">
        <f>'Form responses 1'!AP64</f>
        <v/>
      </c>
      <c r="AH62" s="4" t="str">
        <f>'Form responses 1'!AQ64</f>
        <v/>
      </c>
      <c r="AI62" s="4" t="str">
        <f>'Form responses 1'!AR64</f>
        <v/>
      </c>
    </row>
    <row r="63">
      <c r="A63" s="26">
        <f>'Form responses 1'!B65</f>
        <v>46059</v>
      </c>
      <c r="B63" s="4" t="str">
        <f>'Form responses 1'!AZ65</f>
        <v>moin.khan@capsdelivery.com</v>
      </c>
      <c r="C63" s="4" t="str">
        <f>'Form responses 1'!BR65</f>
        <v>Madhapuram food court </v>
      </c>
      <c r="D63" s="4" t="str">
        <f>'Form responses 1'!AT65</f>
        <v/>
      </c>
      <c r="E63" s="4" t="str">
        <f>'Form responses 1'!AU65</f>
        <v>Yes</v>
      </c>
      <c r="F63" s="26">
        <f>'Form responses 1'!AX65</f>
        <v>46062</v>
      </c>
      <c r="G63" s="52">
        <f>'Form responses 1'!AY65</f>
        <v>0.625</v>
      </c>
      <c r="H63" s="53" t="str">
        <f>'Form responses 1'!AW65</f>
        <v/>
      </c>
      <c r="I63" s="4" t="str">
        <f>'Form responses 1'!AS65</f>
        <v>Yes</v>
      </c>
      <c r="J63" s="4" t="str">
        <f>'Form responses 1'!J65</f>
        <v>Tier-2 (AOV &lt;400)</v>
      </c>
      <c r="K63" s="4">
        <f>'Form responses 1'!G65</f>
        <v>250</v>
      </c>
      <c r="L63" s="4">
        <f>'Form responses 1'!F65</f>
        <v>50</v>
      </c>
      <c r="M63" s="4" t="str">
        <f>'Form responses 1'!U65</f>
        <v>ANIL</v>
      </c>
      <c r="N63" s="4">
        <f>'Form responses 1'!V65</f>
        <v>7893713995</v>
      </c>
      <c r="O63" s="4" t="str">
        <f>'Form responses 1'!W65</f>
        <v>NA</v>
      </c>
      <c r="P63" s="4" t="str">
        <f>'Form responses 1'!X65</f>
        <v/>
      </c>
      <c r="Q63" s="4" t="str">
        <f>'Form responses 1'!Y65</f>
        <v/>
      </c>
      <c r="R63" s="4" t="str">
        <f>'Form responses 1'!Z65</f>
        <v/>
      </c>
      <c r="S63" s="54" t="str">
        <f>'Form responses 1'!AC65</f>
        <v>https://drive.google.com/open?id=1DlC2bj1dFOqdVO20DL-nBeSxxMLICMpI</v>
      </c>
      <c r="T63" s="4" t="str">
        <f>'Form responses 1'!AE65</f>
        <v/>
      </c>
      <c r="U63" s="54" t="str">
        <f>'Form responses 1'!AG65</f>
        <v>https://drive.google.com/open?id=1mShRP-cqmHVFZLU640-JIitYc1Hbdu-w</v>
      </c>
      <c r="V63" s="4" t="str">
        <f>'Form responses 1'!AI65</f>
        <v/>
      </c>
      <c r="W63" s="4" t="str">
        <f>'Form responses 1'!AJ65</f>
        <v/>
      </c>
      <c r="X63" s="4" t="str">
        <f>'Form responses 1'!AK65</f>
        <v/>
      </c>
      <c r="Y63" s="4">
        <f t="shared" ref="Y63:AD63" si="62">if(S63&gt;0,1,0)</f>
        <v>1</v>
      </c>
      <c r="Z63" s="4">
        <f t="shared" si="62"/>
        <v>0</v>
      </c>
      <c r="AA63" s="4">
        <f t="shared" si="62"/>
        <v>1</v>
      </c>
      <c r="AB63" s="4">
        <f t="shared" si="62"/>
        <v>0</v>
      </c>
      <c r="AC63" s="4">
        <f t="shared" si="62"/>
        <v>0</v>
      </c>
      <c r="AD63" s="4">
        <f t="shared" si="62"/>
        <v>0</v>
      </c>
      <c r="AE63" s="4" t="str">
        <f>'Form responses 1'!AN65</f>
        <v/>
      </c>
      <c r="AF63" s="4" t="str">
        <f>'Form responses 1'!AO65</f>
        <v>MADAPURAM ANIL KUMAR</v>
      </c>
      <c r="AG63" s="4">
        <f>'Form responses 1'!AP65</f>
        <v>7893713995</v>
      </c>
      <c r="AH63" s="4" t="str">
        <f>'Form responses 1'!AQ65</f>
        <v/>
      </c>
      <c r="AI63" s="4" t="str">
        <f>'Form responses 1'!AR65</f>
        <v>Madapuram food court </v>
      </c>
    </row>
    <row r="64">
      <c r="A64" s="26">
        <f>'Form responses 1'!B66</f>
        <v>46059</v>
      </c>
      <c r="B64" s="4" t="str">
        <f>'Form responses 1'!AZ66</f>
        <v>moin.khan@capsdelivery.com</v>
      </c>
      <c r="C64" s="4" t="str">
        <f>'Form responses 1'!BR66</f>
        <v/>
      </c>
      <c r="D64" s="4" t="str">
        <f>'Form responses 1'!AT66</f>
        <v/>
      </c>
      <c r="E64" s="4" t="str">
        <f>'Form responses 1'!AU66</f>
        <v>Yes</v>
      </c>
      <c r="F64" s="26">
        <f>'Form responses 1'!AX66</f>
        <v>46062</v>
      </c>
      <c r="G64" s="52">
        <f>'Form responses 1'!AY66</f>
        <v>0.5833333333</v>
      </c>
      <c r="H64" s="53" t="str">
        <f>'Form responses 1'!AW66</f>
        <v/>
      </c>
      <c r="I64" s="4" t="str">
        <f>'Form responses 1'!AS66</f>
        <v/>
      </c>
      <c r="J64" s="4" t="str">
        <f>'Form responses 1'!J66</f>
        <v/>
      </c>
      <c r="K64" s="4" t="str">
        <f>'Form responses 1'!G66</f>
        <v/>
      </c>
      <c r="L64" s="4" t="str">
        <f>'Form responses 1'!F66</f>
        <v/>
      </c>
      <c r="M64" s="4" t="str">
        <f>'Form responses 1'!U66</f>
        <v>SUDHAKAR</v>
      </c>
      <c r="N64" s="4">
        <f>'Form responses 1'!V66</f>
        <v>9856666589</v>
      </c>
      <c r="O64" s="4" t="str">
        <f>'Form responses 1'!W66</f>
        <v>NA</v>
      </c>
      <c r="P64" s="4" t="str">
        <f>'Form responses 1'!X66</f>
        <v/>
      </c>
      <c r="Q64" s="4" t="str">
        <f>'Form responses 1'!Y66</f>
        <v/>
      </c>
      <c r="R64" s="4" t="str">
        <f>'Form responses 1'!Z66</f>
        <v/>
      </c>
      <c r="S64" s="4" t="str">
        <f>'Form responses 1'!AC66</f>
        <v/>
      </c>
      <c r="T64" s="4" t="str">
        <f>'Form responses 1'!AE66</f>
        <v/>
      </c>
      <c r="U64" s="4" t="str">
        <f>'Form responses 1'!AG66</f>
        <v/>
      </c>
      <c r="V64" s="4" t="str">
        <f>'Form responses 1'!AI66</f>
        <v/>
      </c>
      <c r="W64" s="4" t="str">
        <f>'Form responses 1'!AJ66</f>
        <v/>
      </c>
      <c r="X64" s="4" t="str">
        <f>'Form responses 1'!AK66</f>
        <v/>
      </c>
      <c r="Y64" s="4">
        <f t="shared" ref="Y64:AD64" si="63">if(S64&gt;0,1,0)</f>
        <v>0</v>
      </c>
      <c r="Z64" s="4">
        <f t="shared" si="63"/>
        <v>0</v>
      </c>
      <c r="AA64" s="4">
        <f t="shared" si="63"/>
        <v>0</v>
      </c>
      <c r="AB64" s="4">
        <f t="shared" si="63"/>
        <v>0</v>
      </c>
      <c r="AC64" s="4">
        <f t="shared" si="63"/>
        <v>0</v>
      </c>
      <c r="AD64" s="4">
        <f t="shared" si="63"/>
        <v>0</v>
      </c>
      <c r="AE64" s="4" t="str">
        <f>'Form responses 1'!AN66</f>
        <v/>
      </c>
      <c r="AF64" s="4" t="str">
        <f>'Form responses 1'!AO66</f>
        <v/>
      </c>
      <c r="AG64" s="4" t="str">
        <f>'Form responses 1'!AP66</f>
        <v/>
      </c>
      <c r="AH64" s="4" t="str">
        <f>'Form responses 1'!AQ66</f>
        <v/>
      </c>
      <c r="AI64" s="4" t="str">
        <f>'Form responses 1'!AR66</f>
        <v/>
      </c>
    </row>
    <row r="65">
      <c r="A65" s="26">
        <f>'Form responses 1'!B67</f>
        <v>46059</v>
      </c>
      <c r="B65" s="4" t="str">
        <f>'Form responses 1'!AZ67</f>
        <v>moin.khan@capsdelivery.com</v>
      </c>
      <c r="C65" s="4" t="str">
        <f>'Form responses 1'!BR67</f>
        <v/>
      </c>
      <c r="D65" s="4" t="str">
        <f>'Form responses 1'!AT67</f>
        <v/>
      </c>
      <c r="E65" s="4" t="str">
        <f>'Form responses 1'!AU67</f>
        <v>Yes</v>
      </c>
      <c r="F65" s="26">
        <f>'Form responses 1'!AX67</f>
        <v>46062</v>
      </c>
      <c r="G65" s="52">
        <f>'Form responses 1'!AY67</f>
        <v>0.5416666667</v>
      </c>
      <c r="H65" s="53" t="str">
        <f>'Form responses 1'!AW67</f>
        <v/>
      </c>
      <c r="I65" s="4" t="str">
        <f>'Form responses 1'!AS67</f>
        <v/>
      </c>
      <c r="J65" s="4" t="str">
        <f>'Form responses 1'!J67</f>
        <v/>
      </c>
      <c r="K65" s="4" t="str">
        <f>'Form responses 1'!G67</f>
        <v/>
      </c>
      <c r="L65" s="4" t="str">
        <f>'Form responses 1'!F67</f>
        <v/>
      </c>
      <c r="M65" s="4" t="str">
        <f>'Form responses 1'!U67</f>
        <v>RAVI</v>
      </c>
      <c r="N65" s="4">
        <f>'Form responses 1'!V67</f>
        <v>7702070233</v>
      </c>
      <c r="O65" s="4" t="str">
        <f>'Form responses 1'!W67</f>
        <v>NA</v>
      </c>
      <c r="P65" s="4" t="str">
        <f>'Form responses 1'!X67</f>
        <v/>
      </c>
      <c r="Q65" s="4" t="str">
        <f>'Form responses 1'!Y67</f>
        <v/>
      </c>
      <c r="R65" s="4" t="str">
        <f>'Form responses 1'!Z67</f>
        <v/>
      </c>
      <c r="S65" s="4" t="str">
        <f>'Form responses 1'!AC67</f>
        <v/>
      </c>
      <c r="T65" s="4" t="str">
        <f>'Form responses 1'!AE67</f>
        <v/>
      </c>
      <c r="U65" s="4" t="str">
        <f>'Form responses 1'!AG67</f>
        <v/>
      </c>
      <c r="V65" s="4" t="str">
        <f>'Form responses 1'!AI67</f>
        <v/>
      </c>
      <c r="W65" s="4" t="str">
        <f>'Form responses 1'!AJ67</f>
        <v/>
      </c>
      <c r="X65" s="4" t="str">
        <f>'Form responses 1'!AK67</f>
        <v/>
      </c>
      <c r="Y65" s="4">
        <f t="shared" ref="Y65:AD65" si="64">if(S65&gt;0,1,0)</f>
        <v>0</v>
      </c>
      <c r="Z65" s="4">
        <f t="shared" si="64"/>
        <v>0</v>
      </c>
      <c r="AA65" s="4">
        <f t="shared" si="64"/>
        <v>0</v>
      </c>
      <c r="AB65" s="4">
        <f t="shared" si="64"/>
        <v>0</v>
      </c>
      <c r="AC65" s="4">
        <f t="shared" si="64"/>
        <v>0</v>
      </c>
      <c r="AD65" s="4">
        <f t="shared" si="64"/>
        <v>0</v>
      </c>
      <c r="AE65" s="4" t="str">
        <f>'Form responses 1'!AN67</f>
        <v/>
      </c>
      <c r="AF65" s="4" t="str">
        <f>'Form responses 1'!AO67</f>
        <v/>
      </c>
      <c r="AG65" s="4" t="str">
        <f>'Form responses 1'!AP67</f>
        <v/>
      </c>
      <c r="AH65" s="4" t="str">
        <f>'Form responses 1'!AQ67</f>
        <v/>
      </c>
      <c r="AI65" s="4" t="str">
        <f>'Form responses 1'!AR67</f>
        <v/>
      </c>
    </row>
    <row r="66">
      <c r="A66" s="26">
        <f>'Form responses 1'!B68</f>
        <v>46059</v>
      </c>
      <c r="B66" s="4" t="str">
        <f>'Form responses 1'!AZ68</f>
        <v>moin.khan@capsdelivery.com</v>
      </c>
      <c r="C66" s="4" t="str">
        <f>'Form responses 1'!BR68</f>
        <v>godavari  restaurant </v>
      </c>
      <c r="D66" s="4" t="str">
        <f>'Form responses 1'!AT68</f>
        <v/>
      </c>
      <c r="E66" s="4" t="str">
        <f>'Form responses 1'!AU68</f>
        <v>Yes</v>
      </c>
      <c r="F66" s="26">
        <f>'Form responses 1'!AX68</f>
        <v>46062</v>
      </c>
      <c r="G66" s="52">
        <f>'Form responses 1'!AY68</f>
        <v>0.5833333333</v>
      </c>
      <c r="H66" s="53" t="str">
        <f>'Form responses 1'!AW68</f>
        <v/>
      </c>
      <c r="I66" s="4" t="str">
        <f>'Form responses 1'!AS68</f>
        <v/>
      </c>
      <c r="J66" s="4" t="str">
        <f>'Form responses 1'!J68</f>
        <v/>
      </c>
      <c r="K66" s="4" t="str">
        <f>'Form responses 1'!G68</f>
        <v/>
      </c>
      <c r="L66" s="4" t="str">
        <f>'Form responses 1'!F68</f>
        <v/>
      </c>
      <c r="M66" s="4" t="str">
        <f>'Form responses 1'!U68</f>
        <v>SATYA</v>
      </c>
      <c r="N66" s="4">
        <f>'Form responses 1'!V68</f>
        <v>6281845369</v>
      </c>
      <c r="O66" s="4" t="str">
        <f>'Form responses 1'!W68</f>
        <v>NA</v>
      </c>
      <c r="P66" s="4" t="str">
        <f>'Form responses 1'!X68</f>
        <v/>
      </c>
      <c r="Q66" s="4" t="str">
        <f>'Form responses 1'!Y68</f>
        <v/>
      </c>
      <c r="R66" s="4" t="str">
        <f>'Form responses 1'!Z68</f>
        <v/>
      </c>
      <c r="S66" s="4" t="str">
        <f>'Form responses 1'!AC68</f>
        <v/>
      </c>
      <c r="T66" s="4" t="str">
        <f>'Form responses 1'!AE68</f>
        <v/>
      </c>
      <c r="U66" s="4" t="str">
        <f>'Form responses 1'!AG68</f>
        <v/>
      </c>
      <c r="V66" s="4" t="str">
        <f>'Form responses 1'!AI68</f>
        <v/>
      </c>
      <c r="W66" s="4" t="str">
        <f>'Form responses 1'!AJ68</f>
        <v/>
      </c>
      <c r="X66" s="4" t="str">
        <f>'Form responses 1'!AK68</f>
        <v/>
      </c>
      <c r="Y66" s="4">
        <f t="shared" ref="Y66:AD66" si="65">if(S66&gt;0,1,0)</f>
        <v>0</v>
      </c>
      <c r="Z66" s="4">
        <f t="shared" si="65"/>
        <v>0</v>
      </c>
      <c r="AA66" s="4">
        <f t="shared" si="65"/>
        <v>0</v>
      </c>
      <c r="AB66" s="4">
        <f t="shared" si="65"/>
        <v>0</v>
      </c>
      <c r="AC66" s="4">
        <f t="shared" si="65"/>
        <v>0</v>
      </c>
      <c r="AD66" s="4">
        <f t="shared" si="65"/>
        <v>0</v>
      </c>
      <c r="AE66" s="4" t="str">
        <f>'Form responses 1'!AN68</f>
        <v/>
      </c>
      <c r="AF66" s="4" t="str">
        <f>'Form responses 1'!AO68</f>
        <v/>
      </c>
      <c r="AG66" s="4" t="str">
        <f>'Form responses 1'!AP68</f>
        <v/>
      </c>
      <c r="AH66" s="4" t="str">
        <f>'Form responses 1'!AQ68</f>
        <v/>
      </c>
      <c r="AI66" s="4" t="str">
        <f>'Form responses 1'!AR68</f>
        <v/>
      </c>
    </row>
    <row r="67">
      <c r="A67" s="26">
        <f>'Form responses 1'!B69</f>
        <v>46059</v>
      </c>
      <c r="B67" s="4" t="str">
        <f>'Form responses 1'!AZ69</f>
        <v>moin.khan@capsdelivery.com</v>
      </c>
      <c r="C67" s="4" t="str">
        <f>'Form responses 1'!BR69</f>
        <v/>
      </c>
      <c r="D67" s="4" t="str">
        <f>'Form responses 1'!AT69</f>
        <v/>
      </c>
      <c r="E67" s="4" t="str">
        <f>'Form responses 1'!AU69</f>
        <v>Yes</v>
      </c>
      <c r="F67" s="26">
        <f>'Form responses 1'!AX69</f>
        <v>46062</v>
      </c>
      <c r="G67" s="52">
        <f>'Form responses 1'!AY69</f>
        <v>0.5833333333</v>
      </c>
      <c r="H67" s="53" t="str">
        <f>'Form responses 1'!AW69</f>
        <v/>
      </c>
      <c r="I67" s="4" t="str">
        <f>'Form responses 1'!AS69</f>
        <v/>
      </c>
      <c r="J67" s="4" t="str">
        <f>'Form responses 1'!J69</f>
        <v/>
      </c>
      <c r="K67" s="4" t="str">
        <f>'Form responses 1'!G69</f>
        <v/>
      </c>
      <c r="L67" s="4" t="str">
        <f>'Form responses 1'!F69</f>
        <v/>
      </c>
      <c r="M67" s="4" t="str">
        <f>'Form responses 1'!U69</f>
        <v>JYOTHI</v>
      </c>
      <c r="N67" s="4">
        <f>'Form responses 1'!V69</f>
        <v>9346811687</v>
      </c>
      <c r="O67" s="4" t="str">
        <f>'Form responses 1'!W69</f>
        <v>NA</v>
      </c>
      <c r="P67" s="4" t="str">
        <f>'Form responses 1'!X69</f>
        <v/>
      </c>
      <c r="Q67" s="4" t="str">
        <f>'Form responses 1'!Y69</f>
        <v/>
      </c>
      <c r="R67" s="4" t="str">
        <f>'Form responses 1'!Z69</f>
        <v/>
      </c>
      <c r="S67" s="4" t="str">
        <f>'Form responses 1'!AC69</f>
        <v/>
      </c>
      <c r="T67" s="4" t="str">
        <f>'Form responses 1'!AE69</f>
        <v/>
      </c>
      <c r="U67" s="4" t="str">
        <f>'Form responses 1'!AG69</f>
        <v/>
      </c>
      <c r="V67" s="4" t="str">
        <f>'Form responses 1'!AI69</f>
        <v/>
      </c>
      <c r="W67" s="4" t="str">
        <f>'Form responses 1'!AJ69</f>
        <v/>
      </c>
      <c r="X67" s="4" t="str">
        <f>'Form responses 1'!AK69</f>
        <v/>
      </c>
      <c r="Y67" s="4">
        <f t="shared" ref="Y67:AD67" si="66">if(S67&gt;0,1,0)</f>
        <v>0</v>
      </c>
      <c r="Z67" s="4">
        <f t="shared" si="66"/>
        <v>0</v>
      </c>
      <c r="AA67" s="4">
        <f t="shared" si="66"/>
        <v>0</v>
      </c>
      <c r="AB67" s="4">
        <f t="shared" si="66"/>
        <v>0</v>
      </c>
      <c r="AC67" s="4">
        <f t="shared" si="66"/>
        <v>0</v>
      </c>
      <c r="AD67" s="4">
        <f t="shared" si="66"/>
        <v>0</v>
      </c>
      <c r="AE67" s="4" t="str">
        <f>'Form responses 1'!AN69</f>
        <v/>
      </c>
      <c r="AF67" s="4" t="str">
        <f>'Form responses 1'!AO69</f>
        <v/>
      </c>
      <c r="AG67" s="4" t="str">
        <f>'Form responses 1'!AP69</f>
        <v/>
      </c>
      <c r="AH67" s="4" t="str">
        <f>'Form responses 1'!AQ69</f>
        <v/>
      </c>
      <c r="AI67" s="4" t="str">
        <f>'Form responses 1'!AR69</f>
        <v/>
      </c>
    </row>
    <row r="68">
      <c r="A68" s="26">
        <f>'Form responses 1'!B70</f>
        <v>46059</v>
      </c>
      <c r="B68" s="4" t="str">
        <f>'Form responses 1'!AZ70</f>
        <v>moin.khan@capsdelivery.com</v>
      </c>
      <c r="C68" s="4" t="str">
        <f>'Form responses 1'!BR70</f>
        <v>anand bhavan mess </v>
      </c>
      <c r="D68" s="4" t="str">
        <f>'Form responses 1'!AT70</f>
        <v>ONBOARDED</v>
      </c>
      <c r="E68" s="4" t="str">
        <f>'Form responses 1'!AU70</f>
        <v>No</v>
      </c>
      <c r="F68" s="4" t="str">
        <f>'Form responses 1'!AX70</f>
        <v/>
      </c>
      <c r="G68" s="4" t="str">
        <f>'Form responses 1'!AY70</f>
        <v/>
      </c>
      <c r="H68" s="53" t="str">
        <f>'Form responses 1'!AW70</f>
        <v/>
      </c>
      <c r="I68" s="4" t="str">
        <f>'Form responses 1'!AS70</f>
        <v>Yes</v>
      </c>
      <c r="J68" s="4" t="str">
        <f>'Form responses 1'!J70</f>
        <v>Tier-2 (AOV &lt;400)</v>
      </c>
      <c r="K68" s="4">
        <f>'Form responses 1'!G70</f>
        <v>300</v>
      </c>
      <c r="L68" s="4">
        <f>'Form responses 1'!F70</f>
        <v>50</v>
      </c>
      <c r="M68" s="4" t="str">
        <f>'Form responses 1'!U70</f>
        <v>SHANKAR</v>
      </c>
      <c r="N68" s="4">
        <f>'Form responses 1'!V70</f>
        <v>7093742666</v>
      </c>
      <c r="O68" s="4" t="str">
        <f>'Form responses 1'!W70</f>
        <v>anandbhavanmess@gmail.com</v>
      </c>
      <c r="P68" s="4" t="str">
        <f>'Form responses 1'!X70</f>
        <v/>
      </c>
      <c r="Q68" s="4" t="str">
        <f>'Form responses 1'!Y70</f>
        <v/>
      </c>
      <c r="R68" s="4" t="str">
        <f>'Form responses 1'!Z70</f>
        <v/>
      </c>
      <c r="S68" s="54" t="str">
        <f>'Form responses 1'!AC70</f>
        <v>https://drive.google.com/open?id=1-Dl1aiT5Ad0HRsUNS4BdokXeybknF0vr</v>
      </c>
      <c r="T68" s="4" t="str">
        <f>'Form responses 1'!AE70</f>
        <v/>
      </c>
      <c r="U68" s="54" t="str">
        <f>'Form responses 1'!AG70</f>
        <v>https://drive.google.com/open?id=1AJ6Bfl3fKA7EyjUaT33Q-BEaqLJYLFpE</v>
      </c>
      <c r="V68" s="4" t="str">
        <f>'Form responses 1'!AI70</f>
        <v/>
      </c>
      <c r="W68" s="4" t="str">
        <f>'Form responses 1'!AJ70</f>
        <v/>
      </c>
      <c r="X68" s="54" t="str">
        <f>'Form responses 1'!AK70</f>
        <v>https://drive.google.com/open?id=174krwSmWS-7Ns96sjRGj3zQCcClDenc9</v>
      </c>
      <c r="Y68" s="4">
        <f t="shared" ref="Y68:AD68" si="67">if(S68&gt;0,1,0)</f>
        <v>1</v>
      </c>
      <c r="Z68" s="4">
        <f t="shared" si="67"/>
        <v>0</v>
      </c>
      <c r="AA68" s="4">
        <f t="shared" si="67"/>
        <v>1</v>
      </c>
      <c r="AB68" s="4">
        <f t="shared" si="67"/>
        <v>0</v>
      </c>
      <c r="AC68" s="4">
        <f t="shared" si="67"/>
        <v>0</v>
      </c>
      <c r="AD68" s="4">
        <f t="shared" si="67"/>
        <v>1</v>
      </c>
      <c r="AE68" s="4" t="str">
        <f>'Form responses 1'!AN70</f>
        <v>ANAND BHAVAN MESS</v>
      </c>
      <c r="AF68" s="4" t="str">
        <f>'Form responses 1'!AO70</f>
        <v>SHANKAR</v>
      </c>
      <c r="AG68" s="4">
        <f>'Form responses 1'!AP70</f>
        <v>7093742666</v>
      </c>
      <c r="AH68" s="4" t="str">
        <f>'Form responses 1'!AQ70</f>
        <v>anandbhavanmess@gmail.com</v>
      </c>
      <c r="AI68" s="4" t="str">
        <f>'Form responses 1'!AR70</f>
        <v>ANAND BHAVAN MESS</v>
      </c>
    </row>
    <row r="69">
      <c r="A69" s="26">
        <f>'Form responses 1'!B71</f>
        <v>46059</v>
      </c>
      <c r="B69" s="4" t="str">
        <f>'Form responses 1'!AZ71</f>
        <v>moin.khan@capsdelivery.com</v>
      </c>
      <c r="C69" s="4" t="str">
        <f>'Form responses 1'!BR71</f>
        <v/>
      </c>
      <c r="D69" s="4" t="str">
        <f>'Form responses 1'!AT71</f>
        <v/>
      </c>
      <c r="E69" s="4" t="str">
        <f>'Form responses 1'!AU71</f>
        <v>Yes</v>
      </c>
      <c r="F69" s="26">
        <f>'Form responses 1'!AX71</f>
        <v>46062</v>
      </c>
      <c r="G69" s="52">
        <f>'Form responses 1'!AY71</f>
        <v>0.5416666667</v>
      </c>
      <c r="H69" s="53" t="str">
        <f>'Form responses 1'!AW71</f>
        <v/>
      </c>
      <c r="I69" s="4" t="str">
        <f>'Form responses 1'!AS71</f>
        <v/>
      </c>
      <c r="J69" s="4" t="str">
        <f>'Form responses 1'!J71</f>
        <v/>
      </c>
      <c r="K69" s="4" t="str">
        <f>'Form responses 1'!G71</f>
        <v/>
      </c>
      <c r="L69" s="4" t="str">
        <f>'Form responses 1'!F71</f>
        <v/>
      </c>
      <c r="M69" s="4" t="str">
        <f>'Form responses 1'!U71</f>
        <v>ANKIT</v>
      </c>
      <c r="N69" s="4">
        <f>'Form responses 1'!V71</f>
        <v>9966644448</v>
      </c>
      <c r="O69" s="4" t="str">
        <f>'Form responses 1'!W71</f>
        <v>NA</v>
      </c>
      <c r="P69" s="4" t="str">
        <f>'Form responses 1'!X71</f>
        <v/>
      </c>
      <c r="Q69" s="4" t="str">
        <f>'Form responses 1'!Y71</f>
        <v/>
      </c>
      <c r="R69" s="4" t="str">
        <f>'Form responses 1'!Z71</f>
        <v/>
      </c>
      <c r="S69" s="4" t="str">
        <f>'Form responses 1'!AC71</f>
        <v/>
      </c>
      <c r="T69" s="4" t="str">
        <f>'Form responses 1'!AE71</f>
        <v/>
      </c>
      <c r="U69" s="4" t="str">
        <f>'Form responses 1'!AG71</f>
        <v/>
      </c>
      <c r="V69" s="4" t="str">
        <f>'Form responses 1'!AI71</f>
        <v/>
      </c>
      <c r="W69" s="4" t="str">
        <f>'Form responses 1'!AJ71</f>
        <v/>
      </c>
      <c r="X69" s="4" t="str">
        <f>'Form responses 1'!AK71</f>
        <v/>
      </c>
      <c r="Y69" s="4">
        <f t="shared" ref="Y69:AD69" si="68">if(S69&gt;0,1,0)</f>
        <v>0</v>
      </c>
      <c r="Z69" s="4">
        <f t="shared" si="68"/>
        <v>0</v>
      </c>
      <c r="AA69" s="4">
        <f t="shared" si="68"/>
        <v>0</v>
      </c>
      <c r="AB69" s="4">
        <f t="shared" si="68"/>
        <v>0</v>
      </c>
      <c r="AC69" s="4">
        <f t="shared" si="68"/>
        <v>0</v>
      </c>
      <c r="AD69" s="4">
        <f t="shared" si="68"/>
        <v>0</v>
      </c>
      <c r="AE69" s="4" t="str">
        <f>'Form responses 1'!AN71</f>
        <v/>
      </c>
      <c r="AF69" s="4" t="str">
        <f>'Form responses 1'!AO71</f>
        <v/>
      </c>
      <c r="AG69" s="4" t="str">
        <f>'Form responses 1'!AP71</f>
        <v/>
      </c>
      <c r="AH69" s="4" t="str">
        <f>'Form responses 1'!AQ71</f>
        <v/>
      </c>
      <c r="AI69" s="4" t="str">
        <f>'Form responses 1'!AR71</f>
        <v/>
      </c>
    </row>
    <row r="70">
      <c r="A70" s="26">
        <f>'Form responses 1'!B72</f>
        <v>46059</v>
      </c>
      <c r="B70" s="4" t="str">
        <f>'Form responses 1'!AZ72</f>
        <v>moin.khan@capsdelivery.com</v>
      </c>
      <c r="C70" s="4" t="str">
        <f>'Form responses 1'!BR72</f>
        <v/>
      </c>
      <c r="D70" s="4" t="str">
        <f>'Form responses 1'!AT72</f>
        <v/>
      </c>
      <c r="E70" s="4" t="str">
        <f>'Form responses 1'!AU72</f>
        <v>Yes</v>
      </c>
      <c r="F70" s="26">
        <f>'Form responses 1'!AX72</f>
        <v>46062</v>
      </c>
      <c r="G70" s="52">
        <f>'Form responses 1'!AY72</f>
        <v>0.5625</v>
      </c>
      <c r="H70" s="53" t="str">
        <f>'Form responses 1'!AW72</f>
        <v/>
      </c>
      <c r="I70" s="4" t="str">
        <f>'Form responses 1'!AS72</f>
        <v/>
      </c>
      <c r="J70" s="4" t="str">
        <f>'Form responses 1'!J72</f>
        <v/>
      </c>
      <c r="K70" s="4" t="str">
        <f>'Form responses 1'!G72</f>
        <v/>
      </c>
      <c r="L70" s="4" t="str">
        <f>'Form responses 1'!F72</f>
        <v/>
      </c>
      <c r="M70" s="4" t="str">
        <f>'Form responses 1'!U72</f>
        <v>SANTOSH</v>
      </c>
      <c r="N70" s="4" t="str">
        <f>'Form responses 1'!V72</f>
        <v>NA</v>
      </c>
      <c r="O70" s="4" t="str">
        <f>'Form responses 1'!W72</f>
        <v>NA</v>
      </c>
      <c r="P70" s="4" t="str">
        <f>'Form responses 1'!X72</f>
        <v/>
      </c>
      <c r="Q70" s="4" t="str">
        <f>'Form responses 1'!Y72</f>
        <v/>
      </c>
      <c r="R70" s="4" t="str">
        <f>'Form responses 1'!Z72</f>
        <v/>
      </c>
      <c r="S70" s="4" t="str">
        <f>'Form responses 1'!AC72</f>
        <v/>
      </c>
      <c r="T70" s="4" t="str">
        <f>'Form responses 1'!AE72</f>
        <v/>
      </c>
      <c r="U70" s="4" t="str">
        <f>'Form responses 1'!AG72</f>
        <v/>
      </c>
      <c r="V70" s="4" t="str">
        <f>'Form responses 1'!AI72</f>
        <v/>
      </c>
      <c r="W70" s="4" t="str">
        <f>'Form responses 1'!AJ72</f>
        <v/>
      </c>
      <c r="X70" s="4" t="str">
        <f>'Form responses 1'!AK72</f>
        <v/>
      </c>
      <c r="Y70" s="4">
        <f t="shared" ref="Y70:AD70" si="69">if(S70&gt;0,1,0)</f>
        <v>0</v>
      </c>
      <c r="Z70" s="4">
        <f t="shared" si="69"/>
        <v>0</v>
      </c>
      <c r="AA70" s="4">
        <f t="shared" si="69"/>
        <v>0</v>
      </c>
      <c r="AB70" s="4">
        <f t="shared" si="69"/>
        <v>0</v>
      </c>
      <c r="AC70" s="4">
        <f t="shared" si="69"/>
        <v>0</v>
      </c>
      <c r="AD70" s="4">
        <f t="shared" si="69"/>
        <v>0</v>
      </c>
      <c r="AE70" s="4" t="str">
        <f>'Form responses 1'!AN72</f>
        <v/>
      </c>
      <c r="AF70" s="4" t="str">
        <f>'Form responses 1'!AO72</f>
        <v/>
      </c>
      <c r="AG70" s="4" t="str">
        <f>'Form responses 1'!AP72</f>
        <v/>
      </c>
      <c r="AH70" s="4" t="str">
        <f>'Form responses 1'!AQ72</f>
        <v/>
      </c>
      <c r="AI70" s="4" t="str">
        <f>'Form responses 1'!AR72</f>
        <v/>
      </c>
    </row>
    <row r="71">
      <c r="A71" s="26">
        <f>'Form responses 1'!B73</f>
        <v>46059</v>
      </c>
      <c r="B71" s="4" t="str">
        <f>'Form responses 1'!AZ73</f>
        <v>moin.khan@capsdelivery.com</v>
      </c>
      <c r="C71" s="4" t="str">
        <f>'Form responses 1'!BR73</f>
        <v>UCKY RESTAURANT</v>
      </c>
      <c r="D71" s="4" t="str">
        <f>'Form responses 1'!AT73</f>
        <v/>
      </c>
      <c r="E71" s="4" t="str">
        <f>'Form responses 1'!AU73</f>
        <v>Yes</v>
      </c>
      <c r="F71" s="26">
        <f>'Form responses 1'!AX73</f>
        <v>46062</v>
      </c>
      <c r="G71" s="52">
        <f>'Form responses 1'!AY73</f>
        <v>0.625</v>
      </c>
      <c r="H71" s="53" t="str">
        <f>'Form responses 1'!AW73</f>
        <v/>
      </c>
      <c r="I71" s="4" t="str">
        <f>'Form responses 1'!AS73</f>
        <v/>
      </c>
      <c r="J71" s="4" t="str">
        <f>'Form responses 1'!J73</f>
        <v/>
      </c>
      <c r="K71" s="4" t="str">
        <f>'Form responses 1'!G73</f>
        <v/>
      </c>
      <c r="L71" s="4" t="str">
        <f>'Form responses 1'!F73</f>
        <v/>
      </c>
      <c r="M71" s="4" t="str">
        <f>'Form responses 1'!U73</f>
        <v>KHASIM</v>
      </c>
      <c r="N71" s="4">
        <f>'Form responses 1'!V73</f>
        <v>9849108337</v>
      </c>
      <c r="O71" s="4" t="str">
        <f>'Form responses 1'!W73</f>
        <v>NA</v>
      </c>
      <c r="P71" s="4" t="str">
        <f>'Form responses 1'!X73</f>
        <v/>
      </c>
      <c r="Q71" s="4" t="str">
        <f>'Form responses 1'!Y73</f>
        <v/>
      </c>
      <c r="R71" s="4" t="str">
        <f>'Form responses 1'!Z73</f>
        <v/>
      </c>
      <c r="S71" s="4" t="str">
        <f>'Form responses 1'!AC73</f>
        <v/>
      </c>
      <c r="T71" s="4" t="str">
        <f>'Form responses 1'!AE73</f>
        <v/>
      </c>
      <c r="U71" s="4" t="str">
        <f>'Form responses 1'!AG73</f>
        <v/>
      </c>
      <c r="V71" s="4" t="str">
        <f>'Form responses 1'!AI73</f>
        <v/>
      </c>
      <c r="W71" s="4" t="str">
        <f>'Form responses 1'!AJ73</f>
        <v/>
      </c>
      <c r="X71" s="4" t="str">
        <f>'Form responses 1'!AK73</f>
        <v/>
      </c>
      <c r="Y71" s="4">
        <f t="shared" ref="Y71:AD71" si="70">if(S71&gt;0,1,0)</f>
        <v>0</v>
      </c>
      <c r="Z71" s="4">
        <f t="shared" si="70"/>
        <v>0</v>
      </c>
      <c r="AA71" s="4">
        <f t="shared" si="70"/>
        <v>0</v>
      </c>
      <c r="AB71" s="4">
        <f t="shared" si="70"/>
        <v>0</v>
      </c>
      <c r="AC71" s="4">
        <f t="shared" si="70"/>
        <v>0</v>
      </c>
      <c r="AD71" s="4">
        <f t="shared" si="70"/>
        <v>0</v>
      </c>
      <c r="AE71" s="4" t="str">
        <f>'Form responses 1'!AN73</f>
        <v/>
      </c>
      <c r="AF71" s="4" t="str">
        <f>'Form responses 1'!AO73</f>
        <v/>
      </c>
      <c r="AG71" s="4" t="str">
        <f>'Form responses 1'!AP73</f>
        <v/>
      </c>
      <c r="AH71" s="4" t="str">
        <f>'Form responses 1'!AQ73</f>
        <v/>
      </c>
      <c r="AI71" s="4" t="str">
        <f>'Form responses 1'!AR73</f>
        <v/>
      </c>
    </row>
    <row r="72">
      <c r="A72" s="26">
        <f>'Form responses 1'!B74</f>
        <v>46059</v>
      </c>
      <c r="B72" s="4" t="str">
        <f>'Form responses 1'!AZ74</f>
        <v>chanakya.inugala@capsdelivery.com</v>
      </c>
      <c r="C72" s="4" t="str">
        <f>'Form responses 1'!BR74</f>
        <v>The smash city</v>
      </c>
      <c r="D72" s="4" t="str">
        <f>'Form responses 1'!AT74</f>
        <v>ON BOARDED</v>
      </c>
      <c r="E72" s="4" t="str">
        <f>'Form responses 1'!AU74</f>
        <v>No</v>
      </c>
      <c r="F72" s="26">
        <f>'Form responses 1'!AX74</f>
        <v>46059</v>
      </c>
      <c r="G72" s="52">
        <f>'Form responses 1'!AY74</f>
        <v>0.6666666667</v>
      </c>
      <c r="H72" s="53" t="str">
        <f>'Form responses 1'!AW74</f>
        <v/>
      </c>
      <c r="I72" s="4" t="str">
        <f>'Form responses 1'!AS74</f>
        <v>Yes</v>
      </c>
      <c r="J72" s="4" t="str">
        <f>'Form responses 1'!J74</f>
        <v>Tier-3 ( AOV&lt;200 )</v>
      </c>
      <c r="K72" s="4">
        <f>'Form responses 1'!G74</f>
        <v>200</v>
      </c>
      <c r="L72" s="4">
        <f>'Form responses 1'!F74</f>
        <v>10</v>
      </c>
      <c r="M72" s="4" t="str">
        <f>'Form responses 1'!U74</f>
        <v>Pranay</v>
      </c>
      <c r="N72" s="4">
        <f>'Form responses 1'!V74</f>
        <v>9963967706</v>
      </c>
      <c r="O72" s="4" t="str">
        <f>'Form responses 1'!W74</f>
        <v>smashcity.bk2025@gmail.com</v>
      </c>
      <c r="P72" s="4" t="str">
        <f>'Form responses 1'!X74</f>
        <v/>
      </c>
      <c r="Q72" s="4" t="str">
        <f>'Form responses 1'!Y74</f>
        <v/>
      </c>
      <c r="R72" s="4" t="str">
        <f>'Form responses 1'!Z74</f>
        <v/>
      </c>
      <c r="S72" s="54" t="str">
        <f>'Form responses 1'!AC74</f>
        <v>https://drive.google.com/open?id=1TyQ5VyQoYOXBgO6bKGNQK8FFz5yUt2Nw</v>
      </c>
      <c r="T72" s="54" t="str">
        <f>'Form responses 1'!AE74</f>
        <v>https://drive.google.com/open?id=16MNvuqRPFC7_QYv133p_s5qg9F-FCQ4f</v>
      </c>
      <c r="U72" s="54" t="str">
        <f>'Form responses 1'!AG74</f>
        <v>https://drive.google.com/open?id=1bIvEcXpfVNl_DQCS6PvKRh51VxqYyyLn</v>
      </c>
      <c r="V72" s="4" t="str">
        <f>'Form responses 1'!AI74</f>
        <v/>
      </c>
      <c r="W72" s="4" t="str">
        <f>'Form responses 1'!AJ74</f>
        <v/>
      </c>
      <c r="X72" s="54" t="str">
        <f>'Form responses 1'!AK74</f>
        <v>https://drive.google.com/open?id=1gCFHksXqJDMO9XNunUEWVv0oVwAAtw9X</v>
      </c>
      <c r="Y72" s="4">
        <f t="shared" ref="Y72:AD72" si="71">if(S72&gt;0,1,0)</f>
        <v>1</v>
      </c>
      <c r="Z72" s="4">
        <f t="shared" si="71"/>
        <v>1</v>
      </c>
      <c r="AA72" s="4">
        <f t="shared" si="71"/>
        <v>1</v>
      </c>
      <c r="AB72" s="4">
        <f t="shared" si="71"/>
        <v>0</v>
      </c>
      <c r="AC72" s="4">
        <f t="shared" si="71"/>
        <v>0</v>
      </c>
      <c r="AD72" s="4">
        <f t="shared" si="71"/>
        <v>1</v>
      </c>
      <c r="AE72" s="4" t="str">
        <f>'Form responses 1'!AN74</f>
        <v>KOTAK MAHINDRA BANK</v>
      </c>
      <c r="AF72" s="4" t="str">
        <f>'Form responses 1'!AO74</f>
        <v>PRANAY</v>
      </c>
      <c r="AG72" s="4">
        <f>'Form responses 1'!AP74</f>
        <v>9963967706</v>
      </c>
      <c r="AH72" s="4" t="str">
        <f>'Form responses 1'!AQ74</f>
        <v>SMASHCITY.BK2025@GMAIL.COM</v>
      </c>
      <c r="AI72" s="4" t="str">
        <f>'Form responses 1'!AR74</f>
        <v>SMASH CITY</v>
      </c>
    </row>
    <row r="73">
      <c r="A73" s="26">
        <f>'Form responses 1'!B75</f>
        <v>46062</v>
      </c>
      <c r="B73" s="4" t="str">
        <f>'Form responses 1'!AZ75</f>
        <v>parthive.maganti@capsdelivery.com</v>
      </c>
      <c r="C73" s="4" t="str">
        <f>'Form responses 1'!BR75</f>
        <v>Gold sparrow millets </v>
      </c>
      <c r="D73" s="4" t="str">
        <f>'Form responses 1'!AT75</f>
        <v/>
      </c>
      <c r="E73" s="4" t="str">
        <f>'Form responses 1'!AU75</f>
        <v>Yes</v>
      </c>
      <c r="F73" s="26">
        <f>'Form responses 1'!AX75</f>
        <v>46062</v>
      </c>
      <c r="G73" s="52">
        <f>'Form responses 1'!AY75</f>
        <v>0.5</v>
      </c>
      <c r="H73" s="53" t="str">
        <f>'Form responses 1'!AW75</f>
        <v>Na</v>
      </c>
      <c r="I73" s="4" t="str">
        <f>'Form responses 1'!AS75</f>
        <v/>
      </c>
      <c r="J73" s="4" t="str">
        <f>'Form responses 1'!J75</f>
        <v>Tier-3 ( AOV&lt;200 )</v>
      </c>
      <c r="K73" s="4">
        <f>'Form responses 1'!G75</f>
        <v>100</v>
      </c>
      <c r="L73" s="4">
        <f>'Form responses 1'!F75</f>
        <v>50</v>
      </c>
      <c r="M73" s="4" t="str">
        <f>'Form responses 1'!U75</f>
        <v>Ramchanra rao</v>
      </c>
      <c r="N73" s="4">
        <f>'Form responses 1'!V75</f>
        <v>8977709421</v>
      </c>
      <c r="O73" s="4" t="str">
        <f>'Form responses 1'!W75</f>
        <v>Na</v>
      </c>
      <c r="P73" s="4" t="str">
        <f>'Form responses 1'!X75</f>
        <v/>
      </c>
      <c r="Q73" s="4" t="str">
        <f>'Form responses 1'!Y75</f>
        <v/>
      </c>
      <c r="R73" s="4" t="str">
        <f>'Form responses 1'!Z75</f>
        <v/>
      </c>
      <c r="S73" s="4" t="str">
        <f>'Form responses 1'!AC75</f>
        <v/>
      </c>
      <c r="T73" s="4" t="str">
        <f>'Form responses 1'!AE75</f>
        <v/>
      </c>
      <c r="U73" s="4" t="str">
        <f>'Form responses 1'!AG75</f>
        <v/>
      </c>
      <c r="V73" s="4" t="str">
        <f>'Form responses 1'!AI75</f>
        <v/>
      </c>
      <c r="W73" s="4" t="str">
        <f>'Form responses 1'!AJ75</f>
        <v/>
      </c>
      <c r="X73" s="4" t="str">
        <f>'Form responses 1'!AK75</f>
        <v/>
      </c>
      <c r="Y73" s="4">
        <f t="shared" ref="Y73:AD73" si="72">if(S73&gt;0,1,0)</f>
        <v>0</v>
      </c>
      <c r="Z73" s="4">
        <f t="shared" si="72"/>
        <v>0</v>
      </c>
      <c r="AA73" s="4">
        <f t="shared" si="72"/>
        <v>0</v>
      </c>
      <c r="AB73" s="4">
        <f t="shared" si="72"/>
        <v>0</v>
      </c>
      <c r="AC73" s="4">
        <f t="shared" si="72"/>
        <v>0</v>
      </c>
      <c r="AD73" s="4">
        <f t="shared" si="72"/>
        <v>0</v>
      </c>
      <c r="AE73" s="4" t="str">
        <f>'Form responses 1'!AN75</f>
        <v/>
      </c>
      <c r="AF73" s="4" t="str">
        <f>'Form responses 1'!AO75</f>
        <v/>
      </c>
      <c r="AG73" s="4" t="str">
        <f>'Form responses 1'!AP75</f>
        <v/>
      </c>
      <c r="AH73" s="4" t="str">
        <f>'Form responses 1'!AQ75</f>
        <v/>
      </c>
      <c r="AI73" s="4" t="str">
        <f>'Form responses 1'!AR75</f>
        <v/>
      </c>
    </row>
    <row r="74">
      <c r="A74" s="26">
        <f>'Form responses 1'!B76</f>
        <v>46059</v>
      </c>
      <c r="B74" s="4" t="str">
        <f>'Form responses 1'!AZ76</f>
        <v>chanakya.inugala@capsdelivery.com</v>
      </c>
      <c r="C74" s="4" t="str">
        <f>'Form responses 1'!BR76</f>
        <v>BREW COMMUNE CAFE&amp;BISTRO</v>
      </c>
      <c r="D74" s="4" t="str">
        <f>'Form responses 1'!AT76</f>
        <v>ONBOARDED</v>
      </c>
      <c r="E74" s="4" t="str">
        <f>'Form responses 1'!AU76</f>
        <v>No</v>
      </c>
      <c r="F74" s="26">
        <f>'Form responses 1'!AX76</f>
        <v>46059</v>
      </c>
      <c r="G74" s="52">
        <f>'Form responses 1'!AY76</f>
        <v>0.7083333333</v>
      </c>
      <c r="H74" s="53" t="str">
        <f>'Form responses 1'!AW76</f>
        <v/>
      </c>
      <c r="I74" s="4" t="str">
        <f>'Form responses 1'!AS76</f>
        <v>Yes</v>
      </c>
      <c r="J74" s="4" t="str">
        <f>'Form responses 1'!J76</f>
        <v>Tier-3 ( AOV&lt;200 )</v>
      </c>
      <c r="K74" s="4">
        <f>'Form responses 1'!G76</f>
        <v>250</v>
      </c>
      <c r="L74" s="4">
        <f>'Form responses 1'!F76</f>
        <v>40</v>
      </c>
      <c r="M74" s="4" t="str">
        <f>'Form responses 1'!U76</f>
        <v>CHALLA TRIVENI</v>
      </c>
      <c r="N74" s="4">
        <f>'Form responses 1'!V76</f>
        <v>8333833299</v>
      </c>
      <c r="O74" s="4" t="str">
        <f>'Form responses 1'!W76</f>
        <v>brewcommunecafe@gmail.com</v>
      </c>
      <c r="P74" s="4" t="str">
        <f>'Form responses 1'!X76</f>
        <v/>
      </c>
      <c r="Q74" s="4" t="str">
        <f>'Form responses 1'!Y76</f>
        <v/>
      </c>
      <c r="R74" s="4" t="str">
        <f>'Form responses 1'!Z76</f>
        <v/>
      </c>
      <c r="S74" s="54" t="str">
        <f>'Form responses 1'!AC76</f>
        <v>https://drive.google.com/open?id=1f4MJPvzkVHBffgC4W0BlFcwQrLXPEzPq</v>
      </c>
      <c r="T74" s="54" t="str">
        <f>'Form responses 1'!AE76</f>
        <v>https://drive.google.com/open?id=1DvL3nMVvblvTgCQjw2nEz6TTgrlJB-SM</v>
      </c>
      <c r="U74" s="54" t="str">
        <f>'Form responses 1'!AG76</f>
        <v>https://drive.google.com/open?id=10C5WjBtCBIlv55ac_HFiCjrMwueH5--t</v>
      </c>
      <c r="V74" s="4" t="str">
        <f>'Form responses 1'!AI76</f>
        <v/>
      </c>
      <c r="W74" s="54" t="str">
        <f>'Form responses 1'!AJ76</f>
        <v>https://drive.google.com/open?id=1d5gMIAgwLYoo1XE8r6S6l9xrXBuHC_fD</v>
      </c>
      <c r="X74" s="54" t="str">
        <f>'Form responses 1'!AK76</f>
        <v>https://drive.google.com/open?id=1z18XBbhWksdkjRHgsWjBufUzI3CtoA82</v>
      </c>
      <c r="Y74" s="4">
        <f t="shared" ref="Y74:AD74" si="73">if(S74&gt;0,1,0)</f>
        <v>1</v>
      </c>
      <c r="Z74" s="4">
        <f t="shared" si="73"/>
        <v>1</v>
      </c>
      <c r="AA74" s="4">
        <f t="shared" si="73"/>
        <v>1</v>
      </c>
      <c r="AB74" s="4">
        <f t="shared" si="73"/>
        <v>0</v>
      </c>
      <c r="AC74" s="4">
        <f t="shared" si="73"/>
        <v>1</v>
      </c>
      <c r="AD74" s="4">
        <f t="shared" si="73"/>
        <v>1</v>
      </c>
      <c r="AE74" s="4" t="str">
        <f>'Form responses 1'!AN76</f>
        <v>SBI</v>
      </c>
      <c r="AF74" s="4" t="str">
        <f>'Form responses 1'!AO76</f>
        <v>CHALLA TRIVENI</v>
      </c>
      <c r="AG74" s="4">
        <f>'Form responses 1'!AP76</f>
        <v>8333833299</v>
      </c>
      <c r="AH74" s="4" t="str">
        <f>'Form responses 1'!AQ76</f>
        <v>brewcommunecafe@gmail.com</v>
      </c>
      <c r="AI74" s="4" t="str">
        <f>'Form responses 1'!AR76</f>
        <v>BREW COMMUNE CAFE &amp; BISTRO</v>
      </c>
    </row>
    <row r="75">
      <c r="A75" s="26">
        <f>'Form responses 1'!B77</f>
        <v>46059</v>
      </c>
      <c r="B75" s="4" t="str">
        <f>'Form responses 1'!AZ77</f>
        <v>chanakya.inugala@capsdelivery.com</v>
      </c>
      <c r="C75" s="4" t="str">
        <f>'Form responses 1'!BR77</f>
        <v>NA</v>
      </c>
      <c r="D75" s="4" t="str">
        <f>'Form responses 1'!AT77</f>
        <v/>
      </c>
      <c r="E75" s="4" t="str">
        <f>'Form responses 1'!AU77</f>
        <v>Yes</v>
      </c>
      <c r="F75" s="26">
        <f>'Form responses 1'!AX77</f>
        <v>46062</v>
      </c>
      <c r="G75" s="52">
        <f>'Form responses 1'!AY77</f>
        <v>0.5</v>
      </c>
      <c r="H75" s="53" t="str">
        <f>'Form responses 1'!AW77</f>
        <v/>
      </c>
      <c r="I75" s="4" t="str">
        <f>'Form responses 1'!AS77</f>
        <v/>
      </c>
      <c r="J75" s="4" t="str">
        <f>'Form responses 1'!J77</f>
        <v/>
      </c>
      <c r="K75" s="4" t="str">
        <f>'Form responses 1'!G77</f>
        <v/>
      </c>
      <c r="L75" s="4" t="str">
        <f>'Form responses 1'!F77</f>
        <v/>
      </c>
      <c r="M75" s="4" t="str">
        <f>'Form responses 1'!U77</f>
        <v>NAVEEN REDDY</v>
      </c>
      <c r="N75" s="4">
        <f>'Form responses 1'!V77</f>
        <v>9676945646</v>
      </c>
      <c r="O75" s="4" t="str">
        <f>'Form responses 1'!W77</f>
        <v>CAFEREELS@GMAIL.COM</v>
      </c>
      <c r="P75" s="4" t="str">
        <f>'Form responses 1'!X77</f>
        <v/>
      </c>
      <c r="Q75" s="4" t="str">
        <f>'Form responses 1'!Y77</f>
        <v/>
      </c>
      <c r="R75" s="4" t="str">
        <f>'Form responses 1'!Z77</f>
        <v/>
      </c>
      <c r="S75" s="4" t="str">
        <f>'Form responses 1'!AC77</f>
        <v/>
      </c>
      <c r="T75" s="4" t="str">
        <f>'Form responses 1'!AE77</f>
        <v/>
      </c>
      <c r="U75" s="4" t="str">
        <f>'Form responses 1'!AG77</f>
        <v/>
      </c>
      <c r="V75" s="4" t="str">
        <f>'Form responses 1'!AI77</f>
        <v/>
      </c>
      <c r="W75" s="4" t="str">
        <f>'Form responses 1'!AJ77</f>
        <v/>
      </c>
      <c r="X75" s="4" t="str">
        <f>'Form responses 1'!AK77</f>
        <v/>
      </c>
      <c r="Y75" s="4">
        <f t="shared" ref="Y75:AD75" si="74">if(S75&gt;0,1,0)</f>
        <v>0</v>
      </c>
      <c r="Z75" s="4">
        <f t="shared" si="74"/>
        <v>0</v>
      </c>
      <c r="AA75" s="4">
        <f t="shared" si="74"/>
        <v>0</v>
      </c>
      <c r="AB75" s="4">
        <f t="shared" si="74"/>
        <v>0</v>
      </c>
      <c r="AC75" s="4">
        <f t="shared" si="74"/>
        <v>0</v>
      </c>
      <c r="AD75" s="4">
        <f t="shared" si="74"/>
        <v>0</v>
      </c>
      <c r="AE75" s="4" t="str">
        <f>'Form responses 1'!AN77</f>
        <v/>
      </c>
      <c r="AF75" s="4" t="str">
        <f>'Form responses 1'!AO77</f>
        <v/>
      </c>
      <c r="AG75" s="4" t="str">
        <f>'Form responses 1'!AP77</f>
        <v/>
      </c>
      <c r="AH75" s="4" t="str">
        <f>'Form responses 1'!AQ77</f>
        <v/>
      </c>
      <c r="AI75" s="4" t="str">
        <f>'Form responses 1'!AR77</f>
        <v/>
      </c>
    </row>
    <row r="76">
      <c r="A76" s="26">
        <f>'Form responses 1'!B78</f>
        <v>46059</v>
      </c>
      <c r="B76" s="4" t="str">
        <f>'Form responses 1'!AZ78</f>
        <v>chanakya.inugala@capsdelivery.com</v>
      </c>
      <c r="C76" s="4" t="str">
        <f>'Form responses 1'!BR78</f>
        <v>HOTEL INNER CIRCLE</v>
      </c>
      <c r="D76" s="4" t="str">
        <f>'Form responses 1'!AT78</f>
        <v/>
      </c>
      <c r="E76" s="4" t="str">
        <f>'Form responses 1'!AU78</f>
        <v>Yes</v>
      </c>
      <c r="F76" s="26">
        <f>'Form responses 1'!AX78</f>
        <v>46062</v>
      </c>
      <c r="G76" s="52">
        <f>'Form responses 1'!AY78</f>
        <v>0.5833333333</v>
      </c>
      <c r="H76" s="53" t="str">
        <f>'Form responses 1'!AW78</f>
        <v/>
      </c>
      <c r="I76" s="4" t="str">
        <f>'Form responses 1'!AS78</f>
        <v/>
      </c>
      <c r="J76" s="4" t="str">
        <f>'Form responses 1'!J78</f>
        <v>Tier-2 (AOV &lt;400)</v>
      </c>
      <c r="K76" s="4">
        <f>'Form responses 1'!G78</f>
        <v>400</v>
      </c>
      <c r="L76" s="4">
        <f>'Form responses 1'!F78</f>
        <v>50</v>
      </c>
      <c r="M76" s="4" t="str">
        <f>'Form responses 1'!U78</f>
        <v>IBRAHIM KHAN</v>
      </c>
      <c r="N76" s="4">
        <f>'Form responses 1'!V78</f>
        <v>9010924000</v>
      </c>
      <c r="O76" s="4" t="str">
        <f>'Form responses 1'!W78</f>
        <v>NA</v>
      </c>
      <c r="P76" s="4" t="str">
        <f>'Form responses 1'!X78</f>
        <v/>
      </c>
      <c r="Q76" s="4" t="str">
        <f>'Form responses 1'!Y78</f>
        <v/>
      </c>
      <c r="R76" s="4" t="str">
        <f>'Form responses 1'!Z78</f>
        <v/>
      </c>
      <c r="S76" s="4" t="str">
        <f>'Form responses 1'!AC78</f>
        <v/>
      </c>
      <c r="T76" s="4" t="str">
        <f>'Form responses 1'!AE78</f>
        <v/>
      </c>
      <c r="U76" s="4" t="str">
        <f>'Form responses 1'!AG78</f>
        <v/>
      </c>
      <c r="V76" s="4" t="str">
        <f>'Form responses 1'!AI78</f>
        <v/>
      </c>
      <c r="W76" s="4" t="str">
        <f>'Form responses 1'!AJ78</f>
        <v/>
      </c>
      <c r="X76" s="4" t="str">
        <f>'Form responses 1'!AK78</f>
        <v/>
      </c>
      <c r="Y76" s="4">
        <f t="shared" ref="Y76:AD76" si="75">if(S76&gt;0,1,0)</f>
        <v>0</v>
      </c>
      <c r="Z76" s="4">
        <f t="shared" si="75"/>
        <v>0</v>
      </c>
      <c r="AA76" s="4">
        <f t="shared" si="75"/>
        <v>0</v>
      </c>
      <c r="AB76" s="4">
        <f t="shared" si="75"/>
        <v>0</v>
      </c>
      <c r="AC76" s="4">
        <f t="shared" si="75"/>
        <v>0</v>
      </c>
      <c r="AD76" s="4">
        <f t="shared" si="75"/>
        <v>0</v>
      </c>
      <c r="AE76" s="4" t="str">
        <f>'Form responses 1'!AN78</f>
        <v/>
      </c>
      <c r="AF76" s="4" t="str">
        <f>'Form responses 1'!AO78</f>
        <v/>
      </c>
      <c r="AG76" s="4" t="str">
        <f>'Form responses 1'!AP78</f>
        <v/>
      </c>
      <c r="AH76" s="4" t="str">
        <f>'Form responses 1'!AQ78</f>
        <v/>
      </c>
      <c r="AI76" s="4" t="str">
        <f>'Form responses 1'!AR78</f>
        <v/>
      </c>
    </row>
    <row r="77">
      <c r="A77" s="26">
        <f>'Form responses 1'!B79</f>
        <v>46059</v>
      </c>
      <c r="B77" s="4" t="str">
        <f>'Form responses 1'!AZ79</f>
        <v>chanakya.inugala@capsdelivery.com</v>
      </c>
      <c r="C77" s="4" t="str">
        <f>'Form responses 1'!BR79</f>
        <v>RENAO</v>
      </c>
      <c r="D77" s="4" t="str">
        <f>'Form responses 1'!AT79</f>
        <v/>
      </c>
      <c r="E77" s="4" t="str">
        <f>'Form responses 1'!AU79</f>
        <v>Yes</v>
      </c>
      <c r="F77" s="26">
        <f>'Form responses 1'!AX79</f>
        <v>46062</v>
      </c>
      <c r="G77" s="52">
        <f>'Form responses 1'!AY79</f>
        <v>0.625</v>
      </c>
      <c r="H77" s="53" t="str">
        <f>'Form responses 1'!AW79</f>
        <v/>
      </c>
      <c r="I77" s="4" t="str">
        <f>'Form responses 1'!AS79</f>
        <v/>
      </c>
      <c r="J77" s="4" t="str">
        <f>'Form responses 1'!J79</f>
        <v>Tier-2 (AOV &lt;400)</v>
      </c>
      <c r="K77" s="4">
        <f>'Form responses 1'!G79</f>
        <v>300</v>
      </c>
      <c r="L77" s="4">
        <f>'Form responses 1'!F79</f>
        <v>30</v>
      </c>
      <c r="M77" s="4" t="str">
        <f>'Form responses 1'!U79</f>
        <v>ASHRAF ALI</v>
      </c>
      <c r="N77" s="4">
        <f>'Form responses 1'!V79</f>
        <v>9701916013</v>
      </c>
      <c r="O77" s="4" t="str">
        <f>'Form responses 1'!W79</f>
        <v>NA</v>
      </c>
      <c r="P77" s="4" t="str">
        <f>'Form responses 1'!X79</f>
        <v/>
      </c>
      <c r="Q77" s="4" t="str">
        <f>'Form responses 1'!Y79</f>
        <v/>
      </c>
      <c r="R77" s="4" t="str">
        <f>'Form responses 1'!Z79</f>
        <v/>
      </c>
      <c r="S77" s="4" t="str">
        <f>'Form responses 1'!AC79</f>
        <v/>
      </c>
      <c r="T77" s="4" t="str">
        <f>'Form responses 1'!AE79</f>
        <v/>
      </c>
      <c r="U77" s="4" t="str">
        <f>'Form responses 1'!AG79</f>
        <v/>
      </c>
      <c r="V77" s="4" t="str">
        <f>'Form responses 1'!AI79</f>
        <v/>
      </c>
      <c r="W77" s="4" t="str">
        <f>'Form responses 1'!AJ79</f>
        <v/>
      </c>
      <c r="X77" s="4" t="str">
        <f>'Form responses 1'!AK79</f>
        <v/>
      </c>
      <c r="Y77" s="4">
        <f t="shared" ref="Y77:AD77" si="76">if(S77&gt;0,1,0)</f>
        <v>0</v>
      </c>
      <c r="Z77" s="4">
        <f t="shared" si="76"/>
        <v>0</v>
      </c>
      <c r="AA77" s="4">
        <f t="shared" si="76"/>
        <v>0</v>
      </c>
      <c r="AB77" s="4">
        <f t="shared" si="76"/>
        <v>0</v>
      </c>
      <c r="AC77" s="4">
        <f t="shared" si="76"/>
        <v>0</v>
      </c>
      <c r="AD77" s="4">
        <f t="shared" si="76"/>
        <v>0</v>
      </c>
      <c r="AE77" s="4" t="str">
        <f>'Form responses 1'!AN79</f>
        <v/>
      </c>
      <c r="AF77" s="4" t="str">
        <f>'Form responses 1'!AO79</f>
        <v/>
      </c>
      <c r="AG77" s="4" t="str">
        <f>'Form responses 1'!AP79</f>
        <v/>
      </c>
      <c r="AH77" s="4" t="str">
        <f>'Form responses 1'!AQ79</f>
        <v/>
      </c>
      <c r="AI77" s="4" t="str">
        <f>'Form responses 1'!AR79</f>
        <v/>
      </c>
    </row>
    <row r="78">
      <c r="A78" s="26">
        <f>'Form responses 1'!B80</f>
        <v>46062</v>
      </c>
      <c r="B78" s="4" t="str">
        <f>'Form responses 1'!AZ80</f>
        <v>chanakya.inugala@capsdelivery.com</v>
      </c>
      <c r="C78" s="4" t="str">
        <f>'Form responses 1'!BR80</f>
        <v>NA</v>
      </c>
      <c r="D78" s="4" t="str">
        <f>'Form responses 1'!AT80</f>
        <v/>
      </c>
      <c r="E78" s="4" t="str">
        <f>'Form responses 1'!AU80</f>
        <v>Yes</v>
      </c>
      <c r="F78" s="26">
        <f>'Form responses 1'!AX80</f>
        <v>46062</v>
      </c>
      <c r="G78" s="52">
        <f>'Form responses 1'!AY80</f>
        <v>0.625</v>
      </c>
      <c r="H78" s="53" t="str">
        <f>'Form responses 1'!AW80</f>
        <v/>
      </c>
      <c r="I78" s="4" t="str">
        <f>'Form responses 1'!AS80</f>
        <v/>
      </c>
      <c r="J78" s="4" t="str">
        <f>'Form responses 1'!J80</f>
        <v/>
      </c>
      <c r="K78" s="4" t="str">
        <f>'Form responses 1'!G80</f>
        <v/>
      </c>
      <c r="L78" s="4" t="str">
        <f>'Form responses 1'!F80</f>
        <v/>
      </c>
      <c r="M78" s="4" t="str">
        <f>'Form responses 1'!U80</f>
        <v>SHEIK NAZEER</v>
      </c>
      <c r="N78" s="4">
        <f>'Form responses 1'!V80</f>
        <v>8886904546</v>
      </c>
      <c r="O78" s="4" t="str">
        <f>'Form responses 1'!W80</f>
        <v>NA</v>
      </c>
      <c r="P78" s="4" t="str">
        <f>'Form responses 1'!X80</f>
        <v/>
      </c>
      <c r="Q78" s="4" t="str">
        <f>'Form responses 1'!Y80</f>
        <v/>
      </c>
      <c r="R78" s="4" t="str">
        <f>'Form responses 1'!Z80</f>
        <v/>
      </c>
      <c r="S78" s="4" t="str">
        <f>'Form responses 1'!AC80</f>
        <v/>
      </c>
      <c r="T78" s="4" t="str">
        <f>'Form responses 1'!AE80</f>
        <v/>
      </c>
      <c r="U78" s="4" t="str">
        <f>'Form responses 1'!AG80</f>
        <v/>
      </c>
      <c r="V78" s="4" t="str">
        <f>'Form responses 1'!AI80</f>
        <v/>
      </c>
      <c r="W78" s="4" t="str">
        <f>'Form responses 1'!AJ80</f>
        <v/>
      </c>
      <c r="X78" s="4" t="str">
        <f>'Form responses 1'!AK80</f>
        <v/>
      </c>
      <c r="Y78" s="4">
        <f t="shared" ref="Y78:AD78" si="77">if(S78&gt;0,1,0)</f>
        <v>0</v>
      </c>
      <c r="Z78" s="4">
        <f t="shared" si="77"/>
        <v>0</v>
      </c>
      <c r="AA78" s="4">
        <f t="shared" si="77"/>
        <v>0</v>
      </c>
      <c r="AB78" s="4">
        <f t="shared" si="77"/>
        <v>0</v>
      </c>
      <c r="AC78" s="4">
        <f t="shared" si="77"/>
        <v>0</v>
      </c>
      <c r="AD78" s="4">
        <f t="shared" si="77"/>
        <v>0</v>
      </c>
      <c r="AE78" s="4" t="str">
        <f>'Form responses 1'!AN80</f>
        <v/>
      </c>
      <c r="AF78" s="4" t="str">
        <f>'Form responses 1'!AO80</f>
        <v/>
      </c>
      <c r="AG78" s="4" t="str">
        <f>'Form responses 1'!AP80</f>
        <v/>
      </c>
      <c r="AH78" s="4" t="str">
        <f>'Form responses 1'!AQ80</f>
        <v/>
      </c>
      <c r="AI78" s="4" t="str">
        <f>'Form responses 1'!AR80</f>
        <v/>
      </c>
    </row>
    <row r="79">
      <c r="A79" s="26">
        <f>'Form responses 1'!B81</f>
        <v>46057</v>
      </c>
      <c r="B79" s="4" t="str">
        <f>'Form responses 1'!AZ81</f>
        <v>madhumitha.sonnakula@capsdelivery.com</v>
      </c>
      <c r="C79" s="4" t="str">
        <f>'Form responses 1'!BR81</f>
        <v>merajs restraunt </v>
      </c>
      <c r="D79" s="4" t="str">
        <f>'Form responses 1'!AT81</f>
        <v>onboarded</v>
      </c>
      <c r="E79" s="4" t="str">
        <f>'Form responses 1'!AU81</f>
        <v>No</v>
      </c>
      <c r="F79" s="4" t="str">
        <f>'Form responses 1'!AX81</f>
        <v/>
      </c>
      <c r="G79" s="4" t="str">
        <f>'Form responses 1'!AY81</f>
        <v/>
      </c>
      <c r="H79" s="53" t="str">
        <f>'Form responses 1'!AW81</f>
        <v/>
      </c>
      <c r="I79" s="4" t="str">
        <f>'Form responses 1'!AS81</f>
        <v/>
      </c>
      <c r="J79" s="4" t="str">
        <f>'Form responses 1'!J81</f>
        <v>Tier-2 (AOV &lt;400)</v>
      </c>
      <c r="K79" s="4">
        <f>'Form responses 1'!G81</f>
        <v>400</v>
      </c>
      <c r="L79" s="4">
        <f>'Form responses 1'!F81</f>
        <v>100</v>
      </c>
      <c r="M79" s="4" t="str">
        <f>'Form responses 1'!U81</f>
        <v>MOHD UMAR KHAN </v>
      </c>
      <c r="N79" s="4">
        <f>'Form responses 1'!V81</f>
        <v>9885199151</v>
      </c>
      <c r="O79" s="4" t="str">
        <f>'Form responses 1'!W81</f>
        <v>amer786khan@gmail.com</v>
      </c>
      <c r="P79" s="4" t="str">
        <f>'Form responses 1'!X81</f>
        <v/>
      </c>
      <c r="Q79" s="4" t="str">
        <f>'Form responses 1'!Y81</f>
        <v/>
      </c>
      <c r="R79" s="4" t="str">
        <f>'Form responses 1'!Z81</f>
        <v/>
      </c>
      <c r="S79" s="4" t="str">
        <f>'Form responses 1'!AC81</f>
        <v/>
      </c>
      <c r="T79" s="4" t="str">
        <f>'Form responses 1'!AE81</f>
        <v/>
      </c>
      <c r="U79" s="4" t="str">
        <f>'Form responses 1'!AG81</f>
        <v/>
      </c>
      <c r="V79" s="4" t="str">
        <f>'Form responses 1'!AI81</f>
        <v/>
      </c>
      <c r="W79" s="4" t="str">
        <f>'Form responses 1'!AJ81</f>
        <v/>
      </c>
      <c r="X79" s="4" t="str">
        <f>'Form responses 1'!AK81</f>
        <v/>
      </c>
      <c r="Y79" s="4">
        <f t="shared" ref="Y79:AD79" si="78">if(S79&gt;0,1,0)</f>
        <v>0</v>
      </c>
      <c r="Z79" s="4">
        <f t="shared" si="78"/>
        <v>0</v>
      </c>
      <c r="AA79" s="4">
        <f t="shared" si="78"/>
        <v>0</v>
      </c>
      <c r="AB79" s="4">
        <f t="shared" si="78"/>
        <v>0</v>
      </c>
      <c r="AC79" s="4">
        <f t="shared" si="78"/>
        <v>0</v>
      </c>
      <c r="AD79" s="4">
        <f t="shared" si="78"/>
        <v>0</v>
      </c>
      <c r="AE79" s="4" t="str">
        <f>'Form responses 1'!AN81</f>
        <v/>
      </c>
      <c r="AF79" s="4" t="str">
        <f>'Form responses 1'!AO81</f>
        <v/>
      </c>
      <c r="AG79" s="4" t="str">
        <f>'Form responses 1'!AP81</f>
        <v/>
      </c>
      <c r="AH79" s="4" t="str">
        <f>'Form responses 1'!AQ81</f>
        <v/>
      </c>
      <c r="AI79" s="4" t="str">
        <f>'Form responses 1'!AR81</f>
        <v/>
      </c>
    </row>
    <row r="80">
      <c r="A80" s="26">
        <f>'Form responses 1'!B82</f>
        <v>46058</v>
      </c>
      <c r="B80" s="4" t="str">
        <f>'Form responses 1'!AZ82</f>
        <v>ankitha.baske@capsdelivery.com</v>
      </c>
      <c r="C80" s="4" t="str">
        <f>'Form responses 1'!BR82</f>
        <v>Flavors Of Briyani Cafe</v>
      </c>
      <c r="D80" s="4" t="str">
        <f>'Form responses 1'!AT82</f>
        <v>Onboarded</v>
      </c>
      <c r="E80" s="4" t="str">
        <f>'Form responses 1'!AU82</f>
        <v>No</v>
      </c>
      <c r="F80" s="4" t="str">
        <f>'Form responses 1'!AX82</f>
        <v/>
      </c>
      <c r="G80" s="4" t="str">
        <f>'Form responses 1'!AY82</f>
        <v/>
      </c>
      <c r="H80" s="53" t="str">
        <f>'Form responses 1'!AW82</f>
        <v/>
      </c>
      <c r="I80" s="4" t="str">
        <f>'Form responses 1'!AS82</f>
        <v>Yes</v>
      </c>
      <c r="J80" s="4" t="str">
        <f>'Form responses 1'!J82</f>
        <v>Tier-3 ( AOV&lt;200 )</v>
      </c>
      <c r="K80" s="4">
        <f>'Form responses 1'!G82</f>
        <v>200</v>
      </c>
      <c r="L80" s="4">
        <f>'Form responses 1'!F82</f>
        <v>25</v>
      </c>
      <c r="M80" s="4" t="str">
        <f>'Form responses 1'!U82</f>
        <v>Sai Teja</v>
      </c>
      <c r="N80" s="4">
        <f>'Form responses 1'!V82</f>
        <v>9642897117</v>
      </c>
      <c r="O80" s="4" t="str">
        <f>'Form responses 1'!W82</f>
        <v>flavourbiryanicafe9@gmail.com</v>
      </c>
      <c r="P80" s="4" t="str">
        <f>'Form responses 1'!X82</f>
        <v/>
      </c>
      <c r="Q80" s="4" t="str">
        <f>'Form responses 1'!Y82</f>
        <v/>
      </c>
      <c r="R80" s="4" t="str">
        <f>'Form responses 1'!Z82</f>
        <v/>
      </c>
      <c r="S80" s="54" t="str">
        <f>'Form responses 1'!AC82</f>
        <v>https://drive.google.com/open?id=1rHTW-WZBcmBuGCZkK9YDvq-bRkFEbAAL</v>
      </c>
      <c r="T80" s="4" t="str">
        <f>'Form responses 1'!AE82</f>
        <v/>
      </c>
      <c r="U80" s="54" t="str">
        <f>'Form responses 1'!AG82</f>
        <v>https://drive.google.com/open?id=1sI3WqNOFvKe4niWEHF_25fgwDL5FWJv4</v>
      </c>
      <c r="V80" s="4" t="str">
        <f>'Form responses 1'!AI82</f>
        <v/>
      </c>
      <c r="W80" s="4" t="str">
        <f>'Form responses 1'!AJ82</f>
        <v/>
      </c>
      <c r="X80" s="4" t="str">
        <f>'Form responses 1'!AK82</f>
        <v/>
      </c>
      <c r="Y80" s="4">
        <f t="shared" ref="Y80:AD80" si="79">if(S80&gt;0,1,0)</f>
        <v>1</v>
      </c>
      <c r="Z80" s="4">
        <f t="shared" si="79"/>
        <v>0</v>
      </c>
      <c r="AA80" s="4">
        <f t="shared" si="79"/>
        <v>1</v>
      </c>
      <c r="AB80" s="4">
        <f t="shared" si="79"/>
        <v>0</v>
      </c>
      <c r="AC80" s="4">
        <f t="shared" si="79"/>
        <v>0</v>
      </c>
      <c r="AD80" s="4">
        <f t="shared" si="79"/>
        <v>0</v>
      </c>
      <c r="AE80" s="4" t="str">
        <f>'Form responses 1'!AN82</f>
        <v>Indian Bank</v>
      </c>
      <c r="AF80" s="4" t="str">
        <f>'Form responses 1'!AO82</f>
        <v>M SaiTeja</v>
      </c>
      <c r="AG80" s="4">
        <f>'Form responses 1'!AP82</f>
        <v>9642897117</v>
      </c>
      <c r="AH80" s="4" t="str">
        <f>'Form responses 1'!AQ82</f>
        <v/>
      </c>
      <c r="AI80" s="4" t="str">
        <f>'Form responses 1'!AR82</f>
        <v/>
      </c>
    </row>
    <row r="81">
      <c r="A81" s="26">
        <f>'Form responses 1'!B83</f>
        <v>46057</v>
      </c>
      <c r="B81" s="4" t="str">
        <f>'Form responses 1'!AZ83</f>
        <v>madhumitha.sonnakula@capsdelivery.com</v>
      </c>
      <c r="C81" s="4" t="str">
        <f>'Form responses 1'!BR83</f>
        <v>lassi corner </v>
      </c>
      <c r="D81" s="4" t="str">
        <f>'Form responses 1'!AT83</f>
        <v>na</v>
      </c>
      <c r="E81" s="4" t="str">
        <f>'Form responses 1'!AU83</f>
        <v>No</v>
      </c>
      <c r="F81" s="4" t="str">
        <f>'Form responses 1'!AX83</f>
        <v/>
      </c>
      <c r="G81" s="4" t="str">
        <f>'Form responses 1'!AY83</f>
        <v/>
      </c>
      <c r="H81" s="53" t="str">
        <f>'Form responses 1'!AW83</f>
        <v>na</v>
      </c>
      <c r="I81" s="4" t="str">
        <f>'Form responses 1'!AS83</f>
        <v/>
      </c>
      <c r="J81" s="4" t="str">
        <f>'Form responses 1'!J83</f>
        <v>Tier-3 ( AOV&lt;200 )</v>
      </c>
      <c r="K81" s="4">
        <f>'Form responses 1'!G83</f>
        <v>200</v>
      </c>
      <c r="L81" s="4">
        <f>'Form responses 1'!F83</f>
        <v>10</v>
      </c>
      <c r="M81" s="4" t="str">
        <f>'Form responses 1'!U83</f>
        <v>ashok thapa</v>
      </c>
      <c r="N81" s="4">
        <f>'Form responses 1'!V83</f>
        <v>7995109409</v>
      </c>
      <c r="O81" s="4" t="str">
        <f>'Form responses 1'!W83</f>
        <v>vishnuthapaaaa@gamil.com</v>
      </c>
      <c r="P81" s="4" t="str">
        <f>'Form responses 1'!X83</f>
        <v/>
      </c>
      <c r="Q81" s="4" t="str">
        <f>'Form responses 1'!Y83</f>
        <v/>
      </c>
      <c r="R81" s="4" t="str">
        <f>'Form responses 1'!Z83</f>
        <v/>
      </c>
      <c r="S81" s="4" t="str">
        <f>'Form responses 1'!AC83</f>
        <v/>
      </c>
      <c r="T81" s="4" t="str">
        <f>'Form responses 1'!AE83</f>
        <v/>
      </c>
      <c r="U81" s="4" t="str">
        <f>'Form responses 1'!AG83</f>
        <v/>
      </c>
      <c r="V81" s="4" t="str">
        <f>'Form responses 1'!AI83</f>
        <v/>
      </c>
      <c r="W81" s="4" t="str">
        <f>'Form responses 1'!AJ83</f>
        <v/>
      </c>
      <c r="X81" s="4" t="str">
        <f>'Form responses 1'!AK83</f>
        <v/>
      </c>
      <c r="Y81" s="4">
        <f t="shared" ref="Y81:AD81" si="80">if(S81&gt;0,1,0)</f>
        <v>0</v>
      </c>
      <c r="Z81" s="4">
        <f t="shared" si="80"/>
        <v>0</v>
      </c>
      <c r="AA81" s="4">
        <f t="shared" si="80"/>
        <v>0</v>
      </c>
      <c r="AB81" s="4">
        <f t="shared" si="80"/>
        <v>0</v>
      </c>
      <c r="AC81" s="4">
        <f t="shared" si="80"/>
        <v>0</v>
      </c>
      <c r="AD81" s="4">
        <f t="shared" si="80"/>
        <v>0</v>
      </c>
      <c r="AE81" s="4" t="str">
        <f>'Form responses 1'!AN83</f>
        <v/>
      </c>
      <c r="AF81" s="4" t="str">
        <f>'Form responses 1'!AO83</f>
        <v/>
      </c>
      <c r="AG81" s="4" t="str">
        <f>'Form responses 1'!AP83</f>
        <v/>
      </c>
      <c r="AH81" s="4" t="str">
        <f>'Form responses 1'!AQ83</f>
        <v/>
      </c>
      <c r="AI81" s="4" t="str">
        <f>'Form responses 1'!AR83</f>
        <v/>
      </c>
    </row>
    <row r="82">
      <c r="A82" s="26">
        <f>'Form responses 1'!B84</f>
        <v>46056</v>
      </c>
      <c r="B82" s="4" t="str">
        <f>'Form responses 1'!AZ84</f>
        <v>ankitha.baske@capsdelivery.com</v>
      </c>
      <c r="C82" s="4" t="str">
        <f>'Form responses 1'!BR84</f>
        <v>Pandu Fast Food Center</v>
      </c>
      <c r="D82" s="4" t="str">
        <f>'Form responses 1'!AT84</f>
        <v>Onboarded</v>
      </c>
      <c r="E82" s="4" t="str">
        <f>'Form responses 1'!AU84</f>
        <v>No</v>
      </c>
      <c r="F82" s="4" t="str">
        <f>'Form responses 1'!AX84</f>
        <v/>
      </c>
      <c r="G82" s="4" t="str">
        <f>'Form responses 1'!AY84</f>
        <v/>
      </c>
      <c r="H82" s="53" t="str">
        <f>'Form responses 1'!AW84</f>
        <v/>
      </c>
      <c r="I82" s="4" t="str">
        <f>'Form responses 1'!AS84</f>
        <v>Yes</v>
      </c>
      <c r="J82" s="4" t="str">
        <f>'Form responses 1'!J84</f>
        <v>Tier-3 ( AOV&lt;200 )</v>
      </c>
      <c r="K82" s="4">
        <f>'Form responses 1'!G84</f>
        <v>120</v>
      </c>
      <c r="L82" s="4">
        <f>'Form responses 1'!F84</f>
        <v>60</v>
      </c>
      <c r="M82" s="4" t="str">
        <f>'Form responses 1'!U84</f>
        <v>Sai Kumar Goud</v>
      </c>
      <c r="N82" s="4">
        <f>'Form responses 1'!V84</f>
        <v>9030518803</v>
      </c>
      <c r="O82" s="4" t="str">
        <f>'Form responses 1'!W84</f>
        <v>rebalsaikumargoud@gmail.com</v>
      </c>
      <c r="P82" s="4" t="str">
        <f>'Form responses 1'!X84</f>
        <v/>
      </c>
      <c r="Q82" s="4" t="str">
        <f>'Form responses 1'!Y84</f>
        <v/>
      </c>
      <c r="R82" s="4" t="str">
        <f>'Form responses 1'!Z84</f>
        <v/>
      </c>
      <c r="S82" s="54" t="str">
        <f>'Form responses 1'!AC84</f>
        <v>https://drive.google.com/open?id=1fGbSlo6SQePsw9IXCKG5RYAxMZoOHZ-d</v>
      </c>
      <c r="T82" s="4" t="str">
        <f>'Form responses 1'!AE84</f>
        <v/>
      </c>
      <c r="U82" s="54" t="str">
        <f>'Form responses 1'!AG84</f>
        <v>https://drive.google.com/open?id=18bZYxppjAI2i6dJ5kmCHOmhA6qsOjZuW</v>
      </c>
      <c r="V82" s="4" t="str">
        <f>'Form responses 1'!AI84</f>
        <v/>
      </c>
      <c r="W82" s="4" t="str">
        <f>'Form responses 1'!AJ84</f>
        <v/>
      </c>
      <c r="X82" s="4" t="str">
        <f>'Form responses 1'!AK84</f>
        <v/>
      </c>
      <c r="Y82" s="4">
        <f t="shared" ref="Y82:AD82" si="81">if(S82&gt;0,1,0)</f>
        <v>1</v>
      </c>
      <c r="Z82" s="4">
        <f t="shared" si="81"/>
        <v>0</v>
      </c>
      <c r="AA82" s="4">
        <f t="shared" si="81"/>
        <v>1</v>
      </c>
      <c r="AB82" s="4">
        <f t="shared" si="81"/>
        <v>0</v>
      </c>
      <c r="AC82" s="4">
        <f t="shared" si="81"/>
        <v>0</v>
      </c>
      <c r="AD82" s="4">
        <f t="shared" si="81"/>
        <v>0</v>
      </c>
      <c r="AE82" s="4" t="str">
        <f>'Form responses 1'!AN84</f>
        <v>Central Bank Of India</v>
      </c>
      <c r="AF82" s="4" t="str">
        <f>'Form responses 1'!AO84</f>
        <v>Sai Kumar Goud</v>
      </c>
      <c r="AG82" s="4">
        <f>'Form responses 1'!AP84</f>
        <v>9030518803</v>
      </c>
      <c r="AH82" s="4" t="str">
        <f>'Form responses 1'!AQ84</f>
        <v>rebalsaikumargoud@gmail.com</v>
      </c>
      <c r="AI82" s="4" t="str">
        <f>'Form responses 1'!AR84</f>
        <v/>
      </c>
    </row>
    <row r="83">
      <c r="A83" s="26">
        <f>'Form responses 1'!B85</f>
        <v>46057</v>
      </c>
      <c r="B83" s="4" t="str">
        <f>'Form responses 1'!AZ85</f>
        <v>madhumitha.sonnakula@capsdelivery.com</v>
      </c>
      <c r="C83" s="4" t="str">
        <f>'Form responses 1'!BR85</f>
        <v>sri udupi grand pure veg</v>
      </c>
      <c r="D83" s="4" t="str">
        <f>'Form responses 1'!AT85</f>
        <v>na</v>
      </c>
      <c r="E83" s="4" t="str">
        <f>'Form responses 1'!AU85</f>
        <v>No</v>
      </c>
      <c r="F83" s="4" t="str">
        <f>'Form responses 1'!AX85</f>
        <v/>
      </c>
      <c r="G83" s="4" t="str">
        <f>'Form responses 1'!AY85</f>
        <v/>
      </c>
      <c r="H83" s="53" t="str">
        <f>'Form responses 1'!AW85</f>
        <v/>
      </c>
      <c r="I83" s="4" t="str">
        <f>'Form responses 1'!AS85</f>
        <v/>
      </c>
      <c r="J83" s="4" t="str">
        <f>'Form responses 1'!J85</f>
        <v>Tier-3 ( AOV&lt;200 )</v>
      </c>
      <c r="K83" s="4">
        <f>'Form responses 1'!G85</f>
        <v>200</v>
      </c>
      <c r="L83" s="4">
        <f>'Form responses 1'!F85</f>
        <v>50</v>
      </c>
      <c r="M83" s="4" t="str">
        <f>'Form responses 1'!U85</f>
        <v>manjunath </v>
      </c>
      <c r="N83" s="4">
        <f>'Form responses 1'!V85</f>
        <v>8125178544</v>
      </c>
      <c r="O83" s="4" t="str">
        <f>'Form responses 1'!W85</f>
        <v>bmanjunathkotteri@gmail.com</v>
      </c>
      <c r="P83" s="4" t="str">
        <f>'Form responses 1'!X85</f>
        <v/>
      </c>
      <c r="Q83" s="4" t="str">
        <f>'Form responses 1'!Y85</f>
        <v/>
      </c>
      <c r="R83" s="4" t="str">
        <f>'Form responses 1'!Z85</f>
        <v/>
      </c>
      <c r="S83" s="4" t="str">
        <f>'Form responses 1'!AC85</f>
        <v/>
      </c>
      <c r="T83" s="4" t="str">
        <f>'Form responses 1'!AE85</f>
        <v/>
      </c>
      <c r="U83" s="4" t="str">
        <f>'Form responses 1'!AG85</f>
        <v/>
      </c>
      <c r="V83" s="4" t="str">
        <f>'Form responses 1'!AI85</f>
        <v/>
      </c>
      <c r="W83" s="4" t="str">
        <f>'Form responses 1'!AJ85</f>
        <v/>
      </c>
      <c r="X83" s="4" t="str">
        <f>'Form responses 1'!AK85</f>
        <v/>
      </c>
      <c r="Y83" s="4">
        <f t="shared" ref="Y83:AD83" si="82">if(S83&gt;0,1,0)</f>
        <v>0</v>
      </c>
      <c r="Z83" s="4">
        <f t="shared" si="82"/>
        <v>0</v>
      </c>
      <c r="AA83" s="4">
        <f t="shared" si="82"/>
        <v>0</v>
      </c>
      <c r="AB83" s="4">
        <f t="shared" si="82"/>
        <v>0</v>
      </c>
      <c r="AC83" s="4">
        <f t="shared" si="82"/>
        <v>0</v>
      </c>
      <c r="AD83" s="4">
        <f t="shared" si="82"/>
        <v>0</v>
      </c>
      <c r="AE83" s="4" t="str">
        <f>'Form responses 1'!AN85</f>
        <v/>
      </c>
      <c r="AF83" s="4" t="str">
        <f>'Form responses 1'!AO85</f>
        <v/>
      </c>
      <c r="AG83" s="4" t="str">
        <f>'Form responses 1'!AP85</f>
        <v/>
      </c>
      <c r="AH83" s="4" t="str">
        <f>'Form responses 1'!AQ85</f>
        <v/>
      </c>
      <c r="AI83" s="4" t="str">
        <f>'Form responses 1'!AR85</f>
        <v/>
      </c>
    </row>
    <row r="84">
      <c r="A84" s="26">
        <f>'Form responses 1'!B86</f>
        <v>46062</v>
      </c>
      <c r="B84" s="4" t="str">
        <f>'Form responses 1'!AZ86</f>
        <v>manasa.chigurupati@capsdelivery.com</v>
      </c>
      <c r="C84" s="4" t="str">
        <f>'Form responses 1'!BR86</f>
        <v>SSR FOOD ZONE</v>
      </c>
      <c r="D84" s="4" t="str">
        <f>'Form responses 1'!AT86</f>
        <v>Closed by Ankitha, documents will be submitted by her.</v>
      </c>
      <c r="E84" s="4" t="str">
        <f>'Form responses 1'!AU86</f>
        <v>No</v>
      </c>
      <c r="F84" s="4" t="str">
        <f>'Form responses 1'!AX86</f>
        <v/>
      </c>
      <c r="G84" s="4" t="str">
        <f>'Form responses 1'!AY86</f>
        <v/>
      </c>
      <c r="H84" s="53" t="str">
        <f>'Form responses 1'!AW86</f>
        <v/>
      </c>
      <c r="I84" s="4" t="str">
        <f>'Form responses 1'!AS86</f>
        <v/>
      </c>
      <c r="J84" s="4" t="str">
        <f>'Form responses 1'!J86</f>
        <v>Tier-3 ( AOV&lt;200 )</v>
      </c>
      <c r="K84" s="4">
        <f>'Form responses 1'!G86</f>
        <v>150</v>
      </c>
      <c r="L84" s="4">
        <f>'Form responses 1'!F86</f>
        <v>50</v>
      </c>
      <c r="M84" s="4" t="str">
        <f>'Form responses 1'!U86</f>
        <v>Dinesh </v>
      </c>
      <c r="N84" s="4">
        <f>'Form responses 1'!V86</f>
        <v>6281821329</v>
      </c>
      <c r="O84" s="4" t="str">
        <f>'Form responses 1'!W86</f>
        <v>dinesh.pedamallu@gmail.com</v>
      </c>
      <c r="P84" s="4" t="str">
        <f>'Form responses 1'!X86</f>
        <v/>
      </c>
      <c r="Q84" s="4" t="str">
        <f>'Form responses 1'!Y86</f>
        <v/>
      </c>
      <c r="R84" s="4" t="str">
        <f>'Form responses 1'!Z86</f>
        <v/>
      </c>
      <c r="S84" s="4" t="str">
        <f>'Form responses 1'!AC86</f>
        <v/>
      </c>
      <c r="T84" s="4" t="str">
        <f>'Form responses 1'!AE86</f>
        <v/>
      </c>
      <c r="U84" s="4" t="str">
        <f>'Form responses 1'!AG86</f>
        <v/>
      </c>
      <c r="V84" s="4" t="str">
        <f>'Form responses 1'!AI86</f>
        <v/>
      </c>
      <c r="W84" s="4" t="str">
        <f>'Form responses 1'!AJ86</f>
        <v/>
      </c>
      <c r="X84" s="4" t="str">
        <f>'Form responses 1'!AK86</f>
        <v/>
      </c>
      <c r="Y84" s="4">
        <f t="shared" ref="Y84:AD84" si="83">if(S84&gt;0,1,0)</f>
        <v>0</v>
      </c>
      <c r="Z84" s="4">
        <f t="shared" si="83"/>
        <v>0</v>
      </c>
      <c r="AA84" s="4">
        <f t="shared" si="83"/>
        <v>0</v>
      </c>
      <c r="AB84" s="4">
        <f t="shared" si="83"/>
        <v>0</v>
      </c>
      <c r="AC84" s="4">
        <f t="shared" si="83"/>
        <v>0</v>
      </c>
      <c r="AD84" s="4">
        <f t="shared" si="83"/>
        <v>0</v>
      </c>
      <c r="AE84" s="4" t="str">
        <f>'Form responses 1'!AN86</f>
        <v/>
      </c>
      <c r="AF84" s="4" t="str">
        <f>'Form responses 1'!AO86</f>
        <v/>
      </c>
      <c r="AG84" s="4" t="str">
        <f>'Form responses 1'!AP86</f>
        <v/>
      </c>
      <c r="AH84" s="4" t="str">
        <f>'Form responses 1'!AQ86</f>
        <v/>
      </c>
      <c r="AI84" s="4" t="str">
        <f>'Form responses 1'!AR86</f>
        <v/>
      </c>
    </row>
    <row r="85">
      <c r="A85" s="26">
        <f>'Form responses 1'!B87</f>
        <v>46062</v>
      </c>
      <c r="B85" s="4" t="str">
        <f>'Form responses 1'!AZ87</f>
        <v>manasa.chigurupati@capsdelivery.com</v>
      </c>
      <c r="C85" s="4" t="str">
        <f>'Form responses 1'!BR87</f>
        <v/>
      </c>
      <c r="D85" s="4" t="str">
        <f>'Form responses 1'!AT87</f>
        <v/>
      </c>
      <c r="E85" s="4" t="str">
        <f>'Form responses 1'!AU87</f>
        <v>Yes</v>
      </c>
      <c r="F85" s="26">
        <f>'Form responses 1'!AX87</f>
        <v>46063</v>
      </c>
      <c r="G85" s="52">
        <f>'Form responses 1'!AY87</f>
        <v>0.5208333333</v>
      </c>
      <c r="H85" s="53" t="str">
        <f>'Form responses 1'!AW87</f>
        <v>Commisions </v>
      </c>
      <c r="I85" s="4" t="str">
        <f>'Form responses 1'!AS87</f>
        <v/>
      </c>
      <c r="J85" s="4" t="str">
        <f>'Form responses 1'!J87</f>
        <v/>
      </c>
      <c r="K85" s="4" t="str">
        <f>'Form responses 1'!G87</f>
        <v/>
      </c>
      <c r="L85" s="4" t="str">
        <f>'Form responses 1'!F87</f>
        <v/>
      </c>
      <c r="M85" s="4" t="str">
        <f>'Form responses 1'!U87</f>
        <v>Kanshith</v>
      </c>
      <c r="N85" s="4">
        <f>'Form responses 1'!V87</f>
        <v>9347059650</v>
      </c>
      <c r="O85" s="4" t="str">
        <f>'Form responses 1'!W87</f>
        <v>Mattaparthykanakshith@gmail.com</v>
      </c>
      <c r="P85" s="4" t="str">
        <f>'Form responses 1'!X87</f>
        <v/>
      </c>
      <c r="Q85" s="4" t="str">
        <f>'Form responses 1'!Y87</f>
        <v/>
      </c>
      <c r="R85" s="4" t="str">
        <f>'Form responses 1'!Z87</f>
        <v/>
      </c>
      <c r="S85" s="4" t="str">
        <f>'Form responses 1'!AC87</f>
        <v/>
      </c>
      <c r="T85" s="4" t="str">
        <f>'Form responses 1'!AE87</f>
        <v/>
      </c>
      <c r="U85" s="4" t="str">
        <f>'Form responses 1'!AG87</f>
        <v/>
      </c>
      <c r="V85" s="4" t="str">
        <f>'Form responses 1'!AI87</f>
        <v/>
      </c>
      <c r="W85" s="4" t="str">
        <f>'Form responses 1'!AJ87</f>
        <v/>
      </c>
      <c r="X85" s="4" t="str">
        <f>'Form responses 1'!AK87</f>
        <v/>
      </c>
      <c r="Y85" s="4">
        <f t="shared" ref="Y85:AD85" si="84">if(S85&gt;0,1,0)</f>
        <v>0</v>
      </c>
      <c r="Z85" s="4">
        <f t="shared" si="84"/>
        <v>0</v>
      </c>
      <c r="AA85" s="4">
        <f t="shared" si="84"/>
        <v>0</v>
      </c>
      <c r="AB85" s="4">
        <f t="shared" si="84"/>
        <v>0</v>
      </c>
      <c r="AC85" s="4">
        <f t="shared" si="84"/>
        <v>0</v>
      </c>
      <c r="AD85" s="4">
        <f t="shared" si="84"/>
        <v>0</v>
      </c>
      <c r="AE85" s="4" t="str">
        <f>'Form responses 1'!AN87</f>
        <v/>
      </c>
      <c r="AF85" s="4" t="str">
        <f>'Form responses 1'!AO87</f>
        <v/>
      </c>
      <c r="AG85" s="4" t="str">
        <f>'Form responses 1'!AP87</f>
        <v/>
      </c>
      <c r="AH85" s="4" t="str">
        <f>'Form responses 1'!AQ87</f>
        <v/>
      </c>
      <c r="AI85" s="4" t="str">
        <f>'Form responses 1'!AR87</f>
        <v/>
      </c>
    </row>
    <row r="86">
      <c r="A86" s="26">
        <f>'Form responses 1'!B88</f>
        <v>46062</v>
      </c>
      <c r="B86" s="4" t="str">
        <f>'Form responses 1'!AZ88</f>
        <v>manasa.chigurupati@capsdelivery.com</v>
      </c>
      <c r="C86" s="4" t="str">
        <f>'Form responses 1'!BR88</f>
        <v>Mammu’s Kitchen</v>
      </c>
      <c r="D86" s="4" t="str">
        <f>'Form responses 1'!AT88</f>
        <v/>
      </c>
      <c r="E86" s="4" t="str">
        <f>'Form responses 1'!AU88</f>
        <v>Yes</v>
      </c>
      <c r="F86" s="26">
        <f>'Form responses 1'!AX88</f>
        <v>46069</v>
      </c>
      <c r="G86" s="52">
        <f>'Form responses 1'!AY88</f>
        <v>0.5</v>
      </c>
      <c r="H86" s="53" t="str">
        <f>'Form responses 1'!AW88</f>
        <v>Commisions</v>
      </c>
      <c r="I86" s="4" t="str">
        <f>'Form responses 1'!AS88</f>
        <v/>
      </c>
      <c r="J86" s="4" t="str">
        <f>'Form responses 1'!J88</f>
        <v>Tier-2 (AOV &lt;400)</v>
      </c>
      <c r="K86" s="4">
        <f>'Form responses 1'!G88</f>
        <v>250</v>
      </c>
      <c r="L86" s="4">
        <f>'Form responses 1'!F88</f>
        <v>60</v>
      </c>
      <c r="M86" s="4" t="str">
        <f>'Form responses 1'!U88</f>
        <v>Prabavathi</v>
      </c>
      <c r="N86" s="4">
        <f>'Form responses 1'!V88</f>
        <v>9381245681</v>
      </c>
      <c r="O86" s="4" t="str">
        <f>'Form responses 1'!W88</f>
        <v>-</v>
      </c>
      <c r="P86" s="4" t="str">
        <f>'Form responses 1'!X88</f>
        <v/>
      </c>
      <c r="Q86" s="4" t="str">
        <f>'Form responses 1'!Y88</f>
        <v/>
      </c>
      <c r="R86" s="4" t="str">
        <f>'Form responses 1'!Z88</f>
        <v/>
      </c>
      <c r="S86" s="4" t="str">
        <f>'Form responses 1'!AC88</f>
        <v/>
      </c>
      <c r="T86" s="4" t="str">
        <f>'Form responses 1'!AE88</f>
        <v/>
      </c>
      <c r="U86" s="4" t="str">
        <f>'Form responses 1'!AG88</f>
        <v/>
      </c>
      <c r="V86" s="4" t="str">
        <f>'Form responses 1'!AI88</f>
        <v/>
      </c>
      <c r="W86" s="4" t="str">
        <f>'Form responses 1'!AJ88</f>
        <v/>
      </c>
      <c r="X86" s="4" t="str">
        <f>'Form responses 1'!AK88</f>
        <v/>
      </c>
      <c r="Y86" s="4">
        <f t="shared" ref="Y86:AD86" si="85">if(S86&gt;0,1,0)</f>
        <v>0</v>
      </c>
      <c r="Z86" s="4">
        <f t="shared" si="85"/>
        <v>0</v>
      </c>
      <c r="AA86" s="4">
        <f t="shared" si="85"/>
        <v>0</v>
      </c>
      <c r="AB86" s="4">
        <f t="shared" si="85"/>
        <v>0</v>
      </c>
      <c r="AC86" s="4">
        <f t="shared" si="85"/>
        <v>0</v>
      </c>
      <c r="AD86" s="4">
        <f t="shared" si="85"/>
        <v>0</v>
      </c>
      <c r="AE86" s="4" t="str">
        <f>'Form responses 1'!AN88</f>
        <v/>
      </c>
      <c r="AF86" s="4" t="str">
        <f>'Form responses 1'!AO88</f>
        <v/>
      </c>
      <c r="AG86" s="4" t="str">
        <f>'Form responses 1'!AP88</f>
        <v/>
      </c>
      <c r="AH86" s="4" t="str">
        <f>'Form responses 1'!AQ88</f>
        <v/>
      </c>
      <c r="AI86" s="4" t="str">
        <f>'Form responses 1'!AR88</f>
        <v/>
      </c>
    </row>
    <row r="87">
      <c r="A87" s="26">
        <f>'Form responses 1'!B89</f>
        <v>46062</v>
      </c>
      <c r="B87" s="4" t="str">
        <f>'Form responses 1'!AZ89</f>
        <v>ankitha.baske@capsdelivery.com</v>
      </c>
      <c r="C87" s="4" t="str">
        <f>'Form responses 1'!BR89</f>
        <v>Kshatriya Grand</v>
      </c>
      <c r="D87" s="4" t="str">
        <f>'Form responses 1'!AT89</f>
        <v>Onboarded </v>
      </c>
      <c r="E87" s="4" t="str">
        <f>'Form responses 1'!AU89</f>
        <v>No</v>
      </c>
      <c r="F87" s="4" t="str">
        <f>'Form responses 1'!AX89</f>
        <v/>
      </c>
      <c r="G87" s="4" t="str">
        <f>'Form responses 1'!AY89</f>
        <v/>
      </c>
      <c r="H87" s="53" t="str">
        <f>'Form responses 1'!AW89</f>
        <v/>
      </c>
      <c r="I87" s="4" t="str">
        <f>'Form responses 1'!AS89</f>
        <v>Yes</v>
      </c>
      <c r="J87" s="4" t="str">
        <f>'Form responses 1'!J89</f>
        <v>Tier-3 ( AOV&lt;200 )</v>
      </c>
      <c r="K87" s="4">
        <f>'Form responses 1'!G89</f>
        <v>200</v>
      </c>
      <c r="L87" s="4">
        <f>'Form responses 1'!F89</f>
        <v>60</v>
      </c>
      <c r="M87" s="4" t="str">
        <f>'Form responses 1'!U89</f>
        <v>Karthik</v>
      </c>
      <c r="N87" s="4">
        <f>'Form responses 1'!V89</f>
        <v>9642431013</v>
      </c>
      <c r="O87" s="4" t="str">
        <f>'Form responses 1'!W89</f>
        <v>tkartheek.516@gmail.com</v>
      </c>
      <c r="P87" s="4" t="str">
        <f>'Form responses 1'!X89</f>
        <v/>
      </c>
      <c r="Q87" s="4" t="str">
        <f>'Form responses 1'!Y89</f>
        <v/>
      </c>
      <c r="R87" s="4" t="str">
        <f>'Form responses 1'!Z89</f>
        <v/>
      </c>
      <c r="S87" s="54" t="str">
        <f>'Form responses 1'!AC89</f>
        <v>https://drive.google.com/open?id=1oKV_3cQoMNE-A5xCKoHVszsAgIot6crY</v>
      </c>
      <c r="T87" s="4" t="str">
        <f>'Form responses 1'!AE89</f>
        <v/>
      </c>
      <c r="U87" s="54" t="str">
        <f>'Form responses 1'!AG89</f>
        <v>https://drive.google.com/open?id=1dMfhXyQ5x-FzUs_VFgnZWPWGoRTr7BXk</v>
      </c>
      <c r="V87" s="4" t="str">
        <f>'Form responses 1'!AI89</f>
        <v/>
      </c>
      <c r="W87" s="4" t="str">
        <f>'Form responses 1'!AJ89</f>
        <v/>
      </c>
      <c r="X87" s="54" t="str">
        <f>'Form responses 1'!AK89</f>
        <v>https://drive.google.com/open?id=17gc3uKZwnSFjbItrX6qAUmzjxO6L0k0z</v>
      </c>
      <c r="Y87" s="4">
        <f t="shared" ref="Y87:AD87" si="86">if(S87&gt;0,1,0)</f>
        <v>1</v>
      </c>
      <c r="Z87" s="4">
        <f t="shared" si="86"/>
        <v>0</v>
      </c>
      <c r="AA87" s="4">
        <f t="shared" si="86"/>
        <v>1</v>
      </c>
      <c r="AB87" s="4">
        <f t="shared" si="86"/>
        <v>0</v>
      </c>
      <c r="AC87" s="4">
        <f t="shared" si="86"/>
        <v>0</v>
      </c>
      <c r="AD87" s="4">
        <f t="shared" si="86"/>
        <v>1</v>
      </c>
      <c r="AE87" s="4" t="str">
        <f>'Form responses 1'!AN89</f>
        <v>Kotak Mahindra Bank</v>
      </c>
      <c r="AF87" s="4" t="str">
        <f>'Form responses 1'!AO89</f>
        <v>Kartheek</v>
      </c>
      <c r="AG87" s="4">
        <f>'Form responses 1'!AP89</f>
        <v>9642431013</v>
      </c>
      <c r="AH87" s="4" t="str">
        <f>'Form responses 1'!AQ89</f>
        <v/>
      </c>
      <c r="AI87" s="4" t="str">
        <f>'Form responses 1'!AR89</f>
        <v/>
      </c>
    </row>
    <row r="88">
      <c r="A88" s="26">
        <f>'Form responses 1'!B90</f>
        <v>46062</v>
      </c>
      <c r="B88" s="4" t="str">
        <f>'Form responses 1'!AZ90</f>
        <v>sumadhur.mummadi@capsdelivery.com</v>
      </c>
      <c r="C88" s="4" t="str">
        <f>'Form responses 1'!BR90</f>
        <v>Bakeway bakers </v>
      </c>
      <c r="D88" s="4" t="str">
        <f>'Form responses 1'!AT90</f>
        <v>Onboarding done</v>
      </c>
      <c r="E88" s="4" t="str">
        <f>'Form responses 1'!AU90</f>
        <v>No</v>
      </c>
      <c r="F88" s="26">
        <f>'Form responses 1'!AX90</f>
        <v>46062</v>
      </c>
      <c r="G88" s="52">
        <f>'Form responses 1'!AY90</f>
        <v>0.5833333333</v>
      </c>
      <c r="H88" s="53" t="str">
        <f>'Form responses 1'!AW90</f>
        <v/>
      </c>
      <c r="I88" s="4" t="str">
        <f>'Form responses 1'!AS90</f>
        <v>Yes</v>
      </c>
      <c r="J88" s="4" t="str">
        <f>'Form responses 1'!J90</f>
        <v>Tier-3 ( AOV&lt;200 )</v>
      </c>
      <c r="K88" s="4">
        <f>'Form responses 1'!G90</f>
        <v>200</v>
      </c>
      <c r="L88" s="4">
        <f>'Form responses 1'!F90</f>
        <v>10</v>
      </c>
      <c r="M88" s="4" t="str">
        <f>'Form responses 1'!U90</f>
        <v>K Nagabhushan rao</v>
      </c>
      <c r="N88" s="4" t="str">
        <f>'Form responses 1'!V90</f>
        <v>+91 85010 24577</v>
      </c>
      <c r="O88" s="4" t="str">
        <f>'Form responses 1'!W90</f>
        <v>bhushankottavalasa@gmail.com</v>
      </c>
      <c r="P88" s="4" t="str">
        <f>'Form responses 1'!X90</f>
        <v/>
      </c>
      <c r="Q88" s="4" t="str">
        <f>'Form responses 1'!Y90</f>
        <v/>
      </c>
      <c r="R88" s="4" t="str">
        <f>'Form responses 1'!Z90</f>
        <v/>
      </c>
      <c r="S88" s="4" t="str">
        <f>'Form responses 1'!AC90</f>
        <v/>
      </c>
      <c r="T88" s="4" t="str">
        <f>'Form responses 1'!AE90</f>
        <v/>
      </c>
      <c r="U88" s="4" t="str">
        <f>'Form responses 1'!AG90</f>
        <v/>
      </c>
      <c r="V88" s="4" t="str">
        <f>'Form responses 1'!AI90</f>
        <v/>
      </c>
      <c r="W88" s="4" t="str">
        <f>'Form responses 1'!AJ90</f>
        <v/>
      </c>
      <c r="X88" s="4" t="str">
        <f>'Form responses 1'!AK90</f>
        <v/>
      </c>
      <c r="Y88" s="4">
        <f t="shared" ref="Y88:AD88" si="87">if(S88&gt;0,1,0)</f>
        <v>0</v>
      </c>
      <c r="Z88" s="4">
        <f t="shared" si="87"/>
        <v>0</v>
      </c>
      <c r="AA88" s="4">
        <f t="shared" si="87"/>
        <v>0</v>
      </c>
      <c r="AB88" s="4">
        <f t="shared" si="87"/>
        <v>0</v>
      </c>
      <c r="AC88" s="4">
        <f t="shared" si="87"/>
        <v>0</v>
      </c>
      <c r="AD88" s="4">
        <f t="shared" si="87"/>
        <v>0</v>
      </c>
      <c r="AE88" s="4" t="str">
        <f>'Form responses 1'!AN90</f>
        <v/>
      </c>
      <c r="AF88" s="4" t="str">
        <f>'Form responses 1'!AO90</f>
        <v/>
      </c>
      <c r="AG88" s="4" t="str">
        <f>'Form responses 1'!AP90</f>
        <v/>
      </c>
      <c r="AH88" s="4" t="str">
        <f>'Form responses 1'!AQ90</f>
        <v/>
      </c>
      <c r="AI88" s="4" t="str">
        <f>'Form responses 1'!AR90</f>
        <v/>
      </c>
    </row>
    <row r="89">
      <c r="A89" s="26">
        <f>'Form responses 1'!B91</f>
        <v>46062</v>
      </c>
      <c r="B89" s="4" t="str">
        <f>'Form responses 1'!AZ91</f>
        <v>ankitha.baske@capsdelivery.com</v>
      </c>
      <c r="C89" s="4" t="str">
        <f>'Form responses 1'!BR91</f>
        <v>Golconda Biryani House</v>
      </c>
      <c r="D89" s="4" t="str">
        <f>'Form responses 1'!AT91</f>
        <v/>
      </c>
      <c r="E89" s="4" t="str">
        <f>'Form responses 1'!AU91</f>
        <v>Yes</v>
      </c>
      <c r="F89" s="4" t="str">
        <f>'Form responses 1'!AX91</f>
        <v/>
      </c>
      <c r="G89" s="4" t="str">
        <f>'Form responses 1'!AY91</f>
        <v/>
      </c>
      <c r="H89" s="53" t="str">
        <f>'Form responses 1'!AW91</f>
        <v>We need to share the proposal </v>
      </c>
      <c r="I89" s="4" t="str">
        <f>'Form responses 1'!AS91</f>
        <v/>
      </c>
      <c r="J89" s="4" t="str">
        <f>'Form responses 1'!J91</f>
        <v>Tier-3 ( AOV&lt;200 )</v>
      </c>
      <c r="K89" s="4">
        <f>'Form responses 1'!G91</f>
        <v>250</v>
      </c>
      <c r="L89" s="4">
        <f>'Form responses 1'!F91</f>
        <v>100</v>
      </c>
      <c r="M89" s="4" t="str">
        <f>'Form responses 1'!U91</f>
        <v>Prasad</v>
      </c>
      <c r="N89" s="4">
        <f>'Form responses 1'!V91</f>
        <v>9761859999</v>
      </c>
      <c r="O89" s="4" t="str">
        <f>'Form responses 1'!W91</f>
        <v>NA</v>
      </c>
      <c r="P89" s="4" t="str">
        <f>'Form responses 1'!X91</f>
        <v/>
      </c>
      <c r="Q89" s="4" t="str">
        <f>'Form responses 1'!Y91</f>
        <v/>
      </c>
      <c r="R89" s="4" t="str">
        <f>'Form responses 1'!Z91</f>
        <v/>
      </c>
      <c r="S89" s="4" t="str">
        <f>'Form responses 1'!AC91</f>
        <v/>
      </c>
      <c r="T89" s="4" t="str">
        <f>'Form responses 1'!AE91</f>
        <v/>
      </c>
      <c r="U89" s="4" t="str">
        <f>'Form responses 1'!AG91</f>
        <v/>
      </c>
      <c r="V89" s="4" t="str">
        <f>'Form responses 1'!AI91</f>
        <v/>
      </c>
      <c r="W89" s="4" t="str">
        <f>'Form responses 1'!AJ91</f>
        <v/>
      </c>
      <c r="X89" s="4" t="str">
        <f>'Form responses 1'!AK91</f>
        <v/>
      </c>
      <c r="Y89" s="4">
        <f t="shared" ref="Y89:AD89" si="88">if(S89&gt;0,1,0)</f>
        <v>0</v>
      </c>
      <c r="Z89" s="4">
        <f t="shared" si="88"/>
        <v>0</v>
      </c>
      <c r="AA89" s="4">
        <f t="shared" si="88"/>
        <v>0</v>
      </c>
      <c r="AB89" s="4">
        <f t="shared" si="88"/>
        <v>0</v>
      </c>
      <c r="AC89" s="4">
        <f t="shared" si="88"/>
        <v>0</v>
      </c>
      <c r="AD89" s="4">
        <f t="shared" si="88"/>
        <v>0</v>
      </c>
      <c r="AE89" s="4" t="str">
        <f>'Form responses 1'!AN91</f>
        <v/>
      </c>
      <c r="AF89" s="4" t="str">
        <f>'Form responses 1'!AO91</f>
        <v/>
      </c>
      <c r="AG89" s="4" t="str">
        <f>'Form responses 1'!AP91</f>
        <v/>
      </c>
      <c r="AH89" s="4" t="str">
        <f>'Form responses 1'!AQ91</f>
        <v/>
      </c>
      <c r="AI89" s="4" t="str">
        <f>'Form responses 1'!AR91</f>
        <v/>
      </c>
    </row>
    <row r="90">
      <c r="A90" s="26">
        <f>'Form responses 1'!B92</f>
        <v>46062</v>
      </c>
      <c r="B90" s="4" t="str">
        <f>'Form responses 1'!AZ92</f>
        <v>ankitha.baske@capsdelivery.com</v>
      </c>
      <c r="C90" s="4" t="str">
        <f>'Form responses 1'!BR92</f>
        <v>Veeramma Gari Vantillu</v>
      </c>
      <c r="D90" s="4" t="str">
        <f>'Form responses 1'!AT92</f>
        <v>Onboarded </v>
      </c>
      <c r="E90" s="4" t="str">
        <f>'Form responses 1'!AU92</f>
        <v>No</v>
      </c>
      <c r="F90" s="4" t="str">
        <f>'Form responses 1'!AX92</f>
        <v/>
      </c>
      <c r="G90" s="4" t="str">
        <f>'Form responses 1'!AY92</f>
        <v/>
      </c>
      <c r="H90" s="53" t="str">
        <f>'Form responses 1'!AW92</f>
        <v/>
      </c>
      <c r="I90" s="4" t="str">
        <f>'Form responses 1'!AS92</f>
        <v>Yes</v>
      </c>
      <c r="J90" s="4" t="str">
        <f>'Form responses 1'!J92</f>
        <v>Tier-3 ( AOV&lt;200 )</v>
      </c>
      <c r="K90" s="4">
        <f>'Form responses 1'!G92</f>
        <v>200</v>
      </c>
      <c r="L90" s="4">
        <f>'Form responses 1'!F92</f>
        <v>60</v>
      </c>
      <c r="M90" s="4" t="str">
        <f>'Form responses 1'!U92</f>
        <v>Suryam</v>
      </c>
      <c r="N90" s="4">
        <f>'Form responses 1'!V92</f>
        <v>9849995653</v>
      </c>
      <c r="O90" s="4" t="str">
        <f>'Form responses 1'!W92</f>
        <v>veerammagarivantillu@gmail.com</v>
      </c>
      <c r="P90" s="4" t="str">
        <f>'Form responses 1'!X92</f>
        <v/>
      </c>
      <c r="Q90" s="4" t="str">
        <f>'Form responses 1'!Y92</f>
        <v/>
      </c>
      <c r="R90" s="4" t="str">
        <f>'Form responses 1'!Z92</f>
        <v/>
      </c>
      <c r="S90" s="54" t="str">
        <f>'Form responses 1'!AC92</f>
        <v>https://drive.google.com/open?id=176ECpGpxZDmqD8I_vWbXX5K-YBZRlh3A</v>
      </c>
      <c r="T90" s="4" t="str">
        <f>'Form responses 1'!AE92</f>
        <v/>
      </c>
      <c r="U90" s="54" t="str">
        <f>'Form responses 1'!AG92</f>
        <v>https://drive.google.com/open?id=1_F3xmRV2zlRSNziROJSeDL0iKC_VNGZt</v>
      </c>
      <c r="V90" s="54" t="str">
        <f>'Form responses 1'!AI92</f>
        <v>https://drive.google.com/open?id=1yiMZ_9SQgNkHaFczbCDoGLcoQaoiMWqz</v>
      </c>
      <c r="W90" s="4" t="str">
        <f>'Form responses 1'!AJ92</f>
        <v/>
      </c>
      <c r="X90" s="54" t="str">
        <f>'Form responses 1'!AK92</f>
        <v>https://drive.google.com/open?id=1dKb9onDSn0QUhvFk10SsnWf6GzlGdEV2</v>
      </c>
      <c r="Y90" s="4">
        <f t="shared" ref="Y90:AD90" si="89">if(S90&gt;0,1,0)</f>
        <v>1</v>
      </c>
      <c r="Z90" s="4">
        <f t="shared" si="89"/>
        <v>0</v>
      </c>
      <c r="AA90" s="4">
        <f t="shared" si="89"/>
        <v>1</v>
      </c>
      <c r="AB90" s="4">
        <f t="shared" si="89"/>
        <v>1</v>
      </c>
      <c r="AC90" s="4">
        <f t="shared" si="89"/>
        <v>0</v>
      </c>
      <c r="AD90" s="4">
        <f t="shared" si="89"/>
        <v>1</v>
      </c>
      <c r="AE90" s="4" t="str">
        <f>'Form responses 1'!AN92</f>
        <v>State Bank Of India</v>
      </c>
      <c r="AF90" s="4" t="str">
        <f>'Form responses 1'!AO92</f>
        <v>Suryam</v>
      </c>
      <c r="AG90" s="4">
        <f>'Form responses 1'!AP92</f>
        <v>9849995653</v>
      </c>
      <c r="AH90" s="4" t="str">
        <f>'Form responses 1'!AQ92</f>
        <v>veerammagarivantillu@gmail.com</v>
      </c>
      <c r="AI90" s="4" t="str">
        <f>'Form responses 1'!AR92</f>
        <v/>
      </c>
    </row>
    <row r="91">
      <c r="A91" s="26">
        <f>'Form responses 1'!B93</f>
        <v>46062</v>
      </c>
      <c r="B91" s="4" t="str">
        <f>'Form responses 1'!AZ93</f>
        <v>akhila.narra@capsdelivery.com</v>
      </c>
      <c r="C91" s="4" t="str">
        <f>'Form responses 1'!BR93</f>
        <v>Bhojanam Tayyari</v>
      </c>
      <c r="D91" s="4" t="str">
        <f>'Form responses 1'!AT93</f>
        <v/>
      </c>
      <c r="E91" s="4" t="str">
        <f>'Form responses 1'!AU93</f>
        <v>Yes</v>
      </c>
      <c r="F91" s="26">
        <f>'Form responses 1'!AX93</f>
        <v>46063</v>
      </c>
      <c r="G91" s="52">
        <f>'Form responses 1'!AY93</f>
        <v>0.2708333333</v>
      </c>
      <c r="H91" s="53" t="str">
        <f>'Form responses 1'!AW93</f>
        <v>asked for Propsal and Comission I have Pitched is 20++,need to call him tmrw eveng fro Scduling the meeting</v>
      </c>
      <c r="I91" s="4" t="str">
        <f>'Form responses 1'!AS93</f>
        <v/>
      </c>
      <c r="J91" s="4" t="str">
        <f>'Form responses 1'!J93</f>
        <v>Tier-2 (AOV &lt;400)</v>
      </c>
      <c r="K91" s="4">
        <f>'Form responses 1'!G93</f>
        <v>250</v>
      </c>
      <c r="L91" s="4">
        <f>'Form responses 1'!F93</f>
        <v>120</v>
      </c>
      <c r="M91" s="4" t="str">
        <f>'Form responses 1'!U93</f>
        <v>Bhoojanam</v>
      </c>
      <c r="N91" s="4">
        <f>'Form responses 1'!V93</f>
        <v>7028412666</v>
      </c>
      <c r="O91" s="4" t="str">
        <f>'Form responses 1'!W93</f>
        <v>Yes</v>
      </c>
      <c r="P91" s="4" t="str">
        <f>'Form responses 1'!X93</f>
        <v>Yes</v>
      </c>
      <c r="Q91" s="4">
        <f>'Form responses 1'!Y93</f>
        <v>4785863578</v>
      </c>
      <c r="R91" s="4" t="str">
        <f>'Form responses 1'!Z93</f>
        <v>Yes</v>
      </c>
      <c r="S91" s="4" t="str">
        <f>'Form responses 1'!AC93</f>
        <v/>
      </c>
      <c r="T91" s="4" t="str">
        <f>'Form responses 1'!AE93</f>
        <v/>
      </c>
      <c r="U91" s="4" t="str">
        <f>'Form responses 1'!AG93</f>
        <v/>
      </c>
      <c r="V91" s="4" t="str">
        <f>'Form responses 1'!AI93</f>
        <v/>
      </c>
      <c r="W91" s="4" t="str">
        <f>'Form responses 1'!AJ93</f>
        <v/>
      </c>
      <c r="X91" s="4" t="str">
        <f>'Form responses 1'!AK93</f>
        <v/>
      </c>
      <c r="Y91" s="4">
        <f t="shared" ref="Y91:AD91" si="90">if(S91&gt;0,1,0)</f>
        <v>0</v>
      </c>
      <c r="Z91" s="4">
        <f t="shared" si="90"/>
        <v>0</v>
      </c>
      <c r="AA91" s="4">
        <f t="shared" si="90"/>
        <v>0</v>
      </c>
      <c r="AB91" s="4">
        <f t="shared" si="90"/>
        <v>0</v>
      </c>
      <c r="AC91" s="4">
        <f t="shared" si="90"/>
        <v>0</v>
      </c>
      <c r="AD91" s="4">
        <f t="shared" si="90"/>
        <v>0</v>
      </c>
      <c r="AE91" s="4" t="str">
        <f>'Form responses 1'!AN93</f>
        <v/>
      </c>
      <c r="AF91" s="4" t="str">
        <f>'Form responses 1'!AO93</f>
        <v/>
      </c>
      <c r="AG91" s="4" t="str">
        <f>'Form responses 1'!AP93</f>
        <v/>
      </c>
      <c r="AH91" s="4" t="str">
        <f>'Form responses 1'!AQ93</f>
        <v/>
      </c>
      <c r="AI91" s="4" t="str">
        <f>'Form responses 1'!AR93</f>
        <v/>
      </c>
    </row>
    <row r="92">
      <c r="A92" s="26">
        <f>'Form responses 1'!B94</f>
        <v>46062</v>
      </c>
      <c r="B92" s="4" t="str">
        <f>'Form responses 1'!AZ94</f>
        <v>akhila.narra@capsdelivery.com</v>
      </c>
      <c r="C92" s="4" t="str">
        <f>'Form responses 1'!BR94</f>
        <v>Mandi@36</v>
      </c>
      <c r="D92" s="4" t="str">
        <f>'Form responses 1'!AT94</f>
        <v/>
      </c>
      <c r="E92" s="4" t="str">
        <f>'Form responses 1'!AU94</f>
        <v>Yes</v>
      </c>
      <c r="F92" s="26">
        <f>'Form responses 1'!AX94</f>
        <v>46063</v>
      </c>
      <c r="G92" s="52">
        <f>'Form responses 1'!AY94</f>
        <v>0.1458333333</v>
      </c>
      <c r="H92" s="53" t="str">
        <f>'Form responses 1'!AW94</f>
        <v>Intro meeting need dicuss regarding Commision for all branches</v>
      </c>
      <c r="I92" s="4" t="str">
        <f>'Form responses 1'!AS94</f>
        <v/>
      </c>
      <c r="J92" s="4" t="str">
        <f>'Form responses 1'!J94</f>
        <v/>
      </c>
      <c r="K92" s="4" t="str">
        <f>'Form responses 1'!G94</f>
        <v/>
      </c>
      <c r="L92" s="4" t="str">
        <f>'Form responses 1'!F94</f>
        <v/>
      </c>
      <c r="M92" s="4" t="str">
        <f>'Form responses 1'!U94</f>
        <v>Mandi@69</v>
      </c>
      <c r="N92" s="4">
        <f>'Form responses 1'!V94</f>
        <v>9381522074</v>
      </c>
      <c r="O92" s="4" t="str">
        <f>'Form responses 1'!W94</f>
        <v>na</v>
      </c>
      <c r="P92" s="4" t="str">
        <f>'Form responses 1'!X94</f>
        <v/>
      </c>
      <c r="Q92" s="4" t="str">
        <f>'Form responses 1'!Y94</f>
        <v/>
      </c>
      <c r="R92" s="4" t="str">
        <f>'Form responses 1'!Z94</f>
        <v/>
      </c>
      <c r="S92" s="4" t="str">
        <f>'Form responses 1'!AC94</f>
        <v/>
      </c>
      <c r="T92" s="4" t="str">
        <f>'Form responses 1'!AE94</f>
        <v/>
      </c>
      <c r="U92" s="4" t="str">
        <f>'Form responses 1'!AG94</f>
        <v/>
      </c>
      <c r="V92" s="4" t="str">
        <f>'Form responses 1'!AI94</f>
        <v/>
      </c>
      <c r="W92" s="4" t="str">
        <f>'Form responses 1'!AJ94</f>
        <v/>
      </c>
      <c r="X92" s="4" t="str">
        <f>'Form responses 1'!AK94</f>
        <v/>
      </c>
      <c r="Y92" s="4">
        <f t="shared" ref="Y92:AD92" si="91">if(S92&gt;0,1,0)</f>
        <v>0</v>
      </c>
      <c r="Z92" s="4">
        <f t="shared" si="91"/>
        <v>0</v>
      </c>
      <c r="AA92" s="4">
        <f t="shared" si="91"/>
        <v>0</v>
      </c>
      <c r="AB92" s="4">
        <f t="shared" si="91"/>
        <v>0</v>
      </c>
      <c r="AC92" s="4">
        <f t="shared" si="91"/>
        <v>0</v>
      </c>
      <c r="AD92" s="4">
        <f t="shared" si="91"/>
        <v>0</v>
      </c>
      <c r="AE92" s="4" t="str">
        <f>'Form responses 1'!AN94</f>
        <v/>
      </c>
      <c r="AF92" s="4" t="str">
        <f>'Form responses 1'!AO94</f>
        <v/>
      </c>
      <c r="AG92" s="4" t="str">
        <f>'Form responses 1'!AP94</f>
        <v/>
      </c>
      <c r="AH92" s="4" t="str">
        <f>'Form responses 1'!AQ94</f>
        <v/>
      </c>
      <c r="AI92" s="4" t="str">
        <f>'Form responses 1'!AR94</f>
        <v/>
      </c>
    </row>
    <row r="93">
      <c r="A93" s="26">
        <f>'Form responses 1'!B95</f>
        <v>46062</v>
      </c>
      <c r="B93" s="4" t="str">
        <f>'Form responses 1'!AZ95</f>
        <v>akhila.narra@capsdelivery.com</v>
      </c>
      <c r="C93" s="4" t="str">
        <f>'Form responses 1'!BR95</f>
        <v/>
      </c>
      <c r="D93" s="4" t="str">
        <f>'Form responses 1'!AT95</f>
        <v/>
      </c>
      <c r="E93" s="4" t="str">
        <f>'Form responses 1'!AU95</f>
        <v>Yes</v>
      </c>
      <c r="F93" s="26">
        <f>'Form responses 1'!AX95</f>
        <v>46064</v>
      </c>
      <c r="G93" s="52">
        <f>'Form responses 1'!AY95</f>
        <v>0.1875</v>
      </c>
      <c r="H93" s="53" t="str">
        <f>'Form responses 1'!AW95</f>
        <v>20++ Comission we Sait it</v>
      </c>
      <c r="I93" s="4" t="str">
        <f>'Form responses 1'!AS95</f>
        <v/>
      </c>
      <c r="J93" s="4" t="str">
        <f>'Form responses 1'!J95</f>
        <v/>
      </c>
      <c r="K93" s="4" t="str">
        <f>'Form responses 1'!G95</f>
        <v/>
      </c>
      <c r="L93" s="4" t="str">
        <f>'Form responses 1'!F95</f>
        <v/>
      </c>
      <c r="M93" s="4" t="str">
        <f>'Form responses 1'!U95</f>
        <v>Prabath</v>
      </c>
      <c r="N93" s="4">
        <f>'Form responses 1'!V95</f>
        <v>9148628899</v>
      </c>
      <c r="O93" s="4" t="str">
        <f>'Form responses 1'!W95</f>
        <v>na</v>
      </c>
      <c r="P93" s="4" t="str">
        <f>'Form responses 1'!X95</f>
        <v/>
      </c>
      <c r="Q93" s="4" t="str">
        <f>'Form responses 1'!Y95</f>
        <v/>
      </c>
      <c r="R93" s="4" t="str">
        <f>'Form responses 1'!Z95</f>
        <v/>
      </c>
      <c r="S93" s="4" t="str">
        <f>'Form responses 1'!AC95</f>
        <v/>
      </c>
      <c r="T93" s="4" t="str">
        <f>'Form responses 1'!AE95</f>
        <v/>
      </c>
      <c r="U93" s="4" t="str">
        <f>'Form responses 1'!AG95</f>
        <v/>
      </c>
      <c r="V93" s="4" t="str">
        <f>'Form responses 1'!AI95</f>
        <v/>
      </c>
      <c r="W93" s="4" t="str">
        <f>'Form responses 1'!AJ95</f>
        <v/>
      </c>
      <c r="X93" s="4" t="str">
        <f>'Form responses 1'!AK95</f>
        <v/>
      </c>
      <c r="Y93" s="4">
        <f t="shared" ref="Y93:AD93" si="92">if(S93&gt;0,1,0)</f>
        <v>0</v>
      </c>
      <c r="Z93" s="4">
        <f t="shared" si="92"/>
        <v>0</v>
      </c>
      <c r="AA93" s="4">
        <f t="shared" si="92"/>
        <v>0</v>
      </c>
      <c r="AB93" s="4">
        <f t="shared" si="92"/>
        <v>0</v>
      </c>
      <c r="AC93" s="4">
        <f t="shared" si="92"/>
        <v>0</v>
      </c>
      <c r="AD93" s="4">
        <f t="shared" si="92"/>
        <v>0</v>
      </c>
      <c r="AE93" s="4" t="str">
        <f>'Form responses 1'!AN95</f>
        <v/>
      </c>
      <c r="AF93" s="4" t="str">
        <f>'Form responses 1'!AO95</f>
        <v/>
      </c>
      <c r="AG93" s="4" t="str">
        <f>'Form responses 1'!AP95</f>
        <v/>
      </c>
      <c r="AH93" s="4" t="str">
        <f>'Form responses 1'!AQ95</f>
        <v/>
      </c>
      <c r="AI93" s="4" t="str">
        <f>'Form responses 1'!AR95</f>
        <v/>
      </c>
    </row>
    <row r="94">
      <c r="A94" s="26">
        <f>'Form responses 1'!B96</f>
        <v>46063</v>
      </c>
      <c r="B94" s="4" t="str">
        <f>'Form responses 1'!AZ96</f>
        <v>chanakya.inugala@capsdelivery.com</v>
      </c>
      <c r="C94" s="4" t="str">
        <f>'Form responses 1'!BR96</f>
        <v>CAFE REELS</v>
      </c>
      <c r="D94" s="4" t="str">
        <f>'Form responses 1'!AT96</f>
        <v>ON BOARDED</v>
      </c>
      <c r="E94" s="4" t="str">
        <f>'Form responses 1'!AU96</f>
        <v>No</v>
      </c>
      <c r="F94" s="26">
        <f>'Form responses 1'!AX96</f>
        <v>46062</v>
      </c>
      <c r="G94" s="52">
        <f>'Form responses 1'!AY96</f>
        <v>0.7083333333</v>
      </c>
      <c r="H94" s="53" t="str">
        <f>'Form responses 1'!AW96</f>
        <v/>
      </c>
      <c r="I94" s="4" t="str">
        <f>'Form responses 1'!AS96</f>
        <v>Yes</v>
      </c>
      <c r="J94" s="4" t="str">
        <f>'Form responses 1'!J96</f>
        <v>Tier-3 ( AOV&lt;200 )</v>
      </c>
      <c r="K94" s="4">
        <f>'Form responses 1'!G96</f>
        <v>250</v>
      </c>
      <c r="L94" s="4">
        <f>'Form responses 1'!F96</f>
        <v>25</v>
      </c>
      <c r="M94" s="4" t="str">
        <f>'Form responses 1'!U96</f>
        <v>NAVEEN REDDY</v>
      </c>
      <c r="N94" s="4">
        <f>'Form responses 1'!V96</f>
        <v>9676945646</v>
      </c>
      <c r="O94" s="4" t="str">
        <f>'Form responses 1'!W96</f>
        <v>NA</v>
      </c>
      <c r="P94" s="4" t="str">
        <f>'Form responses 1'!X96</f>
        <v/>
      </c>
      <c r="Q94" s="4" t="str">
        <f>'Form responses 1'!Y96</f>
        <v/>
      </c>
      <c r="R94" s="4" t="str">
        <f>'Form responses 1'!Z96</f>
        <v/>
      </c>
      <c r="S94" s="54" t="str">
        <f>'Form responses 1'!AC96</f>
        <v>https://drive.google.com/open?id=1FPCiNB0YBRTLIUvuT9773zFtJI3rUXLv</v>
      </c>
      <c r="T94" s="54" t="str">
        <f>'Form responses 1'!AE96</f>
        <v>https://drive.google.com/open?id=1lzn9VjNKeaCPDBh4aYrl3n_K7W9Qn8cy</v>
      </c>
      <c r="U94" s="54" t="str">
        <f>'Form responses 1'!AG96</f>
        <v>https://drive.google.com/open?id=1nTgwZ-m4rPslhVYuqeVe_nRrYljsedOK</v>
      </c>
      <c r="V94" s="54" t="str">
        <f>'Form responses 1'!AI96</f>
        <v>https://drive.google.com/open?id=1EZX1yqE9A9WyTNlB7ShJMB6qtXLxeZoC</v>
      </c>
      <c r="W94" s="4" t="str">
        <f>'Form responses 1'!AJ96</f>
        <v/>
      </c>
      <c r="X94" s="4" t="str">
        <f>'Form responses 1'!AK96</f>
        <v/>
      </c>
      <c r="Y94" s="4">
        <f t="shared" ref="Y94:AD94" si="93">if(S94&gt;0,1,0)</f>
        <v>1</v>
      </c>
      <c r="Z94" s="4">
        <f t="shared" si="93"/>
        <v>1</v>
      </c>
      <c r="AA94" s="4">
        <f t="shared" si="93"/>
        <v>1</v>
      </c>
      <c r="AB94" s="4">
        <f t="shared" si="93"/>
        <v>1</v>
      </c>
      <c r="AC94" s="4">
        <f t="shared" si="93"/>
        <v>0</v>
      </c>
      <c r="AD94" s="4">
        <f t="shared" si="93"/>
        <v>0</v>
      </c>
      <c r="AE94" s="4" t="str">
        <f>'Form responses 1'!AN96</f>
        <v/>
      </c>
      <c r="AF94" s="4" t="str">
        <f>'Form responses 1'!AO96</f>
        <v/>
      </c>
      <c r="AG94" s="4" t="str">
        <f>'Form responses 1'!AP96</f>
        <v/>
      </c>
      <c r="AH94" s="4" t="str">
        <f>'Form responses 1'!AQ96</f>
        <v/>
      </c>
      <c r="AI94" s="4" t="str">
        <f>'Form responses 1'!AR96</f>
        <v/>
      </c>
    </row>
    <row r="95">
      <c r="A95" s="26">
        <f>'Form responses 1'!B97</f>
        <v>46062</v>
      </c>
      <c r="B95" s="4" t="str">
        <f>'Form responses 1'!AZ97</f>
        <v>greeshma.vanneldas@capsdelivery.com</v>
      </c>
      <c r="C95" s="4" t="str">
        <f>'Form responses 1'!BR97</f>
        <v>Veera di chaap</v>
      </c>
      <c r="D95" s="4" t="str">
        <f>'Form responses 1'!AT97</f>
        <v>need to get bank details,adhar card and pan card</v>
      </c>
      <c r="E95" s="4" t="str">
        <f>'Form responses 1'!AU97</f>
        <v>No</v>
      </c>
      <c r="F95" s="4" t="str">
        <f>'Form responses 1'!AX97</f>
        <v/>
      </c>
      <c r="G95" s="4" t="str">
        <f>'Form responses 1'!AY97</f>
        <v/>
      </c>
      <c r="H95" s="53" t="str">
        <f>'Form responses 1'!AW97</f>
        <v/>
      </c>
      <c r="I95" s="4" t="str">
        <f>'Form responses 1'!AS97</f>
        <v/>
      </c>
      <c r="J95" s="4" t="str">
        <f>'Form responses 1'!J97</f>
        <v>Tier-2 (AOV &lt;400)</v>
      </c>
      <c r="K95" s="4">
        <f>'Form responses 1'!G97</f>
        <v>200</v>
      </c>
      <c r="L95" s="4">
        <f>'Form responses 1'!F97</f>
        <v>20</v>
      </c>
      <c r="M95" s="4" t="str">
        <f>'Form responses 1'!U97</f>
        <v>Karthik</v>
      </c>
      <c r="N95" s="4" t="str">
        <f>'Form responses 1'!V97</f>
        <v>+91 78428 04422</v>
      </c>
      <c r="O95" s="4" t="str">
        <f>'Form responses 1'!W97</f>
        <v>n/a</v>
      </c>
      <c r="P95" s="4" t="str">
        <f>'Form responses 1'!X97</f>
        <v/>
      </c>
      <c r="Q95" s="4" t="str">
        <f>'Form responses 1'!Y97</f>
        <v/>
      </c>
      <c r="R95" s="4" t="str">
        <f>'Form responses 1'!Z97</f>
        <v/>
      </c>
      <c r="S95" s="4" t="str">
        <f>'Form responses 1'!AC97</f>
        <v/>
      </c>
      <c r="T95" s="4" t="str">
        <f>'Form responses 1'!AE97</f>
        <v/>
      </c>
      <c r="U95" s="4" t="str">
        <f>'Form responses 1'!AG97</f>
        <v/>
      </c>
      <c r="V95" s="4" t="str">
        <f>'Form responses 1'!AI97</f>
        <v/>
      </c>
      <c r="W95" s="4" t="str">
        <f>'Form responses 1'!AJ97</f>
        <v/>
      </c>
      <c r="X95" s="4" t="str">
        <f>'Form responses 1'!AK97</f>
        <v/>
      </c>
      <c r="Y95" s="4">
        <f t="shared" ref="Y95:AD95" si="94">if(S95&gt;0,1,0)</f>
        <v>0</v>
      </c>
      <c r="Z95" s="4">
        <f t="shared" si="94"/>
        <v>0</v>
      </c>
      <c r="AA95" s="4">
        <f t="shared" si="94"/>
        <v>0</v>
      </c>
      <c r="AB95" s="4">
        <f t="shared" si="94"/>
        <v>0</v>
      </c>
      <c r="AC95" s="4">
        <f t="shared" si="94"/>
        <v>0</v>
      </c>
      <c r="AD95" s="4">
        <f t="shared" si="94"/>
        <v>0</v>
      </c>
      <c r="AE95" s="4" t="str">
        <f>'Form responses 1'!AN97</f>
        <v/>
      </c>
      <c r="AF95" s="4" t="str">
        <f>'Form responses 1'!AO97</f>
        <v/>
      </c>
      <c r="AG95" s="4" t="str">
        <f>'Form responses 1'!AP97</f>
        <v/>
      </c>
      <c r="AH95" s="4" t="str">
        <f>'Form responses 1'!AQ97</f>
        <v/>
      </c>
      <c r="AI95" s="4" t="str">
        <f>'Form responses 1'!AR97</f>
        <v/>
      </c>
    </row>
    <row r="96">
      <c r="A96" s="26">
        <f>'Form responses 1'!B98</f>
        <v>46062</v>
      </c>
      <c r="B96" s="4" t="str">
        <f>'Form responses 1'!AZ98</f>
        <v>moin.khan@capsdelivery.com</v>
      </c>
      <c r="C96" s="4" t="str">
        <f>'Form responses 1'!BR98</f>
        <v>GODAVARI RESTAURANT </v>
      </c>
      <c r="D96" s="4" t="str">
        <f>'Form responses 1'!AT98</f>
        <v/>
      </c>
      <c r="E96" s="4" t="str">
        <f>'Form responses 1'!AU98</f>
        <v>Yes</v>
      </c>
      <c r="F96" s="26">
        <f>'Form responses 1'!AX98</f>
        <v>46063</v>
      </c>
      <c r="G96" s="52">
        <f>'Form responses 1'!AY98</f>
        <v>0.5416666667</v>
      </c>
      <c r="H96" s="53" t="str">
        <f>'Form responses 1'!AW98</f>
        <v/>
      </c>
      <c r="I96" s="4" t="str">
        <f>'Form responses 1'!AS98</f>
        <v/>
      </c>
      <c r="J96" s="4" t="str">
        <f>'Form responses 1'!J98</f>
        <v/>
      </c>
      <c r="K96" s="4" t="str">
        <f>'Form responses 1'!G98</f>
        <v/>
      </c>
      <c r="L96" s="4" t="str">
        <f>'Form responses 1'!F98</f>
        <v/>
      </c>
      <c r="M96" s="4" t="str">
        <f>'Form responses 1'!U98</f>
        <v>SATYA</v>
      </c>
      <c r="N96" s="4" t="str">
        <f>'Form responses 1'!V98</f>
        <v>+91 6281 845 369</v>
      </c>
      <c r="O96" s="4" t="str">
        <f>'Form responses 1'!W98</f>
        <v>NA</v>
      </c>
      <c r="P96" s="4" t="str">
        <f>'Form responses 1'!X98</f>
        <v/>
      </c>
      <c r="Q96" s="4" t="str">
        <f>'Form responses 1'!Y98</f>
        <v/>
      </c>
      <c r="R96" s="4" t="str">
        <f>'Form responses 1'!Z98</f>
        <v/>
      </c>
      <c r="S96" s="4" t="str">
        <f>'Form responses 1'!AC98</f>
        <v/>
      </c>
      <c r="T96" s="4" t="str">
        <f>'Form responses 1'!AE98</f>
        <v/>
      </c>
      <c r="U96" s="4" t="str">
        <f>'Form responses 1'!AG98</f>
        <v/>
      </c>
      <c r="V96" s="4" t="str">
        <f>'Form responses 1'!AI98</f>
        <v/>
      </c>
      <c r="W96" s="4" t="str">
        <f>'Form responses 1'!AJ98</f>
        <v/>
      </c>
      <c r="X96" s="4" t="str">
        <f>'Form responses 1'!AK98</f>
        <v/>
      </c>
      <c r="Y96" s="4">
        <f t="shared" ref="Y96:AD96" si="95">if(S96&gt;0,1,0)</f>
        <v>0</v>
      </c>
      <c r="Z96" s="4">
        <f t="shared" si="95"/>
        <v>0</v>
      </c>
      <c r="AA96" s="4">
        <f t="shared" si="95"/>
        <v>0</v>
      </c>
      <c r="AB96" s="4">
        <f t="shared" si="95"/>
        <v>0</v>
      </c>
      <c r="AC96" s="4">
        <f t="shared" si="95"/>
        <v>0</v>
      </c>
      <c r="AD96" s="4">
        <f t="shared" si="95"/>
        <v>0</v>
      </c>
      <c r="AE96" s="4" t="str">
        <f>'Form responses 1'!AN98</f>
        <v/>
      </c>
      <c r="AF96" s="4" t="str">
        <f>'Form responses 1'!AO98</f>
        <v/>
      </c>
      <c r="AG96" s="4" t="str">
        <f>'Form responses 1'!AP98</f>
        <v/>
      </c>
      <c r="AH96" s="4" t="str">
        <f>'Form responses 1'!AQ98</f>
        <v/>
      </c>
      <c r="AI96" s="4" t="str">
        <f>'Form responses 1'!AR98</f>
        <v/>
      </c>
    </row>
    <row r="97">
      <c r="A97" s="26">
        <f>'Form responses 1'!B99</f>
        <v>46062</v>
      </c>
      <c r="B97" s="4" t="str">
        <f>'Form responses 1'!AZ99</f>
        <v>greeshma.vanneldas@capsdelivery.com</v>
      </c>
      <c r="C97" s="4" t="str">
        <f>'Form responses 1'!BR99</f>
        <v>Donut O clock</v>
      </c>
      <c r="D97" s="4" t="str">
        <f>'Form responses 1'!AT99</f>
        <v>n/a</v>
      </c>
      <c r="E97" s="4" t="str">
        <f>'Form responses 1'!AU99</f>
        <v>No</v>
      </c>
      <c r="F97" s="4" t="str">
        <f>'Form responses 1'!AX99</f>
        <v/>
      </c>
      <c r="G97" s="4" t="str">
        <f>'Form responses 1'!AY99</f>
        <v/>
      </c>
      <c r="H97" s="53" t="str">
        <f>'Form responses 1'!AW99</f>
        <v/>
      </c>
      <c r="I97" s="4" t="str">
        <f>'Form responses 1'!AS99</f>
        <v/>
      </c>
      <c r="J97" s="4" t="str">
        <f>'Form responses 1'!J99</f>
        <v>Tier-1(AOV&gt;400)</v>
      </c>
      <c r="K97" s="4">
        <f>'Form responses 1'!G99</f>
        <v>2000</v>
      </c>
      <c r="L97" s="4">
        <f>'Form responses 1'!F99</f>
        <v>10</v>
      </c>
      <c r="M97" s="4" t="str">
        <f>'Form responses 1'!U99</f>
        <v>Juhi Sanjay Sajnani</v>
      </c>
      <c r="N97" s="4">
        <f>'Form responses 1'!V99</f>
        <v>9133847766</v>
      </c>
      <c r="O97" s="4" t="str">
        <f>'Form responses 1'!W99</f>
        <v>frostbakeryindia@gmail.com</v>
      </c>
      <c r="P97" s="4" t="str">
        <f>'Form responses 1'!X99</f>
        <v/>
      </c>
      <c r="Q97" s="4" t="str">
        <f>'Form responses 1'!Y99</f>
        <v/>
      </c>
      <c r="R97" s="4" t="str">
        <f>'Form responses 1'!Z99</f>
        <v/>
      </c>
      <c r="S97" s="4" t="str">
        <f>'Form responses 1'!AC99</f>
        <v/>
      </c>
      <c r="T97" s="4" t="str">
        <f>'Form responses 1'!AE99</f>
        <v/>
      </c>
      <c r="U97" s="4" t="str">
        <f>'Form responses 1'!AG99</f>
        <v/>
      </c>
      <c r="V97" s="4" t="str">
        <f>'Form responses 1'!AI99</f>
        <v/>
      </c>
      <c r="W97" s="4" t="str">
        <f>'Form responses 1'!AJ99</f>
        <v/>
      </c>
      <c r="X97" s="4" t="str">
        <f>'Form responses 1'!AK99</f>
        <v/>
      </c>
      <c r="Y97" s="4">
        <f t="shared" ref="Y97:AD97" si="96">if(S97&gt;0,1,0)</f>
        <v>0</v>
      </c>
      <c r="Z97" s="4">
        <f t="shared" si="96"/>
        <v>0</v>
      </c>
      <c r="AA97" s="4">
        <f t="shared" si="96"/>
        <v>0</v>
      </c>
      <c r="AB97" s="4">
        <f t="shared" si="96"/>
        <v>0</v>
      </c>
      <c r="AC97" s="4">
        <f t="shared" si="96"/>
        <v>0</v>
      </c>
      <c r="AD97" s="4">
        <f t="shared" si="96"/>
        <v>0</v>
      </c>
      <c r="AE97" s="4" t="str">
        <f>'Form responses 1'!AN99</f>
        <v/>
      </c>
      <c r="AF97" s="4" t="str">
        <f>'Form responses 1'!AO99</f>
        <v/>
      </c>
      <c r="AG97" s="4" t="str">
        <f>'Form responses 1'!AP99</f>
        <v/>
      </c>
      <c r="AH97" s="4" t="str">
        <f>'Form responses 1'!AQ99</f>
        <v/>
      </c>
      <c r="AI97" s="4" t="str">
        <f>'Form responses 1'!AR99</f>
        <v/>
      </c>
    </row>
    <row r="98">
      <c r="A98" s="26">
        <f>'Form responses 1'!B100</f>
        <v>46062</v>
      </c>
      <c r="B98" s="4" t="str">
        <f>'Form responses 1'!AZ100</f>
        <v>chanakya.inugala@capsdelivery.com</v>
      </c>
      <c r="C98" s="4" t="str">
        <f>'Form responses 1'!BR100</f>
        <v>kush mandi</v>
      </c>
      <c r="D98" s="4" t="str">
        <f>'Form responses 1'!AT100</f>
        <v/>
      </c>
      <c r="E98" s="4" t="str">
        <f>'Form responses 1'!AU100</f>
        <v>Yes</v>
      </c>
      <c r="F98" s="26">
        <f>'Form responses 1'!AX100</f>
        <v>46065</v>
      </c>
      <c r="G98" s="52">
        <f>'Form responses 1'!AY100</f>
        <v>0.5833333333</v>
      </c>
      <c r="H98" s="53" t="str">
        <f>'Form responses 1'!AW100</f>
        <v/>
      </c>
      <c r="I98" s="4" t="str">
        <f>'Form responses 1'!AS100</f>
        <v/>
      </c>
      <c r="J98" s="4" t="str">
        <f>'Form responses 1'!J100</f>
        <v>Tier-2 (AOV &lt;400)</v>
      </c>
      <c r="K98" s="4">
        <f>'Form responses 1'!G100</f>
        <v>300</v>
      </c>
      <c r="L98" s="4">
        <f>'Form responses 1'!F100</f>
        <v>30</v>
      </c>
      <c r="M98" s="4" t="str">
        <f>'Form responses 1'!U100</f>
        <v>NA</v>
      </c>
      <c r="N98" s="4">
        <f>'Form responses 1'!V100</f>
        <v>9908662728</v>
      </c>
      <c r="O98" s="4" t="str">
        <f>'Form responses 1'!W100</f>
        <v>NA</v>
      </c>
      <c r="P98" s="4" t="str">
        <f>'Form responses 1'!X100</f>
        <v/>
      </c>
      <c r="Q98" s="4" t="str">
        <f>'Form responses 1'!Y100</f>
        <v/>
      </c>
      <c r="R98" s="4" t="str">
        <f>'Form responses 1'!Z100</f>
        <v/>
      </c>
      <c r="S98" s="4" t="str">
        <f>'Form responses 1'!AC100</f>
        <v/>
      </c>
      <c r="T98" s="4" t="str">
        <f>'Form responses 1'!AE100</f>
        <v/>
      </c>
      <c r="U98" s="4" t="str">
        <f>'Form responses 1'!AG100</f>
        <v/>
      </c>
      <c r="V98" s="4" t="str">
        <f>'Form responses 1'!AI100</f>
        <v/>
      </c>
      <c r="W98" s="4" t="str">
        <f>'Form responses 1'!AJ100</f>
        <v/>
      </c>
      <c r="X98" s="4" t="str">
        <f>'Form responses 1'!AK100</f>
        <v/>
      </c>
      <c r="Y98" s="4">
        <f t="shared" ref="Y98:AD98" si="97">if(S98&gt;0,1,0)</f>
        <v>0</v>
      </c>
      <c r="Z98" s="4">
        <f t="shared" si="97"/>
        <v>0</v>
      </c>
      <c r="AA98" s="4">
        <f t="shared" si="97"/>
        <v>0</v>
      </c>
      <c r="AB98" s="4">
        <f t="shared" si="97"/>
        <v>0</v>
      </c>
      <c r="AC98" s="4">
        <f t="shared" si="97"/>
        <v>0</v>
      </c>
      <c r="AD98" s="4">
        <f t="shared" si="97"/>
        <v>0</v>
      </c>
      <c r="AE98" s="4" t="str">
        <f>'Form responses 1'!AN100</f>
        <v/>
      </c>
      <c r="AF98" s="4" t="str">
        <f>'Form responses 1'!AO100</f>
        <v/>
      </c>
      <c r="AG98" s="4" t="str">
        <f>'Form responses 1'!AP100</f>
        <v/>
      </c>
      <c r="AH98" s="4" t="str">
        <f>'Form responses 1'!AQ100</f>
        <v/>
      </c>
      <c r="AI98" s="4" t="str">
        <f>'Form responses 1'!AR100</f>
        <v/>
      </c>
    </row>
    <row r="99">
      <c r="A99" s="26">
        <f>'Form responses 1'!B101</f>
        <v>46062</v>
      </c>
      <c r="B99" s="4" t="str">
        <f>'Form responses 1'!AZ101</f>
        <v>moin.khan@capsdelivery.com</v>
      </c>
      <c r="C99" s="4" t="str">
        <f>'Form responses 1'!BR101</f>
        <v>LUCKY RESTAURANT</v>
      </c>
      <c r="D99" s="4" t="str">
        <f>'Form responses 1'!AT101</f>
        <v/>
      </c>
      <c r="E99" s="4" t="str">
        <f>'Form responses 1'!AU101</f>
        <v>Yes</v>
      </c>
      <c r="F99" s="26">
        <f>'Form responses 1'!AX101</f>
        <v>46064</v>
      </c>
      <c r="G99" s="52">
        <f>'Form responses 1'!AY101</f>
        <v>0.8541666667</v>
      </c>
      <c r="H99" s="53" t="str">
        <f>'Form responses 1'!AW101</f>
        <v/>
      </c>
      <c r="I99" s="4" t="str">
        <f>'Form responses 1'!AS101</f>
        <v/>
      </c>
      <c r="J99" s="4" t="str">
        <f>'Form responses 1'!J101</f>
        <v/>
      </c>
      <c r="K99" s="4" t="str">
        <f>'Form responses 1'!G101</f>
        <v/>
      </c>
      <c r="L99" s="4" t="str">
        <f>'Form responses 1'!F101</f>
        <v/>
      </c>
      <c r="M99" s="4" t="str">
        <f>'Form responses 1'!U101</f>
        <v>KHASIM</v>
      </c>
      <c r="N99" s="4" t="str">
        <f>'Form responses 1'!V101</f>
        <v>+91 98491 08337</v>
      </c>
      <c r="O99" s="4" t="str">
        <f>'Form responses 1'!W101</f>
        <v>NA</v>
      </c>
      <c r="P99" s="4" t="str">
        <f>'Form responses 1'!X101</f>
        <v/>
      </c>
      <c r="Q99" s="4" t="str">
        <f>'Form responses 1'!Y101</f>
        <v/>
      </c>
      <c r="R99" s="4" t="str">
        <f>'Form responses 1'!Z101</f>
        <v/>
      </c>
      <c r="S99" s="4" t="str">
        <f>'Form responses 1'!AC101</f>
        <v/>
      </c>
      <c r="T99" s="4" t="str">
        <f>'Form responses 1'!AE101</f>
        <v/>
      </c>
      <c r="U99" s="4" t="str">
        <f>'Form responses 1'!AG101</f>
        <v/>
      </c>
      <c r="V99" s="4" t="str">
        <f>'Form responses 1'!AI101</f>
        <v/>
      </c>
      <c r="W99" s="4" t="str">
        <f>'Form responses 1'!AJ101</f>
        <v/>
      </c>
      <c r="X99" s="4" t="str">
        <f>'Form responses 1'!AK101</f>
        <v/>
      </c>
      <c r="Y99" s="4">
        <f t="shared" ref="Y99:AD99" si="98">if(S99&gt;0,1,0)</f>
        <v>0</v>
      </c>
      <c r="Z99" s="4">
        <f t="shared" si="98"/>
        <v>0</v>
      </c>
      <c r="AA99" s="4">
        <f t="shared" si="98"/>
        <v>0</v>
      </c>
      <c r="AB99" s="4">
        <f t="shared" si="98"/>
        <v>0</v>
      </c>
      <c r="AC99" s="4">
        <f t="shared" si="98"/>
        <v>0</v>
      </c>
      <c r="AD99" s="4">
        <f t="shared" si="98"/>
        <v>0</v>
      </c>
      <c r="AE99" s="4" t="str">
        <f>'Form responses 1'!AN101</f>
        <v/>
      </c>
      <c r="AF99" s="4" t="str">
        <f>'Form responses 1'!AO101</f>
        <v/>
      </c>
      <c r="AG99" s="4" t="str">
        <f>'Form responses 1'!AP101</f>
        <v/>
      </c>
      <c r="AH99" s="4" t="str">
        <f>'Form responses 1'!AQ101</f>
        <v/>
      </c>
      <c r="AI99" s="4" t="str">
        <f>'Form responses 1'!AR101</f>
        <v/>
      </c>
    </row>
    <row r="100">
      <c r="A100" s="26">
        <f>'Form responses 1'!B102</f>
        <v>46062</v>
      </c>
      <c r="B100" s="4" t="str">
        <f>'Form responses 1'!AZ102</f>
        <v>greeshma.vanneldas@capsdelivery.com</v>
      </c>
      <c r="C100" s="4" t="str">
        <f>'Form responses 1'!BR102</f>
        <v>Tempt chocolates</v>
      </c>
      <c r="D100" s="4" t="str">
        <f>'Form responses 1'!AT102</f>
        <v>n/a</v>
      </c>
      <c r="E100" s="4" t="str">
        <f>'Form responses 1'!AU102</f>
        <v>No</v>
      </c>
      <c r="F100" s="4" t="str">
        <f>'Form responses 1'!AX102</f>
        <v/>
      </c>
      <c r="G100" s="4" t="str">
        <f>'Form responses 1'!AY102</f>
        <v/>
      </c>
      <c r="H100" s="53" t="str">
        <f>'Form responses 1'!AW102</f>
        <v/>
      </c>
      <c r="I100" s="4" t="str">
        <f>'Form responses 1'!AS102</f>
        <v/>
      </c>
      <c r="J100" s="4" t="str">
        <f>'Form responses 1'!J102</f>
        <v>Tier-1(AOV&gt;400)</v>
      </c>
      <c r="K100" s="4">
        <f>'Form responses 1'!G102</f>
        <v>2000</v>
      </c>
      <c r="L100" s="4">
        <f>'Form responses 1'!F102</f>
        <v>10</v>
      </c>
      <c r="M100" s="4" t="str">
        <f>'Form responses 1'!U102</f>
        <v>Juhi Sanjay Sajnani</v>
      </c>
      <c r="N100" s="4">
        <f>'Form responses 1'!V102</f>
        <v>9133847766</v>
      </c>
      <c r="O100" s="4" t="str">
        <f>'Form responses 1'!W102</f>
        <v>frostbakeryindia@gmail.com</v>
      </c>
      <c r="P100" s="4" t="str">
        <f>'Form responses 1'!X102</f>
        <v/>
      </c>
      <c r="Q100" s="4" t="str">
        <f>'Form responses 1'!Y102</f>
        <v/>
      </c>
      <c r="R100" s="4" t="str">
        <f>'Form responses 1'!Z102</f>
        <v/>
      </c>
      <c r="S100" s="4" t="str">
        <f>'Form responses 1'!AC102</f>
        <v/>
      </c>
      <c r="T100" s="4" t="str">
        <f>'Form responses 1'!AE102</f>
        <v/>
      </c>
      <c r="U100" s="4" t="str">
        <f>'Form responses 1'!AG102</f>
        <v/>
      </c>
      <c r="V100" s="4" t="str">
        <f>'Form responses 1'!AI102</f>
        <v/>
      </c>
      <c r="W100" s="4" t="str">
        <f>'Form responses 1'!AJ102</f>
        <v/>
      </c>
      <c r="X100" s="4" t="str">
        <f>'Form responses 1'!AK102</f>
        <v/>
      </c>
      <c r="Y100" s="4">
        <f t="shared" ref="Y100:AD100" si="99">if(S100&gt;0,1,0)</f>
        <v>0</v>
      </c>
      <c r="Z100" s="4">
        <f t="shared" si="99"/>
        <v>0</v>
      </c>
      <c r="AA100" s="4">
        <f t="shared" si="99"/>
        <v>0</v>
      </c>
      <c r="AB100" s="4">
        <f t="shared" si="99"/>
        <v>0</v>
      </c>
      <c r="AC100" s="4">
        <f t="shared" si="99"/>
        <v>0</v>
      </c>
      <c r="AD100" s="4">
        <f t="shared" si="99"/>
        <v>0</v>
      </c>
      <c r="AE100" s="4" t="str">
        <f>'Form responses 1'!AN102</f>
        <v/>
      </c>
      <c r="AF100" s="4" t="str">
        <f>'Form responses 1'!AO102</f>
        <v/>
      </c>
      <c r="AG100" s="4" t="str">
        <f>'Form responses 1'!AP102</f>
        <v/>
      </c>
      <c r="AH100" s="4" t="str">
        <f>'Form responses 1'!AQ102</f>
        <v/>
      </c>
      <c r="AI100" s="4" t="str">
        <f>'Form responses 1'!AR102</f>
        <v/>
      </c>
    </row>
    <row r="101">
      <c r="A101" s="26">
        <f>'Form responses 1'!B103</f>
        <v>46062</v>
      </c>
      <c r="B101" s="4" t="str">
        <f>'Form responses 1'!AZ103</f>
        <v>moin.khan@capsdelivery.com</v>
      </c>
      <c r="C101" s="4" t="str">
        <f>'Form responses 1'!BR103</f>
        <v/>
      </c>
      <c r="D101" s="4" t="str">
        <f>'Form responses 1'!AT103</f>
        <v/>
      </c>
      <c r="E101" s="4" t="str">
        <f>'Form responses 1'!AU103</f>
        <v>Yes</v>
      </c>
      <c r="F101" s="26">
        <f>'Form responses 1'!AX103</f>
        <v>46064</v>
      </c>
      <c r="G101" s="52">
        <f>'Form responses 1'!AY103</f>
        <v>0.5416666667</v>
      </c>
      <c r="H101" s="53" t="str">
        <f>'Form responses 1'!AW103</f>
        <v/>
      </c>
      <c r="I101" s="4" t="str">
        <f>'Form responses 1'!AS103</f>
        <v/>
      </c>
      <c r="J101" s="4" t="str">
        <f>'Form responses 1'!J103</f>
        <v/>
      </c>
      <c r="K101" s="4" t="str">
        <f>'Form responses 1'!G103</f>
        <v/>
      </c>
      <c r="L101" s="4" t="str">
        <f>'Form responses 1'!F103</f>
        <v/>
      </c>
      <c r="M101" s="4" t="str">
        <f>'Form responses 1'!U103</f>
        <v>ANIL</v>
      </c>
      <c r="N101" s="4">
        <f>'Form responses 1'!V103</f>
        <v>8121020121</v>
      </c>
      <c r="O101" s="4" t="str">
        <f>'Form responses 1'!W103</f>
        <v>NA</v>
      </c>
      <c r="P101" s="4" t="str">
        <f>'Form responses 1'!X103</f>
        <v/>
      </c>
      <c r="Q101" s="4" t="str">
        <f>'Form responses 1'!Y103</f>
        <v/>
      </c>
      <c r="R101" s="4" t="str">
        <f>'Form responses 1'!Z103</f>
        <v/>
      </c>
      <c r="S101" s="4" t="str">
        <f>'Form responses 1'!AC103</f>
        <v/>
      </c>
      <c r="T101" s="4" t="str">
        <f>'Form responses 1'!AE103</f>
        <v/>
      </c>
      <c r="U101" s="4" t="str">
        <f>'Form responses 1'!AG103</f>
        <v/>
      </c>
      <c r="V101" s="4" t="str">
        <f>'Form responses 1'!AI103</f>
        <v/>
      </c>
      <c r="W101" s="4" t="str">
        <f>'Form responses 1'!AJ103</f>
        <v/>
      </c>
      <c r="X101" s="4" t="str">
        <f>'Form responses 1'!AK103</f>
        <v/>
      </c>
      <c r="Y101" s="4">
        <f t="shared" ref="Y101:AD101" si="100">if(S101&gt;0,1,0)</f>
        <v>0</v>
      </c>
      <c r="Z101" s="4">
        <f t="shared" si="100"/>
        <v>0</v>
      </c>
      <c r="AA101" s="4">
        <f t="shared" si="100"/>
        <v>0</v>
      </c>
      <c r="AB101" s="4">
        <f t="shared" si="100"/>
        <v>0</v>
      </c>
      <c r="AC101" s="4">
        <f t="shared" si="100"/>
        <v>0</v>
      </c>
      <c r="AD101" s="4">
        <f t="shared" si="100"/>
        <v>0</v>
      </c>
      <c r="AE101" s="4" t="str">
        <f>'Form responses 1'!AN103</f>
        <v/>
      </c>
      <c r="AF101" s="4" t="str">
        <f>'Form responses 1'!AO103</f>
        <v/>
      </c>
      <c r="AG101" s="4" t="str">
        <f>'Form responses 1'!AP103</f>
        <v/>
      </c>
      <c r="AH101" s="4" t="str">
        <f>'Form responses 1'!AQ103</f>
        <v/>
      </c>
      <c r="AI101" s="4" t="str">
        <f>'Form responses 1'!AR103</f>
        <v/>
      </c>
    </row>
    <row r="102">
      <c r="A102" s="26">
        <f>'Form responses 1'!B104</f>
        <v>46062</v>
      </c>
      <c r="B102" s="4" t="str">
        <f>'Form responses 1'!AZ104</f>
        <v>greeshma.vanneldas@capsdelivery.com</v>
      </c>
      <c r="C102" s="4" t="str">
        <f>'Form responses 1'!BR104</f>
        <v>La Boulangerie</v>
      </c>
      <c r="D102" s="4" t="str">
        <f>'Form responses 1'!AT104</f>
        <v>n/a</v>
      </c>
      <c r="E102" s="4" t="str">
        <f>'Form responses 1'!AU104</f>
        <v>No</v>
      </c>
      <c r="F102" s="4" t="str">
        <f>'Form responses 1'!AX104</f>
        <v/>
      </c>
      <c r="G102" s="4" t="str">
        <f>'Form responses 1'!AY104</f>
        <v/>
      </c>
      <c r="H102" s="53" t="str">
        <f>'Form responses 1'!AW104</f>
        <v/>
      </c>
      <c r="I102" s="4" t="str">
        <f>'Form responses 1'!AS104</f>
        <v/>
      </c>
      <c r="J102" s="4" t="str">
        <f>'Form responses 1'!J104</f>
        <v>Tier-1(AOV&gt;400)</v>
      </c>
      <c r="K102" s="4">
        <f>'Form responses 1'!G104</f>
        <v>2000</v>
      </c>
      <c r="L102" s="4">
        <f>'Form responses 1'!F104</f>
        <v>10</v>
      </c>
      <c r="M102" s="4" t="str">
        <f>'Form responses 1'!U104</f>
        <v>Juhi Sanjay Sajnani</v>
      </c>
      <c r="N102" s="4">
        <f>'Form responses 1'!V104</f>
        <v>9133847766</v>
      </c>
      <c r="O102" s="4" t="str">
        <f>'Form responses 1'!W104</f>
        <v>frostbakeryindia@gmail.com</v>
      </c>
      <c r="P102" s="4" t="str">
        <f>'Form responses 1'!X104</f>
        <v/>
      </c>
      <c r="Q102" s="4" t="str">
        <f>'Form responses 1'!Y104</f>
        <v/>
      </c>
      <c r="R102" s="4" t="str">
        <f>'Form responses 1'!Z104</f>
        <v/>
      </c>
      <c r="S102" s="4" t="str">
        <f>'Form responses 1'!AC104</f>
        <v/>
      </c>
      <c r="T102" s="4" t="str">
        <f>'Form responses 1'!AE104</f>
        <v/>
      </c>
      <c r="U102" s="4" t="str">
        <f>'Form responses 1'!AG104</f>
        <v/>
      </c>
      <c r="V102" s="4" t="str">
        <f>'Form responses 1'!AI104</f>
        <v/>
      </c>
      <c r="W102" s="4" t="str">
        <f>'Form responses 1'!AJ104</f>
        <v/>
      </c>
      <c r="X102" s="4" t="str">
        <f>'Form responses 1'!AK104</f>
        <v/>
      </c>
      <c r="Y102" s="4">
        <f t="shared" ref="Y102:AD102" si="101">if(S102&gt;0,1,0)</f>
        <v>0</v>
      </c>
      <c r="Z102" s="4">
        <f t="shared" si="101"/>
        <v>0</v>
      </c>
      <c r="AA102" s="4">
        <f t="shared" si="101"/>
        <v>0</v>
      </c>
      <c r="AB102" s="4">
        <f t="shared" si="101"/>
        <v>0</v>
      </c>
      <c r="AC102" s="4">
        <f t="shared" si="101"/>
        <v>0</v>
      </c>
      <c r="AD102" s="4">
        <f t="shared" si="101"/>
        <v>0</v>
      </c>
      <c r="AE102" s="4" t="str">
        <f>'Form responses 1'!AN104</f>
        <v/>
      </c>
      <c r="AF102" s="4" t="str">
        <f>'Form responses 1'!AO104</f>
        <v/>
      </c>
      <c r="AG102" s="4" t="str">
        <f>'Form responses 1'!AP104</f>
        <v/>
      </c>
      <c r="AH102" s="4" t="str">
        <f>'Form responses 1'!AQ104</f>
        <v/>
      </c>
      <c r="AI102" s="4" t="str">
        <f>'Form responses 1'!AR104</f>
        <v/>
      </c>
    </row>
    <row r="103">
      <c r="A103" s="26">
        <f>'Form responses 1'!B105</f>
        <v>46062</v>
      </c>
      <c r="B103" s="4" t="str">
        <f>'Form responses 1'!AZ105</f>
        <v>chanakya.inugala@capsdelivery.com</v>
      </c>
      <c r="C103" s="4" t="str">
        <f>'Form responses 1'!BR105</f>
        <v>BABAI HOTEL</v>
      </c>
      <c r="D103" s="4" t="str">
        <f>'Form responses 1'!AT105</f>
        <v/>
      </c>
      <c r="E103" s="4" t="str">
        <f>'Form responses 1'!AU105</f>
        <v>Yes</v>
      </c>
      <c r="F103" s="26">
        <f>'Form responses 1'!AX105</f>
        <v>46066</v>
      </c>
      <c r="G103" s="52">
        <f>'Form responses 1'!AY105</f>
        <v>0.625</v>
      </c>
      <c r="H103" s="53" t="str">
        <f>'Form responses 1'!AW105</f>
        <v/>
      </c>
      <c r="I103" s="4" t="str">
        <f>'Form responses 1'!AS105</f>
        <v/>
      </c>
      <c r="J103" s="4" t="str">
        <f>'Form responses 1'!J105</f>
        <v>Tier-3 ( AOV&lt;200 )</v>
      </c>
      <c r="K103" s="4">
        <f>'Form responses 1'!G105</f>
        <v>200</v>
      </c>
      <c r="L103" s="4">
        <f>'Form responses 1'!F105</f>
        <v>30</v>
      </c>
      <c r="M103" s="4" t="str">
        <f>'Form responses 1'!U105</f>
        <v>DINESH REDDY</v>
      </c>
      <c r="N103" s="4">
        <f>'Form responses 1'!V105</f>
        <v>9908199083</v>
      </c>
      <c r="O103" s="4" t="str">
        <f>'Form responses 1'!W105</f>
        <v>NA</v>
      </c>
      <c r="P103" s="4" t="str">
        <f>'Form responses 1'!X105</f>
        <v/>
      </c>
      <c r="Q103" s="4" t="str">
        <f>'Form responses 1'!Y105</f>
        <v/>
      </c>
      <c r="R103" s="4" t="str">
        <f>'Form responses 1'!Z105</f>
        <v/>
      </c>
      <c r="S103" s="4" t="str">
        <f>'Form responses 1'!AC105</f>
        <v/>
      </c>
      <c r="T103" s="4" t="str">
        <f>'Form responses 1'!AE105</f>
        <v/>
      </c>
      <c r="U103" s="4" t="str">
        <f>'Form responses 1'!AG105</f>
        <v/>
      </c>
      <c r="V103" s="4" t="str">
        <f>'Form responses 1'!AI105</f>
        <v/>
      </c>
      <c r="W103" s="4" t="str">
        <f>'Form responses 1'!AJ105</f>
        <v/>
      </c>
      <c r="X103" s="4" t="str">
        <f>'Form responses 1'!AK105</f>
        <v/>
      </c>
      <c r="Y103" s="4">
        <f t="shared" ref="Y103:AD103" si="102">if(S103&gt;0,1,0)</f>
        <v>0</v>
      </c>
      <c r="Z103" s="4">
        <f t="shared" si="102"/>
        <v>0</v>
      </c>
      <c r="AA103" s="4">
        <f t="shared" si="102"/>
        <v>0</v>
      </c>
      <c r="AB103" s="4">
        <f t="shared" si="102"/>
        <v>0</v>
      </c>
      <c r="AC103" s="4">
        <f t="shared" si="102"/>
        <v>0</v>
      </c>
      <c r="AD103" s="4">
        <f t="shared" si="102"/>
        <v>0</v>
      </c>
      <c r="AE103" s="4" t="str">
        <f>'Form responses 1'!AN105</f>
        <v/>
      </c>
      <c r="AF103" s="4" t="str">
        <f>'Form responses 1'!AO105</f>
        <v/>
      </c>
      <c r="AG103" s="4" t="str">
        <f>'Form responses 1'!AP105</f>
        <v/>
      </c>
      <c r="AH103" s="4" t="str">
        <f>'Form responses 1'!AQ105</f>
        <v/>
      </c>
      <c r="AI103" s="4" t="str">
        <f>'Form responses 1'!AR105</f>
        <v/>
      </c>
    </row>
    <row r="104">
      <c r="A104" s="26">
        <f>'Form responses 1'!B106</f>
        <v>46062</v>
      </c>
      <c r="B104" s="4" t="str">
        <f>'Form responses 1'!AZ106</f>
        <v>greeshma.vanneldas@capsdelivery.com</v>
      </c>
      <c r="C104" s="4" t="str">
        <f>'Form responses 1'!BR106</f>
        <v>Say cheese patisserie</v>
      </c>
      <c r="D104" s="4" t="str">
        <f>'Form responses 1'!AT106</f>
        <v>n/a</v>
      </c>
      <c r="E104" s="4" t="str">
        <f>'Form responses 1'!AU106</f>
        <v>No</v>
      </c>
      <c r="F104" s="4" t="str">
        <f>'Form responses 1'!AX106</f>
        <v/>
      </c>
      <c r="G104" s="4" t="str">
        <f>'Form responses 1'!AY106</f>
        <v/>
      </c>
      <c r="H104" s="53" t="str">
        <f>'Form responses 1'!AW106</f>
        <v/>
      </c>
      <c r="I104" s="4" t="str">
        <f>'Form responses 1'!AS106</f>
        <v/>
      </c>
      <c r="J104" s="4" t="str">
        <f>'Form responses 1'!J106</f>
        <v>Tier-1(AOV&gt;400)</v>
      </c>
      <c r="K104" s="4">
        <f>'Form responses 1'!G106</f>
        <v>2000</v>
      </c>
      <c r="L104" s="4">
        <f>'Form responses 1'!F106</f>
        <v>10</v>
      </c>
      <c r="M104" s="4" t="str">
        <f>'Form responses 1'!U106</f>
        <v>Juhi Sanjay Sajnani</v>
      </c>
      <c r="N104" s="4">
        <f>'Form responses 1'!V106</f>
        <v>9133847766</v>
      </c>
      <c r="O104" s="4" t="str">
        <f>'Form responses 1'!W106</f>
        <v>frostbakeryindia@gmail.com</v>
      </c>
      <c r="P104" s="4" t="str">
        <f>'Form responses 1'!X106</f>
        <v/>
      </c>
      <c r="Q104" s="4" t="str">
        <f>'Form responses 1'!Y106</f>
        <v/>
      </c>
      <c r="R104" s="4" t="str">
        <f>'Form responses 1'!Z106</f>
        <v/>
      </c>
      <c r="S104" s="4" t="str">
        <f>'Form responses 1'!AC106</f>
        <v/>
      </c>
      <c r="T104" s="4" t="str">
        <f>'Form responses 1'!AE106</f>
        <v/>
      </c>
      <c r="U104" s="4" t="str">
        <f>'Form responses 1'!AG106</f>
        <v/>
      </c>
      <c r="V104" s="4" t="str">
        <f>'Form responses 1'!AI106</f>
        <v/>
      </c>
      <c r="W104" s="4" t="str">
        <f>'Form responses 1'!AJ106</f>
        <v/>
      </c>
      <c r="X104" s="4" t="str">
        <f>'Form responses 1'!AK106</f>
        <v/>
      </c>
      <c r="Y104" s="4">
        <f t="shared" ref="Y104:AD104" si="103">if(S104&gt;0,1,0)</f>
        <v>0</v>
      </c>
      <c r="Z104" s="4">
        <f t="shared" si="103"/>
        <v>0</v>
      </c>
      <c r="AA104" s="4">
        <f t="shared" si="103"/>
        <v>0</v>
      </c>
      <c r="AB104" s="4">
        <f t="shared" si="103"/>
        <v>0</v>
      </c>
      <c r="AC104" s="4">
        <f t="shared" si="103"/>
        <v>0</v>
      </c>
      <c r="AD104" s="4">
        <f t="shared" si="103"/>
        <v>0</v>
      </c>
      <c r="AE104" s="4" t="str">
        <f>'Form responses 1'!AN106</f>
        <v/>
      </c>
      <c r="AF104" s="4" t="str">
        <f>'Form responses 1'!AO106</f>
        <v/>
      </c>
      <c r="AG104" s="4" t="str">
        <f>'Form responses 1'!AP106</f>
        <v/>
      </c>
      <c r="AH104" s="4" t="str">
        <f>'Form responses 1'!AQ106</f>
        <v/>
      </c>
      <c r="AI104" s="4" t="str">
        <f>'Form responses 1'!AR106</f>
        <v/>
      </c>
    </row>
    <row r="105">
      <c r="A105" s="26">
        <f>'Form responses 1'!B107</f>
        <v>46063</v>
      </c>
      <c r="B105" s="4" t="str">
        <f>'Form responses 1'!AZ107</f>
        <v>moin.khan@capsdelivery.com</v>
      </c>
      <c r="C105" s="4" t="str">
        <f>'Form responses 1'!BR107</f>
        <v/>
      </c>
      <c r="D105" s="4" t="str">
        <f>'Form responses 1'!AT107</f>
        <v/>
      </c>
      <c r="E105" s="4" t="str">
        <f>'Form responses 1'!AU107</f>
        <v>Yes</v>
      </c>
      <c r="F105" s="26">
        <f>'Form responses 1'!AX107</f>
        <v>46064</v>
      </c>
      <c r="G105" s="52">
        <f>'Form responses 1'!AY107</f>
        <v>0.5208333333</v>
      </c>
      <c r="H105" s="53" t="str">
        <f>'Form responses 1'!AW107</f>
        <v/>
      </c>
      <c r="I105" s="4" t="str">
        <f>'Form responses 1'!AS107</f>
        <v/>
      </c>
      <c r="J105" s="4" t="str">
        <f>'Form responses 1'!J107</f>
        <v/>
      </c>
      <c r="K105" s="4" t="str">
        <f>'Form responses 1'!G107</f>
        <v/>
      </c>
      <c r="L105" s="4" t="str">
        <f>'Form responses 1'!F107</f>
        <v/>
      </c>
      <c r="M105" s="4" t="str">
        <f>'Form responses 1'!U107</f>
        <v>MAHESH </v>
      </c>
      <c r="N105" s="4">
        <f>'Form responses 1'!V107</f>
        <v>6302529570</v>
      </c>
      <c r="O105" s="4" t="str">
        <f>'Form responses 1'!W107</f>
        <v>NA</v>
      </c>
      <c r="P105" s="4" t="str">
        <f>'Form responses 1'!X107</f>
        <v/>
      </c>
      <c r="Q105" s="4" t="str">
        <f>'Form responses 1'!Y107</f>
        <v/>
      </c>
      <c r="R105" s="4" t="str">
        <f>'Form responses 1'!Z107</f>
        <v/>
      </c>
      <c r="S105" s="4" t="str">
        <f>'Form responses 1'!AC107</f>
        <v/>
      </c>
      <c r="T105" s="4" t="str">
        <f>'Form responses 1'!AE107</f>
        <v/>
      </c>
      <c r="U105" s="4" t="str">
        <f>'Form responses 1'!AG107</f>
        <v/>
      </c>
      <c r="V105" s="4" t="str">
        <f>'Form responses 1'!AI107</f>
        <v/>
      </c>
      <c r="W105" s="4" t="str">
        <f>'Form responses 1'!AJ107</f>
        <v/>
      </c>
      <c r="X105" s="4" t="str">
        <f>'Form responses 1'!AK107</f>
        <v/>
      </c>
      <c r="Y105" s="4">
        <f t="shared" ref="Y105:AD105" si="104">if(S105&gt;0,1,0)</f>
        <v>0</v>
      </c>
      <c r="Z105" s="4">
        <f t="shared" si="104"/>
        <v>0</v>
      </c>
      <c r="AA105" s="4">
        <f t="shared" si="104"/>
        <v>0</v>
      </c>
      <c r="AB105" s="4">
        <f t="shared" si="104"/>
        <v>0</v>
      </c>
      <c r="AC105" s="4">
        <f t="shared" si="104"/>
        <v>0</v>
      </c>
      <c r="AD105" s="4">
        <f t="shared" si="104"/>
        <v>0</v>
      </c>
      <c r="AE105" s="4" t="str">
        <f>'Form responses 1'!AN107</f>
        <v/>
      </c>
      <c r="AF105" s="4" t="str">
        <f>'Form responses 1'!AO107</f>
        <v/>
      </c>
      <c r="AG105" s="4" t="str">
        <f>'Form responses 1'!AP107</f>
        <v/>
      </c>
      <c r="AH105" s="4" t="str">
        <f>'Form responses 1'!AQ107</f>
        <v/>
      </c>
      <c r="AI105" s="4" t="str">
        <f>'Form responses 1'!AR107</f>
        <v/>
      </c>
    </row>
    <row r="106">
      <c r="A106" s="26">
        <f>'Form responses 1'!B108</f>
        <v>46063</v>
      </c>
      <c r="B106" s="4" t="str">
        <f>'Form responses 1'!AZ108</f>
        <v>greeshma.vanneldas@capsdelivery.com</v>
      </c>
      <c r="C106" s="4" t="str">
        <f>'Form responses 1'!BR108</f>
        <v/>
      </c>
      <c r="D106" s="4" t="str">
        <f>'Form responses 1'!AT108</f>
        <v/>
      </c>
      <c r="E106" s="4" t="str">
        <f>'Form responses 1'!AU108</f>
        <v>Yes</v>
      </c>
      <c r="F106" s="4" t="str">
        <f>'Form responses 1'!AX108</f>
        <v/>
      </c>
      <c r="G106" s="4" t="str">
        <f>'Form responses 1'!AY108</f>
        <v/>
      </c>
      <c r="H106" s="53" t="str">
        <f>'Form responses 1'!AW108</f>
        <v/>
      </c>
      <c r="I106" s="4" t="str">
        <f>'Form responses 1'!AS108</f>
        <v/>
      </c>
      <c r="J106" s="4" t="str">
        <f>'Form responses 1'!J108</f>
        <v/>
      </c>
      <c r="K106" s="4" t="str">
        <f>'Form responses 1'!G108</f>
        <v/>
      </c>
      <c r="L106" s="4" t="str">
        <f>'Form responses 1'!F108</f>
        <v/>
      </c>
      <c r="M106" s="4" t="str">
        <f>'Form responses 1'!U108</f>
        <v>Manger(Rohith)</v>
      </c>
      <c r="N106" s="4">
        <f>'Form responses 1'!V108</f>
        <v>90597125102</v>
      </c>
      <c r="O106" s="4" t="str">
        <f>'Form responses 1'!W108</f>
        <v>n/a</v>
      </c>
      <c r="P106" s="4" t="str">
        <f>'Form responses 1'!X108</f>
        <v/>
      </c>
      <c r="Q106" s="4" t="str">
        <f>'Form responses 1'!Y108</f>
        <v/>
      </c>
      <c r="R106" s="4" t="str">
        <f>'Form responses 1'!Z108</f>
        <v/>
      </c>
      <c r="S106" s="4" t="str">
        <f>'Form responses 1'!AC108</f>
        <v/>
      </c>
      <c r="T106" s="4" t="str">
        <f>'Form responses 1'!AE108</f>
        <v/>
      </c>
      <c r="U106" s="4" t="str">
        <f>'Form responses 1'!AG108</f>
        <v/>
      </c>
      <c r="V106" s="4" t="str">
        <f>'Form responses 1'!AI108</f>
        <v/>
      </c>
      <c r="W106" s="4" t="str">
        <f>'Form responses 1'!AJ108</f>
        <v/>
      </c>
      <c r="X106" s="4" t="str">
        <f>'Form responses 1'!AK108</f>
        <v/>
      </c>
      <c r="Y106" s="4">
        <f t="shared" ref="Y106:AD106" si="105">if(S106&gt;0,1,0)</f>
        <v>0</v>
      </c>
      <c r="Z106" s="4">
        <f t="shared" si="105"/>
        <v>0</v>
      </c>
      <c r="AA106" s="4">
        <f t="shared" si="105"/>
        <v>0</v>
      </c>
      <c r="AB106" s="4">
        <f t="shared" si="105"/>
        <v>0</v>
      </c>
      <c r="AC106" s="4">
        <f t="shared" si="105"/>
        <v>0</v>
      </c>
      <c r="AD106" s="4">
        <f t="shared" si="105"/>
        <v>0</v>
      </c>
      <c r="AE106" s="4" t="str">
        <f>'Form responses 1'!AN108</f>
        <v/>
      </c>
      <c r="AF106" s="4" t="str">
        <f>'Form responses 1'!AO108</f>
        <v/>
      </c>
      <c r="AG106" s="4" t="str">
        <f>'Form responses 1'!AP108</f>
        <v/>
      </c>
      <c r="AH106" s="4" t="str">
        <f>'Form responses 1'!AQ108</f>
        <v/>
      </c>
      <c r="AI106" s="4" t="str">
        <f>'Form responses 1'!AR108</f>
        <v/>
      </c>
    </row>
    <row r="107">
      <c r="A107" s="26">
        <f>'Form responses 1'!B109</f>
        <v>46063</v>
      </c>
      <c r="B107" s="4" t="str">
        <f>'Form responses 1'!AZ109</f>
        <v>akhila.narra@capsdelivery.com</v>
      </c>
      <c r="C107" s="4" t="str">
        <f>'Form responses 1'!BR109</f>
        <v/>
      </c>
      <c r="D107" s="4" t="str">
        <f>'Form responses 1'!AT109</f>
        <v/>
      </c>
      <c r="E107" s="4" t="str">
        <f>'Form responses 1'!AU109</f>
        <v>Yes</v>
      </c>
      <c r="F107" s="26">
        <f>'Form responses 1'!AX109</f>
        <v>46064</v>
      </c>
      <c r="G107" s="52">
        <f>'Form responses 1'!AY109</f>
        <v>0.4791666667</v>
      </c>
      <c r="H107" s="53" t="str">
        <f>'Form responses 1'!AW109</f>
        <v>Intro meeting</v>
      </c>
      <c r="I107" s="4" t="str">
        <f>'Form responses 1'!AS109</f>
        <v/>
      </c>
      <c r="J107" s="4" t="str">
        <f>'Form responses 1'!J109</f>
        <v/>
      </c>
      <c r="K107" s="4" t="str">
        <f>'Form responses 1'!G109</f>
        <v/>
      </c>
      <c r="L107" s="4" t="str">
        <f>'Form responses 1'!F109</f>
        <v/>
      </c>
      <c r="M107" s="4" t="str">
        <f>'Form responses 1'!U109</f>
        <v>Anjayya</v>
      </c>
      <c r="N107" s="4" t="str">
        <f>'Form responses 1'!V109</f>
        <v>no</v>
      </c>
      <c r="O107" s="4" t="str">
        <f>'Form responses 1'!W109</f>
        <v>na</v>
      </c>
      <c r="P107" s="4" t="str">
        <f>'Form responses 1'!X109</f>
        <v>na</v>
      </c>
      <c r="Q107" s="4">
        <f>'Form responses 1'!Y109</f>
        <v>685</v>
      </c>
      <c r="R107" s="4" t="str">
        <f>'Form responses 1'!Z109</f>
        <v>na</v>
      </c>
      <c r="S107" s="4" t="str">
        <f>'Form responses 1'!AC109</f>
        <v/>
      </c>
      <c r="T107" s="4" t="str">
        <f>'Form responses 1'!AE109</f>
        <v/>
      </c>
      <c r="U107" s="4" t="str">
        <f>'Form responses 1'!AG109</f>
        <v/>
      </c>
      <c r="V107" s="4" t="str">
        <f>'Form responses 1'!AI109</f>
        <v/>
      </c>
      <c r="W107" s="4" t="str">
        <f>'Form responses 1'!AJ109</f>
        <v/>
      </c>
      <c r="X107" s="4" t="str">
        <f>'Form responses 1'!AK109</f>
        <v/>
      </c>
      <c r="Y107" s="4">
        <f t="shared" ref="Y107:AD107" si="106">if(S107&gt;0,1,0)</f>
        <v>0</v>
      </c>
      <c r="Z107" s="4">
        <f t="shared" si="106"/>
        <v>0</v>
      </c>
      <c r="AA107" s="4">
        <f t="shared" si="106"/>
        <v>0</v>
      </c>
      <c r="AB107" s="4">
        <f t="shared" si="106"/>
        <v>0</v>
      </c>
      <c r="AC107" s="4">
        <f t="shared" si="106"/>
        <v>0</v>
      </c>
      <c r="AD107" s="4">
        <f t="shared" si="106"/>
        <v>0</v>
      </c>
      <c r="AE107" s="4" t="str">
        <f>'Form responses 1'!AN109</f>
        <v/>
      </c>
      <c r="AF107" s="4" t="str">
        <f>'Form responses 1'!AO109</f>
        <v/>
      </c>
      <c r="AG107" s="4" t="str">
        <f>'Form responses 1'!AP109</f>
        <v/>
      </c>
      <c r="AH107" s="4" t="str">
        <f>'Form responses 1'!AQ109</f>
        <v/>
      </c>
      <c r="AI107" s="4" t="str">
        <f>'Form responses 1'!AR109</f>
        <v/>
      </c>
    </row>
    <row r="108">
      <c r="A108" s="26">
        <f>'Form responses 1'!B110</f>
        <v>46063</v>
      </c>
      <c r="B108" s="4" t="str">
        <f>'Form responses 1'!AZ110</f>
        <v>moin.khan@capsdelivery.com</v>
      </c>
      <c r="C108" s="4" t="str">
        <f>'Form responses 1'!BR110</f>
        <v>SARVI RESTAURANT </v>
      </c>
      <c r="D108" s="4" t="str">
        <f>'Form responses 1'!AT110</f>
        <v/>
      </c>
      <c r="E108" s="4" t="str">
        <f>'Form responses 1'!AU110</f>
        <v>Yes</v>
      </c>
      <c r="F108" s="26">
        <f>'Form responses 1'!AX110</f>
        <v>46063</v>
      </c>
      <c r="G108" s="52">
        <f>'Form responses 1'!AY110</f>
        <v>0.7291666667</v>
      </c>
      <c r="H108" s="53" t="str">
        <f>'Form responses 1'!AW110</f>
        <v/>
      </c>
      <c r="I108" s="4" t="str">
        <f>'Form responses 1'!AS110</f>
        <v/>
      </c>
      <c r="J108" s="4" t="str">
        <f>'Form responses 1'!J110</f>
        <v/>
      </c>
      <c r="K108" s="4" t="str">
        <f>'Form responses 1'!G110</f>
        <v/>
      </c>
      <c r="L108" s="4" t="str">
        <f>'Form responses 1'!F110</f>
        <v/>
      </c>
      <c r="M108" s="4" t="str">
        <f>'Form responses 1'!U110</f>
        <v>DANIAL</v>
      </c>
      <c r="N108" s="4">
        <f>'Form responses 1'!V110</f>
        <v>6303246535</v>
      </c>
      <c r="O108" s="4" t="str">
        <f>'Form responses 1'!W110</f>
        <v>NA</v>
      </c>
      <c r="P108" s="4" t="str">
        <f>'Form responses 1'!X110</f>
        <v/>
      </c>
      <c r="Q108" s="4" t="str">
        <f>'Form responses 1'!Y110</f>
        <v/>
      </c>
      <c r="R108" s="4" t="str">
        <f>'Form responses 1'!Z110</f>
        <v/>
      </c>
      <c r="S108" s="4" t="str">
        <f>'Form responses 1'!AC110</f>
        <v/>
      </c>
      <c r="T108" s="4" t="str">
        <f>'Form responses 1'!AE110</f>
        <v/>
      </c>
      <c r="U108" s="4" t="str">
        <f>'Form responses 1'!AG110</f>
        <v/>
      </c>
      <c r="V108" s="4" t="str">
        <f>'Form responses 1'!AI110</f>
        <v/>
      </c>
      <c r="W108" s="4" t="str">
        <f>'Form responses 1'!AJ110</f>
        <v/>
      </c>
      <c r="X108" s="4" t="str">
        <f>'Form responses 1'!AK110</f>
        <v/>
      </c>
      <c r="Y108" s="4">
        <f t="shared" ref="Y108:AD108" si="107">if(S108&gt;0,1,0)</f>
        <v>0</v>
      </c>
      <c r="Z108" s="4">
        <f t="shared" si="107"/>
        <v>0</v>
      </c>
      <c r="AA108" s="4">
        <f t="shared" si="107"/>
        <v>0</v>
      </c>
      <c r="AB108" s="4">
        <f t="shared" si="107"/>
        <v>0</v>
      </c>
      <c r="AC108" s="4">
        <f t="shared" si="107"/>
        <v>0</v>
      </c>
      <c r="AD108" s="4">
        <f t="shared" si="107"/>
        <v>0</v>
      </c>
      <c r="AE108" s="4" t="str">
        <f>'Form responses 1'!AN110</f>
        <v/>
      </c>
      <c r="AF108" s="4" t="str">
        <f>'Form responses 1'!AO110</f>
        <v/>
      </c>
      <c r="AG108" s="4" t="str">
        <f>'Form responses 1'!AP110</f>
        <v/>
      </c>
      <c r="AH108" s="4" t="str">
        <f>'Form responses 1'!AQ110</f>
        <v/>
      </c>
      <c r="AI108" s="4" t="str">
        <f>'Form responses 1'!AR110</f>
        <v/>
      </c>
    </row>
    <row r="109">
      <c r="A109" s="26">
        <f>'Form responses 1'!B111</f>
        <v>46063</v>
      </c>
      <c r="B109" s="4" t="str">
        <f>'Form responses 1'!AZ111</f>
        <v>akhila.narra@capsdelivery.com</v>
      </c>
      <c r="C109" s="4" t="str">
        <f>'Form responses 1'!BR111</f>
        <v/>
      </c>
      <c r="D109" s="4" t="str">
        <f>'Form responses 1'!AT111</f>
        <v/>
      </c>
      <c r="E109" s="4" t="str">
        <f>'Form responses 1'!AU111</f>
        <v>Yes</v>
      </c>
      <c r="F109" s="26">
        <f>'Form responses 1'!AX111</f>
        <v>46064</v>
      </c>
      <c r="G109" s="52">
        <f>'Form responses 1'!AY111</f>
        <v>0.4791666667</v>
      </c>
      <c r="H109" s="53" t="str">
        <f>'Form responses 1'!AW111</f>
        <v>Same Poc Who is for CreamStone</v>
      </c>
      <c r="I109" s="4" t="str">
        <f>'Form responses 1'!AS111</f>
        <v/>
      </c>
      <c r="J109" s="4" t="str">
        <f>'Form responses 1'!J111</f>
        <v/>
      </c>
      <c r="K109" s="4" t="str">
        <f>'Form responses 1'!G111</f>
        <v/>
      </c>
      <c r="L109" s="4" t="str">
        <f>'Form responses 1'!F111</f>
        <v/>
      </c>
      <c r="M109" s="4" t="str">
        <f>'Form responses 1'!U111</f>
        <v>Anji</v>
      </c>
      <c r="N109" s="4" t="str">
        <f>'Form responses 1'!V111</f>
        <v>na</v>
      </c>
      <c r="O109" s="4" t="str">
        <f>'Form responses 1'!W111</f>
        <v>na</v>
      </c>
      <c r="P109" s="4" t="str">
        <f>'Form responses 1'!X111</f>
        <v>na</v>
      </c>
      <c r="Q109" s="4">
        <f>'Form responses 1'!Y111</f>
        <v>67</v>
      </c>
      <c r="R109" s="4" t="str">
        <f>'Form responses 1'!Z111</f>
        <v>na</v>
      </c>
      <c r="S109" s="4" t="str">
        <f>'Form responses 1'!AC111</f>
        <v/>
      </c>
      <c r="T109" s="4" t="str">
        <f>'Form responses 1'!AE111</f>
        <v/>
      </c>
      <c r="U109" s="4" t="str">
        <f>'Form responses 1'!AG111</f>
        <v/>
      </c>
      <c r="V109" s="4" t="str">
        <f>'Form responses 1'!AI111</f>
        <v/>
      </c>
      <c r="W109" s="4" t="str">
        <f>'Form responses 1'!AJ111</f>
        <v/>
      </c>
      <c r="X109" s="4" t="str">
        <f>'Form responses 1'!AK111</f>
        <v/>
      </c>
      <c r="Y109" s="4">
        <f t="shared" ref="Y109:AD109" si="108">if(S109&gt;0,1,0)</f>
        <v>0</v>
      </c>
      <c r="Z109" s="4">
        <f t="shared" si="108"/>
        <v>0</v>
      </c>
      <c r="AA109" s="4">
        <f t="shared" si="108"/>
        <v>0</v>
      </c>
      <c r="AB109" s="4">
        <f t="shared" si="108"/>
        <v>0</v>
      </c>
      <c r="AC109" s="4">
        <f t="shared" si="108"/>
        <v>0</v>
      </c>
      <c r="AD109" s="4">
        <f t="shared" si="108"/>
        <v>0</v>
      </c>
      <c r="AE109" s="4" t="str">
        <f>'Form responses 1'!AN111</f>
        <v/>
      </c>
      <c r="AF109" s="4" t="str">
        <f>'Form responses 1'!AO111</f>
        <v/>
      </c>
      <c r="AG109" s="4" t="str">
        <f>'Form responses 1'!AP111</f>
        <v/>
      </c>
      <c r="AH109" s="4" t="str">
        <f>'Form responses 1'!AQ111</f>
        <v/>
      </c>
      <c r="AI109" s="4" t="str">
        <f>'Form responses 1'!AR111</f>
        <v/>
      </c>
    </row>
    <row r="110">
      <c r="A110" s="26">
        <f>'Form responses 1'!B112</f>
        <v>46063</v>
      </c>
      <c r="B110" s="4" t="str">
        <f>'Form responses 1'!AZ112</f>
        <v>greeshma.vanneldas@capsdelivery.com</v>
      </c>
      <c r="C110" s="4" t="str">
        <f>'Form responses 1'!BR112</f>
        <v/>
      </c>
      <c r="D110" s="4" t="str">
        <f>'Form responses 1'!AT112</f>
        <v/>
      </c>
      <c r="E110" s="4" t="str">
        <f>'Form responses 1'!AU112</f>
        <v>Yes</v>
      </c>
      <c r="F110" s="4" t="str">
        <f>'Form responses 1'!AX112</f>
        <v/>
      </c>
      <c r="G110" s="4" t="str">
        <f>'Form responses 1'!AY112</f>
        <v/>
      </c>
      <c r="H110" s="53" t="str">
        <f>'Form responses 1'!AW112</f>
        <v/>
      </c>
      <c r="I110" s="4" t="str">
        <f>'Form responses 1'!AS112</f>
        <v/>
      </c>
      <c r="J110" s="4" t="str">
        <f>'Form responses 1'!J112</f>
        <v/>
      </c>
      <c r="K110" s="4" t="str">
        <f>'Form responses 1'!G112</f>
        <v/>
      </c>
      <c r="L110" s="4" t="str">
        <f>'Form responses 1'!F112</f>
        <v/>
      </c>
      <c r="M110" s="4" t="str">
        <f>'Form responses 1'!U112</f>
        <v>Manager(Chandu)</v>
      </c>
      <c r="N110" s="4">
        <f>'Form responses 1'!V112</f>
        <v>9398881323</v>
      </c>
      <c r="O110" s="4" t="str">
        <f>'Form responses 1'!W112</f>
        <v>n/a</v>
      </c>
      <c r="P110" s="4" t="str">
        <f>'Form responses 1'!X112</f>
        <v/>
      </c>
      <c r="Q110" s="4" t="str">
        <f>'Form responses 1'!Y112</f>
        <v/>
      </c>
      <c r="R110" s="4" t="str">
        <f>'Form responses 1'!Z112</f>
        <v/>
      </c>
      <c r="S110" s="4" t="str">
        <f>'Form responses 1'!AC112</f>
        <v/>
      </c>
      <c r="T110" s="4" t="str">
        <f>'Form responses 1'!AE112</f>
        <v/>
      </c>
      <c r="U110" s="4" t="str">
        <f>'Form responses 1'!AG112</f>
        <v/>
      </c>
      <c r="V110" s="4" t="str">
        <f>'Form responses 1'!AI112</f>
        <v/>
      </c>
      <c r="W110" s="4" t="str">
        <f>'Form responses 1'!AJ112</f>
        <v/>
      </c>
      <c r="X110" s="4" t="str">
        <f>'Form responses 1'!AK112</f>
        <v/>
      </c>
      <c r="Y110" s="4">
        <f t="shared" ref="Y110:AD110" si="109">if(S110&gt;0,1,0)</f>
        <v>0</v>
      </c>
      <c r="Z110" s="4">
        <f t="shared" si="109"/>
        <v>0</v>
      </c>
      <c r="AA110" s="4">
        <f t="shared" si="109"/>
        <v>0</v>
      </c>
      <c r="AB110" s="4">
        <f t="shared" si="109"/>
        <v>0</v>
      </c>
      <c r="AC110" s="4">
        <f t="shared" si="109"/>
        <v>0</v>
      </c>
      <c r="AD110" s="4">
        <f t="shared" si="109"/>
        <v>0</v>
      </c>
      <c r="AE110" s="4" t="str">
        <f>'Form responses 1'!AN112</f>
        <v/>
      </c>
      <c r="AF110" s="4" t="str">
        <f>'Form responses 1'!AO112</f>
        <v/>
      </c>
      <c r="AG110" s="4" t="str">
        <f>'Form responses 1'!AP112</f>
        <v/>
      </c>
      <c r="AH110" s="4" t="str">
        <f>'Form responses 1'!AQ112</f>
        <v/>
      </c>
      <c r="AI110" s="4" t="str">
        <f>'Form responses 1'!AR112</f>
        <v/>
      </c>
    </row>
    <row r="111">
      <c r="A111" s="26">
        <f>'Form responses 1'!B113</f>
        <v>46063</v>
      </c>
      <c r="B111" s="4" t="str">
        <f>'Form responses 1'!AZ113</f>
        <v>ankitha.baske@capsdelivery.com</v>
      </c>
      <c r="C111" s="4" t="str">
        <f>'Form responses 1'!BR113</f>
        <v/>
      </c>
      <c r="D111" s="4" t="str">
        <f>'Form responses 1'!AT113</f>
        <v/>
      </c>
      <c r="E111" s="4" t="str">
        <f>'Form responses 1'!AU113</f>
        <v>Yes</v>
      </c>
      <c r="F111" s="26">
        <f>'Form responses 1'!AX113</f>
        <v>46063</v>
      </c>
      <c r="G111" s="52">
        <f>'Form responses 1'!AY113</f>
        <v>0.5625</v>
      </c>
      <c r="H111" s="53" t="str">
        <f>'Form responses 1'!AW113</f>
        <v/>
      </c>
      <c r="I111" s="4" t="str">
        <f>'Form responses 1'!AS113</f>
        <v/>
      </c>
      <c r="J111" s="4" t="str">
        <f>'Form responses 1'!J113</f>
        <v/>
      </c>
      <c r="K111" s="4" t="str">
        <f>'Form responses 1'!G113</f>
        <v/>
      </c>
      <c r="L111" s="4" t="str">
        <f>'Form responses 1'!F113</f>
        <v/>
      </c>
      <c r="M111" s="4" t="str">
        <f>'Form responses 1'!U113</f>
        <v>Uma</v>
      </c>
      <c r="N111" s="4">
        <f>'Form responses 1'!V113</f>
        <v>8985607723</v>
      </c>
      <c r="O111" s="4" t="str">
        <f>'Form responses 1'!W113</f>
        <v>NA</v>
      </c>
      <c r="P111" s="4" t="str">
        <f>'Form responses 1'!X113</f>
        <v/>
      </c>
      <c r="Q111" s="4" t="str">
        <f>'Form responses 1'!Y113</f>
        <v/>
      </c>
      <c r="R111" s="4" t="str">
        <f>'Form responses 1'!Z113</f>
        <v/>
      </c>
      <c r="S111" s="4" t="str">
        <f>'Form responses 1'!AC113</f>
        <v/>
      </c>
      <c r="T111" s="4" t="str">
        <f>'Form responses 1'!AE113</f>
        <v/>
      </c>
      <c r="U111" s="4" t="str">
        <f>'Form responses 1'!AG113</f>
        <v/>
      </c>
      <c r="V111" s="4" t="str">
        <f>'Form responses 1'!AI113</f>
        <v/>
      </c>
      <c r="W111" s="4" t="str">
        <f>'Form responses 1'!AJ113</f>
        <v/>
      </c>
      <c r="X111" s="4" t="str">
        <f>'Form responses 1'!AK113</f>
        <v/>
      </c>
      <c r="Y111" s="4">
        <f t="shared" ref="Y111:AD111" si="110">if(S111&gt;0,1,0)</f>
        <v>0</v>
      </c>
      <c r="Z111" s="4">
        <f t="shared" si="110"/>
        <v>0</v>
      </c>
      <c r="AA111" s="4">
        <f t="shared" si="110"/>
        <v>0</v>
      </c>
      <c r="AB111" s="4">
        <f t="shared" si="110"/>
        <v>0</v>
      </c>
      <c r="AC111" s="4">
        <f t="shared" si="110"/>
        <v>0</v>
      </c>
      <c r="AD111" s="4">
        <f t="shared" si="110"/>
        <v>0</v>
      </c>
      <c r="AE111" s="4" t="str">
        <f>'Form responses 1'!AN113</f>
        <v/>
      </c>
      <c r="AF111" s="4" t="str">
        <f>'Form responses 1'!AO113</f>
        <v/>
      </c>
      <c r="AG111" s="4" t="str">
        <f>'Form responses 1'!AP113</f>
        <v/>
      </c>
      <c r="AH111" s="4" t="str">
        <f>'Form responses 1'!AQ113</f>
        <v/>
      </c>
      <c r="AI111" s="4" t="str">
        <f>'Form responses 1'!AR113</f>
        <v/>
      </c>
    </row>
    <row r="112">
      <c r="A112" s="26">
        <f>'Form responses 1'!B114</f>
        <v>46063</v>
      </c>
      <c r="B112" s="4" t="str">
        <f>'Form responses 1'!AZ114</f>
        <v>akhila.narra@capsdelivery.com</v>
      </c>
      <c r="C112" s="4" t="str">
        <f>'Form responses 1'!BR114</f>
        <v>Labond</v>
      </c>
      <c r="D112" s="4" t="str">
        <f>'Form responses 1'!AT114</f>
        <v/>
      </c>
      <c r="E112" s="4" t="str">
        <f>'Form responses 1'!AU114</f>
        <v>Yes</v>
      </c>
      <c r="F112" s="26">
        <f>'Form responses 1'!AX114</f>
        <v>46063</v>
      </c>
      <c r="G112" s="52">
        <f>'Form responses 1'!AY114</f>
        <v>0.08333333334</v>
      </c>
      <c r="H112" s="53" t="str">
        <f>'Form responses 1'!AW114</f>
        <v>need to call him after 2 pm today</v>
      </c>
      <c r="I112" s="4" t="str">
        <f>'Form responses 1'!AS114</f>
        <v/>
      </c>
      <c r="J112" s="4" t="str">
        <f>'Form responses 1'!J114</f>
        <v>Tier-1(AOV&gt;400)</v>
      </c>
      <c r="K112" s="4">
        <f>'Form responses 1'!G114</f>
        <v>500</v>
      </c>
      <c r="L112" s="4">
        <f>'Form responses 1'!F114</f>
        <v>150</v>
      </c>
      <c r="M112" s="4" t="str">
        <f>'Form responses 1'!U114</f>
        <v>Pasha</v>
      </c>
      <c r="N112" s="4">
        <f>'Form responses 1'!V114</f>
        <v>9032245891</v>
      </c>
      <c r="O112" s="4" t="str">
        <f>'Form responses 1'!W114</f>
        <v>na</v>
      </c>
      <c r="P112" s="4" t="str">
        <f>'Form responses 1'!X114</f>
        <v/>
      </c>
      <c r="Q112" s="4" t="str">
        <f>'Form responses 1'!Y114</f>
        <v/>
      </c>
      <c r="R112" s="4" t="str">
        <f>'Form responses 1'!Z114</f>
        <v/>
      </c>
      <c r="S112" s="4" t="str">
        <f>'Form responses 1'!AC114</f>
        <v/>
      </c>
      <c r="T112" s="4" t="str">
        <f>'Form responses 1'!AE114</f>
        <v/>
      </c>
      <c r="U112" s="4" t="str">
        <f>'Form responses 1'!AG114</f>
        <v/>
      </c>
      <c r="V112" s="4" t="str">
        <f>'Form responses 1'!AI114</f>
        <v/>
      </c>
      <c r="W112" s="4" t="str">
        <f>'Form responses 1'!AJ114</f>
        <v/>
      </c>
      <c r="X112" s="4" t="str">
        <f>'Form responses 1'!AK114</f>
        <v/>
      </c>
      <c r="Y112" s="4">
        <f t="shared" ref="Y112:AD112" si="111">if(S112&gt;0,1,0)</f>
        <v>0</v>
      </c>
      <c r="Z112" s="4">
        <f t="shared" si="111"/>
        <v>0</v>
      </c>
      <c r="AA112" s="4">
        <f t="shared" si="111"/>
        <v>0</v>
      </c>
      <c r="AB112" s="4">
        <f t="shared" si="111"/>
        <v>0</v>
      </c>
      <c r="AC112" s="4">
        <f t="shared" si="111"/>
        <v>0</v>
      </c>
      <c r="AD112" s="4">
        <f t="shared" si="111"/>
        <v>0</v>
      </c>
      <c r="AE112" s="4" t="str">
        <f>'Form responses 1'!AN114</f>
        <v/>
      </c>
      <c r="AF112" s="4" t="str">
        <f>'Form responses 1'!AO114</f>
        <v/>
      </c>
      <c r="AG112" s="4" t="str">
        <f>'Form responses 1'!AP114</f>
        <v/>
      </c>
      <c r="AH112" s="4" t="str">
        <f>'Form responses 1'!AQ114</f>
        <v/>
      </c>
      <c r="AI112" s="4" t="str">
        <f>'Form responses 1'!AR114</f>
        <v/>
      </c>
    </row>
    <row r="113">
      <c r="A113" s="26">
        <f>'Form responses 1'!B115</f>
        <v>46063</v>
      </c>
      <c r="B113" s="4" t="str">
        <f>'Form responses 1'!AZ115</f>
        <v>akhila.narra@capsdelivery.com</v>
      </c>
      <c r="C113" s="4" t="str">
        <f>'Form responses 1'!BR115</f>
        <v>Chubby Chow</v>
      </c>
      <c r="D113" s="4" t="str">
        <f>'Form responses 1'!AT115</f>
        <v/>
      </c>
      <c r="E113" s="4" t="str">
        <f>'Form responses 1'!AU115</f>
        <v>Yes</v>
      </c>
      <c r="F113" s="26">
        <f>'Form responses 1'!AX115</f>
        <v>46064</v>
      </c>
      <c r="G113" s="52">
        <f>'Form responses 1'!AY115</f>
        <v>0.5208333333</v>
      </c>
      <c r="H113" s="53" t="str">
        <f>'Form responses 1'!AW115</f>
        <v>Intro meetng we Visted the Outelt Yesterday</v>
      </c>
      <c r="I113" s="4" t="str">
        <f>'Form responses 1'!AS115</f>
        <v/>
      </c>
      <c r="J113" s="4" t="str">
        <f>'Form responses 1'!J115</f>
        <v>Tier-1(AOV&gt;400)</v>
      </c>
      <c r="K113" s="4">
        <f>'Form responses 1'!G115</f>
        <v>500</v>
      </c>
      <c r="L113" s="4">
        <f>'Form responses 1'!F115</f>
        <v>150</v>
      </c>
      <c r="M113" s="4" t="str">
        <f>'Form responses 1'!U115</f>
        <v>Rajesh GM</v>
      </c>
      <c r="N113" s="4">
        <f>'Form responses 1'!V115</f>
        <v>6300797895</v>
      </c>
      <c r="O113" s="4" t="str">
        <f>'Form responses 1'!W115</f>
        <v>na</v>
      </c>
      <c r="P113" s="4" t="str">
        <f>'Form responses 1'!X115</f>
        <v>na</v>
      </c>
      <c r="Q113" s="4" t="str">
        <f>'Form responses 1'!Y115</f>
        <v/>
      </c>
      <c r="R113" s="4" t="str">
        <f>'Form responses 1'!Z115</f>
        <v/>
      </c>
      <c r="S113" s="4" t="str">
        <f>'Form responses 1'!AC115</f>
        <v/>
      </c>
      <c r="T113" s="4" t="str">
        <f>'Form responses 1'!AE115</f>
        <v/>
      </c>
      <c r="U113" s="4" t="str">
        <f>'Form responses 1'!AG115</f>
        <v/>
      </c>
      <c r="V113" s="4" t="str">
        <f>'Form responses 1'!AI115</f>
        <v/>
      </c>
      <c r="W113" s="4" t="str">
        <f>'Form responses 1'!AJ115</f>
        <v/>
      </c>
      <c r="X113" s="4" t="str">
        <f>'Form responses 1'!AK115</f>
        <v/>
      </c>
      <c r="Y113" s="4">
        <f t="shared" ref="Y113:AD113" si="112">if(S113&gt;0,1,0)</f>
        <v>0</v>
      </c>
      <c r="Z113" s="4">
        <f t="shared" si="112"/>
        <v>0</v>
      </c>
      <c r="AA113" s="4">
        <f t="shared" si="112"/>
        <v>0</v>
      </c>
      <c r="AB113" s="4">
        <f t="shared" si="112"/>
        <v>0</v>
      </c>
      <c r="AC113" s="4">
        <f t="shared" si="112"/>
        <v>0</v>
      </c>
      <c r="AD113" s="4">
        <f t="shared" si="112"/>
        <v>0</v>
      </c>
      <c r="AE113" s="4" t="str">
        <f>'Form responses 1'!AN115</f>
        <v/>
      </c>
      <c r="AF113" s="4" t="str">
        <f>'Form responses 1'!AO115</f>
        <v/>
      </c>
      <c r="AG113" s="4" t="str">
        <f>'Form responses 1'!AP115</f>
        <v/>
      </c>
      <c r="AH113" s="4" t="str">
        <f>'Form responses 1'!AQ115</f>
        <v/>
      </c>
      <c r="AI113" s="4" t="str">
        <f>'Form responses 1'!AR115</f>
        <v/>
      </c>
    </row>
    <row r="114">
      <c r="A114" s="26">
        <f>'Form responses 1'!B116</f>
        <v>46063</v>
      </c>
      <c r="B114" s="4" t="str">
        <f>'Form responses 1'!AZ116</f>
        <v>ankitha.baske@capsdelivery.com</v>
      </c>
      <c r="C114" s="4" t="str">
        <f>'Form responses 1'!BR116</f>
        <v/>
      </c>
      <c r="D114" s="4" t="str">
        <f>'Form responses 1'!AT116</f>
        <v/>
      </c>
      <c r="E114" s="4" t="str">
        <f>'Form responses 1'!AU116</f>
        <v>Yes</v>
      </c>
      <c r="F114" s="26">
        <f>'Form responses 1'!AX116</f>
        <v>46063</v>
      </c>
      <c r="G114" s="52">
        <f>'Form responses 1'!AY116</f>
        <v>0.6041666667</v>
      </c>
      <c r="H114" s="53" t="str">
        <f>'Form responses 1'!AW116</f>
        <v/>
      </c>
      <c r="I114" s="4" t="str">
        <f>'Form responses 1'!AS116</f>
        <v/>
      </c>
      <c r="J114" s="4" t="str">
        <f>'Form responses 1'!J116</f>
        <v/>
      </c>
      <c r="K114" s="4" t="str">
        <f>'Form responses 1'!G116</f>
        <v/>
      </c>
      <c r="L114" s="4" t="str">
        <f>'Form responses 1'!F116</f>
        <v/>
      </c>
      <c r="M114" s="4" t="str">
        <f>'Form responses 1'!U116</f>
        <v>Zakil</v>
      </c>
      <c r="N114" s="4">
        <f>'Form responses 1'!V116</f>
        <v>9493932004</v>
      </c>
      <c r="O114" s="4" t="str">
        <f>'Form responses 1'!W116</f>
        <v>NA</v>
      </c>
      <c r="P114" s="4" t="str">
        <f>'Form responses 1'!X116</f>
        <v/>
      </c>
      <c r="Q114" s="4" t="str">
        <f>'Form responses 1'!Y116</f>
        <v/>
      </c>
      <c r="R114" s="4" t="str">
        <f>'Form responses 1'!Z116</f>
        <v/>
      </c>
      <c r="S114" s="4" t="str">
        <f>'Form responses 1'!AC116</f>
        <v/>
      </c>
      <c r="T114" s="4" t="str">
        <f>'Form responses 1'!AE116</f>
        <v/>
      </c>
      <c r="U114" s="4" t="str">
        <f>'Form responses 1'!AG116</f>
        <v/>
      </c>
      <c r="V114" s="4" t="str">
        <f>'Form responses 1'!AI116</f>
        <v/>
      </c>
      <c r="W114" s="4" t="str">
        <f>'Form responses 1'!AJ116</f>
        <v/>
      </c>
      <c r="X114" s="4" t="str">
        <f>'Form responses 1'!AK116</f>
        <v/>
      </c>
      <c r="Y114" s="4">
        <f t="shared" ref="Y114:AD114" si="113">if(S114&gt;0,1,0)</f>
        <v>0</v>
      </c>
      <c r="Z114" s="4">
        <f t="shared" si="113"/>
        <v>0</v>
      </c>
      <c r="AA114" s="4">
        <f t="shared" si="113"/>
        <v>0</v>
      </c>
      <c r="AB114" s="4">
        <f t="shared" si="113"/>
        <v>0</v>
      </c>
      <c r="AC114" s="4">
        <f t="shared" si="113"/>
        <v>0</v>
      </c>
      <c r="AD114" s="4">
        <f t="shared" si="113"/>
        <v>0</v>
      </c>
      <c r="AE114" s="4" t="str">
        <f>'Form responses 1'!AN116</f>
        <v/>
      </c>
      <c r="AF114" s="4" t="str">
        <f>'Form responses 1'!AO116</f>
        <v/>
      </c>
      <c r="AG114" s="4" t="str">
        <f>'Form responses 1'!AP116</f>
        <v/>
      </c>
      <c r="AH114" s="4" t="str">
        <f>'Form responses 1'!AQ116</f>
        <v/>
      </c>
      <c r="AI114" s="4" t="str">
        <f>'Form responses 1'!AR116</f>
        <v/>
      </c>
    </row>
    <row r="115">
      <c r="A115" s="26">
        <f>'Form responses 1'!B117</f>
        <v>46063</v>
      </c>
      <c r="B115" s="4" t="str">
        <f>'Form responses 1'!AZ117</f>
        <v>ankitha.baske@capsdelivery.com</v>
      </c>
      <c r="C115" s="4" t="str">
        <f>'Form responses 1'!BR117</f>
        <v/>
      </c>
      <c r="D115" s="4" t="str">
        <f>'Form responses 1'!AT117</f>
        <v/>
      </c>
      <c r="E115" s="4" t="str">
        <f>'Form responses 1'!AU117</f>
        <v>Yes</v>
      </c>
      <c r="F115" s="26">
        <f>'Form responses 1'!AX117</f>
        <v>46073</v>
      </c>
      <c r="G115" s="4" t="str">
        <f>'Form responses 1'!AY117</f>
        <v/>
      </c>
      <c r="H115" s="53" t="str">
        <f>'Form responses 1'!AW117</f>
        <v/>
      </c>
      <c r="I115" s="4" t="str">
        <f>'Form responses 1'!AS117</f>
        <v/>
      </c>
      <c r="J115" s="4" t="str">
        <f>'Form responses 1'!J117</f>
        <v/>
      </c>
      <c r="K115" s="4" t="str">
        <f>'Form responses 1'!G117</f>
        <v/>
      </c>
      <c r="L115" s="4" t="str">
        <f>'Form responses 1'!F117</f>
        <v/>
      </c>
      <c r="M115" s="4" t="str">
        <f>'Form responses 1'!U117</f>
        <v>Santhosh</v>
      </c>
      <c r="N115" s="4">
        <f>'Form responses 1'!V117</f>
        <v>9032515133</v>
      </c>
      <c r="O115" s="4" t="str">
        <f>'Form responses 1'!W117</f>
        <v>NA</v>
      </c>
      <c r="P115" s="4" t="str">
        <f>'Form responses 1'!X117</f>
        <v/>
      </c>
      <c r="Q115" s="4" t="str">
        <f>'Form responses 1'!Y117</f>
        <v/>
      </c>
      <c r="R115" s="4" t="str">
        <f>'Form responses 1'!Z117</f>
        <v/>
      </c>
      <c r="S115" s="4" t="str">
        <f>'Form responses 1'!AC117</f>
        <v/>
      </c>
      <c r="T115" s="4" t="str">
        <f>'Form responses 1'!AE117</f>
        <v/>
      </c>
      <c r="U115" s="4" t="str">
        <f>'Form responses 1'!AG117</f>
        <v/>
      </c>
      <c r="V115" s="4" t="str">
        <f>'Form responses 1'!AI117</f>
        <v/>
      </c>
      <c r="W115" s="4" t="str">
        <f>'Form responses 1'!AJ117</f>
        <v/>
      </c>
      <c r="X115" s="4" t="str">
        <f>'Form responses 1'!AK117</f>
        <v/>
      </c>
      <c r="Y115" s="4">
        <f t="shared" ref="Y115:AD115" si="114">if(S115&gt;0,1,0)</f>
        <v>0</v>
      </c>
      <c r="Z115" s="4">
        <f t="shared" si="114"/>
        <v>0</v>
      </c>
      <c r="AA115" s="4">
        <f t="shared" si="114"/>
        <v>0</v>
      </c>
      <c r="AB115" s="4">
        <f t="shared" si="114"/>
        <v>0</v>
      </c>
      <c r="AC115" s="4">
        <f t="shared" si="114"/>
        <v>0</v>
      </c>
      <c r="AD115" s="4">
        <f t="shared" si="114"/>
        <v>0</v>
      </c>
      <c r="AE115" s="4" t="str">
        <f>'Form responses 1'!AN117</f>
        <v/>
      </c>
      <c r="AF115" s="4" t="str">
        <f>'Form responses 1'!AO117</f>
        <v/>
      </c>
      <c r="AG115" s="4" t="str">
        <f>'Form responses 1'!AP117</f>
        <v/>
      </c>
      <c r="AH115" s="4" t="str">
        <f>'Form responses 1'!AQ117</f>
        <v/>
      </c>
      <c r="AI115" s="4" t="str">
        <f>'Form responses 1'!AR117</f>
        <v/>
      </c>
    </row>
    <row r="116">
      <c r="A116" s="26">
        <f>'Form responses 1'!B118</f>
        <v>46063</v>
      </c>
      <c r="B116" s="4" t="str">
        <f>'Form responses 1'!AZ118</f>
        <v>greeshma.vanneldas@capsdelivery.com</v>
      </c>
      <c r="C116" s="4" t="str">
        <f>'Form responses 1'!BR118</f>
        <v/>
      </c>
      <c r="D116" s="4" t="str">
        <f>'Form responses 1'!AT118</f>
        <v/>
      </c>
      <c r="E116" s="4" t="str">
        <f>'Form responses 1'!AU118</f>
        <v>Yes</v>
      </c>
      <c r="F116" s="4" t="str">
        <f>'Form responses 1'!AX118</f>
        <v/>
      </c>
      <c r="G116" s="4" t="str">
        <f>'Form responses 1'!AY118</f>
        <v/>
      </c>
      <c r="H116" s="53" t="str">
        <f>'Form responses 1'!AW118</f>
        <v/>
      </c>
      <c r="I116" s="4" t="str">
        <f>'Form responses 1'!AS118</f>
        <v/>
      </c>
      <c r="J116" s="4" t="str">
        <f>'Form responses 1'!J118</f>
        <v/>
      </c>
      <c r="K116" s="4" t="str">
        <f>'Form responses 1'!G118</f>
        <v/>
      </c>
      <c r="L116" s="4" t="str">
        <f>'Form responses 1'!F118</f>
        <v/>
      </c>
      <c r="M116" s="4" t="str">
        <f>'Form responses 1'!U118</f>
        <v>Saddam(Manager)</v>
      </c>
      <c r="N116" s="4">
        <f>'Form responses 1'!V118</f>
        <v>7739656963</v>
      </c>
      <c r="O116" s="4" t="str">
        <f>'Form responses 1'!W118</f>
        <v>n/a</v>
      </c>
      <c r="P116" s="4" t="str">
        <f>'Form responses 1'!X118</f>
        <v/>
      </c>
      <c r="Q116" s="4" t="str">
        <f>'Form responses 1'!Y118</f>
        <v/>
      </c>
      <c r="R116" s="4" t="str">
        <f>'Form responses 1'!Z118</f>
        <v/>
      </c>
      <c r="S116" s="4" t="str">
        <f>'Form responses 1'!AC118</f>
        <v/>
      </c>
      <c r="T116" s="4" t="str">
        <f>'Form responses 1'!AE118</f>
        <v/>
      </c>
      <c r="U116" s="4" t="str">
        <f>'Form responses 1'!AG118</f>
        <v/>
      </c>
      <c r="V116" s="4" t="str">
        <f>'Form responses 1'!AI118</f>
        <v/>
      </c>
      <c r="W116" s="4" t="str">
        <f>'Form responses 1'!AJ118</f>
        <v/>
      </c>
      <c r="X116" s="4" t="str">
        <f>'Form responses 1'!AK118</f>
        <v/>
      </c>
      <c r="Y116" s="4">
        <f t="shared" ref="Y116:AD116" si="115">if(S116&gt;0,1,0)</f>
        <v>0</v>
      </c>
      <c r="Z116" s="4">
        <f t="shared" si="115"/>
        <v>0</v>
      </c>
      <c r="AA116" s="4">
        <f t="shared" si="115"/>
        <v>0</v>
      </c>
      <c r="AB116" s="4">
        <f t="shared" si="115"/>
        <v>0</v>
      </c>
      <c r="AC116" s="4">
        <f t="shared" si="115"/>
        <v>0</v>
      </c>
      <c r="AD116" s="4">
        <f t="shared" si="115"/>
        <v>0</v>
      </c>
      <c r="AE116" s="4" t="str">
        <f>'Form responses 1'!AN118</f>
        <v/>
      </c>
      <c r="AF116" s="4" t="str">
        <f>'Form responses 1'!AO118</f>
        <v/>
      </c>
      <c r="AG116" s="4" t="str">
        <f>'Form responses 1'!AP118</f>
        <v/>
      </c>
      <c r="AH116" s="4" t="str">
        <f>'Form responses 1'!AQ118</f>
        <v/>
      </c>
      <c r="AI116" s="4" t="str">
        <f>'Form responses 1'!AR118</f>
        <v/>
      </c>
    </row>
    <row r="117">
      <c r="A117" s="26">
        <f>'Form responses 1'!B119</f>
        <v>46063</v>
      </c>
      <c r="B117" s="4" t="str">
        <f>'Form responses 1'!AZ119</f>
        <v>moin.khan@capsdelivery.com</v>
      </c>
      <c r="C117" s="4" t="str">
        <f>'Form responses 1'!BR119</f>
        <v/>
      </c>
      <c r="D117" s="4" t="str">
        <f>'Form responses 1'!AT119</f>
        <v/>
      </c>
      <c r="E117" s="4" t="str">
        <f>'Form responses 1'!AU119</f>
        <v>Yes</v>
      </c>
      <c r="F117" s="26">
        <f>'Form responses 1'!AX119</f>
        <v>46065</v>
      </c>
      <c r="G117" s="52">
        <f>'Form responses 1'!AY119</f>
        <v>0.6041666667</v>
      </c>
      <c r="H117" s="53" t="str">
        <f>'Form responses 1'!AW119</f>
        <v/>
      </c>
      <c r="I117" s="4" t="str">
        <f>'Form responses 1'!AS119</f>
        <v/>
      </c>
      <c r="J117" s="4" t="str">
        <f>'Form responses 1'!J119</f>
        <v/>
      </c>
      <c r="K117" s="4" t="str">
        <f>'Form responses 1'!G119</f>
        <v/>
      </c>
      <c r="L117" s="4" t="str">
        <f>'Form responses 1'!F119</f>
        <v/>
      </c>
      <c r="M117" s="4" t="str">
        <f>'Form responses 1'!U119</f>
        <v>MAJEED</v>
      </c>
      <c r="N117" s="4">
        <f>'Form responses 1'!V119</f>
        <v>9581749555</v>
      </c>
      <c r="O117" s="4" t="str">
        <f>'Form responses 1'!W119</f>
        <v>NA</v>
      </c>
      <c r="P117" s="4" t="str">
        <f>'Form responses 1'!X119</f>
        <v/>
      </c>
      <c r="Q117" s="4" t="str">
        <f>'Form responses 1'!Y119</f>
        <v/>
      </c>
      <c r="R117" s="4" t="str">
        <f>'Form responses 1'!Z119</f>
        <v/>
      </c>
      <c r="S117" s="4" t="str">
        <f>'Form responses 1'!AC119</f>
        <v/>
      </c>
      <c r="T117" s="4" t="str">
        <f>'Form responses 1'!AE119</f>
        <v/>
      </c>
      <c r="U117" s="4" t="str">
        <f>'Form responses 1'!AG119</f>
        <v/>
      </c>
      <c r="V117" s="4" t="str">
        <f>'Form responses 1'!AI119</f>
        <v/>
      </c>
      <c r="W117" s="4" t="str">
        <f>'Form responses 1'!AJ119</f>
        <v/>
      </c>
      <c r="X117" s="4" t="str">
        <f>'Form responses 1'!AK119</f>
        <v/>
      </c>
      <c r="Y117" s="4">
        <f t="shared" ref="Y117:AD117" si="116">if(S117&gt;0,1,0)</f>
        <v>0</v>
      </c>
      <c r="Z117" s="4">
        <f t="shared" si="116"/>
        <v>0</v>
      </c>
      <c r="AA117" s="4">
        <f t="shared" si="116"/>
        <v>0</v>
      </c>
      <c r="AB117" s="4">
        <f t="shared" si="116"/>
        <v>0</v>
      </c>
      <c r="AC117" s="4">
        <f t="shared" si="116"/>
        <v>0</v>
      </c>
      <c r="AD117" s="4">
        <f t="shared" si="116"/>
        <v>0</v>
      </c>
      <c r="AE117" s="4" t="str">
        <f>'Form responses 1'!AN119</f>
        <v/>
      </c>
      <c r="AF117" s="4" t="str">
        <f>'Form responses 1'!AO119</f>
        <v/>
      </c>
      <c r="AG117" s="4" t="str">
        <f>'Form responses 1'!AP119</f>
        <v/>
      </c>
      <c r="AH117" s="4" t="str">
        <f>'Form responses 1'!AQ119</f>
        <v/>
      </c>
      <c r="AI117" s="4" t="str">
        <f>'Form responses 1'!AR119</f>
        <v/>
      </c>
    </row>
    <row r="118">
      <c r="A118" s="26">
        <f>'Form responses 1'!B120</f>
        <v>46063</v>
      </c>
      <c r="B118" s="4" t="str">
        <f>'Form responses 1'!AZ120</f>
        <v>sumadhur.mummadi@capsdelivery.com</v>
      </c>
      <c r="C118" s="4" t="str">
        <f>'Form responses 1'!BR120</f>
        <v>Maraheb mandi</v>
      </c>
      <c r="D118" s="4" t="str">
        <f>'Form responses 1'!AT120</f>
        <v/>
      </c>
      <c r="E118" s="4" t="str">
        <f>'Form responses 1'!AU120</f>
        <v>Yes</v>
      </c>
      <c r="F118" s="26">
        <f>'Form responses 1'!AX120</f>
        <v>46063</v>
      </c>
      <c r="G118" s="52">
        <f>'Form responses 1'!AY120</f>
        <v>0.5833333333</v>
      </c>
      <c r="H118" s="53" t="str">
        <f>'Form responses 1'!AW120</f>
        <v/>
      </c>
      <c r="I118" s="4" t="str">
        <f>'Form responses 1'!AS120</f>
        <v>No</v>
      </c>
      <c r="J118" s="4" t="str">
        <f>'Form responses 1'!J120</f>
        <v/>
      </c>
      <c r="K118" s="4" t="str">
        <f>'Form responses 1'!G120</f>
        <v/>
      </c>
      <c r="L118" s="4" t="str">
        <f>'Form responses 1'!F120</f>
        <v/>
      </c>
      <c r="M118" s="4" t="str">
        <f>'Form responses 1'!U120</f>
        <v>Maraheb</v>
      </c>
      <c r="N118" s="4">
        <f>'Form responses 1'!V120</f>
        <v>9014249702</v>
      </c>
      <c r="O118" s="4" t="str">
        <f>'Form responses 1'!W120</f>
        <v>Not given </v>
      </c>
      <c r="P118" s="4" t="str">
        <f>'Form responses 1'!X120</f>
        <v/>
      </c>
      <c r="Q118" s="4" t="str">
        <f>'Form responses 1'!Y120</f>
        <v/>
      </c>
      <c r="R118" s="4" t="str">
        <f>'Form responses 1'!Z120</f>
        <v/>
      </c>
      <c r="S118" s="4" t="str">
        <f>'Form responses 1'!AC120</f>
        <v/>
      </c>
      <c r="T118" s="4" t="str">
        <f>'Form responses 1'!AE120</f>
        <v/>
      </c>
      <c r="U118" s="4" t="str">
        <f>'Form responses 1'!AG120</f>
        <v/>
      </c>
      <c r="V118" s="4" t="str">
        <f>'Form responses 1'!AI120</f>
        <v/>
      </c>
      <c r="W118" s="4" t="str">
        <f>'Form responses 1'!AJ120</f>
        <v/>
      </c>
      <c r="X118" s="4" t="str">
        <f>'Form responses 1'!AK120</f>
        <v/>
      </c>
      <c r="Y118" s="4">
        <f t="shared" ref="Y118:AD118" si="117">if(S118&gt;0,1,0)</f>
        <v>0</v>
      </c>
      <c r="Z118" s="4">
        <f t="shared" si="117"/>
        <v>0</v>
      </c>
      <c r="AA118" s="4">
        <f t="shared" si="117"/>
        <v>0</v>
      </c>
      <c r="AB118" s="4">
        <f t="shared" si="117"/>
        <v>0</v>
      </c>
      <c r="AC118" s="4">
        <f t="shared" si="117"/>
        <v>0</v>
      </c>
      <c r="AD118" s="4">
        <f t="shared" si="117"/>
        <v>0</v>
      </c>
      <c r="AE118" s="4" t="str">
        <f>'Form responses 1'!AN120</f>
        <v/>
      </c>
      <c r="AF118" s="4" t="str">
        <f>'Form responses 1'!AO120</f>
        <v/>
      </c>
      <c r="AG118" s="4" t="str">
        <f>'Form responses 1'!AP120</f>
        <v/>
      </c>
      <c r="AH118" s="4" t="str">
        <f>'Form responses 1'!AQ120</f>
        <v/>
      </c>
      <c r="AI118" s="4" t="str">
        <f>'Form responses 1'!AR120</f>
        <v/>
      </c>
    </row>
    <row r="119">
      <c r="A119" s="26">
        <f>'Form responses 1'!B121</f>
        <v>46063</v>
      </c>
      <c r="B119" s="4" t="str">
        <f>'Form responses 1'!AZ121</f>
        <v>greeshma.vanneldas@capsdelivery.com</v>
      </c>
      <c r="C119" s="4" t="str">
        <f>'Form responses 1'!BR121</f>
        <v>Hiyya the chrono jail mandi</v>
      </c>
      <c r="D119" s="4" t="str">
        <f>'Form responses 1'!AT121</f>
        <v/>
      </c>
      <c r="E119" s="4" t="str">
        <f>'Form responses 1'!AU121</f>
        <v>Yes</v>
      </c>
      <c r="F119" s="4" t="str">
        <f>'Form responses 1'!AX121</f>
        <v/>
      </c>
      <c r="G119" s="4" t="str">
        <f>'Form responses 1'!AY121</f>
        <v/>
      </c>
      <c r="H119" s="53" t="str">
        <f>'Form responses 1'!AW121</f>
        <v/>
      </c>
      <c r="I119" s="4" t="str">
        <f>'Form responses 1'!AS121</f>
        <v/>
      </c>
      <c r="J119" s="4" t="str">
        <f>'Form responses 1'!J121</f>
        <v/>
      </c>
      <c r="K119" s="4" t="str">
        <f>'Form responses 1'!G121</f>
        <v/>
      </c>
      <c r="L119" s="4" t="str">
        <f>'Form responses 1'!F121</f>
        <v/>
      </c>
      <c r="M119" s="4" t="str">
        <f>'Form responses 1'!U121</f>
        <v>Swathi</v>
      </c>
      <c r="N119" s="4">
        <f>'Form responses 1'!V121</f>
        <v>7396422628</v>
      </c>
      <c r="O119" s="4" t="str">
        <f>'Form responses 1'!W121</f>
        <v>N/a</v>
      </c>
      <c r="P119" s="4" t="str">
        <f>'Form responses 1'!X121</f>
        <v/>
      </c>
      <c r="Q119" s="4" t="str">
        <f>'Form responses 1'!Y121</f>
        <v/>
      </c>
      <c r="R119" s="4" t="str">
        <f>'Form responses 1'!Z121</f>
        <v/>
      </c>
      <c r="S119" s="4" t="str">
        <f>'Form responses 1'!AC121</f>
        <v/>
      </c>
      <c r="T119" s="4" t="str">
        <f>'Form responses 1'!AE121</f>
        <v/>
      </c>
      <c r="U119" s="4" t="str">
        <f>'Form responses 1'!AG121</f>
        <v/>
      </c>
      <c r="V119" s="4" t="str">
        <f>'Form responses 1'!AI121</f>
        <v/>
      </c>
      <c r="W119" s="4" t="str">
        <f>'Form responses 1'!AJ121</f>
        <v/>
      </c>
      <c r="X119" s="4" t="str">
        <f>'Form responses 1'!AK121</f>
        <v/>
      </c>
      <c r="Y119" s="4">
        <f t="shared" ref="Y119:AD119" si="118">if(S119&gt;0,1,0)</f>
        <v>0</v>
      </c>
      <c r="Z119" s="4">
        <f t="shared" si="118"/>
        <v>0</v>
      </c>
      <c r="AA119" s="4">
        <f t="shared" si="118"/>
        <v>0</v>
      </c>
      <c r="AB119" s="4">
        <f t="shared" si="118"/>
        <v>0</v>
      </c>
      <c r="AC119" s="4">
        <f t="shared" si="118"/>
        <v>0</v>
      </c>
      <c r="AD119" s="4">
        <f t="shared" si="118"/>
        <v>0</v>
      </c>
      <c r="AE119" s="4" t="str">
        <f>'Form responses 1'!AN121</f>
        <v/>
      </c>
      <c r="AF119" s="4" t="str">
        <f>'Form responses 1'!AO121</f>
        <v/>
      </c>
      <c r="AG119" s="4" t="str">
        <f>'Form responses 1'!AP121</f>
        <v/>
      </c>
      <c r="AH119" s="4" t="str">
        <f>'Form responses 1'!AQ121</f>
        <v/>
      </c>
      <c r="AI119" s="4" t="str">
        <f>'Form responses 1'!AR121</f>
        <v/>
      </c>
    </row>
    <row r="120">
      <c r="A120" s="26">
        <f>'Form responses 1'!B122</f>
        <v>46063</v>
      </c>
      <c r="B120" s="4" t="str">
        <f>'Form responses 1'!AZ122</f>
        <v>ankitha.baske@capsdelivery.com</v>
      </c>
      <c r="C120" s="4" t="str">
        <f>'Form responses 1'!BR122</f>
        <v>Burma Burma</v>
      </c>
      <c r="D120" s="4" t="str">
        <f>'Form responses 1'!AT122</f>
        <v/>
      </c>
      <c r="E120" s="4" t="str">
        <f>'Form responses 1'!AU122</f>
        <v>Yes</v>
      </c>
      <c r="F120" s="4" t="str">
        <f>'Form responses 1'!AX122</f>
        <v/>
      </c>
      <c r="G120" s="4" t="str">
        <f>'Form responses 1'!AY122</f>
        <v/>
      </c>
      <c r="H120" s="53" t="str">
        <f>'Form responses 1'!AW122</f>
        <v>We need to approach Marketing team</v>
      </c>
      <c r="I120" s="4" t="str">
        <f>'Form responses 1'!AS122</f>
        <v/>
      </c>
      <c r="J120" s="4" t="str">
        <f>'Form responses 1'!J122</f>
        <v>Tier-1(AOV&gt;400)</v>
      </c>
      <c r="K120" s="4">
        <f>'Form responses 1'!G122</f>
        <v>1500</v>
      </c>
      <c r="L120" s="4">
        <f>'Form responses 1'!F122</f>
        <v>130</v>
      </c>
      <c r="M120" s="4" t="str">
        <f>'Form responses 1'!U122</f>
        <v>Kajal</v>
      </c>
      <c r="N120" s="4">
        <f>'Form responses 1'!V122</f>
        <v>7977765789</v>
      </c>
      <c r="O120" s="4" t="str">
        <f>'Form responses 1'!W122</f>
        <v>NA</v>
      </c>
      <c r="P120" s="4" t="str">
        <f>'Form responses 1'!X122</f>
        <v/>
      </c>
      <c r="Q120" s="4" t="str">
        <f>'Form responses 1'!Y122</f>
        <v/>
      </c>
      <c r="R120" s="4" t="str">
        <f>'Form responses 1'!Z122</f>
        <v/>
      </c>
      <c r="S120" s="4" t="str">
        <f>'Form responses 1'!AC122</f>
        <v/>
      </c>
      <c r="T120" s="4" t="str">
        <f>'Form responses 1'!AE122</f>
        <v/>
      </c>
      <c r="U120" s="4" t="str">
        <f>'Form responses 1'!AG122</f>
        <v/>
      </c>
      <c r="V120" s="4" t="str">
        <f>'Form responses 1'!AI122</f>
        <v/>
      </c>
      <c r="W120" s="4" t="str">
        <f>'Form responses 1'!AJ122</f>
        <v/>
      </c>
      <c r="X120" s="4" t="str">
        <f>'Form responses 1'!AK122</f>
        <v/>
      </c>
      <c r="Y120" s="4">
        <f t="shared" ref="Y120:AD120" si="119">if(S120&gt;0,1,0)</f>
        <v>0</v>
      </c>
      <c r="Z120" s="4">
        <f t="shared" si="119"/>
        <v>0</v>
      </c>
      <c r="AA120" s="4">
        <f t="shared" si="119"/>
        <v>0</v>
      </c>
      <c r="AB120" s="4">
        <f t="shared" si="119"/>
        <v>0</v>
      </c>
      <c r="AC120" s="4">
        <f t="shared" si="119"/>
        <v>0</v>
      </c>
      <c r="AD120" s="4">
        <f t="shared" si="119"/>
        <v>0</v>
      </c>
      <c r="AE120" s="4" t="str">
        <f>'Form responses 1'!AN122</f>
        <v/>
      </c>
      <c r="AF120" s="4" t="str">
        <f>'Form responses 1'!AO122</f>
        <v/>
      </c>
      <c r="AG120" s="4" t="str">
        <f>'Form responses 1'!AP122</f>
        <v/>
      </c>
      <c r="AH120" s="4" t="str">
        <f>'Form responses 1'!AQ122</f>
        <v/>
      </c>
      <c r="AI120" s="4" t="str">
        <f>'Form responses 1'!AR122</f>
        <v/>
      </c>
    </row>
    <row r="121">
      <c r="A121" s="26">
        <f>'Form responses 1'!B123</f>
        <v>46063</v>
      </c>
      <c r="B121" s="4" t="str">
        <f>'Form responses 1'!AZ123</f>
        <v>greeshma.vanneldas@capsdelivery.com</v>
      </c>
      <c r="C121" s="4" t="str">
        <f>'Form responses 1'!BR123</f>
        <v>Toscano</v>
      </c>
      <c r="D121" s="4" t="str">
        <f>'Form responses 1'!AT123</f>
        <v/>
      </c>
      <c r="E121" s="4" t="str">
        <f>'Form responses 1'!AU123</f>
        <v>Yes</v>
      </c>
      <c r="F121" s="4" t="str">
        <f>'Form responses 1'!AX123</f>
        <v/>
      </c>
      <c r="G121" s="4" t="str">
        <f>'Form responses 1'!AY123</f>
        <v/>
      </c>
      <c r="H121" s="53" t="str">
        <f>'Form responses 1'!AW123</f>
        <v>Toscano  POC-Bala(Manager) 9986998503  Owners will be in Bangalore  They are exclusive on swiggy and zomato,Before they have tried other food delivery platforms but they got more negative feedback so once launch is done,depending on the marketing the manager said he will approach. I will follow up the manager,once the app launch.</v>
      </c>
      <c r="I121" s="4" t="str">
        <f>'Form responses 1'!AS123</f>
        <v/>
      </c>
      <c r="J121" s="4" t="str">
        <f>'Form responses 1'!J123</f>
        <v/>
      </c>
      <c r="K121" s="4" t="str">
        <f>'Form responses 1'!G123</f>
        <v/>
      </c>
      <c r="L121" s="4" t="str">
        <f>'Form responses 1'!F123</f>
        <v/>
      </c>
      <c r="M121" s="4" t="str">
        <f>'Form responses 1'!U123</f>
        <v>Bala</v>
      </c>
      <c r="N121" s="4">
        <f>'Form responses 1'!V123</f>
        <v>9986998503</v>
      </c>
      <c r="O121" s="4" t="str">
        <f>'Form responses 1'!W123</f>
        <v>N/a</v>
      </c>
      <c r="P121" s="4" t="str">
        <f>'Form responses 1'!X123</f>
        <v/>
      </c>
      <c r="Q121" s="4" t="str">
        <f>'Form responses 1'!Y123</f>
        <v/>
      </c>
      <c r="R121" s="4" t="str">
        <f>'Form responses 1'!Z123</f>
        <v/>
      </c>
      <c r="S121" s="4" t="str">
        <f>'Form responses 1'!AC123</f>
        <v/>
      </c>
      <c r="T121" s="4" t="str">
        <f>'Form responses 1'!AE123</f>
        <v/>
      </c>
      <c r="U121" s="4" t="str">
        <f>'Form responses 1'!AG123</f>
        <v/>
      </c>
      <c r="V121" s="4" t="str">
        <f>'Form responses 1'!AI123</f>
        <v/>
      </c>
      <c r="W121" s="4" t="str">
        <f>'Form responses 1'!AJ123</f>
        <v/>
      </c>
      <c r="X121" s="4" t="str">
        <f>'Form responses 1'!AK123</f>
        <v/>
      </c>
      <c r="Y121" s="4">
        <f t="shared" ref="Y121:AD121" si="120">if(S121&gt;0,1,0)</f>
        <v>0</v>
      </c>
      <c r="Z121" s="4">
        <f t="shared" si="120"/>
        <v>0</v>
      </c>
      <c r="AA121" s="4">
        <f t="shared" si="120"/>
        <v>0</v>
      </c>
      <c r="AB121" s="4">
        <f t="shared" si="120"/>
        <v>0</v>
      </c>
      <c r="AC121" s="4">
        <f t="shared" si="120"/>
        <v>0</v>
      </c>
      <c r="AD121" s="4">
        <f t="shared" si="120"/>
        <v>0</v>
      </c>
      <c r="AE121" s="4" t="str">
        <f>'Form responses 1'!AN123</f>
        <v/>
      </c>
      <c r="AF121" s="4" t="str">
        <f>'Form responses 1'!AO123</f>
        <v/>
      </c>
      <c r="AG121" s="4" t="str">
        <f>'Form responses 1'!AP123</f>
        <v/>
      </c>
      <c r="AH121" s="4" t="str">
        <f>'Form responses 1'!AQ123</f>
        <v/>
      </c>
      <c r="AI121" s="4" t="str">
        <f>'Form responses 1'!AR123</f>
        <v/>
      </c>
    </row>
    <row r="122">
      <c r="A122" s="26">
        <f>'Form responses 1'!B124</f>
        <v>46063</v>
      </c>
      <c r="B122" s="4" t="str">
        <f>'Form responses 1'!AZ124</f>
        <v>madhumitha.sonnakula@capsdelivery.com</v>
      </c>
      <c r="C122" s="4" t="str">
        <f>'Form responses 1'!BR124</f>
        <v>itlu bobbatlu</v>
      </c>
      <c r="D122" s="4" t="str">
        <f>'Form responses 1'!AT124</f>
        <v/>
      </c>
      <c r="E122" s="4" t="str">
        <f>'Form responses 1'!AU124</f>
        <v>Yes</v>
      </c>
      <c r="F122" s="26">
        <f>'Form responses 1'!AX124</f>
        <v>46064</v>
      </c>
      <c r="G122" s="52">
        <f>'Form responses 1'!AY124</f>
        <v>0.125</v>
      </c>
      <c r="H122" s="53" t="str">
        <f>'Form responses 1'!AW124</f>
        <v>we need to colect the documents</v>
      </c>
      <c r="I122" s="4" t="str">
        <f>'Form responses 1'!AS124</f>
        <v/>
      </c>
      <c r="J122" s="4" t="str">
        <f>'Form responses 1'!J124</f>
        <v/>
      </c>
      <c r="K122" s="4" t="str">
        <f>'Form responses 1'!G124</f>
        <v/>
      </c>
      <c r="L122" s="4" t="str">
        <f>'Form responses 1'!F124</f>
        <v/>
      </c>
      <c r="M122" s="4" t="str">
        <f>'Form responses 1'!U124</f>
        <v>na</v>
      </c>
      <c r="N122" s="4">
        <f>'Form responses 1'!V124</f>
        <v>9966991234</v>
      </c>
      <c r="O122" s="4" t="str">
        <f>'Form responses 1'!W124</f>
        <v>na</v>
      </c>
      <c r="P122" s="4" t="str">
        <f>'Form responses 1'!X124</f>
        <v/>
      </c>
      <c r="Q122" s="4" t="str">
        <f>'Form responses 1'!Y124</f>
        <v/>
      </c>
      <c r="R122" s="4" t="str">
        <f>'Form responses 1'!Z124</f>
        <v/>
      </c>
      <c r="S122" s="4" t="str">
        <f>'Form responses 1'!AC124</f>
        <v/>
      </c>
      <c r="T122" s="4" t="str">
        <f>'Form responses 1'!AE124</f>
        <v/>
      </c>
      <c r="U122" s="4" t="str">
        <f>'Form responses 1'!AG124</f>
        <v/>
      </c>
      <c r="V122" s="4" t="str">
        <f>'Form responses 1'!AI124</f>
        <v/>
      </c>
      <c r="W122" s="4" t="str">
        <f>'Form responses 1'!AJ124</f>
        <v/>
      </c>
      <c r="X122" s="4" t="str">
        <f>'Form responses 1'!AK124</f>
        <v/>
      </c>
      <c r="Y122" s="4">
        <f t="shared" ref="Y122:AD122" si="121">if(S122&gt;0,1,0)</f>
        <v>0</v>
      </c>
      <c r="Z122" s="4">
        <f t="shared" si="121"/>
        <v>0</v>
      </c>
      <c r="AA122" s="4">
        <f t="shared" si="121"/>
        <v>0</v>
      </c>
      <c r="AB122" s="4">
        <f t="shared" si="121"/>
        <v>0</v>
      </c>
      <c r="AC122" s="4">
        <f t="shared" si="121"/>
        <v>0</v>
      </c>
      <c r="AD122" s="4">
        <f t="shared" si="121"/>
        <v>0</v>
      </c>
      <c r="AE122" s="4" t="str">
        <f>'Form responses 1'!AN124</f>
        <v/>
      </c>
      <c r="AF122" s="4" t="str">
        <f>'Form responses 1'!AO124</f>
        <v/>
      </c>
      <c r="AG122" s="4" t="str">
        <f>'Form responses 1'!AP124</f>
        <v/>
      </c>
      <c r="AH122" s="4" t="str">
        <f>'Form responses 1'!AQ124</f>
        <v/>
      </c>
      <c r="AI122" s="4" t="str">
        <f>'Form responses 1'!AR124</f>
        <v/>
      </c>
    </row>
    <row r="123">
      <c r="A123" s="26">
        <f>'Form responses 1'!B125</f>
        <v>46063</v>
      </c>
      <c r="B123" s="4" t="str">
        <f>'Form responses 1'!AZ125</f>
        <v>ankitha.baske@capsdelivery.com</v>
      </c>
      <c r="C123" s="4" t="str">
        <f>'Form responses 1'!BR125</f>
        <v>Gabru Di Chaap</v>
      </c>
      <c r="D123" s="4" t="str">
        <f>'Form responses 1'!AT125</f>
        <v/>
      </c>
      <c r="E123" s="4" t="str">
        <f>'Form responses 1'!AU125</f>
        <v>Yes</v>
      </c>
      <c r="F123" s="4" t="str">
        <f>'Form responses 1'!AX125</f>
        <v/>
      </c>
      <c r="G123" s="4" t="str">
        <f>'Form responses 1'!AY125</f>
        <v/>
      </c>
      <c r="H123" s="53" t="str">
        <f>'Form responses 1'!AW125</f>
        <v>He will talk with Marketing Team and let us know </v>
      </c>
      <c r="I123" s="4" t="str">
        <f>'Form responses 1'!AS125</f>
        <v/>
      </c>
      <c r="J123" s="4" t="str">
        <f>'Form responses 1'!J125</f>
        <v>Tier-2 (AOV &lt;400)</v>
      </c>
      <c r="K123" s="4">
        <f>'Form responses 1'!G125</f>
        <v>300</v>
      </c>
      <c r="L123" s="4">
        <f>'Form responses 1'!F125</f>
        <v>1</v>
      </c>
      <c r="M123" s="4" t="str">
        <f>'Form responses 1'!U125</f>
        <v>Fayz</v>
      </c>
      <c r="N123" s="4">
        <f>'Form responses 1'!V125</f>
        <v>8688843788</v>
      </c>
      <c r="O123" s="4" t="str">
        <f>'Form responses 1'!W125</f>
        <v>NA</v>
      </c>
      <c r="P123" s="4" t="str">
        <f>'Form responses 1'!X125</f>
        <v/>
      </c>
      <c r="Q123" s="4" t="str">
        <f>'Form responses 1'!Y125</f>
        <v/>
      </c>
      <c r="R123" s="4" t="str">
        <f>'Form responses 1'!Z125</f>
        <v/>
      </c>
      <c r="S123" s="4" t="str">
        <f>'Form responses 1'!AC125</f>
        <v/>
      </c>
      <c r="T123" s="4" t="str">
        <f>'Form responses 1'!AE125</f>
        <v/>
      </c>
      <c r="U123" s="4" t="str">
        <f>'Form responses 1'!AG125</f>
        <v/>
      </c>
      <c r="V123" s="4" t="str">
        <f>'Form responses 1'!AI125</f>
        <v/>
      </c>
      <c r="W123" s="4" t="str">
        <f>'Form responses 1'!AJ125</f>
        <v/>
      </c>
      <c r="X123" s="4" t="str">
        <f>'Form responses 1'!AK125</f>
        <v/>
      </c>
      <c r="Y123" s="4">
        <f t="shared" ref="Y123:AD123" si="122">if(S123&gt;0,1,0)</f>
        <v>0</v>
      </c>
      <c r="Z123" s="4">
        <f t="shared" si="122"/>
        <v>0</v>
      </c>
      <c r="AA123" s="4">
        <f t="shared" si="122"/>
        <v>0</v>
      </c>
      <c r="AB123" s="4">
        <f t="shared" si="122"/>
        <v>0</v>
      </c>
      <c r="AC123" s="4">
        <f t="shared" si="122"/>
        <v>0</v>
      </c>
      <c r="AD123" s="4">
        <f t="shared" si="122"/>
        <v>0</v>
      </c>
      <c r="AE123" s="4" t="str">
        <f>'Form responses 1'!AN125</f>
        <v/>
      </c>
      <c r="AF123" s="4" t="str">
        <f>'Form responses 1'!AO125</f>
        <v/>
      </c>
      <c r="AG123" s="4" t="str">
        <f>'Form responses 1'!AP125</f>
        <v/>
      </c>
      <c r="AH123" s="4" t="str">
        <f>'Form responses 1'!AQ125</f>
        <v/>
      </c>
      <c r="AI123" s="4" t="str">
        <f>'Form responses 1'!AR125</f>
        <v/>
      </c>
    </row>
    <row r="124">
      <c r="A124" s="26">
        <f>'Form responses 1'!B126</f>
        <v>46063</v>
      </c>
      <c r="B124" s="4" t="str">
        <f>'Form responses 1'!AZ126</f>
        <v>ankitha.baske@capsdelivery.com</v>
      </c>
      <c r="C124" s="4" t="str">
        <f>'Form responses 1'!BR126</f>
        <v/>
      </c>
      <c r="D124" s="4" t="str">
        <f>'Form responses 1'!AT126</f>
        <v/>
      </c>
      <c r="E124" s="4" t="str">
        <f>'Form responses 1'!AU126</f>
        <v>Yes</v>
      </c>
      <c r="F124" s="4" t="str">
        <f>'Form responses 1'!AX126</f>
        <v/>
      </c>
      <c r="G124" s="52">
        <f>'Form responses 1'!AY126</f>
        <v>0.7916666667</v>
      </c>
      <c r="H124" s="53" t="str">
        <f>'Form responses 1'!AW126</f>
        <v>Manager will be available after 7 pm</v>
      </c>
      <c r="I124" s="4" t="str">
        <f>'Form responses 1'!AS126</f>
        <v/>
      </c>
      <c r="J124" s="4" t="str">
        <f>'Form responses 1'!J126</f>
        <v/>
      </c>
      <c r="K124" s="4" t="str">
        <f>'Form responses 1'!G126</f>
        <v/>
      </c>
      <c r="L124" s="4" t="str">
        <f>'Form responses 1'!F126</f>
        <v/>
      </c>
      <c r="M124" s="4" t="str">
        <f>'Form responses 1'!U126</f>
        <v>NA</v>
      </c>
      <c r="N124" s="4" t="str">
        <f>'Form responses 1'!V126</f>
        <v>NA</v>
      </c>
      <c r="O124" s="4" t="str">
        <f>'Form responses 1'!W126</f>
        <v>NA</v>
      </c>
      <c r="P124" s="4" t="str">
        <f>'Form responses 1'!X126</f>
        <v/>
      </c>
      <c r="Q124" s="4" t="str">
        <f>'Form responses 1'!Y126</f>
        <v/>
      </c>
      <c r="R124" s="4" t="str">
        <f>'Form responses 1'!Z126</f>
        <v/>
      </c>
      <c r="S124" s="4" t="str">
        <f>'Form responses 1'!AC126</f>
        <v/>
      </c>
      <c r="T124" s="4" t="str">
        <f>'Form responses 1'!AE126</f>
        <v/>
      </c>
      <c r="U124" s="4" t="str">
        <f>'Form responses 1'!AG126</f>
        <v/>
      </c>
      <c r="V124" s="4" t="str">
        <f>'Form responses 1'!AI126</f>
        <v/>
      </c>
      <c r="W124" s="4" t="str">
        <f>'Form responses 1'!AJ126</f>
        <v/>
      </c>
      <c r="X124" s="4" t="str">
        <f>'Form responses 1'!AK126</f>
        <v/>
      </c>
      <c r="Y124" s="4">
        <f t="shared" ref="Y124:AD124" si="123">if(S124&gt;0,1,0)</f>
        <v>0</v>
      </c>
      <c r="Z124" s="4">
        <f t="shared" si="123"/>
        <v>0</v>
      </c>
      <c r="AA124" s="4">
        <f t="shared" si="123"/>
        <v>0</v>
      </c>
      <c r="AB124" s="4">
        <f t="shared" si="123"/>
        <v>0</v>
      </c>
      <c r="AC124" s="4">
        <f t="shared" si="123"/>
        <v>0</v>
      </c>
      <c r="AD124" s="4">
        <f t="shared" si="123"/>
        <v>0</v>
      </c>
      <c r="AE124" s="4" t="str">
        <f>'Form responses 1'!AN126</f>
        <v/>
      </c>
      <c r="AF124" s="4" t="str">
        <f>'Form responses 1'!AO126</f>
        <v/>
      </c>
      <c r="AG124" s="4" t="str">
        <f>'Form responses 1'!AP126</f>
        <v/>
      </c>
      <c r="AH124" s="4" t="str">
        <f>'Form responses 1'!AQ126</f>
        <v/>
      </c>
      <c r="AI124" s="4" t="str">
        <f>'Form responses 1'!AR126</f>
        <v/>
      </c>
    </row>
    <row r="125">
      <c r="A125" s="26">
        <f>'Form responses 1'!B127</f>
        <v>46063</v>
      </c>
      <c r="B125" s="4" t="str">
        <f>'Form responses 1'!AZ127</f>
        <v>madhumitha.sonnakula@capsdelivery.com</v>
      </c>
      <c r="C125" s="4" t="str">
        <f>'Form responses 1'!BR127</f>
        <v>kumbhakk</v>
      </c>
      <c r="D125" s="4" t="str">
        <f>'Form responses 1'!AT127</f>
        <v/>
      </c>
      <c r="E125" s="4" t="str">
        <f>'Form responses 1'!AU127</f>
        <v>Yes</v>
      </c>
      <c r="F125" s="26">
        <f>'Form responses 1'!AX127</f>
        <v>46067</v>
      </c>
      <c r="G125" s="52">
        <f>'Form responses 1'!AY127</f>
        <v>0.4583333333</v>
      </c>
      <c r="H125" s="53" t="str">
        <f>'Form responses 1'!AW127</f>
        <v/>
      </c>
      <c r="I125" s="4" t="str">
        <f>'Form responses 1'!AS127</f>
        <v/>
      </c>
      <c r="J125" s="4" t="str">
        <f>'Form responses 1'!J127</f>
        <v>Tier-2 (AOV &lt;400)</v>
      </c>
      <c r="K125" s="4">
        <f>'Form responses 1'!G127</f>
        <v>600</v>
      </c>
      <c r="L125" s="4">
        <f>'Form responses 1'!F127</f>
        <v>25</v>
      </c>
      <c r="M125" s="4" t="str">
        <f>'Form responses 1'!U127</f>
        <v>na</v>
      </c>
      <c r="N125" s="4" t="str">
        <f>'Form responses 1'!V127</f>
        <v>na</v>
      </c>
      <c r="O125" s="4" t="str">
        <f>'Form responses 1'!W127</f>
        <v>na</v>
      </c>
      <c r="P125" s="4" t="str">
        <f>'Form responses 1'!X127</f>
        <v/>
      </c>
      <c r="Q125" s="4" t="str">
        <f>'Form responses 1'!Y127</f>
        <v/>
      </c>
      <c r="R125" s="4" t="str">
        <f>'Form responses 1'!Z127</f>
        <v/>
      </c>
      <c r="S125" s="4" t="str">
        <f>'Form responses 1'!AC127</f>
        <v/>
      </c>
      <c r="T125" s="4" t="str">
        <f>'Form responses 1'!AE127</f>
        <v/>
      </c>
      <c r="U125" s="4" t="str">
        <f>'Form responses 1'!AG127</f>
        <v/>
      </c>
      <c r="V125" s="4" t="str">
        <f>'Form responses 1'!AI127</f>
        <v/>
      </c>
      <c r="W125" s="4" t="str">
        <f>'Form responses 1'!AJ127</f>
        <v/>
      </c>
      <c r="X125" s="4" t="str">
        <f>'Form responses 1'!AK127</f>
        <v/>
      </c>
      <c r="Y125" s="4">
        <f t="shared" ref="Y125:AD125" si="124">if(S125&gt;0,1,0)</f>
        <v>0</v>
      </c>
      <c r="Z125" s="4">
        <f t="shared" si="124"/>
        <v>0</v>
      </c>
      <c r="AA125" s="4">
        <f t="shared" si="124"/>
        <v>0</v>
      </c>
      <c r="AB125" s="4">
        <f t="shared" si="124"/>
        <v>0</v>
      </c>
      <c r="AC125" s="4">
        <f t="shared" si="124"/>
        <v>0</v>
      </c>
      <c r="AD125" s="4">
        <f t="shared" si="124"/>
        <v>0</v>
      </c>
      <c r="AE125" s="4" t="str">
        <f>'Form responses 1'!AN127</f>
        <v/>
      </c>
      <c r="AF125" s="4" t="str">
        <f>'Form responses 1'!AO127</f>
        <v/>
      </c>
      <c r="AG125" s="4" t="str">
        <f>'Form responses 1'!AP127</f>
        <v/>
      </c>
      <c r="AH125" s="4" t="str">
        <f>'Form responses 1'!AQ127</f>
        <v/>
      </c>
      <c r="AI125" s="4" t="str">
        <f>'Form responses 1'!AR127</f>
        <v/>
      </c>
    </row>
    <row r="126">
      <c r="A126" s="26">
        <f>'Form responses 1'!B128</f>
        <v>46062</v>
      </c>
      <c r="B126" s="4" t="str">
        <f>'Form responses 1'!AZ128</f>
        <v>madhumitha.sonnakula@capsdelivery.com</v>
      </c>
      <c r="C126" s="4" t="str">
        <f>'Form responses 1'!BR128</f>
        <v>1000 biryanis</v>
      </c>
      <c r="D126" s="4" t="str">
        <f>'Form responses 1'!AT128</f>
        <v>we onboarded the restraunts </v>
      </c>
      <c r="E126" s="4" t="str">
        <f>'Form responses 1'!AU128</f>
        <v>No</v>
      </c>
      <c r="F126" s="4" t="str">
        <f>'Form responses 1'!AX128</f>
        <v/>
      </c>
      <c r="G126" s="4" t="str">
        <f>'Form responses 1'!AY128</f>
        <v/>
      </c>
      <c r="H126" s="53" t="str">
        <f>'Form responses 1'!AW128</f>
        <v/>
      </c>
      <c r="I126" s="4" t="str">
        <f>'Form responses 1'!AS128</f>
        <v>Yes</v>
      </c>
      <c r="J126" s="4" t="str">
        <f>'Form responses 1'!J128</f>
        <v>Tier-2 (AOV &lt;400)</v>
      </c>
      <c r="K126" s="4">
        <f>'Form responses 1'!G128</f>
        <v>400</v>
      </c>
      <c r="L126" s="4">
        <f>'Form responses 1'!F128</f>
        <v>100</v>
      </c>
      <c r="M126" s="4" t="str">
        <f>'Form responses 1'!U128</f>
        <v>vijay</v>
      </c>
      <c r="N126" s="4">
        <f>'Form responses 1'!V128</f>
        <v>9100368473</v>
      </c>
      <c r="O126" s="4" t="str">
        <f>'Form responses 1'!W128</f>
        <v>na</v>
      </c>
      <c r="P126" s="4" t="str">
        <f>'Form responses 1'!X128</f>
        <v/>
      </c>
      <c r="Q126" s="4" t="str">
        <f>'Form responses 1'!Y128</f>
        <v/>
      </c>
      <c r="R126" s="4" t="str">
        <f>'Form responses 1'!Z128</f>
        <v/>
      </c>
      <c r="S126" s="4" t="str">
        <f>'Form responses 1'!AC128</f>
        <v/>
      </c>
      <c r="T126" s="4" t="str">
        <f>'Form responses 1'!AE128</f>
        <v/>
      </c>
      <c r="U126" s="4" t="str">
        <f>'Form responses 1'!AG128</f>
        <v/>
      </c>
      <c r="V126" s="4" t="str">
        <f>'Form responses 1'!AI128</f>
        <v/>
      </c>
      <c r="W126" s="4" t="str">
        <f>'Form responses 1'!AJ128</f>
        <v/>
      </c>
      <c r="X126" s="4" t="str">
        <f>'Form responses 1'!AK128</f>
        <v/>
      </c>
      <c r="Y126" s="4">
        <f t="shared" ref="Y126:AD126" si="125">if(S126&gt;0,1,0)</f>
        <v>0</v>
      </c>
      <c r="Z126" s="4">
        <f t="shared" si="125"/>
        <v>0</v>
      </c>
      <c r="AA126" s="4">
        <f t="shared" si="125"/>
        <v>0</v>
      </c>
      <c r="AB126" s="4">
        <f t="shared" si="125"/>
        <v>0</v>
      </c>
      <c r="AC126" s="4">
        <f t="shared" si="125"/>
        <v>0</v>
      </c>
      <c r="AD126" s="4">
        <f t="shared" si="125"/>
        <v>0</v>
      </c>
      <c r="AE126" s="4" t="str">
        <f>'Form responses 1'!AN128</f>
        <v/>
      </c>
      <c r="AF126" s="4" t="str">
        <f>'Form responses 1'!AO128</f>
        <v/>
      </c>
      <c r="AG126" s="4" t="str">
        <f>'Form responses 1'!AP128</f>
        <v/>
      </c>
      <c r="AH126" s="4" t="str">
        <f>'Form responses 1'!AQ128</f>
        <v/>
      </c>
      <c r="AI126" s="4" t="str">
        <f>'Form responses 1'!AR128</f>
        <v/>
      </c>
    </row>
    <row r="127">
      <c r="A127" s="26">
        <f>'Form responses 1'!B129</f>
        <v>46063</v>
      </c>
      <c r="B127" s="4" t="str">
        <f>'Form responses 1'!AZ129</f>
        <v>moin.khan@capsdelivery.com</v>
      </c>
      <c r="C127" s="4" t="str">
        <f>'Form responses 1'!BR129</f>
        <v/>
      </c>
      <c r="D127" s="4" t="str">
        <f>'Form responses 1'!AT129</f>
        <v/>
      </c>
      <c r="E127" s="4" t="str">
        <f>'Form responses 1'!AU129</f>
        <v>Yes</v>
      </c>
      <c r="F127" s="26">
        <f>'Form responses 1'!AX129</f>
        <v>46066</v>
      </c>
      <c r="G127" s="52">
        <f>'Form responses 1'!AY129</f>
        <v>0.6458333333</v>
      </c>
      <c r="H127" s="53" t="str">
        <f>'Form responses 1'!AW129</f>
        <v/>
      </c>
      <c r="I127" s="4" t="str">
        <f>'Form responses 1'!AS129</f>
        <v/>
      </c>
      <c r="J127" s="4" t="str">
        <f>'Form responses 1'!J129</f>
        <v/>
      </c>
      <c r="K127" s="4" t="str">
        <f>'Form responses 1'!G129</f>
        <v/>
      </c>
      <c r="L127" s="4" t="str">
        <f>'Form responses 1'!F129</f>
        <v/>
      </c>
      <c r="M127" s="4" t="str">
        <f>'Form responses 1'!U129</f>
        <v>SAHIL</v>
      </c>
      <c r="N127" s="4">
        <f>'Form responses 1'!V129</f>
        <v>939205514</v>
      </c>
      <c r="O127" s="4" t="str">
        <f>'Form responses 1'!W129</f>
        <v>NA</v>
      </c>
      <c r="P127" s="4" t="str">
        <f>'Form responses 1'!X129</f>
        <v/>
      </c>
      <c r="Q127" s="4" t="str">
        <f>'Form responses 1'!Y129</f>
        <v/>
      </c>
      <c r="R127" s="4" t="str">
        <f>'Form responses 1'!Z129</f>
        <v/>
      </c>
      <c r="S127" s="4" t="str">
        <f>'Form responses 1'!AC129</f>
        <v/>
      </c>
      <c r="T127" s="4" t="str">
        <f>'Form responses 1'!AE129</f>
        <v/>
      </c>
      <c r="U127" s="4" t="str">
        <f>'Form responses 1'!AG129</f>
        <v/>
      </c>
      <c r="V127" s="4" t="str">
        <f>'Form responses 1'!AI129</f>
        <v/>
      </c>
      <c r="W127" s="4" t="str">
        <f>'Form responses 1'!AJ129</f>
        <v/>
      </c>
      <c r="X127" s="4" t="str">
        <f>'Form responses 1'!AK129</f>
        <v/>
      </c>
      <c r="Y127" s="4">
        <f t="shared" ref="Y127:AD127" si="126">if(S127&gt;0,1,0)</f>
        <v>0</v>
      </c>
      <c r="Z127" s="4">
        <f t="shared" si="126"/>
        <v>0</v>
      </c>
      <c r="AA127" s="4">
        <f t="shared" si="126"/>
        <v>0</v>
      </c>
      <c r="AB127" s="4">
        <f t="shared" si="126"/>
        <v>0</v>
      </c>
      <c r="AC127" s="4">
        <f t="shared" si="126"/>
        <v>0</v>
      </c>
      <c r="AD127" s="4">
        <f t="shared" si="126"/>
        <v>0</v>
      </c>
      <c r="AE127" s="4" t="str">
        <f>'Form responses 1'!AN129</f>
        <v/>
      </c>
      <c r="AF127" s="4" t="str">
        <f>'Form responses 1'!AO129</f>
        <v/>
      </c>
      <c r="AG127" s="4" t="str">
        <f>'Form responses 1'!AP129</f>
        <v/>
      </c>
      <c r="AH127" s="4" t="str">
        <f>'Form responses 1'!AQ129</f>
        <v/>
      </c>
      <c r="AI127" s="4" t="str">
        <f>'Form responses 1'!AR129</f>
        <v/>
      </c>
    </row>
    <row r="128">
      <c r="A128" s="26">
        <f>'Form responses 1'!B130</f>
        <v>46063</v>
      </c>
      <c r="B128" s="4" t="str">
        <f>'Form responses 1'!AZ130</f>
        <v>greeshma.vanneldas@capsdelivery.com</v>
      </c>
      <c r="C128" s="4" t="str">
        <f>'Form responses 1'!BR130</f>
        <v>Hard rock cafe</v>
      </c>
      <c r="D128" s="4" t="str">
        <f>'Form responses 1'!AT130</f>
        <v/>
      </c>
      <c r="E128" s="4" t="str">
        <f>'Form responses 1'!AU130</f>
        <v>Yes</v>
      </c>
      <c r="F128" s="4" t="str">
        <f>'Form responses 1'!AX130</f>
        <v/>
      </c>
      <c r="G128" s="4" t="str">
        <f>'Form responses 1'!AY130</f>
        <v/>
      </c>
      <c r="H128" s="53" t="str">
        <f>'Form responses 1'!AW130</f>
        <v>POC-Ali Firoz 9769343996 Discussed with manager,he is interested but he need the proposal to sent on email with clear points about our platform and commissions and the offers.so that he can discuss with his higher officials for approval. AOV-2000-5000+ Last month orders on swiggy and zomato  -150+ On swiggy and zomato they are with 18%. Higher officials will be in Bangalore. Seating capacity 150-200. They are interested for take away option.</v>
      </c>
      <c r="I128" s="4" t="str">
        <f>'Form responses 1'!AS130</f>
        <v/>
      </c>
      <c r="J128" s="4" t="str">
        <f>'Form responses 1'!J130</f>
        <v/>
      </c>
      <c r="K128" s="4" t="str">
        <f>'Form responses 1'!G130</f>
        <v/>
      </c>
      <c r="L128" s="4" t="str">
        <f>'Form responses 1'!F130</f>
        <v/>
      </c>
      <c r="M128" s="4" t="str">
        <f>'Form responses 1'!U130</f>
        <v>Ali firoz</v>
      </c>
      <c r="N128" s="4">
        <f>'Form responses 1'!V130</f>
        <v>9769343996</v>
      </c>
      <c r="O128" s="4" t="str">
        <f>'Form responses 1'!W130</f>
        <v>N/a</v>
      </c>
      <c r="P128" s="4" t="str">
        <f>'Form responses 1'!X130</f>
        <v/>
      </c>
      <c r="Q128" s="4" t="str">
        <f>'Form responses 1'!Y130</f>
        <v/>
      </c>
      <c r="R128" s="4" t="str">
        <f>'Form responses 1'!Z130</f>
        <v/>
      </c>
      <c r="S128" s="4" t="str">
        <f>'Form responses 1'!AC130</f>
        <v/>
      </c>
      <c r="T128" s="4" t="str">
        <f>'Form responses 1'!AE130</f>
        <v/>
      </c>
      <c r="U128" s="4" t="str">
        <f>'Form responses 1'!AG130</f>
        <v/>
      </c>
      <c r="V128" s="4" t="str">
        <f>'Form responses 1'!AI130</f>
        <v/>
      </c>
      <c r="W128" s="4" t="str">
        <f>'Form responses 1'!AJ130</f>
        <v/>
      </c>
      <c r="X128" s="4" t="str">
        <f>'Form responses 1'!AK130</f>
        <v/>
      </c>
      <c r="Y128" s="4">
        <f t="shared" ref="Y128:AD128" si="127">if(S128&gt;0,1,0)</f>
        <v>0</v>
      </c>
      <c r="Z128" s="4">
        <f t="shared" si="127"/>
        <v>0</v>
      </c>
      <c r="AA128" s="4">
        <f t="shared" si="127"/>
        <v>0</v>
      </c>
      <c r="AB128" s="4">
        <f t="shared" si="127"/>
        <v>0</v>
      </c>
      <c r="AC128" s="4">
        <f t="shared" si="127"/>
        <v>0</v>
      </c>
      <c r="AD128" s="4">
        <f t="shared" si="127"/>
        <v>0</v>
      </c>
      <c r="AE128" s="4" t="str">
        <f>'Form responses 1'!AN130</f>
        <v/>
      </c>
      <c r="AF128" s="4" t="str">
        <f>'Form responses 1'!AO130</f>
        <v/>
      </c>
      <c r="AG128" s="4" t="str">
        <f>'Form responses 1'!AP130</f>
        <v/>
      </c>
      <c r="AH128" s="4" t="str">
        <f>'Form responses 1'!AQ130</f>
        <v/>
      </c>
      <c r="AI128" s="4" t="str">
        <f>'Form responses 1'!AR130</f>
        <v/>
      </c>
    </row>
    <row r="129">
      <c r="A129" s="26">
        <f>'Form responses 1'!B131</f>
        <v>46063</v>
      </c>
      <c r="B129" s="4" t="str">
        <f>'Form responses 1'!AZ131</f>
        <v>madhumitha.sonnakula@capsdelivery.com</v>
      </c>
      <c r="C129" s="4" t="str">
        <f>'Form responses 1'!BR131</f>
        <v>krishnapatanam </v>
      </c>
      <c r="D129" s="4" t="str">
        <f>'Form responses 1'!AT131</f>
        <v/>
      </c>
      <c r="E129" s="4" t="str">
        <f>'Form responses 1'!AU131</f>
        <v>Yes</v>
      </c>
      <c r="F129" s="4" t="str">
        <f>'Form responses 1'!AX131</f>
        <v/>
      </c>
      <c r="G129" s="4" t="str">
        <f>'Form responses 1'!AY131</f>
        <v/>
      </c>
      <c r="H129" s="53" t="str">
        <f>'Form responses 1'!AW131</f>
        <v/>
      </c>
      <c r="I129" s="4" t="str">
        <f>'Form responses 1'!AS131</f>
        <v/>
      </c>
      <c r="J129" s="4" t="str">
        <f>'Form responses 1'!J131</f>
        <v/>
      </c>
      <c r="K129" s="4" t="str">
        <f>'Form responses 1'!G131</f>
        <v/>
      </c>
      <c r="L129" s="4" t="str">
        <f>'Form responses 1'!F131</f>
        <v/>
      </c>
      <c r="M129" s="4" t="str">
        <f>'Form responses 1'!U131</f>
        <v>vinod</v>
      </c>
      <c r="N129" s="4">
        <f>'Form responses 1'!V131</f>
        <v>7337001104</v>
      </c>
      <c r="O129" s="4" t="str">
        <f>'Form responses 1'!W131</f>
        <v>na</v>
      </c>
      <c r="P129" s="4" t="str">
        <f>'Form responses 1'!X131</f>
        <v/>
      </c>
      <c r="Q129" s="4" t="str">
        <f>'Form responses 1'!Y131</f>
        <v/>
      </c>
      <c r="R129" s="4" t="str">
        <f>'Form responses 1'!Z131</f>
        <v/>
      </c>
      <c r="S129" s="4" t="str">
        <f>'Form responses 1'!AC131</f>
        <v/>
      </c>
      <c r="T129" s="4" t="str">
        <f>'Form responses 1'!AE131</f>
        <v/>
      </c>
      <c r="U129" s="4" t="str">
        <f>'Form responses 1'!AG131</f>
        <v/>
      </c>
      <c r="V129" s="4" t="str">
        <f>'Form responses 1'!AI131</f>
        <v/>
      </c>
      <c r="W129" s="4" t="str">
        <f>'Form responses 1'!AJ131</f>
        <v/>
      </c>
      <c r="X129" s="4" t="str">
        <f>'Form responses 1'!AK131</f>
        <v/>
      </c>
      <c r="Y129" s="4">
        <f t="shared" ref="Y129:AD129" si="128">if(S129&gt;0,1,0)</f>
        <v>0</v>
      </c>
      <c r="Z129" s="4">
        <f t="shared" si="128"/>
        <v>0</v>
      </c>
      <c r="AA129" s="4">
        <f t="shared" si="128"/>
        <v>0</v>
      </c>
      <c r="AB129" s="4">
        <f t="shared" si="128"/>
        <v>0</v>
      </c>
      <c r="AC129" s="4">
        <f t="shared" si="128"/>
        <v>0</v>
      </c>
      <c r="AD129" s="4">
        <f t="shared" si="128"/>
        <v>0</v>
      </c>
      <c r="AE129" s="4" t="str">
        <f>'Form responses 1'!AN131</f>
        <v/>
      </c>
      <c r="AF129" s="4" t="str">
        <f>'Form responses 1'!AO131</f>
        <v/>
      </c>
      <c r="AG129" s="4" t="str">
        <f>'Form responses 1'!AP131</f>
        <v/>
      </c>
      <c r="AH129" s="4" t="str">
        <f>'Form responses 1'!AQ131</f>
        <v/>
      </c>
      <c r="AI129" s="4" t="str">
        <f>'Form responses 1'!AR131</f>
        <v/>
      </c>
    </row>
    <row r="130">
      <c r="A130" s="26">
        <f>'Form responses 1'!B132</f>
        <v>46063</v>
      </c>
      <c r="B130" s="4" t="str">
        <f>'Form responses 1'!AZ132</f>
        <v>madhumitha.sonnakula@capsdelivery.com</v>
      </c>
      <c r="C130" s="4" t="str">
        <f>'Form responses 1'!BR132</f>
        <v>president dhaba</v>
      </c>
      <c r="D130" s="4" t="str">
        <f>'Form responses 1'!AT132</f>
        <v/>
      </c>
      <c r="E130" s="4" t="str">
        <f>'Form responses 1'!AU132</f>
        <v>Yes</v>
      </c>
      <c r="F130" s="4" t="str">
        <f>'Form responses 1'!AX132</f>
        <v/>
      </c>
      <c r="G130" s="4" t="str">
        <f>'Form responses 1'!AY132</f>
        <v/>
      </c>
      <c r="H130" s="53" t="str">
        <f>'Form responses 1'!AW132</f>
        <v/>
      </c>
      <c r="I130" s="4" t="str">
        <f>'Form responses 1'!AS132</f>
        <v/>
      </c>
      <c r="J130" s="4" t="str">
        <f>'Form responses 1'!J132</f>
        <v>Tier-1(AOV&gt;400)</v>
      </c>
      <c r="K130" s="4">
        <f>'Form responses 1'!G132</f>
        <v>1000</v>
      </c>
      <c r="L130" s="4">
        <f>'Form responses 1'!F132</f>
        <v>250</v>
      </c>
      <c r="M130" s="4" t="str">
        <f>'Form responses 1'!U132</f>
        <v>vinod</v>
      </c>
      <c r="N130" s="4">
        <f>'Form responses 1'!V132</f>
        <v>7337001104</v>
      </c>
      <c r="O130" s="4" t="str">
        <f>'Form responses 1'!W132</f>
        <v>na</v>
      </c>
      <c r="P130" s="4" t="str">
        <f>'Form responses 1'!X132</f>
        <v/>
      </c>
      <c r="Q130" s="4" t="str">
        <f>'Form responses 1'!Y132</f>
        <v/>
      </c>
      <c r="R130" s="4" t="str">
        <f>'Form responses 1'!Z132</f>
        <v/>
      </c>
      <c r="S130" s="4" t="str">
        <f>'Form responses 1'!AC132</f>
        <v/>
      </c>
      <c r="T130" s="4" t="str">
        <f>'Form responses 1'!AE132</f>
        <v/>
      </c>
      <c r="U130" s="4" t="str">
        <f>'Form responses 1'!AG132</f>
        <v/>
      </c>
      <c r="V130" s="4" t="str">
        <f>'Form responses 1'!AI132</f>
        <v/>
      </c>
      <c r="W130" s="4" t="str">
        <f>'Form responses 1'!AJ132</f>
        <v/>
      </c>
      <c r="X130" s="4" t="str">
        <f>'Form responses 1'!AK132</f>
        <v/>
      </c>
      <c r="Y130" s="4">
        <f t="shared" ref="Y130:AD130" si="129">if(S130&gt;0,1,0)</f>
        <v>0</v>
      </c>
      <c r="Z130" s="4">
        <f t="shared" si="129"/>
        <v>0</v>
      </c>
      <c r="AA130" s="4">
        <f t="shared" si="129"/>
        <v>0</v>
      </c>
      <c r="AB130" s="4">
        <f t="shared" si="129"/>
        <v>0</v>
      </c>
      <c r="AC130" s="4">
        <f t="shared" si="129"/>
        <v>0</v>
      </c>
      <c r="AD130" s="4">
        <f t="shared" si="129"/>
        <v>0</v>
      </c>
      <c r="AE130" s="4" t="str">
        <f>'Form responses 1'!AN132</f>
        <v/>
      </c>
      <c r="AF130" s="4" t="str">
        <f>'Form responses 1'!AO132</f>
        <v/>
      </c>
      <c r="AG130" s="4" t="str">
        <f>'Form responses 1'!AP132</f>
        <v/>
      </c>
      <c r="AH130" s="4" t="str">
        <f>'Form responses 1'!AQ132</f>
        <v/>
      </c>
      <c r="AI130" s="4" t="str">
        <f>'Form responses 1'!AR132</f>
        <v/>
      </c>
    </row>
    <row r="131">
      <c r="A131" s="26">
        <f>'Form responses 1'!B133</f>
        <v>46063</v>
      </c>
      <c r="B131" s="4" t="str">
        <f>'Form responses 1'!AZ133</f>
        <v>madhumitha.sonnakula@capsdelivery.com</v>
      </c>
      <c r="C131" s="4" t="str">
        <f>'Form responses 1'!BR133</f>
        <v>my froyo land</v>
      </c>
      <c r="D131" s="4" t="str">
        <f>'Form responses 1'!AT133</f>
        <v/>
      </c>
      <c r="E131" s="4" t="str">
        <f>'Form responses 1'!AU133</f>
        <v>Yes</v>
      </c>
      <c r="F131" s="26">
        <f>'Form responses 1'!AX133</f>
        <v>46064</v>
      </c>
      <c r="G131" s="52">
        <f>'Form responses 1'!AY133</f>
        <v>0.5</v>
      </c>
      <c r="H131" s="53" t="str">
        <f>'Form responses 1'!AW133</f>
        <v/>
      </c>
      <c r="I131" s="4" t="str">
        <f>'Form responses 1'!AS133</f>
        <v/>
      </c>
      <c r="J131" s="4" t="str">
        <f>'Form responses 1'!J133</f>
        <v>Tier-1(AOV&gt;400)</v>
      </c>
      <c r="K131" s="4">
        <f>'Form responses 1'!G133</f>
        <v>400</v>
      </c>
      <c r="L131" s="4">
        <f>'Form responses 1'!F133</f>
        <v>25</v>
      </c>
      <c r="M131" s="4" t="str">
        <f>'Form responses 1'!U133</f>
        <v>kajal</v>
      </c>
      <c r="N131" s="4">
        <f>'Form responses 1'!V133</f>
        <v>9172541254</v>
      </c>
      <c r="O131" s="4" t="str">
        <f>'Form responses 1'!W133</f>
        <v>na</v>
      </c>
      <c r="P131" s="4" t="str">
        <f>'Form responses 1'!X133</f>
        <v/>
      </c>
      <c r="Q131" s="4" t="str">
        <f>'Form responses 1'!Y133</f>
        <v/>
      </c>
      <c r="R131" s="4" t="str">
        <f>'Form responses 1'!Z133</f>
        <v/>
      </c>
      <c r="S131" s="4" t="str">
        <f>'Form responses 1'!AC133</f>
        <v/>
      </c>
      <c r="T131" s="4" t="str">
        <f>'Form responses 1'!AE133</f>
        <v/>
      </c>
      <c r="U131" s="4" t="str">
        <f>'Form responses 1'!AG133</f>
        <v/>
      </c>
      <c r="V131" s="4" t="str">
        <f>'Form responses 1'!AI133</f>
        <v/>
      </c>
      <c r="W131" s="4" t="str">
        <f>'Form responses 1'!AJ133</f>
        <v/>
      </c>
      <c r="X131" s="4" t="str">
        <f>'Form responses 1'!AK133</f>
        <v/>
      </c>
      <c r="Y131" s="4">
        <f t="shared" ref="Y131:AD131" si="130">if(S131&gt;0,1,0)</f>
        <v>0</v>
      </c>
      <c r="Z131" s="4">
        <f t="shared" si="130"/>
        <v>0</v>
      </c>
      <c r="AA131" s="4">
        <f t="shared" si="130"/>
        <v>0</v>
      </c>
      <c r="AB131" s="4">
        <f t="shared" si="130"/>
        <v>0</v>
      </c>
      <c r="AC131" s="4">
        <f t="shared" si="130"/>
        <v>0</v>
      </c>
      <c r="AD131" s="4">
        <f t="shared" si="130"/>
        <v>0</v>
      </c>
      <c r="AE131" s="4" t="str">
        <f>'Form responses 1'!AN133</f>
        <v/>
      </c>
      <c r="AF131" s="4" t="str">
        <f>'Form responses 1'!AO133</f>
        <v/>
      </c>
      <c r="AG131" s="4" t="str">
        <f>'Form responses 1'!AP133</f>
        <v/>
      </c>
      <c r="AH131" s="4" t="str">
        <f>'Form responses 1'!AQ133</f>
        <v/>
      </c>
      <c r="AI131" s="4" t="str">
        <f>'Form responses 1'!AR133</f>
        <v/>
      </c>
    </row>
    <row r="132">
      <c r="A132" s="26">
        <f>'Form responses 1'!B134</f>
        <v>46063</v>
      </c>
      <c r="B132" s="4" t="str">
        <f>'Form responses 1'!AZ134</f>
        <v>ankitha.baske@capsdelivery.com</v>
      </c>
      <c r="C132" s="4" t="str">
        <f>'Form responses 1'!BR134</f>
        <v>California Burrito </v>
      </c>
      <c r="D132" s="4" t="str">
        <f>'Form responses 1'!AT134</f>
        <v/>
      </c>
      <c r="E132" s="4" t="str">
        <f>'Form responses 1'!AU134</f>
        <v>Yes</v>
      </c>
      <c r="F132" s="4" t="str">
        <f>'Form responses 1'!AX134</f>
        <v/>
      </c>
      <c r="G132" s="4" t="str">
        <f>'Form responses 1'!AY134</f>
        <v/>
      </c>
      <c r="H132" s="53" t="str">
        <f>'Form responses 1'!AW134</f>
        <v>We need contact with Marketing team</v>
      </c>
      <c r="I132" s="4" t="str">
        <f>'Form responses 1'!AS134</f>
        <v/>
      </c>
      <c r="J132" s="4" t="str">
        <f>'Form responses 1'!J134</f>
        <v>Tier-2 (AOV &lt;400)</v>
      </c>
      <c r="K132" s="4">
        <f>'Form responses 1'!G134</f>
        <v>230</v>
      </c>
      <c r="L132" s="4">
        <f>'Form responses 1'!F134</f>
        <v>80</v>
      </c>
      <c r="M132" s="4">
        <f>'Form responses 1'!U134</f>
        <v>7003636640</v>
      </c>
      <c r="N132" s="4" t="str">
        <f>'Form responses 1'!V134</f>
        <v>Surjith</v>
      </c>
      <c r="O132" s="4" t="str">
        <f>'Form responses 1'!W134</f>
        <v>NA</v>
      </c>
      <c r="P132" s="4" t="str">
        <f>'Form responses 1'!X134</f>
        <v>Rithik</v>
      </c>
      <c r="Q132" s="4">
        <f>'Form responses 1'!Y134</f>
        <v>8847805035</v>
      </c>
      <c r="R132" s="4" t="str">
        <f>'Form responses 1'!Z134</f>
        <v/>
      </c>
      <c r="S132" s="4" t="str">
        <f>'Form responses 1'!AC134</f>
        <v/>
      </c>
      <c r="T132" s="4" t="str">
        <f>'Form responses 1'!AE134</f>
        <v/>
      </c>
      <c r="U132" s="4" t="str">
        <f>'Form responses 1'!AG134</f>
        <v/>
      </c>
      <c r="V132" s="4" t="str">
        <f>'Form responses 1'!AI134</f>
        <v/>
      </c>
      <c r="W132" s="4" t="str">
        <f>'Form responses 1'!AJ134</f>
        <v/>
      </c>
      <c r="X132" s="4" t="str">
        <f>'Form responses 1'!AK134</f>
        <v/>
      </c>
      <c r="Y132" s="4">
        <f t="shared" ref="Y132:AD132" si="131">if(S132&gt;0,1,0)</f>
        <v>0</v>
      </c>
      <c r="Z132" s="4">
        <f t="shared" si="131"/>
        <v>0</v>
      </c>
      <c r="AA132" s="4">
        <f t="shared" si="131"/>
        <v>0</v>
      </c>
      <c r="AB132" s="4">
        <f t="shared" si="131"/>
        <v>0</v>
      </c>
      <c r="AC132" s="4">
        <f t="shared" si="131"/>
        <v>0</v>
      </c>
      <c r="AD132" s="4">
        <f t="shared" si="131"/>
        <v>0</v>
      </c>
      <c r="AE132" s="4" t="str">
        <f>'Form responses 1'!AN134</f>
        <v/>
      </c>
      <c r="AF132" s="4" t="str">
        <f>'Form responses 1'!AO134</f>
        <v/>
      </c>
      <c r="AG132" s="4" t="str">
        <f>'Form responses 1'!AP134</f>
        <v/>
      </c>
      <c r="AH132" s="4" t="str">
        <f>'Form responses 1'!AQ134</f>
        <v/>
      </c>
      <c r="AI132" s="4" t="str">
        <f>'Form responses 1'!AR134</f>
        <v/>
      </c>
    </row>
    <row r="133">
      <c r="A133" s="26">
        <f>'Form responses 1'!B135</f>
        <v>46063</v>
      </c>
      <c r="B133" s="4" t="str">
        <f>'Form responses 1'!AZ135</f>
        <v>ankitha.baske@capsdelivery.com</v>
      </c>
      <c r="C133" s="4" t="str">
        <f>'Form responses 1'!BR135</f>
        <v/>
      </c>
      <c r="D133" s="4" t="str">
        <f>'Form responses 1'!AT135</f>
        <v/>
      </c>
      <c r="E133" s="4" t="str">
        <f>'Form responses 1'!AU135</f>
        <v>Yes</v>
      </c>
      <c r="F133" s="4" t="str">
        <f>'Form responses 1'!AX135</f>
        <v/>
      </c>
      <c r="G133" s="4" t="str">
        <f>'Form responses 1'!AY135</f>
        <v/>
      </c>
      <c r="H133" s="53" t="str">
        <f>'Form responses 1'!AW135</f>
        <v>In Tolichowki tha manager will be there</v>
      </c>
      <c r="I133" s="4" t="str">
        <f>'Form responses 1'!AS135</f>
        <v/>
      </c>
      <c r="J133" s="4" t="str">
        <f>'Form responses 1'!J135</f>
        <v/>
      </c>
      <c r="K133" s="4" t="str">
        <f>'Form responses 1'!G135</f>
        <v/>
      </c>
      <c r="L133" s="4" t="str">
        <f>'Form responses 1'!F135</f>
        <v/>
      </c>
      <c r="M133" s="4" t="str">
        <f>'Form responses 1'!U135</f>
        <v>NA</v>
      </c>
      <c r="N133" s="4" t="str">
        <f>'Form responses 1'!V135</f>
        <v>NA</v>
      </c>
      <c r="O133" s="4" t="str">
        <f>'Form responses 1'!W135</f>
        <v>NA</v>
      </c>
      <c r="P133" s="4" t="str">
        <f>'Form responses 1'!X135</f>
        <v/>
      </c>
      <c r="Q133" s="4" t="str">
        <f>'Form responses 1'!Y135</f>
        <v/>
      </c>
      <c r="R133" s="4" t="str">
        <f>'Form responses 1'!Z135</f>
        <v/>
      </c>
      <c r="S133" s="4" t="str">
        <f>'Form responses 1'!AC135</f>
        <v/>
      </c>
      <c r="T133" s="4" t="str">
        <f>'Form responses 1'!AE135</f>
        <v/>
      </c>
      <c r="U133" s="4" t="str">
        <f>'Form responses 1'!AG135</f>
        <v/>
      </c>
      <c r="V133" s="4" t="str">
        <f>'Form responses 1'!AI135</f>
        <v/>
      </c>
      <c r="W133" s="4" t="str">
        <f>'Form responses 1'!AJ135</f>
        <v/>
      </c>
      <c r="X133" s="4" t="str">
        <f>'Form responses 1'!AK135</f>
        <v/>
      </c>
      <c r="Y133" s="4">
        <f t="shared" ref="Y133:AD133" si="132">if(S133&gt;0,1,0)</f>
        <v>0</v>
      </c>
      <c r="Z133" s="4">
        <f t="shared" si="132"/>
        <v>0</v>
      </c>
      <c r="AA133" s="4">
        <f t="shared" si="132"/>
        <v>0</v>
      </c>
      <c r="AB133" s="4">
        <f t="shared" si="132"/>
        <v>0</v>
      </c>
      <c r="AC133" s="4">
        <f t="shared" si="132"/>
        <v>0</v>
      </c>
      <c r="AD133" s="4">
        <f t="shared" si="132"/>
        <v>0</v>
      </c>
      <c r="AE133" s="4" t="str">
        <f>'Form responses 1'!AN135</f>
        <v/>
      </c>
      <c r="AF133" s="4" t="str">
        <f>'Form responses 1'!AO135</f>
        <v/>
      </c>
      <c r="AG133" s="4" t="str">
        <f>'Form responses 1'!AP135</f>
        <v/>
      </c>
      <c r="AH133" s="4" t="str">
        <f>'Form responses 1'!AQ135</f>
        <v/>
      </c>
      <c r="AI133" s="4" t="str">
        <f>'Form responses 1'!AR135</f>
        <v/>
      </c>
    </row>
    <row r="134">
      <c r="A134" s="26">
        <f>'Form responses 1'!B136</f>
        <v>46063</v>
      </c>
      <c r="B134" s="4" t="str">
        <f>'Form responses 1'!AZ136</f>
        <v>manasa.chigurupati@capsdelivery.com</v>
      </c>
      <c r="C134" s="4" t="str">
        <f>'Form responses 1'!BR136</f>
        <v>Rayalaseema Ruchulu </v>
      </c>
      <c r="D134" s="4" t="str">
        <f>'Form responses 1'!AT136</f>
        <v/>
      </c>
      <c r="E134" s="4" t="str">
        <f>'Form responses 1'!AU136</f>
        <v>Yes</v>
      </c>
      <c r="F134" s="4" t="str">
        <f>'Form responses 1'!AX136</f>
        <v/>
      </c>
      <c r="G134" s="4" t="str">
        <f>'Form responses 1'!AY136</f>
        <v/>
      </c>
      <c r="H134" s="53" t="str">
        <f>'Form responses 1'!AW136</f>
        <v>Commisions</v>
      </c>
      <c r="I134" s="4" t="str">
        <f>'Form responses 1'!AS136</f>
        <v/>
      </c>
      <c r="J134" s="4" t="str">
        <f>'Form responses 1'!J136</f>
        <v>Tier-1(AOV&gt;400)</v>
      </c>
      <c r="K134" s="4">
        <f>'Form responses 1'!G136</f>
        <v>600</v>
      </c>
      <c r="L134" s="4">
        <f>'Form responses 1'!F136</f>
        <v>120</v>
      </c>
      <c r="M134" s="4" t="str">
        <f>'Form responses 1'!U136</f>
        <v>Rajini </v>
      </c>
      <c r="N134" s="4">
        <f>'Form responses 1'!V136</f>
        <v>9959020310</v>
      </c>
      <c r="O134" s="4" t="str">
        <f>'Form responses 1'!W136</f>
        <v>Info@rayalaseemaruchulu.com</v>
      </c>
      <c r="P134" s="4" t="str">
        <f>'Form responses 1'!X136</f>
        <v/>
      </c>
      <c r="Q134" s="4" t="str">
        <f>'Form responses 1'!Y136</f>
        <v/>
      </c>
      <c r="R134" s="4" t="str">
        <f>'Form responses 1'!Z136</f>
        <v/>
      </c>
      <c r="S134" s="4" t="str">
        <f>'Form responses 1'!AC136</f>
        <v/>
      </c>
      <c r="T134" s="4" t="str">
        <f>'Form responses 1'!AE136</f>
        <v/>
      </c>
      <c r="U134" s="4" t="str">
        <f>'Form responses 1'!AG136</f>
        <v/>
      </c>
      <c r="V134" s="4" t="str">
        <f>'Form responses 1'!AI136</f>
        <v/>
      </c>
      <c r="W134" s="4" t="str">
        <f>'Form responses 1'!AJ136</f>
        <v/>
      </c>
      <c r="X134" s="4" t="str">
        <f>'Form responses 1'!AK136</f>
        <v/>
      </c>
      <c r="Y134" s="4">
        <f t="shared" ref="Y134:AD134" si="133">if(S134&gt;0,1,0)</f>
        <v>0</v>
      </c>
      <c r="Z134" s="4">
        <f t="shared" si="133"/>
        <v>0</v>
      </c>
      <c r="AA134" s="4">
        <f t="shared" si="133"/>
        <v>0</v>
      </c>
      <c r="AB134" s="4">
        <f t="shared" si="133"/>
        <v>0</v>
      </c>
      <c r="AC134" s="4">
        <f t="shared" si="133"/>
        <v>0</v>
      </c>
      <c r="AD134" s="4">
        <f t="shared" si="133"/>
        <v>0</v>
      </c>
      <c r="AE134" s="4" t="str">
        <f>'Form responses 1'!AN136</f>
        <v/>
      </c>
      <c r="AF134" s="4" t="str">
        <f>'Form responses 1'!AO136</f>
        <v/>
      </c>
      <c r="AG134" s="4" t="str">
        <f>'Form responses 1'!AP136</f>
        <v/>
      </c>
      <c r="AH134" s="4" t="str">
        <f>'Form responses 1'!AQ136</f>
        <v/>
      </c>
      <c r="AI134" s="4" t="str">
        <f>'Form responses 1'!AR136</f>
        <v/>
      </c>
    </row>
    <row r="135">
      <c r="A135" s="26">
        <f>'Form responses 1'!B137</f>
        <v>46063</v>
      </c>
      <c r="B135" s="4" t="str">
        <f>'Form responses 1'!AZ137</f>
        <v>ankitha.baske@capsdelivery.com</v>
      </c>
      <c r="C135" s="4" t="str">
        <f>'Form responses 1'!BR137</f>
        <v>Rayalaseema spice </v>
      </c>
      <c r="D135" s="4" t="str">
        <f>'Form responses 1'!AT137</f>
        <v/>
      </c>
      <c r="E135" s="4" t="str">
        <f>'Form responses 1'!AU137</f>
        <v>Yes</v>
      </c>
      <c r="F135" s="4" t="str">
        <f>'Form responses 1'!AX137</f>
        <v/>
      </c>
      <c r="G135" s="4" t="str">
        <f>'Form responses 1'!AY137</f>
        <v/>
      </c>
      <c r="H135" s="53" t="str">
        <f>'Form responses 1'!AW137</f>
        <v/>
      </c>
      <c r="I135" s="4" t="str">
        <f>'Form responses 1'!AS137</f>
        <v/>
      </c>
      <c r="J135" s="4" t="str">
        <f>'Form responses 1'!J137</f>
        <v>Tier-1(AOV&gt;400)</v>
      </c>
      <c r="K135" s="4">
        <f>'Form responses 1'!G137</f>
        <v>500</v>
      </c>
      <c r="L135" s="4">
        <f>'Form responses 1'!F137</f>
        <v>80</v>
      </c>
      <c r="M135" s="4" t="str">
        <f>'Form responses 1'!U137</f>
        <v>Narsigin Rao</v>
      </c>
      <c r="N135" s="4">
        <f>'Form responses 1'!V137</f>
        <v>7075777491</v>
      </c>
      <c r="O135" s="4" t="str">
        <f>'Form responses 1'!W137</f>
        <v>NA</v>
      </c>
      <c r="P135" s="4" t="str">
        <f>'Form responses 1'!X137</f>
        <v/>
      </c>
      <c r="Q135" s="4" t="str">
        <f>'Form responses 1'!Y137</f>
        <v/>
      </c>
      <c r="R135" s="4" t="str">
        <f>'Form responses 1'!Z137</f>
        <v/>
      </c>
      <c r="S135" s="4" t="str">
        <f>'Form responses 1'!AC137</f>
        <v/>
      </c>
      <c r="T135" s="4" t="str">
        <f>'Form responses 1'!AE137</f>
        <v/>
      </c>
      <c r="U135" s="4" t="str">
        <f>'Form responses 1'!AG137</f>
        <v/>
      </c>
      <c r="V135" s="4" t="str">
        <f>'Form responses 1'!AI137</f>
        <v/>
      </c>
      <c r="W135" s="4" t="str">
        <f>'Form responses 1'!AJ137</f>
        <v/>
      </c>
      <c r="X135" s="4" t="str">
        <f>'Form responses 1'!AK137</f>
        <v/>
      </c>
      <c r="Y135" s="4">
        <f t="shared" ref="Y135:AD135" si="134">if(S135&gt;0,1,0)</f>
        <v>0</v>
      </c>
      <c r="Z135" s="4">
        <f t="shared" si="134"/>
        <v>0</v>
      </c>
      <c r="AA135" s="4">
        <f t="shared" si="134"/>
        <v>0</v>
      </c>
      <c r="AB135" s="4">
        <f t="shared" si="134"/>
        <v>0</v>
      </c>
      <c r="AC135" s="4">
        <f t="shared" si="134"/>
        <v>0</v>
      </c>
      <c r="AD135" s="4">
        <f t="shared" si="134"/>
        <v>0</v>
      </c>
      <c r="AE135" s="4" t="str">
        <f>'Form responses 1'!AN137</f>
        <v/>
      </c>
      <c r="AF135" s="4" t="str">
        <f>'Form responses 1'!AO137</f>
        <v/>
      </c>
      <c r="AG135" s="4" t="str">
        <f>'Form responses 1'!AP137</f>
        <v/>
      </c>
      <c r="AH135" s="4" t="str">
        <f>'Form responses 1'!AQ137</f>
        <v/>
      </c>
      <c r="AI135" s="4" t="str">
        <f>'Form responses 1'!AR137</f>
        <v/>
      </c>
    </row>
    <row r="136">
      <c r="A136" s="26">
        <f>'Form responses 1'!B138</f>
        <v>46063</v>
      </c>
      <c r="B136" s="4" t="str">
        <f>'Form responses 1'!AZ138</f>
        <v>greeshma.vanneldas@capsdelivery.com</v>
      </c>
      <c r="C136" s="4" t="str">
        <f>'Form responses 1'!BR138</f>
        <v/>
      </c>
      <c r="D136" s="4" t="str">
        <f>'Form responses 1'!AT138</f>
        <v/>
      </c>
      <c r="E136" s="4" t="str">
        <f>'Form responses 1'!AU138</f>
        <v>Yes</v>
      </c>
      <c r="F136" s="4" t="str">
        <f>'Form responses 1'!AX138</f>
        <v/>
      </c>
      <c r="G136" s="4" t="str">
        <f>'Form responses 1'!AY138</f>
        <v/>
      </c>
      <c r="H136" s="53" t="str">
        <f>'Form responses 1'!AW138</f>
        <v>It has 35outlets and manager will be available after 19:00pm in outlet </v>
      </c>
      <c r="I136" s="4" t="str">
        <f>'Form responses 1'!AS138</f>
        <v/>
      </c>
      <c r="J136" s="4" t="str">
        <f>'Form responses 1'!J138</f>
        <v/>
      </c>
      <c r="K136" s="4" t="str">
        <f>'Form responses 1'!G138</f>
        <v/>
      </c>
      <c r="L136" s="4" t="str">
        <f>'Form responses 1'!F138</f>
        <v/>
      </c>
      <c r="M136" s="4" t="str">
        <f>'Form responses 1'!U138</f>
        <v>Srinu</v>
      </c>
      <c r="N136" s="4">
        <f>'Form responses 1'!V138</f>
        <v>9959160354</v>
      </c>
      <c r="O136" s="4" t="str">
        <f>'Form responses 1'!W138</f>
        <v>N/a</v>
      </c>
      <c r="P136" s="4" t="str">
        <f>'Form responses 1'!X138</f>
        <v/>
      </c>
      <c r="Q136" s="4" t="str">
        <f>'Form responses 1'!Y138</f>
        <v/>
      </c>
      <c r="R136" s="4" t="str">
        <f>'Form responses 1'!Z138</f>
        <v/>
      </c>
      <c r="S136" s="4" t="str">
        <f>'Form responses 1'!AC138</f>
        <v/>
      </c>
      <c r="T136" s="4" t="str">
        <f>'Form responses 1'!AE138</f>
        <v/>
      </c>
      <c r="U136" s="4" t="str">
        <f>'Form responses 1'!AG138</f>
        <v/>
      </c>
      <c r="V136" s="4" t="str">
        <f>'Form responses 1'!AI138</f>
        <v/>
      </c>
      <c r="W136" s="4" t="str">
        <f>'Form responses 1'!AJ138</f>
        <v/>
      </c>
      <c r="X136" s="4" t="str">
        <f>'Form responses 1'!AK138</f>
        <v/>
      </c>
      <c r="Y136" s="4">
        <f t="shared" ref="Y136:AD136" si="135">if(S136&gt;0,1,0)</f>
        <v>0</v>
      </c>
      <c r="Z136" s="4">
        <f t="shared" si="135"/>
        <v>0</v>
      </c>
      <c r="AA136" s="4">
        <f t="shared" si="135"/>
        <v>0</v>
      </c>
      <c r="AB136" s="4">
        <f t="shared" si="135"/>
        <v>0</v>
      </c>
      <c r="AC136" s="4">
        <f t="shared" si="135"/>
        <v>0</v>
      </c>
      <c r="AD136" s="4">
        <f t="shared" si="135"/>
        <v>0</v>
      </c>
      <c r="AE136" s="4" t="str">
        <f>'Form responses 1'!AN138</f>
        <v/>
      </c>
      <c r="AF136" s="4" t="str">
        <f>'Form responses 1'!AO138</f>
        <v/>
      </c>
      <c r="AG136" s="4" t="str">
        <f>'Form responses 1'!AP138</f>
        <v/>
      </c>
      <c r="AH136" s="4" t="str">
        <f>'Form responses 1'!AQ138</f>
        <v/>
      </c>
      <c r="AI136" s="4" t="str">
        <f>'Form responses 1'!AR138</f>
        <v/>
      </c>
    </row>
    <row r="137">
      <c r="A137" s="26">
        <f>'Form responses 1'!B139</f>
        <v>46063</v>
      </c>
      <c r="B137" s="4" t="str">
        <f>'Form responses 1'!AZ139</f>
        <v>greeshma.vanneldas@capsdelivery.com</v>
      </c>
      <c r="C137" s="4" t="str">
        <f>'Form responses 1'!BR139</f>
        <v>Kake di hatti</v>
      </c>
      <c r="D137" s="4" t="str">
        <f>'Form responses 1'!AT139</f>
        <v/>
      </c>
      <c r="E137" s="4" t="str">
        <f>'Form responses 1'!AU139</f>
        <v>Yes</v>
      </c>
      <c r="F137" s="4" t="str">
        <f>'Form responses 1'!AX139</f>
        <v/>
      </c>
      <c r="G137" s="4" t="str">
        <f>'Form responses 1'!AY139</f>
        <v/>
      </c>
      <c r="H137" s="53" t="str">
        <f>'Form responses 1'!AW139</f>
        <v>Owner will be available after 21:00Pm in the restaurant(Kondapur)</v>
      </c>
      <c r="I137" s="4" t="str">
        <f>'Form responses 1'!AS139</f>
        <v/>
      </c>
      <c r="J137" s="4" t="str">
        <f>'Form responses 1'!J139</f>
        <v>Tier-1(AOV&gt;400)</v>
      </c>
      <c r="K137" s="4">
        <f>'Form responses 1'!G139</f>
        <v>500</v>
      </c>
      <c r="L137" s="4">
        <f>'Form responses 1'!F139</f>
        <v>120</v>
      </c>
      <c r="M137" s="4" t="str">
        <f>'Form responses 1'!U139</f>
        <v>Prabhakar</v>
      </c>
      <c r="N137" s="4">
        <f>'Form responses 1'!V139</f>
        <v>9140523292</v>
      </c>
      <c r="O137" s="4" t="str">
        <f>'Form responses 1'!W139</f>
        <v>Na</v>
      </c>
      <c r="P137" s="4" t="str">
        <f>'Form responses 1'!X139</f>
        <v/>
      </c>
      <c r="Q137" s="4" t="str">
        <f>'Form responses 1'!Y139</f>
        <v/>
      </c>
      <c r="R137" s="4" t="str">
        <f>'Form responses 1'!Z139</f>
        <v/>
      </c>
      <c r="S137" s="4" t="str">
        <f>'Form responses 1'!AC139</f>
        <v/>
      </c>
      <c r="T137" s="4" t="str">
        <f>'Form responses 1'!AE139</f>
        <v/>
      </c>
      <c r="U137" s="4" t="str">
        <f>'Form responses 1'!AG139</f>
        <v/>
      </c>
      <c r="V137" s="4" t="str">
        <f>'Form responses 1'!AI139</f>
        <v/>
      </c>
      <c r="W137" s="4" t="str">
        <f>'Form responses 1'!AJ139</f>
        <v/>
      </c>
      <c r="X137" s="4" t="str">
        <f>'Form responses 1'!AK139</f>
        <v/>
      </c>
      <c r="Y137" s="4">
        <f t="shared" ref="Y137:AD137" si="136">if(S137&gt;0,1,0)</f>
        <v>0</v>
      </c>
      <c r="Z137" s="4">
        <f t="shared" si="136"/>
        <v>0</v>
      </c>
      <c r="AA137" s="4">
        <f t="shared" si="136"/>
        <v>0</v>
      </c>
      <c r="AB137" s="4">
        <f t="shared" si="136"/>
        <v>0</v>
      </c>
      <c r="AC137" s="4">
        <f t="shared" si="136"/>
        <v>0</v>
      </c>
      <c r="AD137" s="4">
        <f t="shared" si="136"/>
        <v>0</v>
      </c>
      <c r="AE137" s="4" t="str">
        <f>'Form responses 1'!AN139</f>
        <v/>
      </c>
      <c r="AF137" s="4" t="str">
        <f>'Form responses 1'!AO139</f>
        <v/>
      </c>
      <c r="AG137" s="4" t="str">
        <f>'Form responses 1'!AP139</f>
        <v/>
      </c>
      <c r="AH137" s="4" t="str">
        <f>'Form responses 1'!AQ139</f>
        <v/>
      </c>
      <c r="AI137" s="4" t="str">
        <f>'Form responses 1'!AR139</f>
        <v/>
      </c>
    </row>
    <row r="138">
      <c r="A138" s="26">
        <f>'Form responses 1'!B140</f>
        <v>46063</v>
      </c>
      <c r="B138" s="4" t="str">
        <f>'Form responses 1'!AZ140</f>
        <v>ankitha.baske@capsdelivery.com</v>
      </c>
      <c r="C138" s="4" t="str">
        <f>'Form responses 1'!BR140</f>
        <v>Cafe Cilantro </v>
      </c>
      <c r="D138" s="4" t="str">
        <f>'Form responses 1'!AT140</f>
        <v/>
      </c>
      <c r="E138" s="4" t="str">
        <f>'Form responses 1'!AU140</f>
        <v>Yes</v>
      </c>
      <c r="F138" s="26">
        <f>'Form responses 1'!AX140</f>
        <v>46064</v>
      </c>
      <c r="G138" s="4" t="str">
        <f>'Form responses 1'!AY140</f>
        <v/>
      </c>
      <c r="H138" s="53" t="str">
        <f>'Form responses 1'!AW140</f>
        <v>She want to discuss with Owner</v>
      </c>
      <c r="I138" s="4" t="str">
        <f>'Form responses 1'!AS140</f>
        <v/>
      </c>
      <c r="J138" s="4" t="str">
        <f>'Form responses 1'!J140</f>
        <v>Tier-2 (AOV &lt;400)</v>
      </c>
      <c r="K138" s="4">
        <f>'Form responses 1'!G140</f>
        <v>250</v>
      </c>
      <c r="L138" s="4">
        <f>'Form responses 1'!F140</f>
        <v>50</v>
      </c>
      <c r="M138" s="4" t="str">
        <f>'Form responses 1'!U140</f>
        <v>Nun</v>
      </c>
      <c r="N138" s="4">
        <f>'Form responses 1'!V140</f>
        <v>9704025498</v>
      </c>
      <c r="O138" s="4" t="str">
        <f>'Form responses 1'!W140</f>
        <v>NA</v>
      </c>
      <c r="P138" s="4" t="str">
        <f>'Form responses 1'!X140</f>
        <v/>
      </c>
      <c r="Q138" s="4" t="str">
        <f>'Form responses 1'!Y140</f>
        <v/>
      </c>
      <c r="R138" s="4" t="str">
        <f>'Form responses 1'!Z140</f>
        <v/>
      </c>
      <c r="S138" s="4" t="str">
        <f>'Form responses 1'!AC140</f>
        <v/>
      </c>
      <c r="T138" s="4" t="str">
        <f>'Form responses 1'!AE140</f>
        <v/>
      </c>
      <c r="U138" s="4" t="str">
        <f>'Form responses 1'!AG140</f>
        <v/>
      </c>
      <c r="V138" s="4" t="str">
        <f>'Form responses 1'!AI140</f>
        <v/>
      </c>
      <c r="W138" s="4" t="str">
        <f>'Form responses 1'!AJ140</f>
        <v/>
      </c>
      <c r="X138" s="4" t="str">
        <f>'Form responses 1'!AK140</f>
        <v/>
      </c>
      <c r="Y138" s="4">
        <f t="shared" ref="Y138:AD138" si="137">if(S138&gt;0,1,0)</f>
        <v>0</v>
      </c>
      <c r="Z138" s="4">
        <f t="shared" si="137"/>
        <v>0</v>
      </c>
      <c r="AA138" s="4">
        <f t="shared" si="137"/>
        <v>0</v>
      </c>
      <c r="AB138" s="4">
        <f t="shared" si="137"/>
        <v>0</v>
      </c>
      <c r="AC138" s="4">
        <f t="shared" si="137"/>
        <v>0</v>
      </c>
      <c r="AD138" s="4">
        <f t="shared" si="137"/>
        <v>0</v>
      </c>
      <c r="AE138" s="4" t="str">
        <f>'Form responses 1'!AN140</f>
        <v/>
      </c>
      <c r="AF138" s="4" t="str">
        <f>'Form responses 1'!AO140</f>
        <v/>
      </c>
      <c r="AG138" s="4" t="str">
        <f>'Form responses 1'!AP140</f>
        <v/>
      </c>
      <c r="AH138" s="4" t="str">
        <f>'Form responses 1'!AQ140</f>
        <v/>
      </c>
      <c r="AI138" s="4" t="str">
        <f>'Form responses 1'!AR140</f>
        <v/>
      </c>
    </row>
    <row r="139">
      <c r="A139" s="26">
        <f>'Form responses 1'!B141</f>
        <v>46063</v>
      </c>
      <c r="B139" s="4" t="str">
        <f>'Form responses 1'!AZ141</f>
        <v>greeshma.vanneldas@capsdelivery.com</v>
      </c>
      <c r="C139" s="4" t="str">
        <f>'Form responses 1'!BR141</f>
        <v>Vaikuntapuram</v>
      </c>
      <c r="D139" s="4" t="str">
        <f>'Form responses 1'!AT141</f>
        <v/>
      </c>
      <c r="E139" s="4" t="str">
        <f>'Form responses 1'!AU141</f>
        <v>Yes</v>
      </c>
      <c r="F139" s="4" t="str">
        <f>'Form responses 1'!AX141</f>
        <v/>
      </c>
      <c r="G139" s="4" t="str">
        <f>'Form responses 1'!AY141</f>
        <v/>
      </c>
      <c r="H139" s="53" t="str">
        <f>'Form responses 1'!AW141</f>
        <v>Manager will be available after 7 pm</v>
      </c>
      <c r="I139" s="4" t="str">
        <f>'Form responses 1'!AS141</f>
        <v/>
      </c>
      <c r="J139" s="4" t="str">
        <f>'Form responses 1'!J141</f>
        <v>Tier-1(AOV&gt;400)</v>
      </c>
      <c r="K139" s="4">
        <f>'Form responses 1'!G141</f>
        <v>400</v>
      </c>
      <c r="L139" s="4">
        <f>'Form responses 1'!F141</f>
        <v>60</v>
      </c>
      <c r="M139" s="4" t="str">
        <f>'Form responses 1'!U141</f>
        <v>Venkatesh</v>
      </c>
      <c r="N139" s="4">
        <f>'Form responses 1'!V141</f>
        <v>9392857604</v>
      </c>
      <c r="O139" s="4" t="str">
        <f>'Form responses 1'!W141</f>
        <v>Na</v>
      </c>
      <c r="P139" s="4" t="str">
        <f>'Form responses 1'!X141</f>
        <v/>
      </c>
      <c r="Q139" s="4" t="str">
        <f>'Form responses 1'!Y141</f>
        <v/>
      </c>
      <c r="R139" s="4" t="str">
        <f>'Form responses 1'!Z141</f>
        <v/>
      </c>
      <c r="S139" s="4" t="str">
        <f>'Form responses 1'!AC141</f>
        <v/>
      </c>
      <c r="T139" s="4" t="str">
        <f>'Form responses 1'!AE141</f>
        <v/>
      </c>
      <c r="U139" s="4" t="str">
        <f>'Form responses 1'!AG141</f>
        <v/>
      </c>
      <c r="V139" s="4" t="str">
        <f>'Form responses 1'!AI141</f>
        <v/>
      </c>
      <c r="W139" s="4" t="str">
        <f>'Form responses 1'!AJ141</f>
        <v/>
      </c>
      <c r="X139" s="4" t="str">
        <f>'Form responses 1'!AK141</f>
        <v/>
      </c>
      <c r="Y139" s="4">
        <f t="shared" ref="Y139:AD139" si="138">if(S139&gt;0,1,0)</f>
        <v>0</v>
      </c>
      <c r="Z139" s="4">
        <f t="shared" si="138"/>
        <v>0</v>
      </c>
      <c r="AA139" s="4">
        <f t="shared" si="138"/>
        <v>0</v>
      </c>
      <c r="AB139" s="4">
        <f t="shared" si="138"/>
        <v>0</v>
      </c>
      <c r="AC139" s="4">
        <f t="shared" si="138"/>
        <v>0</v>
      </c>
      <c r="AD139" s="4">
        <f t="shared" si="138"/>
        <v>0</v>
      </c>
      <c r="AE139" s="4" t="str">
        <f>'Form responses 1'!AN141</f>
        <v/>
      </c>
      <c r="AF139" s="4" t="str">
        <f>'Form responses 1'!AO141</f>
        <v/>
      </c>
      <c r="AG139" s="4" t="str">
        <f>'Form responses 1'!AP141</f>
        <v/>
      </c>
      <c r="AH139" s="4" t="str">
        <f>'Form responses 1'!AQ141</f>
        <v/>
      </c>
      <c r="AI139" s="4" t="str">
        <f>'Form responses 1'!AR141</f>
        <v/>
      </c>
    </row>
    <row r="140">
      <c r="A140" s="26">
        <f>'Form responses 1'!B142</f>
        <v>46063</v>
      </c>
      <c r="B140" s="4" t="str">
        <f>'Form responses 1'!AZ142</f>
        <v>moin.khan@capsdelivery.com</v>
      </c>
      <c r="C140" s="4" t="str">
        <f>'Form responses 1'!BR142</f>
        <v/>
      </c>
      <c r="D140" s="4" t="str">
        <f>'Form responses 1'!AT142</f>
        <v/>
      </c>
      <c r="E140" s="4" t="str">
        <f>'Form responses 1'!AU142</f>
        <v>Yes</v>
      </c>
      <c r="F140" s="26">
        <f>'Form responses 1'!AX142</f>
        <v>46070</v>
      </c>
      <c r="G140" s="52">
        <f>'Form responses 1'!AY142</f>
        <v>0.5</v>
      </c>
      <c r="H140" s="53" t="str">
        <f>'Form responses 1'!AW142</f>
        <v>HE IS OUT OF STATIOIN</v>
      </c>
      <c r="I140" s="4" t="str">
        <f>'Form responses 1'!AS142</f>
        <v/>
      </c>
      <c r="J140" s="4" t="str">
        <f>'Form responses 1'!J142</f>
        <v/>
      </c>
      <c r="K140" s="4" t="str">
        <f>'Form responses 1'!G142</f>
        <v/>
      </c>
      <c r="L140" s="4" t="str">
        <f>'Form responses 1'!F142</f>
        <v/>
      </c>
      <c r="M140" s="4" t="str">
        <f>'Form responses 1'!U142</f>
        <v>ZUBAIR</v>
      </c>
      <c r="N140" s="4">
        <f>'Form responses 1'!V142</f>
        <v>9052878671</v>
      </c>
      <c r="O140" s="4" t="str">
        <f>'Form responses 1'!W142</f>
        <v>NA</v>
      </c>
      <c r="P140" s="4" t="str">
        <f>'Form responses 1'!X142</f>
        <v/>
      </c>
      <c r="Q140" s="4" t="str">
        <f>'Form responses 1'!Y142</f>
        <v/>
      </c>
      <c r="R140" s="4" t="str">
        <f>'Form responses 1'!Z142</f>
        <v/>
      </c>
      <c r="S140" s="4" t="str">
        <f>'Form responses 1'!AC142</f>
        <v/>
      </c>
      <c r="T140" s="4" t="str">
        <f>'Form responses 1'!AE142</f>
        <v/>
      </c>
      <c r="U140" s="4" t="str">
        <f>'Form responses 1'!AG142</f>
        <v/>
      </c>
      <c r="V140" s="4" t="str">
        <f>'Form responses 1'!AI142</f>
        <v/>
      </c>
      <c r="W140" s="4" t="str">
        <f>'Form responses 1'!AJ142</f>
        <v/>
      </c>
      <c r="X140" s="4" t="str">
        <f>'Form responses 1'!AK142</f>
        <v/>
      </c>
      <c r="Y140" s="4">
        <f t="shared" ref="Y140:AD140" si="139">if(S140&gt;0,1,0)</f>
        <v>0</v>
      </c>
      <c r="Z140" s="4">
        <f t="shared" si="139"/>
        <v>0</v>
      </c>
      <c r="AA140" s="4">
        <f t="shared" si="139"/>
        <v>0</v>
      </c>
      <c r="AB140" s="4">
        <f t="shared" si="139"/>
        <v>0</v>
      </c>
      <c r="AC140" s="4">
        <f t="shared" si="139"/>
        <v>0</v>
      </c>
      <c r="AD140" s="4">
        <f t="shared" si="139"/>
        <v>0</v>
      </c>
      <c r="AE140" s="4" t="str">
        <f>'Form responses 1'!AN142</f>
        <v/>
      </c>
      <c r="AF140" s="4" t="str">
        <f>'Form responses 1'!AO142</f>
        <v/>
      </c>
      <c r="AG140" s="4" t="str">
        <f>'Form responses 1'!AP142</f>
        <v/>
      </c>
      <c r="AH140" s="4" t="str">
        <f>'Form responses 1'!AQ142</f>
        <v/>
      </c>
      <c r="AI140" s="4" t="str">
        <f>'Form responses 1'!AR142</f>
        <v/>
      </c>
    </row>
    <row r="141">
      <c r="A141" s="26">
        <f>'Form responses 1'!B143</f>
        <v>46063</v>
      </c>
      <c r="B141" s="4" t="str">
        <f>'Form responses 1'!AZ143</f>
        <v>moin.khan@capsdelivery.com</v>
      </c>
      <c r="C141" s="4" t="str">
        <f>'Form responses 1'!BR143</f>
        <v/>
      </c>
      <c r="D141" s="4" t="str">
        <f>'Form responses 1'!AT143</f>
        <v/>
      </c>
      <c r="E141" s="4" t="str">
        <f>'Form responses 1'!AU143</f>
        <v>Yes</v>
      </c>
      <c r="F141" s="26">
        <f>'Form responses 1'!AX143</f>
        <v>46064</v>
      </c>
      <c r="G141" s="52">
        <f>'Form responses 1'!AY143</f>
        <v>0.5833333333</v>
      </c>
      <c r="H141" s="53" t="str">
        <f>'Form responses 1'!AW143</f>
        <v>ASKED TO VISIT ATTAPUR HEAD OFFICE </v>
      </c>
      <c r="I141" s="4" t="str">
        <f>'Form responses 1'!AS143</f>
        <v/>
      </c>
      <c r="J141" s="4" t="str">
        <f>'Form responses 1'!J143</f>
        <v/>
      </c>
      <c r="K141" s="4" t="str">
        <f>'Form responses 1'!G143</f>
        <v/>
      </c>
      <c r="L141" s="4" t="str">
        <f>'Form responses 1'!F143</f>
        <v/>
      </c>
      <c r="M141" s="4" t="str">
        <f>'Form responses 1'!U143</f>
        <v>BARBEQUE NATION</v>
      </c>
      <c r="N141" s="4">
        <f>'Form responses 1'!V143</f>
        <v>9346166695</v>
      </c>
      <c r="O141" s="4" t="str">
        <f>'Form responses 1'!W143</f>
        <v>NA</v>
      </c>
      <c r="P141" s="4" t="str">
        <f>'Form responses 1'!X143</f>
        <v/>
      </c>
      <c r="Q141" s="4" t="str">
        <f>'Form responses 1'!Y143</f>
        <v/>
      </c>
      <c r="R141" s="4" t="str">
        <f>'Form responses 1'!Z143</f>
        <v/>
      </c>
      <c r="S141" s="4" t="str">
        <f>'Form responses 1'!AC143</f>
        <v/>
      </c>
      <c r="T141" s="4" t="str">
        <f>'Form responses 1'!AE143</f>
        <v/>
      </c>
      <c r="U141" s="4" t="str">
        <f>'Form responses 1'!AG143</f>
        <v/>
      </c>
      <c r="V141" s="4" t="str">
        <f>'Form responses 1'!AI143</f>
        <v/>
      </c>
      <c r="W141" s="4" t="str">
        <f>'Form responses 1'!AJ143</f>
        <v/>
      </c>
      <c r="X141" s="4" t="str">
        <f>'Form responses 1'!AK143</f>
        <v/>
      </c>
      <c r="Y141" s="4">
        <f t="shared" ref="Y141:AD141" si="140">if(S141&gt;0,1,0)</f>
        <v>0</v>
      </c>
      <c r="Z141" s="4">
        <f t="shared" si="140"/>
        <v>0</v>
      </c>
      <c r="AA141" s="4">
        <f t="shared" si="140"/>
        <v>0</v>
      </c>
      <c r="AB141" s="4">
        <f t="shared" si="140"/>
        <v>0</v>
      </c>
      <c r="AC141" s="4">
        <f t="shared" si="140"/>
        <v>0</v>
      </c>
      <c r="AD141" s="4">
        <f t="shared" si="140"/>
        <v>0</v>
      </c>
      <c r="AE141" s="4" t="str">
        <f>'Form responses 1'!AN143</f>
        <v/>
      </c>
      <c r="AF141" s="4" t="str">
        <f>'Form responses 1'!AO143</f>
        <v/>
      </c>
      <c r="AG141" s="4" t="str">
        <f>'Form responses 1'!AP143</f>
        <v/>
      </c>
      <c r="AH141" s="4" t="str">
        <f>'Form responses 1'!AQ143</f>
        <v/>
      </c>
      <c r="AI141" s="4" t="str">
        <f>'Form responses 1'!AR143</f>
        <v/>
      </c>
    </row>
    <row r="142">
      <c r="A142" s="26">
        <f>'Form responses 1'!B144</f>
        <v>46063</v>
      </c>
      <c r="B142" s="4" t="str">
        <f>'Form responses 1'!AZ144</f>
        <v>moin.khan@capsdelivery.com</v>
      </c>
      <c r="C142" s="4" t="str">
        <f>'Form responses 1'!BR144</f>
        <v/>
      </c>
      <c r="D142" s="4" t="str">
        <f>'Form responses 1'!AT144</f>
        <v>ASKED TO CALL BEFORE COMING</v>
      </c>
      <c r="E142" s="4" t="str">
        <f>'Form responses 1'!AU144</f>
        <v>No</v>
      </c>
      <c r="F142" s="26">
        <f>'Form responses 1'!AX144</f>
        <v>46064</v>
      </c>
      <c r="G142" s="52">
        <f>'Form responses 1'!AY144</f>
        <v>0.5729166667</v>
      </c>
      <c r="H142" s="53" t="str">
        <f>'Form responses 1'!AW144</f>
        <v>OWNER IS NOT AVAILABLE </v>
      </c>
      <c r="I142" s="4" t="str">
        <f>'Form responses 1'!AS144</f>
        <v/>
      </c>
      <c r="J142" s="4" t="str">
        <f>'Form responses 1'!J144</f>
        <v/>
      </c>
      <c r="K142" s="4" t="str">
        <f>'Form responses 1'!G144</f>
        <v/>
      </c>
      <c r="L142" s="4" t="str">
        <f>'Form responses 1'!F144</f>
        <v/>
      </c>
      <c r="M142" s="4" t="str">
        <f>'Form responses 1'!U144</f>
        <v>SYED VARIS</v>
      </c>
      <c r="N142" s="4">
        <f>'Form responses 1'!V144</f>
        <v>8886767272</v>
      </c>
      <c r="O142" s="4" t="str">
        <f>'Form responses 1'!W144</f>
        <v>NA</v>
      </c>
      <c r="P142" s="4" t="str">
        <f>'Form responses 1'!X144</f>
        <v/>
      </c>
      <c r="Q142" s="4" t="str">
        <f>'Form responses 1'!Y144</f>
        <v/>
      </c>
      <c r="R142" s="4" t="str">
        <f>'Form responses 1'!Z144</f>
        <v/>
      </c>
      <c r="S142" s="4" t="str">
        <f>'Form responses 1'!AC144</f>
        <v/>
      </c>
      <c r="T142" s="4" t="str">
        <f>'Form responses 1'!AE144</f>
        <v/>
      </c>
      <c r="U142" s="4" t="str">
        <f>'Form responses 1'!AG144</f>
        <v/>
      </c>
      <c r="V142" s="4" t="str">
        <f>'Form responses 1'!AI144</f>
        <v/>
      </c>
      <c r="W142" s="4" t="str">
        <f>'Form responses 1'!AJ144</f>
        <v/>
      </c>
      <c r="X142" s="4" t="str">
        <f>'Form responses 1'!AK144</f>
        <v/>
      </c>
      <c r="Y142" s="4">
        <f t="shared" ref="Y142:AD142" si="141">if(S142&gt;0,1,0)</f>
        <v>0</v>
      </c>
      <c r="Z142" s="4">
        <f t="shared" si="141"/>
        <v>0</v>
      </c>
      <c r="AA142" s="4">
        <f t="shared" si="141"/>
        <v>0</v>
      </c>
      <c r="AB142" s="4">
        <f t="shared" si="141"/>
        <v>0</v>
      </c>
      <c r="AC142" s="4">
        <f t="shared" si="141"/>
        <v>0</v>
      </c>
      <c r="AD142" s="4">
        <f t="shared" si="141"/>
        <v>0</v>
      </c>
      <c r="AE142" s="4" t="str">
        <f>'Form responses 1'!AN144</f>
        <v/>
      </c>
      <c r="AF142" s="4" t="str">
        <f>'Form responses 1'!AO144</f>
        <v/>
      </c>
      <c r="AG142" s="4" t="str">
        <f>'Form responses 1'!AP144</f>
        <v/>
      </c>
      <c r="AH142" s="4" t="str">
        <f>'Form responses 1'!AQ144</f>
        <v/>
      </c>
      <c r="AI142" s="4" t="str">
        <f>'Form responses 1'!AR144</f>
        <v/>
      </c>
    </row>
    <row r="143">
      <c r="A143" s="26">
        <f>'Form responses 1'!B145</f>
        <v>46063</v>
      </c>
      <c r="B143" s="4" t="str">
        <f>'Form responses 1'!AZ145</f>
        <v>chanakya.inugala@capsdelivery.com</v>
      </c>
      <c r="C143" s="4" t="str">
        <f>'Form responses 1'!BR145</f>
        <v>Mama Thinu</v>
      </c>
      <c r="D143" s="4" t="str">
        <f>'Form responses 1'!AT145</f>
        <v>Onboarded </v>
      </c>
      <c r="E143" s="4" t="str">
        <f>'Form responses 1'!AU145</f>
        <v>No</v>
      </c>
      <c r="F143" s="4" t="str">
        <f>'Form responses 1'!AX145</f>
        <v/>
      </c>
      <c r="G143" s="4" t="str">
        <f>'Form responses 1'!AY145</f>
        <v/>
      </c>
      <c r="H143" s="53" t="str">
        <f>'Form responses 1'!AW145</f>
        <v/>
      </c>
      <c r="I143" s="4" t="str">
        <f>'Form responses 1'!AS145</f>
        <v/>
      </c>
      <c r="J143" s="4" t="str">
        <f>'Form responses 1'!J145</f>
        <v>Tier-3 ( AOV&lt;200 )</v>
      </c>
      <c r="K143" s="4">
        <f>'Form responses 1'!G145</f>
        <v>250</v>
      </c>
      <c r="L143" s="4">
        <f>'Form responses 1'!F145</f>
        <v>30</v>
      </c>
      <c r="M143" s="4" t="str">
        <f>'Form responses 1'!U145</f>
        <v>Sai krishna </v>
      </c>
      <c r="N143" s="4">
        <f>'Form responses 1'!V145</f>
        <v>98885868130</v>
      </c>
      <c r="O143" s="4" t="str">
        <f>'Form responses 1'!W145</f>
        <v>Na</v>
      </c>
      <c r="P143" s="4" t="str">
        <f>'Form responses 1'!X145</f>
        <v/>
      </c>
      <c r="Q143" s="4" t="str">
        <f>'Form responses 1'!Y145</f>
        <v/>
      </c>
      <c r="R143" s="4" t="str">
        <f>'Form responses 1'!Z145</f>
        <v/>
      </c>
      <c r="S143" s="4" t="str">
        <f>'Form responses 1'!AC145</f>
        <v/>
      </c>
      <c r="T143" s="4" t="str">
        <f>'Form responses 1'!AE145</f>
        <v/>
      </c>
      <c r="U143" s="4" t="str">
        <f>'Form responses 1'!AG145</f>
        <v/>
      </c>
      <c r="V143" s="4" t="str">
        <f>'Form responses 1'!AI145</f>
        <v/>
      </c>
      <c r="W143" s="4" t="str">
        <f>'Form responses 1'!AJ145</f>
        <v/>
      </c>
      <c r="X143" s="4" t="str">
        <f>'Form responses 1'!AK145</f>
        <v/>
      </c>
      <c r="Y143" s="4">
        <f t="shared" ref="Y143:AD143" si="142">if(S143&gt;0,1,0)</f>
        <v>0</v>
      </c>
      <c r="Z143" s="4">
        <f t="shared" si="142"/>
        <v>0</v>
      </c>
      <c r="AA143" s="4">
        <f t="shared" si="142"/>
        <v>0</v>
      </c>
      <c r="AB143" s="4">
        <f t="shared" si="142"/>
        <v>0</v>
      </c>
      <c r="AC143" s="4">
        <f t="shared" si="142"/>
        <v>0</v>
      </c>
      <c r="AD143" s="4">
        <f t="shared" si="142"/>
        <v>0</v>
      </c>
      <c r="AE143" s="4" t="str">
        <f>'Form responses 1'!AN145</f>
        <v/>
      </c>
      <c r="AF143" s="4" t="str">
        <f>'Form responses 1'!AO145</f>
        <v/>
      </c>
      <c r="AG143" s="4" t="str">
        <f>'Form responses 1'!AP145</f>
        <v/>
      </c>
      <c r="AH143" s="4" t="str">
        <f>'Form responses 1'!AQ145</f>
        <v/>
      </c>
      <c r="AI143" s="4" t="str">
        <f>'Form responses 1'!AR145</f>
        <v/>
      </c>
    </row>
    <row r="144">
      <c r="A144" s="26">
        <f>'Form responses 1'!B146</f>
        <v>46063</v>
      </c>
      <c r="B144" s="4" t="str">
        <f>'Form responses 1'!AZ146</f>
        <v>sumadhur.mummadi@capsdelivery.com</v>
      </c>
      <c r="C144" s="4" t="str">
        <f>'Form responses 1'!BR146</f>
        <v>Simply parottas </v>
      </c>
      <c r="D144" s="4" t="str">
        <f>'Form responses 1'!AT146</f>
        <v/>
      </c>
      <c r="E144" s="4" t="str">
        <f>'Form responses 1'!AU146</f>
        <v>Yes</v>
      </c>
      <c r="F144" s="4" t="str">
        <f>'Form responses 1'!AX146</f>
        <v/>
      </c>
      <c r="G144" s="4" t="str">
        <f>'Form responses 1'!AY146</f>
        <v/>
      </c>
      <c r="H144" s="53" t="str">
        <f>'Form responses 1'!AW146</f>
        <v/>
      </c>
      <c r="I144" s="4" t="str">
        <f>'Form responses 1'!AS146</f>
        <v>No</v>
      </c>
      <c r="J144" s="4" t="str">
        <f>'Form responses 1'!J146</f>
        <v/>
      </c>
      <c r="K144" s="4" t="str">
        <f>'Form responses 1'!G146</f>
        <v/>
      </c>
      <c r="L144" s="4" t="str">
        <f>'Form responses 1'!F146</f>
        <v/>
      </c>
      <c r="M144" s="4" t="str">
        <f>'Form responses 1'!U146</f>
        <v>Rupesh </v>
      </c>
      <c r="N144" s="4">
        <f>'Form responses 1'!V146</f>
        <v>7991231238</v>
      </c>
      <c r="O144" s="4" t="str">
        <f>'Form responses 1'!W146</f>
        <v>Not given</v>
      </c>
      <c r="P144" s="4" t="str">
        <f>'Form responses 1'!X146</f>
        <v/>
      </c>
      <c r="Q144" s="4" t="str">
        <f>'Form responses 1'!Y146</f>
        <v/>
      </c>
      <c r="R144" s="4" t="str">
        <f>'Form responses 1'!Z146</f>
        <v/>
      </c>
      <c r="S144" s="4" t="str">
        <f>'Form responses 1'!AC146</f>
        <v/>
      </c>
      <c r="T144" s="4" t="str">
        <f>'Form responses 1'!AE146</f>
        <v/>
      </c>
      <c r="U144" s="4" t="str">
        <f>'Form responses 1'!AG146</f>
        <v/>
      </c>
      <c r="V144" s="4" t="str">
        <f>'Form responses 1'!AI146</f>
        <v/>
      </c>
      <c r="W144" s="4" t="str">
        <f>'Form responses 1'!AJ146</f>
        <v/>
      </c>
      <c r="X144" s="4" t="str">
        <f>'Form responses 1'!AK146</f>
        <v/>
      </c>
      <c r="Y144" s="4">
        <f t="shared" ref="Y144:AD144" si="143">if(S144&gt;0,1,0)</f>
        <v>0</v>
      </c>
      <c r="Z144" s="4">
        <f t="shared" si="143"/>
        <v>0</v>
      </c>
      <c r="AA144" s="4">
        <f t="shared" si="143"/>
        <v>0</v>
      </c>
      <c r="AB144" s="4">
        <f t="shared" si="143"/>
        <v>0</v>
      </c>
      <c r="AC144" s="4">
        <f t="shared" si="143"/>
        <v>0</v>
      </c>
      <c r="AD144" s="4">
        <f t="shared" si="143"/>
        <v>0</v>
      </c>
      <c r="AE144" s="4" t="str">
        <f>'Form responses 1'!AN146</f>
        <v/>
      </c>
      <c r="AF144" s="4" t="str">
        <f>'Form responses 1'!AO146</f>
        <v/>
      </c>
      <c r="AG144" s="4" t="str">
        <f>'Form responses 1'!AP146</f>
        <v/>
      </c>
      <c r="AH144" s="4" t="str">
        <f>'Form responses 1'!AQ146</f>
        <v/>
      </c>
      <c r="AI144" s="4" t="str">
        <f>'Form responses 1'!AR146</f>
        <v/>
      </c>
    </row>
    <row r="145">
      <c r="A145" s="26">
        <f>'Form responses 1'!B147</f>
        <v>46063</v>
      </c>
      <c r="B145" s="4" t="str">
        <f>'Form responses 1'!AZ147</f>
        <v>chanakya.inugala@capsdelivery.com</v>
      </c>
      <c r="C145" s="4" t="str">
        <f>'Form responses 1'!BR147</f>
        <v>Onesta Pizzeria </v>
      </c>
      <c r="D145" s="4" t="str">
        <f>'Form responses 1'!AT147</f>
        <v/>
      </c>
      <c r="E145" s="4" t="str">
        <f>'Form responses 1'!AU147</f>
        <v>Yes</v>
      </c>
      <c r="F145" s="26">
        <f>'Form responses 1'!AX147</f>
        <v>46065</v>
      </c>
      <c r="G145" s="52">
        <f>'Form responses 1'!AY147</f>
        <v>0.625</v>
      </c>
      <c r="H145" s="53" t="str">
        <f>'Form responses 1'!AW147</f>
        <v/>
      </c>
      <c r="I145" s="4" t="str">
        <f>'Form responses 1'!AS147</f>
        <v/>
      </c>
      <c r="J145" s="4" t="str">
        <f>'Form responses 1'!J147</f>
        <v>Tier-2 (AOV &lt;400)</v>
      </c>
      <c r="K145" s="4">
        <f>'Form responses 1'!G147</f>
        <v>600</v>
      </c>
      <c r="L145" s="4">
        <f>'Form responses 1'!F147</f>
        <v>75</v>
      </c>
      <c r="M145" s="4" t="str">
        <f>'Form responses 1'!U147</f>
        <v>Syed Habid</v>
      </c>
      <c r="N145" s="4">
        <f>'Form responses 1'!V147</f>
        <v>7618754404</v>
      </c>
      <c r="O145" s="4" t="str">
        <f>'Form responses 1'!W147</f>
        <v>Na</v>
      </c>
      <c r="P145" s="4" t="str">
        <f>'Form responses 1'!X147</f>
        <v/>
      </c>
      <c r="Q145" s="4" t="str">
        <f>'Form responses 1'!Y147</f>
        <v/>
      </c>
      <c r="R145" s="4" t="str">
        <f>'Form responses 1'!Z147</f>
        <v/>
      </c>
      <c r="S145" s="4" t="str">
        <f>'Form responses 1'!AC147</f>
        <v/>
      </c>
      <c r="T145" s="4" t="str">
        <f>'Form responses 1'!AE147</f>
        <v/>
      </c>
      <c r="U145" s="4" t="str">
        <f>'Form responses 1'!AG147</f>
        <v/>
      </c>
      <c r="V145" s="4" t="str">
        <f>'Form responses 1'!AI147</f>
        <v/>
      </c>
      <c r="W145" s="4" t="str">
        <f>'Form responses 1'!AJ147</f>
        <v/>
      </c>
      <c r="X145" s="4" t="str">
        <f>'Form responses 1'!AK147</f>
        <v/>
      </c>
      <c r="Y145" s="4">
        <f t="shared" ref="Y145:AD145" si="144">if(S145&gt;0,1,0)</f>
        <v>0</v>
      </c>
      <c r="Z145" s="4">
        <f t="shared" si="144"/>
        <v>0</v>
      </c>
      <c r="AA145" s="4">
        <f t="shared" si="144"/>
        <v>0</v>
      </c>
      <c r="AB145" s="4">
        <f t="shared" si="144"/>
        <v>0</v>
      </c>
      <c r="AC145" s="4">
        <f t="shared" si="144"/>
        <v>0</v>
      </c>
      <c r="AD145" s="4">
        <f t="shared" si="144"/>
        <v>0</v>
      </c>
      <c r="AE145" s="4" t="str">
        <f>'Form responses 1'!AN147</f>
        <v/>
      </c>
      <c r="AF145" s="4" t="str">
        <f>'Form responses 1'!AO147</f>
        <v/>
      </c>
      <c r="AG145" s="4" t="str">
        <f>'Form responses 1'!AP147</f>
        <v/>
      </c>
      <c r="AH145" s="4" t="str">
        <f>'Form responses 1'!AQ147</f>
        <v/>
      </c>
      <c r="AI145" s="4" t="str">
        <f>'Form responses 1'!AR147</f>
        <v/>
      </c>
    </row>
    <row r="146">
      <c r="A146" s="26">
        <f>'Form responses 1'!B148</f>
        <v>46063</v>
      </c>
      <c r="B146" s="4" t="str">
        <f>'Form responses 1'!AZ148</f>
        <v>chanakya.inugala@capsdelivery.com</v>
      </c>
      <c r="C146" s="4" t="str">
        <f>'Form responses 1'!BR148</f>
        <v>Parampara </v>
      </c>
      <c r="D146" s="4" t="str">
        <f>'Form responses 1'!AT148</f>
        <v/>
      </c>
      <c r="E146" s="4" t="str">
        <f>'Form responses 1'!AU148</f>
        <v>Yes</v>
      </c>
      <c r="F146" s="26">
        <f>'Form responses 1'!AX148</f>
        <v>46066</v>
      </c>
      <c r="G146" s="52">
        <f>'Form responses 1'!AY148</f>
        <v>0.5</v>
      </c>
      <c r="H146" s="53" t="str">
        <f>'Form responses 1'!AW148</f>
        <v/>
      </c>
      <c r="I146" s="4" t="str">
        <f>'Form responses 1'!AS148</f>
        <v/>
      </c>
      <c r="J146" s="4" t="str">
        <f>'Form responses 1'!J148</f>
        <v>Tier-2 (AOV &lt;400)</v>
      </c>
      <c r="K146" s="4">
        <f>'Form responses 1'!G148</f>
        <v>500</v>
      </c>
      <c r="L146" s="4">
        <f>'Form responses 1'!F148</f>
        <v>50</v>
      </c>
      <c r="M146" s="4" t="str">
        <f>'Form responses 1'!U148</f>
        <v>Ali</v>
      </c>
      <c r="N146" s="4">
        <f>'Form responses 1'!V148</f>
        <v>8074932383</v>
      </c>
      <c r="O146" s="4" t="str">
        <f>'Form responses 1'!W148</f>
        <v>Na</v>
      </c>
      <c r="P146" s="4" t="str">
        <f>'Form responses 1'!X148</f>
        <v/>
      </c>
      <c r="Q146" s="4" t="str">
        <f>'Form responses 1'!Y148</f>
        <v/>
      </c>
      <c r="R146" s="4" t="str">
        <f>'Form responses 1'!Z148</f>
        <v/>
      </c>
      <c r="S146" s="4" t="str">
        <f>'Form responses 1'!AC148</f>
        <v/>
      </c>
      <c r="T146" s="4" t="str">
        <f>'Form responses 1'!AE148</f>
        <v/>
      </c>
      <c r="U146" s="4" t="str">
        <f>'Form responses 1'!AG148</f>
        <v/>
      </c>
      <c r="V146" s="4" t="str">
        <f>'Form responses 1'!AI148</f>
        <v/>
      </c>
      <c r="W146" s="4" t="str">
        <f>'Form responses 1'!AJ148</f>
        <v/>
      </c>
      <c r="X146" s="4" t="str">
        <f>'Form responses 1'!AK148</f>
        <v/>
      </c>
      <c r="Y146" s="4">
        <f t="shared" ref="Y146:AD146" si="145">if(S146&gt;0,1,0)</f>
        <v>0</v>
      </c>
      <c r="Z146" s="4">
        <f t="shared" si="145"/>
        <v>0</v>
      </c>
      <c r="AA146" s="4">
        <f t="shared" si="145"/>
        <v>0</v>
      </c>
      <c r="AB146" s="4">
        <f t="shared" si="145"/>
        <v>0</v>
      </c>
      <c r="AC146" s="4">
        <f t="shared" si="145"/>
        <v>0</v>
      </c>
      <c r="AD146" s="4">
        <f t="shared" si="145"/>
        <v>0</v>
      </c>
      <c r="AE146" s="4" t="str">
        <f>'Form responses 1'!AN148</f>
        <v/>
      </c>
      <c r="AF146" s="4" t="str">
        <f>'Form responses 1'!AO148</f>
        <v/>
      </c>
      <c r="AG146" s="4" t="str">
        <f>'Form responses 1'!AP148</f>
        <v/>
      </c>
      <c r="AH146" s="4" t="str">
        <f>'Form responses 1'!AQ148</f>
        <v/>
      </c>
      <c r="AI146" s="4" t="str">
        <f>'Form responses 1'!AR148</f>
        <v/>
      </c>
    </row>
    <row r="147">
      <c r="A147" s="26">
        <f>'Form responses 1'!B149</f>
        <v>46063</v>
      </c>
      <c r="B147" s="4" t="str">
        <f>'Form responses 1'!AZ149</f>
        <v>nitya.akshara@capsdelivery.com</v>
      </c>
      <c r="C147" s="4" t="str">
        <f>'Form responses 1'!BR149</f>
        <v>Tipsy Topsy Bakers</v>
      </c>
      <c r="D147" s="4" t="str">
        <f>'Form responses 1'!AT149</f>
        <v/>
      </c>
      <c r="E147" s="4" t="str">
        <f>'Form responses 1'!AU149</f>
        <v>Yes</v>
      </c>
      <c r="F147" s="26">
        <f>'Form responses 1'!AX149</f>
        <v>46065</v>
      </c>
      <c r="G147" s="52">
        <f>'Form responses 1'!AY149</f>
        <v>0.5416666667</v>
      </c>
      <c r="H147" s="53" t="str">
        <f>'Form responses 1'!AW149</f>
        <v/>
      </c>
      <c r="I147" s="4" t="str">
        <f>'Form responses 1'!AS149</f>
        <v/>
      </c>
      <c r="J147" s="4" t="str">
        <f>'Form responses 1'!J149</f>
        <v>Tier-3 ( AOV&lt;200 )</v>
      </c>
      <c r="K147" s="4">
        <f>'Form responses 1'!G149</f>
        <v>150</v>
      </c>
      <c r="L147" s="4">
        <f>'Form responses 1'!F149</f>
        <v>20</v>
      </c>
      <c r="M147" s="4" t="str">
        <f>'Form responses 1'!U149</f>
        <v>Zunaid </v>
      </c>
      <c r="N147" s="4">
        <f>'Form responses 1'!V149</f>
        <v>8885294412</v>
      </c>
      <c r="O147" s="4" t="str">
        <f>'Form responses 1'!W149</f>
        <v>NA</v>
      </c>
      <c r="P147" s="4" t="str">
        <f>'Form responses 1'!X149</f>
        <v>Azeez</v>
      </c>
      <c r="Q147" s="4">
        <f>'Form responses 1'!Y149</f>
        <v>9985095605</v>
      </c>
      <c r="R147" s="4" t="str">
        <f>'Form responses 1'!Z149</f>
        <v/>
      </c>
      <c r="S147" s="4" t="str">
        <f>'Form responses 1'!AC149</f>
        <v/>
      </c>
      <c r="T147" s="4" t="str">
        <f>'Form responses 1'!AE149</f>
        <v/>
      </c>
      <c r="U147" s="4" t="str">
        <f>'Form responses 1'!AG149</f>
        <v/>
      </c>
      <c r="V147" s="4" t="str">
        <f>'Form responses 1'!AI149</f>
        <v/>
      </c>
      <c r="W147" s="4" t="str">
        <f>'Form responses 1'!AJ149</f>
        <v/>
      </c>
      <c r="X147" s="4" t="str">
        <f>'Form responses 1'!AK149</f>
        <v/>
      </c>
      <c r="Y147" s="4">
        <f t="shared" ref="Y147:AD147" si="146">if(S147&gt;0,1,0)</f>
        <v>0</v>
      </c>
      <c r="Z147" s="4">
        <f t="shared" si="146"/>
        <v>0</v>
      </c>
      <c r="AA147" s="4">
        <f t="shared" si="146"/>
        <v>0</v>
      </c>
      <c r="AB147" s="4">
        <f t="shared" si="146"/>
        <v>0</v>
      </c>
      <c r="AC147" s="4">
        <f t="shared" si="146"/>
        <v>0</v>
      </c>
      <c r="AD147" s="4">
        <f t="shared" si="146"/>
        <v>0</v>
      </c>
      <c r="AE147" s="4" t="str">
        <f>'Form responses 1'!AN149</f>
        <v/>
      </c>
      <c r="AF147" s="4" t="str">
        <f>'Form responses 1'!AO149</f>
        <v/>
      </c>
      <c r="AG147" s="4" t="str">
        <f>'Form responses 1'!AP149</f>
        <v/>
      </c>
      <c r="AH147" s="4" t="str">
        <f>'Form responses 1'!AQ149</f>
        <v/>
      </c>
      <c r="AI147" s="4" t="str">
        <f>'Form responses 1'!AR149</f>
        <v/>
      </c>
    </row>
    <row r="148">
      <c r="A148" s="26">
        <f>'Form responses 1'!B150</f>
        <v>46063</v>
      </c>
      <c r="B148" s="4" t="str">
        <f>'Form responses 1'!AZ150</f>
        <v>nitya.akshara@capsdelivery.com</v>
      </c>
      <c r="C148" s="4" t="str">
        <f>'Form responses 1'!BR150</f>
        <v/>
      </c>
      <c r="D148" s="4" t="str">
        <f>'Form responses 1'!AT150</f>
        <v>Restraunt under renovation</v>
      </c>
      <c r="E148" s="4" t="str">
        <f>'Form responses 1'!AU150</f>
        <v>No</v>
      </c>
      <c r="F148" s="4" t="str">
        <f>'Form responses 1'!AX150</f>
        <v/>
      </c>
      <c r="G148" s="4" t="str">
        <f>'Form responses 1'!AY150</f>
        <v/>
      </c>
      <c r="H148" s="53" t="str">
        <f>'Form responses 1'!AW150</f>
        <v/>
      </c>
      <c r="I148" s="4" t="str">
        <f>'Form responses 1'!AS150</f>
        <v/>
      </c>
      <c r="J148" s="4" t="str">
        <f>'Form responses 1'!J150</f>
        <v/>
      </c>
      <c r="K148" s="4" t="str">
        <f>'Form responses 1'!G150</f>
        <v/>
      </c>
      <c r="L148" s="4" t="str">
        <f>'Form responses 1'!F150</f>
        <v/>
      </c>
      <c r="M148" s="4" t="str">
        <f>'Form responses 1'!U150</f>
        <v>Arvind Chowdary</v>
      </c>
      <c r="N148" s="4">
        <f>'Form responses 1'!V150</f>
        <v>9515977021</v>
      </c>
      <c r="O148" s="4" t="str">
        <f>'Form responses 1'!W150</f>
        <v>NA</v>
      </c>
      <c r="P148" s="4" t="str">
        <f>'Form responses 1'!X150</f>
        <v/>
      </c>
      <c r="Q148" s="4" t="str">
        <f>'Form responses 1'!Y150</f>
        <v/>
      </c>
      <c r="R148" s="4" t="str">
        <f>'Form responses 1'!Z150</f>
        <v/>
      </c>
      <c r="S148" s="4" t="str">
        <f>'Form responses 1'!AC150</f>
        <v/>
      </c>
      <c r="T148" s="4" t="str">
        <f>'Form responses 1'!AE150</f>
        <v/>
      </c>
      <c r="U148" s="4" t="str">
        <f>'Form responses 1'!AG150</f>
        <v/>
      </c>
      <c r="V148" s="4" t="str">
        <f>'Form responses 1'!AI150</f>
        <v/>
      </c>
      <c r="W148" s="4" t="str">
        <f>'Form responses 1'!AJ150</f>
        <v/>
      </c>
      <c r="X148" s="4" t="str">
        <f>'Form responses 1'!AK150</f>
        <v/>
      </c>
      <c r="Y148" s="4">
        <f t="shared" ref="Y148:AD148" si="147">if(S148&gt;0,1,0)</f>
        <v>0</v>
      </c>
      <c r="Z148" s="4">
        <f t="shared" si="147"/>
        <v>0</v>
      </c>
      <c r="AA148" s="4">
        <f t="shared" si="147"/>
        <v>0</v>
      </c>
      <c r="AB148" s="4">
        <f t="shared" si="147"/>
        <v>0</v>
      </c>
      <c r="AC148" s="4">
        <f t="shared" si="147"/>
        <v>0</v>
      </c>
      <c r="AD148" s="4">
        <f t="shared" si="147"/>
        <v>0</v>
      </c>
      <c r="AE148" s="4" t="str">
        <f>'Form responses 1'!AN150</f>
        <v/>
      </c>
      <c r="AF148" s="4" t="str">
        <f>'Form responses 1'!AO150</f>
        <v/>
      </c>
      <c r="AG148" s="4" t="str">
        <f>'Form responses 1'!AP150</f>
        <v/>
      </c>
      <c r="AH148" s="4" t="str">
        <f>'Form responses 1'!AQ150</f>
        <v/>
      </c>
      <c r="AI148" s="4" t="str">
        <f>'Form responses 1'!AR150</f>
        <v/>
      </c>
    </row>
    <row r="149">
      <c r="A149" s="26">
        <f>'Form responses 1'!B151</f>
        <v>46063</v>
      </c>
      <c r="B149" s="4" t="str">
        <f>'Form responses 1'!AZ151</f>
        <v>nitya.akshara@capsdelivery.com</v>
      </c>
      <c r="C149" s="4" t="str">
        <f>'Form responses 1'!BR151</f>
        <v/>
      </c>
      <c r="D149" s="4" t="str">
        <f>'Form responses 1'!AT151</f>
        <v/>
      </c>
      <c r="E149" s="4" t="str">
        <f>'Form responses 1'!AU151</f>
        <v>Yes</v>
      </c>
      <c r="F149" s="4" t="str">
        <f>'Form responses 1'!AX151</f>
        <v/>
      </c>
      <c r="G149" s="4" t="str">
        <f>'Form responses 1'!AY151</f>
        <v/>
      </c>
      <c r="H149" s="53" t="str">
        <f>'Form responses 1'!AW151</f>
        <v/>
      </c>
      <c r="I149" s="4" t="str">
        <f>'Form responses 1'!AS151</f>
        <v/>
      </c>
      <c r="J149" s="4" t="str">
        <f>'Form responses 1'!J151</f>
        <v/>
      </c>
      <c r="K149" s="4" t="str">
        <f>'Form responses 1'!G151</f>
        <v/>
      </c>
      <c r="L149" s="4" t="str">
        <f>'Form responses 1'!F151</f>
        <v/>
      </c>
      <c r="M149" s="4" t="str">
        <f>'Form responses 1'!U151</f>
        <v>Pruthvi</v>
      </c>
      <c r="N149" s="4">
        <f>'Form responses 1'!V151</f>
        <v>9137103870</v>
      </c>
      <c r="O149" s="4" t="str">
        <f>'Form responses 1'!W151</f>
        <v>NA</v>
      </c>
      <c r="P149" s="4" t="str">
        <f>'Form responses 1'!X151</f>
        <v>Avinash</v>
      </c>
      <c r="Q149" s="4">
        <f>'Form responses 1'!Y151</f>
        <v>7977757237</v>
      </c>
      <c r="R149" s="4" t="str">
        <f>'Form responses 1'!Z151</f>
        <v/>
      </c>
      <c r="S149" s="4" t="str">
        <f>'Form responses 1'!AC151</f>
        <v/>
      </c>
      <c r="T149" s="4" t="str">
        <f>'Form responses 1'!AE151</f>
        <v/>
      </c>
      <c r="U149" s="4" t="str">
        <f>'Form responses 1'!AG151</f>
        <v/>
      </c>
      <c r="V149" s="4" t="str">
        <f>'Form responses 1'!AI151</f>
        <v/>
      </c>
      <c r="W149" s="4" t="str">
        <f>'Form responses 1'!AJ151</f>
        <v/>
      </c>
      <c r="X149" s="4" t="str">
        <f>'Form responses 1'!AK151</f>
        <v/>
      </c>
      <c r="Y149" s="4">
        <f t="shared" ref="Y149:AD149" si="148">if(S149&gt;0,1,0)</f>
        <v>0</v>
      </c>
      <c r="Z149" s="4">
        <f t="shared" si="148"/>
        <v>0</v>
      </c>
      <c r="AA149" s="4">
        <f t="shared" si="148"/>
        <v>0</v>
      </c>
      <c r="AB149" s="4">
        <f t="shared" si="148"/>
        <v>0</v>
      </c>
      <c r="AC149" s="4">
        <f t="shared" si="148"/>
        <v>0</v>
      </c>
      <c r="AD149" s="4">
        <f t="shared" si="148"/>
        <v>0</v>
      </c>
      <c r="AE149" s="4" t="str">
        <f>'Form responses 1'!AN151</f>
        <v/>
      </c>
      <c r="AF149" s="4" t="str">
        <f>'Form responses 1'!AO151</f>
        <v/>
      </c>
      <c r="AG149" s="4" t="str">
        <f>'Form responses 1'!AP151</f>
        <v/>
      </c>
      <c r="AH149" s="4" t="str">
        <f>'Form responses 1'!AQ151</f>
        <v/>
      </c>
      <c r="AI149" s="4" t="str">
        <f>'Form responses 1'!AR151</f>
        <v/>
      </c>
    </row>
    <row r="150">
      <c r="A150" s="26">
        <f>'Form responses 1'!B152</f>
        <v>46063</v>
      </c>
      <c r="B150" s="4" t="str">
        <f>'Form responses 1'!AZ152</f>
        <v>nitya.akshara@capsdelivery.com</v>
      </c>
      <c r="C150" s="4" t="str">
        <f>'Form responses 1'!BR152</f>
        <v/>
      </c>
      <c r="D150" s="4" t="str">
        <f>'Form responses 1'!AT152</f>
        <v>Owner not available</v>
      </c>
      <c r="E150" s="4" t="str">
        <f>'Form responses 1'!AU152</f>
        <v>No</v>
      </c>
      <c r="F150" s="4" t="str">
        <f>'Form responses 1'!AX152</f>
        <v/>
      </c>
      <c r="G150" s="4" t="str">
        <f>'Form responses 1'!AY152</f>
        <v/>
      </c>
      <c r="H150" s="53" t="str">
        <f>'Form responses 1'!AW152</f>
        <v/>
      </c>
      <c r="I150" s="4" t="str">
        <f>'Form responses 1'!AS152</f>
        <v/>
      </c>
      <c r="J150" s="4" t="str">
        <f>'Form responses 1'!J152</f>
        <v/>
      </c>
      <c r="K150" s="4" t="str">
        <f>'Form responses 1'!G152</f>
        <v/>
      </c>
      <c r="L150" s="4" t="str">
        <f>'Form responses 1'!F152</f>
        <v/>
      </c>
      <c r="M150" s="4" t="str">
        <f>'Form responses 1'!U152</f>
        <v>NA</v>
      </c>
      <c r="N150" s="4" t="str">
        <f>'Form responses 1'!V152</f>
        <v>NA</v>
      </c>
      <c r="O150" s="4" t="str">
        <f>'Form responses 1'!W152</f>
        <v>NA</v>
      </c>
      <c r="P150" s="4" t="str">
        <f>'Form responses 1'!X152</f>
        <v/>
      </c>
      <c r="Q150" s="4" t="str">
        <f>'Form responses 1'!Y152</f>
        <v/>
      </c>
      <c r="R150" s="4" t="str">
        <f>'Form responses 1'!Z152</f>
        <v/>
      </c>
      <c r="S150" s="4" t="str">
        <f>'Form responses 1'!AC152</f>
        <v/>
      </c>
      <c r="T150" s="4" t="str">
        <f>'Form responses 1'!AE152</f>
        <v/>
      </c>
      <c r="U150" s="4" t="str">
        <f>'Form responses 1'!AG152</f>
        <v/>
      </c>
      <c r="V150" s="4" t="str">
        <f>'Form responses 1'!AI152</f>
        <v/>
      </c>
      <c r="W150" s="4" t="str">
        <f>'Form responses 1'!AJ152</f>
        <v/>
      </c>
      <c r="X150" s="4" t="str">
        <f>'Form responses 1'!AK152</f>
        <v/>
      </c>
      <c r="Y150" s="4">
        <f t="shared" ref="Y150:AD150" si="149">if(S150&gt;0,1,0)</f>
        <v>0</v>
      </c>
      <c r="Z150" s="4">
        <f t="shared" si="149"/>
        <v>0</v>
      </c>
      <c r="AA150" s="4">
        <f t="shared" si="149"/>
        <v>0</v>
      </c>
      <c r="AB150" s="4">
        <f t="shared" si="149"/>
        <v>0</v>
      </c>
      <c r="AC150" s="4">
        <f t="shared" si="149"/>
        <v>0</v>
      </c>
      <c r="AD150" s="4">
        <f t="shared" si="149"/>
        <v>0</v>
      </c>
      <c r="AE150" s="4" t="str">
        <f>'Form responses 1'!AN152</f>
        <v/>
      </c>
      <c r="AF150" s="4" t="str">
        <f>'Form responses 1'!AO152</f>
        <v/>
      </c>
      <c r="AG150" s="4" t="str">
        <f>'Form responses 1'!AP152</f>
        <v/>
      </c>
      <c r="AH150" s="4" t="str">
        <f>'Form responses 1'!AQ152</f>
        <v/>
      </c>
      <c r="AI150" s="4" t="str">
        <f>'Form responses 1'!AR152</f>
        <v/>
      </c>
    </row>
    <row r="151">
      <c r="A151" s="26">
        <f>'Form responses 1'!B153</f>
        <v>46063</v>
      </c>
      <c r="B151" s="4" t="str">
        <f>'Form responses 1'!AZ153</f>
        <v>nitya.akshara@capsdelivery.com</v>
      </c>
      <c r="C151" s="4" t="str">
        <f>'Form responses 1'!BR153</f>
        <v>NA</v>
      </c>
      <c r="D151" s="4" t="str">
        <f>'Form responses 1'!AT153</f>
        <v>NO</v>
      </c>
      <c r="E151" s="4" t="str">
        <f>'Form responses 1'!AU153</f>
        <v>No</v>
      </c>
      <c r="F151" s="4" t="str">
        <f>'Form responses 1'!AX153</f>
        <v/>
      </c>
      <c r="G151" s="4" t="str">
        <f>'Form responses 1'!AY153</f>
        <v/>
      </c>
      <c r="H151" s="53" t="str">
        <f>'Form responses 1'!AW153</f>
        <v/>
      </c>
      <c r="I151" s="4" t="str">
        <f>'Form responses 1'!AS153</f>
        <v/>
      </c>
      <c r="J151" s="4" t="str">
        <f>'Form responses 1'!J153</f>
        <v/>
      </c>
      <c r="K151" s="4" t="str">
        <f>'Form responses 1'!G153</f>
        <v/>
      </c>
      <c r="L151" s="4" t="str">
        <f>'Form responses 1'!F153</f>
        <v/>
      </c>
      <c r="M151" s="4" t="str">
        <f>'Form responses 1'!U153</f>
        <v>RAKESH</v>
      </c>
      <c r="N151" s="4">
        <f>'Form responses 1'!V153</f>
        <v>7995184676</v>
      </c>
      <c r="O151" s="4" t="str">
        <f>'Form responses 1'!W153</f>
        <v>NA</v>
      </c>
      <c r="P151" s="4" t="str">
        <f>'Form responses 1'!X153</f>
        <v/>
      </c>
      <c r="Q151" s="4" t="str">
        <f>'Form responses 1'!Y153</f>
        <v/>
      </c>
      <c r="R151" s="4" t="str">
        <f>'Form responses 1'!Z153</f>
        <v/>
      </c>
      <c r="S151" s="4" t="str">
        <f>'Form responses 1'!AC153</f>
        <v/>
      </c>
      <c r="T151" s="4" t="str">
        <f>'Form responses 1'!AE153</f>
        <v/>
      </c>
      <c r="U151" s="4" t="str">
        <f>'Form responses 1'!AG153</f>
        <v/>
      </c>
      <c r="V151" s="4" t="str">
        <f>'Form responses 1'!AI153</f>
        <v/>
      </c>
      <c r="W151" s="4" t="str">
        <f>'Form responses 1'!AJ153</f>
        <v/>
      </c>
      <c r="X151" s="4" t="str">
        <f>'Form responses 1'!AK153</f>
        <v/>
      </c>
      <c r="Y151" s="4">
        <f t="shared" ref="Y151:AD151" si="150">if(S151&gt;0,1,0)</f>
        <v>0</v>
      </c>
      <c r="Z151" s="4">
        <f t="shared" si="150"/>
        <v>0</v>
      </c>
      <c r="AA151" s="4">
        <f t="shared" si="150"/>
        <v>0</v>
      </c>
      <c r="AB151" s="4">
        <f t="shared" si="150"/>
        <v>0</v>
      </c>
      <c r="AC151" s="4">
        <f t="shared" si="150"/>
        <v>0</v>
      </c>
      <c r="AD151" s="4">
        <f t="shared" si="150"/>
        <v>0</v>
      </c>
      <c r="AE151" s="4" t="str">
        <f>'Form responses 1'!AN153</f>
        <v/>
      </c>
      <c r="AF151" s="4" t="str">
        <f>'Form responses 1'!AO153</f>
        <v/>
      </c>
      <c r="AG151" s="4" t="str">
        <f>'Form responses 1'!AP153</f>
        <v/>
      </c>
      <c r="AH151" s="4" t="str">
        <f>'Form responses 1'!AQ153</f>
        <v/>
      </c>
      <c r="AI151" s="4" t="str">
        <f>'Form responses 1'!AR153</f>
        <v/>
      </c>
    </row>
    <row r="152">
      <c r="A152" s="26">
        <f>'Form responses 1'!B154</f>
        <v>46063</v>
      </c>
      <c r="B152" s="4" t="str">
        <f>'Form responses 1'!AZ154</f>
        <v>chanakya.inugala@capsdelivery.com</v>
      </c>
      <c r="C152" s="4" t="str">
        <f>'Form responses 1'!BR154</f>
        <v>Mama Thinu</v>
      </c>
      <c r="D152" s="4" t="str">
        <f>'Form responses 1'!AT154</f>
        <v>on boarded</v>
      </c>
      <c r="E152" s="4" t="str">
        <f>'Form responses 1'!AU154</f>
        <v>No</v>
      </c>
      <c r="F152" s="26">
        <f>'Form responses 1'!AX154</f>
        <v>46065</v>
      </c>
      <c r="G152" s="52">
        <f>'Form responses 1'!AY154</f>
        <v>0.5833333333</v>
      </c>
      <c r="H152" s="53" t="str">
        <f>'Form responses 1'!AW154</f>
        <v/>
      </c>
      <c r="I152" s="4" t="str">
        <f>'Form responses 1'!AS154</f>
        <v/>
      </c>
      <c r="J152" s="4" t="str">
        <f>'Form responses 1'!J154</f>
        <v>Tier-3 ( AOV&lt;200 )</v>
      </c>
      <c r="K152" s="4">
        <f>'Form responses 1'!G154</f>
        <v>250</v>
      </c>
      <c r="L152" s="4">
        <f>'Form responses 1'!F154</f>
        <v>30</v>
      </c>
      <c r="M152" s="4" t="str">
        <f>'Form responses 1'!U154</f>
        <v>sai krishna</v>
      </c>
      <c r="N152" s="4">
        <f>'Form responses 1'!V154</f>
        <v>9885868130</v>
      </c>
      <c r="O152" s="4" t="str">
        <f>'Form responses 1'!W154</f>
        <v>NA</v>
      </c>
      <c r="P152" s="4" t="str">
        <f>'Form responses 1'!X154</f>
        <v/>
      </c>
      <c r="Q152" s="4" t="str">
        <f>'Form responses 1'!Y154</f>
        <v/>
      </c>
      <c r="R152" s="4" t="str">
        <f>'Form responses 1'!Z154</f>
        <v/>
      </c>
      <c r="S152" s="4" t="str">
        <f>'Form responses 1'!AC154</f>
        <v/>
      </c>
      <c r="T152" s="4" t="str">
        <f>'Form responses 1'!AE154</f>
        <v/>
      </c>
      <c r="U152" s="4" t="str">
        <f>'Form responses 1'!AG154</f>
        <v/>
      </c>
      <c r="V152" s="4" t="str">
        <f>'Form responses 1'!AI154</f>
        <v/>
      </c>
      <c r="W152" s="4" t="str">
        <f>'Form responses 1'!AJ154</f>
        <v/>
      </c>
      <c r="X152" s="4" t="str">
        <f>'Form responses 1'!AK154</f>
        <v/>
      </c>
      <c r="Y152" s="4">
        <f t="shared" ref="Y152:AD152" si="151">if(S152&gt;0,1,0)</f>
        <v>0</v>
      </c>
      <c r="Z152" s="4">
        <f t="shared" si="151"/>
        <v>0</v>
      </c>
      <c r="AA152" s="4">
        <f t="shared" si="151"/>
        <v>0</v>
      </c>
      <c r="AB152" s="4">
        <f t="shared" si="151"/>
        <v>0</v>
      </c>
      <c r="AC152" s="4">
        <f t="shared" si="151"/>
        <v>0</v>
      </c>
      <c r="AD152" s="4">
        <f t="shared" si="151"/>
        <v>0</v>
      </c>
      <c r="AE152" s="4" t="str">
        <f>'Form responses 1'!AN154</f>
        <v/>
      </c>
      <c r="AF152" s="4" t="str">
        <f>'Form responses 1'!AO154</f>
        <v/>
      </c>
      <c r="AG152" s="4" t="str">
        <f>'Form responses 1'!AP154</f>
        <v/>
      </c>
      <c r="AH152" s="4" t="str">
        <f>'Form responses 1'!AQ154</f>
        <v/>
      </c>
      <c r="AI152" s="4" t="str">
        <f>'Form responses 1'!AR154</f>
        <v/>
      </c>
    </row>
    <row r="153">
      <c r="A153" s="26">
        <f>'Form responses 1'!B155</f>
        <v>46064</v>
      </c>
      <c r="B153" s="4" t="str">
        <f>'Form responses 1'!AZ155</f>
        <v>moin.khan@capsdelivery.com</v>
      </c>
      <c r="C153" s="4" t="str">
        <f>'Form responses 1'!BR155</f>
        <v>ARMAN HOTEL</v>
      </c>
      <c r="D153" s="4" t="str">
        <f>'Form responses 1'!AT155</f>
        <v/>
      </c>
      <c r="E153" s="4" t="str">
        <f>'Form responses 1'!AU155</f>
        <v>Yes</v>
      </c>
      <c r="F153" s="4" t="str">
        <f>'Form responses 1'!AX155</f>
        <v/>
      </c>
      <c r="G153" s="4" t="str">
        <f>'Form responses 1'!AY155</f>
        <v/>
      </c>
      <c r="H153" s="53" t="str">
        <f>'Form responses 1'!AW155</f>
        <v>OWNER WILL BE AVAILABLE AT 11 PM EVENING</v>
      </c>
      <c r="I153" s="4" t="str">
        <f>'Form responses 1'!AS155</f>
        <v/>
      </c>
      <c r="J153" s="4" t="str">
        <f>'Form responses 1'!J155</f>
        <v/>
      </c>
      <c r="K153" s="4" t="str">
        <f>'Form responses 1'!G155</f>
        <v/>
      </c>
      <c r="L153" s="4" t="str">
        <f>'Form responses 1'!F155</f>
        <v/>
      </c>
      <c r="M153" s="4" t="str">
        <f>'Form responses 1'!U155</f>
        <v>AYUB QURESHI</v>
      </c>
      <c r="N153" s="4">
        <f>'Form responses 1'!V155</f>
        <v>9866847607</v>
      </c>
      <c r="O153" s="4" t="str">
        <f>'Form responses 1'!W155</f>
        <v>NA</v>
      </c>
      <c r="P153" s="4" t="str">
        <f>'Form responses 1'!X155</f>
        <v/>
      </c>
      <c r="Q153" s="4" t="str">
        <f>'Form responses 1'!Y155</f>
        <v/>
      </c>
      <c r="R153" s="4" t="str">
        <f>'Form responses 1'!Z155</f>
        <v/>
      </c>
      <c r="S153" s="4" t="str">
        <f>'Form responses 1'!AC155</f>
        <v/>
      </c>
      <c r="T153" s="4" t="str">
        <f>'Form responses 1'!AE155</f>
        <v/>
      </c>
      <c r="U153" s="4" t="str">
        <f>'Form responses 1'!AG155</f>
        <v/>
      </c>
      <c r="V153" s="4" t="str">
        <f>'Form responses 1'!AI155</f>
        <v/>
      </c>
      <c r="W153" s="4" t="str">
        <f>'Form responses 1'!AJ155</f>
        <v/>
      </c>
      <c r="X153" s="4" t="str">
        <f>'Form responses 1'!AK155</f>
        <v/>
      </c>
      <c r="Y153" s="4">
        <f t="shared" ref="Y153:AD153" si="152">if(S153&gt;0,1,0)</f>
        <v>0</v>
      </c>
      <c r="Z153" s="4">
        <f t="shared" si="152"/>
        <v>0</v>
      </c>
      <c r="AA153" s="4">
        <f t="shared" si="152"/>
        <v>0</v>
      </c>
      <c r="AB153" s="4">
        <f t="shared" si="152"/>
        <v>0</v>
      </c>
      <c r="AC153" s="4">
        <f t="shared" si="152"/>
        <v>0</v>
      </c>
      <c r="AD153" s="4">
        <f t="shared" si="152"/>
        <v>0</v>
      </c>
      <c r="AE153" s="4" t="str">
        <f>'Form responses 1'!AN155</f>
        <v/>
      </c>
      <c r="AF153" s="4" t="str">
        <f>'Form responses 1'!AO155</f>
        <v/>
      </c>
      <c r="AG153" s="4" t="str">
        <f>'Form responses 1'!AP155</f>
        <v/>
      </c>
      <c r="AH153" s="4" t="str">
        <f>'Form responses 1'!AQ155</f>
        <v/>
      </c>
      <c r="AI153" s="4" t="str">
        <f>'Form responses 1'!AR155</f>
        <v/>
      </c>
    </row>
    <row r="154">
      <c r="A154" s="26">
        <f>'Form responses 1'!B156</f>
        <v>46064</v>
      </c>
      <c r="B154" s="4" t="str">
        <f>'Form responses 1'!AZ156</f>
        <v>greeshma.vanneldas@capsdelivery.com</v>
      </c>
      <c r="C154" s="4" t="str">
        <f>'Form responses 1'!BR156</f>
        <v>Suryakantham military hotel </v>
      </c>
      <c r="D154" s="4" t="str">
        <f>'Form responses 1'!AT156</f>
        <v/>
      </c>
      <c r="E154" s="4" t="str">
        <f>'Form responses 1'!AU156</f>
        <v>Yes</v>
      </c>
      <c r="F154" s="26">
        <f>'Form responses 1'!AX156</f>
        <v>46065</v>
      </c>
      <c r="G154" s="52">
        <f>'Form responses 1'!AY156</f>
        <v>0.4791666667</v>
      </c>
      <c r="H154" s="53" t="str">
        <f>'Form responses 1'!AW156</f>
        <v/>
      </c>
      <c r="I154" s="4" t="str">
        <f>'Form responses 1'!AS156</f>
        <v/>
      </c>
      <c r="J154" s="4" t="str">
        <f>'Form responses 1'!J156</f>
        <v/>
      </c>
      <c r="K154" s="4" t="str">
        <f>'Form responses 1'!G156</f>
        <v/>
      </c>
      <c r="L154" s="4" t="str">
        <f>'Form responses 1'!F156</f>
        <v/>
      </c>
      <c r="M154" s="4" t="str">
        <f>'Form responses 1'!U156</f>
        <v>Nageshwar rao</v>
      </c>
      <c r="N154" s="4">
        <f>'Form responses 1'!V156</f>
        <v>9849343059</v>
      </c>
      <c r="O154" s="4" t="str">
        <f>'Form responses 1'!W156</f>
        <v>Na</v>
      </c>
      <c r="P154" s="4" t="str">
        <f>'Form responses 1'!X156</f>
        <v/>
      </c>
      <c r="Q154" s="4" t="str">
        <f>'Form responses 1'!Y156</f>
        <v/>
      </c>
      <c r="R154" s="4" t="str">
        <f>'Form responses 1'!Z156</f>
        <v/>
      </c>
      <c r="S154" s="4" t="str">
        <f>'Form responses 1'!AC156</f>
        <v/>
      </c>
      <c r="T154" s="4" t="str">
        <f>'Form responses 1'!AE156</f>
        <v/>
      </c>
      <c r="U154" s="4" t="str">
        <f>'Form responses 1'!AG156</f>
        <v/>
      </c>
      <c r="V154" s="4" t="str">
        <f>'Form responses 1'!AI156</f>
        <v/>
      </c>
      <c r="W154" s="4" t="str">
        <f>'Form responses 1'!AJ156</f>
        <v/>
      </c>
      <c r="X154" s="4" t="str">
        <f>'Form responses 1'!AK156</f>
        <v/>
      </c>
      <c r="Y154" s="4">
        <f t="shared" ref="Y154:AD154" si="153">if(S154&gt;0,1,0)</f>
        <v>0</v>
      </c>
      <c r="Z154" s="4">
        <f t="shared" si="153"/>
        <v>0</v>
      </c>
      <c r="AA154" s="4">
        <f t="shared" si="153"/>
        <v>0</v>
      </c>
      <c r="AB154" s="4">
        <f t="shared" si="153"/>
        <v>0</v>
      </c>
      <c r="AC154" s="4">
        <f t="shared" si="153"/>
        <v>0</v>
      </c>
      <c r="AD154" s="4">
        <f t="shared" si="153"/>
        <v>0</v>
      </c>
      <c r="AE154" s="4" t="str">
        <f>'Form responses 1'!AN156</f>
        <v/>
      </c>
      <c r="AF154" s="4" t="str">
        <f>'Form responses 1'!AO156</f>
        <v/>
      </c>
      <c r="AG154" s="4" t="str">
        <f>'Form responses 1'!AP156</f>
        <v/>
      </c>
      <c r="AH154" s="4" t="str">
        <f>'Form responses 1'!AQ156</f>
        <v/>
      </c>
      <c r="AI154" s="4" t="str">
        <f>'Form responses 1'!AR156</f>
        <v/>
      </c>
    </row>
    <row r="155">
      <c r="A155" s="26">
        <f>'Form responses 1'!B157</f>
        <v>46064</v>
      </c>
      <c r="B155" s="4" t="str">
        <f>'Form responses 1'!AZ157</f>
        <v>nitya.akshara@capsdelivery.com</v>
      </c>
      <c r="C155" s="4" t="str">
        <f>'Form responses 1'!BR157</f>
        <v>D and D Caters </v>
      </c>
      <c r="D155" s="4" t="str">
        <f>'Form responses 1'!AT157</f>
        <v/>
      </c>
      <c r="E155" s="4" t="str">
        <f>'Form responses 1'!AU157</f>
        <v>Yes</v>
      </c>
      <c r="F155" s="26">
        <f>'Form responses 1'!AX157</f>
        <v>46074</v>
      </c>
      <c r="G155" s="4" t="str">
        <f>'Form responses 1'!AY157</f>
        <v/>
      </c>
      <c r="H155" s="53" t="str">
        <f>'Form responses 1'!AW157</f>
        <v/>
      </c>
      <c r="I155" s="4" t="str">
        <f>'Form responses 1'!AS157</f>
        <v/>
      </c>
      <c r="J155" s="4" t="str">
        <f>'Form responses 1'!J157</f>
        <v>Tier-3 ( AOV&lt;200 )</v>
      </c>
      <c r="K155" s="4">
        <f>'Form responses 1'!G157</f>
        <v>150</v>
      </c>
      <c r="L155" s="4">
        <f>'Form responses 1'!F157</f>
        <v>1</v>
      </c>
      <c r="M155" s="4" t="str">
        <f>'Form responses 1'!U157</f>
        <v>Ramya </v>
      </c>
      <c r="N155" s="4" t="str">
        <f>'Form responses 1'!V157</f>
        <v>78937 77231</v>
      </c>
      <c r="O155" s="4" t="str">
        <f>'Form responses 1'!W157</f>
        <v>NA </v>
      </c>
      <c r="P155" s="4" t="str">
        <f>'Form responses 1'!X157</f>
        <v/>
      </c>
      <c r="Q155" s="4" t="str">
        <f>'Form responses 1'!Y157</f>
        <v/>
      </c>
      <c r="R155" s="4" t="str">
        <f>'Form responses 1'!Z157</f>
        <v/>
      </c>
      <c r="S155" s="4" t="str">
        <f>'Form responses 1'!AC157</f>
        <v/>
      </c>
      <c r="T155" s="4" t="str">
        <f>'Form responses 1'!AE157</f>
        <v/>
      </c>
      <c r="U155" s="4" t="str">
        <f>'Form responses 1'!AG157</f>
        <v/>
      </c>
      <c r="V155" s="4" t="str">
        <f>'Form responses 1'!AI157</f>
        <v/>
      </c>
      <c r="W155" s="4" t="str">
        <f>'Form responses 1'!AJ157</f>
        <v/>
      </c>
      <c r="X155" s="4" t="str">
        <f>'Form responses 1'!AK157</f>
        <v/>
      </c>
      <c r="Y155" s="4">
        <f t="shared" ref="Y155:AD155" si="154">if(S155&gt;0,1,0)</f>
        <v>0</v>
      </c>
      <c r="Z155" s="4">
        <f t="shared" si="154"/>
        <v>0</v>
      </c>
      <c r="AA155" s="4">
        <f t="shared" si="154"/>
        <v>0</v>
      </c>
      <c r="AB155" s="4">
        <f t="shared" si="154"/>
        <v>0</v>
      </c>
      <c r="AC155" s="4">
        <f t="shared" si="154"/>
        <v>0</v>
      </c>
      <c r="AD155" s="4">
        <f t="shared" si="154"/>
        <v>0</v>
      </c>
      <c r="AE155" s="4" t="str">
        <f>'Form responses 1'!AN157</f>
        <v/>
      </c>
      <c r="AF155" s="4" t="str">
        <f>'Form responses 1'!AO157</f>
        <v/>
      </c>
      <c r="AG155" s="4" t="str">
        <f>'Form responses 1'!AP157</f>
        <v/>
      </c>
      <c r="AH155" s="4" t="str">
        <f>'Form responses 1'!AQ157</f>
        <v/>
      </c>
      <c r="AI155" s="4" t="str">
        <f>'Form responses 1'!AR157</f>
        <v/>
      </c>
    </row>
    <row r="156">
      <c r="A156" s="26">
        <f>'Form responses 1'!B158</f>
        <v>46064</v>
      </c>
      <c r="B156" s="4" t="str">
        <f>'Form responses 1'!AZ158</f>
        <v>ankitha.baske@capsdelivery.com</v>
      </c>
      <c r="C156" s="4" t="str">
        <f>'Form responses 1'!BR158</f>
        <v>Manasa Kitchen</v>
      </c>
      <c r="D156" s="4" t="str">
        <f>'Form responses 1'!AT158</f>
        <v>Onboarded </v>
      </c>
      <c r="E156" s="4" t="str">
        <f>'Form responses 1'!AU158</f>
        <v>No</v>
      </c>
      <c r="F156" s="4" t="str">
        <f>'Form responses 1'!AX158</f>
        <v/>
      </c>
      <c r="G156" s="4" t="str">
        <f>'Form responses 1'!AY158</f>
        <v/>
      </c>
      <c r="H156" s="53" t="str">
        <f>'Form responses 1'!AW158</f>
        <v/>
      </c>
      <c r="I156" s="4" t="str">
        <f>'Form responses 1'!AS158</f>
        <v>Yes</v>
      </c>
      <c r="J156" s="4" t="str">
        <f>'Form responses 1'!J158</f>
        <v>Tier-2 (AOV &lt;400)</v>
      </c>
      <c r="K156" s="4">
        <f>'Form responses 1'!G158</f>
        <v>250</v>
      </c>
      <c r="L156" s="4">
        <f>'Form responses 1'!F158</f>
        <v>1</v>
      </c>
      <c r="M156" s="4" t="str">
        <f>'Form responses 1'!U158</f>
        <v>Sudheerr </v>
      </c>
      <c r="N156" s="4">
        <f>'Form responses 1'!V158</f>
        <v>8185802329</v>
      </c>
      <c r="O156" s="4" t="str">
        <f>'Form responses 1'!W158</f>
        <v>sudheer2409@gmail.com</v>
      </c>
      <c r="P156" s="4" t="str">
        <f>'Form responses 1'!X158</f>
        <v/>
      </c>
      <c r="Q156" s="4" t="str">
        <f>'Form responses 1'!Y158</f>
        <v/>
      </c>
      <c r="R156" s="4" t="str">
        <f>'Form responses 1'!Z158</f>
        <v/>
      </c>
      <c r="S156" s="54" t="str">
        <f>'Form responses 1'!AC158</f>
        <v>https://drive.google.com/open?id=1_pVvhL8ftMgUTL7yMtxYmWWO7q2tGY8Y</v>
      </c>
      <c r="T156" s="54" t="str">
        <f>'Form responses 1'!AE158</f>
        <v>https://drive.google.com/open?id=1-gR1d5RyzErC3JexistxNdbSDXRnqA4B</v>
      </c>
      <c r="U156" s="4" t="str">
        <f>'Form responses 1'!AG158</f>
        <v/>
      </c>
      <c r="V156" s="54" t="str">
        <f>'Form responses 1'!AI158</f>
        <v>https://drive.google.com/open?id=1gZv8AfQJERFpRc1DcTxPJAfAAKNSFNEb</v>
      </c>
      <c r="W156" s="4" t="str">
        <f>'Form responses 1'!AJ158</f>
        <v/>
      </c>
      <c r="X156" s="54" t="str">
        <f>'Form responses 1'!AK158</f>
        <v>https://drive.google.com/open?id=1hdLV6N4fySfFzccVvxE7fAxQDFXVc5kZ</v>
      </c>
      <c r="Y156" s="4">
        <f t="shared" ref="Y156:AD156" si="155">if(S156&gt;0,1,0)</f>
        <v>1</v>
      </c>
      <c r="Z156" s="4">
        <f t="shared" si="155"/>
        <v>1</v>
      </c>
      <c r="AA156" s="4">
        <f t="shared" si="155"/>
        <v>0</v>
      </c>
      <c r="AB156" s="4">
        <f t="shared" si="155"/>
        <v>1</v>
      </c>
      <c r="AC156" s="4">
        <f t="shared" si="155"/>
        <v>0</v>
      </c>
      <c r="AD156" s="4">
        <f t="shared" si="155"/>
        <v>1</v>
      </c>
      <c r="AE156" s="4" t="str">
        <f>'Form responses 1'!AN158</f>
        <v/>
      </c>
      <c r="AF156" s="4" t="str">
        <f>'Form responses 1'!AO158</f>
        <v/>
      </c>
      <c r="AG156" s="4" t="str">
        <f>'Form responses 1'!AP158</f>
        <v/>
      </c>
      <c r="AH156" s="4" t="str">
        <f>'Form responses 1'!AQ158</f>
        <v/>
      </c>
      <c r="AI156" s="4" t="str">
        <f>'Form responses 1'!AR158</f>
        <v/>
      </c>
    </row>
    <row r="157">
      <c r="A157" s="26">
        <f>'Form responses 1'!B159</f>
        <v>46064</v>
      </c>
      <c r="B157" s="4" t="str">
        <f>'Form responses 1'!AZ159</f>
        <v>nitya.akshara@capsdelivery.com</v>
      </c>
      <c r="C157" s="4" t="str">
        <f>'Form responses 1'!BR159</f>
        <v>Vasista Sri Lakshmi </v>
      </c>
      <c r="D157" s="4" t="str">
        <f>'Form responses 1'!AT159</f>
        <v/>
      </c>
      <c r="E157" s="4" t="str">
        <f>'Form responses 1'!AU159</f>
        <v>Yes</v>
      </c>
      <c r="F157" s="4" t="str">
        <f>'Form responses 1'!AX159</f>
        <v/>
      </c>
      <c r="G157" s="4" t="str">
        <f>'Form responses 1'!AY159</f>
        <v/>
      </c>
      <c r="H157" s="53" t="str">
        <f>'Form responses 1'!AW159</f>
        <v/>
      </c>
      <c r="I157" s="4" t="str">
        <f>'Form responses 1'!AS159</f>
        <v/>
      </c>
      <c r="J157" s="4" t="str">
        <f>'Form responses 1'!J159</f>
        <v>Tier-3 ( AOV&lt;200 )</v>
      </c>
      <c r="K157" s="4">
        <f>'Form responses 1'!G159</f>
        <v>150</v>
      </c>
      <c r="L157" s="4">
        <f>'Form responses 1'!F159</f>
        <v>1</v>
      </c>
      <c r="M157" s="4" t="str">
        <f>'Form responses 1'!U159</f>
        <v>NA</v>
      </c>
      <c r="N157" s="4" t="str">
        <f>'Form responses 1'!V159</f>
        <v>NA</v>
      </c>
      <c r="O157" s="4" t="str">
        <f>'Form responses 1'!W159</f>
        <v>NA</v>
      </c>
      <c r="P157" s="4" t="str">
        <f>'Form responses 1'!X159</f>
        <v/>
      </c>
      <c r="Q157" s="4" t="str">
        <f>'Form responses 1'!Y159</f>
        <v/>
      </c>
      <c r="R157" s="4" t="str">
        <f>'Form responses 1'!Z159</f>
        <v/>
      </c>
      <c r="S157" s="4" t="str">
        <f>'Form responses 1'!AC159</f>
        <v/>
      </c>
      <c r="T157" s="4" t="str">
        <f>'Form responses 1'!AE159</f>
        <v/>
      </c>
      <c r="U157" s="4" t="str">
        <f>'Form responses 1'!AG159</f>
        <v/>
      </c>
      <c r="V157" s="4" t="str">
        <f>'Form responses 1'!AI159</f>
        <v/>
      </c>
      <c r="W157" s="4" t="str">
        <f>'Form responses 1'!AJ159</f>
        <v/>
      </c>
      <c r="X157" s="4" t="str">
        <f>'Form responses 1'!AK159</f>
        <v/>
      </c>
      <c r="Y157" s="4">
        <f t="shared" ref="Y157:AD157" si="156">if(S157&gt;0,1,0)</f>
        <v>0</v>
      </c>
      <c r="Z157" s="4">
        <f t="shared" si="156"/>
        <v>0</v>
      </c>
      <c r="AA157" s="4">
        <f t="shared" si="156"/>
        <v>0</v>
      </c>
      <c r="AB157" s="4">
        <f t="shared" si="156"/>
        <v>0</v>
      </c>
      <c r="AC157" s="4">
        <f t="shared" si="156"/>
        <v>0</v>
      </c>
      <c r="AD157" s="4">
        <f t="shared" si="156"/>
        <v>0</v>
      </c>
      <c r="AE157" s="4" t="str">
        <f>'Form responses 1'!AN159</f>
        <v/>
      </c>
      <c r="AF157" s="4" t="str">
        <f>'Form responses 1'!AO159</f>
        <v/>
      </c>
      <c r="AG157" s="4" t="str">
        <f>'Form responses 1'!AP159</f>
        <v/>
      </c>
      <c r="AH157" s="4" t="str">
        <f>'Form responses 1'!AQ159</f>
        <v/>
      </c>
      <c r="AI157" s="4" t="str">
        <f>'Form responses 1'!AR159</f>
        <v/>
      </c>
    </row>
    <row r="158">
      <c r="A158" s="26">
        <f>'Form responses 1'!B160</f>
        <v>46064</v>
      </c>
      <c r="B158" s="4" t="str">
        <f>'Form responses 1'!AZ160</f>
        <v>greeshma.vanneldas@capsdelivery.com</v>
      </c>
      <c r="C158" s="4" t="str">
        <f>'Form responses 1'!BR160</f>
        <v/>
      </c>
      <c r="D158" s="4" t="str">
        <f>'Form responses 1'!AT160</f>
        <v/>
      </c>
      <c r="E158" s="4" t="str">
        <f>'Form responses 1'!AU160</f>
        <v>Yes</v>
      </c>
      <c r="F158" s="4" t="str">
        <f>'Form responses 1'!AX160</f>
        <v/>
      </c>
      <c r="G158" s="4" t="str">
        <f>'Form responses 1'!AY160</f>
        <v/>
      </c>
      <c r="H158" s="53" t="str">
        <f>'Form responses 1'!AW160</f>
        <v>Manager will be available in the evng after 19:00PM</v>
      </c>
      <c r="I158" s="4" t="str">
        <f>'Form responses 1'!AS160</f>
        <v/>
      </c>
      <c r="J158" s="4" t="str">
        <f>'Form responses 1'!J160</f>
        <v/>
      </c>
      <c r="K158" s="4" t="str">
        <f>'Form responses 1'!G160</f>
        <v/>
      </c>
      <c r="L158" s="4" t="str">
        <f>'Form responses 1'!F160</f>
        <v/>
      </c>
      <c r="M158" s="4" t="str">
        <f>'Form responses 1'!U160</f>
        <v>Abdul</v>
      </c>
      <c r="N158" s="4">
        <f>'Form responses 1'!V160</f>
        <v>9550402185</v>
      </c>
      <c r="O158" s="4" t="str">
        <f>'Form responses 1'!W160</f>
        <v>Na</v>
      </c>
      <c r="P158" s="4" t="str">
        <f>'Form responses 1'!X160</f>
        <v/>
      </c>
      <c r="Q158" s="4" t="str">
        <f>'Form responses 1'!Y160</f>
        <v/>
      </c>
      <c r="R158" s="4" t="str">
        <f>'Form responses 1'!Z160</f>
        <v/>
      </c>
      <c r="S158" s="4" t="str">
        <f>'Form responses 1'!AC160</f>
        <v/>
      </c>
      <c r="T158" s="4" t="str">
        <f>'Form responses 1'!AE160</f>
        <v/>
      </c>
      <c r="U158" s="4" t="str">
        <f>'Form responses 1'!AG160</f>
        <v/>
      </c>
      <c r="V158" s="4" t="str">
        <f>'Form responses 1'!AI160</f>
        <v/>
      </c>
      <c r="W158" s="4" t="str">
        <f>'Form responses 1'!AJ160</f>
        <v/>
      </c>
      <c r="X158" s="4" t="str">
        <f>'Form responses 1'!AK160</f>
        <v/>
      </c>
      <c r="Y158" s="4">
        <f t="shared" ref="Y158:AD158" si="157">if(S158&gt;0,1,0)</f>
        <v>0</v>
      </c>
      <c r="Z158" s="4">
        <f t="shared" si="157"/>
        <v>0</v>
      </c>
      <c r="AA158" s="4">
        <f t="shared" si="157"/>
        <v>0</v>
      </c>
      <c r="AB158" s="4">
        <f t="shared" si="157"/>
        <v>0</v>
      </c>
      <c r="AC158" s="4">
        <f t="shared" si="157"/>
        <v>0</v>
      </c>
      <c r="AD158" s="4">
        <f t="shared" si="157"/>
        <v>0</v>
      </c>
      <c r="AE158" s="4" t="str">
        <f>'Form responses 1'!AN160</f>
        <v/>
      </c>
      <c r="AF158" s="4" t="str">
        <f>'Form responses 1'!AO160</f>
        <v/>
      </c>
      <c r="AG158" s="4" t="str">
        <f>'Form responses 1'!AP160</f>
        <v/>
      </c>
      <c r="AH158" s="4" t="str">
        <f>'Form responses 1'!AQ160</f>
        <v/>
      </c>
      <c r="AI158" s="4" t="str">
        <f>'Form responses 1'!AR160</f>
        <v/>
      </c>
    </row>
    <row r="159">
      <c r="A159" s="26">
        <f>'Form responses 1'!B161</f>
        <v>46064</v>
      </c>
      <c r="B159" s="4" t="str">
        <f>'Form responses 1'!AZ161</f>
        <v>ankitha.baske@capsdelivery.com</v>
      </c>
      <c r="C159" s="4" t="str">
        <f>'Form responses 1'!BR161</f>
        <v>Dosthugallu Mandi</v>
      </c>
      <c r="D159" s="4" t="str">
        <f>'Form responses 1'!AT161</f>
        <v/>
      </c>
      <c r="E159" s="4" t="str">
        <f>'Form responses 1'!AU161</f>
        <v>Yes</v>
      </c>
      <c r="F159" s="4" t="str">
        <f>'Form responses 1'!AX161</f>
        <v/>
      </c>
      <c r="G159" s="4" t="str">
        <f>'Form responses 1'!AY161</f>
        <v/>
      </c>
      <c r="H159" s="53" t="str">
        <f>'Form responses 1'!AW161</f>
        <v/>
      </c>
      <c r="I159" s="4" t="str">
        <f>'Form responses 1'!AS161</f>
        <v/>
      </c>
      <c r="J159" s="4" t="str">
        <f>'Form responses 1'!J161</f>
        <v>Tier-3 ( AOV&lt;200 )</v>
      </c>
      <c r="K159" s="4">
        <f>'Form responses 1'!G161</f>
        <v>300</v>
      </c>
      <c r="L159" s="4">
        <f>'Form responses 1'!F161</f>
        <v>60</v>
      </c>
      <c r="M159" s="4" t="str">
        <f>'Form responses 1'!U161</f>
        <v>Sandhya Rani</v>
      </c>
      <c r="N159" s="4">
        <f>'Form responses 1'!V161</f>
        <v>9966660134</v>
      </c>
      <c r="O159" s="4" t="str">
        <f>'Form responses 1'!W161</f>
        <v>NA</v>
      </c>
      <c r="P159" s="4" t="str">
        <f>'Form responses 1'!X161</f>
        <v/>
      </c>
      <c r="Q159" s="4" t="str">
        <f>'Form responses 1'!Y161</f>
        <v/>
      </c>
      <c r="R159" s="4" t="str">
        <f>'Form responses 1'!Z161</f>
        <v/>
      </c>
      <c r="S159" s="4" t="str">
        <f>'Form responses 1'!AC161</f>
        <v/>
      </c>
      <c r="T159" s="4" t="str">
        <f>'Form responses 1'!AE161</f>
        <v/>
      </c>
      <c r="U159" s="4" t="str">
        <f>'Form responses 1'!AG161</f>
        <v/>
      </c>
      <c r="V159" s="4" t="str">
        <f>'Form responses 1'!AI161</f>
        <v/>
      </c>
      <c r="W159" s="4" t="str">
        <f>'Form responses 1'!AJ161</f>
        <v/>
      </c>
      <c r="X159" s="4" t="str">
        <f>'Form responses 1'!AK161</f>
        <v/>
      </c>
      <c r="Y159" s="4">
        <f t="shared" ref="Y159:AD159" si="158">if(S159&gt;0,1,0)</f>
        <v>0</v>
      </c>
      <c r="Z159" s="4">
        <f t="shared" si="158"/>
        <v>0</v>
      </c>
      <c r="AA159" s="4">
        <f t="shared" si="158"/>
        <v>0</v>
      </c>
      <c r="AB159" s="4">
        <f t="shared" si="158"/>
        <v>0</v>
      </c>
      <c r="AC159" s="4">
        <f t="shared" si="158"/>
        <v>0</v>
      </c>
      <c r="AD159" s="4">
        <f t="shared" si="158"/>
        <v>0</v>
      </c>
      <c r="AE159" s="4" t="str">
        <f>'Form responses 1'!AN161</f>
        <v/>
      </c>
      <c r="AF159" s="4" t="str">
        <f>'Form responses 1'!AO161</f>
        <v/>
      </c>
      <c r="AG159" s="4" t="str">
        <f>'Form responses 1'!AP161</f>
        <v/>
      </c>
      <c r="AH159" s="4" t="str">
        <f>'Form responses 1'!AQ161</f>
        <v/>
      </c>
      <c r="AI159" s="4" t="str">
        <f>'Form responses 1'!AR161</f>
        <v/>
      </c>
    </row>
    <row r="160">
      <c r="A160" s="26">
        <f>'Form responses 1'!B162</f>
        <v>46064</v>
      </c>
      <c r="B160" s="4" t="str">
        <f>'Form responses 1'!AZ162</f>
        <v>ankitha.baske@capsdelivery.com</v>
      </c>
      <c r="C160" s="4" t="str">
        <f>'Form responses 1'!BR162</f>
        <v>Namesthe</v>
      </c>
      <c r="D160" s="4" t="str">
        <f>'Form responses 1'!AT162</f>
        <v/>
      </c>
      <c r="E160" s="4" t="str">
        <f>'Form responses 1'!AU162</f>
        <v>Yes</v>
      </c>
      <c r="F160" s="4" t="str">
        <f>'Form responses 1'!AX162</f>
        <v/>
      </c>
      <c r="G160" s="4" t="str">
        <f>'Form responses 1'!AY162</f>
        <v/>
      </c>
      <c r="H160" s="53" t="str">
        <f>'Form responses 1'!AW162</f>
        <v/>
      </c>
      <c r="I160" s="4" t="str">
        <f>'Form responses 1'!AS162</f>
        <v/>
      </c>
      <c r="J160" s="4" t="str">
        <f>'Form responses 1'!J162</f>
        <v>Tier-1(AOV&gt;400)</v>
      </c>
      <c r="K160" s="4">
        <f>'Form responses 1'!G162</f>
        <v>500</v>
      </c>
      <c r="L160" s="4">
        <f>'Form responses 1'!F162</f>
        <v>1</v>
      </c>
      <c r="M160" s="4" t="str">
        <f>'Form responses 1'!U162</f>
        <v>Basawath</v>
      </c>
      <c r="N160" s="4">
        <f>'Form responses 1'!V162</f>
        <v>9052253253</v>
      </c>
      <c r="O160" s="4" t="str">
        <f>'Form responses 1'!W162</f>
        <v>Na</v>
      </c>
      <c r="P160" s="4" t="str">
        <f>'Form responses 1'!X162</f>
        <v/>
      </c>
      <c r="Q160" s="4" t="str">
        <f>'Form responses 1'!Y162</f>
        <v/>
      </c>
      <c r="R160" s="4" t="str">
        <f>'Form responses 1'!Z162</f>
        <v/>
      </c>
      <c r="S160" s="4" t="str">
        <f>'Form responses 1'!AC162</f>
        <v/>
      </c>
      <c r="T160" s="4" t="str">
        <f>'Form responses 1'!AE162</f>
        <v/>
      </c>
      <c r="U160" s="4" t="str">
        <f>'Form responses 1'!AG162</f>
        <v/>
      </c>
      <c r="V160" s="4" t="str">
        <f>'Form responses 1'!AI162</f>
        <v/>
      </c>
      <c r="W160" s="4" t="str">
        <f>'Form responses 1'!AJ162</f>
        <v/>
      </c>
      <c r="X160" s="4" t="str">
        <f>'Form responses 1'!AK162</f>
        <v/>
      </c>
      <c r="Y160" s="4">
        <f t="shared" ref="Y160:AD160" si="159">if(S160&gt;0,1,0)</f>
        <v>0</v>
      </c>
      <c r="Z160" s="4">
        <f t="shared" si="159"/>
        <v>0</v>
      </c>
      <c r="AA160" s="4">
        <f t="shared" si="159"/>
        <v>0</v>
      </c>
      <c r="AB160" s="4">
        <f t="shared" si="159"/>
        <v>0</v>
      </c>
      <c r="AC160" s="4">
        <f t="shared" si="159"/>
        <v>0</v>
      </c>
      <c r="AD160" s="4">
        <f t="shared" si="159"/>
        <v>0</v>
      </c>
      <c r="AE160" s="4" t="str">
        <f>'Form responses 1'!AN162</f>
        <v/>
      </c>
      <c r="AF160" s="4" t="str">
        <f>'Form responses 1'!AO162</f>
        <v/>
      </c>
      <c r="AG160" s="4" t="str">
        <f>'Form responses 1'!AP162</f>
        <v/>
      </c>
      <c r="AH160" s="4" t="str">
        <f>'Form responses 1'!AQ162</f>
        <v/>
      </c>
      <c r="AI160" s="4" t="str">
        <f>'Form responses 1'!AR162</f>
        <v/>
      </c>
    </row>
    <row r="161">
      <c r="A161" s="26">
        <f>'Form responses 1'!B163</f>
        <v>46064</v>
      </c>
      <c r="B161" s="4" t="str">
        <f>'Form responses 1'!AZ163</f>
        <v>ankitha.baske@capsdelivery.com</v>
      </c>
      <c r="C161" s="4" t="str">
        <f>'Form responses 1'!BR163</f>
        <v>Spicy Express </v>
      </c>
      <c r="D161" s="4" t="str">
        <f>'Form responses 1'!AT163</f>
        <v/>
      </c>
      <c r="E161" s="4" t="str">
        <f>'Form responses 1'!AU163</f>
        <v>Yes</v>
      </c>
      <c r="F161" s="26">
        <f>'Form responses 1'!AX163</f>
        <v>46066</v>
      </c>
      <c r="G161" s="4" t="str">
        <f>'Form responses 1'!AY163</f>
        <v/>
      </c>
      <c r="H161" s="53" t="str">
        <f>'Form responses 1'!AW163</f>
        <v>Ready for Onboarding but need time</v>
      </c>
      <c r="I161" s="4" t="str">
        <f>'Form responses 1'!AS163</f>
        <v/>
      </c>
      <c r="J161" s="4" t="str">
        <f>'Form responses 1'!J163</f>
        <v>Tier-3 ( AOV&lt;200 )</v>
      </c>
      <c r="K161" s="4">
        <f>'Form responses 1'!G163</f>
        <v>120</v>
      </c>
      <c r="L161" s="4">
        <f>'Form responses 1'!F163</f>
        <v>40</v>
      </c>
      <c r="M161" s="4" t="str">
        <f>'Form responses 1'!U163</f>
        <v>Balu</v>
      </c>
      <c r="N161" s="4">
        <f>'Form responses 1'!V163</f>
        <v>9059036521</v>
      </c>
      <c r="O161" s="4" t="str">
        <f>'Form responses 1'!W163</f>
        <v>NA</v>
      </c>
      <c r="P161" s="4" t="str">
        <f>'Form responses 1'!X163</f>
        <v/>
      </c>
      <c r="Q161" s="4" t="str">
        <f>'Form responses 1'!Y163</f>
        <v/>
      </c>
      <c r="R161" s="4" t="str">
        <f>'Form responses 1'!Z163</f>
        <v/>
      </c>
      <c r="S161" s="4" t="str">
        <f>'Form responses 1'!AC163</f>
        <v/>
      </c>
      <c r="T161" s="4" t="str">
        <f>'Form responses 1'!AE163</f>
        <v/>
      </c>
      <c r="U161" s="4" t="str">
        <f>'Form responses 1'!AG163</f>
        <v/>
      </c>
      <c r="V161" s="4" t="str">
        <f>'Form responses 1'!AI163</f>
        <v/>
      </c>
      <c r="W161" s="4" t="str">
        <f>'Form responses 1'!AJ163</f>
        <v/>
      </c>
      <c r="X161" s="4" t="str">
        <f>'Form responses 1'!AK163</f>
        <v/>
      </c>
      <c r="Y161" s="4">
        <f t="shared" ref="Y161:AD161" si="160">if(S161&gt;0,1,0)</f>
        <v>0</v>
      </c>
      <c r="Z161" s="4">
        <f t="shared" si="160"/>
        <v>0</v>
      </c>
      <c r="AA161" s="4">
        <f t="shared" si="160"/>
        <v>0</v>
      </c>
      <c r="AB161" s="4">
        <f t="shared" si="160"/>
        <v>0</v>
      </c>
      <c r="AC161" s="4">
        <f t="shared" si="160"/>
        <v>0</v>
      </c>
      <c r="AD161" s="4">
        <f t="shared" si="160"/>
        <v>0</v>
      </c>
      <c r="AE161" s="4" t="str">
        <f>'Form responses 1'!AN163</f>
        <v/>
      </c>
      <c r="AF161" s="4" t="str">
        <f>'Form responses 1'!AO163</f>
        <v/>
      </c>
      <c r="AG161" s="4" t="str">
        <f>'Form responses 1'!AP163</f>
        <v/>
      </c>
      <c r="AH161" s="4" t="str">
        <f>'Form responses 1'!AQ163</f>
        <v/>
      </c>
      <c r="AI161" s="4" t="str">
        <f>'Form responses 1'!AR163</f>
        <v/>
      </c>
    </row>
    <row r="162">
      <c r="A162" s="26">
        <f>'Form responses 1'!B164</f>
        <v>46064</v>
      </c>
      <c r="B162" s="4" t="str">
        <f>'Form responses 1'!AZ164</f>
        <v>manasa.chigurupati@capsdelivery.com</v>
      </c>
      <c r="C162" s="4" t="str">
        <f>'Form responses 1'!BR164</f>
        <v>Chintamani Pulaos</v>
      </c>
      <c r="D162" s="4" t="str">
        <f>'Form responses 1'!AT164</f>
        <v>Need to submit docs</v>
      </c>
      <c r="E162" s="4" t="str">
        <f>'Form responses 1'!AU164</f>
        <v>No</v>
      </c>
      <c r="F162" s="4" t="str">
        <f>'Form responses 1'!AX164</f>
        <v/>
      </c>
      <c r="G162" s="4" t="str">
        <f>'Form responses 1'!AY164</f>
        <v/>
      </c>
      <c r="H162" s="53" t="str">
        <f>'Form responses 1'!AW164</f>
        <v/>
      </c>
      <c r="I162" s="4" t="str">
        <f>'Form responses 1'!AS164</f>
        <v>Yes</v>
      </c>
      <c r="J162" s="4" t="str">
        <f>'Form responses 1'!J164</f>
        <v>Tier-2 (AOV &lt;400)</v>
      </c>
      <c r="K162" s="4">
        <f>'Form responses 1'!G164</f>
        <v>280</v>
      </c>
      <c r="L162" s="4">
        <f>'Form responses 1'!F164</f>
        <v>25</v>
      </c>
      <c r="M162" s="4" t="str">
        <f>'Form responses 1'!U164</f>
        <v>Omkar</v>
      </c>
      <c r="N162" s="4">
        <f>'Form responses 1'!V164</f>
        <v>7032735002</v>
      </c>
      <c r="O162" s="4" t="str">
        <f>'Form responses 1'!W164</f>
        <v>Addomkar@gmail.com</v>
      </c>
      <c r="P162" s="4" t="str">
        <f>'Form responses 1'!X164</f>
        <v/>
      </c>
      <c r="Q162" s="4" t="str">
        <f>'Form responses 1'!Y164</f>
        <v/>
      </c>
      <c r="R162" s="4" t="str">
        <f>'Form responses 1'!Z164</f>
        <v/>
      </c>
      <c r="S162" s="54" t="str">
        <f>'Form responses 1'!AC164</f>
        <v>https://drive.google.com/open?id=1h3_DBVEvIMkLFlPtsfWS18CSpghzWTn2</v>
      </c>
      <c r="T162" s="54" t="str">
        <f>'Form responses 1'!AE164</f>
        <v>https://drive.google.com/open?id=1oMq8fqPB0ZMZ2V7hVfWrTU4nKYssh1mD</v>
      </c>
      <c r="U162" s="4" t="str">
        <f>'Form responses 1'!AG164</f>
        <v/>
      </c>
      <c r="V162" s="54" t="str">
        <f>'Form responses 1'!AI164</f>
        <v>https://drive.google.com/open?id=1qCkHg4Q5BTWb_r67QEH7wbvl6kslEcxf</v>
      </c>
      <c r="W162" s="4" t="str">
        <f>'Form responses 1'!AJ164</f>
        <v/>
      </c>
      <c r="X162" s="4" t="str">
        <f>'Form responses 1'!AK164</f>
        <v/>
      </c>
      <c r="Y162" s="4">
        <f t="shared" ref="Y162:AD162" si="161">if(S162&gt;0,1,0)</f>
        <v>1</v>
      </c>
      <c r="Z162" s="4">
        <f t="shared" si="161"/>
        <v>1</v>
      </c>
      <c r="AA162" s="4">
        <f t="shared" si="161"/>
        <v>0</v>
      </c>
      <c r="AB162" s="4">
        <f t="shared" si="161"/>
        <v>1</v>
      </c>
      <c r="AC162" s="4">
        <f t="shared" si="161"/>
        <v>0</v>
      </c>
      <c r="AD162" s="4">
        <f t="shared" si="161"/>
        <v>0</v>
      </c>
      <c r="AE162" s="4" t="str">
        <f>'Form responses 1'!AN164</f>
        <v/>
      </c>
      <c r="AF162" s="4" t="str">
        <f>'Form responses 1'!AO164</f>
        <v/>
      </c>
      <c r="AG162" s="4" t="str">
        <f>'Form responses 1'!AP164</f>
        <v/>
      </c>
      <c r="AH162" s="4" t="str">
        <f>'Form responses 1'!AQ164</f>
        <v/>
      </c>
      <c r="AI162" s="4" t="str">
        <f>'Form responses 1'!AR164</f>
        <v/>
      </c>
    </row>
    <row r="163">
      <c r="A163" s="26">
        <f>'Form responses 1'!B165</f>
        <v>46064</v>
      </c>
      <c r="B163" s="4" t="str">
        <f>'Form responses 1'!AZ165</f>
        <v>moin.khan@capsdelivery.com</v>
      </c>
      <c r="C163" s="4" t="str">
        <f>'Form responses 1'!BR165</f>
        <v/>
      </c>
      <c r="D163" s="4" t="str">
        <f>'Form responses 1'!AT165</f>
        <v/>
      </c>
      <c r="E163" s="4" t="str">
        <f>'Form responses 1'!AU165</f>
        <v>Yes</v>
      </c>
      <c r="F163" s="26">
        <f>'Form responses 1'!AX165</f>
        <v>46069</v>
      </c>
      <c r="G163" s="52">
        <f>'Form responses 1'!AY165</f>
        <v>0.5833333333</v>
      </c>
      <c r="H163" s="53" t="str">
        <f>'Form responses 1'!AW165</f>
        <v/>
      </c>
      <c r="I163" s="4" t="str">
        <f>'Form responses 1'!AS165</f>
        <v/>
      </c>
      <c r="J163" s="4" t="str">
        <f>'Form responses 1'!J165</f>
        <v/>
      </c>
      <c r="K163" s="4" t="str">
        <f>'Form responses 1'!G165</f>
        <v/>
      </c>
      <c r="L163" s="4" t="str">
        <f>'Form responses 1'!F165</f>
        <v/>
      </c>
      <c r="M163" s="4" t="str">
        <f>'Form responses 1'!U165</f>
        <v>ibharim </v>
      </c>
      <c r="N163" s="4">
        <f>'Form responses 1'!V165</f>
        <v>9133424262</v>
      </c>
      <c r="O163" s="4" t="str">
        <f>'Form responses 1'!W165</f>
        <v>NA</v>
      </c>
      <c r="P163" s="4" t="str">
        <f>'Form responses 1'!X165</f>
        <v/>
      </c>
      <c r="Q163" s="4" t="str">
        <f>'Form responses 1'!Y165</f>
        <v/>
      </c>
      <c r="R163" s="4" t="str">
        <f>'Form responses 1'!Z165</f>
        <v/>
      </c>
      <c r="S163" s="4" t="str">
        <f>'Form responses 1'!AC165</f>
        <v/>
      </c>
      <c r="T163" s="4" t="str">
        <f>'Form responses 1'!AE165</f>
        <v/>
      </c>
      <c r="U163" s="4" t="str">
        <f>'Form responses 1'!AG165</f>
        <v/>
      </c>
      <c r="V163" s="4" t="str">
        <f>'Form responses 1'!AI165</f>
        <v/>
      </c>
      <c r="W163" s="4" t="str">
        <f>'Form responses 1'!AJ165</f>
        <v/>
      </c>
      <c r="X163" s="4" t="str">
        <f>'Form responses 1'!AK165</f>
        <v/>
      </c>
      <c r="Y163" s="4">
        <f t="shared" ref="Y163:AD163" si="162">if(S163&gt;0,1,0)</f>
        <v>0</v>
      </c>
      <c r="Z163" s="4">
        <f t="shared" si="162"/>
        <v>0</v>
      </c>
      <c r="AA163" s="4">
        <f t="shared" si="162"/>
        <v>0</v>
      </c>
      <c r="AB163" s="4">
        <f t="shared" si="162"/>
        <v>0</v>
      </c>
      <c r="AC163" s="4">
        <f t="shared" si="162"/>
        <v>0</v>
      </c>
      <c r="AD163" s="4">
        <f t="shared" si="162"/>
        <v>0</v>
      </c>
      <c r="AE163" s="4" t="str">
        <f>'Form responses 1'!AN165</f>
        <v/>
      </c>
      <c r="AF163" s="4" t="str">
        <f>'Form responses 1'!AO165</f>
        <v/>
      </c>
      <c r="AG163" s="4" t="str">
        <f>'Form responses 1'!AP165</f>
        <v/>
      </c>
      <c r="AH163" s="4" t="str">
        <f>'Form responses 1'!AQ165</f>
        <v/>
      </c>
      <c r="AI163" s="4" t="str">
        <f>'Form responses 1'!AR165</f>
        <v/>
      </c>
    </row>
    <row r="164">
      <c r="A164" s="26">
        <f>'Form responses 1'!B166</f>
        <v>46064</v>
      </c>
      <c r="B164" s="4" t="str">
        <f>'Form responses 1'!AZ166</f>
        <v>moin.khan@capsdelivery.com</v>
      </c>
      <c r="C164" s="4" t="str">
        <f>'Form responses 1'!BR166</f>
        <v>royal arabian mandi </v>
      </c>
      <c r="D164" s="4" t="str">
        <f>'Form responses 1'!AT166</f>
        <v/>
      </c>
      <c r="E164" s="4" t="str">
        <f>'Form responses 1'!AU166</f>
        <v>Yes</v>
      </c>
      <c r="F164" s="26">
        <f>'Form responses 1'!AX166</f>
        <v>46069</v>
      </c>
      <c r="G164" s="52">
        <f>'Form responses 1'!AY166</f>
        <v>0.7916666667</v>
      </c>
      <c r="H164" s="53" t="str">
        <f>'Form responses 1'!AW166</f>
        <v>OWNER WILL BE AVAILABLE AT 11 PM IN EVENIING</v>
      </c>
      <c r="I164" s="4" t="str">
        <f>'Form responses 1'!AS166</f>
        <v/>
      </c>
      <c r="J164" s="4" t="str">
        <f>'Form responses 1'!J166</f>
        <v/>
      </c>
      <c r="K164" s="4" t="str">
        <f>'Form responses 1'!G166</f>
        <v/>
      </c>
      <c r="L164" s="4" t="str">
        <f>'Form responses 1'!F166</f>
        <v/>
      </c>
      <c r="M164" s="4" t="str">
        <f>'Form responses 1'!U166</f>
        <v>ASHFAQ</v>
      </c>
      <c r="N164" s="4" t="str">
        <f>'Form responses 1'!V166</f>
        <v>NA</v>
      </c>
      <c r="O164" s="4" t="str">
        <f>'Form responses 1'!W166</f>
        <v>NA</v>
      </c>
      <c r="P164" s="4" t="str">
        <f>'Form responses 1'!X166</f>
        <v/>
      </c>
      <c r="Q164" s="4" t="str">
        <f>'Form responses 1'!Y166</f>
        <v/>
      </c>
      <c r="R164" s="4" t="str">
        <f>'Form responses 1'!Z166</f>
        <v/>
      </c>
      <c r="S164" s="4" t="str">
        <f>'Form responses 1'!AC166</f>
        <v/>
      </c>
      <c r="T164" s="4" t="str">
        <f>'Form responses 1'!AE166</f>
        <v/>
      </c>
      <c r="U164" s="4" t="str">
        <f>'Form responses 1'!AG166</f>
        <v/>
      </c>
      <c r="V164" s="4" t="str">
        <f>'Form responses 1'!AI166</f>
        <v/>
      </c>
      <c r="W164" s="4" t="str">
        <f>'Form responses 1'!AJ166</f>
        <v/>
      </c>
      <c r="X164" s="4" t="str">
        <f>'Form responses 1'!AK166</f>
        <v/>
      </c>
      <c r="Y164" s="4">
        <f t="shared" ref="Y164:AD164" si="163">if(S164&gt;0,1,0)</f>
        <v>0</v>
      </c>
      <c r="Z164" s="4">
        <f t="shared" si="163"/>
        <v>0</v>
      </c>
      <c r="AA164" s="4">
        <f t="shared" si="163"/>
        <v>0</v>
      </c>
      <c r="AB164" s="4">
        <f t="shared" si="163"/>
        <v>0</v>
      </c>
      <c r="AC164" s="4">
        <f t="shared" si="163"/>
        <v>0</v>
      </c>
      <c r="AD164" s="4">
        <f t="shared" si="163"/>
        <v>0</v>
      </c>
      <c r="AE164" s="4" t="str">
        <f>'Form responses 1'!AN166</f>
        <v/>
      </c>
      <c r="AF164" s="4" t="str">
        <f>'Form responses 1'!AO166</f>
        <v/>
      </c>
      <c r="AG164" s="4" t="str">
        <f>'Form responses 1'!AP166</f>
        <v/>
      </c>
      <c r="AH164" s="4" t="str">
        <f>'Form responses 1'!AQ166</f>
        <v/>
      </c>
      <c r="AI164" s="4" t="str">
        <f>'Form responses 1'!AR166</f>
        <v/>
      </c>
    </row>
    <row r="165">
      <c r="A165" s="26">
        <f>'Form responses 1'!B167</f>
        <v>46064</v>
      </c>
      <c r="B165" s="4" t="str">
        <f>'Form responses 1'!AZ167</f>
        <v>moin.khan@capsdelivery.com</v>
      </c>
      <c r="C165" s="4" t="str">
        <f>'Form responses 1'!BR167</f>
        <v>7 spices </v>
      </c>
      <c r="D165" s="4" t="str">
        <f>'Form responses 1'!AT167</f>
        <v/>
      </c>
      <c r="E165" s="4" t="str">
        <f>'Form responses 1'!AU167</f>
        <v>Yes</v>
      </c>
      <c r="F165" s="26">
        <f>'Form responses 1'!AX167</f>
        <v>46068</v>
      </c>
      <c r="G165" s="52">
        <f>'Form responses 1'!AY167</f>
        <v>0.5833333333</v>
      </c>
      <c r="H165" s="53" t="str">
        <f>'Form responses 1'!AW167</f>
        <v/>
      </c>
      <c r="I165" s="4" t="str">
        <f>'Form responses 1'!AS167</f>
        <v/>
      </c>
      <c r="J165" s="4" t="str">
        <f>'Form responses 1'!J167</f>
        <v/>
      </c>
      <c r="K165" s="4" t="str">
        <f>'Form responses 1'!G167</f>
        <v/>
      </c>
      <c r="L165" s="4" t="str">
        <f>'Form responses 1'!F167</f>
        <v/>
      </c>
      <c r="M165" s="4" t="str">
        <f>'Form responses 1'!U167</f>
        <v>ali </v>
      </c>
      <c r="N165" s="4">
        <f>'Form responses 1'!V167</f>
        <v>7799777981</v>
      </c>
      <c r="O165" s="4" t="str">
        <f>'Form responses 1'!W167</f>
        <v>NA</v>
      </c>
      <c r="P165" s="4" t="str">
        <f>'Form responses 1'!X167</f>
        <v/>
      </c>
      <c r="Q165" s="4" t="str">
        <f>'Form responses 1'!Y167</f>
        <v/>
      </c>
      <c r="R165" s="4" t="str">
        <f>'Form responses 1'!Z167</f>
        <v/>
      </c>
      <c r="S165" s="4" t="str">
        <f>'Form responses 1'!AC167</f>
        <v/>
      </c>
      <c r="T165" s="4" t="str">
        <f>'Form responses 1'!AE167</f>
        <v/>
      </c>
      <c r="U165" s="4" t="str">
        <f>'Form responses 1'!AG167</f>
        <v/>
      </c>
      <c r="V165" s="4" t="str">
        <f>'Form responses 1'!AI167</f>
        <v/>
      </c>
      <c r="W165" s="4" t="str">
        <f>'Form responses 1'!AJ167</f>
        <v/>
      </c>
      <c r="X165" s="4" t="str">
        <f>'Form responses 1'!AK167</f>
        <v/>
      </c>
      <c r="Y165" s="4">
        <f t="shared" ref="Y165:AD165" si="164">if(S165&gt;0,1,0)</f>
        <v>0</v>
      </c>
      <c r="Z165" s="4">
        <f t="shared" si="164"/>
        <v>0</v>
      </c>
      <c r="AA165" s="4">
        <f t="shared" si="164"/>
        <v>0</v>
      </c>
      <c r="AB165" s="4">
        <f t="shared" si="164"/>
        <v>0</v>
      </c>
      <c r="AC165" s="4">
        <f t="shared" si="164"/>
        <v>0</v>
      </c>
      <c r="AD165" s="4">
        <f t="shared" si="164"/>
        <v>0</v>
      </c>
      <c r="AE165" s="4" t="str">
        <f>'Form responses 1'!AN167</f>
        <v/>
      </c>
      <c r="AF165" s="4" t="str">
        <f>'Form responses 1'!AO167</f>
        <v/>
      </c>
      <c r="AG165" s="4" t="str">
        <f>'Form responses 1'!AP167</f>
        <v/>
      </c>
      <c r="AH165" s="4" t="str">
        <f>'Form responses 1'!AQ167</f>
        <v/>
      </c>
      <c r="AI165" s="4" t="str">
        <f>'Form responses 1'!AR167</f>
        <v/>
      </c>
    </row>
    <row r="166">
      <c r="A166" s="26">
        <f>'Form responses 1'!B168</f>
        <v>46064</v>
      </c>
      <c r="B166" s="4" t="str">
        <f>'Form responses 1'!AZ168</f>
        <v>moin.khan@capsdelivery.com</v>
      </c>
      <c r="C166" s="4" t="str">
        <f>'Form responses 1'!BR168</f>
        <v/>
      </c>
      <c r="D166" s="4" t="str">
        <f>'Form responses 1'!AT168</f>
        <v/>
      </c>
      <c r="E166" s="4" t="str">
        <f>'Form responses 1'!AU168</f>
        <v>Yes</v>
      </c>
      <c r="F166" s="26">
        <f>'Form responses 1'!AX168</f>
        <v>46065</v>
      </c>
      <c r="G166" s="52">
        <f>'Form responses 1'!AY168</f>
        <v>0.5833333333</v>
      </c>
      <c r="H166" s="53" t="str">
        <f>'Form responses 1'!AW168</f>
        <v/>
      </c>
      <c r="I166" s="4" t="str">
        <f>'Form responses 1'!AS168</f>
        <v/>
      </c>
      <c r="J166" s="4" t="str">
        <f>'Form responses 1'!J168</f>
        <v/>
      </c>
      <c r="K166" s="4" t="str">
        <f>'Form responses 1'!G168</f>
        <v/>
      </c>
      <c r="L166" s="4" t="str">
        <f>'Form responses 1'!F168</f>
        <v/>
      </c>
      <c r="M166" s="4" t="str">
        <f>'Form responses 1'!U168</f>
        <v>satya </v>
      </c>
      <c r="N166" s="4">
        <f>'Form responses 1'!V168</f>
        <v>6281845369</v>
      </c>
      <c r="O166" s="4" t="str">
        <f>'Form responses 1'!W168</f>
        <v>NA</v>
      </c>
      <c r="P166" s="4" t="str">
        <f>'Form responses 1'!X168</f>
        <v/>
      </c>
      <c r="Q166" s="4" t="str">
        <f>'Form responses 1'!Y168</f>
        <v/>
      </c>
      <c r="R166" s="4" t="str">
        <f>'Form responses 1'!Z168</f>
        <v/>
      </c>
      <c r="S166" s="4" t="str">
        <f>'Form responses 1'!AC168</f>
        <v/>
      </c>
      <c r="T166" s="4" t="str">
        <f>'Form responses 1'!AE168</f>
        <v/>
      </c>
      <c r="U166" s="4" t="str">
        <f>'Form responses 1'!AG168</f>
        <v/>
      </c>
      <c r="V166" s="4" t="str">
        <f>'Form responses 1'!AI168</f>
        <v/>
      </c>
      <c r="W166" s="4" t="str">
        <f>'Form responses 1'!AJ168</f>
        <v/>
      </c>
      <c r="X166" s="4" t="str">
        <f>'Form responses 1'!AK168</f>
        <v/>
      </c>
      <c r="Y166" s="4">
        <f t="shared" ref="Y166:AD166" si="165">if(S166&gt;0,1,0)</f>
        <v>0</v>
      </c>
      <c r="Z166" s="4">
        <f t="shared" si="165"/>
        <v>0</v>
      </c>
      <c r="AA166" s="4">
        <f t="shared" si="165"/>
        <v>0</v>
      </c>
      <c r="AB166" s="4">
        <f t="shared" si="165"/>
        <v>0</v>
      </c>
      <c r="AC166" s="4">
        <f t="shared" si="165"/>
        <v>0</v>
      </c>
      <c r="AD166" s="4">
        <f t="shared" si="165"/>
        <v>0</v>
      </c>
      <c r="AE166" s="4" t="str">
        <f>'Form responses 1'!AN168</f>
        <v/>
      </c>
      <c r="AF166" s="4" t="str">
        <f>'Form responses 1'!AO168</f>
        <v/>
      </c>
      <c r="AG166" s="4" t="str">
        <f>'Form responses 1'!AP168</f>
        <v/>
      </c>
      <c r="AH166" s="4" t="str">
        <f>'Form responses 1'!AQ168</f>
        <v/>
      </c>
      <c r="AI166" s="4" t="str">
        <f>'Form responses 1'!AR168</f>
        <v/>
      </c>
    </row>
    <row r="167">
      <c r="A167" s="26">
        <f>'Form responses 1'!B169</f>
        <v>46064</v>
      </c>
      <c r="B167" s="4" t="str">
        <f>'Form responses 1'!AZ169</f>
        <v>sumadhur.mummadi@capsdelivery.com</v>
      </c>
      <c r="C167" s="4" t="str">
        <f>'Form responses 1'!BR169</f>
        <v>Brew and bloom coffee heaven shop</v>
      </c>
      <c r="D167" s="4" t="str">
        <f>'Form responses 1'!AT169</f>
        <v>Onboarded at 20% flat commission</v>
      </c>
      <c r="E167" s="4" t="str">
        <f>'Form responses 1'!AU169</f>
        <v>No</v>
      </c>
      <c r="F167" s="4" t="str">
        <f>'Form responses 1'!AX169</f>
        <v/>
      </c>
      <c r="G167" s="4" t="str">
        <f>'Form responses 1'!AY169</f>
        <v/>
      </c>
      <c r="H167" s="53" t="str">
        <f>'Form responses 1'!AW169</f>
        <v/>
      </c>
      <c r="I167" s="4" t="str">
        <f>'Form responses 1'!AS169</f>
        <v>Yes</v>
      </c>
      <c r="J167" s="4" t="str">
        <f>'Form responses 1'!J169</f>
        <v>Tier-2 (AOV &lt;400)</v>
      </c>
      <c r="K167" s="4">
        <f>'Form responses 1'!G169</f>
        <v>200</v>
      </c>
      <c r="L167" s="4">
        <f>'Form responses 1'!F169</f>
        <v>20</v>
      </c>
      <c r="M167" s="4" t="str">
        <f>'Form responses 1'!U169</f>
        <v>Deepak kumar</v>
      </c>
      <c r="N167" s="4">
        <f>'Form responses 1'!V169</f>
        <v>9966591281</v>
      </c>
      <c r="O167" s="4" t="str">
        <f>'Form responses 1'!W169</f>
        <v>dhanyasideepakvarma@gmail.com</v>
      </c>
      <c r="P167" s="4" t="str">
        <f>'Form responses 1'!X169</f>
        <v/>
      </c>
      <c r="Q167" s="4" t="str">
        <f>'Form responses 1'!Y169</f>
        <v/>
      </c>
      <c r="R167" s="4" t="str">
        <f>'Form responses 1'!Z169</f>
        <v/>
      </c>
      <c r="S167" s="4" t="str">
        <f>'Form responses 1'!AC169</f>
        <v/>
      </c>
      <c r="T167" s="4" t="str">
        <f>'Form responses 1'!AE169</f>
        <v/>
      </c>
      <c r="U167" s="4" t="str">
        <f>'Form responses 1'!AG169</f>
        <v/>
      </c>
      <c r="V167" s="4" t="str">
        <f>'Form responses 1'!AI169</f>
        <v/>
      </c>
      <c r="W167" s="4" t="str">
        <f>'Form responses 1'!AJ169</f>
        <v/>
      </c>
      <c r="X167" s="4" t="str">
        <f>'Form responses 1'!AK169</f>
        <v/>
      </c>
      <c r="Y167" s="4">
        <f t="shared" ref="Y167:AD167" si="166">if(S167&gt;0,1,0)</f>
        <v>0</v>
      </c>
      <c r="Z167" s="4">
        <f t="shared" si="166"/>
        <v>0</v>
      </c>
      <c r="AA167" s="4">
        <f t="shared" si="166"/>
        <v>0</v>
      </c>
      <c r="AB167" s="4">
        <f t="shared" si="166"/>
        <v>0</v>
      </c>
      <c r="AC167" s="4">
        <f t="shared" si="166"/>
        <v>0</v>
      </c>
      <c r="AD167" s="4">
        <f t="shared" si="166"/>
        <v>0</v>
      </c>
      <c r="AE167" s="4" t="str">
        <f>'Form responses 1'!AN169</f>
        <v/>
      </c>
      <c r="AF167" s="4" t="str">
        <f>'Form responses 1'!AO169</f>
        <v/>
      </c>
      <c r="AG167" s="4" t="str">
        <f>'Form responses 1'!AP169</f>
        <v/>
      </c>
      <c r="AH167" s="4" t="str">
        <f>'Form responses 1'!AQ169</f>
        <v/>
      </c>
      <c r="AI167" s="4" t="str">
        <f>'Form responses 1'!AR169</f>
        <v/>
      </c>
    </row>
    <row r="168">
      <c r="A168" s="26">
        <f>'Form responses 1'!B170</f>
        <v>46064</v>
      </c>
      <c r="B168" s="4" t="str">
        <f>'Form responses 1'!AZ170</f>
        <v>ankitha.baske@capsdelivery.com</v>
      </c>
      <c r="C168" s="4" t="str">
        <f>'Form responses 1'!BR170</f>
        <v>Santosh Dhaba</v>
      </c>
      <c r="D168" s="4" t="str">
        <f>'Form responses 1'!AT170</f>
        <v/>
      </c>
      <c r="E168" s="4" t="str">
        <f>'Form responses 1'!AU170</f>
        <v>Yes</v>
      </c>
      <c r="F168" s="4" t="str">
        <f>'Form responses 1'!AX170</f>
        <v/>
      </c>
      <c r="G168" s="4" t="str">
        <f>'Form responses 1'!AY170</f>
        <v/>
      </c>
      <c r="H168" s="53" t="str">
        <f>'Form responses 1'!AW170</f>
        <v>If he interested he will contact us</v>
      </c>
      <c r="I168" s="4" t="str">
        <f>'Form responses 1'!AS170</f>
        <v/>
      </c>
      <c r="J168" s="4" t="str">
        <f>'Form responses 1'!J170</f>
        <v>Tier-2 (AOV &lt;400)</v>
      </c>
      <c r="K168" s="4">
        <f>'Form responses 1'!G170</f>
        <v>250</v>
      </c>
      <c r="L168" s="4">
        <f>'Form responses 1'!F170</f>
        <v>120</v>
      </c>
      <c r="M168" s="4" t="str">
        <f>'Form responses 1'!U170</f>
        <v>Thalmal</v>
      </c>
      <c r="N168" s="4">
        <f>'Form responses 1'!V170</f>
        <v>9100442130</v>
      </c>
      <c r="O168" s="4" t="str">
        <f>'Form responses 1'!W170</f>
        <v>NA</v>
      </c>
      <c r="P168" s="4" t="str">
        <f>'Form responses 1'!X170</f>
        <v/>
      </c>
      <c r="Q168" s="4" t="str">
        <f>'Form responses 1'!Y170</f>
        <v/>
      </c>
      <c r="R168" s="4" t="str">
        <f>'Form responses 1'!Z170</f>
        <v/>
      </c>
      <c r="S168" s="4" t="str">
        <f>'Form responses 1'!AC170</f>
        <v/>
      </c>
      <c r="T168" s="4" t="str">
        <f>'Form responses 1'!AE170</f>
        <v/>
      </c>
      <c r="U168" s="4" t="str">
        <f>'Form responses 1'!AG170</f>
        <v/>
      </c>
      <c r="V168" s="4" t="str">
        <f>'Form responses 1'!AI170</f>
        <v/>
      </c>
      <c r="W168" s="4" t="str">
        <f>'Form responses 1'!AJ170</f>
        <v/>
      </c>
      <c r="X168" s="4" t="str">
        <f>'Form responses 1'!AK170</f>
        <v/>
      </c>
      <c r="Y168" s="4">
        <f t="shared" ref="Y168:AD168" si="167">if(S168&gt;0,1,0)</f>
        <v>0</v>
      </c>
      <c r="Z168" s="4">
        <f t="shared" si="167"/>
        <v>0</v>
      </c>
      <c r="AA168" s="4">
        <f t="shared" si="167"/>
        <v>0</v>
      </c>
      <c r="AB168" s="4">
        <f t="shared" si="167"/>
        <v>0</v>
      </c>
      <c r="AC168" s="4">
        <f t="shared" si="167"/>
        <v>0</v>
      </c>
      <c r="AD168" s="4">
        <f t="shared" si="167"/>
        <v>0</v>
      </c>
      <c r="AE168" s="4" t="str">
        <f>'Form responses 1'!AN170</f>
        <v/>
      </c>
      <c r="AF168" s="4" t="str">
        <f>'Form responses 1'!AO170</f>
        <v/>
      </c>
      <c r="AG168" s="4" t="str">
        <f>'Form responses 1'!AP170</f>
        <v/>
      </c>
      <c r="AH168" s="4" t="str">
        <f>'Form responses 1'!AQ170</f>
        <v/>
      </c>
      <c r="AI168" s="4" t="str">
        <f>'Form responses 1'!AR170</f>
        <v/>
      </c>
    </row>
    <row r="169">
      <c r="A169" s="26">
        <f>'Form responses 1'!B171</f>
        <v>46064</v>
      </c>
      <c r="B169" s="4" t="str">
        <f>'Form responses 1'!AZ171</f>
        <v>greeshma.vanneldas@capsdelivery.com</v>
      </c>
      <c r="C169" s="4" t="str">
        <f>'Form responses 1'!BR171</f>
        <v>Raw bakers</v>
      </c>
      <c r="D169" s="4" t="str">
        <f>'Form responses 1'!AT171</f>
        <v/>
      </c>
      <c r="E169" s="4" t="str">
        <f>'Form responses 1'!AU171</f>
        <v>Yes</v>
      </c>
      <c r="F169" s="4" t="str">
        <f>'Form responses 1'!AX171</f>
        <v/>
      </c>
      <c r="G169" s="4" t="str">
        <f>'Form responses 1'!AY171</f>
        <v/>
      </c>
      <c r="H169" s="53" t="str">
        <f>'Form responses 1'!AW171</f>
        <v>owner want to discuss with his brother,I will follow up</v>
      </c>
      <c r="I169" s="4" t="str">
        <f>'Form responses 1'!AS171</f>
        <v/>
      </c>
      <c r="J169" s="4" t="str">
        <f>'Form responses 1'!J171</f>
        <v/>
      </c>
      <c r="K169" s="4" t="str">
        <f>'Form responses 1'!G171</f>
        <v/>
      </c>
      <c r="L169" s="4" t="str">
        <f>'Form responses 1'!F171</f>
        <v/>
      </c>
      <c r="M169" s="4" t="str">
        <f>'Form responses 1'!U171</f>
        <v>Praney</v>
      </c>
      <c r="N169" s="4">
        <f>'Form responses 1'!V171</f>
        <v>9493041116</v>
      </c>
      <c r="O169" s="4" t="str">
        <f>'Form responses 1'!W171</f>
        <v>na</v>
      </c>
      <c r="P169" s="4" t="str">
        <f>'Form responses 1'!X171</f>
        <v/>
      </c>
      <c r="Q169" s="4" t="str">
        <f>'Form responses 1'!Y171</f>
        <v/>
      </c>
      <c r="R169" s="4" t="str">
        <f>'Form responses 1'!Z171</f>
        <v/>
      </c>
      <c r="S169" s="4" t="str">
        <f>'Form responses 1'!AC171</f>
        <v/>
      </c>
      <c r="T169" s="4" t="str">
        <f>'Form responses 1'!AE171</f>
        <v/>
      </c>
      <c r="U169" s="4" t="str">
        <f>'Form responses 1'!AG171</f>
        <v/>
      </c>
      <c r="V169" s="4" t="str">
        <f>'Form responses 1'!AI171</f>
        <v/>
      </c>
      <c r="W169" s="4" t="str">
        <f>'Form responses 1'!AJ171</f>
        <v/>
      </c>
      <c r="X169" s="4" t="str">
        <f>'Form responses 1'!AK171</f>
        <v/>
      </c>
      <c r="Y169" s="4">
        <f t="shared" ref="Y169:AD169" si="168">if(S169&gt;0,1,0)</f>
        <v>0</v>
      </c>
      <c r="Z169" s="4">
        <f t="shared" si="168"/>
        <v>0</v>
      </c>
      <c r="AA169" s="4">
        <f t="shared" si="168"/>
        <v>0</v>
      </c>
      <c r="AB169" s="4">
        <f t="shared" si="168"/>
        <v>0</v>
      </c>
      <c r="AC169" s="4">
        <f t="shared" si="168"/>
        <v>0</v>
      </c>
      <c r="AD169" s="4">
        <f t="shared" si="168"/>
        <v>0</v>
      </c>
      <c r="AE169" s="4" t="str">
        <f>'Form responses 1'!AN171</f>
        <v/>
      </c>
      <c r="AF169" s="4" t="str">
        <f>'Form responses 1'!AO171</f>
        <v/>
      </c>
      <c r="AG169" s="4" t="str">
        <f>'Form responses 1'!AP171</f>
        <v/>
      </c>
      <c r="AH169" s="4" t="str">
        <f>'Form responses 1'!AQ171</f>
        <v/>
      </c>
      <c r="AI169" s="4" t="str">
        <f>'Form responses 1'!AR171</f>
        <v/>
      </c>
    </row>
    <row r="170">
      <c r="A170" s="26">
        <f>'Form responses 1'!B172</f>
        <v>46064</v>
      </c>
      <c r="B170" s="4" t="str">
        <f>'Form responses 1'!AZ172</f>
        <v>greeshma.vanneldas@capsdelivery.com</v>
      </c>
      <c r="C170" s="4" t="str">
        <f>'Form responses 1'!BR172</f>
        <v>South n spice </v>
      </c>
      <c r="D170" s="4" t="str">
        <f>'Form responses 1'!AT172</f>
        <v/>
      </c>
      <c r="E170" s="4" t="str">
        <f>'Form responses 1'!AU172</f>
        <v>Yes</v>
      </c>
      <c r="F170" s="4" t="str">
        <f>'Form responses 1'!AX172</f>
        <v/>
      </c>
      <c r="G170" s="4" t="str">
        <f>'Form responses 1'!AY172</f>
        <v/>
      </c>
      <c r="H170" s="53" t="str">
        <f>'Form responses 1'!AW172</f>
        <v>He need check with partner,follow up tomorrow after 18:00</v>
      </c>
      <c r="I170" s="4" t="str">
        <f>'Form responses 1'!AS172</f>
        <v/>
      </c>
      <c r="J170" s="4" t="str">
        <f>'Form responses 1'!J172</f>
        <v/>
      </c>
      <c r="K170" s="4" t="str">
        <f>'Form responses 1'!G172</f>
        <v/>
      </c>
      <c r="L170" s="4" t="str">
        <f>'Form responses 1'!F172</f>
        <v/>
      </c>
      <c r="M170" s="4" t="str">
        <f>'Form responses 1'!U172</f>
        <v>Abib</v>
      </c>
      <c r="N170" s="4">
        <f>'Form responses 1'!V172</f>
        <v>8328393420</v>
      </c>
      <c r="O170" s="4" t="str">
        <f>'Form responses 1'!W172</f>
        <v>na</v>
      </c>
      <c r="P170" s="4" t="str">
        <f>'Form responses 1'!X172</f>
        <v/>
      </c>
      <c r="Q170" s="4" t="str">
        <f>'Form responses 1'!Y172</f>
        <v/>
      </c>
      <c r="R170" s="4" t="str">
        <f>'Form responses 1'!Z172</f>
        <v/>
      </c>
      <c r="S170" s="4" t="str">
        <f>'Form responses 1'!AC172</f>
        <v/>
      </c>
      <c r="T170" s="4" t="str">
        <f>'Form responses 1'!AE172</f>
        <v/>
      </c>
      <c r="U170" s="4" t="str">
        <f>'Form responses 1'!AG172</f>
        <v/>
      </c>
      <c r="V170" s="4" t="str">
        <f>'Form responses 1'!AI172</f>
        <v/>
      </c>
      <c r="W170" s="4" t="str">
        <f>'Form responses 1'!AJ172</f>
        <v/>
      </c>
      <c r="X170" s="4" t="str">
        <f>'Form responses 1'!AK172</f>
        <v/>
      </c>
      <c r="Y170" s="4">
        <f t="shared" ref="Y170:AD170" si="169">if(S170&gt;0,1,0)</f>
        <v>0</v>
      </c>
      <c r="Z170" s="4">
        <f t="shared" si="169"/>
        <v>0</v>
      </c>
      <c r="AA170" s="4">
        <f t="shared" si="169"/>
        <v>0</v>
      </c>
      <c r="AB170" s="4">
        <f t="shared" si="169"/>
        <v>0</v>
      </c>
      <c r="AC170" s="4">
        <f t="shared" si="169"/>
        <v>0</v>
      </c>
      <c r="AD170" s="4">
        <f t="shared" si="169"/>
        <v>0</v>
      </c>
      <c r="AE170" s="4" t="str">
        <f>'Form responses 1'!AN172</f>
        <v/>
      </c>
      <c r="AF170" s="4" t="str">
        <f>'Form responses 1'!AO172</f>
        <v/>
      </c>
      <c r="AG170" s="4" t="str">
        <f>'Form responses 1'!AP172</f>
        <v/>
      </c>
      <c r="AH170" s="4" t="str">
        <f>'Form responses 1'!AQ172</f>
        <v/>
      </c>
      <c r="AI170" s="4" t="str">
        <f>'Form responses 1'!AR172</f>
        <v/>
      </c>
    </row>
    <row r="171">
      <c r="A171" s="26">
        <f>'Form responses 1'!B173</f>
        <v>46064</v>
      </c>
      <c r="B171" s="4" t="str">
        <f>'Form responses 1'!AZ173</f>
        <v>greeshma.vanneldas@capsdelivery.com</v>
      </c>
      <c r="C171" s="4" t="str">
        <f>'Form responses 1'!BR173</f>
        <v/>
      </c>
      <c r="D171" s="4" t="str">
        <f>'Form responses 1'!AT173</f>
        <v/>
      </c>
      <c r="E171" s="4" t="str">
        <f>'Form responses 1'!AU173</f>
        <v>Yes</v>
      </c>
      <c r="F171" s="4" t="str">
        <f>'Form responses 1'!AX173</f>
        <v/>
      </c>
      <c r="G171" s="4" t="str">
        <f>'Form responses 1'!AY173</f>
        <v/>
      </c>
      <c r="H171" s="53" t="str">
        <f>'Form responses 1'!AW173</f>
        <v>Manager is on the leave,follow up after 2 days</v>
      </c>
      <c r="I171" s="4" t="str">
        <f>'Form responses 1'!AS173</f>
        <v/>
      </c>
      <c r="J171" s="4" t="str">
        <f>'Form responses 1'!J173</f>
        <v/>
      </c>
      <c r="K171" s="4" t="str">
        <f>'Form responses 1'!G173</f>
        <v/>
      </c>
      <c r="L171" s="4" t="str">
        <f>'Form responses 1'!F173</f>
        <v/>
      </c>
      <c r="M171" s="4" t="str">
        <f>'Form responses 1'!U173</f>
        <v>Sridhar</v>
      </c>
      <c r="N171" s="4">
        <f>'Form responses 1'!V173</f>
        <v>9145845425</v>
      </c>
      <c r="O171" s="4" t="str">
        <f>'Form responses 1'!W173</f>
        <v>na</v>
      </c>
      <c r="P171" s="4" t="str">
        <f>'Form responses 1'!X173</f>
        <v/>
      </c>
      <c r="Q171" s="4" t="str">
        <f>'Form responses 1'!Y173</f>
        <v/>
      </c>
      <c r="R171" s="4" t="str">
        <f>'Form responses 1'!Z173</f>
        <v/>
      </c>
      <c r="S171" s="4" t="str">
        <f>'Form responses 1'!AC173</f>
        <v/>
      </c>
      <c r="T171" s="4" t="str">
        <f>'Form responses 1'!AE173</f>
        <v/>
      </c>
      <c r="U171" s="4" t="str">
        <f>'Form responses 1'!AG173</f>
        <v/>
      </c>
      <c r="V171" s="4" t="str">
        <f>'Form responses 1'!AI173</f>
        <v/>
      </c>
      <c r="W171" s="4" t="str">
        <f>'Form responses 1'!AJ173</f>
        <v/>
      </c>
      <c r="X171" s="4" t="str">
        <f>'Form responses 1'!AK173</f>
        <v/>
      </c>
      <c r="Y171" s="4">
        <f t="shared" ref="Y171:AD171" si="170">if(S171&gt;0,1,0)</f>
        <v>0</v>
      </c>
      <c r="Z171" s="4">
        <f t="shared" si="170"/>
        <v>0</v>
      </c>
      <c r="AA171" s="4">
        <f t="shared" si="170"/>
        <v>0</v>
      </c>
      <c r="AB171" s="4">
        <f t="shared" si="170"/>
        <v>0</v>
      </c>
      <c r="AC171" s="4">
        <f t="shared" si="170"/>
        <v>0</v>
      </c>
      <c r="AD171" s="4">
        <f t="shared" si="170"/>
        <v>0</v>
      </c>
      <c r="AE171" s="4" t="str">
        <f>'Form responses 1'!AN173</f>
        <v/>
      </c>
      <c r="AF171" s="4" t="str">
        <f>'Form responses 1'!AO173</f>
        <v/>
      </c>
      <c r="AG171" s="4" t="str">
        <f>'Form responses 1'!AP173</f>
        <v/>
      </c>
      <c r="AH171" s="4" t="str">
        <f>'Form responses 1'!AQ173</f>
        <v/>
      </c>
      <c r="AI171" s="4" t="str">
        <f>'Form responses 1'!AR173</f>
        <v/>
      </c>
    </row>
    <row r="172">
      <c r="A172" s="26">
        <f>'Form responses 1'!B174</f>
        <v>46064</v>
      </c>
      <c r="B172" s="4" t="str">
        <f>'Form responses 1'!AZ174</f>
        <v>greeshma.vanneldas@capsdelivery.com</v>
      </c>
      <c r="C172" s="4" t="str">
        <f>'Form responses 1'!BR174</f>
        <v/>
      </c>
      <c r="D172" s="4" t="str">
        <f>'Form responses 1'!AT174</f>
        <v/>
      </c>
      <c r="E172" s="4" t="str">
        <f>'Form responses 1'!AU174</f>
        <v>Yes</v>
      </c>
      <c r="F172" s="4" t="str">
        <f>'Form responses 1'!AX174</f>
        <v/>
      </c>
      <c r="G172" s="4" t="str">
        <f>'Form responses 1'!AY174</f>
        <v/>
      </c>
      <c r="H172" s="53" t="str">
        <f>'Form responses 1'!AW174</f>
        <v>Owner will be available in the evening,I will follow up for meeting</v>
      </c>
      <c r="I172" s="4" t="str">
        <f>'Form responses 1'!AS174</f>
        <v/>
      </c>
      <c r="J172" s="4" t="str">
        <f>'Form responses 1'!J174</f>
        <v/>
      </c>
      <c r="K172" s="4" t="str">
        <f>'Form responses 1'!G174</f>
        <v/>
      </c>
      <c r="L172" s="4" t="str">
        <f>'Form responses 1'!F174</f>
        <v/>
      </c>
      <c r="M172" s="4" t="str">
        <f>'Form responses 1'!U174</f>
        <v>Manager</v>
      </c>
      <c r="N172" s="4">
        <f>'Form responses 1'!V174</f>
        <v>9000338443</v>
      </c>
      <c r="O172" s="4" t="str">
        <f>'Form responses 1'!W174</f>
        <v>na</v>
      </c>
      <c r="P172" s="4" t="str">
        <f>'Form responses 1'!X174</f>
        <v/>
      </c>
      <c r="Q172" s="4" t="str">
        <f>'Form responses 1'!Y174</f>
        <v/>
      </c>
      <c r="R172" s="4" t="str">
        <f>'Form responses 1'!Z174</f>
        <v/>
      </c>
      <c r="S172" s="4" t="str">
        <f>'Form responses 1'!AC174</f>
        <v/>
      </c>
      <c r="T172" s="4" t="str">
        <f>'Form responses 1'!AE174</f>
        <v/>
      </c>
      <c r="U172" s="4" t="str">
        <f>'Form responses 1'!AG174</f>
        <v/>
      </c>
      <c r="V172" s="4" t="str">
        <f>'Form responses 1'!AI174</f>
        <v/>
      </c>
      <c r="W172" s="4" t="str">
        <f>'Form responses 1'!AJ174</f>
        <v/>
      </c>
      <c r="X172" s="4" t="str">
        <f>'Form responses 1'!AK174</f>
        <v/>
      </c>
      <c r="Y172" s="4">
        <f t="shared" ref="Y172:AD172" si="171">if(S172&gt;0,1,0)</f>
        <v>0</v>
      </c>
      <c r="Z172" s="4">
        <f t="shared" si="171"/>
        <v>0</v>
      </c>
      <c r="AA172" s="4">
        <f t="shared" si="171"/>
        <v>0</v>
      </c>
      <c r="AB172" s="4">
        <f t="shared" si="171"/>
        <v>0</v>
      </c>
      <c r="AC172" s="4">
        <f t="shared" si="171"/>
        <v>0</v>
      </c>
      <c r="AD172" s="4">
        <f t="shared" si="171"/>
        <v>0</v>
      </c>
      <c r="AE172" s="4" t="str">
        <f>'Form responses 1'!AN174</f>
        <v/>
      </c>
      <c r="AF172" s="4" t="str">
        <f>'Form responses 1'!AO174</f>
        <v/>
      </c>
      <c r="AG172" s="4" t="str">
        <f>'Form responses 1'!AP174</f>
        <v/>
      </c>
      <c r="AH172" s="4" t="str">
        <f>'Form responses 1'!AQ174</f>
        <v/>
      </c>
      <c r="AI172" s="4" t="str">
        <f>'Form responses 1'!AR174</f>
        <v/>
      </c>
    </row>
    <row r="173">
      <c r="A173" s="26">
        <f>'Form responses 1'!B175</f>
        <v>46064</v>
      </c>
      <c r="B173" s="4" t="str">
        <f>'Form responses 1'!AZ175</f>
        <v>greeshma.vanneldas@capsdelivery.com</v>
      </c>
      <c r="C173" s="4" t="str">
        <f>'Form responses 1'!BR175</f>
        <v>Biryaniwala nd co</v>
      </c>
      <c r="D173" s="4" t="str">
        <f>'Form responses 1'!AT175</f>
        <v/>
      </c>
      <c r="E173" s="4" t="str">
        <f>'Form responses 1'!AU175</f>
        <v>Yes</v>
      </c>
      <c r="F173" s="4" t="str">
        <f>'Form responses 1'!AX175</f>
        <v/>
      </c>
      <c r="G173" s="4" t="str">
        <f>'Form responses 1'!AY175</f>
        <v/>
      </c>
      <c r="H173" s="53" t="str">
        <f>'Form responses 1'!AW175</f>
        <v>Discussed with the manager,got the details of the owner,available to take calls in the evening,I will follow up</v>
      </c>
      <c r="I173" s="4" t="str">
        <f>'Form responses 1'!AS175</f>
        <v/>
      </c>
      <c r="J173" s="4" t="str">
        <f>'Form responses 1'!J175</f>
        <v/>
      </c>
      <c r="K173" s="4" t="str">
        <f>'Form responses 1'!G175</f>
        <v/>
      </c>
      <c r="L173" s="4" t="str">
        <f>'Form responses 1'!F175</f>
        <v/>
      </c>
      <c r="M173" s="4" t="str">
        <f>'Form responses 1'!U175</f>
        <v>Raza</v>
      </c>
      <c r="N173" s="4">
        <f>'Form responses 1'!V175</f>
        <v>9866667000</v>
      </c>
      <c r="O173" s="4" t="str">
        <f>'Form responses 1'!W175</f>
        <v>na</v>
      </c>
      <c r="P173" s="4" t="str">
        <f>'Form responses 1'!X175</f>
        <v/>
      </c>
      <c r="Q173" s="4" t="str">
        <f>'Form responses 1'!Y175</f>
        <v/>
      </c>
      <c r="R173" s="4" t="str">
        <f>'Form responses 1'!Z175</f>
        <v/>
      </c>
      <c r="S173" s="4" t="str">
        <f>'Form responses 1'!AC175</f>
        <v/>
      </c>
      <c r="T173" s="4" t="str">
        <f>'Form responses 1'!AE175</f>
        <v/>
      </c>
      <c r="U173" s="4" t="str">
        <f>'Form responses 1'!AG175</f>
        <v/>
      </c>
      <c r="V173" s="4" t="str">
        <f>'Form responses 1'!AI175</f>
        <v/>
      </c>
      <c r="W173" s="4" t="str">
        <f>'Form responses 1'!AJ175</f>
        <v/>
      </c>
      <c r="X173" s="4" t="str">
        <f>'Form responses 1'!AK175</f>
        <v/>
      </c>
      <c r="Y173" s="4">
        <f t="shared" ref="Y173:AD173" si="172">if(S173&gt;0,1,0)</f>
        <v>0</v>
      </c>
      <c r="Z173" s="4">
        <f t="shared" si="172"/>
        <v>0</v>
      </c>
      <c r="AA173" s="4">
        <f t="shared" si="172"/>
        <v>0</v>
      </c>
      <c r="AB173" s="4">
        <f t="shared" si="172"/>
        <v>0</v>
      </c>
      <c r="AC173" s="4">
        <f t="shared" si="172"/>
        <v>0</v>
      </c>
      <c r="AD173" s="4">
        <f t="shared" si="172"/>
        <v>0</v>
      </c>
      <c r="AE173" s="4" t="str">
        <f>'Form responses 1'!AN175</f>
        <v/>
      </c>
      <c r="AF173" s="4" t="str">
        <f>'Form responses 1'!AO175</f>
        <v/>
      </c>
      <c r="AG173" s="4" t="str">
        <f>'Form responses 1'!AP175</f>
        <v/>
      </c>
      <c r="AH173" s="4" t="str">
        <f>'Form responses 1'!AQ175</f>
        <v/>
      </c>
      <c r="AI173" s="4" t="str">
        <f>'Form responses 1'!AR175</f>
        <v/>
      </c>
    </row>
    <row r="174">
      <c r="A174" s="26">
        <f>'Form responses 1'!B176</f>
        <v>46064</v>
      </c>
      <c r="B174" s="4" t="str">
        <f>'Form responses 1'!AZ176</f>
        <v>greeshma.vanneldas@capsdelivery.com</v>
      </c>
      <c r="C174" s="4" t="str">
        <f>'Form responses 1'!BR176</f>
        <v/>
      </c>
      <c r="D174" s="4" t="str">
        <f>'Form responses 1'!AT176</f>
        <v/>
      </c>
      <c r="E174" s="4" t="str">
        <f>'Form responses 1'!AU176</f>
        <v>Yes</v>
      </c>
      <c r="F174" s="4" t="str">
        <f>'Form responses 1'!AX176</f>
        <v/>
      </c>
      <c r="G174" s="4" t="str">
        <f>'Form responses 1'!AY176</f>
        <v/>
      </c>
      <c r="H174" s="53" t="str">
        <f>'Form responses 1'!AW176</f>
        <v>Discussion done with manager,Owners will  be available after 20:00Pm</v>
      </c>
      <c r="I174" s="4" t="str">
        <f>'Form responses 1'!AS176</f>
        <v/>
      </c>
      <c r="J174" s="4" t="str">
        <f>'Form responses 1'!J176</f>
        <v/>
      </c>
      <c r="K174" s="4" t="str">
        <f>'Form responses 1'!G176</f>
        <v/>
      </c>
      <c r="L174" s="4" t="str">
        <f>'Form responses 1'!F176</f>
        <v/>
      </c>
      <c r="M174" s="4" t="str">
        <f>'Form responses 1'!U176</f>
        <v>Owners</v>
      </c>
      <c r="N174" s="4">
        <f>'Form responses 1'!V176</f>
        <v>9000211792</v>
      </c>
      <c r="O174" s="4" t="str">
        <f>'Form responses 1'!W176</f>
        <v>na</v>
      </c>
      <c r="P174" s="4" t="str">
        <f>'Form responses 1'!X176</f>
        <v/>
      </c>
      <c r="Q174" s="4" t="str">
        <f>'Form responses 1'!Y176</f>
        <v/>
      </c>
      <c r="R174" s="4" t="str">
        <f>'Form responses 1'!Z176</f>
        <v/>
      </c>
      <c r="S174" s="4" t="str">
        <f>'Form responses 1'!AC176</f>
        <v/>
      </c>
      <c r="T174" s="4" t="str">
        <f>'Form responses 1'!AE176</f>
        <v/>
      </c>
      <c r="U174" s="4" t="str">
        <f>'Form responses 1'!AG176</f>
        <v/>
      </c>
      <c r="V174" s="4" t="str">
        <f>'Form responses 1'!AI176</f>
        <v/>
      </c>
      <c r="W174" s="4" t="str">
        <f>'Form responses 1'!AJ176</f>
        <v/>
      </c>
      <c r="X174" s="4" t="str">
        <f>'Form responses 1'!AK176</f>
        <v/>
      </c>
      <c r="Y174" s="4">
        <f t="shared" ref="Y174:AD174" si="173">if(S174&gt;0,1,0)</f>
        <v>0</v>
      </c>
      <c r="Z174" s="4">
        <f t="shared" si="173"/>
        <v>0</v>
      </c>
      <c r="AA174" s="4">
        <f t="shared" si="173"/>
        <v>0</v>
      </c>
      <c r="AB174" s="4">
        <f t="shared" si="173"/>
        <v>0</v>
      </c>
      <c r="AC174" s="4">
        <f t="shared" si="173"/>
        <v>0</v>
      </c>
      <c r="AD174" s="4">
        <f t="shared" si="173"/>
        <v>0</v>
      </c>
      <c r="AE174" s="4" t="str">
        <f>'Form responses 1'!AN176</f>
        <v/>
      </c>
      <c r="AF174" s="4" t="str">
        <f>'Form responses 1'!AO176</f>
        <v/>
      </c>
      <c r="AG174" s="4" t="str">
        <f>'Form responses 1'!AP176</f>
        <v/>
      </c>
      <c r="AH174" s="4" t="str">
        <f>'Form responses 1'!AQ176</f>
        <v/>
      </c>
      <c r="AI174" s="4" t="str">
        <f>'Form responses 1'!AR176</f>
        <v/>
      </c>
    </row>
    <row r="175">
      <c r="A175" s="26">
        <f>'Form responses 1'!B177</f>
        <v>46064</v>
      </c>
      <c r="B175" s="4" t="str">
        <f>'Form responses 1'!AZ177</f>
        <v>greeshma.vanneldas@capsdelivery.com</v>
      </c>
      <c r="C175" s="4" t="str">
        <f>'Form responses 1'!BR177</f>
        <v/>
      </c>
      <c r="D175" s="4" t="str">
        <f>'Form responses 1'!AT177</f>
        <v/>
      </c>
      <c r="E175" s="4" t="str">
        <f>'Form responses 1'!AU177</f>
        <v>Yes</v>
      </c>
      <c r="F175" s="4" t="str">
        <f>'Form responses 1'!AX177</f>
        <v/>
      </c>
      <c r="G175" s="4" t="str">
        <f>'Form responses 1'!AY177</f>
        <v/>
      </c>
      <c r="H175" s="53" t="str">
        <f>'Form responses 1'!AW177</f>
        <v>owners is busy and he is not coming to restaurent,call back after 4 days for schedling meeting</v>
      </c>
      <c r="I175" s="4" t="str">
        <f>'Form responses 1'!AS177</f>
        <v/>
      </c>
      <c r="J175" s="4" t="str">
        <f>'Form responses 1'!J177</f>
        <v/>
      </c>
      <c r="K175" s="4" t="str">
        <f>'Form responses 1'!G177</f>
        <v/>
      </c>
      <c r="L175" s="4" t="str">
        <f>'Form responses 1'!F177</f>
        <v/>
      </c>
      <c r="M175" s="4" t="str">
        <f>'Form responses 1'!U177</f>
        <v>Chandrashekar</v>
      </c>
      <c r="N175" s="4">
        <f>'Form responses 1'!V177</f>
        <v>7897979742</v>
      </c>
      <c r="O175" s="4" t="str">
        <f>'Form responses 1'!W177</f>
        <v>na</v>
      </c>
      <c r="P175" s="4" t="str">
        <f>'Form responses 1'!X177</f>
        <v/>
      </c>
      <c r="Q175" s="4" t="str">
        <f>'Form responses 1'!Y177</f>
        <v/>
      </c>
      <c r="R175" s="4" t="str">
        <f>'Form responses 1'!Z177</f>
        <v/>
      </c>
      <c r="S175" s="4" t="str">
        <f>'Form responses 1'!AC177</f>
        <v/>
      </c>
      <c r="T175" s="4" t="str">
        <f>'Form responses 1'!AE177</f>
        <v/>
      </c>
      <c r="U175" s="4" t="str">
        <f>'Form responses 1'!AG177</f>
        <v/>
      </c>
      <c r="V175" s="4" t="str">
        <f>'Form responses 1'!AI177</f>
        <v/>
      </c>
      <c r="W175" s="4" t="str">
        <f>'Form responses 1'!AJ177</f>
        <v/>
      </c>
      <c r="X175" s="4" t="str">
        <f>'Form responses 1'!AK177</f>
        <v/>
      </c>
      <c r="Y175" s="4">
        <f t="shared" ref="Y175:AD175" si="174">if(S175&gt;0,1,0)</f>
        <v>0</v>
      </c>
      <c r="Z175" s="4">
        <f t="shared" si="174"/>
        <v>0</v>
      </c>
      <c r="AA175" s="4">
        <f t="shared" si="174"/>
        <v>0</v>
      </c>
      <c r="AB175" s="4">
        <f t="shared" si="174"/>
        <v>0</v>
      </c>
      <c r="AC175" s="4">
        <f t="shared" si="174"/>
        <v>0</v>
      </c>
      <c r="AD175" s="4">
        <f t="shared" si="174"/>
        <v>0</v>
      </c>
      <c r="AE175" s="4" t="str">
        <f>'Form responses 1'!AN177</f>
        <v/>
      </c>
      <c r="AF175" s="4" t="str">
        <f>'Form responses 1'!AO177</f>
        <v/>
      </c>
      <c r="AG175" s="4" t="str">
        <f>'Form responses 1'!AP177</f>
        <v/>
      </c>
      <c r="AH175" s="4" t="str">
        <f>'Form responses 1'!AQ177</f>
        <v/>
      </c>
      <c r="AI175" s="4" t="str">
        <f>'Form responses 1'!AR177</f>
        <v/>
      </c>
    </row>
    <row r="176">
      <c r="A176" s="26">
        <f>'Form responses 1'!B178</f>
        <v>46064</v>
      </c>
      <c r="B176" s="4" t="str">
        <f>'Form responses 1'!AZ178</f>
        <v>greeshma.vanneldas@capsdelivery.com</v>
      </c>
      <c r="C176" s="4" t="str">
        <f>'Form responses 1'!BR178</f>
        <v/>
      </c>
      <c r="D176" s="4" t="str">
        <f>'Form responses 1'!AT178</f>
        <v/>
      </c>
      <c r="E176" s="4" t="str">
        <f>'Form responses 1'!AU178</f>
        <v>Yes</v>
      </c>
      <c r="F176" s="4" t="str">
        <f>'Form responses 1'!AX178</f>
        <v/>
      </c>
      <c r="G176" s="4" t="str">
        <f>'Form responses 1'!AY178</f>
        <v/>
      </c>
      <c r="H176" s="53" t="str">
        <f>'Form responses 1'!AW178</f>
        <v>Follow up,manager will discuss with owner</v>
      </c>
      <c r="I176" s="4" t="str">
        <f>'Form responses 1'!AS178</f>
        <v/>
      </c>
      <c r="J176" s="4" t="str">
        <f>'Form responses 1'!J178</f>
        <v/>
      </c>
      <c r="K176" s="4" t="str">
        <f>'Form responses 1'!G178</f>
        <v/>
      </c>
      <c r="L176" s="4" t="str">
        <f>'Form responses 1'!F178</f>
        <v/>
      </c>
      <c r="M176" s="4" t="str">
        <f>'Form responses 1'!U178</f>
        <v>Owner</v>
      </c>
      <c r="N176" s="4">
        <f>'Form responses 1'!V178</f>
        <v>8374447297</v>
      </c>
      <c r="O176" s="4" t="str">
        <f>'Form responses 1'!W178</f>
        <v>na</v>
      </c>
      <c r="P176" s="4" t="str">
        <f>'Form responses 1'!X178</f>
        <v/>
      </c>
      <c r="Q176" s="4" t="str">
        <f>'Form responses 1'!Y178</f>
        <v/>
      </c>
      <c r="R176" s="4" t="str">
        <f>'Form responses 1'!Z178</f>
        <v/>
      </c>
      <c r="S176" s="4" t="str">
        <f>'Form responses 1'!AC178</f>
        <v/>
      </c>
      <c r="T176" s="4" t="str">
        <f>'Form responses 1'!AE178</f>
        <v/>
      </c>
      <c r="U176" s="4" t="str">
        <f>'Form responses 1'!AG178</f>
        <v/>
      </c>
      <c r="V176" s="4" t="str">
        <f>'Form responses 1'!AI178</f>
        <v/>
      </c>
      <c r="W176" s="4" t="str">
        <f>'Form responses 1'!AJ178</f>
        <v/>
      </c>
      <c r="X176" s="4" t="str">
        <f>'Form responses 1'!AK178</f>
        <v/>
      </c>
      <c r="Y176" s="4">
        <f t="shared" ref="Y176:AD176" si="175">if(S176&gt;0,1,0)</f>
        <v>0</v>
      </c>
      <c r="Z176" s="4">
        <f t="shared" si="175"/>
        <v>0</v>
      </c>
      <c r="AA176" s="4">
        <f t="shared" si="175"/>
        <v>0</v>
      </c>
      <c r="AB176" s="4">
        <f t="shared" si="175"/>
        <v>0</v>
      </c>
      <c r="AC176" s="4">
        <f t="shared" si="175"/>
        <v>0</v>
      </c>
      <c r="AD176" s="4">
        <f t="shared" si="175"/>
        <v>0</v>
      </c>
      <c r="AE176" s="4" t="str">
        <f>'Form responses 1'!AN178</f>
        <v/>
      </c>
      <c r="AF176" s="4" t="str">
        <f>'Form responses 1'!AO178</f>
        <v/>
      </c>
      <c r="AG176" s="4" t="str">
        <f>'Form responses 1'!AP178</f>
        <v/>
      </c>
      <c r="AH176" s="4" t="str">
        <f>'Form responses 1'!AQ178</f>
        <v/>
      </c>
      <c r="AI176" s="4" t="str">
        <f>'Form responses 1'!AR178</f>
        <v/>
      </c>
    </row>
    <row r="177">
      <c r="A177" s="26">
        <f>'Form responses 1'!B179</f>
        <v>46064</v>
      </c>
      <c r="B177" s="4" t="str">
        <f>'Form responses 1'!AZ179</f>
        <v>greeshma.vanneldas@capsdelivery.com</v>
      </c>
      <c r="C177" s="4" t="str">
        <f>'Form responses 1'!BR179</f>
        <v/>
      </c>
      <c r="D177" s="4" t="str">
        <f>'Form responses 1'!AT179</f>
        <v/>
      </c>
      <c r="E177" s="4" t="str">
        <f>'Form responses 1'!AU179</f>
        <v>Yes</v>
      </c>
      <c r="F177" s="4" t="str">
        <f>'Form responses 1'!AX179</f>
        <v/>
      </c>
      <c r="G177" s="4" t="str">
        <f>'Form responses 1'!AY179</f>
        <v/>
      </c>
      <c r="H177" s="53" t="str">
        <f>'Form responses 1'!AW179</f>
        <v>Follow up,owner is out of station will be back after one week</v>
      </c>
      <c r="I177" s="4" t="str">
        <f>'Form responses 1'!AS179</f>
        <v/>
      </c>
      <c r="J177" s="4" t="str">
        <f>'Form responses 1'!J179</f>
        <v/>
      </c>
      <c r="K177" s="4" t="str">
        <f>'Form responses 1'!G179</f>
        <v/>
      </c>
      <c r="L177" s="4" t="str">
        <f>'Form responses 1'!F179</f>
        <v/>
      </c>
      <c r="M177" s="4" t="str">
        <f>'Form responses 1'!U179</f>
        <v>Sangham Veg Aaffair</v>
      </c>
      <c r="N177" s="4">
        <f>'Form responses 1'!V179</f>
        <v>9246573562</v>
      </c>
      <c r="O177" s="4" t="str">
        <f>'Form responses 1'!W179</f>
        <v>na</v>
      </c>
      <c r="P177" s="4" t="str">
        <f>'Form responses 1'!X179</f>
        <v/>
      </c>
      <c r="Q177" s="4" t="str">
        <f>'Form responses 1'!Y179</f>
        <v/>
      </c>
      <c r="R177" s="4" t="str">
        <f>'Form responses 1'!Z179</f>
        <v/>
      </c>
      <c r="S177" s="4" t="str">
        <f>'Form responses 1'!AC179</f>
        <v/>
      </c>
      <c r="T177" s="4" t="str">
        <f>'Form responses 1'!AE179</f>
        <v/>
      </c>
      <c r="U177" s="4" t="str">
        <f>'Form responses 1'!AG179</f>
        <v/>
      </c>
      <c r="V177" s="4" t="str">
        <f>'Form responses 1'!AI179</f>
        <v/>
      </c>
      <c r="W177" s="4" t="str">
        <f>'Form responses 1'!AJ179</f>
        <v/>
      </c>
      <c r="X177" s="4" t="str">
        <f>'Form responses 1'!AK179</f>
        <v/>
      </c>
      <c r="Y177" s="4">
        <f t="shared" ref="Y177:AD177" si="176">if(S177&gt;0,1,0)</f>
        <v>0</v>
      </c>
      <c r="Z177" s="4">
        <f t="shared" si="176"/>
        <v>0</v>
      </c>
      <c r="AA177" s="4">
        <f t="shared" si="176"/>
        <v>0</v>
      </c>
      <c r="AB177" s="4">
        <f t="shared" si="176"/>
        <v>0</v>
      </c>
      <c r="AC177" s="4">
        <f t="shared" si="176"/>
        <v>0</v>
      </c>
      <c r="AD177" s="4">
        <f t="shared" si="176"/>
        <v>0</v>
      </c>
      <c r="AE177" s="4" t="str">
        <f>'Form responses 1'!AN179</f>
        <v/>
      </c>
      <c r="AF177" s="4" t="str">
        <f>'Form responses 1'!AO179</f>
        <v/>
      </c>
      <c r="AG177" s="4" t="str">
        <f>'Form responses 1'!AP179</f>
        <v/>
      </c>
      <c r="AH177" s="4" t="str">
        <f>'Form responses 1'!AQ179</f>
        <v/>
      </c>
      <c r="AI177" s="4" t="str">
        <f>'Form responses 1'!AR179</f>
        <v/>
      </c>
    </row>
    <row r="178">
      <c r="A178" s="26">
        <f>'Form responses 1'!B180</f>
        <v>46064</v>
      </c>
      <c r="B178" s="4" t="str">
        <f>'Form responses 1'!AZ180</f>
        <v>greeshma.vanneldas@capsdelivery.com</v>
      </c>
      <c r="C178" s="4" t="str">
        <f>'Form responses 1'!BR180</f>
        <v/>
      </c>
      <c r="D178" s="4" t="str">
        <f>'Form responses 1'!AT180</f>
        <v/>
      </c>
      <c r="E178" s="4" t="str">
        <f>'Form responses 1'!AU180</f>
        <v>Yes</v>
      </c>
      <c r="F178" s="4" t="str">
        <f>'Form responses 1'!AX180</f>
        <v/>
      </c>
      <c r="G178" s="4" t="str">
        <f>'Form responses 1'!AY180</f>
        <v/>
      </c>
      <c r="H178" s="53" t="str">
        <f>'Form responses 1'!AW180</f>
        <v>Owner is not available </v>
      </c>
      <c r="I178" s="4" t="str">
        <f>'Form responses 1'!AS180</f>
        <v/>
      </c>
      <c r="J178" s="4" t="str">
        <f>'Form responses 1'!J180</f>
        <v/>
      </c>
      <c r="K178" s="4" t="str">
        <f>'Form responses 1'!G180</f>
        <v/>
      </c>
      <c r="L178" s="4" t="str">
        <f>'Form responses 1'!F180</f>
        <v/>
      </c>
      <c r="M178" s="4" t="str">
        <f>'Form responses 1'!U180</f>
        <v>Deccan biryani house and restaurent</v>
      </c>
      <c r="N178" s="4">
        <f>'Form responses 1'!V180</f>
        <v>9154408946</v>
      </c>
      <c r="O178" s="4" t="str">
        <f>'Form responses 1'!W180</f>
        <v>na</v>
      </c>
      <c r="P178" s="4" t="str">
        <f>'Form responses 1'!X180</f>
        <v/>
      </c>
      <c r="Q178" s="4" t="str">
        <f>'Form responses 1'!Y180</f>
        <v/>
      </c>
      <c r="R178" s="4" t="str">
        <f>'Form responses 1'!Z180</f>
        <v/>
      </c>
      <c r="S178" s="4" t="str">
        <f>'Form responses 1'!AC180</f>
        <v/>
      </c>
      <c r="T178" s="4" t="str">
        <f>'Form responses 1'!AE180</f>
        <v/>
      </c>
      <c r="U178" s="4" t="str">
        <f>'Form responses 1'!AG180</f>
        <v/>
      </c>
      <c r="V178" s="4" t="str">
        <f>'Form responses 1'!AI180</f>
        <v/>
      </c>
      <c r="W178" s="4" t="str">
        <f>'Form responses 1'!AJ180</f>
        <v/>
      </c>
      <c r="X178" s="4" t="str">
        <f>'Form responses 1'!AK180</f>
        <v/>
      </c>
      <c r="Y178" s="4">
        <f t="shared" ref="Y178:AD178" si="177">if(S178&gt;0,1,0)</f>
        <v>0</v>
      </c>
      <c r="Z178" s="4">
        <f t="shared" si="177"/>
        <v>0</v>
      </c>
      <c r="AA178" s="4">
        <f t="shared" si="177"/>
        <v>0</v>
      </c>
      <c r="AB178" s="4">
        <f t="shared" si="177"/>
        <v>0</v>
      </c>
      <c r="AC178" s="4">
        <f t="shared" si="177"/>
        <v>0</v>
      </c>
      <c r="AD178" s="4">
        <f t="shared" si="177"/>
        <v>0</v>
      </c>
      <c r="AE178" s="4" t="str">
        <f>'Form responses 1'!AN180</f>
        <v/>
      </c>
      <c r="AF178" s="4" t="str">
        <f>'Form responses 1'!AO180</f>
        <v/>
      </c>
      <c r="AG178" s="4" t="str">
        <f>'Form responses 1'!AP180</f>
        <v/>
      </c>
      <c r="AH178" s="4" t="str">
        <f>'Form responses 1'!AQ180</f>
        <v/>
      </c>
      <c r="AI178" s="4" t="str">
        <f>'Form responses 1'!AR180</f>
        <v/>
      </c>
    </row>
    <row r="179">
      <c r="A179" s="26">
        <f>'Form responses 1'!B181</f>
        <v>46064</v>
      </c>
      <c r="B179" s="4" t="str">
        <f>'Form responses 1'!AZ181</f>
        <v>greeshma.vanneldas@capsdelivery.com</v>
      </c>
      <c r="C179" s="4" t="str">
        <f>'Form responses 1'!BR181</f>
        <v/>
      </c>
      <c r="D179" s="4" t="str">
        <f>'Form responses 1'!AT181</f>
        <v/>
      </c>
      <c r="E179" s="4" t="str">
        <f>'Form responses 1'!AU181</f>
        <v>Yes</v>
      </c>
      <c r="F179" s="4" t="str">
        <f>'Form responses 1'!AX181</f>
        <v/>
      </c>
      <c r="G179" s="4" t="str">
        <f>'Form responses 1'!AY181</f>
        <v/>
      </c>
      <c r="H179" s="53" t="str">
        <f>'Form responses 1'!AW181</f>
        <v>need to follow up</v>
      </c>
      <c r="I179" s="4" t="str">
        <f>'Form responses 1'!AS181</f>
        <v/>
      </c>
      <c r="J179" s="4" t="str">
        <f>'Form responses 1'!J181</f>
        <v/>
      </c>
      <c r="K179" s="4" t="str">
        <f>'Form responses 1'!G181</f>
        <v/>
      </c>
      <c r="L179" s="4" t="str">
        <f>'Form responses 1'!F181</f>
        <v/>
      </c>
      <c r="M179" s="4" t="str">
        <f>'Form responses 1'!U181</f>
        <v>Owner</v>
      </c>
      <c r="N179" s="4">
        <f>'Form responses 1'!V181</f>
        <v>6300840049</v>
      </c>
      <c r="O179" s="4" t="str">
        <f>'Form responses 1'!W181</f>
        <v>na</v>
      </c>
      <c r="P179" s="4" t="str">
        <f>'Form responses 1'!X181</f>
        <v/>
      </c>
      <c r="Q179" s="4" t="str">
        <f>'Form responses 1'!Y181</f>
        <v/>
      </c>
      <c r="R179" s="4" t="str">
        <f>'Form responses 1'!Z181</f>
        <v/>
      </c>
      <c r="S179" s="4" t="str">
        <f>'Form responses 1'!AC181</f>
        <v/>
      </c>
      <c r="T179" s="4" t="str">
        <f>'Form responses 1'!AE181</f>
        <v/>
      </c>
      <c r="U179" s="4" t="str">
        <f>'Form responses 1'!AG181</f>
        <v/>
      </c>
      <c r="V179" s="4" t="str">
        <f>'Form responses 1'!AI181</f>
        <v/>
      </c>
      <c r="W179" s="4" t="str">
        <f>'Form responses 1'!AJ181</f>
        <v/>
      </c>
      <c r="X179" s="4" t="str">
        <f>'Form responses 1'!AK181</f>
        <v/>
      </c>
      <c r="Y179" s="4">
        <f t="shared" ref="Y179:AD179" si="178">if(S179&gt;0,1,0)</f>
        <v>0</v>
      </c>
      <c r="Z179" s="4">
        <f t="shared" si="178"/>
        <v>0</v>
      </c>
      <c r="AA179" s="4">
        <f t="shared" si="178"/>
        <v>0</v>
      </c>
      <c r="AB179" s="4">
        <f t="shared" si="178"/>
        <v>0</v>
      </c>
      <c r="AC179" s="4">
        <f t="shared" si="178"/>
        <v>0</v>
      </c>
      <c r="AD179" s="4">
        <f t="shared" si="178"/>
        <v>0</v>
      </c>
      <c r="AE179" s="4" t="str">
        <f>'Form responses 1'!AN181</f>
        <v/>
      </c>
      <c r="AF179" s="4" t="str">
        <f>'Form responses 1'!AO181</f>
        <v/>
      </c>
      <c r="AG179" s="4" t="str">
        <f>'Form responses 1'!AP181</f>
        <v/>
      </c>
      <c r="AH179" s="4" t="str">
        <f>'Form responses 1'!AQ181</f>
        <v/>
      </c>
      <c r="AI179" s="4" t="str">
        <f>'Form responses 1'!AR181</f>
        <v/>
      </c>
    </row>
    <row r="180">
      <c r="A180" s="26">
        <f>'Form responses 1'!B182</f>
        <v>46064</v>
      </c>
      <c r="B180" s="4" t="str">
        <f>'Form responses 1'!AZ182</f>
        <v>greeshma.vanneldas@capsdelivery.com</v>
      </c>
      <c r="C180" s="4" t="str">
        <f>'Form responses 1'!BR182</f>
        <v/>
      </c>
      <c r="D180" s="4" t="str">
        <f>'Form responses 1'!AT182</f>
        <v/>
      </c>
      <c r="E180" s="4" t="str">
        <f>'Form responses 1'!AU182</f>
        <v>Yes</v>
      </c>
      <c r="F180" s="4" t="str">
        <f>'Form responses 1'!AX182</f>
        <v/>
      </c>
      <c r="G180" s="4" t="str">
        <f>'Form responses 1'!AY182</f>
        <v/>
      </c>
      <c r="H180" s="53" t="str">
        <f>'Form responses 1'!AW182</f>
        <v>discussion done with the manager,got the details of the owner,follow up</v>
      </c>
      <c r="I180" s="4" t="str">
        <f>'Form responses 1'!AS182</f>
        <v/>
      </c>
      <c r="J180" s="4" t="str">
        <f>'Form responses 1'!J182</f>
        <v/>
      </c>
      <c r="K180" s="4" t="str">
        <f>'Form responses 1'!G182</f>
        <v/>
      </c>
      <c r="L180" s="4" t="str">
        <f>'Form responses 1'!F182</f>
        <v/>
      </c>
      <c r="M180" s="4" t="str">
        <f>'Form responses 1'!U182</f>
        <v>Maheswar rao</v>
      </c>
      <c r="N180" s="4">
        <f>'Form responses 1'!V182</f>
        <v>9849343059</v>
      </c>
      <c r="O180" s="4" t="str">
        <f>'Form responses 1'!W182</f>
        <v>na</v>
      </c>
      <c r="P180" s="4" t="str">
        <f>'Form responses 1'!X182</f>
        <v/>
      </c>
      <c r="Q180" s="4" t="str">
        <f>'Form responses 1'!Y182</f>
        <v/>
      </c>
      <c r="R180" s="4" t="str">
        <f>'Form responses 1'!Z182</f>
        <v/>
      </c>
      <c r="S180" s="4" t="str">
        <f>'Form responses 1'!AC182</f>
        <v/>
      </c>
      <c r="T180" s="4" t="str">
        <f>'Form responses 1'!AE182</f>
        <v/>
      </c>
      <c r="U180" s="4" t="str">
        <f>'Form responses 1'!AG182</f>
        <v/>
      </c>
      <c r="V180" s="4" t="str">
        <f>'Form responses 1'!AI182</f>
        <v/>
      </c>
      <c r="W180" s="4" t="str">
        <f>'Form responses 1'!AJ182</f>
        <v/>
      </c>
      <c r="X180" s="4" t="str">
        <f>'Form responses 1'!AK182</f>
        <v/>
      </c>
      <c r="Y180" s="4">
        <f t="shared" ref="Y180:AD180" si="179">if(S180&gt;0,1,0)</f>
        <v>0</v>
      </c>
      <c r="Z180" s="4">
        <f t="shared" si="179"/>
        <v>0</v>
      </c>
      <c r="AA180" s="4">
        <f t="shared" si="179"/>
        <v>0</v>
      </c>
      <c r="AB180" s="4">
        <f t="shared" si="179"/>
        <v>0</v>
      </c>
      <c r="AC180" s="4">
        <f t="shared" si="179"/>
        <v>0</v>
      </c>
      <c r="AD180" s="4">
        <f t="shared" si="179"/>
        <v>0</v>
      </c>
      <c r="AE180" s="4" t="str">
        <f>'Form responses 1'!AN182</f>
        <v/>
      </c>
      <c r="AF180" s="4" t="str">
        <f>'Form responses 1'!AO182</f>
        <v/>
      </c>
      <c r="AG180" s="4" t="str">
        <f>'Form responses 1'!AP182</f>
        <v/>
      </c>
      <c r="AH180" s="4" t="str">
        <f>'Form responses 1'!AQ182</f>
        <v/>
      </c>
      <c r="AI180" s="4" t="str">
        <f>'Form responses 1'!AR182</f>
        <v/>
      </c>
    </row>
    <row r="181">
      <c r="A181" s="26">
        <f>'Form responses 1'!B183</f>
        <v>46064</v>
      </c>
      <c r="B181" s="4" t="str">
        <f>'Form responses 1'!AZ183</f>
        <v>ankitha.baske@capsdelivery.com</v>
      </c>
      <c r="C181" s="4" t="str">
        <f>'Form responses 1'!BR183</f>
        <v>Sree vakula kitchen</v>
      </c>
      <c r="D181" s="4" t="str">
        <f>'Form responses 1'!AT183</f>
        <v/>
      </c>
      <c r="E181" s="4" t="str">
        <f>'Form responses 1'!AU183</f>
        <v>Yes</v>
      </c>
      <c r="F181" s="26">
        <f>'Form responses 1'!AX183</f>
        <v>46069</v>
      </c>
      <c r="G181" s="4" t="str">
        <f>'Form responses 1'!AY183</f>
        <v/>
      </c>
      <c r="H181" s="53" t="str">
        <f>'Form responses 1'!AW183</f>
        <v>Owner will be available after 3 days</v>
      </c>
      <c r="I181" s="4" t="str">
        <f>'Form responses 1'!AS183</f>
        <v/>
      </c>
      <c r="J181" s="4" t="str">
        <f>'Form responses 1'!J183</f>
        <v>Tier-3 ( AOV&lt;200 )</v>
      </c>
      <c r="K181" s="4">
        <f>'Form responses 1'!G183</f>
        <v>120</v>
      </c>
      <c r="L181" s="4">
        <f>'Form responses 1'!F183</f>
        <v>50</v>
      </c>
      <c r="M181" s="4" t="str">
        <f>'Form responses 1'!U183</f>
        <v>Mahesh</v>
      </c>
      <c r="N181" s="4">
        <f>'Form responses 1'!V183</f>
        <v>8309463956</v>
      </c>
      <c r="O181" s="4" t="str">
        <f>'Form responses 1'!W183</f>
        <v>NA</v>
      </c>
      <c r="P181" s="4" t="str">
        <f>'Form responses 1'!X183</f>
        <v/>
      </c>
      <c r="Q181" s="4" t="str">
        <f>'Form responses 1'!Y183</f>
        <v/>
      </c>
      <c r="R181" s="4" t="str">
        <f>'Form responses 1'!Z183</f>
        <v/>
      </c>
      <c r="S181" s="4" t="str">
        <f>'Form responses 1'!AC183</f>
        <v/>
      </c>
      <c r="T181" s="4" t="str">
        <f>'Form responses 1'!AE183</f>
        <v/>
      </c>
      <c r="U181" s="4" t="str">
        <f>'Form responses 1'!AG183</f>
        <v/>
      </c>
      <c r="V181" s="4" t="str">
        <f>'Form responses 1'!AI183</f>
        <v/>
      </c>
      <c r="W181" s="4" t="str">
        <f>'Form responses 1'!AJ183</f>
        <v/>
      </c>
      <c r="X181" s="4" t="str">
        <f>'Form responses 1'!AK183</f>
        <v/>
      </c>
      <c r="Y181" s="4">
        <f t="shared" ref="Y181:AD181" si="180">if(S181&gt;0,1,0)</f>
        <v>0</v>
      </c>
      <c r="Z181" s="4">
        <f t="shared" si="180"/>
        <v>0</v>
      </c>
      <c r="AA181" s="4">
        <f t="shared" si="180"/>
        <v>0</v>
      </c>
      <c r="AB181" s="4">
        <f t="shared" si="180"/>
        <v>0</v>
      </c>
      <c r="AC181" s="4">
        <f t="shared" si="180"/>
        <v>0</v>
      </c>
      <c r="AD181" s="4">
        <f t="shared" si="180"/>
        <v>0</v>
      </c>
      <c r="AE181" s="4" t="str">
        <f>'Form responses 1'!AN183</f>
        <v/>
      </c>
      <c r="AF181" s="4" t="str">
        <f>'Form responses 1'!AO183</f>
        <v/>
      </c>
      <c r="AG181" s="4" t="str">
        <f>'Form responses 1'!AP183</f>
        <v/>
      </c>
      <c r="AH181" s="4" t="str">
        <f>'Form responses 1'!AQ183</f>
        <v/>
      </c>
      <c r="AI181" s="4" t="str">
        <f>'Form responses 1'!AR183</f>
        <v/>
      </c>
    </row>
    <row r="182">
      <c r="A182" s="26">
        <f>'Form responses 1'!B184</f>
        <v>46064</v>
      </c>
      <c r="B182" s="4" t="str">
        <f>'Form responses 1'!AZ184</f>
        <v>ankitha.baske@capsdelivery.com</v>
      </c>
      <c r="C182" s="4" t="str">
        <f>'Form responses 1'!BR184</f>
        <v/>
      </c>
      <c r="D182" s="4" t="str">
        <f>'Form responses 1'!AT184</f>
        <v/>
      </c>
      <c r="E182" s="4" t="str">
        <f>'Form responses 1'!AU184</f>
        <v>Yes</v>
      </c>
      <c r="F182" s="4" t="str">
        <f>'Form responses 1'!AX184</f>
        <v/>
      </c>
      <c r="G182" s="4" t="str">
        <f>'Form responses 1'!AY184</f>
        <v/>
      </c>
      <c r="H182" s="53" t="str">
        <f>'Form responses 1'!AW184</f>
        <v/>
      </c>
      <c r="I182" s="4" t="str">
        <f>'Form responses 1'!AS184</f>
        <v/>
      </c>
      <c r="J182" s="4" t="str">
        <f>'Form responses 1'!J184</f>
        <v/>
      </c>
      <c r="K182" s="4" t="str">
        <f>'Form responses 1'!G184</f>
        <v/>
      </c>
      <c r="L182" s="4" t="str">
        <f>'Form responses 1'!F184</f>
        <v/>
      </c>
      <c r="M182" s="4" t="str">
        <f>'Form responses 1'!U184</f>
        <v>NA</v>
      </c>
      <c r="N182" s="4" t="str">
        <f>'Form responses 1'!V184</f>
        <v>NA</v>
      </c>
      <c r="O182" s="4" t="str">
        <f>'Form responses 1'!W184</f>
        <v>NA</v>
      </c>
      <c r="P182" s="4" t="str">
        <f>'Form responses 1'!X184</f>
        <v/>
      </c>
      <c r="Q182" s="4" t="str">
        <f>'Form responses 1'!Y184</f>
        <v/>
      </c>
      <c r="R182" s="4" t="str">
        <f>'Form responses 1'!Z184</f>
        <v/>
      </c>
      <c r="S182" s="4" t="str">
        <f>'Form responses 1'!AC184</f>
        <v/>
      </c>
      <c r="T182" s="4" t="str">
        <f>'Form responses 1'!AE184</f>
        <v/>
      </c>
      <c r="U182" s="4" t="str">
        <f>'Form responses 1'!AG184</f>
        <v/>
      </c>
      <c r="V182" s="4" t="str">
        <f>'Form responses 1'!AI184</f>
        <v/>
      </c>
      <c r="W182" s="4" t="str">
        <f>'Form responses 1'!AJ184</f>
        <v/>
      </c>
      <c r="X182" s="4" t="str">
        <f>'Form responses 1'!AK184</f>
        <v/>
      </c>
      <c r="Y182" s="4">
        <f t="shared" ref="Y182:AD182" si="181">if(S182&gt;0,1,0)</f>
        <v>0</v>
      </c>
      <c r="Z182" s="4">
        <f t="shared" si="181"/>
        <v>0</v>
      </c>
      <c r="AA182" s="4">
        <f t="shared" si="181"/>
        <v>0</v>
      </c>
      <c r="AB182" s="4">
        <f t="shared" si="181"/>
        <v>0</v>
      </c>
      <c r="AC182" s="4">
        <f t="shared" si="181"/>
        <v>0</v>
      </c>
      <c r="AD182" s="4">
        <f t="shared" si="181"/>
        <v>0</v>
      </c>
      <c r="AE182" s="4" t="str">
        <f>'Form responses 1'!AN184</f>
        <v/>
      </c>
      <c r="AF182" s="4" t="str">
        <f>'Form responses 1'!AO184</f>
        <v/>
      </c>
      <c r="AG182" s="4" t="str">
        <f>'Form responses 1'!AP184</f>
        <v/>
      </c>
      <c r="AH182" s="4" t="str">
        <f>'Form responses 1'!AQ184</f>
        <v/>
      </c>
      <c r="AI182" s="4" t="str">
        <f>'Form responses 1'!AR184</f>
        <v/>
      </c>
    </row>
    <row r="183">
      <c r="A183" s="26">
        <f>'Form responses 1'!B185</f>
        <v>46064</v>
      </c>
      <c r="B183" s="4" t="str">
        <f>'Form responses 1'!AZ185</f>
        <v>moin.khan@capsdelivery.com</v>
      </c>
      <c r="C183" s="4" t="str">
        <f>'Form responses 1'!BR185</f>
        <v>mr faddy </v>
      </c>
      <c r="D183" s="4" t="str">
        <f>'Form responses 1'!AT185</f>
        <v/>
      </c>
      <c r="E183" s="4" t="str">
        <f>'Form responses 1'!AU185</f>
        <v>Yes</v>
      </c>
      <c r="F183" s="26">
        <f>'Form responses 1'!AX185</f>
        <v>46066</v>
      </c>
      <c r="G183" s="52">
        <f>'Form responses 1'!AY185</f>
        <v>0.5625</v>
      </c>
      <c r="H183" s="53" t="str">
        <f>'Form responses 1'!AW185</f>
        <v>OWNER NOT AVAILABLE</v>
      </c>
      <c r="I183" s="4" t="str">
        <f>'Form responses 1'!AS185</f>
        <v/>
      </c>
      <c r="J183" s="4" t="str">
        <f>'Form responses 1'!J185</f>
        <v/>
      </c>
      <c r="K183" s="4" t="str">
        <f>'Form responses 1'!G185</f>
        <v/>
      </c>
      <c r="L183" s="4" t="str">
        <f>'Form responses 1'!F185</f>
        <v/>
      </c>
      <c r="M183" s="4" t="str">
        <f>'Form responses 1'!U185</f>
        <v>HUSSAIN</v>
      </c>
      <c r="N183" s="4">
        <f>'Form responses 1'!V185</f>
        <v>9100886637</v>
      </c>
      <c r="O183" s="4" t="str">
        <f>'Form responses 1'!W185</f>
        <v>NA</v>
      </c>
      <c r="P183" s="4" t="str">
        <f>'Form responses 1'!X185</f>
        <v/>
      </c>
      <c r="Q183" s="4" t="str">
        <f>'Form responses 1'!Y185</f>
        <v/>
      </c>
      <c r="R183" s="4" t="str">
        <f>'Form responses 1'!Z185</f>
        <v/>
      </c>
      <c r="S183" s="4" t="str">
        <f>'Form responses 1'!AC185</f>
        <v/>
      </c>
      <c r="T183" s="4" t="str">
        <f>'Form responses 1'!AE185</f>
        <v/>
      </c>
      <c r="U183" s="4" t="str">
        <f>'Form responses 1'!AG185</f>
        <v/>
      </c>
      <c r="V183" s="4" t="str">
        <f>'Form responses 1'!AI185</f>
        <v/>
      </c>
      <c r="W183" s="4" t="str">
        <f>'Form responses 1'!AJ185</f>
        <v/>
      </c>
      <c r="X183" s="4" t="str">
        <f>'Form responses 1'!AK185</f>
        <v/>
      </c>
      <c r="Y183" s="4">
        <f t="shared" ref="Y183:AD183" si="182">if(S183&gt;0,1,0)</f>
        <v>0</v>
      </c>
      <c r="Z183" s="4">
        <f t="shared" si="182"/>
        <v>0</v>
      </c>
      <c r="AA183" s="4">
        <f t="shared" si="182"/>
        <v>0</v>
      </c>
      <c r="AB183" s="4">
        <f t="shared" si="182"/>
        <v>0</v>
      </c>
      <c r="AC183" s="4">
        <f t="shared" si="182"/>
        <v>0</v>
      </c>
      <c r="AD183" s="4">
        <f t="shared" si="182"/>
        <v>0</v>
      </c>
      <c r="AE183" s="4" t="str">
        <f>'Form responses 1'!AN185</f>
        <v/>
      </c>
      <c r="AF183" s="4" t="str">
        <f>'Form responses 1'!AO185</f>
        <v/>
      </c>
      <c r="AG183" s="4" t="str">
        <f>'Form responses 1'!AP185</f>
        <v/>
      </c>
      <c r="AH183" s="4" t="str">
        <f>'Form responses 1'!AQ185</f>
        <v/>
      </c>
      <c r="AI183" s="4" t="str">
        <f>'Form responses 1'!AR185</f>
        <v/>
      </c>
    </row>
    <row r="184">
      <c r="A184" s="26">
        <f>'Form responses 1'!B186</f>
        <v>46064</v>
      </c>
      <c r="B184" s="4" t="str">
        <f>'Form responses 1'!AZ186</f>
        <v>moin.khan@capsdelivery.com</v>
      </c>
      <c r="C184" s="4" t="str">
        <f>'Form responses 1'!BR186</f>
        <v/>
      </c>
      <c r="D184" s="4" t="str">
        <f>'Form responses 1'!AT186</f>
        <v/>
      </c>
      <c r="E184" s="4" t="str">
        <f>'Form responses 1'!AU186</f>
        <v>Yes</v>
      </c>
      <c r="F184" s="26">
        <f>'Form responses 1'!AX186</f>
        <v>46066</v>
      </c>
      <c r="G184" s="52">
        <f>'Form responses 1'!AY186</f>
        <v>0.7083333333</v>
      </c>
      <c r="H184" s="53" t="str">
        <f>'Form responses 1'!AW186</f>
        <v>OWNER WILL TALK TO THE PARTNER AND LET US KNOW</v>
      </c>
      <c r="I184" s="4" t="str">
        <f>'Form responses 1'!AS186</f>
        <v/>
      </c>
      <c r="J184" s="4" t="str">
        <f>'Form responses 1'!J186</f>
        <v/>
      </c>
      <c r="K184" s="4" t="str">
        <f>'Form responses 1'!G186</f>
        <v/>
      </c>
      <c r="L184" s="4" t="str">
        <f>'Form responses 1'!F186</f>
        <v/>
      </c>
      <c r="M184" s="4" t="str">
        <f>'Form responses 1'!U186</f>
        <v>ABRAR</v>
      </c>
      <c r="N184" s="4">
        <f>'Form responses 1'!V186</f>
        <v>9550001177</v>
      </c>
      <c r="O184" s="4" t="str">
        <f>'Form responses 1'!W186</f>
        <v>NA</v>
      </c>
      <c r="P184" s="4" t="str">
        <f>'Form responses 1'!X186</f>
        <v/>
      </c>
      <c r="Q184" s="4" t="str">
        <f>'Form responses 1'!Y186</f>
        <v/>
      </c>
      <c r="R184" s="4" t="str">
        <f>'Form responses 1'!Z186</f>
        <v/>
      </c>
      <c r="S184" s="4" t="str">
        <f>'Form responses 1'!AC186</f>
        <v/>
      </c>
      <c r="T184" s="4" t="str">
        <f>'Form responses 1'!AE186</f>
        <v/>
      </c>
      <c r="U184" s="4" t="str">
        <f>'Form responses 1'!AG186</f>
        <v/>
      </c>
      <c r="V184" s="4" t="str">
        <f>'Form responses 1'!AI186</f>
        <v/>
      </c>
      <c r="W184" s="4" t="str">
        <f>'Form responses 1'!AJ186</f>
        <v/>
      </c>
      <c r="X184" s="4" t="str">
        <f>'Form responses 1'!AK186</f>
        <v/>
      </c>
      <c r="Y184" s="4">
        <f t="shared" ref="Y184:AD184" si="183">if(S184&gt;0,1,0)</f>
        <v>0</v>
      </c>
      <c r="Z184" s="4">
        <f t="shared" si="183"/>
        <v>0</v>
      </c>
      <c r="AA184" s="4">
        <f t="shared" si="183"/>
        <v>0</v>
      </c>
      <c r="AB184" s="4">
        <f t="shared" si="183"/>
        <v>0</v>
      </c>
      <c r="AC184" s="4">
        <f t="shared" si="183"/>
        <v>0</v>
      </c>
      <c r="AD184" s="4">
        <f t="shared" si="183"/>
        <v>0</v>
      </c>
      <c r="AE184" s="4" t="str">
        <f>'Form responses 1'!AN186</f>
        <v/>
      </c>
      <c r="AF184" s="4" t="str">
        <f>'Form responses 1'!AO186</f>
        <v/>
      </c>
      <c r="AG184" s="4" t="str">
        <f>'Form responses 1'!AP186</f>
        <v/>
      </c>
      <c r="AH184" s="4" t="str">
        <f>'Form responses 1'!AQ186</f>
        <v/>
      </c>
      <c r="AI184" s="4" t="str">
        <f>'Form responses 1'!AR186</f>
        <v/>
      </c>
    </row>
    <row r="185">
      <c r="A185" s="26">
        <f>'Form responses 1'!B187</f>
        <v>46064</v>
      </c>
      <c r="B185" s="4" t="str">
        <f>'Form responses 1'!AZ187</f>
        <v>moin.khan@capsdelivery.com</v>
      </c>
      <c r="C185" s="4" t="str">
        <f>'Form responses 1'!BR187</f>
        <v> gyros doner by nice juice centre </v>
      </c>
      <c r="D185" s="4" t="str">
        <f>'Form responses 1'!AT187</f>
        <v/>
      </c>
      <c r="E185" s="4" t="str">
        <f>'Form responses 1'!AU187</f>
        <v>Yes</v>
      </c>
      <c r="F185" s="26">
        <f>'Form responses 1'!AX187</f>
        <v>46066</v>
      </c>
      <c r="G185" s="52">
        <f>'Form responses 1'!AY187</f>
        <v>0.625</v>
      </c>
      <c r="H185" s="53" t="str">
        <f>'Form responses 1'!AW187</f>
        <v>Owner asked to visit on friday as he is not available today and tommrow</v>
      </c>
      <c r="I185" s="4" t="str">
        <f>'Form responses 1'!AS187</f>
        <v/>
      </c>
      <c r="J185" s="4" t="str">
        <f>'Form responses 1'!J187</f>
        <v/>
      </c>
      <c r="K185" s="4" t="str">
        <f>'Form responses 1'!G187</f>
        <v/>
      </c>
      <c r="L185" s="4" t="str">
        <f>'Form responses 1'!F187</f>
        <v/>
      </c>
      <c r="M185" s="4" t="str">
        <f>'Form responses 1'!U187</f>
        <v>abdul malik </v>
      </c>
      <c r="N185" s="4">
        <f>'Form responses 1'!V187</f>
        <v>9346036222</v>
      </c>
      <c r="O185" s="4" t="str">
        <f>'Form responses 1'!W187</f>
        <v>NA</v>
      </c>
      <c r="P185" s="4" t="str">
        <f>'Form responses 1'!X187</f>
        <v/>
      </c>
      <c r="Q185" s="4" t="str">
        <f>'Form responses 1'!Y187</f>
        <v/>
      </c>
      <c r="R185" s="4" t="str">
        <f>'Form responses 1'!Z187</f>
        <v/>
      </c>
      <c r="S185" s="4" t="str">
        <f>'Form responses 1'!AC187</f>
        <v/>
      </c>
      <c r="T185" s="4" t="str">
        <f>'Form responses 1'!AE187</f>
        <v/>
      </c>
      <c r="U185" s="4" t="str">
        <f>'Form responses 1'!AG187</f>
        <v/>
      </c>
      <c r="V185" s="4" t="str">
        <f>'Form responses 1'!AI187</f>
        <v/>
      </c>
      <c r="W185" s="4" t="str">
        <f>'Form responses 1'!AJ187</f>
        <v/>
      </c>
      <c r="X185" s="4" t="str">
        <f>'Form responses 1'!AK187</f>
        <v/>
      </c>
      <c r="Y185" s="4">
        <f t="shared" ref="Y185:AD185" si="184">if(S185&gt;0,1,0)</f>
        <v>0</v>
      </c>
      <c r="Z185" s="4">
        <f t="shared" si="184"/>
        <v>0</v>
      </c>
      <c r="AA185" s="4">
        <f t="shared" si="184"/>
        <v>0</v>
      </c>
      <c r="AB185" s="4">
        <f t="shared" si="184"/>
        <v>0</v>
      </c>
      <c r="AC185" s="4">
        <f t="shared" si="184"/>
        <v>0</v>
      </c>
      <c r="AD185" s="4">
        <f t="shared" si="184"/>
        <v>0</v>
      </c>
      <c r="AE185" s="4" t="str">
        <f>'Form responses 1'!AN187</f>
        <v/>
      </c>
      <c r="AF185" s="4" t="str">
        <f>'Form responses 1'!AO187</f>
        <v/>
      </c>
      <c r="AG185" s="4" t="str">
        <f>'Form responses 1'!AP187</f>
        <v/>
      </c>
      <c r="AH185" s="4" t="str">
        <f>'Form responses 1'!AQ187</f>
        <v/>
      </c>
      <c r="AI185" s="4" t="str">
        <f>'Form responses 1'!AR187</f>
        <v/>
      </c>
    </row>
    <row r="186">
      <c r="A186" s="26">
        <f>'Form responses 1'!B188</f>
        <v>46064</v>
      </c>
      <c r="B186" s="4" t="str">
        <f>'Form responses 1'!AZ188</f>
        <v>ankitha.baske@capsdelivery.com</v>
      </c>
      <c r="C186" s="4" t="str">
        <f>'Form responses 1'!BR188</f>
        <v>Kohinoor Restaurant </v>
      </c>
      <c r="D186" s="4" t="str">
        <f>'Form responses 1'!AT188</f>
        <v/>
      </c>
      <c r="E186" s="4" t="str">
        <f>'Form responses 1'!AU188</f>
        <v>Yes</v>
      </c>
      <c r="F186" s="4" t="str">
        <f>'Form responses 1'!AX188</f>
        <v/>
      </c>
      <c r="G186" s="4" t="str">
        <f>'Form responses 1'!AY188</f>
        <v/>
      </c>
      <c r="H186" s="53" t="str">
        <f>'Form responses 1'!AW188</f>
        <v/>
      </c>
      <c r="I186" s="4" t="str">
        <f>'Form responses 1'!AS188</f>
        <v/>
      </c>
      <c r="J186" s="4" t="str">
        <f>'Form responses 1'!J188</f>
        <v>Tier-3 ( AOV&lt;200 )</v>
      </c>
      <c r="K186" s="4">
        <f>'Form responses 1'!G188</f>
        <v>130</v>
      </c>
      <c r="L186" s="4">
        <f>'Form responses 1'!F188</f>
        <v>130</v>
      </c>
      <c r="M186" s="4" t="str">
        <f>'Form responses 1'!U188</f>
        <v>Sajaz</v>
      </c>
      <c r="N186" s="4">
        <f>'Form responses 1'!V188</f>
        <v>8125583337</v>
      </c>
      <c r="O186" s="4" t="str">
        <f>'Form responses 1'!W188</f>
        <v>NA</v>
      </c>
      <c r="P186" s="4" t="str">
        <f>'Form responses 1'!X188</f>
        <v/>
      </c>
      <c r="Q186" s="4" t="str">
        <f>'Form responses 1'!Y188</f>
        <v/>
      </c>
      <c r="R186" s="4" t="str">
        <f>'Form responses 1'!Z188</f>
        <v/>
      </c>
      <c r="S186" s="4" t="str">
        <f>'Form responses 1'!AC188</f>
        <v/>
      </c>
      <c r="T186" s="4" t="str">
        <f>'Form responses 1'!AE188</f>
        <v/>
      </c>
      <c r="U186" s="4" t="str">
        <f>'Form responses 1'!AG188</f>
        <v/>
      </c>
      <c r="V186" s="4" t="str">
        <f>'Form responses 1'!AI188</f>
        <v/>
      </c>
      <c r="W186" s="4" t="str">
        <f>'Form responses 1'!AJ188</f>
        <v/>
      </c>
      <c r="X186" s="4" t="str">
        <f>'Form responses 1'!AK188</f>
        <v/>
      </c>
      <c r="Y186" s="4">
        <f t="shared" ref="Y186:AD186" si="185">if(S186&gt;0,1,0)</f>
        <v>0</v>
      </c>
      <c r="Z186" s="4">
        <f t="shared" si="185"/>
        <v>0</v>
      </c>
      <c r="AA186" s="4">
        <f t="shared" si="185"/>
        <v>0</v>
      </c>
      <c r="AB186" s="4">
        <f t="shared" si="185"/>
        <v>0</v>
      </c>
      <c r="AC186" s="4">
        <f t="shared" si="185"/>
        <v>0</v>
      </c>
      <c r="AD186" s="4">
        <f t="shared" si="185"/>
        <v>0</v>
      </c>
      <c r="AE186" s="4" t="str">
        <f>'Form responses 1'!AN188</f>
        <v/>
      </c>
      <c r="AF186" s="4" t="str">
        <f>'Form responses 1'!AO188</f>
        <v/>
      </c>
      <c r="AG186" s="4" t="str">
        <f>'Form responses 1'!AP188</f>
        <v/>
      </c>
      <c r="AH186" s="4" t="str">
        <f>'Form responses 1'!AQ188</f>
        <v/>
      </c>
      <c r="AI186" s="4" t="str">
        <f>'Form responses 1'!AR188</f>
        <v/>
      </c>
    </row>
    <row r="187">
      <c r="A187" s="26">
        <f>'Form responses 1'!B189</f>
        <v>46064</v>
      </c>
      <c r="B187" s="4" t="str">
        <f>'Form responses 1'!AZ189</f>
        <v>moin.khan@capsdelivery.com</v>
      </c>
      <c r="C187" s="4" t="str">
        <f>'Form responses 1'!BR189</f>
        <v>kabul darbar</v>
      </c>
      <c r="D187" s="4" t="str">
        <f>'Form responses 1'!AT189</f>
        <v/>
      </c>
      <c r="E187" s="4" t="str">
        <f>'Form responses 1'!AU189</f>
        <v>Yes</v>
      </c>
      <c r="F187" s="26">
        <f>'Form responses 1'!AX189</f>
        <v>46066</v>
      </c>
      <c r="G187" s="52">
        <f>'Form responses 1'!AY189</f>
        <v>0.8333333333</v>
      </c>
      <c r="H187" s="53" t="str">
        <f>'Form responses 1'!AW189</f>
        <v>OWNER IS NOT AVAILABLE HE COME AFTER 9 PM</v>
      </c>
      <c r="I187" s="4" t="str">
        <f>'Form responses 1'!AS189</f>
        <v/>
      </c>
      <c r="J187" s="4" t="str">
        <f>'Form responses 1'!J189</f>
        <v/>
      </c>
      <c r="K187" s="4" t="str">
        <f>'Form responses 1'!G189</f>
        <v/>
      </c>
      <c r="L187" s="4" t="str">
        <f>'Form responses 1'!F189</f>
        <v/>
      </c>
      <c r="M187" s="4" t="str">
        <f>'Form responses 1'!U189</f>
        <v>SHAKEEL</v>
      </c>
      <c r="N187" s="4" t="str">
        <f>'Form responses 1'!V189</f>
        <v>72070 83888</v>
      </c>
      <c r="O187" s="4" t="str">
        <f>'Form responses 1'!W189</f>
        <v>NA</v>
      </c>
      <c r="P187" s="4" t="str">
        <f>'Form responses 1'!X189</f>
        <v/>
      </c>
      <c r="Q187" s="4" t="str">
        <f>'Form responses 1'!Y189</f>
        <v/>
      </c>
      <c r="R187" s="4" t="str">
        <f>'Form responses 1'!Z189</f>
        <v/>
      </c>
      <c r="S187" s="4" t="str">
        <f>'Form responses 1'!AC189</f>
        <v/>
      </c>
      <c r="T187" s="4" t="str">
        <f>'Form responses 1'!AE189</f>
        <v/>
      </c>
      <c r="U187" s="4" t="str">
        <f>'Form responses 1'!AG189</f>
        <v/>
      </c>
      <c r="V187" s="4" t="str">
        <f>'Form responses 1'!AI189</f>
        <v/>
      </c>
      <c r="W187" s="4" t="str">
        <f>'Form responses 1'!AJ189</f>
        <v/>
      </c>
      <c r="X187" s="4" t="str">
        <f>'Form responses 1'!AK189</f>
        <v/>
      </c>
      <c r="Y187" s="4">
        <f t="shared" ref="Y187:AD187" si="186">if(S187&gt;0,1,0)</f>
        <v>0</v>
      </c>
      <c r="Z187" s="4">
        <f t="shared" si="186"/>
        <v>0</v>
      </c>
      <c r="AA187" s="4">
        <f t="shared" si="186"/>
        <v>0</v>
      </c>
      <c r="AB187" s="4">
        <f t="shared" si="186"/>
        <v>0</v>
      </c>
      <c r="AC187" s="4">
        <f t="shared" si="186"/>
        <v>0</v>
      </c>
      <c r="AD187" s="4">
        <f t="shared" si="186"/>
        <v>0</v>
      </c>
      <c r="AE187" s="4" t="str">
        <f>'Form responses 1'!AN189</f>
        <v/>
      </c>
      <c r="AF187" s="4" t="str">
        <f>'Form responses 1'!AO189</f>
        <v/>
      </c>
      <c r="AG187" s="4" t="str">
        <f>'Form responses 1'!AP189</f>
        <v/>
      </c>
      <c r="AH187" s="4" t="str">
        <f>'Form responses 1'!AQ189</f>
        <v/>
      </c>
      <c r="AI187" s="4" t="str">
        <f>'Form responses 1'!AR189</f>
        <v/>
      </c>
    </row>
    <row r="188">
      <c r="A188" s="26">
        <f>'Form responses 1'!B190</f>
        <v>46064</v>
      </c>
      <c r="B188" s="4" t="str">
        <f>'Form responses 1'!AZ190</f>
        <v>chanakya.inugala@capsdelivery.com</v>
      </c>
      <c r="C188" s="4" t="str">
        <f>'Form responses 1'!BR190</f>
        <v>Anu Archana kitchen </v>
      </c>
      <c r="D188" s="4" t="str">
        <f>'Form responses 1'!AT190</f>
        <v>Onboarded </v>
      </c>
      <c r="E188" s="4" t="str">
        <f>'Form responses 1'!AU190</f>
        <v>No</v>
      </c>
      <c r="F188" s="4" t="str">
        <f>'Form responses 1'!AX190</f>
        <v/>
      </c>
      <c r="G188" s="4" t="str">
        <f>'Form responses 1'!AY190</f>
        <v/>
      </c>
      <c r="H188" s="53" t="str">
        <f>'Form responses 1'!AW190</f>
        <v/>
      </c>
      <c r="I188" s="4" t="str">
        <f>'Form responses 1'!AS190</f>
        <v/>
      </c>
      <c r="J188" s="4" t="str">
        <f>'Form responses 1'!J190</f>
        <v>Tier-3 ( AOV&lt;200 )</v>
      </c>
      <c r="K188" s="4">
        <f>'Form responses 1'!G190</f>
        <v>200</v>
      </c>
      <c r="L188" s="4">
        <f>'Form responses 1'!F190</f>
        <v>40</v>
      </c>
      <c r="M188" s="4" t="str">
        <f>'Form responses 1'!U190</f>
        <v>Anjaiah</v>
      </c>
      <c r="N188" s="4" t="str">
        <f>'Form responses 1'!V190</f>
        <v>Na</v>
      </c>
      <c r="O188" s="4" t="str">
        <f>'Form responses 1'!W190</f>
        <v>Na</v>
      </c>
      <c r="P188" s="4" t="str">
        <f>'Form responses 1'!X190</f>
        <v/>
      </c>
      <c r="Q188" s="4" t="str">
        <f>'Form responses 1'!Y190</f>
        <v/>
      </c>
      <c r="R188" s="4" t="str">
        <f>'Form responses 1'!Z190</f>
        <v/>
      </c>
      <c r="S188" s="4" t="str">
        <f>'Form responses 1'!AC190</f>
        <v/>
      </c>
      <c r="T188" s="4" t="str">
        <f>'Form responses 1'!AE190</f>
        <v/>
      </c>
      <c r="U188" s="4" t="str">
        <f>'Form responses 1'!AG190</f>
        <v/>
      </c>
      <c r="V188" s="4" t="str">
        <f>'Form responses 1'!AI190</f>
        <v/>
      </c>
      <c r="W188" s="4" t="str">
        <f>'Form responses 1'!AJ190</f>
        <v/>
      </c>
      <c r="X188" s="4" t="str">
        <f>'Form responses 1'!AK190</f>
        <v/>
      </c>
      <c r="Y188" s="4">
        <f t="shared" ref="Y188:AD188" si="187">if(S188&gt;0,1,0)</f>
        <v>0</v>
      </c>
      <c r="Z188" s="4">
        <f t="shared" si="187"/>
        <v>0</v>
      </c>
      <c r="AA188" s="4">
        <f t="shared" si="187"/>
        <v>0</v>
      </c>
      <c r="AB188" s="4">
        <f t="shared" si="187"/>
        <v>0</v>
      </c>
      <c r="AC188" s="4">
        <f t="shared" si="187"/>
        <v>0</v>
      </c>
      <c r="AD188" s="4">
        <f t="shared" si="187"/>
        <v>0</v>
      </c>
      <c r="AE188" s="4" t="str">
        <f>'Form responses 1'!AN190</f>
        <v/>
      </c>
      <c r="AF188" s="4" t="str">
        <f>'Form responses 1'!AO190</f>
        <v/>
      </c>
      <c r="AG188" s="4" t="str">
        <f>'Form responses 1'!AP190</f>
        <v/>
      </c>
      <c r="AH188" s="4" t="str">
        <f>'Form responses 1'!AQ190</f>
        <v/>
      </c>
      <c r="AI188" s="4" t="str">
        <f>'Form responses 1'!AR190</f>
        <v/>
      </c>
    </row>
    <row r="189">
      <c r="A189" s="26">
        <f>'Form responses 1'!B191</f>
        <v>46064</v>
      </c>
      <c r="B189" s="4" t="str">
        <f>'Form responses 1'!AZ191</f>
        <v>moin.khan@capsdelivery.com</v>
      </c>
      <c r="C189" s="4" t="str">
        <f>'Form responses 1'!BR191</f>
        <v>SUBHAM GRAND MULTI CUISINE FAMILY RESTAURANT</v>
      </c>
      <c r="D189" s="4" t="str">
        <f>'Form responses 1'!AT191</f>
        <v>ONBOARDED</v>
      </c>
      <c r="E189" s="4" t="str">
        <f>'Form responses 1'!AU191</f>
        <v>No</v>
      </c>
      <c r="F189" s="4" t="str">
        <f>'Form responses 1'!AX191</f>
        <v/>
      </c>
      <c r="G189" s="4" t="str">
        <f>'Form responses 1'!AY191</f>
        <v/>
      </c>
      <c r="H189" s="53" t="str">
        <f>'Form responses 1'!AW191</f>
        <v/>
      </c>
      <c r="I189" s="4" t="str">
        <f>'Form responses 1'!AS191</f>
        <v>Yes</v>
      </c>
      <c r="J189" s="4" t="str">
        <f>'Form responses 1'!J191</f>
        <v>Tier-2 (AOV &lt;400)</v>
      </c>
      <c r="K189" s="4">
        <f>'Form responses 1'!G191</f>
        <v>250</v>
      </c>
      <c r="L189" s="4">
        <f>'Form responses 1'!F191</f>
        <v>50</v>
      </c>
      <c r="M189" s="4" t="str">
        <f>'Form responses 1'!U191</f>
        <v>SUDARSAN NAYAK</v>
      </c>
      <c r="N189" s="4">
        <f>'Form responses 1'!V191</f>
        <v>8008623545</v>
      </c>
      <c r="O189" s="4" t="str">
        <f>'Form responses 1'!W191</f>
        <v>hsgsubhamgrand@gmail.com</v>
      </c>
      <c r="P189" s="4" t="str">
        <f>'Form responses 1'!X191</f>
        <v/>
      </c>
      <c r="Q189" s="4" t="str">
        <f>'Form responses 1'!Y191</f>
        <v/>
      </c>
      <c r="R189" s="4" t="str">
        <f>'Form responses 1'!Z191</f>
        <v/>
      </c>
      <c r="S189" s="54" t="str">
        <f>'Form responses 1'!AC191</f>
        <v>https://drive.google.com/open?id=1Z-lRC1l3IL3T3kyON-FcG7O_JcxZeZJF</v>
      </c>
      <c r="T189" s="4" t="str">
        <f>'Form responses 1'!AE191</f>
        <v/>
      </c>
      <c r="U189" s="54" t="str">
        <f>'Form responses 1'!AG191</f>
        <v>https://drive.google.com/open?id=1ve20UFwuWtQjg3TMnjmn_jLJwONfRNiH</v>
      </c>
      <c r="V189" s="54" t="str">
        <f>'Form responses 1'!AI191</f>
        <v>https://drive.google.com/open?id=12s2f57VzvxLLaOdnwoVFKLOsBR6DugpZ</v>
      </c>
      <c r="W189" s="4" t="str">
        <f>'Form responses 1'!AJ191</f>
        <v/>
      </c>
      <c r="X189" s="4" t="str">
        <f>'Form responses 1'!AK191</f>
        <v/>
      </c>
      <c r="Y189" s="4">
        <f t="shared" ref="Y189:AD189" si="188">if(S189&gt;0,1,0)</f>
        <v>1</v>
      </c>
      <c r="Z189" s="4">
        <f t="shared" si="188"/>
        <v>0</v>
      </c>
      <c r="AA189" s="4">
        <f t="shared" si="188"/>
        <v>1</v>
      </c>
      <c r="AB189" s="4">
        <f t="shared" si="188"/>
        <v>1</v>
      </c>
      <c r="AC189" s="4">
        <f t="shared" si="188"/>
        <v>0</v>
      </c>
      <c r="AD189" s="4">
        <f t="shared" si="188"/>
        <v>0</v>
      </c>
      <c r="AE189" s="4" t="str">
        <f>'Form responses 1'!AN191</f>
        <v>AXIS BANK</v>
      </c>
      <c r="AF189" s="4" t="str">
        <f>'Form responses 1'!AO191</f>
        <v>SUDARSAN NAYAK</v>
      </c>
      <c r="AG189" s="4" t="str">
        <f>'Form responses 1'!AP191</f>
        <v>80086 23545</v>
      </c>
      <c r="AH189" s="4" t="str">
        <f>'Form responses 1'!AQ191</f>
        <v>hsgsubhamgrand@gmail.com</v>
      </c>
      <c r="AI189" s="4" t="str">
        <f>'Form responses 1'!AR191</f>
        <v/>
      </c>
    </row>
    <row r="190">
      <c r="A190" s="26">
        <f>'Form responses 1'!B192</f>
        <v>46053</v>
      </c>
      <c r="B190" s="4" t="str">
        <f>'Form responses 1'!AZ192</f>
        <v>madhumitha.sonnakula@capsdelivery.com</v>
      </c>
      <c r="C190" s="4" t="str">
        <f>'Form responses 1'!BR192</f>
        <v>hotel armani</v>
      </c>
      <c r="D190" s="4" t="str">
        <f>'Form responses 1'!AT192</f>
        <v/>
      </c>
      <c r="E190" s="4" t="str">
        <f>'Form responses 1'!AU192</f>
        <v>Yes</v>
      </c>
      <c r="F190" s="4" t="str">
        <f>'Form responses 1'!AX192</f>
        <v/>
      </c>
      <c r="G190" s="4" t="str">
        <f>'Form responses 1'!AY192</f>
        <v/>
      </c>
      <c r="H190" s="53" t="str">
        <f>'Form responses 1'!AW192</f>
        <v/>
      </c>
      <c r="I190" s="4" t="str">
        <f>'Form responses 1'!AS192</f>
        <v/>
      </c>
      <c r="J190" s="4" t="str">
        <f>'Form responses 1'!J192</f>
        <v/>
      </c>
      <c r="K190" s="4" t="str">
        <f>'Form responses 1'!G192</f>
        <v/>
      </c>
      <c r="L190" s="4" t="str">
        <f>'Form responses 1'!F192</f>
        <v/>
      </c>
      <c r="M190" s="4" t="str">
        <f>'Form responses 1'!U192</f>
        <v>hotel armani</v>
      </c>
      <c r="N190" s="4" t="str">
        <f>'Form responses 1'!V192</f>
        <v>na</v>
      </c>
      <c r="O190" s="4" t="str">
        <f>'Form responses 1'!W192</f>
        <v>na</v>
      </c>
      <c r="P190" s="4" t="str">
        <f>'Form responses 1'!X192</f>
        <v/>
      </c>
      <c r="Q190" s="4" t="str">
        <f>'Form responses 1'!Y192</f>
        <v/>
      </c>
      <c r="R190" s="4" t="str">
        <f>'Form responses 1'!Z192</f>
        <v/>
      </c>
      <c r="S190" s="4" t="str">
        <f>'Form responses 1'!AC192</f>
        <v/>
      </c>
      <c r="T190" s="4" t="str">
        <f>'Form responses 1'!AE192</f>
        <v/>
      </c>
      <c r="U190" s="4" t="str">
        <f>'Form responses 1'!AG192</f>
        <v/>
      </c>
      <c r="V190" s="4" t="str">
        <f>'Form responses 1'!AI192</f>
        <v/>
      </c>
      <c r="W190" s="4" t="str">
        <f>'Form responses 1'!AJ192</f>
        <v/>
      </c>
      <c r="X190" s="4" t="str">
        <f>'Form responses 1'!AK192</f>
        <v/>
      </c>
      <c r="Y190" s="4">
        <f t="shared" ref="Y190:AD190" si="189">if(S190&gt;0,1,0)</f>
        <v>0</v>
      </c>
      <c r="Z190" s="4">
        <f t="shared" si="189"/>
        <v>0</v>
      </c>
      <c r="AA190" s="4">
        <f t="shared" si="189"/>
        <v>0</v>
      </c>
      <c r="AB190" s="4">
        <f t="shared" si="189"/>
        <v>0</v>
      </c>
      <c r="AC190" s="4">
        <f t="shared" si="189"/>
        <v>0</v>
      </c>
      <c r="AD190" s="4">
        <f t="shared" si="189"/>
        <v>0</v>
      </c>
      <c r="AE190" s="4" t="str">
        <f>'Form responses 1'!AN192</f>
        <v/>
      </c>
      <c r="AF190" s="4" t="str">
        <f>'Form responses 1'!AO192</f>
        <v/>
      </c>
      <c r="AG190" s="4" t="str">
        <f>'Form responses 1'!AP192</f>
        <v/>
      </c>
      <c r="AH190" s="4" t="str">
        <f>'Form responses 1'!AQ192</f>
        <v/>
      </c>
      <c r="AI190" s="4" t="str">
        <f>'Form responses 1'!AR192</f>
        <v/>
      </c>
    </row>
    <row r="191">
      <c r="A191" s="26">
        <f>'Form responses 1'!B193</f>
        <v>46053</v>
      </c>
      <c r="B191" s="4" t="str">
        <f>'Form responses 1'!AZ193</f>
        <v>madhumitha.sonnakula@capsdelivery.com</v>
      </c>
      <c r="C191" s="4" t="str">
        <f>'Form responses 1'!BR193</f>
        <v/>
      </c>
      <c r="D191" s="4" t="str">
        <f>'Form responses 1'!AT193</f>
        <v/>
      </c>
      <c r="E191" s="4" t="str">
        <f>'Form responses 1'!AU193</f>
        <v>Yes</v>
      </c>
      <c r="F191" s="4" t="str">
        <f>'Form responses 1'!AX193</f>
        <v/>
      </c>
      <c r="G191" s="4" t="str">
        <f>'Form responses 1'!AY193</f>
        <v/>
      </c>
      <c r="H191" s="53" t="str">
        <f>'Form responses 1'!AW193</f>
        <v/>
      </c>
      <c r="I191" s="4" t="str">
        <f>'Form responses 1'!AS193</f>
        <v/>
      </c>
      <c r="J191" s="4" t="str">
        <f>'Form responses 1'!J193</f>
        <v/>
      </c>
      <c r="K191" s="4" t="str">
        <f>'Form responses 1'!G193</f>
        <v/>
      </c>
      <c r="L191" s="4" t="str">
        <f>'Form responses 1'!F193</f>
        <v/>
      </c>
      <c r="M191" s="4" t="str">
        <f>'Form responses 1'!U193</f>
        <v>irsaad</v>
      </c>
      <c r="N191" s="4">
        <f>'Form responses 1'!V193</f>
        <v>9393852636</v>
      </c>
      <c r="O191" s="4" t="str">
        <f>'Form responses 1'!W193</f>
        <v>na</v>
      </c>
      <c r="P191" s="4" t="str">
        <f>'Form responses 1'!X193</f>
        <v/>
      </c>
      <c r="Q191" s="4" t="str">
        <f>'Form responses 1'!Y193</f>
        <v/>
      </c>
      <c r="R191" s="4" t="str">
        <f>'Form responses 1'!Z193</f>
        <v/>
      </c>
      <c r="S191" s="4" t="str">
        <f>'Form responses 1'!AC193</f>
        <v/>
      </c>
      <c r="T191" s="4" t="str">
        <f>'Form responses 1'!AE193</f>
        <v/>
      </c>
      <c r="U191" s="4" t="str">
        <f>'Form responses 1'!AG193</f>
        <v/>
      </c>
      <c r="V191" s="4" t="str">
        <f>'Form responses 1'!AI193</f>
        <v/>
      </c>
      <c r="W191" s="4" t="str">
        <f>'Form responses 1'!AJ193</f>
        <v/>
      </c>
      <c r="X191" s="4" t="str">
        <f>'Form responses 1'!AK193</f>
        <v/>
      </c>
      <c r="Y191" s="4">
        <f t="shared" ref="Y191:AD191" si="190">if(S191&gt;0,1,0)</f>
        <v>0</v>
      </c>
      <c r="Z191" s="4">
        <f t="shared" si="190"/>
        <v>0</v>
      </c>
      <c r="AA191" s="4">
        <f t="shared" si="190"/>
        <v>0</v>
      </c>
      <c r="AB191" s="4">
        <f t="shared" si="190"/>
        <v>0</v>
      </c>
      <c r="AC191" s="4">
        <f t="shared" si="190"/>
        <v>0</v>
      </c>
      <c r="AD191" s="4">
        <f t="shared" si="190"/>
        <v>0</v>
      </c>
      <c r="AE191" s="4" t="str">
        <f>'Form responses 1'!AN193</f>
        <v/>
      </c>
      <c r="AF191" s="4" t="str">
        <f>'Form responses 1'!AO193</f>
        <v/>
      </c>
      <c r="AG191" s="4" t="str">
        <f>'Form responses 1'!AP193</f>
        <v/>
      </c>
      <c r="AH191" s="4" t="str">
        <f>'Form responses 1'!AQ193</f>
        <v/>
      </c>
      <c r="AI191" s="4" t="str">
        <f>'Form responses 1'!AR193</f>
        <v/>
      </c>
    </row>
    <row r="192">
      <c r="A192" s="26">
        <f>'Form responses 1'!B194</f>
        <v>46053</v>
      </c>
      <c r="B192" s="4" t="str">
        <f>'Form responses 1'!AZ194</f>
        <v>madhumitha.sonnakula@capsdelivery.com</v>
      </c>
      <c r="C192" s="4" t="str">
        <f>'Form responses 1'!BR194</f>
        <v>pakisa</v>
      </c>
      <c r="D192" s="4" t="str">
        <f>'Form responses 1'!AT194</f>
        <v/>
      </c>
      <c r="E192" s="4" t="str">
        <f>'Form responses 1'!AU194</f>
        <v>Yes</v>
      </c>
      <c r="F192" s="4" t="str">
        <f>'Form responses 1'!AX194</f>
        <v/>
      </c>
      <c r="G192" s="4" t="str">
        <f>'Form responses 1'!AY194</f>
        <v/>
      </c>
      <c r="H192" s="53" t="str">
        <f>'Form responses 1'!AW194</f>
        <v/>
      </c>
      <c r="I192" s="4" t="str">
        <f>'Form responses 1'!AS194</f>
        <v/>
      </c>
      <c r="J192" s="4" t="str">
        <f>'Form responses 1'!J194</f>
        <v>Tier-2 (AOV &lt;400)</v>
      </c>
      <c r="K192" s="4">
        <f>'Form responses 1'!G194</f>
        <v>300</v>
      </c>
      <c r="L192" s="4">
        <f>'Form responses 1'!F194</f>
        <v>100</v>
      </c>
      <c r="M192" s="4" t="str">
        <f>'Form responses 1'!U194</f>
        <v>pakisa</v>
      </c>
      <c r="N192" s="4">
        <f>'Form responses 1'!V194</f>
        <v>9346197565</v>
      </c>
      <c r="O192" s="4" t="str">
        <f>'Form responses 1'!W194</f>
        <v>na</v>
      </c>
      <c r="P192" s="4" t="str">
        <f>'Form responses 1'!X194</f>
        <v/>
      </c>
      <c r="Q192" s="4" t="str">
        <f>'Form responses 1'!Y194</f>
        <v/>
      </c>
      <c r="R192" s="4" t="str">
        <f>'Form responses 1'!Z194</f>
        <v/>
      </c>
      <c r="S192" s="4" t="str">
        <f>'Form responses 1'!AC194</f>
        <v/>
      </c>
      <c r="T192" s="4" t="str">
        <f>'Form responses 1'!AE194</f>
        <v/>
      </c>
      <c r="U192" s="4" t="str">
        <f>'Form responses 1'!AG194</f>
        <v/>
      </c>
      <c r="V192" s="4" t="str">
        <f>'Form responses 1'!AI194</f>
        <v/>
      </c>
      <c r="W192" s="4" t="str">
        <f>'Form responses 1'!AJ194</f>
        <v/>
      </c>
      <c r="X192" s="4" t="str">
        <f>'Form responses 1'!AK194</f>
        <v/>
      </c>
      <c r="Y192" s="4">
        <f t="shared" ref="Y192:AD192" si="191">if(S192&gt;0,1,0)</f>
        <v>0</v>
      </c>
      <c r="Z192" s="4">
        <f t="shared" si="191"/>
        <v>0</v>
      </c>
      <c r="AA192" s="4">
        <f t="shared" si="191"/>
        <v>0</v>
      </c>
      <c r="AB192" s="4">
        <f t="shared" si="191"/>
        <v>0</v>
      </c>
      <c r="AC192" s="4">
        <f t="shared" si="191"/>
        <v>0</v>
      </c>
      <c r="AD192" s="4">
        <f t="shared" si="191"/>
        <v>0</v>
      </c>
      <c r="AE192" s="4" t="str">
        <f>'Form responses 1'!AN194</f>
        <v/>
      </c>
      <c r="AF192" s="4" t="str">
        <f>'Form responses 1'!AO194</f>
        <v/>
      </c>
      <c r="AG192" s="4" t="str">
        <f>'Form responses 1'!AP194</f>
        <v/>
      </c>
      <c r="AH192" s="4" t="str">
        <f>'Form responses 1'!AQ194</f>
        <v/>
      </c>
      <c r="AI192" s="4" t="str">
        <f>'Form responses 1'!AR194</f>
        <v/>
      </c>
    </row>
    <row r="193">
      <c r="A193" s="26">
        <f>'Form responses 1'!B195</f>
        <v>46053</v>
      </c>
      <c r="B193" s="4" t="str">
        <f>'Form responses 1'!AZ195</f>
        <v>madhumitha.sonnakula@capsdelivery.com</v>
      </c>
      <c r="C193" s="4" t="str">
        <f>'Form responses 1'!BR195</f>
        <v>parcel counter</v>
      </c>
      <c r="D193" s="4" t="str">
        <f>'Form responses 1'!AT195</f>
        <v/>
      </c>
      <c r="E193" s="4" t="str">
        <f>'Form responses 1'!AU195</f>
        <v>Yes</v>
      </c>
      <c r="F193" s="4" t="str">
        <f>'Form responses 1'!AX195</f>
        <v/>
      </c>
      <c r="G193" s="4" t="str">
        <f>'Form responses 1'!AY195</f>
        <v/>
      </c>
      <c r="H193" s="53" t="str">
        <f>'Form responses 1'!AW195</f>
        <v/>
      </c>
      <c r="I193" s="4" t="str">
        <f>'Form responses 1'!AS195</f>
        <v/>
      </c>
      <c r="J193" s="4" t="str">
        <f>'Form responses 1'!J195</f>
        <v/>
      </c>
      <c r="K193" s="4" t="str">
        <f>'Form responses 1'!G195</f>
        <v/>
      </c>
      <c r="L193" s="4" t="str">
        <f>'Form responses 1'!F195</f>
        <v/>
      </c>
      <c r="M193" s="4" t="str">
        <f>'Form responses 1'!U195</f>
        <v>ahmed </v>
      </c>
      <c r="N193" s="4">
        <f>'Form responses 1'!V195</f>
        <v>7569933996</v>
      </c>
      <c r="O193" s="4" t="str">
        <f>'Form responses 1'!W195</f>
        <v>na</v>
      </c>
      <c r="P193" s="4" t="str">
        <f>'Form responses 1'!X195</f>
        <v/>
      </c>
      <c r="Q193" s="4" t="str">
        <f>'Form responses 1'!Y195</f>
        <v/>
      </c>
      <c r="R193" s="4" t="str">
        <f>'Form responses 1'!Z195</f>
        <v/>
      </c>
      <c r="S193" s="4" t="str">
        <f>'Form responses 1'!AC195</f>
        <v/>
      </c>
      <c r="T193" s="4" t="str">
        <f>'Form responses 1'!AE195</f>
        <v/>
      </c>
      <c r="U193" s="4" t="str">
        <f>'Form responses 1'!AG195</f>
        <v/>
      </c>
      <c r="V193" s="4" t="str">
        <f>'Form responses 1'!AI195</f>
        <v/>
      </c>
      <c r="W193" s="4" t="str">
        <f>'Form responses 1'!AJ195</f>
        <v/>
      </c>
      <c r="X193" s="4" t="str">
        <f>'Form responses 1'!AK195</f>
        <v/>
      </c>
      <c r="Y193" s="4">
        <f t="shared" ref="Y193:AD193" si="192">if(S193&gt;0,1,0)</f>
        <v>0</v>
      </c>
      <c r="Z193" s="4">
        <f t="shared" si="192"/>
        <v>0</v>
      </c>
      <c r="AA193" s="4">
        <f t="shared" si="192"/>
        <v>0</v>
      </c>
      <c r="AB193" s="4">
        <f t="shared" si="192"/>
        <v>0</v>
      </c>
      <c r="AC193" s="4">
        <f t="shared" si="192"/>
        <v>0</v>
      </c>
      <c r="AD193" s="4">
        <f t="shared" si="192"/>
        <v>0</v>
      </c>
      <c r="AE193" s="4" t="str">
        <f>'Form responses 1'!AN195</f>
        <v/>
      </c>
      <c r="AF193" s="4" t="str">
        <f>'Form responses 1'!AO195</f>
        <v/>
      </c>
      <c r="AG193" s="4" t="str">
        <f>'Form responses 1'!AP195</f>
        <v/>
      </c>
      <c r="AH193" s="4" t="str">
        <f>'Form responses 1'!AQ195</f>
        <v/>
      </c>
      <c r="AI193" s="4" t="str">
        <f>'Form responses 1'!AR195</f>
        <v/>
      </c>
    </row>
    <row r="194">
      <c r="A194" s="26">
        <f>'Form responses 1'!B196</f>
        <v>46053</v>
      </c>
      <c r="B194" s="4" t="str">
        <f>'Form responses 1'!AZ196</f>
        <v>madhumitha.sonnakula@capsdelivery.com</v>
      </c>
      <c r="C194" s="4" t="str">
        <f>'Form responses 1'!BR196</f>
        <v>fb bakers</v>
      </c>
      <c r="D194" s="4" t="str">
        <f>'Form responses 1'!AT196</f>
        <v/>
      </c>
      <c r="E194" s="4" t="str">
        <f>'Form responses 1'!AU196</f>
        <v>Yes</v>
      </c>
      <c r="F194" s="4" t="str">
        <f>'Form responses 1'!AX196</f>
        <v/>
      </c>
      <c r="G194" s="4" t="str">
        <f>'Form responses 1'!AY196</f>
        <v/>
      </c>
      <c r="H194" s="53" t="str">
        <f>'Form responses 1'!AW196</f>
        <v/>
      </c>
      <c r="I194" s="4" t="str">
        <f>'Form responses 1'!AS196</f>
        <v/>
      </c>
      <c r="J194" s="4" t="str">
        <f>'Form responses 1'!J196</f>
        <v>Tier-1(AOV&gt;400)</v>
      </c>
      <c r="K194" s="4">
        <f>'Form responses 1'!G196</f>
        <v>500</v>
      </c>
      <c r="L194" s="4">
        <f>'Form responses 1'!F196</f>
        <v>10</v>
      </c>
      <c r="M194" s="4" t="str">
        <f>'Form responses 1'!U196</f>
        <v>ashok</v>
      </c>
      <c r="N194" s="4">
        <f>'Form responses 1'!V196</f>
        <v>8939369888</v>
      </c>
      <c r="O194" s="4" t="str">
        <f>'Form responses 1'!W196</f>
        <v>nA</v>
      </c>
      <c r="P194" s="4" t="str">
        <f>'Form responses 1'!X196</f>
        <v/>
      </c>
      <c r="Q194" s="4" t="str">
        <f>'Form responses 1'!Y196</f>
        <v/>
      </c>
      <c r="R194" s="4" t="str">
        <f>'Form responses 1'!Z196</f>
        <v/>
      </c>
      <c r="S194" s="4" t="str">
        <f>'Form responses 1'!AC196</f>
        <v/>
      </c>
      <c r="T194" s="4" t="str">
        <f>'Form responses 1'!AE196</f>
        <v/>
      </c>
      <c r="U194" s="4" t="str">
        <f>'Form responses 1'!AG196</f>
        <v/>
      </c>
      <c r="V194" s="4" t="str">
        <f>'Form responses 1'!AI196</f>
        <v/>
      </c>
      <c r="W194" s="4" t="str">
        <f>'Form responses 1'!AJ196</f>
        <v/>
      </c>
      <c r="X194" s="4" t="str">
        <f>'Form responses 1'!AK196</f>
        <v/>
      </c>
      <c r="Y194" s="4">
        <f t="shared" ref="Y194:AD194" si="193">if(S194&gt;0,1,0)</f>
        <v>0</v>
      </c>
      <c r="Z194" s="4">
        <f t="shared" si="193"/>
        <v>0</v>
      </c>
      <c r="AA194" s="4">
        <f t="shared" si="193"/>
        <v>0</v>
      </c>
      <c r="AB194" s="4">
        <f t="shared" si="193"/>
        <v>0</v>
      </c>
      <c r="AC194" s="4">
        <f t="shared" si="193"/>
        <v>0</v>
      </c>
      <c r="AD194" s="4">
        <f t="shared" si="193"/>
        <v>0</v>
      </c>
      <c r="AE194" s="4" t="str">
        <f>'Form responses 1'!AN196</f>
        <v/>
      </c>
      <c r="AF194" s="4" t="str">
        <f>'Form responses 1'!AO196</f>
        <v/>
      </c>
      <c r="AG194" s="4" t="str">
        <f>'Form responses 1'!AP196</f>
        <v/>
      </c>
      <c r="AH194" s="4" t="str">
        <f>'Form responses 1'!AQ196</f>
        <v/>
      </c>
      <c r="AI194" s="4" t="str">
        <f>'Form responses 1'!AR196</f>
        <v/>
      </c>
    </row>
    <row r="195">
      <c r="A195" s="26">
        <f>'Form responses 1'!B197</f>
        <v>46053</v>
      </c>
      <c r="B195" s="4" t="str">
        <f>'Form responses 1'!AZ197</f>
        <v>madhumitha.sonnakula@capsdelivery.com</v>
      </c>
      <c r="C195" s="4" t="str">
        <f>'Form responses 1'!BR197</f>
        <v>MAHARAJA </v>
      </c>
      <c r="D195" s="4" t="str">
        <f>'Form responses 1'!AT197</f>
        <v/>
      </c>
      <c r="E195" s="4" t="str">
        <f>'Form responses 1'!AU197</f>
        <v>Yes</v>
      </c>
      <c r="F195" s="4" t="str">
        <f>'Form responses 1'!AX197</f>
        <v/>
      </c>
      <c r="G195" s="4" t="str">
        <f>'Form responses 1'!AY197</f>
        <v/>
      </c>
      <c r="H195" s="53" t="str">
        <f>'Form responses 1'!AW197</f>
        <v/>
      </c>
      <c r="I195" s="4" t="str">
        <f>'Form responses 1'!AS197</f>
        <v/>
      </c>
      <c r="J195" s="4" t="str">
        <f>'Form responses 1'!J197</f>
        <v>Tier-1(AOV&gt;400)</v>
      </c>
      <c r="K195" s="4">
        <f>'Form responses 1'!G197</f>
        <v>600</v>
      </c>
      <c r="L195" s="4">
        <f>'Form responses 1'!F197</f>
        <v>1</v>
      </c>
      <c r="M195" s="4" t="str">
        <f>'Form responses 1'!U197</f>
        <v>UMAR KHAN </v>
      </c>
      <c r="N195" s="4">
        <f>'Form responses 1'!V197</f>
        <v>9885199151</v>
      </c>
      <c r="O195" s="4" t="str">
        <f>'Form responses 1'!W197</f>
        <v>NA</v>
      </c>
      <c r="P195" s="4" t="str">
        <f>'Form responses 1'!X197</f>
        <v/>
      </c>
      <c r="Q195" s="4" t="str">
        <f>'Form responses 1'!Y197</f>
        <v/>
      </c>
      <c r="R195" s="4" t="str">
        <f>'Form responses 1'!Z197</f>
        <v/>
      </c>
      <c r="S195" s="4" t="str">
        <f>'Form responses 1'!AC197</f>
        <v/>
      </c>
      <c r="T195" s="4" t="str">
        <f>'Form responses 1'!AE197</f>
        <v/>
      </c>
      <c r="U195" s="4" t="str">
        <f>'Form responses 1'!AG197</f>
        <v/>
      </c>
      <c r="V195" s="4" t="str">
        <f>'Form responses 1'!AI197</f>
        <v/>
      </c>
      <c r="W195" s="4" t="str">
        <f>'Form responses 1'!AJ197</f>
        <v/>
      </c>
      <c r="X195" s="4" t="str">
        <f>'Form responses 1'!AK197</f>
        <v/>
      </c>
      <c r="Y195" s="4">
        <f t="shared" ref="Y195:AD195" si="194">if(S195&gt;0,1,0)</f>
        <v>0</v>
      </c>
      <c r="Z195" s="4">
        <f t="shared" si="194"/>
        <v>0</v>
      </c>
      <c r="AA195" s="4">
        <f t="shared" si="194"/>
        <v>0</v>
      </c>
      <c r="AB195" s="4">
        <f t="shared" si="194"/>
        <v>0</v>
      </c>
      <c r="AC195" s="4">
        <f t="shared" si="194"/>
        <v>0</v>
      </c>
      <c r="AD195" s="4">
        <f t="shared" si="194"/>
        <v>0</v>
      </c>
      <c r="AE195" s="4" t="str">
        <f>'Form responses 1'!AN197</f>
        <v/>
      </c>
      <c r="AF195" s="4" t="str">
        <f>'Form responses 1'!AO197</f>
        <v/>
      </c>
      <c r="AG195" s="4" t="str">
        <f>'Form responses 1'!AP197</f>
        <v/>
      </c>
      <c r="AH195" s="4" t="str">
        <f>'Form responses 1'!AQ197</f>
        <v/>
      </c>
      <c r="AI195" s="4" t="str">
        <f>'Form responses 1'!AR197</f>
        <v/>
      </c>
    </row>
    <row r="196">
      <c r="A196" s="26">
        <f>'Form responses 1'!B198</f>
        <v>46057</v>
      </c>
      <c r="B196" s="4" t="str">
        <f>'Form responses 1'!AZ198</f>
        <v>madhumitha.sonnakula@capsdelivery.com</v>
      </c>
      <c r="C196" s="4" t="str">
        <f>'Form responses 1'!BR198</f>
        <v>ZEESHAN </v>
      </c>
      <c r="D196" s="4" t="str">
        <f>'Form responses 1'!AT198</f>
        <v/>
      </c>
      <c r="E196" s="4" t="str">
        <f>'Form responses 1'!AU198</f>
        <v>Yes</v>
      </c>
      <c r="F196" s="4" t="str">
        <f>'Form responses 1'!AX198</f>
        <v/>
      </c>
      <c r="G196" s="4" t="str">
        <f>'Form responses 1'!AY198</f>
        <v/>
      </c>
      <c r="H196" s="53" t="str">
        <f>'Form responses 1'!AW198</f>
        <v/>
      </c>
      <c r="I196" s="4" t="str">
        <f>'Form responses 1'!AS198</f>
        <v/>
      </c>
      <c r="J196" s="4" t="str">
        <f>'Form responses 1'!J198</f>
        <v/>
      </c>
      <c r="K196" s="4" t="str">
        <f>'Form responses 1'!G198</f>
        <v/>
      </c>
      <c r="L196" s="4" t="str">
        <f>'Form responses 1'!F198</f>
        <v/>
      </c>
      <c r="M196" s="4" t="str">
        <f>'Form responses 1'!U198</f>
        <v>REHAAN</v>
      </c>
      <c r="N196" s="4">
        <f>'Form responses 1'!V198</f>
        <v>8885057806</v>
      </c>
      <c r="O196" s="4" t="str">
        <f>'Form responses 1'!W198</f>
        <v>NA</v>
      </c>
      <c r="P196" s="4" t="str">
        <f>'Form responses 1'!X198</f>
        <v/>
      </c>
      <c r="Q196" s="4" t="str">
        <f>'Form responses 1'!Y198</f>
        <v/>
      </c>
      <c r="R196" s="4" t="str">
        <f>'Form responses 1'!Z198</f>
        <v/>
      </c>
      <c r="S196" s="4" t="str">
        <f>'Form responses 1'!AC198</f>
        <v/>
      </c>
      <c r="T196" s="4" t="str">
        <f>'Form responses 1'!AE198</f>
        <v/>
      </c>
      <c r="U196" s="4" t="str">
        <f>'Form responses 1'!AG198</f>
        <v/>
      </c>
      <c r="V196" s="4" t="str">
        <f>'Form responses 1'!AI198</f>
        <v/>
      </c>
      <c r="W196" s="4" t="str">
        <f>'Form responses 1'!AJ198</f>
        <v/>
      </c>
      <c r="X196" s="4" t="str">
        <f>'Form responses 1'!AK198</f>
        <v/>
      </c>
      <c r="Y196" s="4">
        <f t="shared" ref="Y196:AD196" si="195">if(S196&gt;0,1,0)</f>
        <v>0</v>
      </c>
      <c r="Z196" s="4">
        <f t="shared" si="195"/>
        <v>0</v>
      </c>
      <c r="AA196" s="4">
        <f t="shared" si="195"/>
        <v>0</v>
      </c>
      <c r="AB196" s="4">
        <f t="shared" si="195"/>
        <v>0</v>
      </c>
      <c r="AC196" s="4">
        <f t="shared" si="195"/>
        <v>0</v>
      </c>
      <c r="AD196" s="4">
        <f t="shared" si="195"/>
        <v>0</v>
      </c>
      <c r="AE196" s="4" t="str">
        <f>'Form responses 1'!AN198</f>
        <v/>
      </c>
      <c r="AF196" s="4" t="str">
        <f>'Form responses 1'!AO198</f>
        <v/>
      </c>
      <c r="AG196" s="4" t="str">
        <f>'Form responses 1'!AP198</f>
        <v/>
      </c>
      <c r="AH196" s="4" t="str">
        <f>'Form responses 1'!AQ198</f>
        <v/>
      </c>
      <c r="AI196" s="4" t="str">
        <f>'Form responses 1'!AR198</f>
        <v/>
      </c>
    </row>
    <row r="197">
      <c r="A197" s="26">
        <f>'Form responses 1'!B199</f>
        <v>46063</v>
      </c>
      <c r="B197" s="4" t="str">
        <f>'Form responses 1'!AZ199</f>
        <v>madhumitha.sonnakula@capsdelivery.com</v>
      </c>
      <c r="C197" s="4" t="str">
        <f>'Form responses 1'!BR199</f>
        <v>THATTI IDLY </v>
      </c>
      <c r="D197" s="4" t="str">
        <f>'Form responses 1'!AT199</f>
        <v/>
      </c>
      <c r="E197" s="4" t="str">
        <f>'Form responses 1'!AU199</f>
        <v>Yes</v>
      </c>
      <c r="F197" s="4" t="str">
        <f>'Form responses 1'!AX199</f>
        <v/>
      </c>
      <c r="G197" s="4" t="str">
        <f>'Form responses 1'!AY199</f>
        <v/>
      </c>
      <c r="H197" s="53" t="str">
        <f>'Form responses 1'!AW199</f>
        <v/>
      </c>
      <c r="I197" s="4" t="str">
        <f>'Form responses 1'!AS199</f>
        <v/>
      </c>
      <c r="J197" s="4" t="str">
        <f>'Form responses 1'!J199</f>
        <v>Tier-3 ( AOV&lt;200 )</v>
      </c>
      <c r="K197" s="4">
        <f>'Form responses 1'!G199</f>
        <v>200</v>
      </c>
      <c r="L197" s="4">
        <f>'Form responses 1'!F199</f>
        <v>25</v>
      </c>
      <c r="M197" s="4" t="str">
        <f>'Form responses 1'!U199</f>
        <v>BABULAN</v>
      </c>
      <c r="N197" s="4">
        <f>'Form responses 1'!V199</f>
        <v>7013847849</v>
      </c>
      <c r="O197" s="4" t="str">
        <f>'Form responses 1'!W199</f>
        <v>NA</v>
      </c>
      <c r="P197" s="4" t="str">
        <f>'Form responses 1'!X199</f>
        <v/>
      </c>
      <c r="Q197" s="4" t="str">
        <f>'Form responses 1'!Y199</f>
        <v/>
      </c>
      <c r="R197" s="4" t="str">
        <f>'Form responses 1'!Z199</f>
        <v/>
      </c>
      <c r="S197" s="4" t="str">
        <f>'Form responses 1'!AC199</f>
        <v/>
      </c>
      <c r="T197" s="4" t="str">
        <f>'Form responses 1'!AE199</f>
        <v/>
      </c>
      <c r="U197" s="4" t="str">
        <f>'Form responses 1'!AG199</f>
        <v/>
      </c>
      <c r="V197" s="4" t="str">
        <f>'Form responses 1'!AI199</f>
        <v/>
      </c>
      <c r="W197" s="4" t="str">
        <f>'Form responses 1'!AJ199</f>
        <v/>
      </c>
      <c r="X197" s="4" t="str">
        <f>'Form responses 1'!AK199</f>
        <v/>
      </c>
      <c r="Y197" s="4">
        <f t="shared" ref="Y197:AD197" si="196">if(S197&gt;0,1,0)</f>
        <v>0</v>
      </c>
      <c r="Z197" s="4">
        <f t="shared" si="196"/>
        <v>0</v>
      </c>
      <c r="AA197" s="4">
        <f t="shared" si="196"/>
        <v>0</v>
      </c>
      <c r="AB197" s="4">
        <f t="shared" si="196"/>
        <v>0</v>
      </c>
      <c r="AC197" s="4">
        <f t="shared" si="196"/>
        <v>0</v>
      </c>
      <c r="AD197" s="4">
        <f t="shared" si="196"/>
        <v>0</v>
      </c>
      <c r="AE197" s="4" t="str">
        <f>'Form responses 1'!AN199</f>
        <v/>
      </c>
      <c r="AF197" s="4" t="str">
        <f>'Form responses 1'!AO199</f>
        <v/>
      </c>
      <c r="AG197" s="4" t="str">
        <f>'Form responses 1'!AP199</f>
        <v/>
      </c>
      <c r="AH197" s="4" t="str">
        <f>'Form responses 1'!AQ199</f>
        <v/>
      </c>
      <c r="AI197" s="4" t="str">
        <f>'Form responses 1'!AR199</f>
        <v/>
      </c>
    </row>
    <row r="198">
      <c r="A198" s="26">
        <f>'Form responses 1'!B200</f>
        <v>46062</v>
      </c>
      <c r="B198" s="4" t="str">
        <f>'Form responses 1'!AZ200</f>
        <v>parthive.maganti@capsdelivery.com</v>
      </c>
      <c r="C198" s="4" t="str">
        <f>'Form responses 1'!BR200</f>
        <v>The good sparrow</v>
      </c>
      <c r="D198" s="4" t="str">
        <f>'Form responses 1'!AT200</f>
        <v>Na</v>
      </c>
      <c r="E198" s="4" t="str">
        <f>'Form responses 1'!AU200</f>
        <v>No</v>
      </c>
      <c r="F198" s="26">
        <f>'Form responses 1'!AX200</f>
        <v>46062</v>
      </c>
      <c r="G198" s="4" t="str">
        <f>'Form responses 1'!AY200</f>
        <v/>
      </c>
      <c r="H198" s="53" t="str">
        <f>'Form responses 1'!AW200</f>
        <v>Na</v>
      </c>
      <c r="I198" s="4" t="str">
        <f>'Form responses 1'!AS200</f>
        <v>Yes</v>
      </c>
      <c r="J198" s="4" t="str">
        <f>'Form responses 1'!J200</f>
        <v/>
      </c>
      <c r="K198" s="4" t="str">
        <f>'Form responses 1'!G200</f>
        <v/>
      </c>
      <c r="L198" s="4" t="str">
        <f>'Form responses 1'!F200</f>
        <v/>
      </c>
      <c r="M198" s="4" t="str">
        <f>'Form responses 1'!U200</f>
        <v>Ramchandra rao</v>
      </c>
      <c r="N198" s="4">
        <f>'Form responses 1'!V200</f>
        <v>8977709421</v>
      </c>
      <c r="O198" s="4" t="str">
        <f>'Form responses 1'!W200</f>
        <v>Info@goodsparrow.in</v>
      </c>
      <c r="P198" s="4" t="str">
        <f>'Form responses 1'!X200</f>
        <v/>
      </c>
      <c r="Q198" s="4" t="str">
        <f>'Form responses 1'!Y200</f>
        <v/>
      </c>
      <c r="R198" s="4" t="str">
        <f>'Form responses 1'!Z200</f>
        <v/>
      </c>
      <c r="S198" s="54" t="str">
        <f>'Form responses 1'!AC200</f>
        <v>https://drive.google.com/open?id=14aiEgHPTLKqKHTq6XSwqDEBE2xAfhvkI</v>
      </c>
      <c r="T198" s="54" t="str">
        <f>'Form responses 1'!AE200</f>
        <v>https://drive.google.com/open?id=1EzGKkfBdCwxpUid7iVSOGiOiFaC375_N</v>
      </c>
      <c r="U198" s="54" t="str">
        <f>'Form responses 1'!AG200</f>
        <v>https://drive.google.com/open?id=1iJA6UzP29nUggmceli9hvRZ-6uEpTCFf</v>
      </c>
      <c r="V198" s="4" t="str">
        <f>'Form responses 1'!AI200</f>
        <v/>
      </c>
      <c r="W198" s="54" t="str">
        <f>'Form responses 1'!AJ200</f>
        <v>https://drive.google.com/open?id=12gU5eBF4h4UumpvRgJOtQk-imBWvHY8u</v>
      </c>
      <c r="X198" s="4" t="str">
        <f>'Form responses 1'!AK200</f>
        <v/>
      </c>
      <c r="Y198" s="4">
        <f t="shared" ref="Y198:AD198" si="197">if(S198&gt;0,1,0)</f>
        <v>1</v>
      </c>
      <c r="Z198" s="4">
        <f t="shared" si="197"/>
        <v>1</v>
      </c>
      <c r="AA198" s="4">
        <f t="shared" si="197"/>
        <v>1</v>
      </c>
      <c r="AB198" s="4">
        <f t="shared" si="197"/>
        <v>0</v>
      </c>
      <c r="AC198" s="4">
        <f t="shared" si="197"/>
        <v>1</v>
      </c>
      <c r="AD198" s="4">
        <f t="shared" si="197"/>
        <v>0</v>
      </c>
      <c r="AE198" s="4" t="str">
        <f>'Form responses 1'!AN200</f>
        <v>GOOD SPARROW FOODS PRIVATE LIMITED</v>
      </c>
      <c r="AF198" s="4" t="str">
        <f>'Form responses 1'!AO200</f>
        <v>Ramachandr rao</v>
      </c>
      <c r="AG198" s="4" t="str">
        <f>'Form responses 1'!AP200</f>
        <v/>
      </c>
      <c r="AH198" s="4" t="str">
        <f>'Form responses 1'!AQ200</f>
        <v/>
      </c>
      <c r="AI198" s="4" t="str">
        <f>'Form responses 1'!AR200</f>
        <v>The good sparrow food pvt ltd</v>
      </c>
    </row>
    <row r="199">
      <c r="A199" s="26">
        <f>'Form responses 1'!B201</f>
        <v>46062</v>
      </c>
      <c r="B199" s="4" t="str">
        <f>'Form responses 1'!AZ201</f>
        <v>parthive.maganti@capsdelivery.com</v>
      </c>
      <c r="C199" s="4" t="str">
        <f>'Form responses 1'!BR201</f>
        <v>NA</v>
      </c>
      <c r="D199" s="4" t="str">
        <f>'Form responses 1'!AT201</f>
        <v>Na</v>
      </c>
      <c r="E199" s="4" t="str">
        <f>'Form responses 1'!AU201</f>
        <v>No</v>
      </c>
      <c r="F199" s="4" t="str">
        <f>'Form responses 1'!AX201</f>
        <v/>
      </c>
      <c r="G199" s="4" t="str">
        <f>'Form responses 1'!AY201</f>
        <v/>
      </c>
      <c r="H199" s="53" t="str">
        <f>'Form responses 1'!AW201</f>
        <v/>
      </c>
      <c r="I199" s="4" t="str">
        <f>'Form responses 1'!AS201</f>
        <v>Yes</v>
      </c>
      <c r="J199" s="4" t="str">
        <f>'Form responses 1'!J201</f>
        <v/>
      </c>
      <c r="K199" s="4" t="str">
        <f>'Form responses 1'!G201</f>
        <v/>
      </c>
      <c r="L199" s="4" t="str">
        <f>'Form responses 1'!F201</f>
        <v/>
      </c>
      <c r="M199" s="4" t="str">
        <f>'Form responses 1'!U201</f>
        <v>Rama chandarrao </v>
      </c>
      <c r="N199" s="4">
        <f>'Form responses 1'!V201</f>
        <v>8977709421</v>
      </c>
      <c r="O199" s="4" t="str">
        <f>'Form responses 1'!W201</f>
        <v>Info@goodsparrow.in</v>
      </c>
      <c r="P199" s="4" t="str">
        <f>'Form responses 1'!X201</f>
        <v/>
      </c>
      <c r="Q199" s="4" t="str">
        <f>'Form responses 1'!Y201</f>
        <v/>
      </c>
      <c r="R199" s="4" t="str">
        <f>'Form responses 1'!Z201</f>
        <v/>
      </c>
      <c r="S199" s="54" t="str">
        <f>'Form responses 1'!AC201</f>
        <v>https://drive.google.com/open?id=1RXkZ-moPk64eEHlh8LGIRgU1nGyi4Hm-</v>
      </c>
      <c r="T199" s="54" t="str">
        <f>'Form responses 1'!AE201</f>
        <v>https://drive.google.com/open?id=1eEfT6eZGwPzwadX92zbnoIOERbRBDC6Z</v>
      </c>
      <c r="U199" s="54" t="str">
        <f>'Form responses 1'!AG201</f>
        <v>https://drive.google.com/open?id=1QBcjT0hK85JwnNDGRyW3KOcdn-M1YT8-</v>
      </c>
      <c r="V199" s="4" t="str">
        <f>'Form responses 1'!AI201</f>
        <v/>
      </c>
      <c r="W199" s="54" t="str">
        <f>'Form responses 1'!AJ201</f>
        <v>https://drive.google.com/open?id=12EAJVco-KdWw1uSYlFtmmTicVZ84gYM2</v>
      </c>
      <c r="X199" s="4" t="str">
        <f>'Form responses 1'!AK201</f>
        <v/>
      </c>
      <c r="Y199" s="4">
        <f t="shared" ref="Y199:AD199" si="198">if(S199&gt;0,1,0)</f>
        <v>1</v>
      </c>
      <c r="Z199" s="4">
        <f t="shared" si="198"/>
        <v>1</v>
      </c>
      <c r="AA199" s="4">
        <f t="shared" si="198"/>
        <v>1</v>
      </c>
      <c r="AB199" s="4">
        <f t="shared" si="198"/>
        <v>0</v>
      </c>
      <c r="AC199" s="4">
        <f t="shared" si="198"/>
        <v>1</v>
      </c>
      <c r="AD199" s="4">
        <f t="shared" si="198"/>
        <v>0</v>
      </c>
      <c r="AE199" s="4" t="str">
        <f>'Form responses 1'!AN201</f>
        <v>GOOD SPARROW FOODS PRIVATE LIMITED</v>
      </c>
      <c r="AF199" s="4" t="str">
        <f>'Form responses 1'!AO201</f>
        <v>Rama chandhar rao</v>
      </c>
      <c r="AG199" s="4" t="str">
        <f>'Form responses 1'!AP201</f>
        <v/>
      </c>
      <c r="AH199" s="4" t="str">
        <f>'Form responses 1'!AQ201</f>
        <v/>
      </c>
      <c r="AI199" s="4" t="str">
        <f>'Form responses 1'!AR201</f>
        <v>Good sparrow foods private limited</v>
      </c>
    </row>
    <row r="200">
      <c r="A200" s="26">
        <f>'Form responses 1'!B202</f>
        <v>46063</v>
      </c>
      <c r="B200" s="4" t="str">
        <f>'Form responses 1'!AZ202</f>
        <v>akhila.narra@capsdelivery.com</v>
      </c>
      <c r="C200" s="4" t="str">
        <f>'Form responses 1'!BR202</f>
        <v>Bhoojanam Tayyaru</v>
      </c>
      <c r="D200" s="4" t="str">
        <f>'Form responses 1'!AT202</f>
        <v/>
      </c>
      <c r="E200" s="4" t="str">
        <f>'Form responses 1'!AU202</f>
        <v>Yes</v>
      </c>
      <c r="F200" s="26">
        <f>'Form responses 1'!AX202</f>
        <v>46066</v>
      </c>
      <c r="G200" s="52">
        <f>'Form responses 1'!AY202</f>
        <v>0.1041666667</v>
      </c>
      <c r="H200" s="53" t="str">
        <f>'Form responses 1'!AW202</f>
        <v>need to discuss regarding Commision Part, as the other Platforms Were giving 9++ Comission</v>
      </c>
      <c r="I200" s="4" t="str">
        <f>'Form responses 1'!AS202</f>
        <v/>
      </c>
      <c r="J200" s="4" t="str">
        <f>'Form responses 1'!J202</f>
        <v/>
      </c>
      <c r="K200" s="4" t="str">
        <f>'Form responses 1'!G202</f>
        <v/>
      </c>
      <c r="L200" s="4" t="str">
        <f>'Form responses 1'!F202</f>
        <v/>
      </c>
      <c r="M200" s="4" t="str">
        <f>'Form responses 1'!U202</f>
        <v>Srithisk</v>
      </c>
      <c r="N200" s="4">
        <f>'Form responses 1'!V202</f>
        <v>7028412666</v>
      </c>
      <c r="O200" s="4" t="str">
        <f>'Form responses 1'!W202</f>
        <v>na</v>
      </c>
      <c r="P200" s="4" t="str">
        <f>'Form responses 1'!X202</f>
        <v/>
      </c>
      <c r="Q200" s="4" t="str">
        <f>'Form responses 1'!Y202</f>
        <v/>
      </c>
      <c r="R200" s="4" t="str">
        <f>'Form responses 1'!Z202</f>
        <v/>
      </c>
      <c r="S200" s="4" t="str">
        <f>'Form responses 1'!AC202</f>
        <v/>
      </c>
      <c r="T200" s="4" t="str">
        <f>'Form responses 1'!AE202</f>
        <v/>
      </c>
      <c r="U200" s="4" t="str">
        <f>'Form responses 1'!AG202</f>
        <v/>
      </c>
      <c r="V200" s="4" t="str">
        <f>'Form responses 1'!AI202</f>
        <v/>
      </c>
      <c r="W200" s="4" t="str">
        <f>'Form responses 1'!AJ202</f>
        <v/>
      </c>
      <c r="X200" s="4" t="str">
        <f>'Form responses 1'!AK202</f>
        <v/>
      </c>
      <c r="Y200" s="4">
        <f t="shared" ref="Y200:AD200" si="199">if(S200&gt;0,1,0)</f>
        <v>0</v>
      </c>
      <c r="Z200" s="4">
        <f t="shared" si="199"/>
        <v>0</v>
      </c>
      <c r="AA200" s="4">
        <f t="shared" si="199"/>
        <v>0</v>
      </c>
      <c r="AB200" s="4">
        <f t="shared" si="199"/>
        <v>0</v>
      </c>
      <c r="AC200" s="4">
        <f t="shared" si="199"/>
        <v>0</v>
      </c>
      <c r="AD200" s="4">
        <f t="shared" si="199"/>
        <v>0</v>
      </c>
      <c r="AE200" s="4" t="str">
        <f>'Form responses 1'!AN202</f>
        <v/>
      </c>
      <c r="AF200" s="4" t="str">
        <f>'Form responses 1'!AO202</f>
        <v/>
      </c>
      <c r="AG200" s="4" t="str">
        <f>'Form responses 1'!AP202</f>
        <v/>
      </c>
      <c r="AH200" s="4" t="str">
        <f>'Form responses 1'!AQ202</f>
        <v/>
      </c>
      <c r="AI200" s="4" t="str">
        <f>'Form responses 1'!AR202</f>
        <v/>
      </c>
    </row>
    <row r="201">
      <c r="A201" s="26">
        <f>'Form responses 1'!B203</f>
        <v>46064</v>
      </c>
      <c r="B201" s="4" t="str">
        <f>'Form responses 1'!AZ203</f>
        <v>akhila.narra@capsdelivery.com</v>
      </c>
      <c r="C201" s="4" t="str">
        <f>'Form responses 1'!BR203</f>
        <v>Tadipatri</v>
      </c>
      <c r="D201" s="4" t="str">
        <f>'Form responses 1'!AT203</f>
        <v/>
      </c>
      <c r="E201" s="4" t="str">
        <f>'Form responses 1'!AU203</f>
        <v>Yes</v>
      </c>
      <c r="F201" s="26">
        <f>'Form responses 1'!AX203</f>
        <v>46064</v>
      </c>
      <c r="G201" s="52">
        <f>'Form responses 1'!AY203</f>
        <v>0.1458333333</v>
      </c>
      <c r="H201" s="53" t="str">
        <f>'Form responses 1'!AW203</f>
        <v>21++ I Want to Pitch</v>
      </c>
      <c r="I201" s="4" t="str">
        <f>'Form responses 1'!AS203</f>
        <v/>
      </c>
      <c r="J201" s="4" t="str">
        <f>'Form responses 1'!J203</f>
        <v/>
      </c>
      <c r="K201" s="4" t="str">
        <f>'Form responses 1'!G203</f>
        <v/>
      </c>
      <c r="L201" s="4" t="str">
        <f>'Form responses 1'!F203</f>
        <v/>
      </c>
      <c r="M201" s="4" t="str">
        <f>'Form responses 1'!U203</f>
        <v>Karthik</v>
      </c>
      <c r="N201" s="4">
        <f>'Form responses 1'!V203</f>
        <v>9000143978</v>
      </c>
      <c r="O201" s="4" t="str">
        <f>'Form responses 1'!W203</f>
        <v>na</v>
      </c>
      <c r="P201" s="4" t="str">
        <f>'Form responses 1'!X203</f>
        <v/>
      </c>
      <c r="Q201" s="4" t="str">
        <f>'Form responses 1'!Y203</f>
        <v/>
      </c>
      <c r="R201" s="4" t="str">
        <f>'Form responses 1'!Z203</f>
        <v/>
      </c>
      <c r="S201" s="4" t="str">
        <f>'Form responses 1'!AC203</f>
        <v/>
      </c>
      <c r="T201" s="4" t="str">
        <f>'Form responses 1'!AE203</f>
        <v/>
      </c>
      <c r="U201" s="4" t="str">
        <f>'Form responses 1'!AG203</f>
        <v/>
      </c>
      <c r="V201" s="4" t="str">
        <f>'Form responses 1'!AI203</f>
        <v/>
      </c>
      <c r="W201" s="4" t="str">
        <f>'Form responses 1'!AJ203</f>
        <v/>
      </c>
      <c r="X201" s="4" t="str">
        <f>'Form responses 1'!AK203</f>
        <v/>
      </c>
      <c r="Y201" s="4">
        <f t="shared" ref="Y201:AD201" si="200">if(S201&gt;0,1,0)</f>
        <v>0</v>
      </c>
      <c r="Z201" s="4">
        <f t="shared" si="200"/>
        <v>0</v>
      </c>
      <c r="AA201" s="4">
        <f t="shared" si="200"/>
        <v>0</v>
      </c>
      <c r="AB201" s="4">
        <f t="shared" si="200"/>
        <v>0</v>
      </c>
      <c r="AC201" s="4">
        <f t="shared" si="200"/>
        <v>0</v>
      </c>
      <c r="AD201" s="4">
        <f t="shared" si="200"/>
        <v>0</v>
      </c>
      <c r="AE201" s="4" t="str">
        <f>'Form responses 1'!AN203</f>
        <v/>
      </c>
      <c r="AF201" s="4" t="str">
        <f>'Form responses 1'!AO203</f>
        <v/>
      </c>
      <c r="AG201" s="4" t="str">
        <f>'Form responses 1'!AP203</f>
        <v/>
      </c>
      <c r="AH201" s="4" t="str">
        <f>'Form responses 1'!AQ203</f>
        <v/>
      </c>
      <c r="AI201" s="4" t="str">
        <f>'Form responses 1'!AR203</f>
        <v/>
      </c>
    </row>
    <row r="202">
      <c r="A202" s="26">
        <f>'Form responses 1'!B204</f>
        <v>46062</v>
      </c>
      <c r="B202" s="4" t="str">
        <f>'Form responses 1'!AZ204</f>
        <v>parthive.maganti@capsdelivery.com</v>
      </c>
      <c r="C202" s="4" t="str">
        <f>'Form responses 1'!BR204</f>
        <v>N</v>
      </c>
      <c r="D202" s="4" t="str">
        <f>'Form responses 1'!AT204</f>
        <v>Na</v>
      </c>
      <c r="E202" s="4" t="str">
        <f>'Form responses 1'!AU204</f>
        <v>No</v>
      </c>
      <c r="F202" s="4" t="str">
        <f>'Form responses 1'!AX204</f>
        <v/>
      </c>
      <c r="G202" s="4" t="str">
        <f>'Form responses 1'!AY204</f>
        <v/>
      </c>
      <c r="H202" s="53" t="str">
        <f>'Form responses 1'!AW204</f>
        <v/>
      </c>
      <c r="I202" s="4" t="str">
        <f>'Form responses 1'!AS204</f>
        <v>Yes</v>
      </c>
      <c r="J202" s="4" t="str">
        <f>'Form responses 1'!J204</f>
        <v/>
      </c>
      <c r="K202" s="4" t="str">
        <f>'Form responses 1'!G204</f>
        <v/>
      </c>
      <c r="L202" s="4" t="str">
        <f>'Form responses 1'!F204</f>
        <v/>
      </c>
      <c r="M202" s="4" t="str">
        <f>'Form responses 1'!U204</f>
        <v>Ramachandra rao</v>
      </c>
      <c r="N202" s="4">
        <f>'Form responses 1'!V204</f>
        <v>8977709421</v>
      </c>
      <c r="O202" s="4" t="str">
        <f>'Form responses 1'!W204</f>
        <v>info@goodsparroe.in</v>
      </c>
      <c r="P202" s="4" t="str">
        <f>'Form responses 1'!X204</f>
        <v/>
      </c>
      <c r="Q202" s="4" t="str">
        <f>'Form responses 1'!Y204</f>
        <v/>
      </c>
      <c r="R202" s="4" t="str">
        <f>'Form responses 1'!Z204</f>
        <v/>
      </c>
      <c r="S202" s="54" t="str">
        <f>'Form responses 1'!AC204</f>
        <v>https://drive.google.com/open?id=1nFJkCl5MASyahmgFBFpfuuaFmGwr4WfO</v>
      </c>
      <c r="T202" s="54" t="str">
        <f>'Form responses 1'!AE204</f>
        <v>https://drive.google.com/open?id=1mGWWMK_seDKY43K2NZSUjD03Ky_AuJtM</v>
      </c>
      <c r="U202" s="54" t="str">
        <f>'Form responses 1'!AG204</f>
        <v>https://drive.google.com/open?id=1d4BXXvEiNmx6Dq1mA_V9h4cZaoAkrMjq</v>
      </c>
      <c r="V202" s="4" t="str">
        <f>'Form responses 1'!AI204</f>
        <v/>
      </c>
      <c r="W202" s="54" t="str">
        <f>'Form responses 1'!AJ204</f>
        <v>https://drive.google.com/open?id=1cyi3Awg4bkM-qh0jCZ9AYvANscdYVEcQ</v>
      </c>
      <c r="X202" s="4" t="str">
        <f>'Form responses 1'!AK204</f>
        <v/>
      </c>
      <c r="Y202" s="4">
        <f t="shared" ref="Y202:AD202" si="201">if(S202&gt;0,1,0)</f>
        <v>1</v>
      </c>
      <c r="Z202" s="4">
        <f t="shared" si="201"/>
        <v>1</v>
      </c>
      <c r="AA202" s="4">
        <f t="shared" si="201"/>
        <v>1</v>
      </c>
      <c r="AB202" s="4">
        <f t="shared" si="201"/>
        <v>0</v>
      </c>
      <c r="AC202" s="4">
        <f t="shared" si="201"/>
        <v>1</v>
      </c>
      <c r="AD202" s="4">
        <f t="shared" si="201"/>
        <v>0</v>
      </c>
      <c r="AE202" s="4" t="str">
        <f>'Form responses 1'!AN204</f>
        <v>GOOD SPARROW FOODS PRIVATE LIMITED</v>
      </c>
      <c r="AF202" s="4" t="str">
        <f>'Form responses 1'!AO204</f>
        <v>Ramachandra rao</v>
      </c>
      <c r="AG202" s="4">
        <f>'Form responses 1'!AP204</f>
        <v>8977709421</v>
      </c>
      <c r="AH202" s="4" t="str">
        <f>'Form responses 1'!AQ204</f>
        <v/>
      </c>
      <c r="AI202" s="4" t="str">
        <f>'Form responses 1'!AR204</f>
        <v/>
      </c>
    </row>
    <row r="203">
      <c r="A203" s="26">
        <f>'Form responses 1'!B205</f>
        <v>46064</v>
      </c>
      <c r="B203" s="4" t="str">
        <f>'Form responses 1'!AZ205</f>
        <v>moin.khan@capsdelivery.com</v>
      </c>
      <c r="C203" s="4" t="str">
        <f>'Form responses 1'!BR205</f>
        <v>LUCKY RESTAURANT [somajiguda]</v>
      </c>
      <c r="D203" s="4" t="str">
        <f>'Form responses 1'!AT205</f>
        <v/>
      </c>
      <c r="E203" s="4" t="str">
        <f>'Form responses 1'!AU205</f>
        <v>Yes</v>
      </c>
      <c r="F203" s="26">
        <f>'Form responses 1'!AX205</f>
        <v>46069</v>
      </c>
      <c r="G203" s="52">
        <f>'Form responses 1'!AY205</f>
        <v>0.625</v>
      </c>
      <c r="H203" s="53" t="str">
        <f>'Form responses 1'!AW205</f>
        <v>HIS SON IS THE SIGNING AUTHORITY</v>
      </c>
      <c r="I203" s="4" t="str">
        <f>'Form responses 1'!AS205</f>
        <v>Yes</v>
      </c>
      <c r="J203" s="4" t="str">
        <f>'Form responses 1'!J205</f>
        <v>Tier-1(AOV&gt;400)</v>
      </c>
      <c r="K203" s="4">
        <f>'Form responses 1'!G205</f>
        <v>400</v>
      </c>
      <c r="L203" s="4">
        <f>'Form responses 1'!F205</f>
        <v>150</v>
      </c>
      <c r="M203" s="4" t="str">
        <f>'Form responses 1'!U205</f>
        <v>KHASIM</v>
      </c>
      <c r="N203" s="4">
        <f>'Form responses 1'!V205</f>
        <v>9849108337</v>
      </c>
      <c r="O203" s="4" t="str">
        <f>'Form responses 1'!W205</f>
        <v>NA</v>
      </c>
      <c r="P203" s="4" t="str">
        <f>'Form responses 1'!X205</f>
        <v/>
      </c>
      <c r="Q203" s="4" t="str">
        <f>'Form responses 1'!Y205</f>
        <v/>
      </c>
      <c r="R203" s="4" t="str">
        <f>'Form responses 1'!Z205</f>
        <v/>
      </c>
      <c r="S203" s="54" t="str">
        <f>'Form responses 1'!AC205</f>
        <v>https://drive.google.com/open?id=1LLEJekJcTxrNm2QagzhMxqyDXOWjpyCP</v>
      </c>
      <c r="T203" s="54" t="str">
        <f>'Form responses 1'!AE205</f>
        <v>https://drive.google.com/open?id=1f3HDxJ2e7YVMA6zQIKF8G75AQEmqiRfH</v>
      </c>
      <c r="U203" s="54" t="str">
        <f>'Form responses 1'!AG205</f>
        <v>https://drive.google.com/open?id=14aEMqG4cRhEAWWWEUNigYvfesqexjYkw</v>
      </c>
      <c r="V203" s="4" t="str">
        <f>'Form responses 1'!AI205</f>
        <v/>
      </c>
      <c r="W203" s="4" t="str">
        <f>'Form responses 1'!AJ205</f>
        <v/>
      </c>
      <c r="X203" s="54" t="str">
        <f>'Form responses 1'!AK205</f>
        <v>https://drive.google.com/open?id=1MSZTJnrSvojZAVGFGN9ERkT44CKcaSkX</v>
      </c>
      <c r="Y203" s="4">
        <f t="shared" ref="Y203:AD203" si="202">if(S203&gt;0,1,0)</f>
        <v>1</v>
      </c>
      <c r="Z203" s="4">
        <f t="shared" si="202"/>
        <v>1</v>
      </c>
      <c r="AA203" s="4">
        <f t="shared" si="202"/>
        <v>1</v>
      </c>
      <c r="AB203" s="4">
        <f t="shared" si="202"/>
        <v>0</v>
      </c>
      <c r="AC203" s="4">
        <f t="shared" si="202"/>
        <v>0</v>
      </c>
      <c r="AD203" s="4">
        <f t="shared" si="202"/>
        <v>1</v>
      </c>
      <c r="AE203" s="4" t="str">
        <f>'Form responses 1'!AN205</f>
        <v>LUCKY MULTI CUISINE RESTAURANT</v>
      </c>
      <c r="AF203" s="4" t="str">
        <f>'Form responses 1'!AO205</f>
        <v>KHASIM</v>
      </c>
      <c r="AG203" s="4">
        <f>'Form responses 1'!AP205</f>
        <v>9849108337</v>
      </c>
      <c r="AH203" s="4" t="str">
        <f>'Form responses 1'!AQ205</f>
        <v>NA</v>
      </c>
      <c r="AI203" s="4" t="str">
        <f>'Form responses 1'!AR205</f>
        <v>LUCKY MULTI CUISINE RESTAURANT</v>
      </c>
    </row>
    <row r="204">
      <c r="A204" s="26">
        <f>'Form responses 1'!B206</f>
        <v>46064</v>
      </c>
      <c r="B204" s="4" t="str">
        <f>'Form responses 1'!AZ206</f>
        <v>chanakya.inugala@capsdelivery.com</v>
      </c>
      <c r="C204" s="4" t="str">
        <f>'Form responses 1'!BR206</f>
        <v>Anu Archan Kitchen</v>
      </c>
      <c r="D204" s="4" t="str">
        <f>'Form responses 1'!AT206</f>
        <v>Onboarded </v>
      </c>
      <c r="E204" s="4" t="str">
        <f>'Form responses 1'!AU206</f>
        <v>No</v>
      </c>
      <c r="F204" s="26">
        <f>'Form responses 1'!AX206</f>
        <v>46064</v>
      </c>
      <c r="G204" s="52">
        <f>'Form responses 1'!AY206</f>
        <v>0.75</v>
      </c>
      <c r="H204" s="53" t="str">
        <f>'Form responses 1'!AW206</f>
        <v/>
      </c>
      <c r="I204" s="4" t="str">
        <f>'Form responses 1'!AS206</f>
        <v/>
      </c>
      <c r="J204" s="4" t="str">
        <f>'Form responses 1'!J206</f>
        <v>Tier-3 ( AOV&lt;200 )</v>
      </c>
      <c r="K204" s="4">
        <f>'Form responses 1'!G206</f>
        <v>200</v>
      </c>
      <c r="L204" s="4">
        <f>'Form responses 1'!F206</f>
        <v>30</v>
      </c>
      <c r="M204" s="4" t="str">
        <f>'Form responses 1'!U206</f>
        <v>Kondaiah</v>
      </c>
      <c r="N204" s="4">
        <f>'Form responses 1'!V206</f>
        <v>9989071021</v>
      </c>
      <c r="O204" s="4" t="str">
        <f>'Form responses 1'!W206</f>
        <v>Na</v>
      </c>
      <c r="P204" s="4" t="str">
        <f>'Form responses 1'!X206</f>
        <v/>
      </c>
      <c r="Q204" s="4" t="str">
        <f>'Form responses 1'!Y206</f>
        <v/>
      </c>
      <c r="R204" s="4" t="str">
        <f>'Form responses 1'!Z206</f>
        <v/>
      </c>
      <c r="S204" s="4" t="str">
        <f>'Form responses 1'!AC206</f>
        <v/>
      </c>
      <c r="T204" s="4" t="str">
        <f>'Form responses 1'!AE206</f>
        <v/>
      </c>
      <c r="U204" s="4" t="str">
        <f>'Form responses 1'!AG206</f>
        <v/>
      </c>
      <c r="V204" s="4" t="str">
        <f>'Form responses 1'!AI206</f>
        <v/>
      </c>
      <c r="W204" s="4" t="str">
        <f>'Form responses 1'!AJ206</f>
        <v/>
      </c>
      <c r="X204" s="4" t="str">
        <f>'Form responses 1'!AK206</f>
        <v/>
      </c>
      <c r="Y204" s="4">
        <f t="shared" ref="Y204:AD204" si="203">if(S204&gt;0,1,0)</f>
        <v>0</v>
      </c>
      <c r="Z204" s="4">
        <f t="shared" si="203"/>
        <v>0</v>
      </c>
      <c r="AA204" s="4">
        <f t="shared" si="203"/>
        <v>0</v>
      </c>
      <c r="AB204" s="4">
        <f t="shared" si="203"/>
        <v>0</v>
      </c>
      <c r="AC204" s="4">
        <f t="shared" si="203"/>
        <v>0</v>
      </c>
      <c r="AD204" s="4">
        <f t="shared" si="203"/>
        <v>0</v>
      </c>
      <c r="AE204" s="4" t="str">
        <f>'Form responses 1'!AN206</f>
        <v/>
      </c>
      <c r="AF204" s="4" t="str">
        <f>'Form responses 1'!AO206</f>
        <v/>
      </c>
      <c r="AG204" s="4" t="str">
        <f>'Form responses 1'!AP206</f>
        <v/>
      </c>
      <c r="AH204" s="4" t="str">
        <f>'Form responses 1'!AQ206</f>
        <v/>
      </c>
      <c r="AI204" s="4" t="str">
        <f>'Form responses 1'!AR206</f>
        <v/>
      </c>
    </row>
    <row r="205">
      <c r="A205" s="26">
        <f>'Form responses 1'!B207</f>
        <v>46064</v>
      </c>
      <c r="B205" s="4" t="str">
        <f>'Form responses 1'!AZ207</f>
        <v>chanakya.inugala@capsdelivery.com</v>
      </c>
      <c r="C205" s="4" t="str">
        <f>'Form responses 1'!BR207</f>
        <v>Ma potta Ma istam</v>
      </c>
      <c r="D205" s="4" t="str">
        <f>'Form responses 1'!AT207</f>
        <v/>
      </c>
      <c r="E205" s="4" t="str">
        <f>'Form responses 1'!AU207</f>
        <v>Yes</v>
      </c>
      <c r="F205" s="26">
        <f>'Form responses 1'!AX207</f>
        <v>46065</v>
      </c>
      <c r="G205" s="52">
        <f>'Form responses 1'!AY207</f>
        <v>0.5</v>
      </c>
      <c r="H205" s="53" t="str">
        <f>'Form responses 1'!AW207</f>
        <v/>
      </c>
      <c r="I205" s="4" t="str">
        <f>'Form responses 1'!AS207</f>
        <v/>
      </c>
      <c r="J205" s="4" t="str">
        <f>'Form responses 1'!J207</f>
        <v>Tier-3 ( AOV&lt;200 )</v>
      </c>
      <c r="K205" s="4">
        <f>'Form responses 1'!G207</f>
        <v>300</v>
      </c>
      <c r="L205" s="4">
        <f>'Form responses 1'!F207</f>
        <v>30</v>
      </c>
      <c r="M205" s="4" t="str">
        <f>'Form responses 1'!U207</f>
        <v>Manchu Manoj </v>
      </c>
      <c r="N205" s="4">
        <f>'Form responses 1'!V207</f>
        <v>9603021048</v>
      </c>
      <c r="O205" s="4" t="str">
        <f>'Form responses 1'!W207</f>
        <v>Na</v>
      </c>
      <c r="P205" s="4" t="str">
        <f>'Form responses 1'!X207</f>
        <v/>
      </c>
      <c r="Q205" s="4" t="str">
        <f>'Form responses 1'!Y207</f>
        <v/>
      </c>
      <c r="R205" s="4" t="str">
        <f>'Form responses 1'!Z207</f>
        <v/>
      </c>
      <c r="S205" s="4" t="str">
        <f>'Form responses 1'!AC207</f>
        <v/>
      </c>
      <c r="T205" s="4" t="str">
        <f>'Form responses 1'!AE207</f>
        <v/>
      </c>
      <c r="U205" s="4" t="str">
        <f>'Form responses 1'!AG207</f>
        <v/>
      </c>
      <c r="V205" s="4" t="str">
        <f>'Form responses 1'!AI207</f>
        <v/>
      </c>
      <c r="W205" s="4" t="str">
        <f>'Form responses 1'!AJ207</f>
        <v/>
      </c>
      <c r="X205" s="4" t="str">
        <f>'Form responses 1'!AK207</f>
        <v/>
      </c>
      <c r="Y205" s="4">
        <f t="shared" ref="Y205:AD205" si="204">if(S205&gt;0,1,0)</f>
        <v>0</v>
      </c>
      <c r="Z205" s="4">
        <f t="shared" si="204"/>
        <v>0</v>
      </c>
      <c r="AA205" s="4">
        <f t="shared" si="204"/>
        <v>0</v>
      </c>
      <c r="AB205" s="4">
        <f t="shared" si="204"/>
        <v>0</v>
      </c>
      <c r="AC205" s="4">
        <f t="shared" si="204"/>
        <v>0</v>
      </c>
      <c r="AD205" s="4">
        <f t="shared" si="204"/>
        <v>0</v>
      </c>
      <c r="AE205" s="4" t="str">
        <f>'Form responses 1'!AN207</f>
        <v/>
      </c>
      <c r="AF205" s="4" t="str">
        <f>'Form responses 1'!AO207</f>
        <v/>
      </c>
      <c r="AG205" s="4" t="str">
        <f>'Form responses 1'!AP207</f>
        <v/>
      </c>
      <c r="AH205" s="4" t="str">
        <f>'Form responses 1'!AQ207</f>
        <v/>
      </c>
      <c r="AI205" s="4" t="str">
        <f>'Form responses 1'!AR207</f>
        <v/>
      </c>
    </row>
    <row r="206">
      <c r="A206" s="26">
        <f>'Form responses 1'!B208</f>
        <v>46064</v>
      </c>
      <c r="B206" s="4" t="str">
        <f>'Form responses 1'!AZ208</f>
        <v>chanakya.inugala@capsdelivery.com</v>
      </c>
      <c r="C206" s="4" t="str">
        <f>'Form responses 1'!BR208</f>
        <v>Dragon Tales</v>
      </c>
      <c r="D206" s="4" t="str">
        <f>'Form responses 1'!AT208</f>
        <v/>
      </c>
      <c r="E206" s="4" t="str">
        <f>'Form responses 1'!AU208</f>
        <v>Yes</v>
      </c>
      <c r="F206" s="26">
        <f>'Form responses 1'!AX208</f>
        <v>46065</v>
      </c>
      <c r="G206" s="52">
        <f>'Form responses 1'!AY208</f>
        <v>0.6666666667</v>
      </c>
      <c r="H206" s="53" t="str">
        <f>'Form responses 1'!AW208</f>
        <v/>
      </c>
      <c r="I206" s="4" t="str">
        <f>'Form responses 1'!AS208</f>
        <v/>
      </c>
      <c r="J206" s="4" t="str">
        <f>'Form responses 1'!J208</f>
        <v>Tier-3 ( AOV&lt;200 )</v>
      </c>
      <c r="K206" s="4">
        <f>'Form responses 1'!G208</f>
        <v>250</v>
      </c>
      <c r="L206" s="4">
        <f>'Form responses 1'!F208</f>
        <v>30</v>
      </c>
      <c r="M206" s="4" t="str">
        <f>'Form responses 1'!U208</f>
        <v>Shekar</v>
      </c>
      <c r="N206" s="4">
        <f>'Form responses 1'!V208</f>
        <v>9100172163</v>
      </c>
      <c r="O206" s="4" t="str">
        <f>'Form responses 1'!W208</f>
        <v>Na</v>
      </c>
      <c r="P206" s="4" t="str">
        <f>'Form responses 1'!X208</f>
        <v/>
      </c>
      <c r="Q206" s="4" t="str">
        <f>'Form responses 1'!Y208</f>
        <v/>
      </c>
      <c r="R206" s="4" t="str">
        <f>'Form responses 1'!Z208</f>
        <v/>
      </c>
      <c r="S206" s="4" t="str">
        <f>'Form responses 1'!AC208</f>
        <v/>
      </c>
      <c r="T206" s="4" t="str">
        <f>'Form responses 1'!AE208</f>
        <v/>
      </c>
      <c r="U206" s="4" t="str">
        <f>'Form responses 1'!AG208</f>
        <v/>
      </c>
      <c r="V206" s="4" t="str">
        <f>'Form responses 1'!AI208</f>
        <v/>
      </c>
      <c r="W206" s="4" t="str">
        <f>'Form responses 1'!AJ208</f>
        <v/>
      </c>
      <c r="X206" s="4" t="str">
        <f>'Form responses 1'!AK208</f>
        <v/>
      </c>
      <c r="Y206" s="4">
        <f t="shared" ref="Y206:AD206" si="205">if(S206&gt;0,1,0)</f>
        <v>0</v>
      </c>
      <c r="Z206" s="4">
        <f t="shared" si="205"/>
        <v>0</v>
      </c>
      <c r="AA206" s="4">
        <f t="shared" si="205"/>
        <v>0</v>
      </c>
      <c r="AB206" s="4">
        <f t="shared" si="205"/>
        <v>0</v>
      </c>
      <c r="AC206" s="4">
        <f t="shared" si="205"/>
        <v>0</v>
      </c>
      <c r="AD206" s="4">
        <f t="shared" si="205"/>
        <v>0</v>
      </c>
      <c r="AE206" s="4" t="str">
        <f>'Form responses 1'!AN208</f>
        <v/>
      </c>
      <c r="AF206" s="4" t="str">
        <f>'Form responses 1'!AO208</f>
        <v/>
      </c>
      <c r="AG206" s="4" t="str">
        <f>'Form responses 1'!AP208</f>
        <v/>
      </c>
      <c r="AH206" s="4" t="str">
        <f>'Form responses 1'!AQ208</f>
        <v/>
      </c>
      <c r="AI206" s="4" t="str">
        <f>'Form responses 1'!AR208</f>
        <v/>
      </c>
    </row>
    <row r="207">
      <c r="A207" s="26">
        <f>'Form responses 1'!B209</f>
        <v>46064</v>
      </c>
      <c r="B207" s="4" t="str">
        <f>'Form responses 1'!AZ209</f>
        <v>chanakya.inugala@capsdelivery.com</v>
      </c>
      <c r="C207" s="4" t="str">
        <f>'Form responses 1'!BR209</f>
        <v>Aaha</v>
      </c>
      <c r="D207" s="4" t="str">
        <f>'Form responses 1'!AT209</f>
        <v/>
      </c>
      <c r="E207" s="4" t="str">
        <f>'Form responses 1'!AU209</f>
        <v>Yes</v>
      </c>
      <c r="F207" s="26">
        <f>'Form responses 1'!AX209</f>
        <v>46065</v>
      </c>
      <c r="G207" s="52">
        <f>'Form responses 1'!AY209</f>
        <v>0.625</v>
      </c>
      <c r="H207" s="53" t="str">
        <f>'Form responses 1'!AW209</f>
        <v/>
      </c>
      <c r="I207" s="4" t="str">
        <f>'Form responses 1'!AS209</f>
        <v/>
      </c>
      <c r="J207" s="4" t="str">
        <f>'Form responses 1'!J209</f>
        <v>Tier-1(AOV&gt;400)</v>
      </c>
      <c r="K207" s="4">
        <f>'Form responses 1'!G209</f>
        <v>500</v>
      </c>
      <c r="L207" s="4">
        <f>'Form responses 1'!F209</f>
        <v>50</v>
      </c>
      <c r="M207" s="4" t="str">
        <f>'Form responses 1'!U209</f>
        <v>Raju</v>
      </c>
      <c r="N207" s="4">
        <f>'Form responses 1'!V209</f>
        <v>8688995094</v>
      </c>
      <c r="O207" s="4" t="str">
        <f>'Form responses 1'!W209</f>
        <v>Na</v>
      </c>
      <c r="P207" s="4" t="str">
        <f>'Form responses 1'!X209</f>
        <v/>
      </c>
      <c r="Q207" s="4" t="str">
        <f>'Form responses 1'!Y209</f>
        <v/>
      </c>
      <c r="R207" s="4" t="str">
        <f>'Form responses 1'!Z209</f>
        <v/>
      </c>
      <c r="S207" s="4" t="str">
        <f>'Form responses 1'!AC209</f>
        <v/>
      </c>
      <c r="T207" s="4" t="str">
        <f>'Form responses 1'!AE209</f>
        <v/>
      </c>
      <c r="U207" s="4" t="str">
        <f>'Form responses 1'!AG209</f>
        <v/>
      </c>
      <c r="V207" s="4" t="str">
        <f>'Form responses 1'!AI209</f>
        <v/>
      </c>
      <c r="W207" s="4" t="str">
        <f>'Form responses 1'!AJ209</f>
        <v/>
      </c>
      <c r="X207" s="4" t="str">
        <f>'Form responses 1'!AK209</f>
        <v/>
      </c>
      <c r="Y207" s="4">
        <f t="shared" ref="Y207:AD207" si="206">if(S207&gt;0,1,0)</f>
        <v>0</v>
      </c>
      <c r="Z207" s="4">
        <f t="shared" si="206"/>
        <v>0</v>
      </c>
      <c r="AA207" s="4">
        <f t="shared" si="206"/>
        <v>0</v>
      </c>
      <c r="AB207" s="4">
        <f t="shared" si="206"/>
        <v>0</v>
      </c>
      <c r="AC207" s="4">
        <f t="shared" si="206"/>
        <v>0</v>
      </c>
      <c r="AD207" s="4">
        <f t="shared" si="206"/>
        <v>0</v>
      </c>
      <c r="AE207" s="4" t="str">
        <f>'Form responses 1'!AN209</f>
        <v/>
      </c>
      <c r="AF207" s="4" t="str">
        <f>'Form responses 1'!AO209</f>
        <v/>
      </c>
      <c r="AG207" s="4" t="str">
        <f>'Form responses 1'!AP209</f>
        <v/>
      </c>
      <c r="AH207" s="4" t="str">
        <f>'Form responses 1'!AQ209</f>
        <v/>
      </c>
      <c r="AI207" s="4" t="str">
        <f>'Form responses 1'!AR209</f>
        <v/>
      </c>
    </row>
    <row r="208">
      <c r="A208" s="26">
        <f>'Form responses 1'!B210</f>
        <v>46064</v>
      </c>
      <c r="B208" s="4" t="str">
        <f>'Form responses 1'!AZ210</f>
        <v>chanakya.inugala@capsdelivery.com</v>
      </c>
      <c r="C208" s="4" t="str">
        <f>'Form responses 1'!BR210</f>
        <v>Viyala vari pindi vantalu</v>
      </c>
      <c r="D208" s="4" t="str">
        <f>'Form responses 1'!AT210</f>
        <v/>
      </c>
      <c r="E208" s="4" t="str">
        <f>'Form responses 1'!AU210</f>
        <v>Yes</v>
      </c>
      <c r="F208" s="26">
        <f>'Form responses 1'!AX210</f>
        <v>46065</v>
      </c>
      <c r="G208" s="52">
        <f>'Form responses 1'!AY210</f>
        <v>0.5416666667</v>
      </c>
      <c r="H208" s="53" t="str">
        <f>'Form responses 1'!AW210</f>
        <v/>
      </c>
      <c r="I208" s="4" t="str">
        <f>'Form responses 1'!AS210</f>
        <v/>
      </c>
      <c r="J208" s="4" t="str">
        <f>'Form responses 1'!J210</f>
        <v>Tier-2 (AOV &lt;400)</v>
      </c>
      <c r="K208" s="4">
        <f>'Form responses 1'!G210</f>
        <v>300</v>
      </c>
      <c r="L208" s="4">
        <f>'Form responses 1'!F210</f>
        <v>5</v>
      </c>
      <c r="M208" s="4" t="str">
        <f>'Form responses 1'!U210</f>
        <v>Hazrat</v>
      </c>
      <c r="N208" s="4">
        <f>'Form responses 1'!V210</f>
        <v>9704673535</v>
      </c>
      <c r="O208" s="4" t="str">
        <f>'Form responses 1'!W210</f>
        <v>Na</v>
      </c>
      <c r="P208" s="4" t="str">
        <f>'Form responses 1'!X210</f>
        <v/>
      </c>
      <c r="Q208" s="4" t="str">
        <f>'Form responses 1'!Y210</f>
        <v/>
      </c>
      <c r="R208" s="4" t="str">
        <f>'Form responses 1'!Z210</f>
        <v/>
      </c>
      <c r="S208" s="4" t="str">
        <f>'Form responses 1'!AC210</f>
        <v/>
      </c>
      <c r="T208" s="4" t="str">
        <f>'Form responses 1'!AE210</f>
        <v/>
      </c>
      <c r="U208" s="4" t="str">
        <f>'Form responses 1'!AG210</f>
        <v/>
      </c>
      <c r="V208" s="4" t="str">
        <f>'Form responses 1'!AI210</f>
        <v/>
      </c>
      <c r="W208" s="4" t="str">
        <f>'Form responses 1'!AJ210</f>
        <v/>
      </c>
      <c r="X208" s="4" t="str">
        <f>'Form responses 1'!AK210</f>
        <v/>
      </c>
      <c r="Y208" s="4">
        <f t="shared" ref="Y208:AD208" si="207">if(S208&gt;0,1,0)</f>
        <v>0</v>
      </c>
      <c r="Z208" s="4">
        <f t="shared" si="207"/>
        <v>0</v>
      </c>
      <c r="AA208" s="4">
        <f t="shared" si="207"/>
        <v>0</v>
      </c>
      <c r="AB208" s="4">
        <f t="shared" si="207"/>
        <v>0</v>
      </c>
      <c r="AC208" s="4">
        <f t="shared" si="207"/>
        <v>0</v>
      </c>
      <c r="AD208" s="4">
        <f t="shared" si="207"/>
        <v>0</v>
      </c>
      <c r="AE208" s="4" t="str">
        <f>'Form responses 1'!AN210</f>
        <v/>
      </c>
      <c r="AF208" s="4" t="str">
        <f>'Form responses 1'!AO210</f>
        <v/>
      </c>
      <c r="AG208" s="4" t="str">
        <f>'Form responses 1'!AP210</f>
        <v/>
      </c>
      <c r="AH208" s="4" t="str">
        <f>'Form responses 1'!AQ210</f>
        <v/>
      </c>
      <c r="AI208" s="4" t="str">
        <f>'Form responses 1'!AR210</f>
        <v/>
      </c>
    </row>
    <row r="209">
      <c r="A209" s="26">
        <f>'Form responses 1'!B211</f>
        <v>46064</v>
      </c>
      <c r="B209" s="4" t="str">
        <f>'Form responses 1'!AZ211</f>
        <v>chanakya.inugala@capsdelivery.com</v>
      </c>
      <c r="C209" s="4" t="str">
        <f>'Form responses 1'!BR211</f>
        <v>Karam Dosa</v>
      </c>
      <c r="D209" s="4" t="str">
        <f>'Form responses 1'!AT211</f>
        <v/>
      </c>
      <c r="E209" s="4" t="str">
        <f>'Form responses 1'!AU211</f>
        <v>Yes</v>
      </c>
      <c r="F209" s="26">
        <f>'Form responses 1'!AX211</f>
        <v>46067</v>
      </c>
      <c r="G209" s="52">
        <f>'Form responses 1'!AY211</f>
        <v>0.4583333333</v>
      </c>
      <c r="H209" s="53" t="str">
        <f>'Form responses 1'!AW211</f>
        <v/>
      </c>
      <c r="I209" s="4" t="str">
        <f>'Form responses 1'!AS211</f>
        <v/>
      </c>
      <c r="J209" s="4" t="str">
        <f>'Form responses 1'!J211</f>
        <v>Tier-3 ( AOV&lt;200 )</v>
      </c>
      <c r="K209" s="4">
        <f>'Form responses 1'!G211</f>
        <v>150</v>
      </c>
      <c r="L209" s="4">
        <f>'Form responses 1'!F211</f>
        <v>40</v>
      </c>
      <c r="M209" s="4" t="str">
        <f>'Form responses 1'!U211</f>
        <v>Prashanth reddy </v>
      </c>
      <c r="N209" s="4">
        <f>'Form responses 1'!V211</f>
        <v>7981730116</v>
      </c>
      <c r="O209" s="4" t="str">
        <f>'Form responses 1'!W211</f>
        <v>Na </v>
      </c>
      <c r="P209" s="4" t="str">
        <f>'Form responses 1'!X211</f>
        <v/>
      </c>
      <c r="Q209" s="4" t="str">
        <f>'Form responses 1'!Y211</f>
        <v/>
      </c>
      <c r="R209" s="4" t="str">
        <f>'Form responses 1'!Z211</f>
        <v/>
      </c>
      <c r="S209" s="4" t="str">
        <f>'Form responses 1'!AC211</f>
        <v/>
      </c>
      <c r="T209" s="4" t="str">
        <f>'Form responses 1'!AE211</f>
        <v/>
      </c>
      <c r="U209" s="4" t="str">
        <f>'Form responses 1'!AG211</f>
        <v/>
      </c>
      <c r="V209" s="4" t="str">
        <f>'Form responses 1'!AI211</f>
        <v/>
      </c>
      <c r="W209" s="4" t="str">
        <f>'Form responses 1'!AJ211</f>
        <v/>
      </c>
      <c r="X209" s="4" t="str">
        <f>'Form responses 1'!AK211</f>
        <v/>
      </c>
      <c r="Y209" s="4">
        <f t="shared" ref="Y209:AD209" si="208">if(S209&gt;0,1,0)</f>
        <v>0</v>
      </c>
      <c r="Z209" s="4">
        <f t="shared" si="208"/>
        <v>0</v>
      </c>
      <c r="AA209" s="4">
        <f t="shared" si="208"/>
        <v>0</v>
      </c>
      <c r="AB209" s="4">
        <f t="shared" si="208"/>
        <v>0</v>
      </c>
      <c r="AC209" s="4">
        <f t="shared" si="208"/>
        <v>0</v>
      </c>
      <c r="AD209" s="4">
        <f t="shared" si="208"/>
        <v>0</v>
      </c>
      <c r="AE209" s="4" t="str">
        <f>'Form responses 1'!AN211</f>
        <v/>
      </c>
      <c r="AF209" s="4" t="str">
        <f>'Form responses 1'!AO211</f>
        <v/>
      </c>
      <c r="AG209" s="4" t="str">
        <f>'Form responses 1'!AP211</f>
        <v/>
      </c>
      <c r="AH209" s="4" t="str">
        <f>'Form responses 1'!AQ211</f>
        <v/>
      </c>
      <c r="AI209" s="4" t="str">
        <f>'Form responses 1'!AR211</f>
        <v/>
      </c>
    </row>
    <row r="210">
      <c r="A210" s="26">
        <f>'Form responses 1'!B212</f>
        <v>46064</v>
      </c>
      <c r="B210" s="4" t="str">
        <f>'Form responses 1'!AZ212</f>
        <v>chanakya.inugala@capsdelivery.com</v>
      </c>
      <c r="C210" s="4" t="str">
        <f>'Form responses 1'!BR212</f>
        <v>Qubz The shewarma Revolution </v>
      </c>
      <c r="D210" s="4" t="str">
        <f>'Form responses 1'!AT212</f>
        <v/>
      </c>
      <c r="E210" s="4" t="str">
        <f>'Form responses 1'!AU212</f>
        <v>Yes</v>
      </c>
      <c r="F210" s="26">
        <f>'Form responses 1'!AX212</f>
        <v>46065</v>
      </c>
      <c r="G210" s="52">
        <f>'Form responses 1'!AY212</f>
        <v>0.6666666667</v>
      </c>
      <c r="H210" s="53" t="str">
        <f>'Form responses 1'!AW212</f>
        <v/>
      </c>
      <c r="I210" s="4" t="str">
        <f>'Form responses 1'!AS212</f>
        <v/>
      </c>
      <c r="J210" s="4" t="str">
        <f>'Form responses 1'!J212</f>
        <v>Tier-3 ( AOV&lt;200 )</v>
      </c>
      <c r="K210" s="4">
        <f>'Form responses 1'!G212</f>
        <v>200</v>
      </c>
      <c r="L210" s="4">
        <f>'Form responses 1'!F212</f>
        <v>10</v>
      </c>
      <c r="M210" s="4" t="str">
        <f>'Form responses 1'!U212</f>
        <v>Naveen</v>
      </c>
      <c r="N210" s="4">
        <f>'Form responses 1'!V212</f>
        <v>8125526123</v>
      </c>
      <c r="O210" s="4" t="str">
        <f>'Form responses 1'!W212</f>
        <v>Na</v>
      </c>
      <c r="P210" s="4" t="str">
        <f>'Form responses 1'!X212</f>
        <v/>
      </c>
      <c r="Q210" s="4" t="str">
        <f>'Form responses 1'!Y212</f>
        <v/>
      </c>
      <c r="R210" s="4" t="str">
        <f>'Form responses 1'!Z212</f>
        <v/>
      </c>
      <c r="S210" s="4" t="str">
        <f>'Form responses 1'!AC212</f>
        <v/>
      </c>
      <c r="T210" s="4" t="str">
        <f>'Form responses 1'!AE212</f>
        <v/>
      </c>
      <c r="U210" s="4" t="str">
        <f>'Form responses 1'!AG212</f>
        <v/>
      </c>
      <c r="V210" s="4" t="str">
        <f>'Form responses 1'!AI212</f>
        <v/>
      </c>
      <c r="W210" s="4" t="str">
        <f>'Form responses 1'!AJ212</f>
        <v/>
      </c>
      <c r="X210" s="4" t="str">
        <f>'Form responses 1'!AK212</f>
        <v/>
      </c>
      <c r="Y210" s="4">
        <f t="shared" ref="Y210:AD210" si="209">if(S210&gt;0,1,0)</f>
        <v>0</v>
      </c>
      <c r="Z210" s="4">
        <f t="shared" si="209"/>
        <v>0</v>
      </c>
      <c r="AA210" s="4">
        <f t="shared" si="209"/>
        <v>0</v>
      </c>
      <c r="AB210" s="4">
        <f t="shared" si="209"/>
        <v>0</v>
      </c>
      <c r="AC210" s="4">
        <f t="shared" si="209"/>
        <v>0</v>
      </c>
      <c r="AD210" s="4">
        <f t="shared" si="209"/>
        <v>0</v>
      </c>
      <c r="AE210" s="4" t="str">
        <f>'Form responses 1'!AN212</f>
        <v/>
      </c>
      <c r="AF210" s="4" t="str">
        <f>'Form responses 1'!AO212</f>
        <v/>
      </c>
      <c r="AG210" s="4" t="str">
        <f>'Form responses 1'!AP212</f>
        <v/>
      </c>
      <c r="AH210" s="4" t="str">
        <f>'Form responses 1'!AQ212</f>
        <v/>
      </c>
      <c r="AI210" s="4" t="str">
        <f>'Form responses 1'!AR212</f>
        <v/>
      </c>
    </row>
    <row r="211">
      <c r="A211" s="26">
        <f>'Form responses 1'!B213</f>
        <v>46064</v>
      </c>
      <c r="B211" s="4" t="str">
        <f>'Form responses 1'!AZ213</f>
        <v>chanakya.inugala@capsdelivery.com</v>
      </c>
      <c r="C211" s="4" t="str">
        <f>'Form responses 1'!BR213</f>
        <v>Ttastryy</v>
      </c>
      <c r="D211" s="4" t="str">
        <f>'Form responses 1'!AT213</f>
        <v/>
      </c>
      <c r="E211" s="4" t="str">
        <f>'Form responses 1'!AU213</f>
        <v>Yes</v>
      </c>
      <c r="F211" s="26">
        <f>'Form responses 1'!AX213</f>
        <v>46067</v>
      </c>
      <c r="G211" s="52">
        <f>'Form responses 1'!AY213</f>
        <v>0.7916666667</v>
      </c>
      <c r="H211" s="53" t="str">
        <f>'Form responses 1'!AW213</f>
        <v/>
      </c>
      <c r="I211" s="4" t="str">
        <f>'Form responses 1'!AS213</f>
        <v/>
      </c>
      <c r="J211" s="4" t="str">
        <f>'Form responses 1'!J213</f>
        <v>Tier-3 ( AOV&lt;200 )</v>
      </c>
      <c r="K211" s="4">
        <f>'Form responses 1'!G213</f>
        <v>200</v>
      </c>
      <c r="L211" s="4">
        <f>'Form responses 1'!F213</f>
        <v>10</v>
      </c>
      <c r="M211" s="4" t="str">
        <f>'Form responses 1'!U213</f>
        <v>Aravind reddy </v>
      </c>
      <c r="N211" s="4">
        <f>'Form responses 1'!V213</f>
        <v>9849499208</v>
      </c>
      <c r="O211" s="4" t="str">
        <f>'Form responses 1'!W213</f>
        <v>Na</v>
      </c>
      <c r="P211" s="4" t="str">
        <f>'Form responses 1'!X213</f>
        <v/>
      </c>
      <c r="Q211" s="4" t="str">
        <f>'Form responses 1'!Y213</f>
        <v/>
      </c>
      <c r="R211" s="4" t="str">
        <f>'Form responses 1'!Z213</f>
        <v/>
      </c>
      <c r="S211" s="4" t="str">
        <f>'Form responses 1'!AC213</f>
        <v/>
      </c>
      <c r="T211" s="4" t="str">
        <f>'Form responses 1'!AE213</f>
        <v/>
      </c>
      <c r="U211" s="4" t="str">
        <f>'Form responses 1'!AG213</f>
        <v/>
      </c>
      <c r="V211" s="4" t="str">
        <f>'Form responses 1'!AI213</f>
        <v/>
      </c>
      <c r="W211" s="4" t="str">
        <f>'Form responses 1'!AJ213</f>
        <v/>
      </c>
      <c r="X211" s="4" t="str">
        <f>'Form responses 1'!AK213</f>
        <v/>
      </c>
      <c r="Y211" s="4">
        <f t="shared" ref="Y211:AD211" si="210">if(S211&gt;0,1,0)</f>
        <v>0</v>
      </c>
      <c r="Z211" s="4">
        <f t="shared" si="210"/>
        <v>0</v>
      </c>
      <c r="AA211" s="4">
        <f t="shared" si="210"/>
        <v>0</v>
      </c>
      <c r="AB211" s="4">
        <f t="shared" si="210"/>
        <v>0</v>
      </c>
      <c r="AC211" s="4">
        <f t="shared" si="210"/>
        <v>0</v>
      </c>
      <c r="AD211" s="4">
        <f t="shared" si="210"/>
        <v>0</v>
      </c>
      <c r="AE211" s="4" t="str">
        <f>'Form responses 1'!AN213</f>
        <v/>
      </c>
      <c r="AF211" s="4" t="str">
        <f>'Form responses 1'!AO213</f>
        <v/>
      </c>
      <c r="AG211" s="4" t="str">
        <f>'Form responses 1'!AP213</f>
        <v/>
      </c>
      <c r="AH211" s="4" t="str">
        <f>'Form responses 1'!AQ213</f>
        <v/>
      </c>
      <c r="AI211" s="4" t="str">
        <f>'Form responses 1'!AR213</f>
        <v/>
      </c>
    </row>
    <row r="212">
      <c r="A212" s="26">
        <f>'Form responses 1'!B214</f>
        <v>46064</v>
      </c>
      <c r="B212" s="4" t="str">
        <f>'Form responses 1'!AZ214</f>
        <v>chanakya.inugala@capsdelivery.com</v>
      </c>
      <c r="C212" s="4" t="str">
        <f>'Form responses 1'!BR214</f>
        <v>SHOHRAT</v>
      </c>
      <c r="D212" s="4" t="str">
        <f>'Form responses 1'!AT214</f>
        <v/>
      </c>
      <c r="E212" s="4" t="str">
        <f>'Form responses 1'!AU214</f>
        <v>Yes</v>
      </c>
      <c r="F212" s="26">
        <f>'Form responses 1'!AX214</f>
        <v>46066</v>
      </c>
      <c r="G212" s="52">
        <f>'Form responses 1'!AY214</f>
        <v>0.5416666667</v>
      </c>
      <c r="H212" s="53" t="str">
        <f>'Form responses 1'!AW214</f>
        <v/>
      </c>
      <c r="I212" s="4" t="str">
        <f>'Form responses 1'!AS214</f>
        <v/>
      </c>
      <c r="J212" s="4" t="str">
        <f>'Form responses 1'!J214</f>
        <v>Tier-3 ( AOV&lt;200 )</v>
      </c>
      <c r="K212" s="4">
        <f>'Form responses 1'!G214</f>
        <v>300</v>
      </c>
      <c r="L212" s="4">
        <f>'Form responses 1'!F214</f>
        <v>50</v>
      </c>
      <c r="M212" s="4" t="str">
        <f>'Form responses 1'!U214</f>
        <v>Sameer</v>
      </c>
      <c r="N212" s="4">
        <f>'Form responses 1'!V214</f>
        <v>8801027834</v>
      </c>
      <c r="O212" s="4" t="str">
        <f>'Form responses 1'!W214</f>
        <v>Na</v>
      </c>
      <c r="P212" s="4" t="str">
        <f>'Form responses 1'!X214</f>
        <v/>
      </c>
      <c r="Q212" s="4" t="str">
        <f>'Form responses 1'!Y214</f>
        <v/>
      </c>
      <c r="R212" s="4" t="str">
        <f>'Form responses 1'!Z214</f>
        <v/>
      </c>
      <c r="S212" s="4" t="str">
        <f>'Form responses 1'!AC214</f>
        <v/>
      </c>
      <c r="T212" s="4" t="str">
        <f>'Form responses 1'!AE214</f>
        <v/>
      </c>
      <c r="U212" s="4" t="str">
        <f>'Form responses 1'!AG214</f>
        <v/>
      </c>
      <c r="V212" s="4" t="str">
        <f>'Form responses 1'!AI214</f>
        <v/>
      </c>
      <c r="W212" s="4" t="str">
        <f>'Form responses 1'!AJ214</f>
        <v/>
      </c>
      <c r="X212" s="4" t="str">
        <f>'Form responses 1'!AK214</f>
        <v/>
      </c>
      <c r="Y212" s="4">
        <f t="shared" ref="Y212:AD212" si="211">if(S212&gt;0,1,0)</f>
        <v>0</v>
      </c>
      <c r="Z212" s="4">
        <f t="shared" si="211"/>
        <v>0</v>
      </c>
      <c r="AA212" s="4">
        <f t="shared" si="211"/>
        <v>0</v>
      </c>
      <c r="AB212" s="4">
        <f t="shared" si="211"/>
        <v>0</v>
      </c>
      <c r="AC212" s="4">
        <f t="shared" si="211"/>
        <v>0</v>
      </c>
      <c r="AD212" s="4">
        <f t="shared" si="211"/>
        <v>0</v>
      </c>
      <c r="AE212" s="4" t="str">
        <f>'Form responses 1'!AN214</f>
        <v/>
      </c>
      <c r="AF212" s="4" t="str">
        <f>'Form responses 1'!AO214</f>
        <v/>
      </c>
      <c r="AG212" s="4" t="str">
        <f>'Form responses 1'!AP214</f>
        <v/>
      </c>
      <c r="AH212" s="4" t="str">
        <f>'Form responses 1'!AQ214</f>
        <v/>
      </c>
      <c r="AI212" s="4" t="str">
        <f>'Form responses 1'!AR214</f>
        <v/>
      </c>
    </row>
    <row r="213">
      <c r="A213" s="26">
        <f>'Form responses 1'!B215</f>
        <v>46064</v>
      </c>
      <c r="B213" s="4" t="str">
        <f>'Form responses 1'!AZ215</f>
        <v>chanakya.inugala@capsdelivery.com</v>
      </c>
      <c r="C213" s="4" t="str">
        <f>'Form responses 1'!BR215</f>
        <v>Chantabbai Biryani </v>
      </c>
      <c r="D213" s="4" t="str">
        <f>'Form responses 1'!AT215</f>
        <v/>
      </c>
      <c r="E213" s="4" t="str">
        <f>'Form responses 1'!AU215</f>
        <v>Yes</v>
      </c>
      <c r="F213" s="26">
        <f>'Form responses 1'!AX215</f>
        <v>46069</v>
      </c>
      <c r="G213" s="52">
        <f>'Form responses 1'!AY215</f>
        <v>0.5833333333</v>
      </c>
      <c r="H213" s="53" t="str">
        <f>'Form responses 1'!AW215</f>
        <v/>
      </c>
      <c r="I213" s="4" t="str">
        <f>'Form responses 1'!AS215</f>
        <v/>
      </c>
      <c r="J213" s="4" t="str">
        <f>'Form responses 1'!J215</f>
        <v>Tier-2 (AOV &lt;400)</v>
      </c>
      <c r="K213" s="4">
        <f>'Form responses 1'!G215</f>
        <v>300</v>
      </c>
      <c r="L213" s="4">
        <f>'Form responses 1'!F215</f>
        <v>20</v>
      </c>
      <c r="M213" s="4" t="str">
        <f>'Form responses 1'!U215</f>
        <v>Bhargav </v>
      </c>
      <c r="N213" s="4">
        <f>'Form responses 1'!V215</f>
        <v>9959244406</v>
      </c>
      <c r="O213" s="4" t="str">
        <f>'Form responses 1'!W215</f>
        <v>Na</v>
      </c>
      <c r="P213" s="4" t="str">
        <f>'Form responses 1'!X215</f>
        <v/>
      </c>
      <c r="Q213" s="4" t="str">
        <f>'Form responses 1'!Y215</f>
        <v/>
      </c>
      <c r="R213" s="4" t="str">
        <f>'Form responses 1'!Z215</f>
        <v/>
      </c>
      <c r="S213" s="4" t="str">
        <f>'Form responses 1'!AC215</f>
        <v/>
      </c>
      <c r="T213" s="4" t="str">
        <f>'Form responses 1'!AE215</f>
        <v/>
      </c>
      <c r="U213" s="4" t="str">
        <f>'Form responses 1'!AG215</f>
        <v/>
      </c>
      <c r="V213" s="4" t="str">
        <f>'Form responses 1'!AI215</f>
        <v/>
      </c>
      <c r="W213" s="4" t="str">
        <f>'Form responses 1'!AJ215</f>
        <v/>
      </c>
      <c r="X213" s="4" t="str">
        <f>'Form responses 1'!AK215</f>
        <v/>
      </c>
      <c r="Y213" s="4">
        <f t="shared" ref="Y213:AD213" si="212">if(S213&gt;0,1,0)</f>
        <v>0</v>
      </c>
      <c r="Z213" s="4">
        <f t="shared" si="212"/>
        <v>0</v>
      </c>
      <c r="AA213" s="4">
        <f t="shared" si="212"/>
        <v>0</v>
      </c>
      <c r="AB213" s="4">
        <f t="shared" si="212"/>
        <v>0</v>
      </c>
      <c r="AC213" s="4">
        <f t="shared" si="212"/>
        <v>0</v>
      </c>
      <c r="AD213" s="4">
        <f t="shared" si="212"/>
        <v>0</v>
      </c>
      <c r="AE213" s="4" t="str">
        <f>'Form responses 1'!AN215</f>
        <v/>
      </c>
      <c r="AF213" s="4" t="str">
        <f>'Form responses 1'!AO215</f>
        <v/>
      </c>
      <c r="AG213" s="4" t="str">
        <f>'Form responses 1'!AP215</f>
        <v/>
      </c>
      <c r="AH213" s="4" t="str">
        <f>'Form responses 1'!AQ215</f>
        <v/>
      </c>
      <c r="AI213" s="4" t="str">
        <f>'Form responses 1'!AR215</f>
        <v/>
      </c>
    </row>
    <row r="214">
      <c r="A214" s="26">
        <f>'Form responses 1'!B216</f>
        <v>46063</v>
      </c>
      <c r="B214" s="4" t="str">
        <f>'Form responses 1'!AZ216</f>
        <v>chanakya.inugala@capsdelivery.com</v>
      </c>
      <c r="C214" s="4" t="str">
        <f>'Form responses 1'!BR216</f>
        <v>Mama Thinu</v>
      </c>
      <c r="D214" s="4" t="str">
        <f>'Form responses 1'!AT216</f>
        <v>Onboarded </v>
      </c>
      <c r="E214" s="4" t="str">
        <f>'Form responses 1'!AU216</f>
        <v>No</v>
      </c>
      <c r="F214" s="4" t="str">
        <f>'Form responses 1'!AX216</f>
        <v/>
      </c>
      <c r="G214" s="4" t="str">
        <f>'Form responses 1'!AY216</f>
        <v/>
      </c>
      <c r="H214" s="53" t="str">
        <f>'Form responses 1'!AW216</f>
        <v/>
      </c>
      <c r="I214" s="4" t="str">
        <f>'Form responses 1'!AS216</f>
        <v/>
      </c>
      <c r="J214" s="4" t="str">
        <f>'Form responses 1'!J216</f>
        <v>Tier-3 ( AOV&lt;200 )</v>
      </c>
      <c r="K214" s="4">
        <f>'Form responses 1'!G216</f>
        <v>200</v>
      </c>
      <c r="L214" s="4">
        <f>'Form responses 1'!F216</f>
        <v>20</v>
      </c>
      <c r="M214" s="4" t="str">
        <f>'Form responses 1'!U216</f>
        <v>Krishna</v>
      </c>
      <c r="N214" s="4" t="str">
        <f>'Form responses 1'!V216</f>
        <v>+91 98858 68130</v>
      </c>
      <c r="O214" s="4" t="str">
        <f>'Form responses 1'!W216</f>
        <v>Na</v>
      </c>
      <c r="P214" s="4" t="str">
        <f>'Form responses 1'!X216</f>
        <v/>
      </c>
      <c r="Q214" s="4" t="str">
        <f>'Form responses 1'!Y216</f>
        <v/>
      </c>
      <c r="R214" s="4" t="str">
        <f>'Form responses 1'!Z216</f>
        <v/>
      </c>
      <c r="S214" s="4" t="str">
        <f>'Form responses 1'!AC216</f>
        <v/>
      </c>
      <c r="T214" s="4" t="str">
        <f>'Form responses 1'!AE216</f>
        <v/>
      </c>
      <c r="U214" s="4" t="str">
        <f>'Form responses 1'!AG216</f>
        <v/>
      </c>
      <c r="V214" s="4" t="str">
        <f>'Form responses 1'!AI216</f>
        <v/>
      </c>
      <c r="W214" s="4" t="str">
        <f>'Form responses 1'!AJ216</f>
        <v/>
      </c>
      <c r="X214" s="4" t="str">
        <f>'Form responses 1'!AK216</f>
        <v/>
      </c>
      <c r="Y214" s="4">
        <f t="shared" ref="Y214:AD214" si="213">if(S214&gt;0,1,0)</f>
        <v>0</v>
      </c>
      <c r="Z214" s="4">
        <f t="shared" si="213"/>
        <v>0</v>
      </c>
      <c r="AA214" s="4">
        <f t="shared" si="213"/>
        <v>0</v>
      </c>
      <c r="AB214" s="4">
        <f t="shared" si="213"/>
        <v>0</v>
      </c>
      <c r="AC214" s="4">
        <f t="shared" si="213"/>
        <v>0</v>
      </c>
      <c r="AD214" s="4">
        <f t="shared" si="213"/>
        <v>0</v>
      </c>
      <c r="AE214" s="4" t="str">
        <f>'Form responses 1'!AN216</f>
        <v/>
      </c>
      <c r="AF214" s="4" t="str">
        <f>'Form responses 1'!AO216</f>
        <v/>
      </c>
      <c r="AG214" s="4" t="str">
        <f>'Form responses 1'!AP216</f>
        <v/>
      </c>
      <c r="AH214" s="4" t="str">
        <f>'Form responses 1'!AQ216</f>
        <v/>
      </c>
      <c r="AI214" s="4" t="str">
        <f>'Form responses 1'!AR216</f>
        <v/>
      </c>
    </row>
    <row r="215">
      <c r="A215" s="26">
        <f>'Form responses 1'!B217</f>
        <v>46064</v>
      </c>
      <c r="B215" s="4" t="str">
        <f>'Form responses 1'!AZ217</f>
        <v>chanakya.inugala@capsdelivery.com</v>
      </c>
      <c r="C215" s="4" t="str">
        <f>'Form responses 1'!BR217</f>
        <v>Navarasa </v>
      </c>
      <c r="D215" s="4" t="str">
        <f>'Form responses 1'!AT217</f>
        <v/>
      </c>
      <c r="E215" s="4" t="str">
        <f>'Form responses 1'!AU217</f>
        <v>Yes</v>
      </c>
      <c r="F215" s="4" t="str">
        <f>'Form responses 1'!AX217</f>
        <v/>
      </c>
      <c r="G215" s="4" t="str">
        <f>'Form responses 1'!AY217</f>
        <v/>
      </c>
      <c r="H215" s="53" t="str">
        <f>'Form responses 1'!AW217</f>
        <v/>
      </c>
      <c r="I215" s="4" t="str">
        <f>'Form responses 1'!AS217</f>
        <v/>
      </c>
      <c r="J215" s="4" t="str">
        <f>'Form responses 1'!J217</f>
        <v>Tier-3 ( AOV&lt;200 )</v>
      </c>
      <c r="K215" s="4">
        <f>'Form responses 1'!G217</f>
        <v>200</v>
      </c>
      <c r="L215" s="4">
        <f>'Form responses 1'!F217</f>
        <v>30</v>
      </c>
      <c r="M215" s="4" t="str">
        <f>'Form responses 1'!U217</f>
        <v>Naveen</v>
      </c>
      <c r="N215" s="4">
        <f>'Form responses 1'!V217</f>
        <v>9866402028</v>
      </c>
      <c r="O215" s="4" t="str">
        <f>'Form responses 1'!W217</f>
        <v>Na</v>
      </c>
      <c r="P215" s="4" t="str">
        <f>'Form responses 1'!X217</f>
        <v/>
      </c>
      <c r="Q215" s="4" t="str">
        <f>'Form responses 1'!Y217</f>
        <v/>
      </c>
      <c r="R215" s="4" t="str">
        <f>'Form responses 1'!Z217</f>
        <v/>
      </c>
      <c r="S215" s="4" t="str">
        <f>'Form responses 1'!AC217</f>
        <v/>
      </c>
      <c r="T215" s="4" t="str">
        <f>'Form responses 1'!AE217</f>
        <v/>
      </c>
      <c r="U215" s="4" t="str">
        <f>'Form responses 1'!AG217</f>
        <v/>
      </c>
      <c r="V215" s="4" t="str">
        <f>'Form responses 1'!AI217</f>
        <v/>
      </c>
      <c r="W215" s="4" t="str">
        <f>'Form responses 1'!AJ217</f>
        <v/>
      </c>
      <c r="X215" s="4" t="str">
        <f>'Form responses 1'!AK217</f>
        <v/>
      </c>
      <c r="Y215" s="4">
        <f t="shared" ref="Y215:AD215" si="214">if(S215&gt;0,1,0)</f>
        <v>0</v>
      </c>
      <c r="Z215" s="4">
        <f t="shared" si="214"/>
        <v>0</v>
      </c>
      <c r="AA215" s="4">
        <f t="shared" si="214"/>
        <v>0</v>
      </c>
      <c r="AB215" s="4">
        <f t="shared" si="214"/>
        <v>0</v>
      </c>
      <c r="AC215" s="4">
        <f t="shared" si="214"/>
        <v>0</v>
      </c>
      <c r="AD215" s="4">
        <f t="shared" si="214"/>
        <v>0</v>
      </c>
      <c r="AE215" s="4" t="str">
        <f>'Form responses 1'!AN217</f>
        <v/>
      </c>
      <c r="AF215" s="4" t="str">
        <f>'Form responses 1'!AO217</f>
        <v/>
      </c>
      <c r="AG215" s="4" t="str">
        <f>'Form responses 1'!AP217</f>
        <v/>
      </c>
      <c r="AH215" s="4" t="str">
        <f>'Form responses 1'!AQ217</f>
        <v/>
      </c>
      <c r="AI215" s="4" t="str">
        <f>'Form responses 1'!AR217</f>
        <v/>
      </c>
    </row>
    <row r="216">
      <c r="A216" s="26">
        <f>'Form responses 1'!B218</f>
        <v>46064</v>
      </c>
      <c r="B216" s="4" t="str">
        <f>'Form responses 1'!AZ218</f>
        <v>chanakya.inugala@capsdelivery.com</v>
      </c>
      <c r="C216" s="4" t="str">
        <f>'Form responses 1'!BR218</f>
        <v>Reddy Brothers </v>
      </c>
      <c r="D216" s="4" t="str">
        <f>'Form responses 1'!AT218</f>
        <v/>
      </c>
      <c r="E216" s="4" t="str">
        <f>'Form responses 1'!AU218</f>
        <v>Yes</v>
      </c>
      <c r="F216" s="4" t="str">
        <f>'Form responses 1'!AX218</f>
        <v/>
      </c>
      <c r="G216" s="4" t="str">
        <f>'Form responses 1'!AY218</f>
        <v/>
      </c>
      <c r="H216" s="53" t="str">
        <f>'Form responses 1'!AW218</f>
        <v/>
      </c>
      <c r="I216" s="4" t="str">
        <f>'Form responses 1'!AS218</f>
        <v/>
      </c>
      <c r="J216" s="4" t="str">
        <f>'Form responses 1'!J218</f>
        <v>Tier-2 (AOV &lt;400)</v>
      </c>
      <c r="K216" s="4">
        <f>'Form responses 1'!G218</f>
        <v>200</v>
      </c>
      <c r="L216" s="4">
        <f>'Form responses 1'!F218</f>
        <v>30</v>
      </c>
      <c r="M216" s="4" t="str">
        <f>'Form responses 1'!U218</f>
        <v>Srikanth reddy </v>
      </c>
      <c r="N216" s="4">
        <f>'Form responses 1'!V218</f>
        <v>8096999908</v>
      </c>
      <c r="O216" s="4" t="str">
        <f>'Form responses 1'!W218</f>
        <v>Na</v>
      </c>
      <c r="P216" s="4" t="str">
        <f>'Form responses 1'!X218</f>
        <v/>
      </c>
      <c r="Q216" s="4" t="str">
        <f>'Form responses 1'!Y218</f>
        <v/>
      </c>
      <c r="R216" s="4" t="str">
        <f>'Form responses 1'!Z218</f>
        <v/>
      </c>
      <c r="S216" s="4" t="str">
        <f>'Form responses 1'!AC218</f>
        <v/>
      </c>
      <c r="T216" s="4" t="str">
        <f>'Form responses 1'!AE218</f>
        <v/>
      </c>
      <c r="U216" s="4" t="str">
        <f>'Form responses 1'!AG218</f>
        <v/>
      </c>
      <c r="V216" s="4" t="str">
        <f>'Form responses 1'!AI218</f>
        <v/>
      </c>
      <c r="W216" s="4" t="str">
        <f>'Form responses 1'!AJ218</f>
        <v/>
      </c>
      <c r="X216" s="4" t="str">
        <f>'Form responses 1'!AK218</f>
        <v/>
      </c>
      <c r="Y216" s="4">
        <f t="shared" ref="Y216:AD216" si="215">if(S216&gt;0,1,0)</f>
        <v>0</v>
      </c>
      <c r="Z216" s="4">
        <f t="shared" si="215"/>
        <v>0</v>
      </c>
      <c r="AA216" s="4">
        <f t="shared" si="215"/>
        <v>0</v>
      </c>
      <c r="AB216" s="4">
        <f t="shared" si="215"/>
        <v>0</v>
      </c>
      <c r="AC216" s="4">
        <f t="shared" si="215"/>
        <v>0</v>
      </c>
      <c r="AD216" s="4">
        <f t="shared" si="215"/>
        <v>0</v>
      </c>
      <c r="AE216" s="4" t="str">
        <f>'Form responses 1'!AN218</f>
        <v/>
      </c>
      <c r="AF216" s="4" t="str">
        <f>'Form responses 1'!AO218</f>
        <v/>
      </c>
      <c r="AG216" s="4" t="str">
        <f>'Form responses 1'!AP218</f>
        <v/>
      </c>
      <c r="AH216" s="4" t="str">
        <f>'Form responses 1'!AQ218</f>
        <v/>
      </c>
      <c r="AI216" s="4" t="str">
        <f>'Form responses 1'!AR218</f>
        <v/>
      </c>
    </row>
    <row r="217">
      <c r="A217" s="26">
        <f>'Form responses 1'!B219</f>
        <v>46063</v>
      </c>
      <c r="B217" s="4" t="str">
        <f>'Form responses 1'!AZ219</f>
        <v>chanakya.inugala@capsdelivery.com</v>
      </c>
      <c r="C217" s="4" t="str">
        <f>'Form responses 1'!BR219</f>
        <v>Vasireddy swagruha foods </v>
      </c>
      <c r="D217" s="4" t="str">
        <f>'Form responses 1'!AT219</f>
        <v/>
      </c>
      <c r="E217" s="4" t="str">
        <f>'Form responses 1'!AU219</f>
        <v>Yes</v>
      </c>
      <c r="F217" s="4" t="str">
        <f>'Form responses 1'!AX219</f>
        <v/>
      </c>
      <c r="G217" s="4" t="str">
        <f>'Form responses 1'!AY219</f>
        <v/>
      </c>
      <c r="H217" s="53" t="str">
        <f>'Form responses 1'!AW219</f>
        <v/>
      </c>
      <c r="I217" s="4" t="str">
        <f>'Form responses 1'!AS219</f>
        <v/>
      </c>
      <c r="J217" s="4" t="str">
        <f>'Form responses 1'!J219</f>
        <v>Tier-3 ( AOV&lt;200 )</v>
      </c>
      <c r="K217" s="4">
        <f>'Form responses 1'!G219</f>
        <v>500</v>
      </c>
      <c r="L217" s="4">
        <f>'Form responses 1'!F219</f>
        <v>5</v>
      </c>
      <c r="M217" s="4" t="str">
        <f>'Form responses 1'!U219</f>
        <v>Upendra </v>
      </c>
      <c r="N217" s="4">
        <f>'Form responses 1'!V219</f>
        <v>9949429494</v>
      </c>
      <c r="O217" s="4" t="str">
        <f>'Form responses 1'!W219</f>
        <v>Na</v>
      </c>
      <c r="P217" s="4" t="str">
        <f>'Form responses 1'!X219</f>
        <v/>
      </c>
      <c r="Q217" s="4" t="str">
        <f>'Form responses 1'!Y219</f>
        <v/>
      </c>
      <c r="R217" s="4" t="str">
        <f>'Form responses 1'!Z219</f>
        <v/>
      </c>
      <c r="S217" s="4" t="str">
        <f>'Form responses 1'!AC219</f>
        <v/>
      </c>
      <c r="T217" s="4" t="str">
        <f>'Form responses 1'!AE219</f>
        <v/>
      </c>
      <c r="U217" s="4" t="str">
        <f>'Form responses 1'!AG219</f>
        <v/>
      </c>
      <c r="V217" s="4" t="str">
        <f>'Form responses 1'!AI219</f>
        <v/>
      </c>
      <c r="W217" s="4" t="str">
        <f>'Form responses 1'!AJ219</f>
        <v/>
      </c>
      <c r="X217" s="4" t="str">
        <f>'Form responses 1'!AK219</f>
        <v/>
      </c>
      <c r="Y217" s="4">
        <f t="shared" ref="Y217:AD217" si="216">if(S217&gt;0,1,0)</f>
        <v>0</v>
      </c>
      <c r="Z217" s="4">
        <f t="shared" si="216"/>
        <v>0</v>
      </c>
      <c r="AA217" s="4">
        <f t="shared" si="216"/>
        <v>0</v>
      </c>
      <c r="AB217" s="4">
        <f t="shared" si="216"/>
        <v>0</v>
      </c>
      <c r="AC217" s="4">
        <f t="shared" si="216"/>
        <v>0</v>
      </c>
      <c r="AD217" s="4">
        <f t="shared" si="216"/>
        <v>0</v>
      </c>
      <c r="AE217" s="4" t="str">
        <f>'Form responses 1'!AN219</f>
        <v/>
      </c>
      <c r="AF217" s="4" t="str">
        <f>'Form responses 1'!AO219</f>
        <v/>
      </c>
      <c r="AG217" s="4" t="str">
        <f>'Form responses 1'!AP219</f>
        <v/>
      </c>
      <c r="AH217" s="4" t="str">
        <f>'Form responses 1'!AQ219</f>
        <v/>
      </c>
      <c r="AI217" s="4" t="str">
        <f>'Form responses 1'!AR219</f>
        <v/>
      </c>
    </row>
    <row r="218">
      <c r="A218" s="26">
        <f>'Form responses 1'!B220</f>
        <v>46063</v>
      </c>
      <c r="B218" s="4" t="str">
        <f>'Form responses 1'!AZ220</f>
        <v>chanakya.inugala@capsdelivery.com</v>
      </c>
      <c r="C218" s="4" t="str">
        <f>'Form responses 1'!BR220</f>
        <v>Mandi king </v>
      </c>
      <c r="D218" s="4" t="str">
        <f>'Form responses 1'!AT220</f>
        <v/>
      </c>
      <c r="E218" s="4" t="str">
        <f>'Form responses 1'!AU220</f>
        <v>Yes</v>
      </c>
      <c r="F218" s="4" t="str">
        <f>'Form responses 1'!AX220</f>
        <v/>
      </c>
      <c r="G218" s="4" t="str">
        <f>'Form responses 1'!AY220</f>
        <v/>
      </c>
      <c r="H218" s="53" t="str">
        <f>'Form responses 1'!AW220</f>
        <v/>
      </c>
      <c r="I218" s="4" t="str">
        <f>'Form responses 1'!AS220</f>
        <v/>
      </c>
      <c r="J218" s="4" t="str">
        <f>'Form responses 1'!J220</f>
        <v>Tier-3 ( AOV&lt;200 )</v>
      </c>
      <c r="K218" s="4">
        <f>'Form responses 1'!G220</f>
        <v>300</v>
      </c>
      <c r="L218" s="4">
        <f>'Form responses 1'!F220</f>
        <v>30</v>
      </c>
      <c r="M218" s="4" t="str">
        <f>'Form responses 1'!U220</f>
        <v>Ashwaq</v>
      </c>
      <c r="N218" s="4">
        <f>'Form responses 1'!V220</f>
        <v>8985909898</v>
      </c>
      <c r="O218" s="4" t="str">
        <f>'Form responses 1'!W220</f>
        <v>Na</v>
      </c>
      <c r="P218" s="4" t="str">
        <f>'Form responses 1'!X220</f>
        <v/>
      </c>
      <c r="Q218" s="4" t="str">
        <f>'Form responses 1'!Y220</f>
        <v/>
      </c>
      <c r="R218" s="4" t="str">
        <f>'Form responses 1'!Z220</f>
        <v/>
      </c>
      <c r="S218" s="4" t="str">
        <f>'Form responses 1'!AC220</f>
        <v/>
      </c>
      <c r="T218" s="4" t="str">
        <f>'Form responses 1'!AE220</f>
        <v/>
      </c>
      <c r="U218" s="4" t="str">
        <f>'Form responses 1'!AG220</f>
        <v/>
      </c>
      <c r="V218" s="4" t="str">
        <f>'Form responses 1'!AI220</f>
        <v/>
      </c>
      <c r="W218" s="4" t="str">
        <f>'Form responses 1'!AJ220</f>
        <v/>
      </c>
      <c r="X218" s="4" t="str">
        <f>'Form responses 1'!AK220</f>
        <v/>
      </c>
      <c r="Y218" s="4">
        <f t="shared" ref="Y218:AD218" si="217">if(S218&gt;0,1,0)</f>
        <v>0</v>
      </c>
      <c r="Z218" s="4">
        <f t="shared" si="217"/>
        <v>0</v>
      </c>
      <c r="AA218" s="4">
        <f t="shared" si="217"/>
        <v>0</v>
      </c>
      <c r="AB218" s="4">
        <f t="shared" si="217"/>
        <v>0</v>
      </c>
      <c r="AC218" s="4">
        <f t="shared" si="217"/>
        <v>0</v>
      </c>
      <c r="AD218" s="4">
        <f t="shared" si="217"/>
        <v>0</v>
      </c>
      <c r="AE218" s="4" t="str">
        <f>'Form responses 1'!AN220</f>
        <v/>
      </c>
      <c r="AF218" s="4" t="str">
        <f>'Form responses 1'!AO220</f>
        <v/>
      </c>
      <c r="AG218" s="4" t="str">
        <f>'Form responses 1'!AP220</f>
        <v/>
      </c>
      <c r="AH218" s="4" t="str">
        <f>'Form responses 1'!AQ220</f>
        <v/>
      </c>
      <c r="AI218" s="4" t="str">
        <f>'Form responses 1'!AR220</f>
        <v/>
      </c>
    </row>
    <row r="219">
      <c r="A219" s="26">
        <f>'Form responses 1'!B221</f>
        <v>46064</v>
      </c>
      <c r="B219" s="4" t="str">
        <f>'Form responses 1'!AZ221</f>
        <v>chanakya.inugala@capsdelivery.com</v>
      </c>
      <c r="C219" s="4" t="str">
        <f>'Form responses 1'!BR221</f>
        <v>Good Flipping Burgers </v>
      </c>
      <c r="D219" s="4" t="str">
        <f>'Form responses 1'!AT221</f>
        <v/>
      </c>
      <c r="E219" s="4" t="str">
        <f>'Form responses 1'!AU221</f>
        <v>Yes</v>
      </c>
      <c r="F219" s="4" t="str">
        <f>'Form responses 1'!AX221</f>
        <v/>
      </c>
      <c r="G219" s="4" t="str">
        <f>'Form responses 1'!AY221</f>
        <v/>
      </c>
      <c r="H219" s="53" t="str">
        <f>'Form responses 1'!AW221</f>
        <v/>
      </c>
      <c r="I219" s="4" t="str">
        <f>'Form responses 1'!AS221</f>
        <v/>
      </c>
      <c r="J219" s="4" t="str">
        <f>'Form responses 1'!J221</f>
        <v>Tier-2 (AOV &lt;400)</v>
      </c>
      <c r="K219" s="4">
        <f>'Form responses 1'!G221</f>
        <v>400</v>
      </c>
      <c r="L219" s="4">
        <f>'Form responses 1'!F221</f>
        <v>3</v>
      </c>
      <c r="M219" s="4" t="str">
        <f>'Form responses 1'!U221</f>
        <v>Na</v>
      </c>
      <c r="N219" s="4" t="str">
        <f>'Form responses 1'!V221</f>
        <v>Na</v>
      </c>
      <c r="O219" s="4" t="str">
        <f>'Form responses 1'!W221</f>
        <v>Na</v>
      </c>
      <c r="P219" s="4" t="str">
        <f>'Form responses 1'!X221</f>
        <v/>
      </c>
      <c r="Q219" s="4" t="str">
        <f>'Form responses 1'!Y221</f>
        <v/>
      </c>
      <c r="R219" s="4" t="str">
        <f>'Form responses 1'!Z221</f>
        <v/>
      </c>
      <c r="S219" s="4" t="str">
        <f>'Form responses 1'!AC221</f>
        <v/>
      </c>
      <c r="T219" s="4" t="str">
        <f>'Form responses 1'!AE221</f>
        <v/>
      </c>
      <c r="U219" s="4" t="str">
        <f>'Form responses 1'!AG221</f>
        <v/>
      </c>
      <c r="V219" s="4" t="str">
        <f>'Form responses 1'!AI221</f>
        <v/>
      </c>
      <c r="W219" s="4" t="str">
        <f>'Form responses 1'!AJ221</f>
        <v/>
      </c>
      <c r="X219" s="4" t="str">
        <f>'Form responses 1'!AK221</f>
        <v/>
      </c>
      <c r="Y219" s="4">
        <f t="shared" ref="Y219:AD219" si="218">if(S219&gt;0,1,0)</f>
        <v>0</v>
      </c>
      <c r="Z219" s="4">
        <f t="shared" si="218"/>
        <v>0</v>
      </c>
      <c r="AA219" s="4">
        <f t="shared" si="218"/>
        <v>0</v>
      </c>
      <c r="AB219" s="4">
        <f t="shared" si="218"/>
        <v>0</v>
      </c>
      <c r="AC219" s="4">
        <f t="shared" si="218"/>
        <v>0</v>
      </c>
      <c r="AD219" s="4">
        <f t="shared" si="218"/>
        <v>0</v>
      </c>
      <c r="AE219" s="4" t="str">
        <f>'Form responses 1'!AN221</f>
        <v/>
      </c>
      <c r="AF219" s="4" t="str">
        <f>'Form responses 1'!AO221</f>
        <v/>
      </c>
      <c r="AG219" s="4" t="str">
        <f>'Form responses 1'!AP221</f>
        <v/>
      </c>
      <c r="AH219" s="4" t="str">
        <f>'Form responses 1'!AQ221</f>
        <v/>
      </c>
      <c r="AI219" s="4" t="str">
        <f>'Form responses 1'!AR221</f>
        <v/>
      </c>
    </row>
    <row r="220">
      <c r="A220" s="26">
        <f>'Form responses 1'!B222</f>
        <v>46064</v>
      </c>
      <c r="B220" s="4" t="str">
        <f>'Form responses 1'!AZ222</f>
        <v>chanakya.inugala@capsdelivery.com</v>
      </c>
      <c r="C220" s="4" t="str">
        <f>'Form responses 1'!BR222</f>
        <v>Girl friend mandi </v>
      </c>
      <c r="D220" s="4" t="str">
        <f>'Form responses 1'!AT222</f>
        <v/>
      </c>
      <c r="E220" s="4" t="str">
        <f>'Form responses 1'!AU222</f>
        <v>Yes</v>
      </c>
      <c r="F220" s="4" t="str">
        <f>'Form responses 1'!AX222</f>
        <v/>
      </c>
      <c r="G220" s="4" t="str">
        <f>'Form responses 1'!AY222</f>
        <v/>
      </c>
      <c r="H220" s="53" t="str">
        <f>'Form responses 1'!AW222</f>
        <v/>
      </c>
      <c r="I220" s="4" t="str">
        <f>'Form responses 1'!AS222</f>
        <v/>
      </c>
      <c r="J220" s="4" t="str">
        <f>'Form responses 1'!J222</f>
        <v>Tier-2 (AOV &lt;400)</v>
      </c>
      <c r="K220" s="4">
        <f>'Form responses 1'!G222</f>
        <v>250</v>
      </c>
      <c r="L220" s="4">
        <f>'Form responses 1'!F222</f>
        <v>30</v>
      </c>
      <c r="M220" s="4" t="str">
        <f>'Form responses 1'!U222</f>
        <v>Nasir</v>
      </c>
      <c r="N220" s="4">
        <f>'Form responses 1'!V222</f>
        <v>8886904546</v>
      </c>
      <c r="O220" s="4" t="str">
        <f>'Form responses 1'!W222</f>
        <v>Na</v>
      </c>
      <c r="P220" s="4" t="str">
        <f>'Form responses 1'!X222</f>
        <v/>
      </c>
      <c r="Q220" s="4" t="str">
        <f>'Form responses 1'!Y222</f>
        <v/>
      </c>
      <c r="R220" s="4" t="str">
        <f>'Form responses 1'!Z222</f>
        <v/>
      </c>
      <c r="S220" s="4" t="str">
        <f>'Form responses 1'!AC222</f>
        <v/>
      </c>
      <c r="T220" s="4" t="str">
        <f>'Form responses 1'!AE222</f>
        <v/>
      </c>
      <c r="U220" s="4" t="str">
        <f>'Form responses 1'!AG222</f>
        <v/>
      </c>
      <c r="V220" s="4" t="str">
        <f>'Form responses 1'!AI222</f>
        <v/>
      </c>
      <c r="W220" s="4" t="str">
        <f>'Form responses 1'!AJ222</f>
        <v/>
      </c>
      <c r="X220" s="4" t="str">
        <f>'Form responses 1'!AK222</f>
        <v/>
      </c>
      <c r="Y220" s="4">
        <f t="shared" ref="Y220:AD220" si="219">if(S220&gt;0,1,0)</f>
        <v>0</v>
      </c>
      <c r="Z220" s="4">
        <f t="shared" si="219"/>
        <v>0</v>
      </c>
      <c r="AA220" s="4">
        <f t="shared" si="219"/>
        <v>0</v>
      </c>
      <c r="AB220" s="4">
        <f t="shared" si="219"/>
        <v>0</v>
      </c>
      <c r="AC220" s="4">
        <f t="shared" si="219"/>
        <v>0</v>
      </c>
      <c r="AD220" s="4">
        <f t="shared" si="219"/>
        <v>0</v>
      </c>
      <c r="AE220" s="4" t="str">
        <f>'Form responses 1'!AN222</f>
        <v/>
      </c>
      <c r="AF220" s="4" t="str">
        <f>'Form responses 1'!AO222</f>
        <v/>
      </c>
      <c r="AG220" s="4" t="str">
        <f>'Form responses 1'!AP222</f>
        <v/>
      </c>
      <c r="AH220" s="4" t="str">
        <f>'Form responses 1'!AQ222</f>
        <v/>
      </c>
      <c r="AI220" s="4" t="str">
        <f>'Form responses 1'!AR222</f>
        <v/>
      </c>
    </row>
    <row r="221">
      <c r="A221" s="26">
        <f>'Form responses 1'!B223</f>
        <v>46063</v>
      </c>
      <c r="B221" s="4" t="str">
        <f>'Form responses 1'!AZ223</f>
        <v>chanakya.inugala@capsdelivery.com</v>
      </c>
      <c r="C221" s="4" t="str">
        <f>'Form responses 1'!BR223</f>
        <v>Babai Hotel </v>
      </c>
      <c r="D221" s="4" t="str">
        <f>'Form responses 1'!AT223</f>
        <v/>
      </c>
      <c r="E221" s="4" t="str">
        <f>'Form responses 1'!AU223</f>
        <v>Yes</v>
      </c>
      <c r="F221" s="4" t="str">
        <f>'Form responses 1'!AX223</f>
        <v/>
      </c>
      <c r="G221" s="4" t="str">
        <f>'Form responses 1'!AY223</f>
        <v/>
      </c>
      <c r="H221" s="53" t="str">
        <f>'Form responses 1'!AW223</f>
        <v/>
      </c>
      <c r="I221" s="4" t="str">
        <f>'Form responses 1'!AS223</f>
        <v/>
      </c>
      <c r="J221" s="4" t="str">
        <f>'Form responses 1'!J223</f>
        <v>Tier-2 (AOV &lt;400)</v>
      </c>
      <c r="K221" s="4">
        <f>'Form responses 1'!G223</f>
        <v>300</v>
      </c>
      <c r="L221" s="4">
        <f>'Form responses 1'!F223</f>
        <v>20</v>
      </c>
      <c r="M221" s="4" t="str">
        <f>'Form responses 1'!U223</f>
        <v>Dinesh reddy </v>
      </c>
      <c r="N221" s="4">
        <f>'Form responses 1'!V223</f>
        <v>9908199083</v>
      </c>
      <c r="O221" s="4" t="str">
        <f>'Form responses 1'!W223</f>
        <v>Na</v>
      </c>
      <c r="P221" s="4" t="str">
        <f>'Form responses 1'!X223</f>
        <v/>
      </c>
      <c r="Q221" s="4" t="str">
        <f>'Form responses 1'!Y223</f>
        <v/>
      </c>
      <c r="R221" s="4" t="str">
        <f>'Form responses 1'!Z223</f>
        <v/>
      </c>
      <c r="S221" s="4" t="str">
        <f>'Form responses 1'!AC223</f>
        <v/>
      </c>
      <c r="T221" s="4" t="str">
        <f>'Form responses 1'!AE223</f>
        <v/>
      </c>
      <c r="U221" s="4" t="str">
        <f>'Form responses 1'!AG223</f>
        <v/>
      </c>
      <c r="V221" s="4" t="str">
        <f>'Form responses 1'!AI223</f>
        <v/>
      </c>
      <c r="W221" s="4" t="str">
        <f>'Form responses 1'!AJ223</f>
        <v/>
      </c>
      <c r="X221" s="4" t="str">
        <f>'Form responses 1'!AK223</f>
        <v/>
      </c>
      <c r="Y221" s="4">
        <f t="shared" ref="Y221:AD221" si="220">if(S221&gt;0,1,0)</f>
        <v>0</v>
      </c>
      <c r="Z221" s="4">
        <f t="shared" si="220"/>
        <v>0</v>
      </c>
      <c r="AA221" s="4">
        <f t="shared" si="220"/>
        <v>0</v>
      </c>
      <c r="AB221" s="4">
        <f t="shared" si="220"/>
        <v>0</v>
      </c>
      <c r="AC221" s="4">
        <f t="shared" si="220"/>
        <v>0</v>
      </c>
      <c r="AD221" s="4">
        <f t="shared" si="220"/>
        <v>0</v>
      </c>
      <c r="AE221" s="4" t="str">
        <f>'Form responses 1'!AN223</f>
        <v/>
      </c>
      <c r="AF221" s="4" t="str">
        <f>'Form responses 1'!AO223</f>
        <v/>
      </c>
      <c r="AG221" s="4" t="str">
        <f>'Form responses 1'!AP223</f>
        <v/>
      </c>
      <c r="AH221" s="4" t="str">
        <f>'Form responses 1'!AQ223</f>
        <v/>
      </c>
      <c r="AI221" s="4" t="str">
        <f>'Form responses 1'!AR223</f>
        <v/>
      </c>
    </row>
    <row r="222">
      <c r="A222" s="26">
        <f>'Form responses 1'!B224</f>
        <v>46063</v>
      </c>
      <c r="B222" s="4" t="str">
        <f>'Form responses 1'!AZ224</f>
        <v>chanakya.inugala@capsdelivery.com</v>
      </c>
      <c r="C222" s="4" t="str">
        <f>'Form responses 1'!BR224</f>
        <v>Vela Bites</v>
      </c>
      <c r="D222" s="4" t="str">
        <f>'Form responses 1'!AT224</f>
        <v/>
      </c>
      <c r="E222" s="4" t="str">
        <f>'Form responses 1'!AU224</f>
        <v>Yes</v>
      </c>
      <c r="F222" s="4" t="str">
        <f>'Form responses 1'!AX224</f>
        <v/>
      </c>
      <c r="G222" s="4" t="str">
        <f>'Form responses 1'!AY224</f>
        <v/>
      </c>
      <c r="H222" s="53" t="str">
        <f>'Form responses 1'!AW224</f>
        <v/>
      </c>
      <c r="I222" s="4" t="str">
        <f>'Form responses 1'!AS224</f>
        <v/>
      </c>
      <c r="J222" s="4" t="str">
        <f>'Form responses 1'!J224</f>
        <v/>
      </c>
      <c r="K222" s="4" t="str">
        <f>'Form responses 1'!G224</f>
        <v/>
      </c>
      <c r="L222" s="4" t="str">
        <f>'Form responses 1'!F224</f>
        <v/>
      </c>
      <c r="M222" s="4" t="str">
        <f>'Form responses 1'!U224</f>
        <v>Akhil reddy</v>
      </c>
      <c r="N222" s="4">
        <f>'Form responses 1'!V224</f>
        <v>9059810130</v>
      </c>
      <c r="O222" s="4" t="str">
        <f>'Form responses 1'!W224</f>
        <v>Na</v>
      </c>
      <c r="P222" s="4" t="str">
        <f>'Form responses 1'!X224</f>
        <v/>
      </c>
      <c r="Q222" s="4" t="str">
        <f>'Form responses 1'!Y224</f>
        <v/>
      </c>
      <c r="R222" s="4" t="str">
        <f>'Form responses 1'!Z224</f>
        <v/>
      </c>
      <c r="S222" s="4" t="str">
        <f>'Form responses 1'!AC224</f>
        <v/>
      </c>
      <c r="T222" s="4" t="str">
        <f>'Form responses 1'!AE224</f>
        <v/>
      </c>
      <c r="U222" s="4" t="str">
        <f>'Form responses 1'!AG224</f>
        <v/>
      </c>
      <c r="V222" s="4" t="str">
        <f>'Form responses 1'!AI224</f>
        <v/>
      </c>
      <c r="W222" s="4" t="str">
        <f>'Form responses 1'!AJ224</f>
        <v/>
      </c>
      <c r="X222" s="4" t="str">
        <f>'Form responses 1'!AK224</f>
        <v/>
      </c>
      <c r="Y222" s="4">
        <f t="shared" ref="Y222:AD222" si="221">if(S222&gt;0,1,0)</f>
        <v>0</v>
      </c>
      <c r="Z222" s="4">
        <f t="shared" si="221"/>
        <v>0</v>
      </c>
      <c r="AA222" s="4">
        <f t="shared" si="221"/>
        <v>0</v>
      </c>
      <c r="AB222" s="4">
        <f t="shared" si="221"/>
        <v>0</v>
      </c>
      <c r="AC222" s="4">
        <f t="shared" si="221"/>
        <v>0</v>
      </c>
      <c r="AD222" s="4">
        <f t="shared" si="221"/>
        <v>0</v>
      </c>
      <c r="AE222" s="4" t="str">
        <f>'Form responses 1'!AN224</f>
        <v/>
      </c>
      <c r="AF222" s="4" t="str">
        <f>'Form responses 1'!AO224</f>
        <v/>
      </c>
      <c r="AG222" s="4" t="str">
        <f>'Form responses 1'!AP224</f>
        <v/>
      </c>
      <c r="AH222" s="4" t="str">
        <f>'Form responses 1'!AQ224</f>
        <v/>
      </c>
      <c r="AI222" s="4" t="str">
        <f>'Form responses 1'!AR224</f>
        <v/>
      </c>
    </row>
    <row r="223">
      <c r="A223" s="26">
        <f>'Form responses 1'!B225</f>
        <v>46064</v>
      </c>
      <c r="B223" s="4" t="str">
        <f>'Form responses 1'!AZ225</f>
        <v>chanakya.inugala@capsdelivery.com</v>
      </c>
      <c r="C223" s="4" t="str">
        <f>'Form responses 1'!BR225</f>
        <v>Hotel inner circle</v>
      </c>
      <c r="D223" s="4" t="str">
        <f>'Form responses 1'!AT225</f>
        <v/>
      </c>
      <c r="E223" s="4" t="str">
        <f>'Form responses 1'!AU225</f>
        <v>Yes</v>
      </c>
      <c r="F223" s="4" t="str">
        <f>'Form responses 1'!AX225</f>
        <v/>
      </c>
      <c r="G223" s="4" t="str">
        <f>'Form responses 1'!AY225</f>
        <v/>
      </c>
      <c r="H223" s="53" t="str">
        <f>'Form responses 1'!AW225</f>
        <v/>
      </c>
      <c r="I223" s="4" t="str">
        <f>'Form responses 1'!AS225</f>
        <v/>
      </c>
      <c r="J223" s="4" t="str">
        <f>'Form responses 1'!J225</f>
        <v>Tier-2 (AOV &lt;400)</v>
      </c>
      <c r="K223" s="4">
        <f>'Form responses 1'!G225</f>
        <v>500</v>
      </c>
      <c r="L223" s="4">
        <f>'Form responses 1'!F225</f>
        <v>100</v>
      </c>
      <c r="M223" s="4" t="str">
        <f>'Form responses 1'!U225</f>
        <v>Ibrahim Khan </v>
      </c>
      <c r="N223" s="4">
        <f>'Form responses 1'!V225</f>
        <v>9010924000</v>
      </c>
      <c r="O223" s="4" t="str">
        <f>'Form responses 1'!W225</f>
        <v>Na</v>
      </c>
      <c r="P223" s="4" t="str">
        <f>'Form responses 1'!X225</f>
        <v/>
      </c>
      <c r="Q223" s="4" t="str">
        <f>'Form responses 1'!Y225</f>
        <v/>
      </c>
      <c r="R223" s="4" t="str">
        <f>'Form responses 1'!Z225</f>
        <v/>
      </c>
      <c r="S223" s="4" t="str">
        <f>'Form responses 1'!AC225</f>
        <v/>
      </c>
      <c r="T223" s="4" t="str">
        <f>'Form responses 1'!AE225</f>
        <v/>
      </c>
      <c r="U223" s="4" t="str">
        <f>'Form responses 1'!AG225</f>
        <v/>
      </c>
      <c r="V223" s="4" t="str">
        <f>'Form responses 1'!AI225</f>
        <v/>
      </c>
      <c r="W223" s="4" t="str">
        <f>'Form responses 1'!AJ225</f>
        <v/>
      </c>
      <c r="X223" s="4" t="str">
        <f>'Form responses 1'!AK225</f>
        <v/>
      </c>
      <c r="Y223" s="4">
        <f t="shared" ref="Y223:AD223" si="222">if(S223&gt;0,1,0)</f>
        <v>0</v>
      </c>
      <c r="Z223" s="4">
        <f t="shared" si="222"/>
        <v>0</v>
      </c>
      <c r="AA223" s="4">
        <f t="shared" si="222"/>
        <v>0</v>
      </c>
      <c r="AB223" s="4">
        <f t="shared" si="222"/>
        <v>0</v>
      </c>
      <c r="AC223" s="4">
        <f t="shared" si="222"/>
        <v>0</v>
      </c>
      <c r="AD223" s="4">
        <f t="shared" si="222"/>
        <v>0</v>
      </c>
      <c r="AE223" s="4" t="str">
        <f>'Form responses 1'!AN225</f>
        <v/>
      </c>
      <c r="AF223" s="4" t="str">
        <f>'Form responses 1'!AO225</f>
        <v/>
      </c>
      <c r="AG223" s="4" t="str">
        <f>'Form responses 1'!AP225</f>
        <v/>
      </c>
      <c r="AH223" s="4" t="str">
        <f>'Form responses 1'!AQ225</f>
        <v/>
      </c>
      <c r="AI223" s="4" t="str">
        <f>'Form responses 1'!AR225</f>
        <v/>
      </c>
    </row>
    <row r="224">
      <c r="A224" s="26">
        <f>'Form responses 1'!B226</f>
        <v>46063</v>
      </c>
      <c r="B224" s="4" t="str">
        <f>'Form responses 1'!AZ226</f>
        <v>chanakya.inugala@capsdelivery.com</v>
      </c>
      <c r="C224" s="4" t="str">
        <f>'Form responses 1'!BR226</f>
        <v>Brew Commune and Bistro </v>
      </c>
      <c r="D224" s="4" t="str">
        <f>'Form responses 1'!AT226</f>
        <v>Onboarded </v>
      </c>
      <c r="E224" s="4" t="str">
        <f>'Form responses 1'!AU226</f>
        <v>No</v>
      </c>
      <c r="F224" s="4" t="str">
        <f>'Form responses 1'!AX226</f>
        <v/>
      </c>
      <c r="G224" s="4" t="str">
        <f>'Form responses 1'!AY226</f>
        <v/>
      </c>
      <c r="H224" s="53" t="str">
        <f>'Form responses 1'!AW226</f>
        <v/>
      </c>
      <c r="I224" s="4" t="str">
        <f>'Form responses 1'!AS226</f>
        <v/>
      </c>
      <c r="J224" s="4" t="str">
        <f>'Form responses 1'!J226</f>
        <v>Tier-3 ( AOV&lt;200 )</v>
      </c>
      <c r="K224" s="4">
        <f>'Form responses 1'!G226</f>
        <v>200</v>
      </c>
      <c r="L224" s="4">
        <f>'Form responses 1'!F226</f>
        <v>30</v>
      </c>
      <c r="M224" s="4" t="str">
        <f>'Form responses 1'!U226</f>
        <v>Triveni </v>
      </c>
      <c r="N224" s="4">
        <f>'Form responses 1'!V226</f>
        <v>8333833299</v>
      </c>
      <c r="O224" s="4" t="str">
        <f>'Form responses 1'!W226</f>
        <v>Na</v>
      </c>
      <c r="P224" s="4" t="str">
        <f>'Form responses 1'!X226</f>
        <v/>
      </c>
      <c r="Q224" s="4" t="str">
        <f>'Form responses 1'!Y226</f>
        <v/>
      </c>
      <c r="R224" s="4" t="str">
        <f>'Form responses 1'!Z226</f>
        <v/>
      </c>
      <c r="S224" s="4" t="str">
        <f>'Form responses 1'!AC226</f>
        <v/>
      </c>
      <c r="T224" s="4" t="str">
        <f>'Form responses 1'!AE226</f>
        <v/>
      </c>
      <c r="U224" s="4" t="str">
        <f>'Form responses 1'!AG226</f>
        <v/>
      </c>
      <c r="V224" s="4" t="str">
        <f>'Form responses 1'!AI226</f>
        <v/>
      </c>
      <c r="W224" s="4" t="str">
        <f>'Form responses 1'!AJ226</f>
        <v/>
      </c>
      <c r="X224" s="4" t="str">
        <f>'Form responses 1'!AK226</f>
        <v/>
      </c>
      <c r="Y224" s="4">
        <f t="shared" ref="Y224:AD224" si="223">if(S224&gt;0,1,0)</f>
        <v>0</v>
      </c>
      <c r="Z224" s="4">
        <f t="shared" si="223"/>
        <v>0</v>
      </c>
      <c r="AA224" s="4">
        <f t="shared" si="223"/>
        <v>0</v>
      </c>
      <c r="AB224" s="4">
        <f t="shared" si="223"/>
        <v>0</v>
      </c>
      <c r="AC224" s="4">
        <f t="shared" si="223"/>
        <v>0</v>
      </c>
      <c r="AD224" s="4">
        <f t="shared" si="223"/>
        <v>0</v>
      </c>
      <c r="AE224" s="4" t="str">
        <f>'Form responses 1'!AN226</f>
        <v/>
      </c>
      <c r="AF224" s="4" t="str">
        <f>'Form responses 1'!AO226</f>
        <v/>
      </c>
      <c r="AG224" s="4" t="str">
        <f>'Form responses 1'!AP226</f>
        <v/>
      </c>
      <c r="AH224" s="4" t="str">
        <f>'Form responses 1'!AQ226</f>
        <v/>
      </c>
      <c r="AI224" s="4" t="str">
        <f>'Form responses 1'!AR226</f>
        <v/>
      </c>
    </row>
    <row r="225">
      <c r="A225" s="26">
        <f>'Form responses 1'!B227</f>
        <v>46063</v>
      </c>
      <c r="B225" s="4" t="str">
        <f>'Form responses 1'!AZ227</f>
        <v>chanakya.inugala@capsdelivery.com</v>
      </c>
      <c r="C225" s="4" t="str">
        <f>'Form responses 1'!BR227</f>
        <v>Polar bear </v>
      </c>
      <c r="D225" s="4" t="str">
        <f>'Form responses 1'!AT227</f>
        <v/>
      </c>
      <c r="E225" s="4" t="str">
        <f>'Form responses 1'!AU227</f>
        <v>Yes</v>
      </c>
      <c r="F225" s="4" t="str">
        <f>'Form responses 1'!AX227</f>
        <v/>
      </c>
      <c r="G225" s="4" t="str">
        <f>'Form responses 1'!AY227</f>
        <v/>
      </c>
      <c r="H225" s="53" t="str">
        <f>'Form responses 1'!AW227</f>
        <v/>
      </c>
      <c r="I225" s="4" t="str">
        <f>'Form responses 1'!AS227</f>
        <v/>
      </c>
      <c r="J225" s="4" t="str">
        <f>'Form responses 1'!J227</f>
        <v>Tier-2 (AOV &lt;400)</v>
      </c>
      <c r="K225" s="4">
        <f>'Form responses 1'!G227</f>
        <v>400</v>
      </c>
      <c r="L225" s="4">
        <f>'Form responses 1'!F227</f>
        <v>20</v>
      </c>
      <c r="M225" s="4" t="str">
        <f>'Form responses 1'!U227</f>
        <v>Na</v>
      </c>
      <c r="N225" s="4" t="str">
        <f>'Form responses 1'!V227</f>
        <v>Na</v>
      </c>
      <c r="O225" s="4" t="str">
        <f>'Form responses 1'!W227</f>
        <v>Na</v>
      </c>
      <c r="P225" s="4" t="str">
        <f>'Form responses 1'!X227</f>
        <v/>
      </c>
      <c r="Q225" s="4" t="str">
        <f>'Form responses 1'!Y227</f>
        <v/>
      </c>
      <c r="R225" s="4" t="str">
        <f>'Form responses 1'!Z227</f>
        <v/>
      </c>
      <c r="S225" s="4" t="str">
        <f>'Form responses 1'!AC227</f>
        <v/>
      </c>
      <c r="T225" s="4" t="str">
        <f>'Form responses 1'!AE227</f>
        <v/>
      </c>
      <c r="U225" s="4" t="str">
        <f>'Form responses 1'!AG227</f>
        <v/>
      </c>
      <c r="V225" s="4" t="str">
        <f>'Form responses 1'!AI227</f>
        <v/>
      </c>
      <c r="W225" s="4" t="str">
        <f>'Form responses 1'!AJ227</f>
        <v/>
      </c>
      <c r="X225" s="4" t="str">
        <f>'Form responses 1'!AK227</f>
        <v/>
      </c>
      <c r="Y225" s="4">
        <f t="shared" ref="Y225:AD225" si="224">if(S225&gt;0,1,0)</f>
        <v>0</v>
      </c>
      <c r="Z225" s="4">
        <f t="shared" si="224"/>
        <v>0</v>
      </c>
      <c r="AA225" s="4">
        <f t="shared" si="224"/>
        <v>0</v>
      </c>
      <c r="AB225" s="4">
        <f t="shared" si="224"/>
        <v>0</v>
      </c>
      <c r="AC225" s="4">
        <f t="shared" si="224"/>
        <v>0</v>
      </c>
      <c r="AD225" s="4">
        <f t="shared" si="224"/>
        <v>0</v>
      </c>
      <c r="AE225" s="4" t="str">
        <f>'Form responses 1'!AN227</f>
        <v/>
      </c>
      <c r="AF225" s="4" t="str">
        <f>'Form responses 1'!AO227</f>
        <v/>
      </c>
      <c r="AG225" s="4" t="str">
        <f>'Form responses 1'!AP227</f>
        <v/>
      </c>
      <c r="AH225" s="4" t="str">
        <f>'Form responses 1'!AQ227</f>
        <v/>
      </c>
      <c r="AI225" s="4" t="str">
        <f>'Form responses 1'!AR227</f>
        <v/>
      </c>
    </row>
    <row r="226">
      <c r="A226" s="26">
        <f>'Form responses 1'!B228</f>
        <v>46062</v>
      </c>
      <c r="B226" s="4" t="str">
        <f>'Form responses 1'!AZ228</f>
        <v>chanakya.inugala@capsdelivery.com</v>
      </c>
      <c r="C226" s="4" t="str">
        <f>'Form responses 1'!BR228</f>
        <v>President Dhaba</v>
      </c>
      <c r="D226" s="4" t="str">
        <f>'Form responses 1'!AT228</f>
        <v/>
      </c>
      <c r="E226" s="4" t="str">
        <f>'Form responses 1'!AU228</f>
        <v>Yes</v>
      </c>
      <c r="F226" s="4" t="str">
        <f>'Form responses 1'!AX228</f>
        <v/>
      </c>
      <c r="G226" s="4" t="str">
        <f>'Form responses 1'!AY228</f>
        <v/>
      </c>
      <c r="H226" s="53" t="str">
        <f>'Form responses 1'!AW228</f>
        <v/>
      </c>
      <c r="I226" s="4" t="str">
        <f>'Form responses 1'!AS228</f>
        <v/>
      </c>
      <c r="J226" s="4" t="str">
        <f>'Form responses 1'!J228</f>
        <v>Tier-3 ( AOV&lt;200 )</v>
      </c>
      <c r="K226" s="4">
        <f>'Form responses 1'!G228</f>
        <v>300</v>
      </c>
      <c r="L226" s="4">
        <f>'Form responses 1'!F228</f>
        <v>50</v>
      </c>
      <c r="M226" s="4" t="str">
        <f>'Form responses 1'!U228</f>
        <v>Nikhil</v>
      </c>
      <c r="N226" s="4">
        <f>'Form responses 1'!V228</f>
        <v>7799956667</v>
      </c>
      <c r="O226" s="4" t="str">
        <f>'Form responses 1'!W228</f>
        <v>Na</v>
      </c>
      <c r="P226" s="4" t="str">
        <f>'Form responses 1'!X228</f>
        <v/>
      </c>
      <c r="Q226" s="4" t="str">
        <f>'Form responses 1'!Y228</f>
        <v/>
      </c>
      <c r="R226" s="4" t="str">
        <f>'Form responses 1'!Z228</f>
        <v/>
      </c>
      <c r="S226" s="4" t="str">
        <f>'Form responses 1'!AC228</f>
        <v/>
      </c>
      <c r="T226" s="4" t="str">
        <f>'Form responses 1'!AE228</f>
        <v/>
      </c>
      <c r="U226" s="4" t="str">
        <f>'Form responses 1'!AG228</f>
        <v/>
      </c>
      <c r="V226" s="4" t="str">
        <f>'Form responses 1'!AI228</f>
        <v/>
      </c>
      <c r="W226" s="4" t="str">
        <f>'Form responses 1'!AJ228</f>
        <v/>
      </c>
      <c r="X226" s="4" t="str">
        <f>'Form responses 1'!AK228</f>
        <v/>
      </c>
      <c r="Y226" s="4">
        <f t="shared" ref="Y226:AD226" si="225">if(S226&gt;0,1,0)</f>
        <v>0</v>
      </c>
      <c r="Z226" s="4">
        <f t="shared" si="225"/>
        <v>0</v>
      </c>
      <c r="AA226" s="4">
        <f t="shared" si="225"/>
        <v>0</v>
      </c>
      <c r="AB226" s="4">
        <f t="shared" si="225"/>
        <v>0</v>
      </c>
      <c r="AC226" s="4">
        <f t="shared" si="225"/>
        <v>0</v>
      </c>
      <c r="AD226" s="4">
        <f t="shared" si="225"/>
        <v>0</v>
      </c>
      <c r="AE226" s="4" t="str">
        <f>'Form responses 1'!AN228</f>
        <v/>
      </c>
      <c r="AF226" s="4" t="str">
        <f>'Form responses 1'!AO228</f>
        <v/>
      </c>
      <c r="AG226" s="4" t="str">
        <f>'Form responses 1'!AP228</f>
        <v/>
      </c>
      <c r="AH226" s="4" t="str">
        <f>'Form responses 1'!AQ228</f>
        <v/>
      </c>
      <c r="AI226" s="4" t="str">
        <f>'Form responses 1'!AR228</f>
        <v/>
      </c>
    </row>
    <row r="227">
      <c r="A227" s="26">
        <f>'Form responses 1'!B229</f>
        <v>46062</v>
      </c>
      <c r="B227" s="4" t="str">
        <f>'Form responses 1'!AZ229</f>
        <v>chanakya.inugala@capsdelivery.com</v>
      </c>
      <c r="C227" s="4" t="str">
        <f>'Form responses 1'!BR229</f>
        <v>kush mandi</v>
      </c>
      <c r="D227" s="4" t="str">
        <f>'Form responses 1'!AT229</f>
        <v/>
      </c>
      <c r="E227" s="4" t="str">
        <f>'Form responses 1'!AU229</f>
        <v>Yes</v>
      </c>
      <c r="F227" s="26">
        <f>'Form responses 1'!AX229</f>
        <v>46065</v>
      </c>
      <c r="G227" s="52">
        <f>'Form responses 1'!AY229</f>
        <v>0.7083333333</v>
      </c>
      <c r="H227" s="53" t="str">
        <f>'Form responses 1'!AW229</f>
        <v/>
      </c>
      <c r="I227" s="4" t="str">
        <f>'Form responses 1'!AS229</f>
        <v/>
      </c>
      <c r="J227" s="4" t="str">
        <f>'Form responses 1'!J229</f>
        <v>Tier-3 ( AOV&lt;200 )</v>
      </c>
      <c r="K227" s="4">
        <f>'Form responses 1'!G229</f>
        <v>300</v>
      </c>
      <c r="L227" s="4">
        <f>'Form responses 1'!F229</f>
        <v>30</v>
      </c>
      <c r="M227" s="4" t="str">
        <f>'Form responses 1'!U229</f>
        <v>Na</v>
      </c>
      <c r="N227" s="4">
        <f>'Form responses 1'!V229</f>
        <v>9908662728</v>
      </c>
      <c r="O227" s="4" t="str">
        <f>'Form responses 1'!W229</f>
        <v>na</v>
      </c>
      <c r="P227" s="4" t="str">
        <f>'Form responses 1'!X229</f>
        <v/>
      </c>
      <c r="Q227" s="4" t="str">
        <f>'Form responses 1'!Y229</f>
        <v/>
      </c>
      <c r="R227" s="4" t="str">
        <f>'Form responses 1'!Z229</f>
        <v/>
      </c>
      <c r="S227" s="4" t="str">
        <f>'Form responses 1'!AC229</f>
        <v/>
      </c>
      <c r="T227" s="4" t="str">
        <f>'Form responses 1'!AE229</f>
        <v/>
      </c>
      <c r="U227" s="4" t="str">
        <f>'Form responses 1'!AG229</f>
        <v/>
      </c>
      <c r="V227" s="4" t="str">
        <f>'Form responses 1'!AI229</f>
        <v/>
      </c>
      <c r="W227" s="4" t="str">
        <f>'Form responses 1'!AJ229</f>
        <v/>
      </c>
      <c r="X227" s="4" t="str">
        <f>'Form responses 1'!AK229</f>
        <v/>
      </c>
      <c r="Y227" s="4">
        <f t="shared" ref="Y227:AD227" si="226">if(S227&gt;0,1,0)</f>
        <v>0</v>
      </c>
      <c r="Z227" s="4">
        <f t="shared" si="226"/>
        <v>0</v>
      </c>
      <c r="AA227" s="4">
        <f t="shared" si="226"/>
        <v>0</v>
      </c>
      <c r="AB227" s="4">
        <f t="shared" si="226"/>
        <v>0</v>
      </c>
      <c r="AC227" s="4">
        <f t="shared" si="226"/>
        <v>0</v>
      </c>
      <c r="AD227" s="4">
        <f t="shared" si="226"/>
        <v>0</v>
      </c>
      <c r="AE227" s="4" t="str">
        <f>'Form responses 1'!AN229</f>
        <v/>
      </c>
      <c r="AF227" s="4" t="str">
        <f>'Form responses 1'!AO229</f>
        <v/>
      </c>
      <c r="AG227" s="4" t="str">
        <f>'Form responses 1'!AP229</f>
        <v/>
      </c>
      <c r="AH227" s="4" t="str">
        <f>'Form responses 1'!AQ229</f>
        <v/>
      </c>
      <c r="AI227" s="4" t="str">
        <f>'Form responses 1'!AR229</f>
        <v/>
      </c>
    </row>
    <row r="228">
      <c r="A228" s="26">
        <f>'Form responses 1'!B230</f>
        <v>46059</v>
      </c>
      <c r="B228" s="4" t="str">
        <f>'Form responses 1'!AZ230</f>
        <v>chanakya.inugala@capsdelivery.com</v>
      </c>
      <c r="C228" s="4" t="str">
        <f>'Form responses 1'!BR230</f>
        <v>ADHIRATH</v>
      </c>
      <c r="D228" s="4" t="str">
        <f>'Form responses 1'!AT230</f>
        <v/>
      </c>
      <c r="E228" s="4" t="str">
        <f>'Form responses 1'!AU230</f>
        <v>Yes</v>
      </c>
      <c r="F228" s="4" t="str">
        <f>'Form responses 1'!AX230</f>
        <v/>
      </c>
      <c r="G228" s="4" t="str">
        <f>'Form responses 1'!AY230</f>
        <v/>
      </c>
      <c r="H228" s="53" t="str">
        <f>'Form responses 1'!AW230</f>
        <v/>
      </c>
      <c r="I228" s="4" t="str">
        <f>'Form responses 1'!AS230</f>
        <v/>
      </c>
      <c r="J228" s="4" t="str">
        <f>'Form responses 1'!J230</f>
        <v>Tier-2 (AOV &lt;400)</v>
      </c>
      <c r="K228" s="4">
        <f>'Form responses 1'!G230</f>
        <v>300</v>
      </c>
      <c r="L228" s="4">
        <f>'Form responses 1'!F230</f>
        <v>30</v>
      </c>
      <c r="M228" s="4" t="str">
        <f>'Form responses 1'!U230</f>
        <v>MUKESH</v>
      </c>
      <c r="N228" s="4" t="str">
        <f>'Form responses 1'!V230</f>
        <v>NA</v>
      </c>
      <c r="O228" s="4" t="str">
        <f>'Form responses 1'!W230</f>
        <v>NA</v>
      </c>
      <c r="P228" s="4" t="str">
        <f>'Form responses 1'!X230</f>
        <v/>
      </c>
      <c r="Q228" s="4" t="str">
        <f>'Form responses 1'!Y230</f>
        <v/>
      </c>
      <c r="R228" s="4" t="str">
        <f>'Form responses 1'!Z230</f>
        <v/>
      </c>
      <c r="S228" s="4" t="str">
        <f>'Form responses 1'!AC230</f>
        <v/>
      </c>
      <c r="T228" s="4" t="str">
        <f>'Form responses 1'!AE230</f>
        <v/>
      </c>
      <c r="U228" s="4" t="str">
        <f>'Form responses 1'!AG230</f>
        <v/>
      </c>
      <c r="V228" s="4" t="str">
        <f>'Form responses 1'!AI230</f>
        <v/>
      </c>
      <c r="W228" s="4" t="str">
        <f>'Form responses 1'!AJ230</f>
        <v/>
      </c>
      <c r="X228" s="4" t="str">
        <f>'Form responses 1'!AK230</f>
        <v/>
      </c>
      <c r="Y228" s="4">
        <f t="shared" ref="Y228:AD228" si="227">if(S228&gt;0,1,0)</f>
        <v>0</v>
      </c>
      <c r="Z228" s="4">
        <f t="shared" si="227"/>
        <v>0</v>
      </c>
      <c r="AA228" s="4">
        <f t="shared" si="227"/>
        <v>0</v>
      </c>
      <c r="AB228" s="4">
        <f t="shared" si="227"/>
        <v>0</v>
      </c>
      <c r="AC228" s="4">
        <f t="shared" si="227"/>
        <v>0</v>
      </c>
      <c r="AD228" s="4">
        <f t="shared" si="227"/>
        <v>0</v>
      </c>
      <c r="AE228" s="4" t="str">
        <f>'Form responses 1'!AN230</f>
        <v/>
      </c>
      <c r="AF228" s="4" t="str">
        <f>'Form responses 1'!AO230</f>
        <v/>
      </c>
      <c r="AG228" s="4" t="str">
        <f>'Form responses 1'!AP230</f>
        <v/>
      </c>
      <c r="AH228" s="4" t="str">
        <f>'Form responses 1'!AQ230</f>
        <v/>
      </c>
      <c r="AI228" s="4" t="str">
        <f>'Form responses 1'!AR230</f>
        <v/>
      </c>
    </row>
    <row r="229">
      <c r="A229" s="26">
        <f>'Form responses 1'!B231</f>
        <v>46062</v>
      </c>
      <c r="B229" s="4" t="str">
        <f>'Form responses 1'!AZ231</f>
        <v>parthive.maganti@capsdelivery.com</v>
      </c>
      <c r="C229" s="4" t="str">
        <f>'Form responses 1'!BR231</f>
        <v>Na</v>
      </c>
      <c r="D229" s="4" t="str">
        <f>'Form responses 1'!AT231</f>
        <v>N</v>
      </c>
      <c r="E229" s="4" t="str">
        <f>'Form responses 1'!AU231</f>
        <v>No</v>
      </c>
      <c r="F229" s="4" t="str">
        <f>'Form responses 1'!AX231</f>
        <v/>
      </c>
      <c r="G229" s="4" t="str">
        <f>'Form responses 1'!AY231</f>
        <v/>
      </c>
      <c r="H229" s="53" t="str">
        <f>'Form responses 1'!AW231</f>
        <v>Na</v>
      </c>
      <c r="I229" s="4" t="str">
        <f>'Form responses 1'!AS231</f>
        <v>Yes</v>
      </c>
      <c r="J229" s="4" t="str">
        <f>'Form responses 1'!J231</f>
        <v/>
      </c>
      <c r="K229" s="4" t="str">
        <f>'Form responses 1'!G231</f>
        <v/>
      </c>
      <c r="L229" s="4" t="str">
        <f>'Form responses 1'!F231</f>
        <v/>
      </c>
      <c r="M229" s="4" t="str">
        <f>'Form responses 1'!U231</f>
        <v>Ashish kumar </v>
      </c>
      <c r="N229" s="4" t="str">
        <f>'Form responses 1'!V231</f>
        <v>+91 93985 56461</v>
      </c>
      <c r="O229" s="4" t="str">
        <f>'Form responses 1'!W231</f>
        <v>Na</v>
      </c>
      <c r="P229" s="4" t="str">
        <f>'Form responses 1'!X231</f>
        <v/>
      </c>
      <c r="Q229" s="4" t="str">
        <f>'Form responses 1'!Y231</f>
        <v/>
      </c>
      <c r="R229" s="4" t="str">
        <f>'Form responses 1'!Z231</f>
        <v/>
      </c>
      <c r="S229" s="54" t="str">
        <f>'Form responses 1'!AC231</f>
        <v>https://drive.google.com/open?id=1UlTTQTrZr1eADuCSZrV_BPpaH4jLCq_v</v>
      </c>
      <c r="T229" s="54" t="str">
        <f>'Form responses 1'!AE231</f>
        <v>https://drive.google.com/open?id=1C6Yj7irP-AOhQl7Tm9zhPVp-6PeHCotG</v>
      </c>
      <c r="U229" s="54" t="str">
        <f>'Form responses 1'!AG231</f>
        <v>https://drive.google.com/open?id=1CkVgioQfrxvRRy0dt9R1ow16d6h9z3l2</v>
      </c>
      <c r="V229" s="4" t="str">
        <f>'Form responses 1'!AI231</f>
        <v/>
      </c>
      <c r="W229" s="4" t="str">
        <f>'Form responses 1'!AJ231</f>
        <v/>
      </c>
      <c r="X229" s="4" t="str">
        <f>'Form responses 1'!AK231</f>
        <v/>
      </c>
      <c r="Y229" s="4">
        <f t="shared" ref="Y229:AD229" si="228">if(S229&gt;0,1,0)</f>
        <v>1</v>
      </c>
      <c r="Z229" s="4">
        <f t="shared" si="228"/>
        <v>1</v>
      </c>
      <c r="AA229" s="4">
        <f t="shared" si="228"/>
        <v>1</v>
      </c>
      <c r="AB229" s="4">
        <f t="shared" si="228"/>
        <v>0</v>
      </c>
      <c r="AC229" s="4">
        <f t="shared" si="228"/>
        <v>0</v>
      </c>
      <c r="AD229" s="4">
        <f t="shared" si="228"/>
        <v>0</v>
      </c>
      <c r="AE229" s="4" t="str">
        <f>'Form responses 1'!AN231</f>
        <v>Bandhan Bank</v>
      </c>
      <c r="AF229" s="4" t="str">
        <f>'Form responses 1'!AO231</f>
        <v>Ashish kumar</v>
      </c>
      <c r="AG229" s="4" t="str">
        <f>'Form responses 1'!AP231</f>
        <v/>
      </c>
      <c r="AH229" s="4" t="str">
        <f>'Form responses 1'!AQ231</f>
        <v/>
      </c>
      <c r="AI229" s="4" t="str">
        <f>'Form responses 1'!AR231</f>
        <v/>
      </c>
    </row>
    <row r="230">
      <c r="A230" s="26">
        <f>'Form responses 1'!B232</f>
        <v>46064</v>
      </c>
      <c r="B230" s="4" t="str">
        <f>'Form responses 1'!AZ232</f>
        <v>nitya.akshara@capsdelivery.com</v>
      </c>
      <c r="C230" s="4" t="str">
        <f>'Form responses 1'!BR232</f>
        <v>Thick shake factory </v>
      </c>
      <c r="D230" s="4" t="str">
        <f>'Form responses 1'!AT232</f>
        <v/>
      </c>
      <c r="E230" s="4" t="str">
        <f>'Form responses 1'!AU232</f>
        <v>Yes</v>
      </c>
      <c r="F230" s="4" t="str">
        <f>'Form responses 1'!AX232</f>
        <v/>
      </c>
      <c r="G230" s="4" t="str">
        <f>'Form responses 1'!AY232</f>
        <v/>
      </c>
      <c r="H230" s="53" t="str">
        <f>'Form responses 1'!AW232</f>
        <v/>
      </c>
      <c r="I230" s="4" t="str">
        <f>'Form responses 1'!AS232</f>
        <v/>
      </c>
      <c r="J230" s="4" t="str">
        <f>'Form responses 1'!J232</f>
        <v>Tier-3 ( AOV&lt;200 )</v>
      </c>
      <c r="K230" s="4">
        <f>'Form responses 1'!G232</f>
        <v>150</v>
      </c>
      <c r="L230" s="4">
        <f>'Form responses 1'!F232</f>
        <v>1</v>
      </c>
      <c r="M230" s="4" t="str">
        <f>'Form responses 1'!U232</f>
        <v>Manasa </v>
      </c>
      <c r="N230" s="4" t="str">
        <f>'Form responses 1'!V232</f>
        <v>733-7332022</v>
      </c>
      <c r="O230" s="4" t="str">
        <f>'Form responses 1'!W232</f>
        <v>Naveen </v>
      </c>
      <c r="P230" s="4" t="str">
        <f>'Form responses 1'!X232</f>
        <v>8309-541582</v>
      </c>
      <c r="Q230" s="4" t="str">
        <f>'Form responses 1'!Y232</f>
        <v/>
      </c>
      <c r="R230" s="4" t="str">
        <f>'Form responses 1'!Z232</f>
        <v/>
      </c>
      <c r="S230" s="4" t="str">
        <f>'Form responses 1'!AC232</f>
        <v/>
      </c>
      <c r="T230" s="4" t="str">
        <f>'Form responses 1'!AE232</f>
        <v/>
      </c>
      <c r="U230" s="4" t="str">
        <f>'Form responses 1'!AG232</f>
        <v/>
      </c>
      <c r="V230" s="4" t="str">
        <f>'Form responses 1'!AI232</f>
        <v/>
      </c>
      <c r="W230" s="4" t="str">
        <f>'Form responses 1'!AJ232</f>
        <v/>
      </c>
      <c r="X230" s="4" t="str">
        <f>'Form responses 1'!AK232</f>
        <v/>
      </c>
      <c r="Y230" s="4">
        <f t="shared" ref="Y230:AD230" si="229">if(S230&gt;0,1,0)</f>
        <v>0</v>
      </c>
      <c r="Z230" s="4">
        <f t="shared" si="229"/>
        <v>0</v>
      </c>
      <c r="AA230" s="4">
        <f t="shared" si="229"/>
        <v>0</v>
      </c>
      <c r="AB230" s="4">
        <f t="shared" si="229"/>
        <v>0</v>
      </c>
      <c r="AC230" s="4">
        <f t="shared" si="229"/>
        <v>0</v>
      </c>
      <c r="AD230" s="4">
        <f t="shared" si="229"/>
        <v>0</v>
      </c>
      <c r="AE230" s="4" t="str">
        <f>'Form responses 1'!AN232</f>
        <v/>
      </c>
      <c r="AF230" s="4" t="str">
        <f>'Form responses 1'!AO232</f>
        <v/>
      </c>
      <c r="AG230" s="4" t="str">
        <f>'Form responses 1'!AP232</f>
        <v/>
      </c>
      <c r="AH230" s="4" t="str">
        <f>'Form responses 1'!AQ232</f>
        <v/>
      </c>
      <c r="AI230" s="4" t="str">
        <f>'Form responses 1'!AR232</f>
        <v/>
      </c>
    </row>
    <row r="231">
      <c r="A231" s="26">
        <f>'Form responses 1'!B233</f>
        <v>46064</v>
      </c>
      <c r="B231" s="4" t="str">
        <f>'Form responses 1'!AZ233</f>
        <v>nitya.akshara@capsdelivery.com</v>
      </c>
      <c r="C231" s="4" t="str">
        <f>'Form responses 1'!BR233</f>
        <v/>
      </c>
      <c r="D231" s="4" t="str">
        <f>'Form responses 1'!AT233</f>
        <v/>
      </c>
      <c r="E231" s="4" t="str">
        <f>'Form responses 1'!AU233</f>
        <v>Yes</v>
      </c>
      <c r="F231" s="4" t="str">
        <f>'Form responses 1'!AX233</f>
        <v/>
      </c>
      <c r="G231" s="4" t="str">
        <f>'Form responses 1'!AY233</f>
        <v/>
      </c>
      <c r="H231" s="53" t="str">
        <f>'Form responses 1'!AW233</f>
        <v/>
      </c>
      <c r="I231" s="4" t="str">
        <f>'Form responses 1'!AS233</f>
        <v/>
      </c>
      <c r="J231" s="4" t="str">
        <f>'Form responses 1'!J233</f>
        <v/>
      </c>
      <c r="K231" s="4" t="str">
        <f>'Form responses 1'!G233</f>
        <v/>
      </c>
      <c r="L231" s="4" t="str">
        <f>'Form responses 1'!F233</f>
        <v/>
      </c>
      <c r="M231" s="4" t="str">
        <f>'Form responses 1'!U233</f>
        <v>NA</v>
      </c>
      <c r="N231" s="4" t="str">
        <f>'Form responses 1'!V233</f>
        <v>NA</v>
      </c>
      <c r="O231" s="4" t="str">
        <f>'Form responses 1'!W233</f>
        <v>NA</v>
      </c>
      <c r="P231" s="4" t="str">
        <f>'Form responses 1'!X233</f>
        <v/>
      </c>
      <c r="Q231" s="4" t="str">
        <f>'Form responses 1'!Y233</f>
        <v/>
      </c>
      <c r="R231" s="4" t="str">
        <f>'Form responses 1'!Z233</f>
        <v/>
      </c>
      <c r="S231" s="4" t="str">
        <f>'Form responses 1'!AC233</f>
        <v/>
      </c>
      <c r="T231" s="4" t="str">
        <f>'Form responses 1'!AE233</f>
        <v/>
      </c>
      <c r="U231" s="4" t="str">
        <f>'Form responses 1'!AG233</f>
        <v/>
      </c>
      <c r="V231" s="4" t="str">
        <f>'Form responses 1'!AI233</f>
        <v/>
      </c>
      <c r="W231" s="4" t="str">
        <f>'Form responses 1'!AJ233</f>
        <v/>
      </c>
      <c r="X231" s="4" t="str">
        <f>'Form responses 1'!AK233</f>
        <v/>
      </c>
      <c r="Y231" s="4">
        <f t="shared" ref="Y231:AD231" si="230">if(S231&gt;0,1,0)</f>
        <v>0</v>
      </c>
      <c r="Z231" s="4">
        <f t="shared" si="230"/>
        <v>0</v>
      </c>
      <c r="AA231" s="4">
        <f t="shared" si="230"/>
        <v>0</v>
      </c>
      <c r="AB231" s="4">
        <f t="shared" si="230"/>
        <v>0</v>
      </c>
      <c r="AC231" s="4">
        <f t="shared" si="230"/>
        <v>0</v>
      </c>
      <c r="AD231" s="4">
        <f t="shared" si="230"/>
        <v>0</v>
      </c>
      <c r="AE231" s="4" t="str">
        <f>'Form responses 1'!AN233</f>
        <v/>
      </c>
      <c r="AF231" s="4" t="str">
        <f>'Form responses 1'!AO233</f>
        <v/>
      </c>
      <c r="AG231" s="4" t="str">
        <f>'Form responses 1'!AP233</f>
        <v/>
      </c>
      <c r="AH231" s="4" t="str">
        <f>'Form responses 1'!AQ233</f>
        <v/>
      </c>
      <c r="AI231" s="4" t="str">
        <f>'Form responses 1'!AR233</f>
        <v/>
      </c>
    </row>
    <row r="232">
      <c r="A232" s="26">
        <f>'Form responses 1'!B234</f>
        <v>46060</v>
      </c>
      <c r="B232" s="4" t="str">
        <f>'Form responses 1'!AZ234</f>
        <v>parthive.maganti@capsdelivery.com</v>
      </c>
      <c r="C232" s="4" t="str">
        <f>'Form responses 1'!BR234</f>
        <v>Na</v>
      </c>
      <c r="D232" s="4" t="str">
        <f>'Form responses 1'!AT234</f>
        <v>Na</v>
      </c>
      <c r="E232" s="4" t="str">
        <f>'Form responses 1'!AU234</f>
        <v>No</v>
      </c>
      <c r="F232" s="4" t="str">
        <f>'Form responses 1'!AX234</f>
        <v/>
      </c>
      <c r="G232" s="4" t="str">
        <f>'Form responses 1'!AY234</f>
        <v/>
      </c>
      <c r="H232" s="53" t="str">
        <f>'Form responses 1'!AW234</f>
        <v/>
      </c>
      <c r="I232" s="4" t="str">
        <f>'Form responses 1'!AS234</f>
        <v>Yes</v>
      </c>
      <c r="J232" s="4" t="str">
        <f>'Form responses 1'!J234</f>
        <v/>
      </c>
      <c r="K232" s="4" t="str">
        <f>'Form responses 1'!G234</f>
        <v/>
      </c>
      <c r="L232" s="4" t="str">
        <f>'Form responses 1'!F234</f>
        <v/>
      </c>
      <c r="M232" s="4" t="str">
        <f>'Form responses 1'!U234</f>
        <v>Rajesh kethineni</v>
      </c>
      <c r="N232" s="4">
        <f>'Form responses 1'!V234</f>
        <v>7306445599</v>
      </c>
      <c r="O232" s="4" t="str">
        <f>'Form responses 1'!W234</f>
        <v>Na</v>
      </c>
      <c r="P232" s="4" t="str">
        <f>'Form responses 1'!X234</f>
        <v/>
      </c>
      <c r="Q232" s="4" t="str">
        <f>'Form responses 1'!Y234</f>
        <v/>
      </c>
      <c r="R232" s="4" t="str">
        <f>'Form responses 1'!Z234</f>
        <v/>
      </c>
      <c r="S232" s="54" t="str">
        <f>'Form responses 1'!AC234</f>
        <v>https://drive.google.com/open?id=1mlYB2ikwWJ-JF1B6rw17HV_R-3hmedEX</v>
      </c>
      <c r="T232" s="4" t="str">
        <f>'Form responses 1'!AE234</f>
        <v/>
      </c>
      <c r="U232" s="54" t="str">
        <f>'Form responses 1'!AG234</f>
        <v>https://drive.google.com/open?id=1DKhgeaOM1lxMrzSlLawBSx8tlUKAqWaQ</v>
      </c>
      <c r="V232" s="4" t="str">
        <f>'Form responses 1'!AI234</f>
        <v/>
      </c>
      <c r="W232" s="4" t="str">
        <f>'Form responses 1'!AJ234</f>
        <v/>
      </c>
      <c r="X232" s="4" t="str">
        <f>'Form responses 1'!AK234</f>
        <v/>
      </c>
      <c r="Y232" s="4">
        <f t="shared" ref="Y232:AD232" si="231">if(S232&gt;0,1,0)</f>
        <v>1</v>
      </c>
      <c r="Z232" s="4">
        <f t="shared" si="231"/>
        <v>0</v>
      </c>
      <c r="AA232" s="4">
        <f t="shared" si="231"/>
        <v>1</v>
      </c>
      <c r="AB232" s="4">
        <f t="shared" si="231"/>
        <v>0</v>
      </c>
      <c r="AC232" s="4">
        <f t="shared" si="231"/>
        <v>0</v>
      </c>
      <c r="AD232" s="4">
        <f t="shared" si="231"/>
        <v>0</v>
      </c>
      <c r="AE232" s="4" t="str">
        <f>'Form responses 1'!AN234</f>
        <v>Sambasiva rao kethineni</v>
      </c>
      <c r="AF232" s="4" t="str">
        <f>'Form responses 1'!AO234</f>
        <v>Rajesh kethiklneni</v>
      </c>
      <c r="AG232" s="4" t="str">
        <f>'Form responses 1'!AP234</f>
        <v/>
      </c>
      <c r="AH232" s="4" t="str">
        <f>'Form responses 1'!AQ234</f>
        <v/>
      </c>
      <c r="AI232" s="4" t="str">
        <f>'Form responses 1'!AR234</f>
        <v/>
      </c>
    </row>
    <row r="233">
      <c r="A233" s="26">
        <f>'Form responses 1'!B235</f>
        <v>46060</v>
      </c>
      <c r="B233" s="4" t="str">
        <f>'Form responses 1'!AZ235</f>
        <v>parthive.maganti@capsdelivery.com</v>
      </c>
      <c r="C233" s="4" t="str">
        <f>'Form responses 1'!BR235</f>
        <v>Na</v>
      </c>
      <c r="D233" s="4" t="str">
        <f>'Form responses 1'!AT235</f>
        <v>N/a</v>
      </c>
      <c r="E233" s="4" t="str">
        <f>'Form responses 1'!AU235</f>
        <v>No</v>
      </c>
      <c r="F233" s="4" t="str">
        <f>'Form responses 1'!AX235</f>
        <v/>
      </c>
      <c r="G233" s="4" t="str">
        <f>'Form responses 1'!AY235</f>
        <v/>
      </c>
      <c r="H233" s="53" t="str">
        <f>'Form responses 1'!AW235</f>
        <v/>
      </c>
      <c r="I233" s="4" t="str">
        <f>'Form responses 1'!AS235</f>
        <v>Yes</v>
      </c>
      <c r="J233" s="4" t="str">
        <f>'Form responses 1'!J235</f>
        <v/>
      </c>
      <c r="K233" s="4" t="str">
        <f>'Form responses 1'!G235</f>
        <v/>
      </c>
      <c r="L233" s="4" t="str">
        <f>'Form responses 1'!F235</f>
        <v/>
      </c>
      <c r="M233" s="4" t="str">
        <f>'Form responses 1'!U235</f>
        <v>Vidya Sagar kadali</v>
      </c>
      <c r="N233" s="4">
        <f>'Form responses 1'!V235</f>
        <v>709504025</v>
      </c>
      <c r="O233" s="4" t="str">
        <f>'Form responses 1'!W235</f>
        <v>Vjfoodprenures@gmail.com</v>
      </c>
      <c r="P233" s="4" t="str">
        <f>'Form responses 1'!X235</f>
        <v/>
      </c>
      <c r="Q233" s="4" t="str">
        <f>'Form responses 1'!Y235</f>
        <v/>
      </c>
      <c r="R233" s="4" t="str">
        <f>'Form responses 1'!Z235</f>
        <v/>
      </c>
      <c r="S233" s="4" t="str">
        <f>'Form responses 1'!AC235</f>
        <v/>
      </c>
      <c r="T233" s="54" t="str">
        <f>'Form responses 1'!AE235</f>
        <v>https://drive.google.com/open?id=1M9oQEmkMPWMxfuaY50HMSDTxpW7WCXs4</v>
      </c>
      <c r="U233" s="54" t="str">
        <f>'Form responses 1'!AG235</f>
        <v>https://drive.google.com/open?id=1CvNTbmPl5H3Pl4kxzAGEv9k6yWwZYSnE</v>
      </c>
      <c r="V233" s="4" t="str">
        <f>'Form responses 1'!AI235</f>
        <v/>
      </c>
      <c r="W233" s="4" t="str">
        <f>'Form responses 1'!AJ235</f>
        <v/>
      </c>
      <c r="X233" s="54" t="str">
        <f>'Form responses 1'!AK235</f>
        <v>https://drive.google.com/open?id=1z9xSy2R7BX9_IGQo40Fw_7fa7sypwjLg</v>
      </c>
      <c r="Y233" s="4">
        <f t="shared" ref="Y233:AD233" si="232">if(S233&gt;0,1,0)</f>
        <v>0</v>
      </c>
      <c r="Z233" s="4">
        <f t="shared" si="232"/>
        <v>1</v>
      </c>
      <c r="AA233" s="4">
        <f t="shared" si="232"/>
        <v>1</v>
      </c>
      <c r="AB233" s="4">
        <f t="shared" si="232"/>
        <v>0</v>
      </c>
      <c r="AC233" s="4">
        <f t="shared" si="232"/>
        <v>0</v>
      </c>
      <c r="AD233" s="4">
        <f t="shared" si="232"/>
        <v>1</v>
      </c>
      <c r="AE233" s="4" t="str">
        <f>'Form responses 1'!AN235</f>
        <v>VJ food prenuers</v>
      </c>
      <c r="AF233" s="4" t="str">
        <f>'Form responses 1'!AO235</f>
        <v>Sagar</v>
      </c>
      <c r="AG233" s="4" t="str">
        <f>'Form responses 1'!AP235</f>
        <v/>
      </c>
      <c r="AH233" s="4" t="str">
        <f>'Form responses 1'!AQ235</f>
        <v/>
      </c>
      <c r="AI233" s="4" t="str">
        <f>'Form responses 1'!AR235</f>
        <v/>
      </c>
    </row>
    <row r="234">
      <c r="A234" s="26">
        <f>'Form responses 1'!B236</f>
        <v>46064</v>
      </c>
      <c r="B234" s="4" t="str">
        <f>'Form responses 1'!AZ236</f>
        <v>nitya.akshara@capsdelivery.com</v>
      </c>
      <c r="C234" s="4" t="str">
        <f>'Form responses 1'!BR236</f>
        <v/>
      </c>
      <c r="D234" s="4" t="str">
        <f>'Form responses 1'!AT236</f>
        <v/>
      </c>
      <c r="E234" s="4" t="str">
        <f>'Form responses 1'!AU236</f>
        <v>Yes</v>
      </c>
      <c r="F234" s="4" t="str">
        <f>'Form responses 1'!AX236</f>
        <v/>
      </c>
      <c r="G234" s="4" t="str">
        <f>'Form responses 1'!AY236</f>
        <v/>
      </c>
      <c r="H234" s="53" t="str">
        <f>'Form responses 1'!AW236</f>
        <v/>
      </c>
      <c r="I234" s="4" t="str">
        <f>'Form responses 1'!AS236</f>
        <v/>
      </c>
      <c r="J234" s="4" t="str">
        <f>'Form responses 1'!J236</f>
        <v/>
      </c>
      <c r="K234" s="4" t="str">
        <f>'Form responses 1'!G236</f>
        <v/>
      </c>
      <c r="L234" s="4" t="str">
        <f>'Form responses 1'!F236</f>
        <v/>
      </c>
      <c r="M234" s="4" t="str">
        <f>'Form responses 1'!U236</f>
        <v>Nagendar </v>
      </c>
      <c r="N234" s="4" t="str">
        <f>'Form responses 1'!V236</f>
        <v>80080 20304</v>
      </c>
      <c r="O234" s="4" t="str">
        <f>'Form responses 1'!W236</f>
        <v>NA</v>
      </c>
      <c r="P234" s="4" t="str">
        <f>'Form responses 1'!X236</f>
        <v>NA</v>
      </c>
      <c r="Q234" s="4">
        <f>'Form responses 1'!Y236</f>
        <v>1</v>
      </c>
      <c r="R234" s="4" t="str">
        <f>'Form responses 1'!Z236</f>
        <v/>
      </c>
      <c r="S234" s="4" t="str">
        <f>'Form responses 1'!AC236</f>
        <v/>
      </c>
      <c r="T234" s="4" t="str">
        <f>'Form responses 1'!AE236</f>
        <v/>
      </c>
      <c r="U234" s="4" t="str">
        <f>'Form responses 1'!AG236</f>
        <v/>
      </c>
      <c r="V234" s="4" t="str">
        <f>'Form responses 1'!AI236</f>
        <v/>
      </c>
      <c r="W234" s="4" t="str">
        <f>'Form responses 1'!AJ236</f>
        <v/>
      </c>
      <c r="X234" s="4" t="str">
        <f>'Form responses 1'!AK236</f>
        <v/>
      </c>
      <c r="Y234" s="4">
        <f t="shared" ref="Y234:AD234" si="233">if(S234&gt;0,1,0)</f>
        <v>0</v>
      </c>
      <c r="Z234" s="4">
        <f t="shared" si="233"/>
        <v>0</v>
      </c>
      <c r="AA234" s="4">
        <f t="shared" si="233"/>
        <v>0</v>
      </c>
      <c r="AB234" s="4">
        <f t="shared" si="233"/>
        <v>0</v>
      </c>
      <c r="AC234" s="4">
        <f t="shared" si="233"/>
        <v>0</v>
      </c>
      <c r="AD234" s="4">
        <f t="shared" si="233"/>
        <v>0</v>
      </c>
      <c r="AE234" s="4" t="str">
        <f>'Form responses 1'!AN236</f>
        <v/>
      </c>
      <c r="AF234" s="4" t="str">
        <f>'Form responses 1'!AO236</f>
        <v/>
      </c>
      <c r="AG234" s="4" t="str">
        <f>'Form responses 1'!AP236</f>
        <v/>
      </c>
      <c r="AH234" s="4" t="str">
        <f>'Form responses 1'!AQ236</f>
        <v/>
      </c>
      <c r="AI234" s="4" t="str">
        <f>'Form responses 1'!AR236</f>
        <v/>
      </c>
    </row>
    <row r="235">
      <c r="A235" s="26">
        <f>'Form responses 1'!B237</f>
        <v>46064</v>
      </c>
      <c r="B235" s="4" t="str">
        <f>'Form responses 1'!AZ237</f>
        <v>greeshma.vanneldas@capsdelivery.com</v>
      </c>
      <c r="C235" s="4" t="str">
        <f>'Form responses 1'!BR237</f>
        <v>Palle vindu</v>
      </c>
      <c r="D235" s="4" t="str">
        <f>'Form responses 1'!AT237</f>
        <v/>
      </c>
      <c r="E235" s="4" t="str">
        <f>'Form responses 1'!AU237</f>
        <v>Yes</v>
      </c>
      <c r="F235" s="4" t="str">
        <f>'Form responses 1'!AX237</f>
        <v/>
      </c>
      <c r="G235" s="4" t="str">
        <f>'Form responses 1'!AY237</f>
        <v/>
      </c>
      <c r="H235" s="53" t="str">
        <f>'Form responses 1'!AW237</f>
        <v>Manager is not available got the contact details from the supervisor </v>
      </c>
      <c r="I235" s="4" t="str">
        <f>'Form responses 1'!AS237</f>
        <v/>
      </c>
      <c r="J235" s="4" t="str">
        <f>'Form responses 1'!J237</f>
        <v>Tier-2 (AOV &lt;400)</v>
      </c>
      <c r="K235" s="4">
        <f>'Form responses 1'!G237</f>
        <v>400</v>
      </c>
      <c r="L235" s="4">
        <f>'Form responses 1'!F237</f>
        <v>50</v>
      </c>
      <c r="M235" s="4" t="str">
        <f>'Form responses 1'!U237</f>
        <v>Shanker</v>
      </c>
      <c r="N235" s="4">
        <f>'Form responses 1'!V237</f>
        <v>7396769261</v>
      </c>
      <c r="O235" s="4" t="str">
        <f>'Form responses 1'!W237</f>
        <v>na</v>
      </c>
      <c r="P235" s="4" t="str">
        <f>'Form responses 1'!X237</f>
        <v/>
      </c>
      <c r="Q235" s="4" t="str">
        <f>'Form responses 1'!Y237</f>
        <v/>
      </c>
      <c r="R235" s="4" t="str">
        <f>'Form responses 1'!Z237</f>
        <v/>
      </c>
      <c r="S235" s="4" t="str">
        <f>'Form responses 1'!AC237</f>
        <v/>
      </c>
      <c r="T235" s="4" t="str">
        <f>'Form responses 1'!AE237</f>
        <v/>
      </c>
      <c r="U235" s="4" t="str">
        <f>'Form responses 1'!AG237</f>
        <v/>
      </c>
      <c r="V235" s="4" t="str">
        <f>'Form responses 1'!AI237</f>
        <v/>
      </c>
      <c r="W235" s="4" t="str">
        <f>'Form responses 1'!AJ237</f>
        <v/>
      </c>
      <c r="X235" s="4" t="str">
        <f>'Form responses 1'!AK237</f>
        <v/>
      </c>
      <c r="Y235" s="4">
        <f t="shared" ref="Y235:AD235" si="234">if(S235&gt;0,1,0)</f>
        <v>0</v>
      </c>
      <c r="Z235" s="4">
        <f t="shared" si="234"/>
        <v>0</v>
      </c>
      <c r="AA235" s="4">
        <f t="shared" si="234"/>
        <v>0</v>
      </c>
      <c r="AB235" s="4">
        <f t="shared" si="234"/>
        <v>0</v>
      </c>
      <c r="AC235" s="4">
        <f t="shared" si="234"/>
        <v>0</v>
      </c>
      <c r="AD235" s="4">
        <f t="shared" si="234"/>
        <v>0</v>
      </c>
      <c r="AE235" s="4" t="str">
        <f>'Form responses 1'!AN237</f>
        <v/>
      </c>
      <c r="AF235" s="4" t="str">
        <f>'Form responses 1'!AO237</f>
        <v/>
      </c>
      <c r="AG235" s="4" t="str">
        <f>'Form responses 1'!AP237</f>
        <v/>
      </c>
      <c r="AH235" s="4" t="str">
        <f>'Form responses 1'!AQ237</f>
        <v/>
      </c>
      <c r="AI235" s="4" t="str">
        <f>'Form responses 1'!AR237</f>
        <v/>
      </c>
    </row>
    <row r="236">
      <c r="A236" s="26">
        <f>'Form responses 1'!B238</f>
        <v>46064</v>
      </c>
      <c r="B236" s="4" t="str">
        <f>'Form responses 1'!AZ238</f>
        <v>greeshma.vanneldas@capsdelivery.com</v>
      </c>
      <c r="C236" s="4" t="str">
        <f>'Form responses 1'!BR238</f>
        <v>Suryakantham Military hotel</v>
      </c>
      <c r="D236" s="4" t="str">
        <f>'Form responses 1'!AT238</f>
        <v/>
      </c>
      <c r="E236" s="4" t="str">
        <f>'Form responses 1'!AU238</f>
        <v>Yes</v>
      </c>
      <c r="F236" s="4" t="str">
        <f>'Form responses 1'!AX238</f>
        <v/>
      </c>
      <c r="G236" s="4" t="str">
        <f>'Form responses 1'!AY238</f>
        <v/>
      </c>
      <c r="H236" s="53" t="str">
        <f>'Form responses 1'!AW238</f>
        <v/>
      </c>
      <c r="I236" s="4" t="str">
        <f>'Form responses 1'!AS238</f>
        <v/>
      </c>
      <c r="J236" s="4" t="str">
        <f>'Form responses 1'!J238</f>
        <v>Tier-2 (AOV &lt;400)</v>
      </c>
      <c r="K236" s="4">
        <f>'Form responses 1'!G238</f>
        <v>500</v>
      </c>
      <c r="L236" s="4">
        <f>'Form responses 1'!F238</f>
        <v>50</v>
      </c>
      <c r="M236" s="4" t="str">
        <f>'Form responses 1'!U238</f>
        <v>Maheshwar rao</v>
      </c>
      <c r="N236" s="4">
        <f>'Form responses 1'!V238</f>
        <v>9849343059</v>
      </c>
      <c r="O236" s="4" t="str">
        <f>'Form responses 1'!W238</f>
        <v>na</v>
      </c>
      <c r="P236" s="4" t="str">
        <f>'Form responses 1'!X238</f>
        <v/>
      </c>
      <c r="Q236" s="4" t="str">
        <f>'Form responses 1'!Y238</f>
        <v/>
      </c>
      <c r="R236" s="4" t="str">
        <f>'Form responses 1'!Z238</f>
        <v/>
      </c>
      <c r="S236" s="4" t="str">
        <f>'Form responses 1'!AC238</f>
        <v/>
      </c>
      <c r="T236" s="4" t="str">
        <f>'Form responses 1'!AE238</f>
        <v/>
      </c>
      <c r="U236" s="4" t="str">
        <f>'Form responses 1'!AG238</f>
        <v/>
      </c>
      <c r="V236" s="4" t="str">
        <f>'Form responses 1'!AI238</f>
        <v/>
      </c>
      <c r="W236" s="4" t="str">
        <f>'Form responses 1'!AJ238</f>
        <v/>
      </c>
      <c r="X236" s="4" t="str">
        <f>'Form responses 1'!AK238</f>
        <v/>
      </c>
      <c r="Y236" s="4">
        <f t="shared" ref="Y236:AD236" si="235">if(S236&gt;0,1,0)</f>
        <v>0</v>
      </c>
      <c r="Z236" s="4">
        <f t="shared" si="235"/>
        <v>0</v>
      </c>
      <c r="AA236" s="4">
        <f t="shared" si="235"/>
        <v>0</v>
      </c>
      <c r="AB236" s="4">
        <f t="shared" si="235"/>
        <v>0</v>
      </c>
      <c r="AC236" s="4">
        <f t="shared" si="235"/>
        <v>0</v>
      </c>
      <c r="AD236" s="4">
        <f t="shared" si="235"/>
        <v>0</v>
      </c>
      <c r="AE236" s="4" t="str">
        <f>'Form responses 1'!AN238</f>
        <v/>
      </c>
      <c r="AF236" s="4" t="str">
        <f>'Form responses 1'!AO238</f>
        <v/>
      </c>
      <c r="AG236" s="4" t="str">
        <f>'Form responses 1'!AP238</f>
        <v/>
      </c>
      <c r="AH236" s="4" t="str">
        <f>'Form responses 1'!AQ238</f>
        <v/>
      </c>
      <c r="AI236" s="4" t="str">
        <f>'Form responses 1'!AR238</f>
        <v/>
      </c>
    </row>
    <row r="237">
      <c r="A237" s="26">
        <f>'Form responses 1'!B239</f>
        <v>46065</v>
      </c>
      <c r="B237" s="4" t="str">
        <f>'Form responses 1'!AZ239</f>
        <v>akhila.narra@capsdelivery.com</v>
      </c>
      <c r="C237" s="4" t="str">
        <f>'Form responses 1'!BR239</f>
        <v>Biryaniwala &amp; CO</v>
      </c>
      <c r="D237" s="4" t="str">
        <f>'Form responses 1'!AT239</f>
        <v/>
      </c>
      <c r="E237" s="4" t="str">
        <f>'Form responses 1'!AU239</f>
        <v>Yes</v>
      </c>
      <c r="F237" s="26">
        <f>'Form responses 1'!AX239</f>
        <v>46065</v>
      </c>
      <c r="G237" s="52">
        <f>'Form responses 1'!AY239</f>
        <v>0.25</v>
      </c>
      <c r="H237" s="53" t="str">
        <f>'Form responses 1'!AW239</f>
        <v>Commission I need to discuss </v>
      </c>
      <c r="I237" s="4" t="str">
        <f>'Form responses 1'!AS239</f>
        <v/>
      </c>
      <c r="J237" s="4" t="str">
        <f>'Form responses 1'!J239</f>
        <v/>
      </c>
      <c r="K237" s="4" t="str">
        <f>'Form responses 1'!G239</f>
        <v/>
      </c>
      <c r="L237" s="4" t="str">
        <f>'Form responses 1'!F239</f>
        <v/>
      </c>
      <c r="M237" s="4" t="str">
        <f>'Form responses 1'!U239</f>
        <v>Raza</v>
      </c>
      <c r="N237" s="4">
        <f>'Form responses 1'!V239</f>
        <v>9866667000</v>
      </c>
      <c r="O237" s="4" t="str">
        <f>'Form responses 1'!W239</f>
        <v>Na</v>
      </c>
      <c r="P237" s="4" t="str">
        <f>'Form responses 1'!X239</f>
        <v>na</v>
      </c>
      <c r="Q237" s="4">
        <f>'Form responses 1'!Y239</f>
        <v>9866667000</v>
      </c>
      <c r="R237" s="4" t="str">
        <f>'Form responses 1'!Z239</f>
        <v>na</v>
      </c>
      <c r="S237" s="4" t="str">
        <f>'Form responses 1'!AC239</f>
        <v/>
      </c>
      <c r="T237" s="4" t="str">
        <f>'Form responses 1'!AE239</f>
        <v/>
      </c>
      <c r="U237" s="4" t="str">
        <f>'Form responses 1'!AG239</f>
        <v/>
      </c>
      <c r="V237" s="4" t="str">
        <f>'Form responses 1'!AI239</f>
        <v/>
      </c>
      <c r="W237" s="4" t="str">
        <f>'Form responses 1'!AJ239</f>
        <v/>
      </c>
      <c r="X237" s="4" t="str">
        <f>'Form responses 1'!AK239</f>
        <v/>
      </c>
      <c r="Y237" s="4">
        <f t="shared" ref="Y237:AD237" si="236">if(S237&gt;0,1,0)</f>
        <v>0</v>
      </c>
      <c r="Z237" s="4">
        <f t="shared" si="236"/>
        <v>0</v>
      </c>
      <c r="AA237" s="4">
        <f t="shared" si="236"/>
        <v>0</v>
      </c>
      <c r="AB237" s="4">
        <f t="shared" si="236"/>
        <v>0</v>
      </c>
      <c r="AC237" s="4">
        <f t="shared" si="236"/>
        <v>0</v>
      </c>
      <c r="AD237" s="4">
        <f t="shared" si="236"/>
        <v>0</v>
      </c>
      <c r="AE237" s="4" t="str">
        <f>'Form responses 1'!AN239</f>
        <v/>
      </c>
      <c r="AF237" s="4" t="str">
        <f>'Form responses 1'!AO239</f>
        <v/>
      </c>
      <c r="AG237" s="4" t="str">
        <f>'Form responses 1'!AP239</f>
        <v/>
      </c>
      <c r="AH237" s="4" t="str">
        <f>'Form responses 1'!AQ239</f>
        <v/>
      </c>
      <c r="AI237" s="4" t="str">
        <f>'Form responses 1'!AR239</f>
        <v/>
      </c>
    </row>
    <row r="238">
      <c r="A238" s="26">
        <f>'Form responses 1'!B240</f>
        <v>46064</v>
      </c>
      <c r="B238" s="4" t="str">
        <f>'Form responses 1'!AZ240</f>
        <v>greeshma.vanneldas@capsdelivery.com</v>
      </c>
      <c r="C238" s="4" t="str">
        <f>'Form responses 1'!BR240</f>
        <v>Kanchi cafe</v>
      </c>
      <c r="D238" s="4" t="str">
        <f>'Form responses 1'!AT240</f>
        <v/>
      </c>
      <c r="E238" s="4" t="str">
        <f>'Form responses 1'!AU240</f>
        <v>Yes</v>
      </c>
      <c r="F238" s="4" t="str">
        <f>'Form responses 1'!AX240</f>
        <v/>
      </c>
      <c r="G238" s="4" t="str">
        <f>'Form responses 1'!AY240</f>
        <v/>
      </c>
      <c r="H238" s="53" t="str">
        <f>'Form responses 1'!AW240</f>
        <v>Manager is not available,when I visited the cafe got the contact details,I will follow up</v>
      </c>
      <c r="I238" s="4" t="str">
        <f>'Form responses 1'!AS240</f>
        <v/>
      </c>
      <c r="J238" s="4" t="str">
        <f>'Form responses 1'!J240</f>
        <v>Tier-2 (AOV &lt;400)</v>
      </c>
      <c r="K238" s="4">
        <f>'Form responses 1'!G240</f>
        <v>300</v>
      </c>
      <c r="L238" s="4">
        <f>'Form responses 1'!F240</f>
        <v>30</v>
      </c>
      <c r="M238" s="4" t="str">
        <f>'Form responses 1'!U240</f>
        <v>Dhakshina murthy</v>
      </c>
      <c r="N238" s="4">
        <f>'Form responses 1'!V240</f>
        <v>8438457084</v>
      </c>
      <c r="O238" s="4" t="str">
        <f>'Form responses 1'!W240</f>
        <v>na</v>
      </c>
      <c r="P238" s="4" t="str">
        <f>'Form responses 1'!X240</f>
        <v/>
      </c>
      <c r="Q238" s="4" t="str">
        <f>'Form responses 1'!Y240</f>
        <v/>
      </c>
      <c r="R238" s="4" t="str">
        <f>'Form responses 1'!Z240</f>
        <v/>
      </c>
      <c r="S238" s="4" t="str">
        <f>'Form responses 1'!AC240</f>
        <v/>
      </c>
      <c r="T238" s="4" t="str">
        <f>'Form responses 1'!AE240</f>
        <v/>
      </c>
      <c r="U238" s="4" t="str">
        <f>'Form responses 1'!AG240</f>
        <v/>
      </c>
      <c r="V238" s="4" t="str">
        <f>'Form responses 1'!AI240</f>
        <v/>
      </c>
      <c r="W238" s="4" t="str">
        <f>'Form responses 1'!AJ240</f>
        <v/>
      </c>
      <c r="X238" s="4" t="str">
        <f>'Form responses 1'!AK240</f>
        <v/>
      </c>
      <c r="Y238" s="4">
        <f t="shared" ref="Y238:AD238" si="237">if(S238&gt;0,1,0)</f>
        <v>0</v>
      </c>
      <c r="Z238" s="4">
        <f t="shared" si="237"/>
        <v>0</v>
      </c>
      <c r="AA238" s="4">
        <f t="shared" si="237"/>
        <v>0</v>
      </c>
      <c r="AB238" s="4">
        <f t="shared" si="237"/>
        <v>0</v>
      </c>
      <c r="AC238" s="4">
        <f t="shared" si="237"/>
        <v>0</v>
      </c>
      <c r="AD238" s="4">
        <f t="shared" si="237"/>
        <v>0</v>
      </c>
      <c r="AE238" s="4" t="str">
        <f>'Form responses 1'!AN240</f>
        <v/>
      </c>
      <c r="AF238" s="4" t="str">
        <f>'Form responses 1'!AO240</f>
        <v/>
      </c>
      <c r="AG238" s="4" t="str">
        <f>'Form responses 1'!AP240</f>
        <v/>
      </c>
      <c r="AH238" s="4" t="str">
        <f>'Form responses 1'!AQ240</f>
        <v/>
      </c>
      <c r="AI238" s="4" t="str">
        <f>'Form responses 1'!AR240</f>
        <v/>
      </c>
    </row>
    <row r="239">
      <c r="A239" s="26">
        <f>'Form responses 1'!B241</f>
        <v>46064</v>
      </c>
      <c r="B239" s="4" t="str">
        <f>'Form responses 1'!AZ241</f>
        <v>greeshma.vanneldas@capsdelivery.com</v>
      </c>
      <c r="C239" s="4" t="str">
        <f>'Form responses 1'!BR241</f>
        <v>Abu Zayed Bait Al Mandi</v>
      </c>
      <c r="D239" s="4" t="str">
        <f>'Form responses 1'!AT241</f>
        <v/>
      </c>
      <c r="E239" s="4" t="str">
        <f>'Form responses 1'!AU241</f>
        <v>Yes</v>
      </c>
      <c r="F239" s="4" t="str">
        <f>'Form responses 1'!AX241</f>
        <v/>
      </c>
      <c r="G239" s="4" t="str">
        <f>'Form responses 1'!AY241</f>
        <v/>
      </c>
      <c r="H239" s="53" t="str">
        <f>'Form responses 1'!AW241</f>
        <v/>
      </c>
      <c r="I239" s="4" t="str">
        <f>'Form responses 1'!AS241</f>
        <v/>
      </c>
      <c r="J239" s="4" t="str">
        <f>'Form responses 1'!J241</f>
        <v>Tier-2 (AOV &lt;400)</v>
      </c>
      <c r="K239" s="4">
        <f>'Form responses 1'!G241</f>
        <v>500</v>
      </c>
      <c r="L239" s="4">
        <f>'Form responses 1'!F241</f>
        <v>40</v>
      </c>
      <c r="M239" s="4" t="str">
        <f>'Form responses 1'!U241</f>
        <v>Abdul</v>
      </c>
      <c r="N239" s="4">
        <f>'Form responses 1'!V241</f>
        <v>9550402185</v>
      </c>
      <c r="O239" s="4" t="str">
        <f>'Form responses 1'!W241</f>
        <v>na</v>
      </c>
      <c r="P239" s="4" t="str">
        <f>'Form responses 1'!X241</f>
        <v/>
      </c>
      <c r="Q239" s="4" t="str">
        <f>'Form responses 1'!Y241</f>
        <v/>
      </c>
      <c r="R239" s="4" t="str">
        <f>'Form responses 1'!Z241</f>
        <v/>
      </c>
      <c r="S239" s="4" t="str">
        <f>'Form responses 1'!AC241</f>
        <v/>
      </c>
      <c r="T239" s="4" t="str">
        <f>'Form responses 1'!AE241</f>
        <v/>
      </c>
      <c r="U239" s="4" t="str">
        <f>'Form responses 1'!AG241</f>
        <v/>
      </c>
      <c r="V239" s="4" t="str">
        <f>'Form responses 1'!AI241</f>
        <v/>
      </c>
      <c r="W239" s="4" t="str">
        <f>'Form responses 1'!AJ241</f>
        <v/>
      </c>
      <c r="X239" s="4" t="str">
        <f>'Form responses 1'!AK241</f>
        <v/>
      </c>
      <c r="Y239" s="4">
        <f t="shared" ref="Y239:AD239" si="238">if(S239&gt;0,1,0)</f>
        <v>0</v>
      </c>
      <c r="Z239" s="4">
        <f t="shared" si="238"/>
        <v>0</v>
      </c>
      <c r="AA239" s="4">
        <f t="shared" si="238"/>
        <v>0</v>
      </c>
      <c r="AB239" s="4">
        <f t="shared" si="238"/>
        <v>0</v>
      </c>
      <c r="AC239" s="4">
        <f t="shared" si="238"/>
        <v>0</v>
      </c>
      <c r="AD239" s="4">
        <f t="shared" si="238"/>
        <v>0</v>
      </c>
      <c r="AE239" s="4" t="str">
        <f>'Form responses 1'!AN241</f>
        <v/>
      </c>
      <c r="AF239" s="4" t="str">
        <f>'Form responses 1'!AO241</f>
        <v/>
      </c>
      <c r="AG239" s="4" t="str">
        <f>'Form responses 1'!AP241</f>
        <v/>
      </c>
      <c r="AH239" s="4" t="str">
        <f>'Form responses 1'!AQ241</f>
        <v/>
      </c>
      <c r="AI239" s="4" t="str">
        <f>'Form responses 1'!AR241</f>
        <v/>
      </c>
    </row>
    <row r="240">
      <c r="A240" s="26">
        <f>'Form responses 1'!B242</f>
        <v>46064</v>
      </c>
      <c r="B240" s="4" t="str">
        <f>'Form responses 1'!AZ242</f>
        <v>greeshma.vanneldas@capsdelivery.com</v>
      </c>
      <c r="C240" s="4" t="str">
        <f>'Form responses 1'!BR242</f>
        <v>The Indian wok</v>
      </c>
      <c r="D240" s="4" t="str">
        <f>'Form responses 1'!AT242</f>
        <v/>
      </c>
      <c r="E240" s="4" t="str">
        <f>'Form responses 1'!AU242</f>
        <v>Yes</v>
      </c>
      <c r="F240" s="4" t="str">
        <f>'Form responses 1'!AX242</f>
        <v/>
      </c>
      <c r="G240" s="4" t="str">
        <f>'Form responses 1'!AY242</f>
        <v/>
      </c>
      <c r="H240" s="53" t="str">
        <f>'Form responses 1'!AW242</f>
        <v/>
      </c>
      <c r="I240" s="4" t="str">
        <f>'Form responses 1'!AS242</f>
        <v/>
      </c>
      <c r="J240" s="4" t="str">
        <f>'Form responses 1'!J242</f>
        <v>Tier-2 (AOV &lt;400)</v>
      </c>
      <c r="K240" s="4">
        <f>'Form responses 1'!G242</f>
        <v>300</v>
      </c>
      <c r="L240" s="4">
        <f>'Form responses 1'!F242</f>
        <v>30</v>
      </c>
      <c r="M240" s="4" t="str">
        <f>'Form responses 1'!U242</f>
        <v>Adi</v>
      </c>
      <c r="N240" s="4">
        <f>'Form responses 1'!V242</f>
        <v>8374447297</v>
      </c>
      <c r="O240" s="4" t="str">
        <f>'Form responses 1'!W242</f>
        <v>na</v>
      </c>
      <c r="P240" s="4" t="str">
        <f>'Form responses 1'!X242</f>
        <v/>
      </c>
      <c r="Q240" s="4" t="str">
        <f>'Form responses 1'!Y242</f>
        <v/>
      </c>
      <c r="R240" s="4" t="str">
        <f>'Form responses 1'!Z242</f>
        <v/>
      </c>
      <c r="S240" s="4" t="str">
        <f>'Form responses 1'!AC242</f>
        <v/>
      </c>
      <c r="T240" s="4" t="str">
        <f>'Form responses 1'!AE242</f>
        <v/>
      </c>
      <c r="U240" s="4" t="str">
        <f>'Form responses 1'!AG242</f>
        <v/>
      </c>
      <c r="V240" s="4" t="str">
        <f>'Form responses 1'!AI242</f>
        <v/>
      </c>
      <c r="W240" s="4" t="str">
        <f>'Form responses 1'!AJ242</f>
        <v/>
      </c>
      <c r="X240" s="4" t="str">
        <f>'Form responses 1'!AK242</f>
        <v/>
      </c>
      <c r="Y240" s="4">
        <f t="shared" ref="Y240:AD240" si="239">if(S240&gt;0,1,0)</f>
        <v>0</v>
      </c>
      <c r="Z240" s="4">
        <f t="shared" si="239"/>
        <v>0</v>
      </c>
      <c r="AA240" s="4">
        <f t="shared" si="239"/>
        <v>0</v>
      </c>
      <c r="AB240" s="4">
        <f t="shared" si="239"/>
        <v>0</v>
      </c>
      <c r="AC240" s="4">
        <f t="shared" si="239"/>
        <v>0</v>
      </c>
      <c r="AD240" s="4">
        <f t="shared" si="239"/>
        <v>0</v>
      </c>
      <c r="AE240" s="4" t="str">
        <f>'Form responses 1'!AN242</f>
        <v/>
      </c>
      <c r="AF240" s="4" t="str">
        <f>'Form responses 1'!AO242</f>
        <v/>
      </c>
      <c r="AG240" s="4" t="str">
        <f>'Form responses 1'!AP242</f>
        <v/>
      </c>
      <c r="AH240" s="4" t="str">
        <f>'Form responses 1'!AQ242</f>
        <v/>
      </c>
      <c r="AI240" s="4" t="str">
        <f>'Form responses 1'!AR242</f>
        <v/>
      </c>
    </row>
    <row r="241">
      <c r="A241" s="26">
        <f>'Form responses 1'!B243</f>
        <v>46063</v>
      </c>
      <c r="B241" s="4" t="str">
        <f>'Form responses 1'!AZ243</f>
        <v>sumadhur.mummadi@capsdelivery.com</v>
      </c>
      <c r="C241" s="4" t="str">
        <f>'Form responses 1'!BR243</f>
        <v>Eat spotEat spot </v>
      </c>
      <c r="D241" s="4" t="str">
        <f>'Form responses 1'!AT243</f>
        <v/>
      </c>
      <c r="E241" s="4" t="str">
        <f>'Form responses 1'!AU243</f>
        <v>Yes</v>
      </c>
      <c r="F241" s="26">
        <f>'Form responses 1'!AX243</f>
        <v>46065</v>
      </c>
      <c r="G241" s="52">
        <f>'Form responses 1'!AY243</f>
        <v>0.6666666667</v>
      </c>
      <c r="H241" s="53" t="str">
        <f>'Form responses 1'!AW243</f>
        <v/>
      </c>
      <c r="I241" s="4" t="str">
        <f>'Form responses 1'!AS243</f>
        <v>No</v>
      </c>
      <c r="J241" s="4" t="str">
        <f>'Form responses 1'!J243</f>
        <v/>
      </c>
      <c r="K241" s="4" t="str">
        <f>'Form responses 1'!G243</f>
        <v/>
      </c>
      <c r="L241" s="4" t="str">
        <f>'Form responses 1'!F243</f>
        <v/>
      </c>
      <c r="M241" s="4" t="str">
        <f>'Form responses 1'!U243</f>
        <v>Manikanta</v>
      </c>
      <c r="N241" s="4" t="str">
        <f>'Form responses 1'!V243</f>
        <v>+919063747177</v>
      </c>
      <c r="O241" s="4" t="str">
        <f>'Form responses 1'!W243</f>
        <v>NA </v>
      </c>
      <c r="P241" s="4" t="str">
        <f>'Form responses 1'!X243</f>
        <v/>
      </c>
      <c r="Q241" s="4" t="str">
        <f>'Form responses 1'!Y243</f>
        <v/>
      </c>
      <c r="R241" s="4" t="str">
        <f>'Form responses 1'!Z243</f>
        <v/>
      </c>
      <c r="S241" s="4" t="str">
        <f>'Form responses 1'!AC243</f>
        <v/>
      </c>
      <c r="T241" s="4" t="str">
        <f>'Form responses 1'!AE243</f>
        <v/>
      </c>
      <c r="U241" s="4" t="str">
        <f>'Form responses 1'!AG243</f>
        <v/>
      </c>
      <c r="V241" s="4" t="str">
        <f>'Form responses 1'!AI243</f>
        <v/>
      </c>
      <c r="W241" s="4" t="str">
        <f>'Form responses 1'!AJ243</f>
        <v/>
      </c>
      <c r="X241" s="4" t="str">
        <f>'Form responses 1'!AK243</f>
        <v/>
      </c>
      <c r="Y241" s="4">
        <f t="shared" ref="Y241:AD241" si="240">if(S241&gt;0,1,0)</f>
        <v>0</v>
      </c>
      <c r="Z241" s="4">
        <f t="shared" si="240"/>
        <v>0</v>
      </c>
      <c r="AA241" s="4">
        <f t="shared" si="240"/>
        <v>0</v>
      </c>
      <c r="AB241" s="4">
        <f t="shared" si="240"/>
        <v>0</v>
      </c>
      <c r="AC241" s="4">
        <f t="shared" si="240"/>
        <v>0</v>
      </c>
      <c r="AD241" s="4">
        <f t="shared" si="240"/>
        <v>0</v>
      </c>
      <c r="AE241" s="4" t="str">
        <f>'Form responses 1'!AN243</f>
        <v/>
      </c>
      <c r="AF241" s="4" t="str">
        <f>'Form responses 1'!AO243</f>
        <v/>
      </c>
      <c r="AG241" s="4" t="str">
        <f>'Form responses 1'!AP243</f>
        <v/>
      </c>
      <c r="AH241" s="4" t="str">
        <f>'Form responses 1'!AQ243</f>
        <v/>
      </c>
      <c r="AI241" s="4" t="str">
        <f>'Form responses 1'!AR243</f>
        <v/>
      </c>
    </row>
    <row r="242">
      <c r="A242" s="26">
        <f>'Form responses 1'!B244</f>
        <v>46064</v>
      </c>
      <c r="B242" s="4" t="str">
        <f>'Form responses 1'!AZ244</f>
        <v>sumadhur.mummadi@capsdelivery.com</v>
      </c>
      <c r="C242" s="4" t="str">
        <f>'Form responses 1'!BR244</f>
        <v>Hari Dosa </v>
      </c>
      <c r="D242" s="4" t="str">
        <f>'Form responses 1'!AT244</f>
        <v/>
      </c>
      <c r="E242" s="4" t="str">
        <f>'Form responses 1'!AU244</f>
        <v>Yes</v>
      </c>
      <c r="F242" s="26">
        <f>'Form responses 1'!AX244</f>
        <v>46065</v>
      </c>
      <c r="G242" s="52">
        <f>'Form responses 1'!AY244</f>
        <v>0.8333333333</v>
      </c>
      <c r="H242" s="53" t="str">
        <f>'Form responses 1'!AW244</f>
        <v/>
      </c>
      <c r="I242" s="4" t="str">
        <f>'Form responses 1'!AS244</f>
        <v>No</v>
      </c>
      <c r="J242" s="4" t="str">
        <f>'Form responses 1'!J244</f>
        <v/>
      </c>
      <c r="K242" s="4" t="str">
        <f>'Form responses 1'!G244</f>
        <v/>
      </c>
      <c r="L242" s="4" t="str">
        <f>'Form responses 1'!F244</f>
        <v/>
      </c>
      <c r="M242" s="4" t="str">
        <f>'Form responses 1'!U244</f>
        <v>Hari</v>
      </c>
      <c r="N242" s="4">
        <f>'Form responses 1'!V244</f>
        <v>7702428848</v>
      </c>
      <c r="O242" s="4" t="str">
        <f>'Form responses 1'!W244</f>
        <v>NA</v>
      </c>
      <c r="P242" s="4" t="str">
        <f>'Form responses 1'!X244</f>
        <v/>
      </c>
      <c r="Q242" s="4" t="str">
        <f>'Form responses 1'!Y244</f>
        <v/>
      </c>
      <c r="R242" s="4" t="str">
        <f>'Form responses 1'!Z244</f>
        <v/>
      </c>
      <c r="S242" s="4" t="str">
        <f>'Form responses 1'!AC244</f>
        <v/>
      </c>
      <c r="T242" s="4" t="str">
        <f>'Form responses 1'!AE244</f>
        <v/>
      </c>
      <c r="U242" s="4" t="str">
        <f>'Form responses 1'!AG244</f>
        <v/>
      </c>
      <c r="V242" s="4" t="str">
        <f>'Form responses 1'!AI244</f>
        <v/>
      </c>
      <c r="W242" s="4" t="str">
        <f>'Form responses 1'!AJ244</f>
        <v/>
      </c>
      <c r="X242" s="4" t="str">
        <f>'Form responses 1'!AK244</f>
        <v/>
      </c>
      <c r="Y242" s="4">
        <f t="shared" ref="Y242:AD242" si="241">if(S242&gt;0,1,0)</f>
        <v>0</v>
      </c>
      <c r="Z242" s="4">
        <f t="shared" si="241"/>
        <v>0</v>
      </c>
      <c r="AA242" s="4">
        <f t="shared" si="241"/>
        <v>0</v>
      </c>
      <c r="AB242" s="4">
        <f t="shared" si="241"/>
        <v>0</v>
      </c>
      <c r="AC242" s="4">
        <f t="shared" si="241"/>
        <v>0</v>
      </c>
      <c r="AD242" s="4">
        <f t="shared" si="241"/>
        <v>0</v>
      </c>
      <c r="AE242" s="4" t="str">
        <f>'Form responses 1'!AN244</f>
        <v/>
      </c>
      <c r="AF242" s="4" t="str">
        <f>'Form responses 1'!AO244</f>
        <v/>
      </c>
      <c r="AG242" s="4" t="str">
        <f>'Form responses 1'!AP244</f>
        <v/>
      </c>
      <c r="AH242" s="4" t="str">
        <f>'Form responses 1'!AQ244</f>
        <v/>
      </c>
      <c r="AI242" s="4" t="str">
        <f>'Form responses 1'!AR244</f>
        <v/>
      </c>
    </row>
    <row r="243">
      <c r="A243" s="26">
        <f>'Form responses 1'!B245</f>
        <v>46064</v>
      </c>
      <c r="B243" s="4" t="str">
        <f>'Form responses 1'!AZ245</f>
        <v>sumadhur.mummadi@capsdelivery.com</v>
      </c>
      <c r="C243" s="4" t="str">
        <f>'Form responses 1'!BR245</f>
        <v>Kings biryani adda Kings biryani </v>
      </c>
      <c r="D243" s="4" t="str">
        <f>'Form responses 1'!AT245</f>
        <v/>
      </c>
      <c r="E243" s="4" t="str">
        <f>'Form responses 1'!AU245</f>
        <v>Yes</v>
      </c>
      <c r="F243" s="26">
        <f>'Form responses 1'!AX245</f>
        <v>46066</v>
      </c>
      <c r="G243" s="52">
        <f>'Form responses 1'!AY245</f>
        <v>0.75</v>
      </c>
      <c r="H243" s="53" t="str">
        <f>'Form responses 1'!AW245</f>
        <v/>
      </c>
      <c r="I243" s="4" t="str">
        <f>'Form responses 1'!AS245</f>
        <v>No</v>
      </c>
      <c r="J243" s="4" t="str">
        <f>'Form responses 1'!J245</f>
        <v/>
      </c>
      <c r="K243" s="4" t="str">
        <f>'Form responses 1'!G245</f>
        <v/>
      </c>
      <c r="L243" s="4" t="str">
        <f>'Form responses 1'!F245</f>
        <v/>
      </c>
      <c r="M243" s="4" t="str">
        <f>'Form responses 1'!U245</f>
        <v>Mahesh </v>
      </c>
      <c r="N243" s="4" t="str">
        <f>'Form responses 1'!V245</f>
        <v>87901 30941</v>
      </c>
      <c r="O243" s="4" t="str">
        <f>'Form responses 1'!W245</f>
        <v>NA</v>
      </c>
      <c r="P243" s="4" t="str">
        <f>'Form responses 1'!X245</f>
        <v/>
      </c>
      <c r="Q243" s="4" t="str">
        <f>'Form responses 1'!Y245</f>
        <v/>
      </c>
      <c r="R243" s="4" t="str">
        <f>'Form responses 1'!Z245</f>
        <v/>
      </c>
      <c r="S243" s="4" t="str">
        <f>'Form responses 1'!AC245</f>
        <v/>
      </c>
      <c r="T243" s="4" t="str">
        <f>'Form responses 1'!AE245</f>
        <v/>
      </c>
      <c r="U243" s="4" t="str">
        <f>'Form responses 1'!AG245</f>
        <v/>
      </c>
      <c r="V243" s="4" t="str">
        <f>'Form responses 1'!AI245</f>
        <v/>
      </c>
      <c r="W243" s="4" t="str">
        <f>'Form responses 1'!AJ245</f>
        <v/>
      </c>
      <c r="X243" s="4" t="str">
        <f>'Form responses 1'!AK245</f>
        <v/>
      </c>
      <c r="Y243" s="4">
        <f t="shared" ref="Y243:AD243" si="242">if(S243&gt;0,1,0)</f>
        <v>0</v>
      </c>
      <c r="Z243" s="4">
        <f t="shared" si="242"/>
        <v>0</v>
      </c>
      <c r="AA243" s="4">
        <f t="shared" si="242"/>
        <v>0</v>
      </c>
      <c r="AB243" s="4">
        <f t="shared" si="242"/>
        <v>0</v>
      </c>
      <c r="AC243" s="4">
        <f t="shared" si="242"/>
        <v>0</v>
      </c>
      <c r="AD243" s="4">
        <f t="shared" si="242"/>
        <v>0</v>
      </c>
      <c r="AE243" s="4" t="str">
        <f>'Form responses 1'!AN245</f>
        <v/>
      </c>
      <c r="AF243" s="4" t="str">
        <f>'Form responses 1'!AO245</f>
        <v/>
      </c>
      <c r="AG243" s="4" t="str">
        <f>'Form responses 1'!AP245</f>
        <v/>
      </c>
      <c r="AH243" s="4" t="str">
        <f>'Form responses 1'!AQ245</f>
        <v/>
      </c>
      <c r="AI243" s="4" t="str">
        <f>'Form responses 1'!AR245</f>
        <v/>
      </c>
    </row>
    <row r="244">
      <c r="A244" s="26">
        <f>'Form responses 1'!B246</f>
        <v>46064</v>
      </c>
      <c r="B244" s="4" t="str">
        <f>'Form responses 1'!AZ246</f>
        <v>nitya.akshara@capsdelivery.com</v>
      </c>
      <c r="C244" s="4" t="str">
        <f>'Form responses 1'!BR246</f>
        <v>Tipsy Topsy </v>
      </c>
      <c r="D244" s="4" t="str">
        <f>'Form responses 1'!AT246</f>
        <v/>
      </c>
      <c r="E244" s="4" t="str">
        <f>'Form responses 1'!AU246</f>
        <v>Yes</v>
      </c>
      <c r="F244" s="26">
        <f>'Form responses 1'!AX246</f>
        <v>46065</v>
      </c>
      <c r="G244" s="52">
        <f>'Form responses 1'!AY246</f>
        <v>0.5833333333</v>
      </c>
      <c r="H244" s="53" t="str">
        <f>'Form responses 1'!AW246</f>
        <v/>
      </c>
      <c r="I244" s="4" t="str">
        <f>'Form responses 1'!AS246</f>
        <v/>
      </c>
      <c r="J244" s="4" t="str">
        <f>'Form responses 1'!J246</f>
        <v/>
      </c>
      <c r="K244" s="4" t="str">
        <f>'Form responses 1'!G246</f>
        <v/>
      </c>
      <c r="L244" s="4" t="str">
        <f>'Form responses 1'!F246</f>
        <v/>
      </c>
      <c r="M244" s="4" t="str">
        <f>'Form responses 1'!U246</f>
        <v>Azeez </v>
      </c>
      <c r="N244" s="4" t="str">
        <f>'Form responses 1'!V246</f>
        <v>99850 95605</v>
      </c>
      <c r="O244" s="4" t="str">
        <f>'Form responses 1'!W246</f>
        <v>Na </v>
      </c>
      <c r="P244" s="4" t="str">
        <f>'Form responses 1'!X246</f>
        <v/>
      </c>
      <c r="Q244" s="4" t="str">
        <f>'Form responses 1'!Y246</f>
        <v/>
      </c>
      <c r="R244" s="4" t="str">
        <f>'Form responses 1'!Z246</f>
        <v/>
      </c>
      <c r="S244" s="4" t="str">
        <f>'Form responses 1'!AC246</f>
        <v/>
      </c>
      <c r="T244" s="4" t="str">
        <f>'Form responses 1'!AE246</f>
        <v/>
      </c>
      <c r="U244" s="4" t="str">
        <f>'Form responses 1'!AG246</f>
        <v/>
      </c>
      <c r="V244" s="4" t="str">
        <f>'Form responses 1'!AI246</f>
        <v/>
      </c>
      <c r="W244" s="4" t="str">
        <f>'Form responses 1'!AJ246</f>
        <v/>
      </c>
      <c r="X244" s="4" t="str">
        <f>'Form responses 1'!AK246</f>
        <v/>
      </c>
      <c r="Y244" s="4">
        <f t="shared" ref="Y244:AD244" si="243">if(S244&gt;0,1,0)</f>
        <v>0</v>
      </c>
      <c r="Z244" s="4">
        <f t="shared" si="243"/>
        <v>0</v>
      </c>
      <c r="AA244" s="4">
        <f t="shared" si="243"/>
        <v>0</v>
      </c>
      <c r="AB244" s="4">
        <f t="shared" si="243"/>
        <v>0</v>
      </c>
      <c r="AC244" s="4">
        <f t="shared" si="243"/>
        <v>0</v>
      </c>
      <c r="AD244" s="4">
        <f t="shared" si="243"/>
        <v>0</v>
      </c>
      <c r="AE244" s="4" t="str">
        <f>'Form responses 1'!AN246</f>
        <v/>
      </c>
      <c r="AF244" s="4" t="str">
        <f>'Form responses 1'!AO246</f>
        <v/>
      </c>
      <c r="AG244" s="4" t="str">
        <f>'Form responses 1'!AP246</f>
        <v/>
      </c>
      <c r="AH244" s="4" t="str">
        <f>'Form responses 1'!AQ246</f>
        <v/>
      </c>
      <c r="AI244" s="4" t="str">
        <f>'Form responses 1'!AR246</f>
        <v/>
      </c>
    </row>
    <row r="245">
      <c r="A245" s="26">
        <f>'Form responses 1'!B247</f>
        <v>46065</v>
      </c>
      <c r="B245" s="4" t="str">
        <f>'Form responses 1'!AZ247</f>
        <v>parthive.maganti@capsdelivery.com</v>
      </c>
      <c r="C245" s="4" t="str">
        <f>'Form responses 1'!BR247</f>
        <v>The turban taste</v>
      </c>
      <c r="D245" s="4" t="str">
        <f>'Form responses 1'!AT247</f>
        <v/>
      </c>
      <c r="E245" s="4" t="str">
        <f>'Form responses 1'!AU247</f>
        <v>Yes</v>
      </c>
      <c r="F245" s="26">
        <f>'Form responses 1'!AX247</f>
        <v>46069</v>
      </c>
      <c r="G245" s="52">
        <f>'Form responses 1'!AY247</f>
        <v>0.4166666667</v>
      </c>
      <c r="H245" s="53" t="str">
        <f>'Form responses 1'!AW247</f>
        <v>Na</v>
      </c>
      <c r="I245" s="4" t="str">
        <f>'Form responses 1'!AS247</f>
        <v/>
      </c>
      <c r="J245" s="4" t="str">
        <f>'Form responses 1'!J247</f>
        <v>Tier-3 ( AOV&lt;200 )</v>
      </c>
      <c r="K245" s="4">
        <f>'Form responses 1'!G247</f>
        <v>200</v>
      </c>
      <c r="L245" s="4">
        <f>'Form responses 1'!F247</f>
        <v>50</v>
      </c>
      <c r="M245" s="4" t="str">
        <f>'Form responses 1'!U247</f>
        <v>Param</v>
      </c>
      <c r="N245" s="4">
        <f>'Form responses 1'!V247</f>
        <v>7993930918</v>
      </c>
      <c r="O245" s="4" t="str">
        <f>'Form responses 1'!W247</f>
        <v>Na</v>
      </c>
      <c r="P245" s="4" t="str">
        <f>'Form responses 1'!X247</f>
        <v/>
      </c>
      <c r="Q245" s="4" t="str">
        <f>'Form responses 1'!Y247</f>
        <v/>
      </c>
      <c r="R245" s="4" t="str">
        <f>'Form responses 1'!Z247</f>
        <v/>
      </c>
      <c r="S245" s="4" t="str">
        <f>'Form responses 1'!AC247</f>
        <v/>
      </c>
      <c r="T245" s="4" t="str">
        <f>'Form responses 1'!AE247</f>
        <v/>
      </c>
      <c r="U245" s="4" t="str">
        <f>'Form responses 1'!AG247</f>
        <v/>
      </c>
      <c r="V245" s="4" t="str">
        <f>'Form responses 1'!AI247</f>
        <v/>
      </c>
      <c r="W245" s="4" t="str">
        <f>'Form responses 1'!AJ247</f>
        <v/>
      </c>
      <c r="X245" s="4" t="str">
        <f>'Form responses 1'!AK247</f>
        <v/>
      </c>
      <c r="Y245" s="4">
        <f t="shared" ref="Y245:AD245" si="244">if(S245&gt;0,1,0)</f>
        <v>0</v>
      </c>
      <c r="Z245" s="4">
        <f t="shared" si="244"/>
        <v>0</v>
      </c>
      <c r="AA245" s="4">
        <f t="shared" si="244"/>
        <v>0</v>
      </c>
      <c r="AB245" s="4">
        <f t="shared" si="244"/>
        <v>0</v>
      </c>
      <c r="AC245" s="4">
        <f t="shared" si="244"/>
        <v>0</v>
      </c>
      <c r="AD245" s="4">
        <f t="shared" si="244"/>
        <v>0</v>
      </c>
      <c r="AE245" s="4" t="str">
        <f>'Form responses 1'!AN247</f>
        <v/>
      </c>
      <c r="AF245" s="4" t="str">
        <f>'Form responses 1'!AO247</f>
        <v/>
      </c>
      <c r="AG245" s="4" t="str">
        <f>'Form responses 1'!AP247</f>
        <v/>
      </c>
      <c r="AH245" s="4" t="str">
        <f>'Form responses 1'!AQ247</f>
        <v/>
      </c>
      <c r="AI245" s="4" t="str">
        <f>'Form responses 1'!AR247</f>
        <v/>
      </c>
    </row>
    <row r="246">
      <c r="A246" s="26">
        <f>'Form responses 1'!B248</f>
        <v>46065</v>
      </c>
      <c r="B246" s="4" t="str">
        <f>'Form responses 1'!AZ248</f>
        <v>parthive.maganti@capsdelivery.com</v>
      </c>
      <c r="C246" s="4" t="str">
        <f>'Form responses 1'!BR248</f>
        <v>Cake exotica bakers</v>
      </c>
      <c r="D246" s="4" t="str">
        <f>'Form responses 1'!AT248</f>
        <v/>
      </c>
      <c r="E246" s="4" t="str">
        <f>'Form responses 1'!AU248</f>
        <v>Yes</v>
      </c>
      <c r="F246" s="26">
        <f>'Form responses 1'!AX248</f>
        <v>46065</v>
      </c>
      <c r="G246" s="52">
        <f>'Form responses 1'!AY248</f>
        <v>0.5798611111</v>
      </c>
      <c r="H246" s="53" t="str">
        <f>'Form responses 1'!AW248</f>
        <v/>
      </c>
      <c r="I246" s="4" t="str">
        <f>'Form responses 1'!AS248</f>
        <v/>
      </c>
      <c r="J246" s="4" t="str">
        <f>'Form responses 1'!J248</f>
        <v>Tier-3 ( AOV&lt;200 )</v>
      </c>
      <c r="K246" s="4">
        <f>'Form responses 1'!G248</f>
        <v>200</v>
      </c>
      <c r="L246" s="4">
        <f>'Form responses 1'!F248</f>
        <v>25</v>
      </c>
      <c r="M246" s="4" t="str">
        <f>'Form responses 1'!U248</f>
        <v>Basha </v>
      </c>
      <c r="N246" s="4">
        <f>'Form responses 1'!V248</f>
        <v>9849765228</v>
      </c>
      <c r="O246" s="4" t="str">
        <f>'Form responses 1'!W248</f>
        <v>Na</v>
      </c>
      <c r="P246" s="4" t="str">
        <f>'Form responses 1'!X248</f>
        <v/>
      </c>
      <c r="Q246" s="4" t="str">
        <f>'Form responses 1'!Y248</f>
        <v/>
      </c>
      <c r="R246" s="4" t="str">
        <f>'Form responses 1'!Z248</f>
        <v/>
      </c>
      <c r="S246" s="4" t="str">
        <f>'Form responses 1'!AC248</f>
        <v/>
      </c>
      <c r="T246" s="4" t="str">
        <f>'Form responses 1'!AE248</f>
        <v/>
      </c>
      <c r="U246" s="4" t="str">
        <f>'Form responses 1'!AG248</f>
        <v/>
      </c>
      <c r="V246" s="4" t="str">
        <f>'Form responses 1'!AI248</f>
        <v/>
      </c>
      <c r="W246" s="4" t="str">
        <f>'Form responses 1'!AJ248</f>
        <v/>
      </c>
      <c r="X246" s="4" t="str">
        <f>'Form responses 1'!AK248</f>
        <v/>
      </c>
      <c r="Y246" s="4">
        <f t="shared" ref="Y246:AD246" si="245">if(S246&gt;0,1,0)</f>
        <v>0</v>
      </c>
      <c r="Z246" s="4">
        <f t="shared" si="245"/>
        <v>0</v>
      </c>
      <c r="AA246" s="4">
        <f t="shared" si="245"/>
        <v>0</v>
      </c>
      <c r="AB246" s="4">
        <f t="shared" si="245"/>
        <v>0</v>
      </c>
      <c r="AC246" s="4">
        <f t="shared" si="245"/>
        <v>0</v>
      </c>
      <c r="AD246" s="4">
        <f t="shared" si="245"/>
        <v>0</v>
      </c>
      <c r="AE246" s="4" t="str">
        <f>'Form responses 1'!AN248</f>
        <v/>
      </c>
      <c r="AF246" s="4" t="str">
        <f>'Form responses 1'!AO248</f>
        <v/>
      </c>
      <c r="AG246" s="4" t="str">
        <f>'Form responses 1'!AP248</f>
        <v/>
      </c>
      <c r="AH246" s="4" t="str">
        <f>'Form responses 1'!AQ248</f>
        <v/>
      </c>
      <c r="AI246" s="4" t="str">
        <f>'Form responses 1'!AR248</f>
        <v/>
      </c>
    </row>
    <row r="247">
      <c r="A247" s="26">
        <f>'Form responses 1'!B249</f>
        <v>46065</v>
      </c>
      <c r="B247" s="4" t="str">
        <f>'Form responses 1'!AZ249</f>
        <v>greeshma.vanneldas@capsdelivery.com</v>
      </c>
      <c r="C247" s="4" t="str">
        <f>'Form responses 1'!BR249</f>
        <v>Palleturi dosa</v>
      </c>
      <c r="D247" s="4" t="str">
        <f>'Form responses 1'!AT249</f>
        <v/>
      </c>
      <c r="E247" s="4" t="str">
        <f>'Form responses 1'!AU249</f>
        <v>Yes</v>
      </c>
      <c r="F247" s="4" t="str">
        <f>'Form responses 1'!AX249</f>
        <v/>
      </c>
      <c r="G247" s="4" t="str">
        <f>'Form responses 1'!AY249</f>
        <v/>
      </c>
      <c r="H247" s="53" t="str">
        <f>'Form responses 1'!AW249</f>
        <v>Manager will be available after 5 in the restaurant </v>
      </c>
      <c r="I247" s="4" t="str">
        <f>'Form responses 1'!AS249</f>
        <v/>
      </c>
      <c r="J247" s="4" t="str">
        <f>'Form responses 1'!J249</f>
        <v/>
      </c>
      <c r="K247" s="4" t="str">
        <f>'Form responses 1'!G249</f>
        <v/>
      </c>
      <c r="L247" s="4" t="str">
        <f>'Form responses 1'!F249</f>
        <v/>
      </c>
      <c r="M247" s="4" t="str">
        <f>'Form responses 1'!U249</f>
        <v>Praveen</v>
      </c>
      <c r="N247" s="4">
        <f>'Form responses 1'!V249</f>
        <v>9010776408</v>
      </c>
      <c r="O247" s="4" t="str">
        <f>'Form responses 1'!W249</f>
        <v>Na</v>
      </c>
      <c r="P247" s="4" t="str">
        <f>'Form responses 1'!X249</f>
        <v/>
      </c>
      <c r="Q247" s="4" t="str">
        <f>'Form responses 1'!Y249</f>
        <v/>
      </c>
      <c r="R247" s="4" t="str">
        <f>'Form responses 1'!Z249</f>
        <v/>
      </c>
      <c r="S247" s="4" t="str">
        <f>'Form responses 1'!AC249</f>
        <v/>
      </c>
      <c r="T247" s="4" t="str">
        <f>'Form responses 1'!AE249</f>
        <v/>
      </c>
      <c r="U247" s="4" t="str">
        <f>'Form responses 1'!AG249</f>
        <v/>
      </c>
      <c r="V247" s="4" t="str">
        <f>'Form responses 1'!AI249</f>
        <v/>
      </c>
      <c r="W247" s="4" t="str">
        <f>'Form responses 1'!AJ249</f>
        <v/>
      </c>
      <c r="X247" s="4" t="str">
        <f>'Form responses 1'!AK249</f>
        <v/>
      </c>
      <c r="Y247" s="4">
        <f t="shared" ref="Y247:AD247" si="246">if(S247&gt;0,1,0)</f>
        <v>0</v>
      </c>
      <c r="Z247" s="4">
        <f t="shared" si="246"/>
        <v>0</v>
      </c>
      <c r="AA247" s="4">
        <f t="shared" si="246"/>
        <v>0</v>
      </c>
      <c r="AB247" s="4">
        <f t="shared" si="246"/>
        <v>0</v>
      </c>
      <c r="AC247" s="4">
        <f t="shared" si="246"/>
        <v>0</v>
      </c>
      <c r="AD247" s="4">
        <f t="shared" si="246"/>
        <v>0</v>
      </c>
      <c r="AE247" s="4" t="str">
        <f>'Form responses 1'!AN249</f>
        <v/>
      </c>
      <c r="AF247" s="4" t="str">
        <f>'Form responses 1'!AO249</f>
        <v/>
      </c>
      <c r="AG247" s="4" t="str">
        <f>'Form responses 1'!AP249</f>
        <v/>
      </c>
      <c r="AH247" s="4" t="str">
        <f>'Form responses 1'!AQ249</f>
        <v/>
      </c>
      <c r="AI247" s="4" t="str">
        <f>'Form responses 1'!AR249</f>
        <v/>
      </c>
    </row>
    <row r="248">
      <c r="A248" s="26">
        <f>'Form responses 1'!B250</f>
        <v>46065</v>
      </c>
      <c r="B248" s="4" t="str">
        <f>'Form responses 1'!AZ250</f>
        <v>madhumitha.sonnakula@capsdelivery.com</v>
      </c>
      <c r="C248" s="4" t="str">
        <f>'Form responses 1'!BR250</f>
        <v>AI RAHAMN BAKERYAI RAHAMAN BAKERY</v>
      </c>
      <c r="D248" s="4" t="str">
        <f>'Form responses 1'!AT250</f>
        <v/>
      </c>
      <c r="E248" s="4" t="str">
        <f>'Form responses 1'!AU250</f>
        <v>Yes</v>
      </c>
      <c r="F248" s="4" t="str">
        <f>'Form responses 1'!AX250</f>
        <v/>
      </c>
      <c r="G248" s="4" t="str">
        <f>'Form responses 1'!AY250</f>
        <v/>
      </c>
      <c r="H248" s="53" t="str">
        <f>'Form responses 1'!AW250</f>
        <v/>
      </c>
      <c r="I248" s="4" t="str">
        <f>'Form responses 1'!AS250</f>
        <v/>
      </c>
      <c r="J248" s="4" t="str">
        <f>'Form responses 1'!J250</f>
        <v/>
      </c>
      <c r="K248" s="4" t="str">
        <f>'Form responses 1'!G250</f>
        <v/>
      </c>
      <c r="L248" s="4" t="str">
        <f>'Form responses 1'!F250</f>
        <v/>
      </c>
      <c r="M248" s="4" t="str">
        <f>'Form responses 1'!U250</f>
        <v>RAHAMAN</v>
      </c>
      <c r="N248" s="4">
        <f>'Form responses 1'!V250</f>
        <v>7981607619</v>
      </c>
      <c r="O248" s="4" t="str">
        <f>'Form responses 1'!W250</f>
        <v>NA</v>
      </c>
      <c r="P248" s="4" t="str">
        <f>'Form responses 1'!X250</f>
        <v/>
      </c>
      <c r="Q248" s="4" t="str">
        <f>'Form responses 1'!Y250</f>
        <v/>
      </c>
      <c r="R248" s="4" t="str">
        <f>'Form responses 1'!Z250</f>
        <v/>
      </c>
      <c r="S248" s="4" t="str">
        <f>'Form responses 1'!AC250</f>
        <v/>
      </c>
      <c r="T248" s="4" t="str">
        <f>'Form responses 1'!AE250</f>
        <v/>
      </c>
      <c r="U248" s="4" t="str">
        <f>'Form responses 1'!AG250</f>
        <v/>
      </c>
      <c r="V248" s="4" t="str">
        <f>'Form responses 1'!AI250</f>
        <v/>
      </c>
      <c r="W248" s="4" t="str">
        <f>'Form responses 1'!AJ250</f>
        <v/>
      </c>
      <c r="X248" s="4" t="str">
        <f>'Form responses 1'!AK250</f>
        <v/>
      </c>
      <c r="Y248" s="4">
        <f t="shared" ref="Y248:AD248" si="247">if(S248&gt;0,1,0)</f>
        <v>0</v>
      </c>
      <c r="Z248" s="4">
        <f t="shared" si="247"/>
        <v>0</v>
      </c>
      <c r="AA248" s="4">
        <f t="shared" si="247"/>
        <v>0</v>
      </c>
      <c r="AB248" s="4">
        <f t="shared" si="247"/>
        <v>0</v>
      </c>
      <c r="AC248" s="4">
        <f t="shared" si="247"/>
        <v>0</v>
      </c>
      <c r="AD248" s="4">
        <f t="shared" si="247"/>
        <v>0</v>
      </c>
      <c r="AE248" s="4" t="str">
        <f>'Form responses 1'!AN250</f>
        <v/>
      </c>
      <c r="AF248" s="4" t="str">
        <f>'Form responses 1'!AO250</f>
        <v/>
      </c>
      <c r="AG248" s="4" t="str">
        <f>'Form responses 1'!AP250</f>
        <v/>
      </c>
      <c r="AH248" s="4" t="str">
        <f>'Form responses 1'!AQ250</f>
        <v/>
      </c>
      <c r="AI248" s="4" t="str">
        <f>'Form responses 1'!AR250</f>
        <v/>
      </c>
    </row>
    <row r="249">
      <c r="A249" s="26">
        <f>'Form responses 1'!B251</f>
        <v>46065</v>
      </c>
      <c r="B249" s="4" t="str">
        <f>'Form responses 1'!AZ251</f>
        <v>akhila.narra@capsdelivery.com</v>
      </c>
      <c r="C249" s="4" t="str">
        <f>'Form responses 1'!BR251</f>
        <v>AFC</v>
      </c>
      <c r="D249" s="4" t="str">
        <f>'Form responses 1'!AT251</f>
        <v/>
      </c>
      <c r="E249" s="4" t="str">
        <f>'Form responses 1'!AU251</f>
        <v>Yes</v>
      </c>
      <c r="F249" s="26">
        <f>'Form responses 1'!AX251</f>
        <v>46066</v>
      </c>
      <c r="G249" s="52">
        <f>'Form responses 1'!AY251</f>
        <v>0.0625</v>
      </c>
      <c r="H249" s="53" t="str">
        <f>'Form responses 1'!AW251</f>
        <v>Need to discuss about the restaurant how the other Platforms Were doing </v>
      </c>
      <c r="I249" s="4" t="str">
        <f>'Form responses 1'!AS251</f>
        <v/>
      </c>
      <c r="J249" s="4" t="str">
        <f>'Form responses 1'!J251</f>
        <v>Tier-2 (AOV &lt;400)</v>
      </c>
      <c r="K249" s="4">
        <f>'Form responses 1'!G251</f>
        <v>400</v>
      </c>
      <c r="L249" s="4">
        <f>'Form responses 1'!F251</f>
        <v>25</v>
      </c>
      <c r="M249" s="4" t="str">
        <f>'Form responses 1'!U251</f>
        <v>Aram</v>
      </c>
      <c r="N249" s="4">
        <f>'Form responses 1'!V251</f>
        <v>8884066682</v>
      </c>
      <c r="O249" s="4" t="str">
        <f>'Form responses 1'!W251</f>
        <v>Na</v>
      </c>
      <c r="P249" s="4" t="str">
        <f>'Form responses 1'!X251</f>
        <v>Na</v>
      </c>
      <c r="Q249" s="4">
        <f>'Form responses 1'!Y251</f>
        <v>12</v>
      </c>
      <c r="R249" s="4" t="str">
        <f>'Form responses 1'!Z251</f>
        <v>Na</v>
      </c>
      <c r="S249" s="4" t="str">
        <f>'Form responses 1'!AC251</f>
        <v/>
      </c>
      <c r="T249" s="4" t="str">
        <f>'Form responses 1'!AE251</f>
        <v/>
      </c>
      <c r="U249" s="4" t="str">
        <f>'Form responses 1'!AG251</f>
        <v/>
      </c>
      <c r="V249" s="4" t="str">
        <f>'Form responses 1'!AI251</f>
        <v/>
      </c>
      <c r="W249" s="4" t="str">
        <f>'Form responses 1'!AJ251</f>
        <v/>
      </c>
      <c r="X249" s="4" t="str">
        <f>'Form responses 1'!AK251</f>
        <v/>
      </c>
      <c r="Y249" s="4">
        <f t="shared" ref="Y249:AD249" si="248">if(S249&gt;0,1,0)</f>
        <v>0</v>
      </c>
      <c r="Z249" s="4">
        <f t="shared" si="248"/>
        <v>0</v>
      </c>
      <c r="AA249" s="4">
        <f t="shared" si="248"/>
        <v>0</v>
      </c>
      <c r="AB249" s="4">
        <f t="shared" si="248"/>
        <v>0</v>
      </c>
      <c r="AC249" s="4">
        <f t="shared" si="248"/>
        <v>0</v>
      </c>
      <c r="AD249" s="4">
        <f t="shared" si="248"/>
        <v>0</v>
      </c>
      <c r="AE249" s="4" t="str">
        <f>'Form responses 1'!AN251</f>
        <v/>
      </c>
      <c r="AF249" s="4" t="str">
        <f>'Form responses 1'!AO251</f>
        <v/>
      </c>
      <c r="AG249" s="4" t="str">
        <f>'Form responses 1'!AP251</f>
        <v/>
      </c>
      <c r="AH249" s="4" t="str">
        <f>'Form responses 1'!AQ251</f>
        <v/>
      </c>
      <c r="AI249" s="4" t="str">
        <f>'Form responses 1'!AR251</f>
        <v/>
      </c>
    </row>
    <row r="250">
      <c r="A250" s="26">
        <f>'Form responses 1'!B252</f>
        <v>46065</v>
      </c>
      <c r="B250" s="4" t="str">
        <f>'Form responses 1'!AZ252</f>
        <v>manasa.chigurupati@capsdelivery.com</v>
      </c>
      <c r="C250" s="4" t="str">
        <f>'Form responses 1'!BR252</f>
        <v>Honey foods Tapeshwaram Kaja</v>
      </c>
      <c r="D250" s="4" t="str">
        <f>'Form responses 1'!AT252</f>
        <v/>
      </c>
      <c r="E250" s="4" t="str">
        <f>'Form responses 1'!AU252</f>
        <v>Yes</v>
      </c>
      <c r="F250" s="4" t="str">
        <f>'Form responses 1'!AX252</f>
        <v/>
      </c>
      <c r="G250" s="4" t="str">
        <f>'Form responses 1'!AY252</f>
        <v/>
      </c>
      <c r="H250" s="53" t="str">
        <f>'Form responses 1'!AW252</f>
        <v/>
      </c>
      <c r="I250" s="4" t="str">
        <f>'Form responses 1'!AS252</f>
        <v/>
      </c>
      <c r="J250" s="4" t="str">
        <f>'Form responses 1'!J252</f>
        <v/>
      </c>
      <c r="K250" s="4" t="str">
        <f>'Form responses 1'!G252</f>
        <v/>
      </c>
      <c r="L250" s="4" t="str">
        <f>'Form responses 1'!F252</f>
        <v/>
      </c>
      <c r="M250" s="4" t="str">
        <f>'Form responses 1'!U252</f>
        <v>Uma maheshwar rao</v>
      </c>
      <c r="N250" s="4">
        <f>'Form responses 1'!V252</f>
        <v>9849963003</v>
      </c>
      <c r="O250" s="4" t="str">
        <f>'Form responses 1'!W252</f>
        <v>Na</v>
      </c>
      <c r="P250" s="4" t="str">
        <f>'Form responses 1'!X252</f>
        <v/>
      </c>
      <c r="Q250" s="4" t="str">
        <f>'Form responses 1'!Y252</f>
        <v/>
      </c>
      <c r="R250" s="4" t="str">
        <f>'Form responses 1'!Z252</f>
        <v/>
      </c>
      <c r="S250" s="4" t="str">
        <f>'Form responses 1'!AC252</f>
        <v/>
      </c>
      <c r="T250" s="4" t="str">
        <f>'Form responses 1'!AE252</f>
        <v/>
      </c>
      <c r="U250" s="4" t="str">
        <f>'Form responses 1'!AG252</f>
        <v/>
      </c>
      <c r="V250" s="4" t="str">
        <f>'Form responses 1'!AI252</f>
        <v/>
      </c>
      <c r="W250" s="4" t="str">
        <f>'Form responses 1'!AJ252</f>
        <v/>
      </c>
      <c r="X250" s="4" t="str">
        <f>'Form responses 1'!AK252</f>
        <v/>
      </c>
      <c r="Y250" s="4">
        <f t="shared" ref="Y250:AD250" si="249">if(S250&gt;0,1,0)</f>
        <v>0</v>
      </c>
      <c r="Z250" s="4">
        <f t="shared" si="249"/>
        <v>0</v>
      </c>
      <c r="AA250" s="4">
        <f t="shared" si="249"/>
        <v>0</v>
      </c>
      <c r="AB250" s="4">
        <f t="shared" si="249"/>
        <v>0</v>
      </c>
      <c r="AC250" s="4">
        <f t="shared" si="249"/>
        <v>0</v>
      </c>
      <c r="AD250" s="4">
        <f t="shared" si="249"/>
        <v>0</v>
      </c>
      <c r="AE250" s="4" t="str">
        <f>'Form responses 1'!AN252</f>
        <v/>
      </c>
      <c r="AF250" s="4" t="str">
        <f>'Form responses 1'!AO252</f>
        <v/>
      </c>
      <c r="AG250" s="4" t="str">
        <f>'Form responses 1'!AP252</f>
        <v/>
      </c>
      <c r="AH250" s="4" t="str">
        <f>'Form responses 1'!AQ252</f>
        <v/>
      </c>
      <c r="AI250" s="4" t="str">
        <f>'Form responses 1'!AR252</f>
        <v/>
      </c>
    </row>
    <row r="251">
      <c r="A251" s="26">
        <f>'Form responses 1'!B253</f>
        <v>46065</v>
      </c>
      <c r="B251" s="4" t="str">
        <f>'Form responses 1'!AZ253</f>
        <v>madhumitha.sonnakula@capsdelivery.com</v>
      </c>
      <c r="C251" s="4" t="str">
        <f>'Form responses 1'!BR253</f>
        <v>AL BAIK AL BAIK</v>
      </c>
      <c r="D251" s="4" t="str">
        <f>'Form responses 1'!AT253</f>
        <v/>
      </c>
      <c r="E251" s="4" t="str">
        <f>'Form responses 1'!AU253</f>
        <v>Yes</v>
      </c>
      <c r="F251" s="26">
        <f>'Form responses 1'!AX253</f>
        <v>46065</v>
      </c>
      <c r="G251" s="52">
        <f>'Form responses 1'!AY253</f>
        <v>0.2083333333</v>
      </c>
      <c r="H251" s="53" t="str">
        <f>'Form responses 1'!AW253</f>
        <v/>
      </c>
      <c r="I251" s="4" t="str">
        <f>'Form responses 1'!AS253</f>
        <v/>
      </c>
      <c r="J251" s="4" t="str">
        <f>'Form responses 1'!J253</f>
        <v/>
      </c>
      <c r="K251" s="4" t="str">
        <f>'Form responses 1'!G253</f>
        <v/>
      </c>
      <c r="L251" s="4" t="str">
        <f>'Form responses 1'!F253</f>
        <v/>
      </c>
      <c r="M251" s="4" t="str">
        <f>'Form responses 1'!U253</f>
        <v>AL BAIK</v>
      </c>
      <c r="N251" s="4" t="str">
        <f>'Form responses 1'!V253</f>
        <v>NA</v>
      </c>
      <c r="O251" s="4" t="str">
        <f>'Form responses 1'!W253</f>
        <v>NA</v>
      </c>
      <c r="P251" s="4" t="str">
        <f>'Form responses 1'!X253</f>
        <v/>
      </c>
      <c r="Q251" s="4" t="str">
        <f>'Form responses 1'!Y253</f>
        <v/>
      </c>
      <c r="R251" s="4" t="str">
        <f>'Form responses 1'!Z253</f>
        <v/>
      </c>
      <c r="S251" s="4" t="str">
        <f>'Form responses 1'!AC253</f>
        <v/>
      </c>
      <c r="T251" s="4" t="str">
        <f>'Form responses 1'!AE253</f>
        <v/>
      </c>
      <c r="U251" s="4" t="str">
        <f>'Form responses 1'!AG253</f>
        <v/>
      </c>
      <c r="V251" s="4" t="str">
        <f>'Form responses 1'!AI253</f>
        <v/>
      </c>
      <c r="W251" s="4" t="str">
        <f>'Form responses 1'!AJ253</f>
        <v/>
      </c>
      <c r="X251" s="4" t="str">
        <f>'Form responses 1'!AK253</f>
        <v/>
      </c>
      <c r="Y251" s="4">
        <f t="shared" ref="Y251:AD251" si="250">if(S251&gt;0,1,0)</f>
        <v>0</v>
      </c>
      <c r="Z251" s="4">
        <f t="shared" si="250"/>
        <v>0</v>
      </c>
      <c r="AA251" s="4">
        <f t="shared" si="250"/>
        <v>0</v>
      </c>
      <c r="AB251" s="4">
        <f t="shared" si="250"/>
        <v>0</v>
      </c>
      <c r="AC251" s="4">
        <f t="shared" si="250"/>
        <v>0</v>
      </c>
      <c r="AD251" s="4">
        <f t="shared" si="250"/>
        <v>0</v>
      </c>
      <c r="AE251" s="4" t="str">
        <f>'Form responses 1'!AN253</f>
        <v/>
      </c>
      <c r="AF251" s="4" t="str">
        <f>'Form responses 1'!AO253</f>
        <v/>
      </c>
      <c r="AG251" s="4" t="str">
        <f>'Form responses 1'!AP253</f>
        <v/>
      </c>
      <c r="AH251" s="4" t="str">
        <f>'Form responses 1'!AQ253</f>
        <v/>
      </c>
      <c r="AI251" s="4" t="str">
        <f>'Form responses 1'!AR253</f>
        <v/>
      </c>
    </row>
    <row r="252">
      <c r="A252" s="26">
        <f>'Form responses 1'!B254</f>
        <v>46065</v>
      </c>
      <c r="B252" s="4" t="str">
        <f>'Form responses 1'!AZ254</f>
        <v>manasa.chigurupati@capsdelivery.com</v>
      </c>
      <c r="C252" s="4" t="str">
        <f>'Form responses 1'!BR254</f>
        <v>Coffee place </v>
      </c>
      <c r="D252" s="4" t="str">
        <f>'Form responses 1'!AT254</f>
        <v>Onboarded </v>
      </c>
      <c r="E252" s="4" t="str">
        <f>'Form responses 1'!AU254</f>
        <v>No</v>
      </c>
      <c r="F252" s="4" t="str">
        <f>'Form responses 1'!AX254</f>
        <v/>
      </c>
      <c r="G252" s="4" t="str">
        <f>'Form responses 1'!AY254</f>
        <v/>
      </c>
      <c r="H252" s="53" t="str">
        <f>'Form responses 1'!AW254</f>
        <v/>
      </c>
      <c r="I252" s="4" t="str">
        <f>'Form responses 1'!AS254</f>
        <v>Yes</v>
      </c>
      <c r="J252" s="4" t="str">
        <f>'Form responses 1'!J254</f>
        <v>Tier-2 (AOV &lt;400)</v>
      </c>
      <c r="K252" s="4">
        <f>'Form responses 1'!G254</f>
        <v>200</v>
      </c>
      <c r="L252" s="4">
        <f>'Form responses 1'!F254</f>
        <v>30</v>
      </c>
      <c r="M252" s="4" t="str">
        <f>'Form responses 1'!U254</f>
        <v>Sanjeev Reddy</v>
      </c>
      <c r="N252" s="4">
        <f>'Form responses 1'!V254</f>
        <v>8125125635</v>
      </c>
      <c r="O252" s="4" t="str">
        <f>'Form responses 1'!W254</f>
        <v>Jaimaanukonda7@gmail.com</v>
      </c>
      <c r="P252" s="4" t="str">
        <f>'Form responses 1'!X254</f>
        <v/>
      </c>
      <c r="Q252" s="4" t="str">
        <f>'Form responses 1'!Y254</f>
        <v/>
      </c>
      <c r="R252" s="4" t="str">
        <f>'Form responses 1'!Z254</f>
        <v/>
      </c>
      <c r="S252" s="4" t="str">
        <f>'Form responses 1'!AC254</f>
        <v/>
      </c>
      <c r="T252" s="4" t="str">
        <f>'Form responses 1'!AE254</f>
        <v/>
      </c>
      <c r="U252" s="4" t="str">
        <f>'Form responses 1'!AG254</f>
        <v/>
      </c>
      <c r="V252" s="4" t="str">
        <f>'Form responses 1'!AI254</f>
        <v/>
      </c>
      <c r="W252" s="4" t="str">
        <f>'Form responses 1'!AJ254</f>
        <v/>
      </c>
      <c r="X252" s="4" t="str">
        <f>'Form responses 1'!AK254</f>
        <v/>
      </c>
      <c r="Y252" s="4">
        <f t="shared" ref="Y252:AD252" si="251">if(S252&gt;0,1,0)</f>
        <v>0</v>
      </c>
      <c r="Z252" s="4">
        <f t="shared" si="251"/>
        <v>0</v>
      </c>
      <c r="AA252" s="4">
        <f t="shared" si="251"/>
        <v>0</v>
      </c>
      <c r="AB252" s="4">
        <f t="shared" si="251"/>
        <v>0</v>
      </c>
      <c r="AC252" s="4">
        <f t="shared" si="251"/>
        <v>0</v>
      </c>
      <c r="AD252" s="4">
        <f t="shared" si="251"/>
        <v>0</v>
      </c>
      <c r="AE252" s="4" t="str">
        <f>'Form responses 1'!AN254</f>
        <v/>
      </c>
      <c r="AF252" s="4" t="str">
        <f>'Form responses 1'!AO254</f>
        <v/>
      </c>
      <c r="AG252" s="4" t="str">
        <f>'Form responses 1'!AP254</f>
        <v/>
      </c>
      <c r="AH252" s="4" t="str">
        <f>'Form responses 1'!AQ254</f>
        <v/>
      </c>
      <c r="AI252" s="4" t="str">
        <f>'Form responses 1'!AR254</f>
        <v/>
      </c>
    </row>
    <row r="253">
      <c r="A253" s="26">
        <f>'Form responses 1'!B255</f>
        <v>46065</v>
      </c>
      <c r="B253" s="4" t="str">
        <f>'Form responses 1'!AZ255</f>
        <v>akhila.narra@capsdelivery.com</v>
      </c>
      <c r="C253" s="4" t="str">
        <f>'Form responses 1'!BR255</f>
        <v>Al - RikaaabAl Rikaab</v>
      </c>
      <c r="D253" s="4" t="str">
        <f>'Form responses 1'!AT255</f>
        <v/>
      </c>
      <c r="E253" s="4" t="str">
        <f>'Form responses 1'!AU255</f>
        <v>Yes</v>
      </c>
      <c r="F253" s="26">
        <f>'Form responses 1'!AX255</f>
        <v>46065</v>
      </c>
      <c r="G253" s="52">
        <f>'Form responses 1'!AY255</f>
        <v>0.3125</v>
      </c>
      <c r="H253" s="53" t="str">
        <f>'Form responses 1'!AW255</f>
        <v>19++</v>
      </c>
      <c r="I253" s="4" t="str">
        <f>'Form responses 1'!AS255</f>
        <v/>
      </c>
      <c r="J253" s="4" t="str">
        <f>'Form responses 1'!J255</f>
        <v/>
      </c>
      <c r="K253" s="4" t="str">
        <f>'Form responses 1'!G255</f>
        <v/>
      </c>
      <c r="L253" s="4" t="str">
        <f>'Form responses 1'!F255</f>
        <v/>
      </c>
      <c r="M253" s="4" t="str">
        <f>'Form responses 1'!U255</f>
        <v>Abdul</v>
      </c>
      <c r="N253" s="4">
        <f>'Form responses 1'!V255</f>
        <v>6281748490</v>
      </c>
      <c r="O253" s="4" t="str">
        <f>'Form responses 1'!W255</f>
        <v>Na</v>
      </c>
      <c r="P253" s="4" t="str">
        <f>'Form responses 1'!X255</f>
        <v>Na</v>
      </c>
      <c r="Q253" s="4">
        <f>'Form responses 1'!Y255</f>
        <v>12</v>
      </c>
      <c r="R253" s="4" t="str">
        <f>'Form responses 1'!Z255</f>
        <v>Na</v>
      </c>
      <c r="S253" s="4" t="str">
        <f>'Form responses 1'!AC255</f>
        <v/>
      </c>
      <c r="T253" s="4" t="str">
        <f>'Form responses 1'!AE255</f>
        <v/>
      </c>
      <c r="U253" s="4" t="str">
        <f>'Form responses 1'!AG255</f>
        <v/>
      </c>
      <c r="V253" s="4" t="str">
        <f>'Form responses 1'!AI255</f>
        <v/>
      </c>
      <c r="W253" s="4" t="str">
        <f>'Form responses 1'!AJ255</f>
        <v/>
      </c>
      <c r="X253" s="4" t="str">
        <f>'Form responses 1'!AK255</f>
        <v/>
      </c>
      <c r="Y253" s="4">
        <f t="shared" ref="Y253:AD253" si="252">if(S253&gt;0,1,0)</f>
        <v>0</v>
      </c>
      <c r="Z253" s="4">
        <f t="shared" si="252"/>
        <v>0</v>
      </c>
      <c r="AA253" s="4">
        <f t="shared" si="252"/>
        <v>0</v>
      </c>
      <c r="AB253" s="4">
        <f t="shared" si="252"/>
        <v>0</v>
      </c>
      <c r="AC253" s="4">
        <f t="shared" si="252"/>
        <v>0</v>
      </c>
      <c r="AD253" s="4">
        <f t="shared" si="252"/>
        <v>0</v>
      </c>
      <c r="AE253" s="4" t="str">
        <f>'Form responses 1'!AN255</f>
        <v/>
      </c>
      <c r="AF253" s="4" t="str">
        <f>'Form responses 1'!AO255</f>
        <v/>
      </c>
      <c r="AG253" s="4" t="str">
        <f>'Form responses 1'!AP255</f>
        <v/>
      </c>
      <c r="AH253" s="4" t="str">
        <f>'Form responses 1'!AQ255</f>
        <v/>
      </c>
      <c r="AI253" s="4" t="str">
        <f>'Form responses 1'!AR255</f>
        <v/>
      </c>
    </row>
    <row r="254">
      <c r="A254" s="26">
        <f>'Form responses 1'!B256</f>
        <v>46065</v>
      </c>
      <c r="B254" s="4" t="str">
        <f>'Form responses 1'!AZ256</f>
        <v>nitya.akshara@capsdelivery.com</v>
      </c>
      <c r="C254" s="4" t="str">
        <f>'Form responses 1'!BR256</f>
        <v>Kalingapatnam </v>
      </c>
      <c r="D254" s="4" t="str">
        <f>'Form responses 1'!AT256</f>
        <v/>
      </c>
      <c r="E254" s="4" t="str">
        <f>'Form responses 1'!AU256</f>
        <v>Yes</v>
      </c>
      <c r="F254" s="4" t="str">
        <f>'Form responses 1'!AX256</f>
        <v/>
      </c>
      <c r="G254" s="4" t="str">
        <f>'Form responses 1'!AY256</f>
        <v/>
      </c>
      <c r="H254" s="53" t="str">
        <f>'Form responses 1'!AW256</f>
        <v/>
      </c>
      <c r="I254" s="4" t="str">
        <f>'Form responses 1'!AS256</f>
        <v/>
      </c>
      <c r="J254" s="4" t="str">
        <f>'Form responses 1'!J256</f>
        <v>Tier-2 (AOV &lt;400)</v>
      </c>
      <c r="K254" s="4">
        <f>'Form responses 1'!G256</f>
        <v>1</v>
      </c>
      <c r="L254" s="4">
        <f>'Form responses 1'!F256</f>
        <v>40</v>
      </c>
      <c r="M254" s="4" t="str">
        <f>'Form responses 1'!U256</f>
        <v>Vijay </v>
      </c>
      <c r="N254" s="4" t="str">
        <f>'Form responses 1'!V256</f>
        <v>95422 33485</v>
      </c>
      <c r="O254" s="4" t="str">
        <f>'Form responses 1'!W256</f>
        <v>NA </v>
      </c>
      <c r="P254" s="4" t="str">
        <f>'Form responses 1'!X256</f>
        <v/>
      </c>
      <c r="Q254" s="4" t="str">
        <f>'Form responses 1'!Y256</f>
        <v/>
      </c>
      <c r="R254" s="4" t="str">
        <f>'Form responses 1'!Z256</f>
        <v/>
      </c>
      <c r="S254" s="4" t="str">
        <f>'Form responses 1'!AC256</f>
        <v/>
      </c>
      <c r="T254" s="4" t="str">
        <f>'Form responses 1'!AE256</f>
        <v/>
      </c>
      <c r="U254" s="4" t="str">
        <f>'Form responses 1'!AG256</f>
        <v/>
      </c>
      <c r="V254" s="4" t="str">
        <f>'Form responses 1'!AI256</f>
        <v/>
      </c>
      <c r="W254" s="4" t="str">
        <f>'Form responses 1'!AJ256</f>
        <v/>
      </c>
      <c r="X254" s="4" t="str">
        <f>'Form responses 1'!AK256</f>
        <v/>
      </c>
      <c r="Y254" s="4">
        <f t="shared" ref="Y254:AD254" si="253">if(S254&gt;0,1,0)</f>
        <v>0</v>
      </c>
      <c r="Z254" s="4">
        <f t="shared" si="253"/>
        <v>0</v>
      </c>
      <c r="AA254" s="4">
        <f t="shared" si="253"/>
        <v>0</v>
      </c>
      <c r="AB254" s="4">
        <f t="shared" si="253"/>
        <v>0</v>
      </c>
      <c r="AC254" s="4">
        <f t="shared" si="253"/>
        <v>0</v>
      </c>
      <c r="AD254" s="4">
        <f t="shared" si="253"/>
        <v>0</v>
      </c>
      <c r="AE254" s="4" t="str">
        <f>'Form responses 1'!AN256</f>
        <v/>
      </c>
      <c r="AF254" s="4" t="str">
        <f>'Form responses 1'!AO256</f>
        <v/>
      </c>
      <c r="AG254" s="4" t="str">
        <f>'Form responses 1'!AP256</f>
        <v/>
      </c>
      <c r="AH254" s="4" t="str">
        <f>'Form responses 1'!AQ256</f>
        <v/>
      </c>
      <c r="AI254" s="4" t="str">
        <f>'Form responses 1'!AR256</f>
        <v/>
      </c>
    </row>
    <row r="255">
      <c r="A255" s="26">
        <f>'Form responses 1'!B257</f>
        <v>46065</v>
      </c>
      <c r="B255" s="4" t="str">
        <f>'Form responses 1'!AZ257</f>
        <v>parthive.maganti@capsdelivery.com</v>
      </c>
      <c r="C255" s="4" t="str">
        <f>'Form responses 1'!BR257</f>
        <v>Mayuri Foods</v>
      </c>
      <c r="D255" s="4" t="str">
        <f>'Form responses 1'!AT257</f>
        <v/>
      </c>
      <c r="E255" s="4" t="str">
        <f>'Form responses 1'!AU257</f>
        <v>Yes</v>
      </c>
      <c r="F255" s="26">
        <f>'Form responses 1'!AX257</f>
        <v>46066</v>
      </c>
      <c r="G255" s="52">
        <f>'Form responses 1'!AY257</f>
        <v>0.4166666667</v>
      </c>
      <c r="H255" s="53" t="str">
        <f>'Form responses 1'!AW257</f>
        <v>Na</v>
      </c>
      <c r="I255" s="4" t="str">
        <f>'Form responses 1'!AS257</f>
        <v/>
      </c>
      <c r="J255" s="4" t="str">
        <f>'Form responses 1'!J257</f>
        <v/>
      </c>
      <c r="K255" s="4" t="str">
        <f>'Form responses 1'!G257</f>
        <v/>
      </c>
      <c r="L255" s="4" t="str">
        <f>'Form responses 1'!F257</f>
        <v/>
      </c>
      <c r="M255" s="4" t="str">
        <f>'Form responses 1'!U257</f>
        <v>Krishna</v>
      </c>
      <c r="N255" s="4">
        <f>'Form responses 1'!V257</f>
        <v>9000252549</v>
      </c>
      <c r="O255" s="4" t="str">
        <f>'Form responses 1'!W257</f>
        <v>Na</v>
      </c>
      <c r="P255" s="4" t="str">
        <f>'Form responses 1'!X257</f>
        <v/>
      </c>
      <c r="Q255" s="4" t="str">
        <f>'Form responses 1'!Y257</f>
        <v/>
      </c>
      <c r="R255" s="4" t="str">
        <f>'Form responses 1'!Z257</f>
        <v/>
      </c>
      <c r="S255" s="4" t="str">
        <f>'Form responses 1'!AC257</f>
        <v/>
      </c>
      <c r="T255" s="4" t="str">
        <f>'Form responses 1'!AE257</f>
        <v/>
      </c>
      <c r="U255" s="4" t="str">
        <f>'Form responses 1'!AG257</f>
        <v/>
      </c>
      <c r="V255" s="4" t="str">
        <f>'Form responses 1'!AI257</f>
        <v/>
      </c>
      <c r="W255" s="4" t="str">
        <f>'Form responses 1'!AJ257</f>
        <v/>
      </c>
      <c r="X255" s="4" t="str">
        <f>'Form responses 1'!AK257</f>
        <v/>
      </c>
      <c r="Y255" s="4">
        <f t="shared" ref="Y255:AD255" si="254">if(S255&gt;0,1,0)</f>
        <v>0</v>
      </c>
      <c r="Z255" s="4">
        <f t="shared" si="254"/>
        <v>0</v>
      </c>
      <c r="AA255" s="4">
        <f t="shared" si="254"/>
        <v>0</v>
      </c>
      <c r="AB255" s="4">
        <f t="shared" si="254"/>
        <v>0</v>
      </c>
      <c r="AC255" s="4">
        <f t="shared" si="254"/>
        <v>0</v>
      </c>
      <c r="AD255" s="4">
        <f t="shared" si="254"/>
        <v>0</v>
      </c>
      <c r="AE255" s="4" t="str">
        <f>'Form responses 1'!AN257</f>
        <v/>
      </c>
      <c r="AF255" s="4" t="str">
        <f>'Form responses 1'!AO257</f>
        <v/>
      </c>
      <c r="AG255" s="4" t="str">
        <f>'Form responses 1'!AP257</f>
        <v/>
      </c>
      <c r="AH255" s="4" t="str">
        <f>'Form responses 1'!AQ257</f>
        <v/>
      </c>
      <c r="AI255" s="4" t="str">
        <f>'Form responses 1'!AR257</f>
        <v/>
      </c>
    </row>
    <row r="256">
      <c r="A256" s="26">
        <f>'Form responses 1'!B258</f>
        <v>46065</v>
      </c>
      <c r="B256" s="4" t="str">
        <f>'Form responses 1'!AZ258</f>
        <v>sumadhur.mummadi@capsdelivery.com</v>
      </c>
      <c r="C256" s="4" t="str">
        <f>'Form responses 1'!BR258</f>
        <v>Missamma restaurant </v>
      </c>
      <c r="D256" s="4" t="str">
        <f>'Form responses 1'!AT258</f>
        <v/>
      </c>
      <c r="E256" s="4" t="str">
        <f>'Form responses 1'!AU258</f>
        <v>Yes</v>
      </c>
      <c r="F256" s="26">
        <f>'Form responses 1'!AX258</f>
        <v>46065</v>
      </c>
      <c r="G256" s="52">
        <f>'Form responses 1'!AY258</f>
        <v>0.7083333333</v>
      </c>
      <c r="H256" s="53" t="str">
        <f>'Form responses 1'!AW258</f>
        <v/>
      </c>
      <c r="I256" s="4" t="str">
        <f>'Form responses 1'!AS258</f>
        <v>No</v>
      </c>
      <c r="J256" s="4" t="str">
        <f>'Form responses 1'!J258</f>
        <v/>
      </c>
      <c r="K256" s="4" t="str">
        <f>'Form responses 1'!G258</f>
        <v/>
      </c>
      <c r="L256" s="4" t="str">
        <f>'Form responses 1'!F258</f>
        <v/>
      </c>
      <c r="M256" s="4" t="str">
        <f>'Form responses 1'!U258</f>
        <v>NA</v>
      </c>
      <c r="N256" s="4" t="str">
        <f>'Form responses 1'!V258</f>
        <v>96422 34333</v>
      </c>
      <c r="O256" s="4" t="str">
        <f>'Form responses 1'!W258</f>
        <v>NA</v>
      </c>
      <c r="P256" s="4" t="str">
        <f>'Form responses 1'!X258</f>
        <v/>
      </c>
      <c r="Q256" s="4" t="str">
        <f>'Form responses 1'!Y258</f>
        <v/>
      </c>
      <c r="R256" s="4" t="str">
        <f>'Form responses 1'!Z258</f>
        <v/>
      </c>
      <c r="S256" s="4" t="str">
        <f>'Form responses 1'!AC258</f>
        <v/>
      </c>
      <c r="T256" s="4" t="str">
        <f>'Form responses 1'!AE258</f>
        <v/>
      </c>
      <c r="U256" s="4" t="str">
        <f>'Form responses 1'!AG258</f>
        <v/>
      </c>
      <c r="V256" s="4" t="str">
        <f>'Form responses 1'!AI258</f>
        <v/>
      </c>
      <c r="W256" s="4" t="str">
        <f>'Form responses 1'!AJ258</f>
        <v/>
      </c>
      <c r="X256" s="4" t="str">
        <f>'Form responses 1'!AK258</f>
        <v/>
      </c>
      <c r="Y256" s="4">
        <f t="shared" ref="Y256:AD256" si="255">if(S256&gt;0,1,0)</f>
        <v>0</v>
      </c>
      <c r="Z256" s="4">
        <f t="shared" si="255"/>
        <v>0</v>
      </c>
      <c r="AA256" s="4">
        <f t="shared" si="255"/>
        <v>0</v>
      </c>
      <c r="AB256" s="4">
        <f t="shared" si="255"/>
        <v>0</v>
      </c>
      <c r="AC256" s="4">
        <f t="shared" si="255"/>
        <v>0</v>
      </c>
      <c r="AD256" s="4">
        <f t="shared" si="255"/>
        <v>0</v>
      </c>
      <c r="AE256" s="4" t="str">
        <f>'Form responses 1'!AN258</f>
        <v/>
      </c>
      <c r="AF256" s="4" t="str">
        <f>'Form responses 1'!AO258</f>
        <v/>
      </c>
      <c r="AG256" s="4" t="str">
        <f>'Form responses 1'!AP258</f>
        <v/>
      </c>
      <c r="AH256" s="4" t="str">
        <f>'Form responses 1'!AQ258</f>
        <v/>
      </c>
      <c r="AI256" s="4" t="str">
        <f>'Form responses 1'!AR258</f>
        <v/>
      </c>
    </row>
    <row r="257">
      <c r="A257" s="26">
        <f>'Form responses 1'!B259</f>
        <v>46065</v>
      </c>
      <c r="B257" s="4" t="str">
        <f>'Form responses 1'!AZ259</f>
        <v>nitya.akshara@capsdelivery.com</v>
      </c>
      <c r="C257" s="4" t="str">
        <f>'Form responses 1'!BR259</f>
        <v>Gatox cafe </v>
      </c>
      <c r="D257" s="4" t="str">
        <f>'Form responses 1'!AT259</f>
        <v/>
      </c>
      <c r="E257" s="4" t="str">
        <f>'Form responses 1'!AU259</f>
        <v>Yes</v>
      </c>
      <c r="F257" s="4" t="str">
        <f>'Form responses 1'!AX259</f>
        <v/>
      </c>
      <c r="G257" s="4" t="str">
        <f>'Form responses 1'!AY259</f>
        <v/>
      </c>
      <c r="H257" s="53" t="str">
        <f>'Form responses 1'!AW259</f>
        <v/>
      </c>
      <c r="I257" s="4" t="str">
        <f>'Form responses 1'!AS259</f>
        <v/>
      </c>
      <c r="J257" s="4" t="str">
        <f>'Form responses 1'!J259</f>
        <v>Tier-3 ( AOV&lt;200 )</v>
      </c>
      <c r="K257" s="4">
        <f>'Form responses 1'!G259</f>
        <v>1</v>
      </c>
      <c r="L257" s="4">
        <f>'Form responses 1'!F259</f>
        <v>20</v>
      </c>
      <c r="M257" s="4" t="str">
        <f>'Form responses 1'!U259</f>
        <v>Sirish</v>
      </c>
      <c r="N257" s="4" t="str">
        <f>'Form responses 1'!V259</f>
        <v>863-9381583</v>
      </c>
      <c r="O257" s="4" t="str">
        <f>'Form responses 1'!W259</f>
        <v>NA</v>
      </c>
      <c r="P257" s="4" t="str">
        <f>'Form responses 1'!X259</f>
        <v/>
      </c>
      <c r="Q257" s="4" t="str">
        <f>'Form responses 1'!Y259</f>
        <v/>
      </c>
      <c r="R257" s="4" t="str">
        <f>'Form responses 1'!Z259</f>
        <v/>
      </c>
      <c r="S257" s="4" t="str">
        <f>'Form responses 1'!AC259</f>
        <v/>
      </c>
      <c r="T257" s="4" t="str">
        <f>'Form responses 1'!AE259</f>
        <v/>
      </c>
      <c r="U257" s="4" t="str">
        <f>'Form responses 1'!AG259</f>
        <v/>
      </c>
      <c r="V257" s="4" t="str">
        <f>'Form responses 1'!AI259</f>
        <v/>
      </c>
      <c r="W257" s="4" t="str">
        <f>'Form responses 1'!AJ259</f>
        <v/>
      </c>
      <c r="X257" s="4" t="str">
        <f>'Form responses 1'!AK259</f>
        <v/>
      </c>
      <c r="Y257" s="4">
        <f t="shared" ref="Y257:AD257" si="256">if(S257&gt;0,1,0)</f>
        <v>0</v>
      </c>
      <c r="Z257" s="4">
        <f t="shared" si="256"/>
        <v>0</v>
      </c>
      <c r="AA257" s="4">
        <f t="shared" si="256"/>
        <v>0</v>
      </c>
      <c r="AB257" s="4">
        <f t="shared" si="256"/>
        <v>0</v>
      </c>
      <c r="AC257" s="4">
        <f t="shared" si="256"/>
        <v>0</v>
      </c>
      <c r="AD257" s="4">
        <f t="shared" si="256"/>
        <v>0</v>
      </c>
      <c r="AE257" s="4" t="str">
        <f>'Form responses 1'!AN259</f>
        <v/>
      </c>
      <c r="AF257" s="4" t="str">
        <f>'Form responses 1'!AO259</f>
        <v/>
      </c>
      <c r="AG257" s="4" t="str">
        <f>'Form responses 1'!AP259</f>
        <v/>
      </c>
      <c r="AH257" s="4" t="str">
        <f>'Form responses 1'!AQ259</f>
        <v/>
      </c>
      <c r="AI257" s="4" t="str">
        <f>'Form responses 1'!AR259</f>
        <v/>
      </c>
    </row>
    <row r="258">
      <c r="A258" s="26">
        <f>'Form responses 1'!B260</f>
        <v>46065</v>
      </c>
      <c r="B258" s="4" t="str">
        <f>'Form responses 1'!AZ260</f>
        <v>parthive.maganti@capsdelivery.com</v>
      </c>
      <c r="C258" s="4" t="str">
        <f>'Form responses 1'!BR260</f>
        <v>Garuda Cafe</v>
      </c>
      <c r="D258" s="4" t="str">
        <f>'Form responses 1'!AT260</f>
        <v/>
      </c>
      <c r="E258" s="4" t="str">
        <f>'Form responses 1'!AU260</f>
        <v>Yes</v>
      </c>
      <c r="F258" s="26">
        <f>'Form responses 1'!AX260</f>
        <v>46071</v>
      </c>
      <c r="G258" s="52">
        <f>'Form responses 1'!AY260</f>
        <v>0.4583333333</v>
      </c>
      <c r="H258" s="53" t="str">
        <f>'Form responses 1'!AW260</f>
        <v>Na</v>
      </c>
      <c r="I258" s="4" t="str">
        <f>'Form responses 1'!AS260</f>
        <v/>
      </c>
      <c r="J258" s="4" t="str">
        <f>'Form responses 1'!J260</f>
        <v>Tier-2 (AOV &lt;400)</v>
      </c>
      <c r="K258" s="4">
        <f>'Form responses 1'!G260</f>
        <v>300</v>
      </c>
      <c r="L258" s="4">
        <f>'Form responses 1'!F260</f>
        <v>100</v>
      </c>
      <c r="M258" s="4" t="str">
        <f>'Form responses 1'!U260</f>
        <v>Shiva</v>
      </c>
      <c r="N258" s="4">
        <f>'Form responses 1'!V260</f>
        <v>9370093800</v>
      </c>
      <c r="O258" s="4" t="str">
        <f>'Form responses 1'!W260</f>
        <v>Na</v>
      </c>
      <c r="P258" s="4" t="str">
        <f>'Form responses 1'!X260</f>
        <v/>
      </c>
      <c r="Q258" s="4" t="str">
        <f>'Form responses 1'!Y260</f>
        <v/>
      </c>
      <c r="R258" s="4" t="str">
        <f>'Form responses 1'!Z260</f>
        <v/>
      </c>
      <c r="S258" s="4" t="str">
        <f>'Form responses 1'!AC260</f>
        <v/>
      </c>
      <c r="T258" s="4" t="str">
        <f>'Form responses 1'!AE260</f>
        <v/>
      </c>
      <c r="U258" s="4" t="str">
        <f>'Form responses 1'!AG260</f>
        <v/>
      </c>
      <c r="V258" s="4" t="str">
        <f>'Form responses 1'!AI260</f>
        <v/>
      </c>
      <c r="W258" s="4" t="str">
        <f>'Form responses 1'!AJ260</f>
        <v/>
      </c>
      <c r="X258" s="4" t="str">
        <f>'Form responses 1'!AK260</f>
        <v/>
      </c>
      <c r="Y258" s="4">
        <f t="shared" ref="Y258:AD258" si="257">if(S258&gt;0,1,0)</f>
        <v>0</v>
      </c>
      <c r="Z258" s="4">
        <f t="shared" si="257"/>
        <v>0</v>
      </c>
      <c r="AA258" s="4">
        <f t="shared" si="257"/>
        <v>0</v>
      </c>
      <c r="AB258" s="4">
        <f t="shared" si="257"/>
        <v>0</v>
      </c>
      <c r="AC258" s="4">
        <f t="shared" si="257"/>
        <v>0</v>
      </c>
      <c r="AD258" s="4">
        <f t="shared" si="257"/>
        <v>0</v>
      </c>
      <c r="AE258" s="4" t="str">
        <f>'Form responses 1'!AN260</f>
        <v/>
      </c>
      <c r="AF258" s="4" t="str">
        <f>'Form responses 1'!AO260</f>
        <v/>
      </c>
      <c r="AG258" s="4" t="str">
        <f>'Form responses 1'!AP260</f>
        <v/>
      </c>
      <c r="AH258" s="4" t="str">
        <f>'Form responses 1'!AQ260</f>
        <v/>
      </c>
      <c r="AI258" s="4" t="str">
        <f>'Form responses 1'!AR260</f>
        <v/>
      </c>
    </row>
    <row r="259">
      <c r="A259" s="26">
        <f>'Form responses 1'!B261</f>
        <v>46065</v>
      </c>
      <c r="B259" s="4" t="str">
        <f>'Form responses 1'!AZ261</f>
        <v>greeshma.vanneldas@capsdelivery.com</v>
      </c>
      <c r="C259" s="4" t="str">
        <f>'Form responses 1'!BR261</f>
        <v>Sns bake house bakery nd cafe Sns bakehouse bakery and cafe </v>
      </c>
      <c r="D259" s="4" t="str">
        <f>'Form responses 1'!AT261</f>
        <v>Onboarding done,documents submitted </v>
      </c>
      <c r="E259" s="4" t="str">
        <f>'Form responses 1'!AU261</f>
        <v>No</v>
      </c>
      <c r="F259" s="4" t="str">
        <f>'Form responses 1'!AX261</f>
        <v/>
      </c>
      <c r="G259" s="4" t="str">
        <f>'Form responses 1'!AY261</f>
        <v/>
      </c>
      <c r="H259" s="53" t="str">
        <f>'Form responses 1'!AW261</f>
        <v/>
      </c>
      <c r="I259" s="4" t="str">
        <f>'Form responses 1'!AS261</f>
        <v>Yes</v>
      </c>
      <c r="J259" s="4" t="str">
        <f>'Form responses 1'!J261</f>
        <v/>
      </c>
      <c r="K259" s="4" t="str">
        <f>'Form responses 1'!G261</f>
        <v/>
      </c>
      <c r="L259" s="4" t="str">
        <f>'Form responses 1'!F261</f>
        <v/>
      </c>
      <c r="M259" s="4" t="str">
        <f>'Form responses 1'!U261</f>
        <v>Subhash</v>
      </c>
      <c r="N259" s="4" t="str">
        <f>'Form responses 1'!V261</f>
        <v>+91 94943 99656</v>
      </c>
      <c r="O259" s="4" t="str">
        <f>'Form responses 1'!W261</f>
        <v>bakehousesns@gmail.com</v>
      </c>
      <c r="P259" s="4" t="str">
        <f>'Form responses 1'!X261</f>
        <v/>
      </c>
      <c r="Q259" s="4" t="str">
        <f>'Form responses 1'!Y261</f>
        <v/>
      </c>
      <c r="R259" s="4" t="str">
        <f>'Form responses 1'!Z261</f>
        <v/>
      </c>
      <c r="S259" s="54" t="str">
        <f>'Form responses 1'!AC261</f>
        <v>https://drive.google.com/open?id=1dzCPMgBk7v1BOPqjGbCpJvxzaj3B5s04</v>
      </c>
      <c r="T259" s="54" t="str">
        <f>'Form responses 1'!AE261</f>
        <v>https://drive.google.com/open?id=1TKBICOHdgFm-5O9irakhUBYhhEYE5Ogf</v>
      </c>
      <c r="U259" s="54" t="str">
        <f>'Form responses 1'!AG261</f>
        <v>https://drive.google.com/open?id=1XOEGZNv7dqwn1eaZHpqzdPOQ_bcOsHXU</v>
      </c>
      <c r="V259" s="54" t="str">
        <f>'Form responses 1'!AI261</f>
        <v>https://drive.google.com/open?id=1xB7gqJCUL6xbRxNZqDKvTuXJj0yO8EYc</v>
      </c>
      <c r="W259" s="4" t="str">
        <f>'Form responses 1'!AJ261</f>
        <v/>
      </c>
      <c r="X259" s="54" t="str">
        <f>'Form responses 1'!AK261</f>
        <v>https://drive.google.com/open?id=1RJg0vZYb8rpZ2eJBCHN88JVswb33w6cp</v>
      </c>
      <c r="Y259" s="4">
        <f t="shared" ref="Y259:AD259" si="258">if(S259&gt;0,1,0)</f>
        <v>1</v>
      </c>
      <c r="Z259" s="4">
        <f t="shared" si="258"/>
        <v>1</v>
      </c>
      <c r="AA259" s="4">
        <f t="shared" si="258"/>
        <v>1</v>
      </c>
      <c r="AB259" s="4">
        <f t="shared" si="258"/>
        <v>1</v>
      </c>
      <c r="AC259" s="4">
        <f t="shared" si="258"/>
        <v>0</v>
      </c>
      <c r="AD259" s="4">
        <f t="shared" si="258"/>
        <v>1</v>
      </c>
      <c r="AE259" s="4" t="str">
        <f>'Form responses 1'!AN261</f>
        <v>IDFC first bank </v>
      </c>
      <c r="AF259" s="4" t="str">
        <f>'Form responses 1'!AO261</f>
        <v>Subhash</v>
      </c>
      <c r="AG259" s="4">
        <f>'Form responses 1'!AP261</f>
        <v>9494399656</v>
      </c>
      <c r="AH259" s="4" t="str">
        <f>'Form responses 1'!AQ261</f>
        <v>bakehousesns@gmail.com</v>
      </c>
      <c r="AI259" s="4" t="str">
        <f>'Form responses 1'!AR261</f>
        <v/>
      </c>
    </row>
    <row r="260">
      <c r="A260" s="26">
        <f>'Form responses 1'!B262</f>
        <v>46065</v>
      </c>
      <c r="B260" s="4" t="str">
        <f>'Form responses 1'!AZ262</f>
        <v>parthive.maganti@capsdelivery.com</v>
      </c>
      <c r="C260" s="4" t="str">
        <f>'Form responses 1'!BR262</f>
        <v>Al Saba cafe</v>
      </c>
      <c r="D260" s="4" t="str">
        <f>'Form responses 1'!AT262</f>
        <v>Na</v>
      </c>
      <c r="E260" s="4" t="str">
        <f>'Form responses 1'!AU262</f>
        <v>No</v>
      </c>
      <c r="F260" s="4" t="str">
        <f>'Form responses 1'!AX262</f>
        <v/>
      </c>
      <c r="G260" s="4" t="str">
        <f>'Form responses 1'!AY262</f>
        <v/>
      </c>
      <c r="H260" s="53" t="str">
        <f>'Form responses 1'!AW262</f>
        <v/>
      </c>
      <c r="I260" s="4" t="str">
        <f>'Form responses 1'!AS262</f>
        <v>Yes</v>
      </c>
      <c r="J260" s="4" t="str">
        <f>'Form responses 1'!J262</f>
        <v>Tier-2 (AOV &lt;400)</v>
      </c>
      <c r="K260" s="4">
        <f>'Form responses 1'!G262</f>
        <v>300</v>
      </c>
      <c r="L260" s="4">
        <f>'Form responses 1'!F262</f>
        <v>50</v>
      </c>
      <c r="M260" s="4" t="str">
        <f>'Form responses 1'!U262</f>
        <v>Shiva kumar</v>
      </c>
      <c r="N260" s="4">
        <f>'Form responses 1'!V262</f>
        <v>9392458574</v>
      </c>
      <c r="O260" s="4" t="str">
        <f>'Form responses 1'!W262</f>
        <v>Na</v>
      </c>
      <c r="P260" s="4" t="str">
        <f>'Form responses 1'!X262</f>
        <v/>
      </c>
      <c r="Q260" s="4" t="str">
        <f>'Form responses 1'!Y262</f>
        <v/>
      </c>
      <c r="R260" s="4" t="str">
        <f>'Form responses 1'!Z262</f>
        <v/>
      </c>
      <c r="S260" s="54" t="str">
        <f>'Form responses 1'!AC262</f>
        <v>https://drive.google.com/open?id=1tUv-8B6zLHP5QCXxzN1yLw_QwqmSiAES</v>
      </c>
      <c r="T260" s="54" t="str">
        <f>'Form responses 1'!AE262</f>
        <v>https://drive.google.com/open?id=1iR45OA_9VnjsNVeuN-H1TZ1lyxkj8tq2</v>
      </c>
      <c r="U260" s="54" t="str">
        <f>'Form responses 1'!AG262</f>
        <v>https://drive.google.com/open?id=1-SCscuHBy-YUrhyfqQGP43svE7_kLMWr</v>
      </c>
      <c r="V260" s="4" t="str">
        <f>'Form responses 1'!AI262</f>
        <v/>
      </c>
      <c r="W260" s="4" t="str">
        <f>'Form responses 1'!AJ262</f>
        <v/>
      </c>
      <c r="X260" s="54" t="str">
        <f>'Form responses 1'!AK262</f>
        <v>https://drive.google.com/open?id=1CsPd5PJwoKYcmy0ljOmn5Tm4rcNoXc_o</v>
      </c>
      <c r="Y260" s="4">
        <f t="shared" ref="Y260:AD260" si="259">if(S260&gt;0,1,0)</f>
        <v>1</v>
      </c>
      <c r="Z260" s="4">
        <f t="shared" si="259"/>
        <v>1</v>
      </c>
      <c r="AA260" s="4">
        <f t="shared" si="259"/>
        <v>1</v>
      </c>
      <c r="AB260" s="4">
        <f t="shared" si="259"/>
        <v>0</v>
      </c>
      <c r="AC260" s="4">
        <f t="shared" si="259"/>
        <v>0</v>
      </c>
      <c r="AD260" s="4">
        <f t="shared" si="259"/>
        <v>1</v>
      </c>
      <c r="AE260" s="4" t="str">
        <f>'Form responses 1'!AN262</f>
        <v>Al saba cafe</v>
      </c>
      <c r="AF260" s="4" t="str">
        <f>'Form responses 1'!AO262</f>
        <v>Shiva kumar</v>
      </c>
      <c r="AG260" s="4" t="str">
        <f>'Form responses 1'!AP262</f>
        <v/>
      </c>
      <c r="AH260" s="4" t="str">
        <f>'Form responses 1'!AQ262</f>
        <v/>
      </c>
      <c r="AI260" s="4" t="str">
        <f>'Form responses 1'!AR262</f>
        <v/>
      </c>
    </row>
    <row r="261">
      <c r="A261" s="26">
        <f>'Form responses 1'!B263</f>
        <v>46065</v>
      </c>
      <c r="B261" s="4" t="str">
        <f>'Form responses 1'!AZ263</f>
        <v>greeshma.vanneldas@capsdelivery.com</v>
      </c>
      <c r="C261" s="4" t="str">
        <f>'Form responses 1'!BR263</f>
        <v>Palleturi dosa</v>
      </c>
      <c r="D261" s="4" t="str">
        <f>'Form responses 1'!AT263</f>
        <v/>
      </c>
      <c r="E261" s="4" t="str">
        <f>'Form responses 1'!AU263</f>
        <v>Yes</v>
      </c>
      <c r="F261" s="4" t="str">
        <f>'Form responses 1'!AX263</f>
        <v/>
      </c>
      <c r="G261" s="4" t="str">
        <f>'Form responses 1'!AY263</f>
        <v/>
      </c>
      <c r="H261" s="53" t="str">
        <f>'Form responses 1'!AW263</f>
        <v>Manager is not available,will be available after 18:00pm</v>
      </c>
      <c r="I261" s="4" t="str">
        <f>'Form responses 1'!AS263</f>
        <v/>
      </c>
      <c r="J261" s="4" t="str">
        <f>'Form responses 1'!J263</f>
        <v/>
      </c>
      <c r="K261" s="4" t="str">
        <f>'Form responses 1'!G263</f>
        <v/>
      </c>
      <c r="L261" s="4" t="str">
        <f>'Form responses 1'!F263</f>
        <v/>
      </c>
      <c r="M261" s="4" t="str">
        <f>'Form responses 1'!U263</f>
        <v>Praveen</v>
      </c>
      <c r="N261" s="4">
        <f>'Form responses 1'!V263</f>
        <v>9010776408</v>
      </c>
      <c r="O261" s="4" t="str">
        <f>'Form responses 1'!W263</f>
        <v>na</v>
      </c>
      <c r="P261" s="4" t="str">
        <f>'Form responses 1'!X263</f>
        <v/>
      </c>
      <c r="Q261" s="4" t="str">
        <f>'Form responses 1'!Y263</f>
        <v/>
      </c>
      <c r="R261" s="4" t="str">
        <f>'Form responses 1'!Z263</f>
        <v/>
      </c>
      <c r="S261" s="4" t="str">
        <f>'Form responses 1'!AC263</f>
        <v/>
      </c>
      <c r="T261" s="4" t="str">
        <f>'Form responses 1'!AE263</f>
        <v/>
      </c>
      <c r="U261" s="4" t="str">
        <f>'Form responses 1'!AG263</f>
        <v/>
      </c>
      <c r="V261" s="4" t="str">
        <f>'Form responses 1'!AI263</f>
        <v/>
      </c>
      <c r="W261" s="4" t="str">
        <f>'Form responses 1'!AJ263</f>
        <v/>
      </c>
      <c r="X261" s="4" t="str">
        <f>'Form responses 1'!AK263</f>
        <v/>
      </c>
      <c r="Y261" s="4">
        <f t="shared" ref="Y261:AD261" si="260">if(S261&gt;0,1,0)</f>
        <v>0</v>
      </c>
      <c r="Z261" s="4">
        <f t="shared" si="260"/>
        <v>0</v>
      </c>
      <c r="AA261" s="4">
        <f t="shared" si="260"/>
        <v>0</v>
      </c>
      <c r="AB261" s="4">
        <f t="shared" si="260"/>
        <v>0</v>
      </c>
      <c r="AC261" s="4">
        <f t="shared" si="260"/>
        <v>0</v>
      </c>
      <c r="AD261" s="4">
        <f t="shared" si="260"/>
        <v>0</v>
      </c>
      <c r="AE261" s="4" t="str">
        <f>'Form responses 1'!AN263</f>
        <v/>
      </c>
      <c r="AF261" s="4" t="str">
        <f>'Form responses 1'!AO263</f>
        <v/>
      </c>
      <c r="AG261" s="4" t="str">
        <f>'Form responses 1'!AP263</f>
        <v/>
      </c>
      <c r="AH261" s="4" t="str">
        <f>'Form responses 1'!AQ263</f>
        <v/>
      </c>
      <c r="AI261" s="4" t="str">
        <f>'Form responses 1'!AR263</f>
        <v/>
      </c>
    </row>
    <row r="262">
      <c r="A262" s="26">
        <f>'Form responses 1'!B264</f>
        <v>46065</v>
      </c>
      <c r="B262" s="4" t="str">
        <f>'Form responses 1'!AZ264</f>
        <v>greeshma.vanneldas@capsdelivery.com</v>
      </c>
      <c r="C262" s="4" t="str">
        <f>'Form responses 1'!BR264</f>
        <v>Kochin spicesKochinspices</v>
      </c>
      <c r="D262" s="4" t="str">
        <f>'Form responses 1'!AT264</f>
        <v/>
      </c>
      <c r="E262" s="4" t="str">
        <f>'Form responses 1'!AU264</f>
        <v>Yes</v>
      </c>
      <c r="F262" s="4" t="str">
        <f>'Form responses 1'!AX264</f>
        <v/>
      </c>
      <c r="G262" s="4" t="str">
        <f>'Form responses 1'!AY264</f>
        <v/>
      </c>
      <c r="H262" s="53" t="str">
        <f>'Form responses 1'!AW264</f>
        <v>They are 4 partners,discussion done with one partner  need to discuss with other partners,200-400 average orders per day in online platforms</v>
      </c>
      <c r="I262" s="4" t="str">
        <f>'Form responses 1'!AS264</f>
        <v/>
      </c>
      <c r="J262" s="4" t="str">
        <f>'Form responses 1'!J264</f>
        <v/>
      </c>
      <c r="K262" s="4" t="str">
        <f>'Form responses 1'!G264</f>
        <v/>
      </c>
      <c r="L262" s="4" t="str">
        <f>'Form responses 1'!F264</f>
        <v/>
      </c>
      <c r="M262" s="4" t="str">
        <f>'Form responses 1'!U264</f>
        <v>Jeff</v>
      </c>
      <c r="N262" s="4">
        <f>'Form responses 1'!V264</f>
        <v>9544186712</v>
      </c>
      <c r="O262" s="4" t="str">
        <f>'Form responses 1'!W264</f>
        <v>na</v>
      </c>
      <c r="P262" s="4" t="str">
        <f>'Form responses 1'!X264</f>
        <v/>
      </c>
      <c r="Q262" s="4" t="str">
        <f>'Form responses 1'!Y264</f>
        <v/>
      </c>
      <c r="R262" s="4" t="str">
        <f>'Form responses 1'!Z264</f>
        <v/>
      </c>
      <c r="S262" s="4" t="str">
        <f>'Form responses 1'!AC264</f>
        <v/>
      </c>
      <c r="T262" s="4" t="str">
        <f>'Form responses 1'!AE264</f>
        <v/>
      </c>
      <c r="U262" s="4" t="str">
        <f>'Form responses 1'!AG264</f>
        <v/>
      </c>
      <c r="V262" s="4" t="str">
        <f>'Form responses 1'!AI264</f>
        <v/>
      </c>
      <c r="W262" s="4" t="str">
        <f>'Form responses 1'!AJ264</f>
        <v/>
      </c>
      <c r="X262" s="4" t="str">
        <f>'Form responses 1'!AK264</f>
        <v/>
      </c>
      <c r="Y262" s="4">
        <f t="shared" ref="Y262:AD262" si="261">if(S262&gt;0,1,0)</f>
        <v>0</v>
      </c>
      <c r="Z262" s="4">
        <f t="shared" si="261"/>
        <v>0</v>
      </c>
      <c r="AA262" s="4">
        <f t="shared" si="261"/>
        <v>0</v>
      </c>
      <c r="AB262" s="4">
        <f t="shared" si="261"/>
        <v>0</v>
      </c>
      <c r="AC262" s="4">
        <f t="shared" si="261"/>
        <v>0</v>
      </c>
      <c r="AD262" s="4">
        <f t="shared" si="261"/>
        <v>0</v>
      </c>
      <c r="AE262" s="4" t="str">
        <f>'Form responses 1'!AN264</f>
        <v/>
      </c>
      <c r="AF262" s="4" t="str">
        <f>'Form responses 1'!AO264</f>
        <v/>
      </c>
      <c r="AG262" s="4" t="str">
        <f>'Form responses 1'!AP264</f>
        <v/>
      </c>
      <c r="AH262" s="4" t="str">
        <f>'Form responses 1'!AQ264</f>
        <v/>
      </c>
      <c r="AI262" s="4" t="str">
        <f>'Form responses 1'!AR264</f>
        <v/>
      </c>
    </row>
    <row r="263">
      <c r="A263" s="26">
        <f>'Form responses 1'!B265</f>
        <v>46065</v>
      </c>
      <c r="B263" s="4" t="str">
        <f>'Form responses 1'!AZ265</f>
        <v>greeshma.vanneldas@capsdelivery.com</v>
      </c>
      <c r="C263" s="4" t="str">
        <f>'Form responses 1'!BR265</f>
        <v>Smoky docky</v>
      </c>
      <c r="D263" s="4" t="str">
        <f>'Form responses 1'!AT265</f>
        <v/>
      </c>
      <c r="E263" s="4" t="str">
        <f>'Form responses 1'!AU265</f>
        <v>Yes</v>
      </c>
      <c r="F263" s="4" t="str">
        <f>'Form responses 1'!AX265</f>
        <v/>
      </c>
      <c r="G263" s="4" t="str">
        <f>'Form responses 1'!AY265</f>
        <v/>
      </c>
      <c r="H263" s="53" t="str">
        <f>'Form responses 1'!AW265</f>
        <v>Manager is not available</v>
      </c>
      <c r="I263" s="4" t="str">
        <f>'Form responses 1'!AS265</f>
        <v/>
      </c>
      <c r="J263" s="4" t="str">
        <f>'Form responses 1'!J265</f>
        <v/>
      </c>
      <c r="K263" s="4" t="str">
        <f>'Form responses 1'!G265</f>
        <v/>
      </c>
      <c r="L263" s="4" t="str">
        <f>'Form responses 1'!F265</f>
        <v/>
      </c>
      <c r="M263" s="4" t="str">
        <f>'Form responses 1'!U265</f>
        <v>Sai kiran</v>
      </c>
      <c r="N263" s="4">
        <f>'Form responses 1'!V265</f>
        <v>7842474608</v>
      </c>
      <c r="O263" s="4" t="str">
        <f>'Form responses 1'!W265</f>
        <v>na</v>
      </c>
      <c r="P263" s="4" t="str">
        <f>'Form responses 1'!X265</f>
        <v/>
      </c>
      <c r="Q263" s="4" t="str">
        <f>'Form responses 1'!Y265</f>
        <v/>
      </c>
      <c r="R263" s="4" t="str">
        <f>'Form responses 1'!Z265</f>
        <v/>
      </c>
      <c r="S263" s="4" t="str">
        <f>'Form responses 1'!AC265</f>
        <v/>
      </c>
      <c r="T263" s="4" t="str">
        <f>'Form responses 1'!AE265</f>
        <v/>
      </c>
      <c r="U263" s="4" t="str">
        <f>'Form responses 1'!AG265</f>
        <v/>
      </c>
      <c r="V263" s="4" t="str">
        <f>'Form responses 1'!AI265</f>
        <v/>
      </c>
      <c r="W263" s="4" t="str">
        <f>'Form responses 1'!AJ265</f>
        <v/>
      </c>
      <c r="X263" s="4" t="str">
        <f>'Form responses 1'!AK265</f>
        <v/>
      </c>
      <c r="Y263" s="4">
        <f t="shared" ref="Y263:AD263" si="262">if(S263&gt;0,1,0)</f>
        <v>0</v>
      </c>
      <c r="Z263" s="4">
        <f t="shared" si="262"/>
        <v>0</v>
      </c>
      <c r="AA263" s="4">
        <f t="shared" si="262"/>
        <v>0</v>
      </c>
      <c r="AB263" s="4">
        <f t="shared" si="262"/>
        <v>0</v>
      </c>
      <c r="AC263" s="4">
        <f t="shared" si="262"/>
        <v>0</v>
      </c>
      <c r="AD263" s="4">
        <f t="shared" si="262"/>
        <v>0</v>
      </c>
      <c r="AE263" s="4" t="str">
        <f>'Form responses 1'!AN265</f>
        <v/>
      </c>
      <c r="AF263" s="4" t="str">
        <f>'Form responses 1'!AO265</f>
        <v/>
      </c>
      <c r="AG263" s="4" t="str">
        <f>'Form responses 1'!AP265</f>
        <v/>
      </c>
      <c r="AH263" s="4" t="str">
        <f>'Form responses 1'!AQ265</f>
        <v/>
      </c>
      <c r="AI263" s="4" t="str">
        <f>'Form responses 1'!AR265</f>
        <v/>
      </c>
    </row>
    <row r="264">
      <c r="A264" s="26">
        <f>'Form responses 1'!B266</f>
        <v>46065</v>
      </c>
      <c r="B264" s="4" t="str">
        <f>'Form responses 1'!AZ266</f>
        <v>sumadhur.mummadi@capsdelivery.com</v>
      </c>
      <c r="C264" s="4" t="str">
        <f>'Form responses 1'!BR266</f>
        <v>Poruginti chepala pulusu Poruginti chepala pulusu </v>
      </c>
      <c r="D264" s="4" t="str">
        <f>'Form responses 1'!AT266</f>
        <v/>
      </c>
      <c r="E264" s="4" t="str">
        <f>'Form responses 1'!AU266</f>
        <v>Yes</v>
      </c>
      <c r="F264" s="4" t="str">
        <f>'Form responses 1'!AX266</f>
        <v/>
      </c>
      <c r="G264" s="4" t="str">
        <f>'Form responses 1'!AY266</f>
        <v/>
      </c>
      <c r="H264" s="53" t="str">
        <f>'Form responses 1'!AW266</f>
        <v/>
      </c>
      <c r="I264" s="4" t="str">
        <f>'Form responses 1'!AS266</f>
        <v>No</v>
      </c>
      <c r="J264" s="4" t="str">
        <f>'Form responses 1'!J266</f>
        <v/>
      </c>
      <c r="K264" s="4" t="str">
        <f>'Form responses 1'!G266</f>
        <v/>
      </c>
      <c r="L264" s="4" t="str">
        <f>'Form responses 1'!F266</f>
        <v/>
      </c>
      <c r="M264" s="4" t="str">
        <f>'Form responses 1'!U266</f>
        <v>Naveen</v>
      </c>
      <c r="N264" s="4">
        <f>'Form responses 1'!V266</f>
        <v>9398948353</v>
      </c>
      <c r="O264" s="4" t="str">
        <f>'Form responses 1'!W266</f>
        <v>NA</v>
      </c>
      <c r="P264" s="4" t="str">
        <f>'Form responses 1'!X266</f>
        <v/>
      </c>
      <c r="Q264" s="4" t="str">
        <f>'Form responses 1'!Y266</f>
        <v/>
      </c>
      <c r="R264" s="4" t="str">
        <f>'Form responses 1'!Z266</f>
        <v/>
      </c>
      <c r="S264" s="4" t="str">
        <f>'Form responses 1'!AC266</f>
        <v/>
      </c>
      <c r="T264" s="4" t="str">
        <f>'Form responses 1'!AE266</f>
        <v/>
      </c>
      <c r="U264" s="4" t="str">
        <f>'Form responses 1'!AG266</f>
        <v/>
      </c>
      <c r="V264" s="4" t="str">
        <f>'Form responses 1'!AI266</f>
        <v/>
      </c>
      <c r="W264" s="4" t="str">
        <f>'Form responses 1'!AJ266</f>
        <v/>
      </c>
      <c r="X264" s="4" t="str">
        <f>'Form responses 1'!AK266</f>
        <v/>
      </c>
      <c r="Y264" s="4">
        <f t="shared" ref="Y264:AD264" si="263">if(S264&gt;0,1,0)</f>
        <v>0</v>
      </c>
      <c r="Z264" s="4">
        <f t="shared" si="263"/>
        <v>0</v>
      </c>
      <c r="AA264" s="4">
        <f t="shared" si="263"/>
        <v>0</v>
      </c>
      <c r="AB264" s="4">
        <f t="shared" si="263"/>
        <v>0</v>
      </c>
      <c r="AC264" s="4">
        <f t="shared" si="263"/>
        <v>0</v>
      </c>
      <c r="AD264" s="4">
        <f t="shared" si="263"/>
        <v>0</v>
      </c>
      <c r="AE264" s="4" t="str">
        <f>'Form responses 1'!AN266</f>
        <v/>
      </c>
      <c r="AF264" s="4" t="str">
        <f>'Form responses 1'!AO266</f>
        <v/>
      </c>
      <c r="AG264" s="4" t="str">
        <f>'Form responses 1'!AP266</f>
        <v/>
      </c>
      <c r="AH264" s="4" t="str">
        <f>'Form responses 1'!AQ266</f>
        <v/>
      </c>
      <c r="AI264" s="4" t="str">
        <f>'Form responses 1'!AR266</f>
        <v/>
      </c>
    </row>
    <row r="265">
      <c r="A265" s="26">
        <f>'Form responses 1'!B267</f>
        <v>46065</v>
      </c>
      <c r="B265" s="4" t="str">
        <f>'Form responses 1'!AZ267</f>
        <v>madhumitha.sonnakula@capsdelivery.com</v>
      </c>
      <c r="C265" s="4" t="str">
        <f>'Form responses 1'!BR267</f>
        <v>CAFE UNITED CAFE UNITED</v>
      </c>
      <c r="D265" s="4" t="str">
        <f>'Form responses 1'!AT267</f>
        <v/>
      </c>
      <c r="E265" s="4" t="str">
        <f>'Form responses 1'!AU267</f>
        <v>Yes</v>
      </c>
      <c r="F265" s="26">
        <f>'Form responses 1'!AX267</f>
        <v>46069</v>
      </c>
      <c r="G265" s="52">
        <f>'Form responses 1'!AY267</f>
        <v>0.5</v>
      </c>
      <c r="H265" s="53" t="str">
        <f>'Form responses 1'!AW267</f>
        <v>WE EXPLAINED EVERY THING WE NEED TO COLLECT DOCUMENTS ON MONDAY</v>
      </c>
      <c r="I265" s="4" t="str">
        <f>'Form responses 1'!AS267</f>
        <v/>
      </c>
      <c r="J265" s="4" t="str">
        <f>'Form responses 1'!J267</f>
        <v/>
      </c>
      <c r="K265" s="4" t="str">
        <f>'Form responses 1'!G267</f>
        <v/>
      </c>
      <c r="L265" s="4" t="str">
        <f>'Form responses 1'!F267</f>
        <v/>
      </c>
      <c r="M265" s="4" t="str">
        <f>'Form responses 1'!U267</f>
        <v>ARBAR</v>
      </c>
      <c r="N265" s="4">
        <f>'Form responses 1'!V267</f>
        <v>7842474013</v>
      </c>
      <c r="O265" s="4" t="str">
        <f>'Form responses 1'!W267</f>
        <v>NA</v>
      </c>
      <c r="P265" s="4" t="str">
        <f>'Form responses 1'!X267</f>
        <v/>
      </c>
      <c r="Q265" s="4" t="str">
        <f>'Form responses 1'!Y267</f>
        <v/>
      </c>
      <c r="R265" s="4" t="str">
        <f>'Form responses 1'!Z267</f>
        <v/>
      </c>
      <c r="S265" s="4" t="str">
        <f>'Form responses 1'!AC267</f>
        <v/>
      </c>
      <c r="T265" s="4" t="str">
        <f>'Form responses 1'!AE267</f>
        <v/>
      </c>
      <c r="U265" s="4" t="str">
        <f>'Form responses 1'!AG267</f>
        <v/>
      </c>
      <c r="V265" s="4" t="str">
        <f>'Form responses 1'!AI267</f>
        <v/>
      </c>
      <c r="W265" s="4" t="str">
        <f>'Form responses 1'!AJ267</f>
        <v/>
      </c>
      <c r="X265" s="4" t="str">
        <f>'Form responses 1'!AK267</f>
        <v/>
      </c>
      <c r="Y265" s="4">
        <f t="shared" ref="Y265:AD265" si="264">if(S265&gt;0,1,0)</f>
        <v>0</v>
      </c>
      <c r="Z265" s="4">
        <f t="shared" si="264"/>
        <v>0</v>
      </c>
      <c r="AA265" s="4">
        <f t="shared" si="264"/>
        <v>0</v>
      </c>
      <c r="AB265" s="4">
        <f t="shared" si="264"/>
        <v>0</v>
      </c>
      <c r="AC265" s="4">
        <f t="shared" si="264"/>
        <v>0</v>
      </c>
      <c r="AD265" s="4">
        <f t="shared" si="264"/>
        <v>0</v>
      </c>
      <c r="AE265" s="4" t="str">
        <f>'Form responses 1'!AN267</f>
        <v/>
      </c>
      <c r="AF265" s="4" t="str">
        <f>'Form responses 1'!AO267</f>
        <v/>
      </c>
      <c r="AG265" s="4" t="str">
        <f>'Form responses 1'!AP267</f>
        <v/>
      </c>
      <c r="AH265" s="4" t="str">
        <f>'Form responses 1'!AQ267</f>
        <v/>
      </c>
      <c r="AI265" s="4" t="str">
        <f>'Form responses 1'!AR267</f>
        <v/>
      </c>
    </row>
    <row r="266">
      <c r="A266" s="26">
        <f>'Form responses 1'!B268</f>
        <v>46065</v>
      </c>
      <c r="B266" s="4" t="str">
        <f>'Form responses 1'!AZ268</f>
        <v>parthive.maganti@capsdelivery.com</v>
      </c>
      <c r="C266" s="4" t="str">
        <f>'Form responses 1'!BR268</f>
        <v>1pm to 1am</v>
      </c>
      <c r="D266" s="4" t="str">
        <f>'Form responses 1'!AT268</f>
        <v/>
      </c>
      <c r="E266" s="4" t="str">
        <f>'Form responses 1'!AU268</f>
        <v>Yes</v>
      </c>
      <c r="F266" s="26">
        <f>'Form responses 1'!AX268</f>
        <v>46066</v>
      </c>
      <c r="G266" s="4" t="str">
        <f>'Form responses 1'!AY268</f>
        <v/>
      </c>
      <c r="H266" s="53" t="str">
        <f>'Form responses 1'!AW268</f>
        <v/>
      </c>
      <c r="I266" s="4" t="str">
        <f>'Form responses 1'!AS268</f>
        <v/>
      </c>
      <c r="J266" s="4" t="str">
        <f>'Form responses 1'!J268</f>
        <v>Tier-3 ( AOV&lt;200 )</v>
      </c>
      <c r="K266" s="4">
        <f>'Form responses 1'!G268</f>
        <v>150</v>
      </c>
      <c r="L266" s="4">
        <f>'Form responses 1'!F268</f>
        <v>30</v>
      </c>
      <c r="M266" s="4" t="str">
        <f>'Form responses 1'!U268</f>
        <v>Raju </v>
      </c>
      <c r="N266" s="4">
        <f>'Form responses 1'!V268</f>
        <v>8309112838</v>
      </c>
      <c r="O266" s="4" t="str">
        <f>'Form responses 1'!W268</f>
        <v>Na</v>
      </c>
      <c r="P266" s="4" t="str">
        <f>'Form responses 1'!X268</f>
        <v/>
      </c>
      <c r="Q266" s="4" t="str">
        <f>'Form responses 1'!Y268</f>
        <v/>
      </c>
      <c r="R266" s="4" t="str">
        <f>'Form responses 1'!Z268</f>
        <v/>
      </c>
      <c r="S266" s="4" t="str">
        <f>'Form responses 1'!AC268</f>
        <v/>
      </c>
      <c r="T266" s="4" t="str">
        <f>'Form responses 1'!AE268</f>
        <v/>
      </c>
      <c r="U266" s="4" t="str">
        <f>'Form responses 1'!AG268</f>
        <v/>
      </c>
      <c r="V266" s="4" t="str">
        <f>'Form responses 1'!AI268</f>
        <v/>
      </c>
      <c r="W266" s="4" t="str">
        <f>'Form responses 1'!AJ268</f>
        <v/>
      </c>
      <c r="X266" s="4" t="str">
        <f>'Form responses 1'!AK268</f>
        <v/>
      </c>
      <c r="Y266" s="4">
        <f t="shared" ref="Y266:AD266" si="265">if(S266&gt;0,1,0)</f>
        <v>0</v>
      </c>
      <c r="Z266" s="4">
        <f t="shared" si="265"/>
        <v>0</v>
      </c>
      <c r="AA266" s="4">
        <f t="shared" si="265"/>
        <v>0</v>
      </c>
      <c r="AB266" s="4">
        <f t="shared" si="265"/>
        <v>0</v>
      </c>
      <c r="AC266" s="4">
        <f t="shared" si="265"/>
        <v>0</v>
      </c>
      <c r="AD266" s="4">
        <f t="shared" si="265"/>
        <v>0</v>
      </c>
      <c r="AE266" s="4" t="str">
        <f>'Form responses 1'!AN268</f>
        <v/>
      </c>
      <c r="AF266" s="4" t="str">
        <f>'Form responses 1'!AO268</f>
        <v/>
      </c>
      <c r="AG266" s="4" t="str">
        <f>'Form responses 1'!AP268</f>
        <v/>
      </c>
      <c r="AH266" s="4" t="str">
        <f>'Form responses 1'!AQ268</f>
        <v/>
      </c>
      <c r="AI266" s="4" t="str">
        <f>'Form responses 1'!AR268</f>
        <v/>
      </c>
    </row>
    <row r="267">
      <c r="A267" s="26">
        <f>'Form responses 1'!B269</f>
        <v>46065</v>
      </c>
      <c r="B267" s="4" t="str">
        <f>'Form responses 1'!AZ269</f>
        <v>sumadhur.mummadi@capsdelivery.com</v>
      </c>
      <c r="C267" s="4" t="str">
        <f>'Form responses 1'!BR269</f>
        <v>Zamindars cafe</v>
      </c>
      <c r="D267" s="4" t="str">
        <f>'Form responses 1'!AT269</f>
        <v/>
      </c>
      <c r="E267" s="4" t="str">
        <f>'Form responses 1'!AU269</f>
        <v>Yes</v>
      </c>
      <c r="F267" s="4" t="str">
        <f>'Form responses 1'!AX269</f>
        <v/>
      </c>
      <c r="G267" s="4" t="str">
        <f>'Form responses 1'!AY269</f>
        <v/>
      </c>
      <c r="H267" s="53" t="str">
        <f>'Form responses 1'!AW269</f>
        <v/>
      </c>
      <c r="I267" s="4" t="str">
        <f>'Form responses 1'!AS269</f>
        <v/>
      </c>
      <c r="J267" s="4" t="str">
        <f>'Form responses 1'!J269</f>
        <v/>
      </c>
      <c r="K267" s="4" t="str">
        <f>'Form responses 1'!G269</f>
        <v/>
      </c>
      <c r="L267" s="4" t="str">
        <f>'Form responses 1'!F269</f>
        <v/>
      </c>
      <c r="M267" s="4" t="str">
        <f>'Form responses 1'!U269</f>
        <v>Ram</v>
      </c>
      <c r="N267" s="4">
        <f>'Form responses 1'!V269</f>
        <v>8688077052</v>
      </c>
      <c r="O267" s="4" t="str">
        <f>'Form responses 1'!W269</f>
        <v>NA</v>
      </c>
      <c r="P267" s="4" t="str">
        <f>'Form responses 1'!X269</f>
        <v/>
      </c>
      <c r="Q267" s="4" t="str">
        <f>'Form responses 1'!Y269</f>
        <v/>
      </c>
      <c r="R267" s="4" t="str">
        <f>'Form responses 1'!Z269</f>
        <v/>
      </c>
      <c r="S267" s="4" t="str">
        <f>'Form responses 1'!AC269</f>
        <v/>
      </c>
      <c r="T267" s="4" t="str">
        <f>'Form responses 1'!AE269</f>
        <v/>
      </c>
      <c r="U267" s="4" t="str">
        <f>'Form responses 1'!AG269</f>
        <v/>
      </c>
      <c r="V267" s="4" t="str">
        <f>'Form responses 1'!AI269</f>
        <v/>
      </c>
      <c r="W267" s="4" t="str">
        <f>'Form responses 1'!AJ269</f>
        <v/>
      </c>
      <c r="X267" s="4" t="str">
        <f>'Form responses 1'!AK269</f>
        <v/>
      </c>
      <c r="Y267" s="4">
        <f t="shared" ref="Y267:AD267" si="266">if(S267&gt;0,1,0)</f>
        <v>0</v>
      </c>
      <c r="Z267" s="4">
        <f t="shared" si="266"/>
        <v>0</v>
      </c>
      <c r="AA267" s="4">
        <f t="shared" si="266"/>
        <v>0</v>
      </c>
      <c r="AB267" s="4">
        <f t="shared" si="266"/>
        <v>0</v>
      </c>
      <c r="AC267" s="4">
        <f t="shared" si="266"/>
        <v>0</v>
      </c>
      <c r="AD267" s="4">
        <f t="shared" si="266"/>
        <v>0</v>
      </c>
      <c r="AE267" s="4" t="str">
        <f>'Form responses 1'!AN269</f>
        <v/>
      </c>
      <c r="AF267" s="4" t="str">
        <f>'Form responses 1'!AO269</f>
        <v/>
      </c>
      <c r="AG267" s="4" t="str">
        <f>'Form responses 1'!AP269</f>
        <v/>
      </c>
      <c r="AH267" s="4" t="str">
        <f>'Form responses 1'!AQ269</f>
        <v/>
      </c>
      <c r="AI267" s="4" t="str">
        <f>'Form responses 1'!AR269</f>
        <v/>
      </c>
    </row>
    <row r="268">
      <c r="A268" s="26">
        <f>'Form responses 1'!B270</f>
        <v>46065</v>
      </c>
      <c r="B268" s="4" t="str">
        <f>'Form responses 1'!AZ270</f>
        <v>moin.khan@capsdelivery.com</v>
      </c>
      <c r="C268" s="4" t="str">
        <f>'Form responses 1'!BR270</f>
        <v>hitech bawarchi food court </v>
      </c>
      <c r="D268" s="4" t="str">
        <f>'Form responses 1'!AT270</f>
        <v>ONBOARDED</v>
      </c>
      <c r="E268" s="4" t="str">
        <f>'Form responses 1'!AU270</f>
        <v>No</v>
      </c>
      <c r="F268" s="4" t="str">
        <f>'Form responses 1'!AX270</f>
        <v/>
      </c>
      <c r="G268" s="4" t="str">
        <f>'Form responses 1'!AY270</f>
        <v/>
      </c>
      <c r="H268" s="53" t="str">
        <f>'Form responses 1'!AW270</f>
        <v/>
      </c>
      <c r="I268" s="4" t="str">
        <f>'Form responses 1'!AS270</f>
        <v>Yes</v>
      </c>
      <c r="J268" s="4" t="str">
        <f>'Form responses 1'!J270</f>
        <v>Tier-2 (AOV &lt;400)</v>
      </c>
      <c r="K268" s="4">
        <f>'Form responses 1'!G270</f>
        <v>350</v>
      </c>
      <c r="L268" s="4">
        <f>'Form responses 1'!F270</f>
        <v>100</v>
      </c>
      <c r="M268" s="4" t="str">
        <f>'Form responses 1'!U270</f>
        <v>ILYAS</v>
      </c>
      <c r="N268" s="4">
        <f>'Form responses 1'!V270</f>
        <v>9346342272</v>
      </c>
      <c r="O268" s="4" t="str">
        <f>'Form responses 1'!W270</f>
        <v>mohdilyas13@gmail.com</v>
      </c>
      <c r="P268" s="4" t="str">
        <f>'Form responses 1'!X270</f>
        <v/>
      </c>
      <c r="Q268" s="4" t="str">
        <f>'Form responses 1'!Y270</f>
        <v/>
      </c>
      <c r="R268" s="4" t="str">
        <f>'Form responses 1'!Z270</f>
        <v/>
      </c>
      <c r="S268" s="54" t="str">
        <f>'Form responses 1'!AC270</f>
        <v>https://drive.google.com/open?id=1PdI1UU9f5OPowNVgD7fReE2oDtxxx4Mn</v>
      </c>
      <c r="T268" s="54" t="str">
        <f>'Form responses 1'!AE270</f>
        <v>https://drive.google.com/open?id=19BCFWchfw9SLUCNJLnr37brcZdh2n_qP</v>
      </c>
      <c r="U268" s="54" t="str">
        <f>'Form responses 1'!AG270</f>
        <v>https://drive.google.com/open?id=16XFbrGSMZvIL1QzjcXJBj1KIHbIhWKDf</v>
      </c>
      <c r="V268" s="4" t="str">
        <f>'Form responses 1'!AI270</f>
        <v/>
      </c>
      <c r="W268" s="4" t="str">
        <f>'Form responses 1'!AJ270</f>
        <v/>
      </c>
      <c r="X268" s="54" t="str">
        <f>'Form responses 1'!AK270</f>
        <v>https://drive.google.com/open?id=1P_CpJZaQU2rNcw0-VvaemxIwfiMVd5Jx</v>
      </c>
      <c r="Y268" s="4">
        <f t="shared" ref="Y268:AD268" si="267">if(S268&gt;0,1,0)</f>
        <v>1</v>
      </c>
      <c r="Z268" s="4">
        <f t="shared" si="267"/>
        <v>1</v>
      </c>
      <c r="AA268" s="4">
        <f t="shared" si="267"/>
        <v>1</v>
      </c>
      <c r="AB268" s="4">
        <f t="shared" si="267"/>
        <v>0</v>
      </c>
      <c r="AC268" s="4">
        <f t="shared" si="267"/>
        <v>0</v>
      </c>
      <c r="AD268" s="4">
        <f t="shared" si="267"/>
        <v>1</v>
      </c>
      <c r="AE268" s="4" t="str">
        <f>'Form responses 1'!AN270</f>
        <v>G HITECH BAWARCHI FOOD COURT</v>
      </c>
      <c r="AF268" s="4" t="str">
        <f>'Form responses 1'!AO270</f>
        <v>MOHAMMED ILYAS</v>
      </c>
      <c r="AG268" s="4">
        <f>'Form responses 1'!AP270</f>
        <v>9346342272</v>
      </c>
      <c r="AH268" s="4" t="str">
        <f>'Form responses 1'!AQ270</f>
        <v>mohdilyas13@gmail.com</v>
      </c>
      <c r="AI268" s="4" t="str">
        <f>'Form responses 1'!AR270</f>
        <v>MOHAMMED ILYAS</v>
      </c>
    </row>
    <row r="269">
      <c r="A269" s="26">
        <f>'Form responses 1'!B271</f>
        <v>46065</v>
      </c>
      <c r="B269" s="4" t="str">
        <f>'Form responses 1'!AZ271</f>
        <v>parthive.maganti@capsdelivery.com</v>
      </c>
      <c r="C269" s="4" t="str">
        <f>'Form responses 1'!BR271</f>
        <v>100N Gourmet shawarma the homly bowls</v>
      </c>
      <c r="D269" s="4" t="str">
        <f>'Form responses 1'!AT271</f>
        <v/>
      </c>
      <c r="E269" s="4" t="str">
        <f>'Form responses 1'!AU271</f>
        <v>Yes</v>
      </c>
      <c r="F269" s="26">
        <f>'Form responses 1'!AX271</f>
        <v>46069</v>
      </c>
      <c r="G269" s="52">
        <f>'Form responses 1'!AY271</f>
        <v>0.4166666667</v>
      </c>
      <c r="H269" s="53" t="str">
        <f>'Form responses 1'!AW271</f>
        <v/>
      </c>
      <c r="I269" s="4" t="str">
        <f>'Form responses 1'!AS271</f>
        <v/>
      </c>
      <c r="J269" s="4" t="str">
        <f>'Form responses 1'!J271</f>
        <v/>
      </c>
      <c r="K269" s="4" t="str">
        <f>'Form responses 1'!G271</f>
        <v/>
      </c>
      <c r="L269" s="4" t="str">
        <f>'Form responses 1'!F271</f>
        <v/>
      </c>
      <c r="M269" s="4" t="str">
        <f>'Form responses 1'!U271</f>
        <v>Khan saab</v>
      </c>
      <c r="N269" s="4" t="str">
        <f>'Form responses 1'!V271</f>
        <v>99660 33399</v>
      </c>
      <c r="O269" s="4" t="str">
        <f>'Form responses 1'!W271</f>
        <v>Na</v>
      </c>
      <c r="P269" s="4" t="str">
        <f>'Form responses 1'!X271</f>
        <v/>
      </c>
      <c r="Q269" s="4" t="str">
        <f>'Form responses 1'!Y271</f>
        <v/>
      </c>
      <c r="R269" s="4" t="str">
        <f>'Form responses 1'!Z271</f>
        <v/>
      </c>
      <c r="S269" s="4" t="str">
        <f>'Form responses 1'!AC271</f>
        <v/>
      </c>
      <c r="T269" s="4" t="str">
        <f>'Form responses 1'!AE271</f>
        <v/>
      </c>
      <c r="U269" s="4" t="str">
        <f>'Form responses 1'!AG271</f>
        <v/>
      </c>
      <c r="V269" s="4" t="str">
        <f>'Form responses 1'!AI271</f>
        <v/>
      </c>
      <c r="W269" s="4" t="str">
        <f>'Form responses 1'!AJ271</f>
        <v/>
      </c>
      <c r="X269" s="4" t="str">
        <f>'Form responses 1'!AK271</f>
        <v/>
      </c>
      <c r="Y269" s="4">
        <f t="shared" ref="Y269:AD269" si="268">if(S269&gt;0,1,0)</f>
        <v>0</v>
      </c>
      <c r="Z269" s="4">
        <f t="shared" si="268"/>
        <v>0</v>
      </c>
      <c r="AA269" s="4">
        <f t="shared" si="268"/>
        <v>0</v>
      </c>
      <c r="AB269" s="4">
        <f t="shared" si="268"/>
        <v>0</v>
      </c>
      <c r="AC269" s="4">
        <f t="shared" si="268"/>
        <v>0</v>
      </c>
      <c r="AD269" s="4">
        <f t="shared" si="268"/>
        <v>0</v>
      </c>
      <c r="AE269" s="4" t="str">
        <f>'Form responses 1'!AN271</f>
        <v/>
      </c>
      <c r="AF269" s="4" t="str">
        <f>'Form responses 1'!AO271</f>
        <v/>
      </c>
      <c r="AG269" s="4" t="str">
        <f>'Form responses 1'!AP271</f>
        <v/>
      </c>
      <c r="AH269" s="4" t="str">
        <f>'Form responses 1'!AQ271</f>
        <v/>
      </c>
      <c r="AI269" s="4" t="str">
        <f>'Form responses 1'!AR271</f>
        <v/>
      </c>
    </row>
    <row r="270">
      <c r="A270" s="26">
        <f>'Form responses 1'!B272</f>
        <v>46065</v>
      </c>
      <c r="B270" s="4" t="str">
        <f>'Form responses 1'!AZ272</f>
        <v>parthive.maganti@capsdelivery.com</v>
      </c>
      <c r="C270" s="4" t="str">
        <f>'Form responses 1'!BR272</f>
        <v>MMD Restaurant </v>
      </c>
      <c r="D270" s="4" t="str">
        <f>'Form responses 1'!AT272</f>
        <v/>
      </c>
      <c r="E270" s="4" t="str">
        <f>'Form responses 1'!AU272</f>
        <v>Yes</v>
      </c>
      <c r="F270" s="26">
        <f>'Form responses 1'!AX272</f>
        <v>46065</v>
      </c>
      <c r="G270" s="52">
        <f>'Form responses 1'!AY272</f>
        <v>0.3125</v>
      </c>
      <c r="H270" s="53" t="str">
        <f>'Form responses 1'!AW272</f>
        <v/>
      </c>
      <c r="I270" s="4" t="str">
        <f>'Form responses 1'!AS272</f>
        <v/>
      </c>
      <c r="J270" s="4" t="str">
        <f>'Form responses 1'!J272</f>
        <v/>
      </c>
      <c r="K270" s="4" t="str">
        <f>'Form responses 1'!G272</f>
        <v/>
      </c>
      <c r="L270" s="4" t="str">
        <f>'Form responses 1'!F272</f>
        <v/>
      </c>
      <c r="M270" s="4" t="str">
        <f>'Form responses 1'!U272</f>
        <v>Giri</v>
      </c>
      <c r="N270" s="4" t="str">
        <f>'Form responses 1'!V272</f>
        <v>99660 33399</v>
      </c>
      <c r="O270" s="4" t="str">
        <f>'Form responses 1'!W272</f>
        <v>Na</v>
      </c>
      <c r="P270" s="4" t="str">
        <f>'Form responses 1'!X272</f>
        <v/>
      </c>
      <c r="Q270" s="4" t="str">
        <f>'Form responses 1'!Y272</f>
        <v/>
      </c>
      <c r="R270" s="4" t="str">
        <f>'Form responses 1'!Z272</f>
        <v/>
      </c>
      <c r="S270" s="4" t="str">
        <f>'Form responses 1'!AC272</f>
        <v/>
      </c>
      <c r="T270" s="4" t="str">
        <f>'Form responses 1'!AE272</f>
        <v/>
      </c>
      <c r="U270" s="4" t="str">
        <f>'Form responses 1'!AG272</f>
        <v/>
      </c>
      <c r="V270" s="4" t="str">
        <f>'Form responses 1'!AI272</f>
        <v/>
      </c>
      <c r="W270" s="4" t="str">
        <f>'Form responses 1'!AJ272</f>
        <v/>
      </c>
      <c r="X270" s="4" t="str">
        <f>'Form responses 1'!AK272</f>
        <v/>
      </c>
      <c r="Y270" s="4">
        <f t="shared" ref="Y270:AD270" si="269">if(S270&gt;0,1,0)</f>
        <v>0</v>
      </c>
      <c r="Z270" s="4">
        <f t="shared" si="269"/>
        <v>0</v>
      </c>
      <c r="AA270" s="4">
        <f t="shared" si="269"/>
        <v>0</v>
      </c>
      <c r="AB270" s="4">
        <f t="shared" si="269"/>
        <v>0</v>
      </c>
      <c r="AC270" s="4">
        <f t="shared" si="269"/>
        <v>0</v>
      </c>
      <c r="AD270" s="4">
        <f t="shared" si="269"/>
        <v>0</v>
      </c>
      <c r="AE270" s="4" t="str">
        <f>'Form responses 1'!AN272</f>
        <v/>
      </c>
      <c r="AF270" s="4" t="str">
        <f>'Form responses 1'!AO272</f>
        <v/>
      </c>
      <c r="AG270" s="4" t="str">
        <f>'Form responses 1'!AP272</f>
        <v/>
      </c>
      <c r="AH270" s="4" t="str">
        <f>'Form responses 1'!AQ272</f>
        <v/>
      </c>
      <c r="AI270" s="4" t="str">
        <f>'Form responses 1'!AR272</f>
        <v/>
      </c>
    </row>
    <row r="271">
      <c r="A271" s="26">
        <f>'Form responses 1'!B273</f>
        <v>46065</v>
      </c>
      <c r="B271" s="4" t="str">
        <f>'Form responses 1'!AZ273</f>
        <v>sumadhur.mummadi@capsdelivery.com</v>
      </c>
      <c r="C271" s="4" t="str">
        <f>'Form responses 1'!BR273</f>
        <v>Vasireddy swagruha foods </v>
      </c>
      <c r="D271" s="4" t="str">
        <f>'Form responses 1'!AT273</f>
        <v/>
      </c>
      <c r="E271" s="4" t="str">
        <f>'Form responses 1'!AU273</f>
        <v>Yes</v>
      </c>
      <c r="F271" s="4" t="str">
        <f>'Form responses 1'!AX273</f>
        <v/>
      </c>
      <c r="G271" s="4" t="str">
        <f>'Form responses 1'!AY273</f>
        <v/>
      </c>
      <c r="H271" s="53" t="str">
        <f>'Form responses 1'!AW273</f>
        <v/>
      </c>
      <c r="I271" s="4" t="str">
        <f>'Form responses 1'!AS273</f>
        <v/>
      </c>
      <c r="J271" s="4" t="str">
        <f>'Form responses 1'!J273</f>
        <v/>
      </c>
      <c r="K271" s="4" t="str">
        <f>'Form responses 1'!G273</f>
        <v/>
      </c>
      <c r="L271" s="4" t="str">
        <f>'Form responses 1'!F273</f>
        <v/>
      </c>
      <c r="M271" s="4" t="str">
        <f>'Form responses 1'!U273</f>
        <v>Chandu(branch incharge)</v>
      </c>
      <c r="N271" s="4">
        <f>'Form responses 1'!V273</f>
        <v>7093051795</v>
      </c>
      <c r="O271" s="4" t="str">
        <f>'Form responses 1'!W273</f>
        <v>NA</v>
      </c>
      <c r="P271" s="4" t="str">
        <f>'Form responses 1'!X273</f>
        <v/>
      </c>
      <c r="Q271" s="4" t="str">
        <f>'Form responses 1'!Y273</f>
        <v/>
      </c>
      <c r="R271" s="4" t="str">
        <f>'Form responses 1'!Z273</f>
        <v/>
      </c>
      <c r="S271" s="4" t="str">
        <f>'Form responses 1'!AC273</f>
        <v/>
      </c>
      <c r="T271" s="4" t="str">
        <f>'Form responses 1'!AE273</f>
        <v/>
      </c>
      <c r="U271" s="4" t="str">
        <f>'Form responses 1'!AG273</f>
        <v/>
      </c>
      <c r="V271" s="4" t="str">
        <f>'Form responses 1'!AI273</f>
        <v/>
      </c>
      <c r="W271" s="4" t="str">
        <f>'Form responses 1'!AJ273</f>
        <v/>
      </c>
      <c r="X271" s="4" t="str">
        <f>'Form responses 1'!AK273</f>
        <v/>
      </c>
      <c r="Y271" s="4">
        <f t="shared" ref="Y271:AD271" si="270">if(S271&gt;0,1,0)</f>
        <v>0</v>
      </c>
      <c r="Z271" s="4">
        <f t="shared" si="270"/>
        <v>0</v>
      </c>
      <c r="AA271" s="4">
        <f t="shared" si="270"/>
        <v>0</v>
      </c>
      <c r="AB271" s="4">
        <f t="shared" si="270"/>
        <v>0</v>
      </c>
      <c r="AC271" s="4">
        <f t="shared" si="270"/>
        <v>0</v>
      </c>
      <c r="AD271" s="4">
        <f t="shared" si="270"/>
        <v>0</v>
      </c>
      <c r="AE271" s="4" t="str">
        <f>'Form responses 1'!AN273</f>
        <v/>
      </c>
      <c r="AF271" s="4" t="str">
        <f>'Form responses 1'!AO273</f>
        <v/>
      </c>
      <c r="AG271" s="4" t="str">
        <f>'Form responses 1'!AP273</f>
        <v/>
      </c>
      <c r="AH271" s="4" t="str">
        <f>'Form responses 1'!AQ273</f>
        <v/>
      </c>
      <c r="AI271" s="4" t="str">
        <f>'Form responses 1'!AR273</f>
        <v/>
      </c>
    </row>
    <row r="272">
      <c r="A272" s="26">
        <f>'Form responses 1'!B274</f>
        <v>46065</v>
      </c>
      <c r="B272" s="4" t="str">
        <f>'Form responses 1'!AZ274</f>
        <v>greeshma.vanneldas@capsdelivery.com</v>
      </c>
      <c r="C272" s="4" t="str">
        <f>'Form responses 1'!BR274</f>
        <v>Sri vindha tiffins</v>
      </c>
      <c r="D272" s="4" t="str">
        <f>'Form responses 1'!AT274</f>
        <v/>
      </c>
      <c r="E272" s="4" t="str">
        <f>'Form responses 1'!AU274</f>
        <v>Yes</v>
      </c>
      <c r="F272" s="4" t="str">
        <f>'Form responses 1'!AX274</f>
        <v/>
      </c>
      <c r="G272" s="4" t="str">
        <f>'Form responses 1'!AY274</f>
        <v/>
      </c>
      <c r="H272" s="53" t="str">
        <f>'Form responses 1'!AW274</f>
        <v>Manager will be available after 19:00</v>
      </c>
      <c r="I272" s="4" t="str">
        <f>'Form responses 1'!AS274</f>
        <v/>
      </c>
      <c r="J272" s="4" t="str">
        <f>'Form responses 1'!J274</f>
        <v/>
      </c>
      <c r="K272" s="4" t="str">
        <f>'Form responses 1'!G274</f>
        <v/>
      </c>
      <c r="L272" s="4" t="str">
        <f>'Form responses 1'!F274</f>
        <v/>
      </c>
      <c r="M272" s="4" t="str">
        <f>'Form responses 1'!U274</f>
        <v>Dilip</v>
      </c>
      <c r="N272" s="4">
        <f>'Form responses 1'!V274</f>
        <v>9866896332</v>
      </c>
      <c r="O272" s="4" t="str">
        <f>'Form responses 1'!W274</f>
        <v>na</v>
      </c>
      <c r="P272" s="4" t="str">
        <f>'Form responses 1'!X274</f>
        <v/>
      </c>
      <c r="Q272" s="4" t="str">
        <f>'Form responses 1'!Y274</f>
        <v/>
      </c>
      <c r="R272" s="4" t="str">
        <f>'Form responses 1'!Z274</f>
        <v/>
      </c>
      <c r="S272" s="4" t="str">
        <f>'Form responses 1'!AC274</f>
        <v/>
      </c>
      <c r="T272" s="4" t="str">
        <f>'Form responses 1'!AE274</f>
        <v/>
      </c>
      <c r="U272" s="4" t="str">
        <f>'Form responses 1'!AG274</f>
        <v/>
      </c>
      <c r="V272" s="4" t="str">
        <f>'Form responses 1'!AI274</f>
        <v/>
      </c>
      <c r="W272" s="4" t="str">
        <f>'Form responses 1'!AJ274</f>
        <v/>
      </c>
      <c r="X272" s="4" t="str">
        <f>'Form responses 1'!AK274</f>
        <v/>
      </c>
      <c r="Y272" s="4">
        <f t="shared" ref="Y272:AD272" si="271">if(S272&gt;0,1,0)</f>
        <v>0</v>
      </c>
      <c r="Z272" s="4">
        <f t="shared" si="271"/>
        <v>0</v>
      </c>
      <c r="AA272" s="4">
        <f t="shared" si="271"/>
        <v>0</v>
      </c>
      <c r="AB272" s="4">
        <f t="shared" si="271"/>
        <v>0</v>
      </c>
      <c r="AC272" s="4">
        <f t="shared" si="271"/>
        <v>0</v>
      </c>
      <c r="AD272" s="4">
        <f t="shared" si="271"/>
        <v>0</v>
      </c>
      <c r="AE272" s="4" t="str">
        <f>'Form responses 1'!AN274</f>
        <v/>
      </c>
      <c r="AF272" s="4" t="str">
        <f>'Form responses 1'!AO274</f>
        <v/>
      </c>
      <c r="AG272" s="4" t="str">
        <f>'Form responses 1'!AP274</f>
        <v/>
      </c>
      <c r="AH272" s="4" t="str">
        <f>'Form responses 1'!AQ274</f>
        <v/>
      </c>
      <c r="AI272" s="4" t="str">
        <f>'Form responses 1'!AR274</f>
        <v/>
      </c>
    </row>
    <row r="273">
      <c r="A273" s="26">
        <f>'Form responses 1'!B275</f>
        <v>46065</v>
      </c>
      <c r="B273" s="4" t="str">
        <f>'Form responses 1'!AZ275</f>
        <v>greeshma.vanneldas@capsdelivery.com</v>
      </c>
      <c r="C273" s="4" t="str">
        <f>'Form responses 1'!BR275</f>
        <v>Hulchal desserts and bakers</v>
      </c>
      <c r="D273" s="4" t="str">
        <f>'Form responses 1'!AT275</f>
        <v/>
      </c>
      <c r="E273" s="4" t="str">
        <f>'Form responses 1'!AU275</f>
        <v>Yes</v>
      </c>
      <c r="F273" s="4" t="str">
        <f>'Form responses 1'!AX275</f>
        <v/>
      </c>
      <c r="G273" s="4" t="str">
        <f>'Form responses 1'!AY275</f>
        <v/>
      </c>
      <c r="H273" s="53" t="str">
        <f>'Form responses 1'!AW275</f>
        <v>Owner will be available after 18th of these month</v>
      </c>
      <c r="I273" s="4" t="str">
        <f>'Form responses 1'!AS275</f>
        <v/>
      </c>
      <c r="J273" s="4" t="str">
        <f>'Form responses 1'!J275</f>
        <v/>
      </c>
      <c r="K273" s="4" t="str">
        <f>'Form responses 1'!G275</f>
        <v/>
      </c>
      <c r="L273" s="4" t="str">
        <f>'Form responses 1'!F275</f>
        <v/>
      </c>
      <c r="M273" s="4" t="str">
        <f>'Form responses 1'!U275</f>
        <v>Awaiz Ammari</v>
      </c>
      <c r="N273" s="4">
        <f>'Form responses 1'!V275</f>
        <v>9000931717</v>
      </c>
      <c r="O273" s="4" t="str">
        <f>'Form responses 1'!W275</f>
        <v>na</v>
      </c>
      <c r="P273" s="4" t="str">
        <f>'Form responses 1'!X275</f>
        <v/>
      </c>
      <c r="Q273" s="4" t="str">
        <f>'Form responses 1'!Y275</f>
        <v/>
      </c>
      <c r="R273" s="4" t="str">
        <f>'Form responses 1'!Z275</f>
        <v/>
      </c>
      <c r="S273" s="4" t="str">
        <f>'Form responses 1'!AC275</f>
        <v/>
      </c>
      <c r="T273" s="4" t="str">
        <f>'Form responses 1'!AE275</f>
        <v/>
      </c>
      <c r="U273" s="4" t="str">
        <f>'Form responses 1'!AG275</f>
        <v/>
      </c>
      <c r="V273" s="4" t="str">
        <f>'Form responses 1'!AI275</f>
        <v/>
      </c>
      <c r="W273" s="4" t="str">
        <f>'Form responses 1'!AJ275</f>
        <v/>
      </c>
      <c r="X273" s="4" t="str">
        <f>'Form responses 1'!AK275</f>
        <v/>
      </c>
      <c r="Y273" s="4">
        <f t="shared" ref="Y273:AD273" si="272">if(S273&gt;0,1,0)</f>
        <v>0</v>
      </c>
      <c r="Z273" s="4">
        <f t="shared" si="272"/>
        <v>0</v>
      </c>
      <c r="AA273" s="4">
        <f t="shared" si="272"/>
        <v>0</v>
      </c>
      <c r="AB273" s="4">
        <f t="shared" si="272"/>
        <v>0</v>
      </c>
      <c r="AC273" s="4">
        <f t="shared" si="272"/>
        <v>0</v>
      </c>
      <c r="AD273" s="4">
        <f t="shared" si="272"/>
        <v>0</v>
      </c>
      <c r="AE273" s="4" t="str">
        <f>'Form responses 1'!AN275</f>
        <v/>
      </c>
      <c r="AF273" s="4" t="str">
        <f>'Form responses 1'!AO275</f>
        <v/>
      </c>
      <c r="AG273" s="4" t="str">
        <f>'Form responses 1'!AP275</f>
        <v/>
      </c>
      <c r="AH273" s="4" t="str">
        <f>'Form responses 1'!AQ275</f>
        <v/>
      </c>
      <c r="AI273" s="4" t="str">
        <f>'Form responses 1'!AR275</f>
        <v/>
      </c>
    </row>
    <row r="274">
      <c r="A274" s="26">
        <f>'Form responses 1'!B276</f>
        <v>46065</v>
      </c>
      <c r="B274" s="4" t="str">
        <f>'Form responses 1'!AZ276</f>
        <v>sumadhur.mummadi@capsdelivery.com</v>
      </c>
      <c r="C274" s="4" t="str">
        <f>'Form responses 1'!BR276</f>
        <v>Rainbow mandi restaurant </v>
      </c>
      <c r="D274" s="4" t="str">
        <f>'Form responses 1'!AT276</f>
        <v/>
      </c>
      <c r="E274" s="4" t="str">
        <f>'Form responses 1'!AU276</f>
        <v>Yes</v>
      </c>
      <c r="F274" s="4" t="str">
        <f>'Form responses 1'!AX276</f>
        <v/>
      </c>
      <c r="G274" s="4" t="str">
        <f>'Form responses 1'!AY276</f>
        <v/>
      </c>
      <c r="H274" s="53" t="str">
        <f>'Form responses 1'!AW276</f>
        <v/>
      </c>
      <c r="I274" s="4" t="str">
        <f>'Form responses 1'!AS276</f>
        <v/>
      </c>
      <c r="J274" s="4" t="str">
        <f>'Form responses 1'!J276</f>
        <v/>
      </c>
      <c r="K274" s="4" t="str">
        <f>'Form responses 1'!G276</f>
        <v/>
      </c>
      <c r="L274" s="4" t="str">
        <f>'Form responses 1'!F276</f>
        <v/>
      </c>
      <c r="M274" s="4" t="str">
        <f>'Form responses 1'!U276</f>
        <v>Divya</v>
      </c>
      <c r="N274" s="4">
        <f>'Form responses 1'!V276</f>
        <v>7995243674</v>
      </c>
      <c r="O274" s="4" t="str">
        <f>'Form responses 1'!W276</f>
        <v>NA</v>
      </c>
      <c r="P274" s="4" t="str">
        <f>'Form responses 1'!X276</f>
        <v/>
      </c>
      <c r="Q274" s="4" t="str">
        <f>'Form responses 1'!Y276</f>
        <v/>
      </c>
      <c r="R274" s="4" t="str">
        <f>'Form responses 1'!Z276</f>
        <v/>
      </c>
      <c r="S274" s="4" t="str">
        <f>'Form responses 1'!AC276</f>
        <v/>
      </c>
      <c r="T274" s="4" t="str">
        <f>'Form responses 1'!AE276</f>
        <v/>
      </c>
      <c r="U274" s="4" t="str">
        <f>'Form responses 1'!AG276</f>
        <v/>
      </c>
      <c r="V274" s="4" t="str">
        <f>'Form responses 1'!AI276</f>
        <v/>
      </c>
      <c r="W274" s="4" t="str">
        <f>'Form responses 1'!AJ276</f>
        <v/>
      </c>
      <c r="X274" s="4" t="str">
        <f>'Form responses 1'!AK276</f>
        <v/>
      </c>
      <c r="Y274" s="4">
        <f t="shared" ref="Y274:AD274" si="273">if(S274&gt;0,1,0)</f>
        <v>0</v>
      </c>
      <c r="Z274" s="4">
        <f t="shared" si="273"/>
        <v>0</v>
      </c>
      <c r="AA274" s="4">
        <f t="shared" si="273"/>
        <v>0</v>
      </c>
      <c r="AB274" s="4">
        <f t="shared" si="273"/>
        <v>0</v>
      </c>
      <c r="AC274" s="4">
        <f t="shared" si="273"/>
        <v>0</v>
      </c>
      <c r="AD274" s="4">
        <f t="shared" si="273"/>
        <v>0</v>
      </c>
      <c r="AE274" s="4" t="str">
        <f>'Form responses 1'!AN276</f>
        <v/>
      </c>
      <c r="AF274" s="4" t="str">
        <f>'Form responses 1'!AO276</f>
        <v/>
      </c>
      <c r="AG274" s="4" t="str">
        <f>'Form responses 1'!AP276</f>
        <v/>
      </c>
      <c r="AH274" s="4" t="str">
        <f>'Form responses 1'!AQ276</f>
        <v/>
      </c>
      <c r="AI274" s="4" t="str">
        <f>'Form responses 1'!AR276</f>
        <v/>
      </c>
    </row>
    <row r="275">
      <c r="A275" s="26">
        <f>'Form responses 1'!B277</f>
        <v>46065</v>
      </c>
      <c r="B275" s="4" t="str">
        <f>'Form responses 1'!AZ277</f>
        <v>akhila.narra@capsdelivery.com</v>
      </c>
      <c r="C275" s="4" t="str">
        <f>'Form responses 1'!BR277</f>
        <v>Hotel FarzaanHotel Farzaan</v>
      </c>
      <c r="D275" s="4" t="str">
        <f>'Form responses 1'!AT277</f>
        <v>Onboarded</v>
      </c>
      <c r="E275" s="4" t="str">
        <f>'Form responses 1'!AU277</f>
        <v>No</v>
      </c>
      <c r="F275" s="26">
        <f>'Form responses 1'!AX277</f>
        <v>46065</v>
      </c>
      <c r="G275" s="4" t="str">
        <f>'Form responses 1'!AY277</f>
        <v/>
      </c>
      <c r="H275" s="53" t="str">
        <f>'Form responses 1'!AW277</f>
        <v>No</v>
      </c>
      <c r="I275" s="4" t="str">
        <f>'Form responses 1'!AS277</f>
        <v>Yes</v>
      </c>
      <c r="J275" s="4" t="str">
        <f>'Form responses 1'!J277</f>
        <v/>
      </c>
      <c r="K275" s="4" t="str">
        <f>'Form responses 1'!G277</f>
        <v/>
      </c>
      <c r="L275" s="4" t="str">
        <f>'Form responses 1'!F277</f>
        <v/>
      </c>
      <c r="M275" s="4" t="str">
        <f>'Form responses 1'!U277</f>
        <v>faheen</v>
      </c>
      <c r="N275" s="4">
        <f>'Form responses 1'!V277</f>
        <v>7416826069</v>
      </c>
      <c r="O275" s="4" t="str">
        <f>'Form responses 1'!W277</f>
        <v>faheen88977@gmail.com</v>
      </c>
      <c r="P275" s="4" t="str">
        <f>'Form responses 1'!X277</f>
        <v>Na</v>
      </c>
      <c r="Q275" s="4">
        <f>'Form responses 1'!Y277</f>
        <v>12</v>
      </c>
      <c r="R275" s="4" t="str">
        <f>'Form responses 1'!Z277</f>
        <v>Na</v>
      </c>
      <c r="S275" s="54" t="str">
        <f>'Form responses 1'!AC277</f>
        <v>https://drive.google.com/open?id=1QmWrK_rT287ulHBndycSFpNyv3pFYCxb</v>
      </c>
      <c r="T275" s="4" t="str">
        <f>'Form responses 1'!AE277</f>
        <v/>
      </c>
      <c r="U275" s="4" t="str">
        <f>'Form responses 1'!AG277</f>
        <v/>
      </c>
      <c r="V275" s="4" t="str">
        <f>'Form responses 1'!AI277</f>
        <v/>
      </c>
      <c r="W275" s="54" t="str">
        <f>'Form responses 1'!AJ277</f>
        <v>https://drive.google.com/open?id=1aJ7jyiQI1BxadWuyiDV75Cr6pKDhzzPn</v>
      </c>
      <c r="X275" s="54" t="str">
        <f>'Form responses 1'!AK277</f>
        <v>https://drive.google.com/open?id=1hHYKH2vaxK2MdQvW2T-DLbQa7QTnUOnE</v>
      </c>
      <c r="Y275" s="4">
        <f t="shared" ref="Y275:AD275" si="274">if(S275&gt;0,1,0)</f>
        <v>1</v>
      </c>
      <c r="Z275" s="4">
        <f t="shared" si="274"/>
        <v>0</v>
      </c>
      <c r="AA275" s="4">
        <f t="shared" si="274"/>
        <v>0</v>
      </c>
      <c r="AB275" s="4">
        <f t="shared" si="274"/>
        <v>0</v>
      </c>
      <c r="AC275" s="4">
        <f t="shared" si="274"/>
        <v>1</v>
      </c>
      <c r="AD275" s="4">
        <f t="shared" si="274"/>
        <v>1</v>
      </c>
      <c r="AE275" s="4" t="str">
        <f>'Form responses 1'!AN277</f>
        <v>Canara Bank</v>
      </c>
      <c r="AF275" s="4" t="str">
        <f>'Form responses 1'!AO277</f>
        <v>Faheen</v>
      </c>
      <c r="AG275" s="4" t="str">
        <f>'Form responses 1'!AP277</f>
        <v>74168 26069‬</v>
      </c>
      <c r="AH275" s="4" t="str">
        <f>'Form responses 1'!AQ277</f>
        <v>faheen88977@gmail.com</v>
      </c>
      <c r="AI275" s="4" t="str">
        <f>'Form responses 1'!AR277</f>
        <v/>
      </c>
    </row>
    <row r="276">
      <c r="A276" s="26">
        <f>'Form responses 1'!B278</f>
        <v>46065</v>
      </c>
      <c r="B276" s="4" t="str">
        <f>'Form responses 1'!AZ278</f>
        <v>manasa.chigurupati@capsdelivery.com</v>
      </c>
      <c r="C276" s="4" t="str">
        <f>'Form responses 1'!BR278</f>
        <v>Royal Darbar</v>
      </c>
      <c r="D276" s="4" t="str">
        <f>'Form responses 1'!AT278</f>
        <v/>
      </c>
      <c r="E276" s="4" t="str">
        <f>'Form responses 1'!AU278</f>
        <v>Yes</v>
      </c>
      <c r="F276" s="4" t="str">
        <f>'Form responses 1'!AX278</f>
        <v/>
      </c>
      <c r="G276" s="4" t="str">
        <f>'Form responses 1'!AY278</f>
        <v/>
      </c>
      <c r="H276" s="53" t="str">
        <f>'Form responses 1'!AW278</f>
        <v/>
      </c>
      <c r="I276" s="4" t="str">
        <f>'Form responses 1'!AS278</f>
        <v/>
      </c>
      <c r="J276" s="4" t="str">
        <f>'Form responses 1'!J278</f>
        <v/>
      </c>
      <c r="K276" s="4" t="str">
        <f>'Form responses 1'!G278</f>
        <v/>
      </c>
      <c r="L276" s="4" t="str">
        <f>'Form responses 1'!F278</f>
        <v/>
      </c>
      <c r="M276" s="4" t="str">
        <f>'Form responses 1'!U278</f>
        <v>Na</v>
      </c>
      <c r="N276" s="4" t="str">
        <f>'Form responses 1'!V278</f>
        <v>Na</v>
      </c>
      <c r="O276" s="4" t="str">
        <f>'Form responses 1'!W278</f>
        <v>Na</v>
      </c>
      <c r="P276" s="4" t="str">
        <f>'Form responses 1'!X278</f>
        <v/>
      </c>
      <c r="Q276" s="4" t="str">
        <f>'Form responses 1'!Y278</f>
        <v/>
      </c>
      <c r="R276" s="4" t="str">
        <f>'Form responses 1'!Z278</f>
        <v/>
      </c>
      <c r="S276" s="4" t="str">
        <f>'Form responses 1'!AC278</f>
        <v/>
      </c>
      <c r="T276" s="4" t="str">
        <f>'Form responses 1'!AE278</f>
        <v/>
      </c>
      <c r="U276" s="4" t="str">
        <f>'Form responses 1'!AG278</f>
        <v/>
      </c>
      <c r="V276" s="4" t="str">
        <f>'Form responses 1'!AI278</f>
        <v/>
      </c>
      <c r="W276" s="4" t="str">
        <f>'Form responses 1'!AJ278</f>
        <v/>
      </c>
      <c r="X276" s="4" t="str">
        <f>'Form responses 1'!AK278</f>
        <v/>
      </c>
      <c r="Y276" s="4">
        <f t="shared" ref="Y276:AD276" si="275">if(S276&gt;0,1,0)</f>
        <v>0</v>
      </c>
      <c r="Z276" s="4">
        <f t="shared" si="275"/>
        <v>0</v>
      </c>
      <c r="AA276" s="4">
        <f t="shared" si="275"/>
        <v>0</v>
      </c>
      <c r="AB276" s="4">
        <f t="shared" si="275"/>
        <v>0</v>
      </c>
      <c r="AC276" s="4">
        <f t="shared" si="275"/>
        <v>0</v>
      </c>
      <c r="AD276" s="4">
        <f t="shared" si="275"/>
        <v>0</v>
      </c>
      <c r="AE276" s="4" t="str">
        <f>'Form responses 1'!AN278</f>
        <v/>
      </c>
      <c r="AF276" s="4" t="str">
        <f>'Form responses 1'!AO278</f>
        <v/>
      </c>
      <c r="AG276" s="4" t="str">
        <f>'Form responses 1'!AP278</f>
        <v/>
      </c>
      <c r="AH276" s="4" t="str">
        <f>'Form responses 1'!AQ278</f>
        <v/>
      </c>
      <c r="AI276" s="4" t="str">
        <f>'Form responses 1'!AR278</f>
        <v/>
      </c>
    </row>
    <row r="277">
      <c r="A277" s="26">
        <f>'Form responses 1'!B279</f>
        <v>46065</v>
      </c>
      <c r="B277" s="4" t="str">
        <f>'Form responses 1'!AZ279</f>
        <v>nitya.akshara@capsdelivery.com</v>
      </c>
      <c r="C277" s="4" t="str">
        <f>'Form responses 1'!BR279</f>
        <v>Tipsy Topsy Tipsy Topsy </v>
      </c>
      <c r="D277" s="4" t="str">
        <f>'Form responses 1'!AT279</f>
        <v/>
      </c>
      <c r="E277" s="4" t="str">
        <f>'Form responses 1'!AU279</f>
        <v>Yes</v>
      </c>
      <c r="F277" s="4" t="str">
        <f>'Form responses 1'!AX279</f>
        <v/>
      </c>
      <c r="G277" s="4" t="str">
        <f>'Form responses 1'!AY279</f>
        <v/>
      </c>
      <c r="H277" s="53" t="str">
        <f>'Form responses 1'!AW279</f>
        <v/>
      </c>
      <c r="I277" s="4" t="str">
        <f>'Form responses 1'!AS279</f>
        <v/>
      </c>
      <c r="J277" s="4" t="str">
        <f>'Form responses 1'!J279</f>
        <v/>
      </c>
      <c r="K277" s="4" t="str">
        <f>'Form responses 1'!G279</f>
        <v/>
      </c>
      <c r="L277" s="4" t="str">
        <f>'Form responses 1'!F279</f>
        <v/>
      </c>
      <c r="M277" s="4" t="str">
        <f>'Form responses 1'!U279</f>
        <v>Azeez </v>
      </c>
      <c r="N277" s="4" t="str">
        <f>'Form responses 1'!V279</f>
        <v>99850 95605</v>
      </c>
      <c r="O277" s="4" t="str">
        <f>'Form responses 1'!W279</f>
        <v>Tipsytopsy1@gmail.com </v>
      </c>
      <c r="P277" s="4" t="str">
        <f>'Form responses 1'!X279</f>
        <v/>
      </c>
      <c r="Q277" s="4" t="str">
        <f>'Form responses 1'!Y279</f>
        <v/>
      </c>
      <c r="R277" s="4" t="str">
        <f>'Form responses 1'!Z279</f>
        <v/>
      </c>
      <c r="S277" s="4" t="str">
        <f>'Form responses 1'!AC279</f>
        <v/>
      </c>
      <c r="T277" s="4" t="str">
        <f>'Form responses 1'!AE279</f>
        <v/>
      </c>
      <c r="U277" s="4" t="str">
        <f>'Form responses 1'!AG279</f>
        <v/>
      </c>
      <c r="V277" s="4" t="str">
        <f>'Form responses 1'!AI279</f>
        <v/>
      </c>
      <c r="W277" s="4" t="str">
        <f>'Form responses 1'!AJ279</f>
        <v/>
      </c>
      <c r="X277" s="4" t="str">
        <f>'Form responses 1'!AK279</f>
        <v/>
      </c>
      <c r="Y277" s="4">
        <f t="shared" ref="Y277:AD277" si="276">if(S277&gt;0,1,0)</f>
        <v>0</v>
      </c>
      <c r="Z277" s="4">
        <f t="shared" si="276"/>
        <v>0</v>
      </c>
      <c r="AA277" s="4">
        <f t="shared" si="276"/>
        <v>0</v>
      </c>
      <c r="AB277" s="4">
        <f t="shared" si="276"/>
        <v>0</v>
      </c>
      <c r="AC277" s="4">
        <f t="shared" si="276"/>
        <v>0</v>
      </c>
      <c r="AD277" s="4">
        <f t="shared" si="276"/>
        <v>0</v>
      </c>
      <c r="AE277" s="4" t="str">
        <f>'Form responses 1'!AN279</f>
        <v/>
      </c>
      <c r="AF277" s="4" t="str">
        <f>'Form responses 1'!AO279</f>
        <v/>
      </c>
      <c r="AG277" s="4" t="str">
        <f>'Form responses 1'!AP279</f>
        <v/>
      </c>
      <c r="AH277" s="4" t="str">
        <f>'Form responses 1'!AQ279</f>
        <v/>
      </c>
      <c r="AI277" s="4" t="str">
        <f>'Form responses 1'!AR279</f>
        <v/>
      </c>
    </row>
    <row r="278">
      <c r="A278" s="26">
        <f>'Form responses 1'!B280</f>
        <v>46065</v>
      </c>
      <c r="B278" s="4" t="str">
        <f>'Form responses 1'!AZ280</f>
        <v>parthive.maganti@capsdelivery.com</v>
      </c>
      <c r="C278" s="4" t="str">
        <f>'Form responses 1'!BR280</f>
        <v>Exotica bakers</v>
      </c>
      <c r="D278" s="4" t="str">
        <f>'Form responses 1'!AT280</f>
        <v/>
      </c>
      <c r="E278" s="4" t="str">
        <f>'Form responses 1'!AU280</f>
        <v>Yes</v>
      </c>
      <c r="F278" s="26">
        <f>'Form responses 1'!AX280</f>
        <v>46066</v>
      </c>
      <c r="G278" s="52">
        <f>'Form responses 1'!AY280</f>
        <v>0.625</v>
      </c>
      <c r="H278" s="53" t="str">
        <f>'Form responses 1'!AW280</f>
        <v/>
      </c>
      <c r="I278" s="4" t="str">
        <f>'Form responses 1'!AS280</f>
        <v/>
      </c>
      <c r="J278" s="4" t="str">
        <f>'Form responses 1'!J280</f>
        <v/>
      </c>
      <c r="K278" s="4" t="str">
        <f>'Form responses 1'!G280</f>
        <v/>
      </c>
      <c r="L278" s="4" t="str">
        <f>'Form responses 1'!F280</f>
        <v/>
      </c>
      <c r="M278" s="4" t="str">
        <f>'Form responses 1'!U280</f>
        <v>Basha</v>
      </c>
      <c r="N278" s="4">
        <f>'Form responses 1'!V280</f>
        <v>9849765228</v>
      </c>
      <c r="O278" s="4" t="str">
        <f>'Form responses 1'!W280</f>
        <v>Na</v>
      </c>
      <c r="P278" s="4" t="str">
        <f>'Form responses 1'!X280</f>
        <v/>
      </c>
      <c r="Q278" s="4" t="str">
        <f>'Form responses 1'!Y280</f>
        <v/>
      </c>
      <c r="R278" s="4" t="str">
        <f>'Form responses 1'!Z280</f>
        <v/>
      </c>
      <c r="S278" s="4" t="str">
        <f>'Form responses 1'!AC280</f>
        <v/>
      </c>
      <c r="T278" s="4" t="str">
        <f>'Form responses 1'!AE280</f>
        <v/>
      </c>
      <c r="U278" s="4" t="str">
        <f>'Form responses 1'!AG280</f>
        <v/>
      </c>
      <c r="V278" s="4" t="str">
        <f>'Form responses 1'!AI280</f>
        <v/>
      </c>
      <c r="W278" s="4" t="str">
        <f>'Form responses 1'!AJ280</f>
        <v/>
      </c>
      <c r="X278" s="4" t="str">
        <f>'Form responses 1'!AK280</f>
        <v/>
      </c>
      <c r="Y278" s="4">
        <f t="shared" ref="Y278:AD278" si="277">if(S278&gt;0,1,0)</f>
        <v>0</v>
      </c>
      <c r="Z278" s="4">
        <f t="shared" si="277"/>
        <v>0</v>
      </c>
      <c r="AA278" s="4">
        <f t="shared" si="277"/>
        <v>0</v>
      </c>
      <c r="AB278" s="4">
        <f t="shared" si="277"/>
        <v>0</v>
      </c>
      <c r="AC278" s="4">
        <f t="shared" si="277"/>
        <v>0</v>
      </c>
      <c r="AD278" s="4">
        <f t="shared" si="277"/>
        <v>0</v>
      </c>
      <c r="AE278" s="4" t="str">
        <f>'Form responses 1'!AN280</f>
        <v/>
      </c>
      <c r="AF278" s="4" t="str">
        <f>'Form responses 1'!AO280</f>
        <v/>
      </c>
      <c r="AG278" s="4" t="str">
        <f>'Form responses 1'!AP280</f>
        <v/>
      </c>
      <c r="AH278" s="4" t="str">
        <f>'Form responses 1'!AQ280</f>
        <v/>
      </c>
      <c r="AI278" s="4" t="str">
        <f>'Form responses 1'!AR280</f>
        <v/>
      </c>
    </row>
    <row r="279">
      <c r="A279" s="26">
        <f>'Form responses 1'!B281</f>
        <v>46065</v>
      </c>
      <c r="B279" s="4" t="str">
        <f>'Form responses 1'!AZ281</f>
        <v>parthive.maganti@capsdelivery.com</v>
      </c>
      <c r="C279" s="4" t="str">
        <f>'Form responses 1'!BR281</f>
        <v>Padmavathi food court</v>
      </c>
      <c r="D279" s="4" t="str">
        <f>'Form responses 1'!AT281</f>
        <v>Na</v>
      </c>
      <c r="E279" s="4" t="str">
        <f>'Form responses 1'!AU281</f>
        <v>No</v>
      </c>
      <c r="F279" s="4" t="str">
        <f>'Form responses 1'!AX281</f>
        <v/>
      </c>
      <c r="G279" s="4" t="str">
        <f>'Form responses 1'!AY281</f>
        <v/>
      </c>
      <c r="H279" s="53" t="str">
        <f>'Form responses 1'!AW281</f>
        <v/>
      </c>
      <c r="I279" s="4" t="str">
        <f>'Form responses 1'!AS281</f>
        <v>Yes</v>
      </c>
      <c r="J279" s="4" t="str">
        <f>'Form responses 1'!J281</f>
        <v>Tier-3 ( AOV&lt;200 )</v>
      </c>
      <c r="K279" s="4">
        <f>'Form responses 1'!G281</f>
        <v>120</v>
      </c>
      <c r="L279" s="4">
        <f>'Form responses 1'!F281</f>
        <v>40</v>
      </c>
      <c r="M279" s="4" t="str">
        <f>'Form responses 1'!U281</f>
        <v>Padmavathi</v>
      </c>
      <c r="N279" s="4">
        <f>'Form responses 1'!V281</f>
        <v>8121749748</v>
      </c>
      <c r="O279" s="4" t="str">
        <f>'Form responses 1'!W281</f>
        <v>Na</v>
      </c>
      <c r="P279" s="4" t="str">
        <f>'Form responses 1'!X281</f>
        <v/>
      </c>
      <c r="Q279" s="4" t="str">
        <f>'Form responses 1'!Y281</f>
        <v/>
      </c>
      <c r="R279" s="4" t="str">
        <f>'Form responses 1'!Z281</f>
        <v/>
      </c>
      <c r="S279" s="54" t="str">
        <f>'Form responses 1'!AC281</f>
        <v>https://drive.google.com/open?id=1OhYuUPJZtUt9ADEJV6NmHD-6_CD-YagI</v>
      </c>
      <c r="T279" s="4" t="str">
        <f>'Form responses 1'!AE281</f>
        <v/>
      </c>
      <c r="U279" s="54" t="str">
        <f>'Form responses 1'!AG281</f>
        <v>https://drive.google.com/open?id=1qE5ez9Tj8VeTC7DGpU3OzbvCVZGo-IC-</v>
      </c>
      <c r="V279" s="4" t="str">
        <f>'Form responses 1'!AI281</f>
        <v/>
      </c>
      <c r="W279" s="4" t="str">
        <f>'Form responses 1'!AJ281</f>
        <v/>
      </c>
      <c r="X279" s="4" t="str">
        <f>'Form responses 1'!AK281</f>
        <v/>
      </c>
      <c r="Y279" s="4">
        <f t="shared" ref="Y279:AD279" si="278">if(S279&gt;0,1,0)</f>
        <v>1</v>
      </c>
      <c r="Z279" s="4">
        <f t="shared" si="278"/>
        <v>0</v>
      </c>
      <c r="AA279" s="4">
        <f t="shared" si="278"/>
        <v>1</v>
      </c>
      <c r="AB279" s="4">
        <f t="shared" si="278"/>
        <v>0</v>
      </c>
      <c r="AC279" s="4">
        <f t="shared" si="278"/>
        <v>0</v>
      </c>
      <c r="AD279" s="4">
        <f t="shared" si="278"/>
        <v>0</v>
      </c>
      <c r="AE279" s="4" t="str">
        <f>'Form responses 1'!AN281</f>
        <v>Padmavathi Food court</v>
      </c>
      <c r="AF279" s="4" t="str">
        <f>'Form responses 1'!AO281</f>
        <v>Padmavathi</v>
      </c>
      <c r="AG279" s="4" t="str">
        <f>'Form responses 1'!AP281</f>
        <v/>
      </c>
      <c r="AH279" s="4" t="str">
        <f>'Form responses 1'!AQ281</f>
        <v/>
      </c>
      <c r="AI279" s="4" t="str">
        <f>'Form responses 1'!AR281</f>
        <v/>
      </c>
    </row>
    <row r="280">
      <c r="A280" s="26">
        <f>'Form responses 1'!B282</f>
        <v>46065</v>
      </c>
      <c r="B280" s="4" t="str">
        <f>'Form responses 1'!AZ282</f>
        <v>chanakya.inugala@capsdelivery.com</v>
      </c>
      <c r="C280" s="4" t="str">
        <f>'Form responses 1'!BR282</f>
        <v>punjabi Dhaba</v>
      </c>
      <c r="D280" s="4" t="str">
        <f>'Form responses 1'!AT282</f>
        <v>ONBOARDED</v>
      </c>
      <c r="E280" s="4" t="str">
        <f>'Form responses 1'!AU282</f>
        <v>No</v>
      </c>
      <c r="F280" s="4" t="str">
        <f>'Form responses 1'!AX282</f>
        <v/>
      </c>
      <c r="G280" s="4" t="str">
        <f>'Form responses 1'!AY282</f>
        <v/>
      </c>
      <c r="H280" s="53" t="str">
        <f>'Form responses 1'!AW282</f>
        <v/>
      </c>
      <c r="I280" s="4" t="str">
        <f>'Form responses 1'!AS282</f>
        <v>Yes</v>
      </c>
      <c r="J280" s="4" t="str">
        <f>'Form responses 1'!J282</f>
        <v>Tier-2 (AOV &lt;400)</v>
      </c>
      <c r="K280" s="4">
        <f>'Form responses 1'!G282</f>
        <v>300</v>
      </c>
      <c r="L280" s="4">
        <f>'Form responses 1'!F282</f>
        <v>30</v>
      </c>
      <c r="M280" s="4" t="str">
        <f>'Form responses 1'!U282</f>
        <v>santhosh</v>
      </c>
      <c r="N280" s="4">
        <f>'Form responses 1'!V282</f>
        <v>8466082222</v>
      </c>
      <c r="O280" s="4" t="str">
        <f>'Form responses 1'!W282</f>
        <v>punjabijunctionyf@gmail.com</v>
      </c>
      <c r="P280" s="4" t="str">
        <f>'Form responses 1'!X282</f>
        <v/>
      </c>
      <c r="Q280" s="4" t="str">
        <f>'Form responses 1'!Y282</f>
        <v/>
      </c>
      <c r="R280" s="4" t="str">
        <f>'Form responses 1'!Z282</f>
        <v/>
      </c>
      <c r="S280" s="54" t="str">
        <f>'Form responses 1'!AC282</f>
        <v>https://drive.google.com/open?id=1W5DvnQWJlR0kGJulI7-q7OPepzyaL_ZD</v>
      </c>
      <c r="T280" s="4" t="str">
        <f>'Form responses 1'!AE282</f>
        <v/>
      </c>
      <c r="U280" s="54" t="str">
        <f>'Form responses 1'!AG282</f>
        <v>https://drive.google.com/open?id=1v0Q4P_xuBK-3EP4oJ5-F7SUtrC346hHR</v>
      </c>
      <c r="V280" s="54" t="str">
        <f>'Form responses 1'!AI282</f>
        <v>https://drive.google.com/open?id=1I0nDgARq3-b4FG1xDYyGvkDT3cyzY6YV</v>
      </c>
      <c r="W280" s="4" t="str">
        <f>'Form responses 1'!AJ282</f>
        <v/>
      </c>
      <c r="X280" s="54" t="str">
        <f>'Form responses 1'!AK282</f>
        <v>https://drive.google.com/open?id=12sMx09M1ImUhIZqd82WIvNaInTBWDcDb</v>
      </c>
      <c r="Y280" s="4">
        <f t="shared" ref="Y280:AD280" si="279">if(S280&gt;0,1,0)</f>
        <v>1</v>
      </c>
      <c r="Z280" s="4">
        <f t="shared" si="279"/>
        <v>0</v>
      </c>
      <c r="AA280" s="4">
        <f t="shared" si="279"/>
        <v>1</v>
      </c>
      <c r="AB280" s="4">
        <f t="shared" si="279"/>
        <v>1</v>
      </c>
      <c r="AC280" s="4">
        <f t="shared" si="279"/>
        <v>0</v>
      </c>
      <c r="AD280" s="4">
        <f t="shared" si="279"/>
        <v>1</v>
      </c>
      <c r="AE280" s="4" t="str">
        <f>'Form responses 1'!AN282</f>
        <v>CENTRAL BANK OF INDIA</v>
      </c>
      <c r="AF280" s="4" t="str">
        <f>'Form responses 1'!AO282</f>
        <v>SANTHOSH</v>
      </c>
      <c r="AG280" s="4">
        <f>'Form responses 1'!AP282</f>
        <v>8466082222</v>
      </c>
      <c r="AH280" s="4" t="str">
        <f>'Form responses 1'!AQ282</f>
        <v>PUNJABIJUNCTIONYF@GMAIL.COM</v>
      </c>
      <c r="AI280" s="4" t="str">
        <f>'Form responses 1'!AR282</f>
        <v>YUMMY FOODS</v>
      </c>
    </row>
    <row r="281">
      <c r="A281" s="26">
        <f>'Form responses 1'!B283</f>
        <v>46065</v>
      </c>
      <c r="B281" s="4" t="str">
        <f>'Form responses 1'!AZ283</f>
        <v>manasa.chigurupati@capsdelivery.com</v>
      </c>
      <c r="C281" s="4" t="str">
        <f>'Form responses 1'!BR283</f>
        <v>Cozmo Cafe </v>
      </c>
      <c r="D281" s="4" t="str">
        <f>'Form responses 1'!AT283</f>
        <v/>
      </c>
      <c r="E281" s="4" t="str">
        <f>'Form responses 1'!AU283</f>
        <v>Yes</v>
      </c>
      <c r="F281" s="4" t="str">
        <f>'Form responses 1'!AX283</f>
        <v/>
      </c>
      <c r="G281" s="4" t="str">
        <f>'Form responses 1'!AY283</f>
        <v/>
      </c>
      <c r="H281" s="53" t="str">
        <f>'Form responses 1'!AW283</f>
        <v/>
      </c>
      <c r="I281" s="4" t="str">
        <f>'Form responses 1'!AS283</f>
        <v/>
      </c>
      <c r="J281" s="4" t="str">
        <f>'Form responses 1'!J283</f>
        <v>Tier-2 (AOV &lt;400)</v>
      </c>
      <c r="K281" s="4">
        <f>'Form responses 1'!G283</f>
        <v>300</v>
      </c>
      <c r="L281" s="4">
        <f>'Form responses 1'!F283</f>
        <v>140</v>
      </c>
      <c r="M281" s="4" t="str">
        <f>'Form responses 1'!U283</f>
        <v>Sohail</v>
      </c>
      <c r="N281" s="4">
        <f>'Form responses 1'!V283</f>
        <v>7729900669</v>
      </c>
      <c r="O281" s="4" t="str">
        <f>'Form responses 1'!W283</f>
        <v>Sohailmd990@gmail.com</v>
      </c>
      <c r="P281" s="4" t="str">
        <f>'Form responses 1'!X283</f>
        <v/>
      </c>
      <c r="Q281" s="4" t="str">
        <f>'Form responses 1'!Y283</f>
        <v/>
      </c>
      <c r="R281" s="4" t="str">
        <f>'Form responses 1'!Z283</f>
        <v/>
      </c>
      <c r="S281" s="4" t="str">
        <f>'Form responses 1'!AC283</f>
        <v/>
      </c>
      <c r="T281" s="4" t="str">
        <f>'Form responses 1'!AE283</f>
        <v/>
      </c>
      <c r="U281" s="4" t="str">
        <f>'Form responses 1'!AG283</f>
        <v/>
      </c>
      <c r="V281" s="4" t="str">
        <f>'Form responses 1'!AI283</f>
        <v/>
      </c>
      <c r="W281" s="4" t="str">
        <f>'Form responses 1'!AJ283</f>
        <v/>
      </c>
      <c r="X281" s="4" t="str">
        <f>'Form responses 1'!AK283</f>
        <v/>
      </c>
      <c r="Y281" s="4">
        <f t="shared" ref="Y281:AD281" si="280">if(S281&gt;0,1,0)</f>
        <v>0</v>
      </c>
      <c r="Z281" s="4">
        <f t="shared" si="280"/>
        <v>0</v>
      </c>
      <c r="AA281" s="4">
        <f t="shared" si="280"/>
        <v>0</v>
      </c>
      <c r="AB281" s="4">
        <f t="shared" si="280"/>
        <v>0</v>
      </c>
      <c r="AC281" s="4">
        <f t="shared" si="280"/>
        <v>0</v>
      </c>
      <c r="AD281" s="4">
        <f t="shared" si="280"/>
        <v>0</v>
      </c>
      <c r="AE281" s="4" t="str">
        <f>'Form responses 1'!AN283</f>
        <v/>
      </c>
      <c r="AF281" s="4" t="str">
        <f>'Form responses 1'!AO283</f>
        <v/>
      </c>
      <c r="AG281" s="4" t="str">
        <f>'Form responses 1'!AP283</f>
        <v/>
      </c>
      <c r="AH281" s="4" t="str">
        <f>'Form responses 1'!AQ283</f>
        <v/>
      </c>
      <c r="AI281" s="4" t="str">
        <f>'Form responses 1'!AR283</f>
        <v/>
      </c>
    </row>
    <row r="282">
      <c r="A282" s="26">
        <f>'Form responses 1'!B284</f>
        <v>46065</v>
      </c>
      <c r="B282" s="4" t="str">
        <f>'Form responses 1'!AZ284</f>
        <v>chanakya.inugala@capsdelivery.com</v>
      </c>
      <c r="C282" s="4" t="str">
        <f>'Form responses 1'!BR284</f>
        <v>Alkapuri Bawarchi Biryani </v>
      </c>
      <c r="D282" s="4" t="str">
        <f>'Form responses 1'!AT284</f>
        <v/>
      </c>
      <c r="E282" s="4" t="str">
        <f>'Form responses 1'!AU284</f>
        <v>Yes</v>
      </c>
      <c r="F282" s="4" t="str">
        <f>'Form responses 1'!AX284</f>
        <v/>
      </c>
      <c r="G282" s="4" t="str">
        <f>'Form responses 1'!AY284</f>
        <v/>
      </c>
      <c r="H282" s="53" t="str">
        <f>'Form responses 1'!AW284</f>
        <v/>
      </c>
      <c r="I282" s="4" t="str">
        <f>'Form responses 1'!AS284</f>
        <v/>
      </c>
      <c r="J282" s="4" t="str">
        <f>'Form responses 1'!J284</f>
        <v/>
      </c>
      <c r="K282" s="4" t="str">
        <f>'Form responses 1'!G284</f>
        <v/>
      </c>
      <c r="L282" s="4" t="str">
        <f>'Form responses 1'!F284</f>
        <v/>
      </c>
      <c r="M282" s="4" t="str">
        <f>'Form responses 1'!U284</f>
        <v>Md.Atif Ali</v>
      </c>
      <c r="N282" s="4">
        <f>'Form responses 1'!V284</f>
        <v>9985506310</v>
      </c>
      <c r="O282" s="4" t="str">
        <f>'Form responses 1'!W284</f>
        <v>Na</v>
      </c>
      <c r="P282" s="4" t="str">
        <f>'Form responses 1'!X284</f>
        <v>Md.owais</v>
      </c>
      <c r="Q282" s="4">
        <f>'Form responses 1'!Y284</f>
        <v>7660912558</v>
      </c>
      <c r="R282" s="4" t="str">
        <f>'Form responses 1'!Z284</f>
        <v>Na</v>
      </c>
      <c r="S282" s="4" t="str">
        <f>'Form responses 1'!AC284</f>
        <v/>
      </c>
      <c r="T282" s="4" t="str">
        <f>'Form responses 1'!AE284</f>
        <v/>
      </c>
      <c r="U282" s="4" t="str">
        <f>'Form responses 1'!AG284</f>
        <v/>
      </c>
      <c r="V282" s="4" t="str">
        <f>'Form responses 1'!AI284</f>
        <v/>
      </c>
      <c r="W282" s="4" t="str">
        <f>'Form responses 1'!AJ284</f>
        <v/>
      </c>
      <c r="X282" s="4" t="str">
        <f>'Form responses 1'!AK284</f>
        <v/>
      </c>
      <c r="Y282" s="4">
        <f t="shared" ref="Y282:AD282" si="281">if(S282&gt;0,1,0)</f>
        <v>0</v>
      </c>
      <c r="Z282" s="4">
        <f t="shared" si="281"/>
        <v>0</v>
      </c>
      <c r="AA282" s="4">
        <f t="shared" si="281"/>
        <v>0</v>
      </c>
      <c r="AB282" s="4">
        <f t="shared" si="281"/>
        <v>0</v>
      </c>
      <c r="AC282" s="4">
        <f t="shared" si="281"/>
        <v>0</v>
      </c>
      <c r="AD282" s="4">
        <f t="shared" si="281"/>
        <v>0</v>
      </c>
      <c r="AE282" s="4" t="str">
        <f>'Form responses 1'!AN284</f>
        <v/>
      </c>
      <c r="AF282" s="4" t="str">
        <f>'Form responses 1'!AO284</f>
        <v/>
      </c>
      <c r="AG282" s="4" t="str">
        <f>'Form responses 1'!AP284</f>
        <v/>
      </c>
      <c r="AH282" s="4" t="str">
        <f>'Form responses 1'!AQ284</f>
        <v/>
      </c>
      <c r="AI282" s="4" t="str">
        <f>'Form responses 1'!AR284</f>
        <v/>
      </c>
    </row>
    <row r="283">
      <c r="A283" s="26">
        <f>'Form responses 1'!B285</f>
        <v>46065</v>
      </c>
      <c r="B283" s="4" t="str">
        <f>'Form responses 1'!AZ285</f>
        <v>moin.khan@capsdelivery.com</v>
      </c>
      <c r="C283" s="4" t="str">
        <f>'Form responses 1'!BR285</f>
        <v>GYRO DONER </v>
      </c>
      <c r="D283" s="4" t="str">
        <f>'Form responses 1'!AT285</f>
        <v/>
      </c>
      <c r="E283" s="4" t="str">
        <f>'Form responses 1'!AU285</f>
        <v>Yes</v>
      </c>
      <c r="F283" s="26">
        <f>'Form responses 1'!AX285</f>
        <v>46069</v>
      </c>
      <c r="G283" s="52">
        <f>'Form responses 1'!AY285</f>
        <v>0.6041666667</v>
      </c>
      <c r="H283" s="53" t="str">
        <f>'Form responses 1'!AW285</f>
        <v>ASKED TO COME ON MONDAY</v>
      </c>
      <c r="I283" s="4" t="str">
        <f>'Form responses 1'!AS285</f>
        <v/>
      </c>
      <c r="J283" s="4" t="str">
        <f>'Form responses 1'!J285</f>
        <v/>
      </c>
      <c r="K283" s="4" t="str">
        <f>'Form responses 1'!G285</f>
        <v/>
      </c>
      <c r="L283" s="4" t="str">
        <f>'Form responses 1'!F285</f>
        <v/>
      </c>
      <c r="M283" s="4" t="str">
        <f>'Form responses 1'!U285</f>
        <v>ABDUL MALIK</v>
      </c>
      <c r="N283" s="4">
        <f>'Form responses 1'!V285</f>
        <v>934603623</v>
      </c>
      <c r="O283" s="4" t="str">
        <f>'Form responses 1'!W285</f>
        <v>NA</v>
      </c>
      <c r="P283" s="4" t="str">
        <f>'Form responses 1'!X285</f>
        <v/>
      </c>
      <c r="Q283" s="4" t="str">
        <f>'Form responses 1'!Y285</f>
        <v/>
      </c>
      <c r="R283" s="4" t="str">
        <f>'Form responses 1'!Z285</f>
        <v/>
      </c>
      <c r="S283" s="4" t="str">
        <f>'Form responses 1'!AC285</f>
        <v/>
      </c>
      <c r="T283" s="4" t="str">
        <f>'Form responses 1'!AE285</f>
        <v/>
      </c>
      <c r="U283" s="4" t="str">
        <f>'Form responses 1'!AG285</f>
        <v/>
      </c>
      <c r="V283" s="4" t="str">
        <f>'Form responses 1'!AI285</f>
        <v/>
      </c>
      <c r="W283" s="4" t="str">
        <f>'Form responses 1'!AJ285</f>
        <v/>
      </c>
      <c r="X283" s="4" t="str">
        <f>'Form responses 1'!AK285</f>
        <v/>
      </c>
      <c r="Y283" s="4">
        <f t="shared" ref="Y283:AD283" si="282">if(S283&gt;0,1,0)</f>
        <v>0</v>
      </c>
      <c r="Z283" s="4">
        <f t="shared" si="282"/>
        <v>0</v>
      </c>
      <c r="AA283" s="4">
        <f t="shared" si="282"/>
        <v>0</v>
      </c>
      <c r="AB283" s="4">
        <f t="shared" si="282"/>
        <v>0</v>
      </c>
      <c r="AC283" s="4">
        <f t="shared" si="282"/>
        <v>0</v>
      </c>
      <c r="AD283" s="4">
        <f t="shared" si="282"/>
        <v>0</v>
      </c>
      <c r="AE283" s="4" t="str">
        <f>'Form responses 1'!AN285</f>
        <v/>
      </c>
      <c r="AF283" s="4" t="str">
        <f>'Form responses 1'!AO285</f>
        <v/>
      </c>
      <c r="AG283" s="4" t="str">
        <f>'Form responses 1'!AP285</f>
        <v/>
      </c>
      <c r="AH283" s="4" t="str">
        <f>'Form responses 1'!AQ285</f>
        <v/>
      </c>
      <c r="AI283" s="4" t="str">
        <f>'Form responses 1'!AR285</f>
        <v/>
      </c>
    </row>
    <row r="284">
      <c r="A284" s="26">
        <f>'Form responses 1'!B286</f>
        <v>46065</v>
      </c>
      <c r="B284" s="4" t="str">
        <f>'Form responses 1'!AZ286</f>
        <v>moin.khan@capsdelivery.com</v>
      </c>
      <c r="C284" s="4" t="str">
        <f>'Form responses 1'!BR286</f>
        <v>morine bakery</v>
      </c>
      <c r="D284" s="4" t="str">
        <f>'Form responses 1'!AT286</f>
        <v>NOT INTERESTED</v>
      </c>
      <c r="E284" s="4" t="str">
        <f>'Form responses 1'!AU286</f>
        <v>No</v>
      </c>
      <c r="F284" s="4" t="str">
        <f>'Form responses 1'!AX286</f>
        <v/>
      </c>
      <c r="G284" s="4" t="str">
        <f>'Form responses 1'!AY286</f>
        <v/>
      </c>
      <c r="H284" s="53" t="str">
        <f>'Form responses 1'!AW286</f>
        <v>Not in any online platform we have explain every thing but not interested as of now will contact if interested</v>
      </c>
      <c r="I284" s="4" t="str">
        <f>'Form responses 1'!AS286</f>
        <v/>
      </c>
      <c r="J284" s="4" t="str">
        <f>'Form responses 1'!J286</f>
        <v/>
      </c>
      <c r="K284" s="4" t="str">
        <f>'Form responses 1'!G286</f>
        <v/>
      </c>
      <c r="L284" s="4" t="str">
        <f>'Form responses 1'!F286</f>
        <v/>
      </c>
      <c r="M284" s="4" t="str">
        <f>'Form responses 1'!U286</f>
        <v>gulam</v>
      </c>
      <c r="N284" s="4" t="str">
        <f>'Form responses 1'!V286</f>
        <v>040 23510000</v>
      </c>
      <c r="O284" s="4" t="str">
        <f>'Form responses 1'!W286</f>
        <v>NA</v>
      </c>
      <c r="P284" s="4" t="str">
        <f>'Form responses 1'!X286</f>
        <v/>
      </c>
      <c r="Q284" s="4" t="str">
        <f>'Form responses 1'!Y286</f>
        <v/>
      </c>
      <c r="R284" s="4" t="str">
        <f>'Form responses 1'!Z286</f>
        <v/>
      </c>
      <c r="S284" s="4" t="str">
        <f>'Form responses 1'!AC286</f>
        <v/>
      </c>
      <c r="T284" s="4" t="str">
        <f>'Form responses 1'!AE286</f>
        <v/>
      </c>
      <c r="U284" s="4" t="str">
        <f>'Form responses 1'!AG286</f>
        <v/>
      </c>
      <c r="V284" s="4" t="str">
        <f>'Form responses 1'!AI286</f>
        <v/>
      </c>
      <c r="W284" s="4" t="str">
        <f>'Form responses 1'!AJ286</f>
        <v/>
      </c>
      <c r="X284" s="4" t="str">
        <f>'Form responses 1'!AK286</f>
        <v/>
      </c>
      <c r="Y284" s="4">
        <f t="shared" ref="Y284:AD284" si="283">if(S284&gt;0,1,0)</f>
        <v>0</v>
      </c>
      <c r="Z284" s="4">
        <f t="shared" si="283"/>
        <v>0</v>
      </c>
      <c r="AA284" s="4">
        <f t="shared" si="283"/>
        <v>0</v>
      </c>
      <c r="AB284" s="4">
        <f t="shared" si="283"/>
        <v>0</v>
      </c>
      <c r="AC284" s="4">
        <f t="shared" si="283"/>
        <v>0</v>
      </c>
      <c r="AD284" s="4">
        <f t="shared" si="283"/>
        <v>0</v>
      </c>
      <c r="AE284" s="4" t="str">
        <f>'Form responses 1'!AN286</f>
        <v/>
      </c>
      <c r="AF284" s="4" t="str">
        <f>'Form responses 1'!AO286</f>
        <v/>
      </c>
      <c r="AG284" s="4" t="str">
        <f>'Form responses 1'!AP286</f>
        <v/>
      </c>
      <c r="AH284" s="4" t="str">
        <f>'Form responses 1'!AQ286</f>
        <v/>
      </c>
      <c r="AI284" s="4" t="str">
        <f>'Form responses 1'!AR286</f>
        <v/>
      </c>
    </row>
    <row r="285">
      <c r="A285" s="26">
        <f>'Form responses 1'!B287</f>
        <v>46065</v>
      </c>
      <c r="B285" s="4" t="str">
        <f>'Form responses 1'!AZ287</f>
        <v>akhila.narra@capsdelivery.com</v>
      </c>
      <c r="C285" s="4" t="str">
        <f>'Form responses 1'!BR287</f>
        <v>Balaji Family Dabha</v>
      </c>
      <c r="D285" s="4" t="str">
        <f>'Form responses 1'!AT287</f>
        <v/>
      </c>
      <c r="E285" s="4" t="str">
        <f>'Form responses 1'!AU287</f>
        <v>Yes</v>
      </c>
      <c r="F285" s="26">
        <f>'Form responses 1'!AX287</f>
        <v>46066</v>
      </c>
      <c r="G285" s="52">
        <f>'Form responses 1'!AY287</f>
        <v>0.1041666667</v>
      </c>
      <c r="H285" s="53" t="str">
        <f>'Form responses 1'!AW287</f>
        <v/>
      </c>
      <c r="I285" s="4" t="str">
        <f>'Form responses 1'!AS287</f>
        <v/>
      </c>
      <c r="J285" s="4" t="str">
        <f>'Form responses 1'!J287</f>
        <v>Tier-2 (AOV &lt;400)</v>
      </c>
      <c r="K285" s="4">
        <f>'Form responses 1'!G287</f>
        <v>300</v>
      </c>
      <c r="L285" s="4">
        <f>'Form responses 1'!F287</f>
        <v>85</v>
      </c>
      <c r="M285" s="4" t="str">
        <f>'Form responses 1'!U287</f>
        <v>Deepak</v>
      </c>
      <c r="N285" s="4">
        <f>'Form responses 1'!V287</f>
        <v>8125655929</v>
      </c>
      <c r="O285" s="4" t="str">
        <f>'Form responses 1'!W287</f>
        <v>Na</v>
      </c>
      <c r="P285" s="4" t="str">
        <f>'Form responses 1'!X287</f>
        <v/>
      </c>
      <c r="Q285" s="4" t="str">
        <f>'Form responses 1'!Y287</f>
        <v/>
      </c>
      <c r="R285" s="4" t="str">
        <f>'Form responses 1'!Z287</f>
        <v/>
      </c>
      <c r="S285" s="4" t="str">
        <f>'Form responses 1'!AC287</f>
        <v/>
      </c>
      <c r="T285" s="4" t="str">
        <f>'Form responses 1'!AE287</f>
        <v/>
      </c>
      <c r="U285" s="4" t="str">
        <f>'Form responses 1'!AG287</f>
        <v/>
      </c>
      <c r="V285" s="4" t="str">
        <f>'Form responses 1'!AI287</f>
        <v/>
      </c>
      <c r="W285" s="4" t="str">
        <f>'Form responses 1'!AJ287</f>
        <v/>
      </c>
      <c r="X285" s="4" t="str">
        <f>'Form responses 1'!AK287</f>
        <v/>
      </c>
      <c r="Y285" s="4">
        <f t="shared" ref="Y285:AD285" si="284">if(S285&gt;0,1,0)</f>
        <v>0</v>
      </c>
      <c r="Z285" s="4">
        <f t="shared" si="284"/>
        <v>0</v>
      </c>
      <c r="AA285" s="4">
        <f t="shared" si="284"/>
        <v>0</v>
      </c>
      <c r="AB285" s="4">
        <f t="shared" si="284"/>
        <v>0</v>
      </c>
      <c r="AC285" s="4">
        <f t="shared" si="284"/>
        <v>0</v>
      </c>
      <c r="AD285" s="4">
        <f t="shared" si="284"/>
        <v>0</v>
      </c>
      <c r="AE285" s="4" t="str">
        <f>'Form responses 1'!AN287</f>
        <v/>
      </c>
      <c r="AF285" s="4" t="str">
        <f>'Form responses 1'!AO287</f>
        <v/>
      </c>
      <c r="AG285" s="4" t="str">
        <f>'Form responses 1'!AP287</f>
        <v/>
      </c>
      <c r="AH285" s="4" t="str">
        <f>'Form responses 1'!AQ287</f>
        <v/>
      </c>
      <c r="AI285" s="4" t="str">
        <f>'Form responses 1'!AR287</f>
        <v/>
      </c>
    </row>
    <row r="286">
      <c r="A286" s="26">
        <f>'Form responses 1'!B288</f>
        <v>46065</v>
      </c>
      <c r="B286" s="4" t="str">
        <f>'Form responses 1'!AZ288</f>
        <v>moin.khan@capsdelivery.com</v>
      </c>
      <c r="C286" s="4" t="str">
        <f>'Form responses 1'!BR288</f>
        <v>fire and ice bakers </v>
      </c>
      <c r="D286" s="4" t="str">
        <f>'Form responses 1'!AT288</f>
        <v>OWNER WILL BE AVAILABLE ON MONDAY</v>
      </c>
      <c r="E286" s="4" t="str">
        <f>'Form responses 1'!AU288</f>
        <v>No</v>
      </c>
      <c r="F286" s="26">
        <f>'Form responses 1'!AX288</f>
        <v>46069</v>
      </c>
      <c r="G286" s="52">
        <f>'Form responses 1'!AY288</f>
        <v>0.5208333333</v>
      </c>
      <c r="H286" s="53" t="str">
        <f>'Form responses 1'!AW288</f>
        <v/>
      </c>
      <c r="I286" s="4" t="str">
        <f>'Form responses 1'!AS288</f>
        <v/>
      </c>
      <c r="J286" s="4" t="str">
        <f>'Form responses 1'!J288</f>
        <v/>
      </c>
      <c r="K286" s="4" t="str">
        <f>'Form responses 1'!G288</f>
        <v/>
      </c>
      <c r="L286" s="4" t="str">
        <f>'Form responses 1'!F288</f>
        <v/>
      </c>
      <c r="M286" s="4" t="str">
        <f>'Form responses 1'!U288</f>
        <v>CHANDRA KANT</v>
      </c>
      <c r="N286" s="4">
        <f>'Form responses 1'!V288</f>
        <v>9703471098</v>
      </c>
      <c r="O286" s="4" t="str">
        <f>'Form responses 1'!W288</f>
        <v>NA</v>
      </c>
      <c r="P286" s="4" t="str">
        <f>'Form responses 1'!X288</f>
        <v/>
      </c>
      <c r="Q286" s="4" t="str">
        <f>'Form responses 1'!Y288</f>
        <v/>
      </c>
      <c r="R286" s="4" t="str">
        <f>'Form responses 1'!Z288</f>
        <v/>
      </c>
      <c r="S286" s="4" t="str">
        <f>'Form responses 1'!AC288</f>
        <v/>
      </c>
      <c r="T286" s="4" t="str">
        <f>'Form responses 1'!AE288</f>
        <v/>
      </c>
      <c r="U286" s="4" t="str">
        <f>'Form responses 1'!AG288</f>
        <v/>
      </c>
      <c r="V286" s="4" t="str">
        <f>'Form responses 1'!AI288</f>
        <v/>
      </c>
      <c r="W286" s="4" t="str">
        <f>'Form responses 1'!AJ288</f>
        <v/>
      </c>
      <c r="X286" s="4" t="str">
        <f>'Form responses 1'!AK288</f>
        <v/>
      </c>
      <c r="Y286" s="4">
        <f t="shared" ref="Y286:AD286" si="285">if(S286&gt;0,1,0)</f>
        <v>0</v>
      </c>
      <c r="Z286" s="4">
        <f t="shared" si="285"/>
        <v>0</v>
      </c>
      <c r="AA286" s="4">
        <f t="shared" si="285"/>
        <v>0</v>
      </c>
      <c r="AB286" s="4">
        <f t="shared" si="285"/>
        <v>0</v>
      </c>
      <c r="AC286" s="4">
        <f t="shared" si="285"/>
        <v>0</v>
      </c>
      <c r="AD286" s="4">
        <f t="shared" si="285"/>
        <v>0</v>
      </c>
      <c r="AE286" s="4" t="str">
        <f>'Form responses 1'!AN288</f>
        <v/>
      </c>
      <c r="AF286" s="4" t="str">
        <f>'Form responses 1'!AO288</f>
        <v/>
      </c>
      <c r="AG286" s="4" t="str">
        <f>'Form responses 1'!AP288</f>
        <v/>
      </c>
      <c r="AH286" s="4" t="str">
        <f>'Form responses 1'!AQ288</f>
        <v/>
      </c>
      <c r="AI286" s="4" t="str">
        <f>'Form responses 1'!AR288</f>
        <v/>
      </c>
    </row>
    <row r="287">
      <c r="A287" s="26">
        <f>'Form responses 1'!B289</f>
        <v>46065</v>
      </c>
      <c r="B287" s="4" t="str">
        <f>'Form responses 1'!AZ289</f>
        <v>nitya.akshara@capsdelivery.com</v>
      </c>
      <c r="C287" s="4" t="str">
        <f>'Form responses 1'!BR289</f>
        <v>Amrutham</v>
      </c>
      <c r="D287" s="4" t="str">
        <f>'Form responses 1'!AT289</f>
        <v/>
      </c>
      <c r="E287" s="4" t="str">
        <f>'Form responses 1'!AU289</f>
        <v>Yes</v>
      </c>
      <c r="F287" s="4" t="str">
        <f>'Form responses 1'!AX289</f>
        <v/>
      </c>
      <c r="G287" s="4" t="str">
        <f>'Form responses 1'!AY289</f>
        <v/>
      </c>
      <c r="H287" s="53" t="str">
        <f>'Form responses 1'!AW289</f>
        <v/>
      </c>
      <c r="I287" s="4" t="str">
        <f>'Form responses 1'!AS289</f>
        <v/>
      </c>
      <c r="J287" s="4" t="str">
        <f>'Form responses 1'!J289</f>
        <v/>
      </c>
      <c r="K287" s="4" t="str">
        <f>'Form responses 1'!G289</f>
        <v/>
      </c>
      <c r="L287" s="4" t="str">
        <f>'Form responses 1'!F289</f>
        <v/>
      </c>
      <c r="M287" s="4" t="str">
        <f>'Form responses 1'!U289</f>
        <v>NA </v>
      </c>
      <c r="N287" s="4" t="str">
        <f>'Form responses 1'!V289</f>
        <v>NA</v>
      </c>
      <c r="O287" s="4" t="str">
        <f>'Form responses 1'!W289</f>
        <v>NA</v>
      </c>
      <c r="P287" s="4" t="str">
        <f>'Form responses 1'!X289</f>
        <v>NA</v>
      </c>
      <c r="Q287" s="4" t="str">
        <f>'Form responses 1'!Y289</f>
        <v/>
      </c>
      <c r="R287" s="4" t="str">
        <f>'Form responses 1'!Z289</f>
        <v/>
      </c>
      <c r="S287" s="4" t="str">
        <f>'Form responses 1'!AC289</f>
        <v/>
      </c>
      <c r="T287" s="4" t="str">
        <f>'Form responses 1'!AE289</f>
        <v/>
      </c>
      <c r="U287" s="4" t="str">
        <f>'Form responses 1'!AG289</f>
        <v/>
      </c>
      <c r="V287" s="4" t="str">
        <f>'Form responses 1'!AI289</f>
        <v/>
      </c>
      <c r="W287" s="4" t="str">
        <f>'Form responses 1'!AJ289</f>
        <v/>
      </c>
      <c r="X287" s="4" t="str">
        <f>'Form responses 1'!AK289</f>
        <v/>
      </c>
      <c r="Y287" s="4">
        <f t="shared" ref="Y287:AD287" si="286">if(S287&gt;0,1,0)</f>
        <v>0</v>
      </c>
      <c r="Z287" s="4">
        <f t="shared" si="286"/>
        <v>0</v>
      </c>
      <c r="AA287" s="4">
        <f t="shared" si="286"/>
        <v>0</v>
      </c>
      <c r="AB287" s="4">
        <f t="shared" si="286"/>
        <v>0</v>
      </c>
      <c r="AC287" s="4">
        <f t="shared" si="286"/>
        <v>0</v>
      </c>
      <c r="AD287" s="4">
        <f t="shared" si="286"/>
        <v>0</v>
      </c>
      <c r="AE287" s="4" t="str">
        <f>'Form responses 1'!AN289</f>
        <v/>
      </c>
      <c r="AF287" s="4" t="str">
        <f>'Form responses 1'!AO289</f>
        <v/>
      </c>
      <c r="AG287" s="4" t="str">
        <f>'Form responses 1'!AP289</f>
        <v/>
      </c>
      <c r="AH287" s="4" t="str">
        <f>'Form responses 1'!AQ289</f>
        <v/>
      </c>
      <c r="AI287" s="4" t="str">
        <f>'Form responses 1'!AR289</f>
        <v/>
      </c>
    </row>
    <row r="288">
      <c r="A288" s="26">
        <f>'Form responses 1'!B290</f>
        <v>46065</v>
      </c>
      <c r="B288" s="4" t="str">
        <f>'Form responses 1'!AZ290</f>
        <v>moin.khan@capsdelivery.com</v>
      </c>
      <c r="C288" s="4" t="str">
        <f>'Form responses 1'!BR290</f>
        <v>surabhi hotel udupi veg </v>
      </c>
      <c r="D288" s="4" t="str">
        <f>'Form responses 1'!AT290</f>
        <v/>
      </c>
      <c r="E288" s="4" t="str">
        <f>'Form responses 1'!AU290</f>
        <v>Yes</v>
      </c>
      <c r="F288" s="4" t="str">
        <f>'Form responses 1'!AX290</f>
        <v/>
      </c>
      <c r="G288" s="4" t="str">
        <f>'Form responses 1'!AY290</f>
        <v/>
      </c>
      <c r="H288" s="53" t="str">
        <f>'Form responses 1'!AW290</f>
        <v>HE WILL BE AVAILABLE TOMMROW AT 12 IN THE MORNING</v>
      </c>
      <c r="I288" s="4" t="str">
        <f>'Form responses 1'!AS290</f>
        <v/>
      </c>
      <c r="J288" s="4" t="str">
        <f>'Form responses 1'!J290</f>
        <v/>
      </c>
      <c r="K288" s="4" t="str">
        <f>'Form responses 1'!G290</f>
        <v/>
      </c>
      <c r="L288" s="4" t="str">
        <f>'Form responses 1'!F290</f>
        <v/>
      </c>
      <c r="M288" s="4" t="str">
        <f>'Form responses 1'!U290</f>
        <v>abhimanyu </v>
      </c>
      <c r="N288" s="4">
        <f>'Form responses 1'!V290</f>
        <v>9966740877</v>
      </c>
      <c r="O288" s="4" t="str">
        <f>'Form responses 1'!W290</f>
        <v>NA</v>
      </c>
      <c r="P288" s="4" t="str">
        <f>'Form responses 1'!X290</f>
        <v/>
      </c>
      <c r="Q288" s="4" t="str">
        <f>'Form responses 1'!Y290</f>
        <v/>
      </c>
      <c r="R288" s="4" t="str">
        <f>'Form responses 1'!Z290</f>
        <v/>
      </c>
      <c r="S288" s="4" t="str">
        <f>'Form responses 1'!AC290</f>
        <v/>
      </c>
      <c r="T288" s="4" t="str">
        <f>'Form responses 1'!AE290</f>
        <v/>
      </c>
      <c r="U288" s="4" t="str">
        <f>'Form responses 1'!AG290</f>
        <v/>
      </c>
      <c r="V288" s="4" t="str">
        <f>'Form responses 1'!AI290</f>
        <v/>
      </c>
      <c r="W288" s="4" t="str">
        <f>'Form responses 1'!AJ290</f>
        <v/>
      </c>
      <c r="X288" s="4" t="str">
        <f>'Form responses 1'!AK290</f>
        <v/>
      </c>
      <c r="Y288" s="4">
        <f t="shared" ref="Y288:AD288" si="287">if(S288&gt;0,1,0)</f>
        <v>0</v>
      </c>
      <c r="Z288" s="4">
        <f t="shared" si="287"/>
        <v>0</v>
      </c>
      <c r="AA288" s="4">
        <f t="shared" si="287"/>
        <v>0</v>
      </c>
      <c r="AB288" s="4">
        <f t="shared" si="287"/>
        <v>0</v>
      </c>
      <c r="AC288" s="4">
        <f t="shared" si="287"/>
        <v>0</v>
      </c>
      <c r="AD288" s="4">
        <f t="shared" si="287"/>
        <v>0</v>
      </c>
      <c r="AE288" s="4" t="str">
        <f>'Form responses 1'!AN290</f>
        <v/>
      </c>
      <c r="AF288" s="4" t="str">
        <f>'Form responses 1'!AO290</f>
        <v/>
      </c>
      <c r="AG288" s="4" t="str">
        <f>'Form responses 1'!AP290</f>
        <v/>
      </c>
      <c r="AH288" s="4" t="str">
        <f>'Form responses 1'!AQ290</f>
        <v/>
      </c>
      <c r="AI288" s="4" t="str">
        <f>'Form responses 1'!AR290</f>
        <v/>
      </c>
    </row>
    <row r="289">
      <c r="A289" s="26">
        <f>'Form responses 1'!B291</f>
        <v>46065</v>
      </c>
      <c r="B289" s="4" t="str">
        <f>'Form responses 1'!AZ291</f>
        <v>chanakya.inugala@capsdelivery.com</v>
      </c>
      <c r="C289" s="4" t="str">
        <f>'Form responses 1'!BR291</f>
        <v>Shiva Nagi Reddy sweets</v>
      </c>
      <c r="D289" s="4" t="str">
        <f>'Form responses 1'!AT291</f>
        <v/>
      </c>
      <c r="E289" s="4" t="str">
        <f>'Form responses 1'!AU291</f>
        <v>Yes</v>
      </c>
      <c r="F289" s="4" t="str">
        <f>'Form responses 1'!AX291</f>
        <v/>
      </c>
      <c r="G289" s="4" t="str">
        <f>'Form responses 1'!AY291</f>
        <v/>
      </c>
      <c r="H289" s="53" t="str">
        <f>'Form responses 1'!AW291</f>
        <v/>
      </c>
      <c r="I289" s="4" t="str">
        <f>'Form responses 1'!AS291</f>
        <v/>
      </c>
      <c r="J289" s="4" t="str">
        <f>'Form responses 1'!J291</f>
        <v>Tier-3 ( AOV&lt;200 )</v>
      </c>
      <c r="K289" s="4">
        <f>'Form responses 1'!G291</f>
        <v>500</v>
      </c>
      <c r="L289" s="4">
        <f>'Form responses 1'!F291</f>
        <v>5</v>
      </c>
      <c r="M289" s="4" t="str">
        <f>'Form responses 1'!U291</f>
        <v>Ram reddy</v>
      </c>
      <c r="N289" s="4">
        <f>'Form responses 1'!V291</f>
        <v>9391575027</v>
      </c>
      <c r="O289" s="4" t="str">
        <f>'Form responses 1'!W291</f>
        <v>Na</v>
      </c>
      <c r="P289" s="4" t="str">
        <f>'Form responses 1'!X291</f>
        <v/>
      </c>
      <c r="Q289" s="4" t="str">
        <f>'Form responses 1'!Y291</f>
        <v/>
      </c>
      <c r="R289" s="4" t="str">
        <f>'Form responses 1'!Z291</f>
        <v/>
      </c>
      <c r="S289" s="4" t="str">
        <f>'Form responses 1'!AC291</f>
        <v/>
      </c>
      <c r="T289" s="4" t="str">
        <f>'Form responses 1'!AE291</f>
        <v/>
      </c>
      <c r="U289" s="4" t="str">
        <f>'Form responses 1'!AG291</f>
        <v/>
      </c>
      <c r="V289" s="4" t="str">
        <f>'Form responses 1'!AI291</f>
        <v/>
      </c>
      <c r="W289" s="4" t="str">
        <f>'Form responses 1'!AJ291</f>
        <v/>
      </c>
      <c r="X289" s="4" t="str">
        <f>'Form responses 1'!AK291</f>
        <v/>
      </c>
      <c r="Y289" s="4">
        <f t="shared" ref="Y289:AD289" si="288">if(S289&gt;0,1,0)</f>
        <v>0</v>
      </c>
      <c r="Z289" s="4">
        <f t="shared" si="288"/>
        <v>0</v>
      </c>
      <c r="AA289" s="4">
        <f t="shared" si="288"/>
        <v>0</v>
      </c>
      <c r="AB289" s="4">
        <f t="shared" si="288"/>
        <v>0</v>
      </c>
      <c r="AC289" s="4">
        <f t="shared" si="288"/>
        <v>0</v>
      </c>
      <c r="AD289" s="4">
        <f t="shared" si="288"/>
        <v>0</v>
      </c>
      <c r="AE289" s="4" t="str">
        <f>'Form responses 1'!AN291</f>
        <v/>
      </c>
      <c r="AF289" s="4" t="str">
        <f>'Form responses 1'!AO291</f>
        <v/>
      </c>
      <c r="AG289" s="4" t="str">
        <f>'Form responses 1'!AP291</f>
        <v/>
      </c>
      <c r="AH289" s="4" t="str">
        <f>'Form responses 1'!AQ291</f>
        <v/>
      </c>
      <c r="AI289" s="4" t="str">
        <f>'Form responses 1'!AR291</f>
        <v/>
      </c>
    </row>
    <row r="290">
      <c r="A290" s="26">
        <f>'Form responses 1'!B292</f>
        <v>46065</v>
      </c>
      <c r="B290" s="4" t="str">
        <f>'Form responses 1'!AZ292</f>
        <v>manasa.chigurupati@capsdelivery.com</v>
      </c>
      <c r="C290" s="4" t="str">
        <f>'Form responses 1'!BR292</f>
        <v>Trinetra Cafe &amp; Restaurant</v>
      </c>
      <c r="D290" s="4" t="str">
        <f>'Form responses 1'!AT292</f>
        <v>Onboarded </v>
      </c>
      <c r="E290" s="4" t="str">
        <f>'Form responses 1'!AU292</f>
        <v>No</v>
      </c>
      <c r="F290" s="4" t="str">
        <f>'Form responses 1'!AX292</f>
        <v/>
      </c>
      <c r="G290" s="4" t="str">
        <f>'Form responses 1'!AY292</f>
        <v/>
      </c>
      <c r="H290" s="53" t="str">
        <f>'Form responses 1'!AW292</f>
        <v/>
      </c>
      <c r="I290" s="4" t="str">
        <f>'Form responses 1'!AS292</f>
        <v>Yes</v>
      </c>
      <c r="J290" s="4" t="str">
        <f>'Form responses 1'!J292</f>
        <v>Tier-1(AOV&gt;400)</v>
      </c>
      <c r="K290" s="4">
        <f>'Form responses 1'!G292</f>
        <v>500</v>
      </c>
      <c r="L290" s="4">
        <f>'Form responses 1'!F292</f>
        <v>60</v>
      </c>
      <c r="M290" s="4" t="str">
        <f>'Form responses 1'!U292</f>
        <v>E. Manikanteswara Reddy</v>
      </c>
      <c r="N290" s="4">
        <f>'Form responses 1'!V292</f>
        <v>9100016663</v>
      </c>
      <c r="O290" s="4" t="str">
        <f>'Form responses 1'!W292</f>
        <v>emkreddy.19@gmail.com</v>
      </c>
      <c r="P290" s="4" t="str">
        <f>'Form responses 1'!X292</f>
        <v/>
      </c>
      <c r="Q290" s="4" t="str">
        <f>'Form responses 1'!Y292</f>
        <v/>
      </c>
      <c r="R290" s="4" t="str">
        <f>'Form responses 1'!Z292</f>
        <v/>
      </c>
      <c r="S290" s="54" t="str">
        <f>'Form responses 1'!AC292</f>
        <v>https://drive.google.com/open?id=17M8j3mFhZFG3wU77l4cQMHYhXq8pD0tH</v>
      </c>
      <c r="T290" s="54" t="str">
        <f>'Form responses 1'!AE292</f>
        <v>https://drive.google.com/open?id=1Esnne3EF0nDCVFY0yNF0s-O0oIeM9LkT</v>
      </c>
      <c r="U290" s="4" t="str">
        <f>'Form responses 1'!AG292</f>
        <v/>
      </c>
      <c r="V290" s="4" t="str">
        <f>'Form responses 1'!AI292</f>
        <v/>
      </c>
      <c r="W290" s="4" t="str">
        <f>'Form responses 1'!AJ292</f>
        <v/>
      </c>
      <c r="X290" s="4" t="str">
        <f>'Form responses 1'!AK292</f>
        <v/>
      </c>
      <c r="Y290" s="4">
        <f t="shared" ref="Y290:AD290" si="289">if(S290&gt;0,1,0)</f>
        <v>1</v>
      </c>
      <c r="Z290" s="4">
        <f t="shared" si="289"/>
        <v>1</v>
      </c>
      <c r="AA290" s="4">
        <f t="shared" si="289"/>
        <v>0</v>
      </c>
      <c r="AB290" s="4">
        <f t="shared" si="289"/>
        <v>0</v>
      </c>
      <c r="AC290" s="4">
        <f t="shared" si="289"/>
        <v>0</v>
      </c>
      <c r="AD290" s="4">
        <f t="shared" si="289"/>
        <v>0</v>
      </c>
      <c r="AE290" s="4" t="str">
        <f>'Form responses 1'!AN292</f>
        <v/>
      </c>
      <c r="AF290" s="4" t="str">
        <f>'Form responses 1'!AO292</f>
        <v/>
      </c>
      <c r="AG290" s="4" t="str">
        <f>'Form responses 1'!AP292</f>
        <v/>
      </c>
      <c r="AH290" s="4" t="str">
        <f>'Form responses 1'!AQ292</f>
        <v/>
      </c>
      <c r="AI290" s="4" t="str">
        <f>'Form responses 1'!AR292</f>
        <v/>
      </c>
    </row>
    <row r="291">
      <c r="A291" s="26">
        <f>'Form responses 1'!B293</f>
        <v>46065</v>
      </c>
      <c r="B291" s="4" t="str">
        <f>'Form responses 1'!AZ293</f>
        <v>chanakya.inugala@capsdelivery.com</v>
      </c>
      <c r="C291" s="4" t="str">
        <f>'Form responses 1'!BR293</f>
        <v>Koduris kitchen </v>
      </c>
      <c r="D291" s="4" t="str">
        <f>'Form responses 1'!AT293</f>
        <v/>
      </c>
      <c r="E291" s="4" t="str">
        <f>'Form responses 1'!AU293</f>
        <v>Yes</v>
      </c>
      <c r="F291" s="4" t="str">
        <f>'Form responses 1'!AX293</f>
        <v/>
      </c>
      <c r="G291" s="4" t="str">
        <f>'Form responses 1'!AY293</f>
        <v/>
      </c>
      <c r="H291" s="53" t="str">
        <f>'Form responses 1'!AW293</f>
        <v/>
      </c>
      <c r="I291" s="4" t="str">
        <f>'Form responses 1'!AS293</f>
        <v/>
      </c>
      <c r="J291" s="4" t="str">
        <f>'Form responses 1'!J293</f>
        <v>Tier-3 ( AOV&lt;200 )</v>
      </c>
      <c r="K291" s="4">
        <f>'Form responses 1'!G293</f>
        <v>250</v>
      </c>
      <c r="L291" s="4">
        <f>'Form responses 1'!F293</f>
        <v>34</v>
      </c>
      <c r="M291" s="4" t="str">
        <f>'Form responses 1'!U293</f>
        <v>Jagan Mohan </v>
      </c>
      <c r="N291" s="4">
        <f>'Form responses 1'!V293</f>
        <v>7981956278</v>
      </c>
      <c r="O291" s="4" t="str">
        <f>'Form responses 1'!W293</f>
        <v>Koduriskitchen@gmail.com</v>
      </c>
      <c r="P291" s="4" t="str">
        <f>'Form responses 1'!X293</f>
        <v>Purushottam </v>
      </c>
      <c r="Q291" s="4">
        <f>'Form responses 1'!Y293</f>
        <v>9290643848</v>
      </c>
      <c r="R291" s="4" t="str">
        <f>'Form responses 1'!Z293</f>
        <v/>
      </c>
      <c r="S291" s="4" t="str">
        <f>'Form responses 1'!AC293</f>
        <v/>
      </c>
      <c r="T291" s="4" t="str">
        <f>'Form responses 1'!AE293</f>
        <v/>
      </c>
      <c r="U291" s="4" t="str">
        <f>'Form responses 1'!AG293</f>
        <v/>
      </c>
      <c r="V291" s="4" t="str">
        <f>'Form responses 1'!AI293</f>
        <v/>
      </c>
      <c r="W291" s="4" t="str">
        <f>'Form responses 1'!AJ293</f>
        <v/>
      </c>
      <c r="X291" s="4" t="str">
        <f>'Form responses 1'!AK293</f>
        <v/>
      </c>
      <c r="Y291" s="4">
        <f t="shared" ref="Y291:AD291" si="290">if(S291&gt;0,1,0)</f>
        <v>0</v>
      </c>
      <c r="Z291" s="4">
        <f t="shared" si="290"/>
        <v>0</v>
      </c>
      <c r="AA291" s="4">
        <f t="shared" si="290"/>
        <v>0</v>
      </c>
      <c r="AB291" s="4">
        <f t="shared" si="290"/>
        <v>0</v>
      </c>
      <c r="AC291" s="4">
        <f t="shared" si="290"/>
        <v>0</v>
      </c>
      <c r="AD291" s="4">
        <f t="shared" si="290"/>
        <v>0</v>
      </c>
      <c r="AE291" s="4" t="str">
        <f>'Form responses 1'!AN293</f>
        <v/>
      </c>
      <c r="AF291" s="4" t="str">
        <f>'Form responses 1'!AO293</f>
        <v/>
      </c>
      <c r="AG291" s="4" t="str">
        <f>'Form responses 1'!AP293</f>
        <v/>
      </c>
      <c r="AH291" s="4" t="str">
        <f>'Form responses 1'!AQ293</f>
        <v/>
      </c>
      <c r="AI291" s="4" t="str">
        <f>'Form responses 1'!AR293</f>
        <v/>
      </c>
    </row>
    <row r="292">
      <c r="A292" s="26">
        <f>'Form responses 1'!B294</f>
        <v>46065</v>
      </c>
      <c r="B292" s="4" t="str">
        <f>'Form responses 1'!AZ294</f>
        <v>chanakya.inugala@capsdelivery.com</v>
      </c>
      <c r="C292" s="4" t="str">
        <f>'Form responses 1'!BR294</f>
        <v>Bamma tiffins </v>
      </c>
      <c r="D292" s="4" t="str">
        <f>'Form responses 1'!AT294</f>
        <v/>
      </c>
      <c r="E292" s="4" t="str">
        <f>'Form responses 1'!AU294</f>
        <v>Yes</v>
      </c>
      <c r="F292" s="4" t="str">
        <f>'Form responses 1'!AX294</f>
        <v/>
      </c>
      <c r="G292" s="4" t="str">
        <f>'Form responses 1'!AY294</f>
        <v/>
      </c>
      <c r="H292" s="53" t="str">
        <f>'Form responses 1'!AW294</f>
        <v/>
      </c>
      <c r="I292" s="4" t="str">
        <f>'Form responses 1'!AS294</f>
        <v/>
      </c>
      <c r="J292" s="4" t="str">
        <f>'Form responses 1'!J294</f>
        <v>Tier-3 ( AOV&lt;200 )</v>
      </c>
      <c r="K292" s="4">
        <f>'Form responses 1'!G294</f>
        <v>150</v>
      </c>
      <c r="L292" s="4">
        <f>'Form responses 1'!F294</f>
        <v>30</v>
      </c>
      <c r="M292" s="4" t="str">
        <f>'Form responses 1'!U294</f>
        <v>Naveen </v>
      </c>
      <c r="N292" s="4" t="str">
        <f>'Form responses 1'!V294</f>
        <v>09885215007</v>
      </c>
      <c r="O292" s="4" t="str">
        <f>'Form responses 1'!W294</f>
        <v>Na</v>
      </c>
      <c r="P292" s="4" t="str">
        <f>'Form responses 1'!X294</f>
        <v/>
      </c>
      <c r="Q292" s="4" t="str">
        <f>'Form responses 1'!Y294</f>
        <v/>
      </c>
      <c r="R292" s="4" t="str">
        <f>'Form responses 1'!Z294</f>
        <v/>
      </c>
      <c r="S292" s="4" t="str">
        <f>'Form responses 1'!AC294</f>
        <v/>
      </c>
      <c r="T292" s="4" t="str">
        <f>'Form responses 1'!AE294</f>
        <v/>
      </c>
      <c r="U292" s="4" t="str">
        <f>'Form responses 1'!AG294</f>
        <v/>
      </c>
      <c r="V292" s="4" t="str">
        <f>'Form responses 1'!AI294</f>
        <v/>
      </c>
      <c r="W292" s="4" t="str">
        <f>'Form responses 1'!AJ294</f>
        <v/>
      </c>
      <c r="X292" s="4" t="str">
        <f>'Form responses 1'!AK294</f>
        <v/>
      </c>
      <c r="Y292" s="4">
        <f t="shared" ref="Y292:AD292" si="291">if(S292&gt;0,1,0)</f>
        <v>0</v>
      </c>
      <c r="Z292" s="4">
        <f t="shared" si="291"/>
        <v>0</v>
      </c>
      <c r="AA292" s="4">
        <f t="shared" si="291"/>
        <v>0</v>
      </c>
      <c r="AB292" s="4">
        <f t="shared" si="291"/>
        <v>0</v>
      </c>
      <c r="AC292" s="4">
        <f t="shared" si="291"/>
        <v>0</v>
      </c>
      <c r="AD292" s="4">
        <f t="shared" si="291"/>
        <v>0</v>
      </c>
      <c r="AE292" s="4" t="str">
        <f>'Form responses 1'!AN294</f>
        <v/>
      </c>
      <c r="AF292" s="4" t="str">
        <f>'Form responses 1'!AO294</f>
        <v/>
      </c>
      <c r="AG292" s="4" t="str">
        <f>'Form responses 1'!AP294</f>
        <v/>
      </c>
      <c r="AH292" s="4" t="str">
        <f>'Form responses 1'!AQ294</f>
        <v/>
      </c>
      <c r="AI292" s="4" t="str">
        <f>'Form responses 1'!AR294</f>
        <v/>
      </c>
    </row>
    <row r="293">
      <c r="A293" s="26">
        <f>'Form responses 1'!B295</f>
        <v>46065</v>
      </c>
      <c r="B293" s="4" t="str">
        <f>'Form responses 1'!AZ295</f>
        <v>nitya.akshara@capsdelivery.com</v>
      </c>
      <c r="C293" s="4" t="str">
        <f>'Form responses 1'!BR295</f>
        <v>Urban Franky </v>
      </c>
      <c r="D293" s="4" t="str">
        <f>'Form responses 1'!AT295</f>
        <v/>
      </c>
      <c r="E293" s="4" t="str">
        <f>'Form responses 1'!AU295</f>
        <v>Yes</v>
      </c>
      <c r="F293" s="4" t="str">
        <f>'Form responses 1'!AX295</f>
        <v/>
      </c>
      <c r="G293" s="4" t="str">
        <f>'Form responses 1'!AY295</f>
        <v/>
      </c>
      <c r="H293" s="53" t="str">
        <f>'Form responses 1'!AW295</f>
        <v/>
      </c>
      <c r="I293" s="4" t="str">
        <f>'Form responses 1'!AS295</f>
        <v/>
      </c>
      <c r="J293" s="4" t="str">
        <f>'Form responses 1'!J295</f>
        <v>Tier-3 ( AOV&lt;200 )</v>
      </c>
      <c r="K293" s="4">
        <f>'Form responses 1'!G295</f>
        <v>100</v>
      </c>
      <c r="L293" s="4">
        <f>'Form responses 1'!F295</f>
        <v>1</v>
      </c>
      <c r="M293" s="4" t="str">
        <f>'Form responses 1'!U295</f>
        <v>Aashritha </v>
      </c>
      <c r="N293" s="4" t="str">
        <f>'Form responses 1'!V295</f>
        <v>95733 94555</v>
      </c>
      <c r="O293" s="4" t="str">
        <f>'Form responses 1'!W295</f>
        <v>Na</v>
      </c>
      <c r="P293" s="4" t="str">
        <f>'Form responses 1'!X295</f>
        <v/>
      </c>
      <c r="Q293" s="4" t="str">
        <f>'Form responses 1'!Y295</f>
        <v/>
      </c>
      <c r="R293" s="4" t="str">
        <f>'Form responses 1'!Z295</f>
        <v/>
      </c>
      <c r="S293" s="4" t="str">
        <f>'Form responses 1'!AC295</f>
        <v/>
      </c>
      <c r="T293" s="4" t="str">
        <f>'Form responses 1'!AE295</f>
        <v/>
      </c>
      <c r="U293" s="4" t="str">
        <f>'Form responses 1'!AG295</f>
        <v/>
      </c>
      <c r="V293" s="4" t="str">
        <f>'Form responses 1'!AI295</f>
        <v/>
      </c>
      <c r="W293" s="4" t="str">
        <f>'Form responses 1'!AJ295</f>
        <v/>
      </c>
      <c r="X293" s="4" t="str">
        <f>'Form responses 1'!AK295</f>
        <v/>
      </c>
      <c r="Y293" s="4">
        <f t="shared" ref="Y293:AD293" si="292">if(S293&gt;0,1,0)</f>
        <v>0</v>
      </c>
      <c r="Z293" s="4">
        <f t="shared" si="292"/>
        <v>0</v>
      </c>
      <c r="AA293" s="4">
        <f t="shared" si="292"/>
        <v>0</v>
      </c>
      <c r="AB293" s="4">
        <f t="shared" si="292"/>
        <v>0</v>
      </c>
      <c r="AC293" s="4">
        <f t="shared" si="292"/>
        <v>0</v>
      </c>
      <c r="AD293" s="4">
        <f t="shared" si="292"/>
        <v>0</v>
      </c>
      <c r="AE293" s="4" t="str">
        <f>'Form responses 1'!AN295</f>
        <v/>
      </c>
      <c r="AF293" s="4" t="str">
        <f>'Form responses 1'!AO295</f>
        <v/>
      </c>
      <c r="AG293" s="4" t="str">
        <f>'Form responses 1'!AP295</f>
        <v/>
      </c>
      <c r="AH293" s="4" t="str">
        <f>'Form responses 1'!AQ295</f>
        <v/>
      </c>
      <c r="AI293" s="4" t="str">
        <f>'Form responses 1'!AR295</f>
        <v/>
      </c>
    </row>
    <row r="294">
      <c r="A294" s="26">
        <f>'Form responses 1'!B296</f>
        <v>46065</v>
      </c>
      <c r="B294" s="4" t="str">
        <f>'Form responses 1'!AZ296</f>
        <v>manasa.chigurupati@capsdelivery.com</v>
      </c>
      <c r="C294" s="4" t="str">
        <f>'Form responses 1'!BR296</f>
        <v>Raja Rani Ruchulu</v>
      </c>
      <c r="D294" s="4" t="str">
        <f>'Form responses 1'!AT296</f>
        <v/>
      </c>
      <c r="E294" s="4" t="str">
        <f>'Form responses 1'!AU296</f>
        <v>Yes</v>
      </c>
      <c r="F294" s="4" t="str">
        <f>'Form responses 1'!AX296</f>
        <v/>
      </c>
      <c r="G294" s="4" t="str">
        <f>'Form responses 1'!AY296</f>
        <v/>
      </c>
      <c r="H294" s="53" t="str">
        <f>'Form responses 1'!AW296</f>
        <v/>
      </c>
      <c r="I294" s="4" t="str">
        <f>'Form responses 1'!AS296</f>
        <v/>
      </c>
      <c r="J294" s="4" t="str">
        <f>'Form responses 1'!J296</f>
        <v/>
      </c>
      <c r="K294" s="4" t="str">
        <f>'Form responses 1'!G296</f>
        <v/>
      </c>
      <c r="L294" s="4" t="str">
        <f>'Form responses 1'!F296</f>
        <v/>
      </c>
      <c r="M294" s="4" t="str">
        <f>'Form responses 1'!U296</f>
        <v>Krishna </v>
      </c>
      <c r="N294" s="4">
        <f>'Form responses 1'!V296</f>
        <v>9966627000</v>
      </c>
      <c r="O294" s="4" t="str">
        <f>'Form responses 1'!W296</f>
        <v>Na</v>
      </c>
      <c r="P294" s="4" t="str">
        <f>'Form responses 1'!X296</f>
        <v/>
      </c>
      <c r="Q294" s="4" t="str">
        <f>'Form responses 1'!Y296</f>
        <v/>
      </c>
      <c r="R294" s="4" t="str">
        <f>'Form responses 1'!Z296</f>
        <v/>
      </c>
      <c r="S294" s="4" t="str">
        <f>'Form responses 1'!AC296</f>
        <v/>
      </c>
      <c r="T294" s="4" t="str">
        <f>'Form responses 1'!AE296</f>
        <v/>
      </c>
      <c r="U294" s="4" t="str">
        <f>'Form responses 1'!AG296</f>
        <v/>
      </c>
      <c r="V294" s="4" t="str">
        <f>'Form responses 1'!AI296</f>
        <v/>
      </c>
      <c r="W294" s="4" t="str">
        <f>'Form responses 1'!AJ296</f>
        <v/>
      </c>
      <c r="X294" s="4" t="str">
        <f>'Form responses 1'!AK296</f>
        <v/>
      </c>
      <c r="Y294" s="4">
        <f t="shared" ref="Y294:AD294" si="293">if(S294&gt;0,1,0)</f>
        <v>0</v>
      </c>
      <c r="Z294" s="4">
        <f t="shared" si="293"/>
        <v>0</v>
      </c>
      <c r="AA294" s="4">
        <f t="shared" si="293"/>
        <v>0</v>
      </c>
      <c r="AB294" s="4">
        <f t="shared" si="293"/>
        <v>0</v>
      </c>
      <c r="AC294" s="4">
        <f t="shared" si="293"/>
        <v>0</v>
      </c>
      <c r="AD294" s="4">
        <f t="shared" si="293"/>
        <v>0</v>
      </c>
      <c r="AE294" s="4" t="str">
        <f>'Form responses 1'!AN296</f>
        <v/>
      </c>
      <c r="AF294" s="4" t="str">
        <f>'Form responses 1'!AO296</f>
        <v/>
      </c>
      <c r="AG294" s="4" t="str">
        <f>'Form responses 1'!AP296</f>
        <v/>
      </c>
      <c r="AH294" s="4" t="str">
        <f>'Form responses 1'!AQ296</f>
        <v/>
      </c>
      <c r="AI294" s="4" t="str">
        <f>'Form responses 1'!AR296</f>
        <v/>
      </c>
    </row>
    <row r="295">
      <c r="A295" s="26">
        <f>'Form responses 1'!B297</f>
        <v>46065</v>
      </c>
      <c r="B295" s="4" t="str">
        <f>'Form responses 1'!AZ297</f>
        <v>greeshma.vanneldas@capsdelivery.com</v>
      </c>
      <c r="C295" s="4" t="str">
        <f>'Form responses 1'!BR297</f>
        <v>Suryakantham Military HotelSuryakantham Military Hotel</v>
      </c>
      <c r="D295" s="4" t="str">
        <f>'Form responses 1'!AT297</f>
        <v>Onboarding done</v>
      </c>
      <c r="E295" s="4" t="str">
        <f>'Form responses 1'!AU297</f>
        <v>No</v>
      </c>
      <c r="F295" s="4" t="str">
        <f>'Form responses 1'!AX297</f>
        <v/>
      </c>
      <c r="G295" s="4" t="str">
        <f>'Form responses 1'!AY297</f>
        <v/>
      </c>
      <c r="H295" s="53" t="str">
        <f>'Form responses 1'!AW297</f>
        <v/>
      </c>
      <c r="I295" s="4" t="str">
        <f>'Form responses 1'!AS297</f>
        <v>Yes</v>
      </c>
      <c r="J295" s="4" t="str">
        <f>'Form responses 1'!J297</f>
        <v/>
      </c>
      <c r="K295" s="4" t="str">
        <f>'Form responses 1'!G297</f>
        <v/>
      </c>
      <c r="L295" s="4" t="str">
        <f>'Form responses 1'!F297</f>
        <v/>
      </c>
      <c r="M295" s="4" t="str">
        <f>'Form responses 1'!U297</f>
        <v>Sri latha</v>
      </c>
      <c r="N295" s="4">
        <f>'Form responses 1'!V297</f>
        <v>9959223649</v>
      </c>
      <c r="O295" s="4" t="str">
        <f>'Form responses 1'!W297</f>
        <v>srichandrakakarla@gmail.com</v>
      </c>
      <c r="P295" s="4" t="str">
        <f>'Form responses 1'!X297</f>
        <v/>
      </c>
      <c r="Q295" s="4" t="str">
        <f>'Form responses 1'!Y297</f>
        <v/>
      </c>
      <c r="R295" s="4" t="str">
        <f>'Form responses 1'!Z297</f>
        <v/>
      </c>
      <c r="S295" s="54" t="str">
        <f>'Form responses 1'!AC297</f>
        <v>https://drive.google.com/open?id=1bOdmrQWowW-khG2i25-X3I8JS1GVT-FV</v>
      </c>
      <c r="T295" s="54" t="str">
        <f>'Form responses 1'!AE297</f>
        <v>https://drive.google.com/open?id=1r64PXvZavziIzd-tSp9m3zPWq4KCPVd6</v>
      </c>
      <c r="U295" s="54" t="str">
        <f>'Form responses 1'!AG297</f>
        <v>https://drive.google.com/open?id=1_xt5uT6DbdEE-AEue2BQMzy6YXo2zcIg</v>
      </c>
      <c r="V295" s="54" t="str">
        <f>'Form responses 1'!AI297</f>
        <v>https://drive.google.com/open?id=1xf1yB3ZQVA3SzkTp9AW2VoLh9LPy_xvg</v>
      </c>
      <c r="W295" s="4" t="str">
        <f>'Form responses 1'!AJ297</f>
        <v/>
      </c>
      <c r="X295" s="54" t="str">
        <f>'Form responses 1'!AK297</f>
        <v>https://drive.google.com/open?id=1fZKkhOY4LGNL-4ZQ8W2N88rEaTjYMZ6T</v>
      </c>
      <c r="Y295" s="4">
        <f t="shared" ref="Y295:AD295" si="294">if(S295&gt;0,1,0)</f>
        <v>1</v>
      </c>
      <c r="Z295" s="4">
        <f t="shared" si="294"/>
        <v>1</v>
      </c>
      <c r="AA295" s="4">
        <f t="shared" si="294"/>
        <v>1</v>
      </c>
      <c r="AB295" s="4">
        <f t="shared" si="294"/>
        <v>1</v>
      </c>
      <c r="AC295" s="4">
        <f t="shared" si="294"/>
        <v>0</v>
      </c>
      <c r="AD295" s="4">
        <f t="shared" si="294"/>
        <v>1</v>
      </c>
      <c r="AE295" s="4" t="str">
        <f>'Form responses 1'!AN297</f>
        <v>ICICI BANK</v>
      </c>
      <c r="AF295" s="4" t="str">
        <f>'Form responses 1'!AO297</f>
        <v>SRI LATHA</v>
      </c>
      <c r="AG295" s="4">
        <f>'Form responses 1'!AP297</f>
        <v>9959223649</v>
      </c>
      <c r="AH295" s="4" t="str">
        <f>'Form responses 1'!AQ297</f>
        <v>srichandrakakarla@gmail.com</v>
      </c>
      <c r="AI295" s="4" t="str">
        <f>'Form responses 1'!AR297</f>
        <v>COSTAL KITCHEN</v>
      </c>
    </row>
    <row r="296">
      <c r="A296" s="26">
        <f>'Form responses 1'!B298</f>
        <v>46065</v>
      </c>
      <c r="B296" s="4" t="str">
        <f>'Form responses 1'!AZ298</f>
        <v>nitya.akshara@capsdelivery.com</v>
      </c>
      <c r="C296" s="4" t="str">
        <f>'Form responses 1'!BR298</f>
        <v>Palle Vindu Dosa </v>
      </c>
      <c r="D296" s="4" t="str">
        <f>'Form responses 1'!AT298</f>
        <v/>
      </c>
      <c r="E296" s="4" t="str">
        <f>'Form responses 1'!AU298</f>
        <v>Yes</v>
      </c>
      <c r="F296" s="4" t="str">
        <f>'Form responses 1'!AX298</f>
        <v/>
      </c>
      <c r="G296" s="4" t="str">
        <f>'Form responses 1'!AY298</f>
        <v/>
      </c>
      <c r="H296" s="53" t="str">
        <f>'Form responses 1'!AW298</f>
        <v/>
      </c>
      <c r="I296" s="4" t="str">
        <f>'Form responses 1'!AS298</f>
        <v/>
      </c>
      <c r="J296" s="4" t="str">
        <f>'Form responses 1'!J298</f>
        <v/>
      </c>
      <c r="K296" s="4" t="str">
        <f>'Form responses 1'!G298</f>
        <v/>
      </c>
      <c r="L296" s="4" t="str">
        <f>'Form responses 1'!F298</f>
        <v/>
      </c>
      <c r="M296" s="4" t="str">
        <f>'Form responses 1'!U298</f>
        <v>Giri </v>
      </c>
      <c r="N296" s="4" t="str">
        <f>'Form responses 1'!V298</f>
        <v>85209 37226</v>
      </c>
      <c r="O296" s="4" t="str">
        <f>'Form responses 1'!W298</f>
        <v>NA</v>
      </c>
      <c r="P296" s="4" t="str">
        <f>'Form responses 1'!X298</f>
        <v/>
      </c>
      <c r="Q296" s="4" t="str">
        <f>'Form responses 1'!Y298</f>
        <v/>
      </c>
      <c r="R296" s="4" t="str">
        <f>'Form responses 1'!Z298</f>
        <v/>
      </c>
      <c r="S296" s="4" t="str">
        <f>'Form responses 1'!AC298</f>
        <v/>
      </c>
      <c r="T296" s="4" t="str">
        <f>'Form responses 1'!AE298</f>
        <v/>
      </c>
      <c r="U296" s="4" t="str">
        <f>'Form responses 1'!AG298</f>
        <v/>
      </c>
      <c r="V296" s="4" t="str">
        <f>'Form responses 1'!AI298</f>
        <v/>
      </c>
      <c r="W296" s="4" t="str">
        <f>'Form responses 1'!AJ298</f>
        <v/>
      </c>
      <c r="X296" s="4" t="str">
        <f>'Form responses 1'!AK298</f>
        <v/>
      </c>
      <c r="Y296" s="4">
        <f t="shared" ref="Y296:AD296" si="295">if(S296&gt;0,1,0)</f>
        <v>0</v>
      </c>
      <c r="Z296" s="4">
        <f t="shared" si="295"/>
        <v>0</v>
      </c>
      <c r="AA296" s="4">
        <f t="shared" si="295"/>
        <v>0</v>
      </c>
      <c r="AB296" s="4">
        <f t="shared" si="295"/>
        <v>0</v>
      </c>
      <c r="AC296" s="4">
        <f t="shared" si="295"/>
        <v>0</v>
      </c>
      <c r="AD296" s="4">
        <f t="shared" si="295"/>
        <v>0</v>
      </c>
      <c r="AE296" s="4" t="str">
        <f>'Form responses 1'!AN298</f>
        <v/>
      </c>
      <c r="AF296" s="4" t="str">
        <f>'Form responses 1'!AO298</f>
        <v/>
      </c>
      <c r="AG296" s="4" t="str">
        <f>'Form responses 1'!AP298</f>
        <v/>
      </c>
      <c r="AH296" s="4" t="str">
        <f>'Form responses 1'!AQ298</f>
        <v/>
      </c>
      <c r="AI296" s="4" t="str">
        <f>'Form responses 1'!AR298</f>
        <v/>
      </c>
    </row>
    <row r="297">
      <c r="A297" s="26">
        <f>'Form responses 1'!B299</f>
        <v>46065</v>
      </c>
      <c r="B297" s="4" t="str">
        <f>'Form responses 1'!AZ299</f>
        <v>nitya.akshara@capsdelivery.com</v>
      </c>
      <c r="C297" s="4" t="str">
        <f>'Form responses 1'!BR299</f>
        <v>A1 shawarma bites </v>
      </c>
      <c r="D297" s="4" t="str">
        <f>'Form responses 1'!AT299</f>
        <v/>
      </c>
      <c r="E297" s="4" t="str">
        <f>'Form responses 1'!AU299</f>
        <v>Yes</v>
      </c>
      <c r="F297" s="4" t="str">
        <f>'Form responses 1'!AX299</f>
        <v/>
      </c>
      <c r="G297" s="4" t="str">
        <f>'Form responses 1'!AY299</f>
        <v/>
      </c>
      <c r="H297" s="53" t="str">
        <f>'Form responses 1'!AW299</f>
        <v/>
      </c>
      <c r="I297" s="4" t="str">
        <f>'Form responses 1'!AS299</f>
        <v/>
      </c>
      <c r="J297" s="4" t="str">
        <f>'Form responses 1'!J299</f>
        <v/>
      </c>
      <c r="K297" s="4" t="str">
        <f>'Form responses 1'!G299</f>
        <v/>
      </c>
      <c r="L297" s="4" t="str">
        <f>'Form responses 1'!F299</f>
        <v/>
      </c>
      <c r="M297" s="4" t="str">
        <f>'Form responses 1'!U299</f>
        <v>Kali </v>
      </c>
      <c r="N297" s="4" t="str">
        <f>'Form responses 1'!V299</f>
        <v>6302-751766</v>
      </c>
      <c r="O297" s="4" t="str">
        <f>'Form responses 1'!W299</f>
        <v>NA</v>
      </c>
      <c r="P297" s="4" t="str">
        <f>'Form responses 1'!X299</f>
        <v/>
      </c>
      <c r="Q297" s="4" t="str">
        <f>'Form responses 1'!Y299</f>
        <v/>
      </c>
      <c r="R297" s="4" t="str">
        <f>'Form responses 1'!Z299</f>
        <v/>
      </c>
      <c r="S297" s="4" t="str">
        <f>'Form responses 1'!AC299</f>
        <v/>
      </c>
      <c r="T297" s="4" t="str">
        <f>'Form responses 1'!AE299</f>
        <v/>
      </c>
      <c r="U297" s="4" t="str">
        <f>'Form responses 1'!AG299</f>
        <v/>
      </c>
      <c r="V297" s="4" t="str">
        <f>'Form responses 1'!AI299</f>
        <v/>
      </c>
      <c r="W297" s="4" t="str">
        <f>'Form responses 1'!AJ299</f>
        <v/>
      </c>
      <c r="X297" s="4" t="str">
        <f>'Form responses 1'!AK299</f>
        <v/>
      </c>
      <c r="Y297" s="4">
        <f t="shared" ref="Y297:AD297" si="296">if(S297&gt;0,1,0)</f>
        <v>0</v>
      </c>
      <c r="Z297" s="4">
        <f t="shared" si="296"/>
        <v>0</v>
      </c>
      <c r="AA297" s="4">
        <f t="shared" si="296"/>
        <v>0</v>
      </c>
      <c r="AB297" s="4">
        <f t="shared" si="296"/>
        <v>0</v>
      </c>
      <c r="AC297" s="4">
        <f t="shared" si="296"/>
        <v>0</v>
      </c>
      <c r="AD297" s="4">
        <f t="shared" si="296"/>
        <v>0</v>
      </c>
      <c r="AE297" s="4" t="str">
        <f>'Form responses 1'!AN299</f>
        <v/>
      </c>
      <c r="AF297" s="4" t="str">
        <f>'Form responses 1'!AO299</f>
        <v/>
      </c>
      <c r="AG297" s="4" t="str">
        <f>'Form responses 1'!AP299</f>
        <v/>
      </c>
      <c r="AH297" s="4" t="str">
        <f>'Form responses 1'!AQ299</f>
        <v/>
      </c>
      <c r="AI297" s="4" t="str">
        <f>'Form responses 1'!AR299</f>
        <v/>
      </c>
    </row>
    <row r="298">
      <c r="A298" s="26">
        <f>'Form responses 1'!B300</f>
        <v>46065</v>
      </c>
      <c r="B298" s="4" t="str">
        <f>'Form responses 1'!AZ300</f>
        <v>chanakya.inugala@capsdelivery.com</v>
      </c>
      <c r="C298" s="4" t="str">
        <f>'Form responses 1'!BR300</f>
        <v>Yummy Feast</v>
      </c>
      <c r="D298" s="4" t="str">
        <f>'Form responses 1'!AT300</f>
        <v/>
      </c>
      <c r="E298" s="4" t="str">
        <f>'Form responses 1'!AU300</f>
        <v>Yes</v>
      </c>
      <c r="F298" s="26">
        <f>'Form responses 1'!AX300</f>
        <v>46066</v>
      </c>
      <c r="G298" s="52">
        <f>'Form responses 1'!AY300</f>
        <v>0.4583333333</v>
      </c>
      <c r="H298" s="53" t="str">
        <f>'Form responses 1'!AW300</f>
        <v/>
      </c>
      <c r="I298" s="4" t="str">
        <f>'Form responses 1'!AS300</f>
        <v/>
      </c>
      <c r="J298" s="4" t="str">
        <f>'Form responses 1'!J300</f>
        <v/>
      </c>
      <c r="K298" s="4" t="str">
        <f>'Form responses 1'!G300</f>
        <v/>
      </c>
      <c r="L298" s="4" t="str">
        <f>'Form responses 1'!F300</f>
        <v/>
      </c>
      <c r="M298" s="4" t="str">
        <f>'Form responses 1'!U300</f>
        <v>Sudhakar </v>
      </c>
      <c r="N298" s="4">
        <f>'Form responses 1'!V300</f>
        <v>8801297760</v>
      </c>
      <c r="O298" s="4" t="str">
        <f>'Form responses 1'!W300</f>
        <v>Na</v>
      </c>
      <c r="P298" s="4" t="str">
        <f>'Form responses 1'!X300</f>
        <v/>
      </c>
      <c r="Q298" s="4" t="str">
        <f>'Form responses 1'!Y300</f>
        <v/>
      </c>
      <c r="R298" s="4" t="str">
        <f>'Form responses 1'!Z300</f>
        <v/>
      </c>
      <c r="S298" s="4" t="str">
        <f>'Form responses 1'!AC300</f>
        <v/>
      </c>
      <c r="T298" s="4" t="str">
        <f>'Form responses 1'!AE300</f>
        <v/>
      </c>
      <c r="U298" s="4" t="str">
        <f>'Form responses 1'!AG300</f>
        <v/>
      </c>
      <c r="V298" s="4" t="str">
        <f>'Form responses 1'!AI300</f>
        <v/>
      </c>
      <c r="W298" s="4" t="str">
        <f>'Form responses 1'!AJ300</f>
        <v/>
      </c>
      <c r="X298" s="4" t="str">
        <f>'Form responses 1'!AK300</f>
        <v/>
      </c>
      <c r="Y298" s="4">
        <f t="shared" ref="Y298:AD298" si="297">if(S298&gt;0,1,0)</f>
        <v>0</v>
      </c>
      <c r="Z298" s="4">
        <f t="shared" si="297"/>
        <v>0</v>
      </c>
      <c r="AA298" s="4">
        <f t="shared" si="297"/>
        <v>0</v>
      </c>
      <c r="AB298" s="4">
        <f t="shared" si="297"/>
        <v>0</v>
      </c>
      <c r="AC298" s="4">
        <f t="shared" si="297"/>
        <v>0</v>
      </c>
      <c r="AD298" s="4">
        <f t="shared" si="297"/>
        <v>0</v>
      </c>
      <c r="AE298" s="4" t="str">
        <f>'Form responses 1'!AN300</f>
        <v/>
      </c>
      <c r="AF298" s="4" t="str">
        <f>'Form responses 1'!AO300</f>
        <v/>
      </c>
      <c r="AG298" s="4" t="str">
        <f>'Form responses 1'!AP300</f>
        <v/>
      </c>
      <c r="AH298" s="4" t="str">
        <f>'Form responses 1'!AQ300</f>
        <v/>
      </c>
      <c r="AI298" s="4" t="str">
        <f>'Form responses 1'!AR300</f>
        <v/>
      </c>
    </row>
    <row r="299">
      <c r="A299" s="26">
        <f>'Form responses 1'!B301</f>
        <v>46065</v>
      </c>
      <c r="B299" s="4" t="str">
        <f>'Form responses 1'!AZ301</f>
        <v>chanakya.inugala@capsdelivery.com</v>
      </c>
      <c r="C299" s="4" t="str">
        <f>'Form responses 1'!BR301</f>
        <v>Hut-K Biryani </v>
      </c>
      <c r="D299" s="4" t="str">
        <f>'Form responses 1'!AT301</f>
        <v/>
      </c>
      <c r="E299" s="4" t="str">
        <f>'Form responses 1'!AU301</f>
        <v>Yes</v>
      </c>
      <c r="F299" s="4" t="str">
        <f>'Form responses 1'!AX301</f>
        <v/>
      </c>
      <c r="G299" s="4" t="str">
        <f>'Form responses 1'!AY301</f>
        <v/>
      </c>
      <c r="H299" s="53" t="str">
        <f>'Form responses 1'!AW301</f>
        <v/>
      </c>
      <c r="I299" s="4" t="str">
        <f>'Form responses 1'!AS301</f>
        <v/>
      </c>
      <c r="J299" s="4" t="str">
        <f>'Form responses 1'!J301</f>
        <v>Tier-3 ( AOV&lt;200 )</v>
      </c>
      <c r="K299" s="4">
        <f>'Form responses 1'!G301</f>
        <v>300</v>
      </c>
      <c r="L299" s="4">
        <f>'Form responses 1'!F301</f>
        <v>25</v>
      </c>
      <c r="M299" s="4" t="str">
        <f>'Form responses 1'!U301</f>
        <v>Pruthvi</v>
      </c>
      <c r="N299" s="4">
        <f>'Form responses 1'!V301</f>
        <v>9069064040</v>
      </c>
      <c r="O299" s="4" t="str">
        <f>'Form responses 1'!W301</f>
        <v>Na</v>
      </c>
      <c r="P299" s="4" t="str">
        <f>'Form responses 1'!X301</f>
        <v/>
      </c>
      <c r="Q299" s="4" t="str">
        <f>'Form responses 1'!Y301</f>
        <v/>
      </c>
      <c r="R299" s="4" t="str">
        <f>'Form responses 1'!Z301</f>
        <v/>
      </c>
      <c r="S299" s="4" t="str">
        <f>'Form responses 1'!AC301</f>
        <v/>
      </c>
      <c r="T299" s="4" t="str">
        <f>'Form responses 1'!AE301</f>
        <v/>
      </c>
      <c r="U299" s="4" t="str">
        <f>'Form responses 1'!AG301</f>
        <v/>
      </c>
      <c r="V299" s="4" t="str">
        <f>'Form responses 1'!AI301</f>
        <v/>
      </c>
      <c r="W299" s="4" t="str">
        <f>'Form responses 1'!AJ301</f>
        <v/>
      </c>
      <c r="X299" s="4" t="str">
        <f>'Form responses 1'!AK301</f>
        <v/>
      </c>
      <c r="Y299" s="4">
        <f t="shared" ref="Y299:AD299" si="298">if(S299&gt;0,1,0)</f>
        <v>0</v>
      </c>
      <c r="Z299" s="4">
        <f t="shared" si="298"/>
        <v>0</v>
      </c>
      <c r="AA299" s="4">
        <f t="shared" si="298"/>
        <v>0</v>
      </c>
      <c r="AB299" s="4">
        <f t="shared" si="298"/>
        <v>0</v>
      </c>
      <c r="AC299" s="4">
        <f t="shared" si="298"/>
        <v>0</v>
      </c>
      <c r="AD299" s="4">
        <f t="shared" si="298"/>
        <v>0</v>
      </c>
      <c r="AE299" s="4" t="str">
        <f>'Form responses 1'!AN301</f>
        <v/>
      </c>
      <c r="AF299" s="4" t="str">
        <f>'Form responses 1'!AO301</f>
        <v/>
      </c>
      <c r="AG299" s="4" t="str">
        <f>'Form responses 1'!AP301</f>
        <v/>
      </c>
      <c r="AH299" s="4" t="str">
        <f>'Form responses 1'!AQ301</f>
        <v/>
      </c>
      <c r="AI299" s="4" t="str">
        <f>'Form responses 1'!AR301</f>
        <v/>
      </c>
    </row>
    <row r="300">
      <c r="A300" s="26">
        <f>'Form responses 1'!B302</f>
        <v>46065</v>
      </c>
      <c r="B300" s="4" t="str">
        <f>'Form responses 1'!AZ302</f>
        <v>nitya.akshara@capsdelivery.com</v>
      </c>
      <c r="C300" s="4" t="str">
        <f>'Form responses 1'!BR302</f>
        <v>Great Britain waffle </v>
      </c>
      <c r="D300" s="4" t="str">
        <f>'Form responses 1'!AT302</f>
        <v/>
      </c>
      <c r="E300" s="4" t="str">
        <f>'Form responses 1'!AU302</f>
        <v>Yes</v>
      </c>
      <c r="F300" s="4" t="str">
        <f>'Form responses 1'!AX302</f>
        <v/>
      </c>
      <c r="G300" s="4" t="str">
        <f>'Form responses 1'!AY302</f>
        <v/>
      </c>
      <c r="H300" s="53" t="str">
        <f>'Form responses 1'!AW302</f>
        <v/>
      </c>
      <c r="I300" s="4" t="str">
        <f>'Form responses 1'!AS302</f>
        <v/>
      </c>
      <c r="J300" s="4" t="str">
        <f>'Form responses 1'!J302</f>
        <v>Tier-3 ( AOV&lt;200 )</v>
      </c>
      <c r="K300" s="4">
        <f>'Form responses 1'!G302</f>
        <v>130</v>
      </c>
      <c r="L300" s="4">
        <f>'Form responses 1'!F302</f>
        <v>1</v>
      </c>
      <c r="M300" s="4" t="str">
        <f>'Form responses 1'!U302</f>
        <v>Sai </v>
      </c>
      <c r="N300" s="4" t="str">
        <f>'Form responses 1'!V302</f>
        <v>70130 27770</v>
      </c>
      <c r="O300" s="4" t="str">
        <f>'Form responses 1'!W302</f>
        <v>Na</v>
      </c>
      <c r="P300" s="4" t="str">
        <f>'Form responses 1'!X302</f>
        <v/>
      </c>
      <c r="Q300" s="4" t="str">
        <f>'Form responses 1'!Y302</f>
        <v/>
      </c>
      <c r="R300" s="4" t="str">
        <f>'Form responses 1'!Z302</f>
        <v/>
      </c>
      <c r="S300" s="4" t="str">
        <f>'Form responses 1'!AC302</f>
        <v/>
      </c>
      <c r="T300" s="4" t="str">
        <f>'Form responses 1'!AE302</f>
        <v/>
      </c>
      <c r="U300" s="4" t="str">
        <f>'Form responses 1'!AG302</f>
        <v/>
      </c>
      <c r="V300" s="4" t="str">
        <f>'Form responses 1'!AI302</f>
        <v/>
      </c>
      <c r="W300" s="4" t="str">
        <f>'Form responses 1'!AJ302</f>
        <v/>
      </c>
      <c r="X300" s="4" t="str">
        <f>'Form responses 1'!AK302</f>
        <v/>
      </c>
      <c r="Y300" s="4">
        <f t="shared" ref="Y300:AD300" si="299">if(S300&gt;0,1,0)</f>
        <v>0</v>
      </c>
      <c r="Z300" s="4">
        <f t="shared" si="299"/>
        <v>0</v>
      </c>
      <c r="AA300" s="4">
        <f t="shared" si="299"/>
        <v>0</v>
      </c>
      <c r="AB300" s="4">
        <f t="shared" si="299"/>
        <v>0</v>
      </c>
      <c r="AC300" s="4">
        <f t="shared" si="299"/>
        <v>0</v>
      </c>
      <c r="AD300" s="4">
        <f t="shared" si="299"/>
        <v>0</v>
      </c>
      <c r="AE300" s="4" t="str">
        <f>'Form responses 1'!AN302</f>
        <v/>
      </c>
      <c r="AF300" s="4" t="str">
        <f>'Form responses 1'!AO302</f>
        <v/>
      </c>
      <c r="AG300" s="4" t="str">
        <f>'Form responses 1'!AP302</f>
        <v/>
      </c>
      <c r="AH300" s="4" t="str">
        <f>'Form responses 1'!AQ302</f>
        <v/>
      </c>
      <c r="AI300" s="4" t="str">
        <f>'Form responses 1'!AR302</f>
        <v/>
      </c>
    </row>
    <row r="301">
      <c r="A301" s="26">
        <f>'Form responses 1'!B303</f>
        <v>46065</v>
      </c>
      <c r="B301" s="4" t="str">
        <f>'Form responses 1'!AZ303</f>
        <v>sumadhur.mummadi@capsdelivery.com</v>
      </c>
      <c r="C301" s="4" t="str">
        <f>'Form responses 1'!BR303</f>
        <v>Ritvikas kitchenRitvikas kitchen </v>
      </c>
      <c r="D301" s="4" t="str">
        <f>'Form responses 1'!AT303</f>
        <v/>
      </c>
      <c r="E301" s="4" t="str">
        <f>'Form responses 1'!AU303</f>
        <v>Yes</v>
      </c>
      <c r="F301" s="4" t="str">
        <f>'Form responses 1'!AX303</f>
        <v/>
      </c>
      <c r="G301" s="4" t="str">
        <f>'Form responses 1'!AY303</f>
        <v/>
      </c>
      <c r="H301" s="53" t="str">
        <f>'Form responses 1'!AW303</f>
        <v/>
      </c>
      <c r="I301" s="4" t="str">
        <f>'Form responses 1'!AS303</f>
        <v/>
      </c>
      <c r="J301" s="4" t="str">
        <f>'Form responses 1'!J303</f>
        <v/>
      </c>
      <c r="K301" s="4" t="str">
        <f>'Form responses 1'!G303</f>
        <v/>
      </c>
      <c r="L301" s="4" t="str">
        <f>'Form responses 1'!F303</f>
        <v/>
      </c>
      <c r="M301" s="4" t="str">
        <f>'Form responses 1'!U303</f>
        <v>Sarath </v>
      </c>
      <c r="N301" s="4">
        <f>'Form responses 1'!V303</f>
        <v>7659856207</v>
      </c>
      <c r="O301" s="4" t="str">
        <f>'Form responses 1'!W303</f>
        <v>NA </v>
      </c>
      <c r="P301" s="4" t="str">
        <f>'Form responses 1'!X303</f>
        <v/>
      </c>
      <c r="Q301" s="4" t="str">
        <f>'Form responses 1'!Y303</f>
        <v/>
      </c>
      <c r="R301" s="4" t="str">
        <f>'Form responses 1'!Z303</f>
        <v/>
      </c>
      <c r="S301" s="4" t="str">
        <f>'Form responses 1'!AC303</f>
        <v/>
      </c>
      <c r="T301" s="4" t="str">
        <f>'Form responses 1'!AE303</f>
        <v/>
      </c>
      <c r="U301" s="4" t="str">
        <f>'Form responses 1'!AG303</f>
        <v/>
      </c>
      <c r="V301" s="4" t="str">
        <f>'Form responses 1'!AI303</f>
        <v/>
      </c>
      <c r="W301" s="4" t="str">
        <f>'Form responses 1'!AJ303</f>
        <v/>
      </c>
      <c r="X301" s="4" t="str">
        <f>'Form responses 1'!AK303</f>
        <v/>
      </c>
      <c r="Y301" s="4">
        <f t="shared" ref="Y301:AD301" si="300">if(S301&gt;0,1,0)</f>
        <v>0</v>
      </c>
      <c r="Z301" s="4">
        <f t="shared" si="300"/>
        <v>0</v>
      </c>
      <c r="AA301" s="4">
        <f t="shared" si="300"/>
        <v>0</v>
      </c>
      <c r="AB301" s="4">
        <f t="shared" si="300"/>
        <v>0</v>
      </c>
      <c r="AC301" s="4">
        <f t="shared" si="300"/>
        <v>0</v>
      </c>
      <c r="AD301" s="4">
        <f t="shared" si="300"/>
        <v>0</v>
      </c>
      <c r="AE301" s="4" t="str">
        <f>'Form responses 1'!AN303</f>
        <v/>
      </c>
      <c r="AF301" s="4" t="str">
        <f>'Form responses 1'!AO303</f>
        <v/>
      </c>
      <c r="AG301" s="4" t="str">
        <f>'Form responses 1'!AP303</f>
        <v/>
      </c>
      <c r="AH301" s="4" t="str">
        <f>'Form responses 1'!AQ303</f>
        <v/>
      </c>
      <c r="AI301" s="4" t="str">
        <f>'Form responses 1'!AR303</f>
        <v/>
      </c>
    </row>
    <row r="302">
      <c r="A302" s="26">
        <f>'Form responses 1'!B304</f>
        <v>46065</v>
      </c>
      <c r="B302" s="4" t="str">
        <f>'Form responses 1'!AZ304</f>
        <v>nitya.akshara@capsdelivery.com</v>
      </c>
      <c r="C302" s="4" t="str">
        <f>'Form responses 1'!BR304</f>
        <v>Sweet Stories</v>
      </c>
      <c r="D302" s="4" t="str">
        <f>'Form responses 1'!AT304</f>
        <v/>
      </c>
      <c r="E302" s="4" t="str">
        <f>'Form responses 1'!AU304</f>
        <v>Yes</v>
      </c>
      <c r="F302" s="4" t="str">
        <f>'Form responses 1'!AX304</f>
        <v/>
      </c>
      <c r="G302" s="4" t="str">
        <f>'Form responses 1'!AY304</f>
        <v/>
      </c>
      <c r="H302" s="53" t="str">
        <f>'Form responses 1'!AW304</f>
        <v/>
      </c>
      <c r="I302" s="4" t="str">
        <f>'Form responses 1'!AS304</f>
        <v/>
      </c>
      <c r="J302" s="4" t="str">
        <f>'Form responses 1'!J304</f>
        <v/>
      </c>
      <c r="K302" s="4" t="str">
        <f>'Form responses 1'!G304</f>
        <v/>
      </c>
      <c r="L302" s="4" t="str">
        <f>'Form responses 1'!F304</f>
        <v/>
      </c>
      <c r="M302" s="4" t="str">
        <f>'Form responses 1'!U304</f>
        <v>NA</v>
      </c>
      <c r="N302" s="4" t="str">
        <f>'Form responses 1'!V304</f>
        <v>90596 66300</v>
      </c>
      <c r="O302" s="4" t="str">
        <f>'Form responses 1'!W304</f>
        <v>NA</v>
      </c>
      <c r="P302" s="4" t="str">
        <f>'Form responses 1'!X304</f>
        <v>NA</v>
      </c>
      <c r="Q302" s="4" t="str">
        <f>'Form responses 1'!Y304</f>
        <v/>
      </c>
      <c r="R302" s="4" t="str">
        <f>'Form responses 1'!Z304</f>
        <v/>
      </c>
      <c r="S302" s="4" t="str">
        <f>'Form responses 1'!AC304</f>
        <v/>
      </c>
      <c r="T302" s="4" t="str">
        <f>'Form responses 1'!AE304</f>
        <v/>
      </c>
      <c r="U302" s="4" t="str">
        <f>'Form responses 1'!AG304</f>
        <v/>
      </c>
      <c r="V302" s="4" t="str">
        <f>'Form responses 1'!AI304</f>
        <v/>
      </c>
      <c r="W302" s="4" t="str">
        <f>'Form responses 1'!AJ304</f>
        <v/>
      </c>
      <c r="X302" s="4" t="str">
        <f>'Form responses 1'!AK304</f>
        <v/>
      </c>
      <c r="Y302" s="4">
        <f t="shared" ref="Y302:AD302" si="301">if(S302&gt;0,1,0)</f>
        <v>0</v>
      </c>
      <c r="Z302" s="4">
        <f t="shared" si="301"/>
        <v>0</v>
      </c>
      <c r="AA302" s="4">
        <f t="shared" si="301"/>
        <v>0</v>
      </c>
      <c r="AB302" s="4">
        <f t="shared" si="301"/>
        <v>0</v>
      </c>
      <c r="AC302" s="4">
        <f t="shared" si="301"/>
        <v>0</v>
      </c>
      <c r="AD302" s="4">
        <f t="shared" si="301"/>
        <v>0</v>
      </c>
      <c r="AE302" s="4" t="str">
        <f>'Form responses 1'!AN304</f>
        <v/>
      </c>
      <c r="AF302" s="4" t="str">
        <f>'Form responses 1'!AO304</f>
        <v/>
      </c>
      <c r="AG302" s="4" t="str">
        <f>'Form responses 1'!AP304</f>
        <v/>
      </c>
      <c r="AH302" s="4" t="str">
        <f>'Form responses 1'!AQ304</f>
        <v/>
      </c>
      <c r="AI302" s="4" t="str">
        <f>'Form responses 1'!AR304</f>
        <v/>
      </c>
    </row>
    <row r="303">
      <c r="A303" s="26">
        <f>'Form responses 1'!B305</f>
        <v>46065</v>
      </c>
      <c r="B303" s="4" t="str">
        <f>'Form responses 1'!AZ305</f>
        <v>sumadhur.mummadi@capsdelivery.com</v>
      </c>
      <c r="C303" s="4" t="str">
        <f>'Form responses 1'!BR305</f>
        <v>Naidu gari kunda biryani Naidu gari kunda biryani</v>
      </c>
      <c r="D303" s="4" t="str">
        <f>'Form responses 1'!AT305</f>
        <v/>
      </c>
      <c r="E303" s="4" t="str">
        <f>'Form responses 1'!AU305</f>
        <v>Yes</v>
      </c>
      <c r="F303" s="26">
        <f>'Form responses 1'!AX305</f>
        <v>46066</v>
      </c>
      <c r="G303" s="52">
        <f>'Form responses 1'!AY305</f>
        <v>0.4791666667</v>
      </c>
      <c r="H303" s="53" t="str">
        <f>'Form responses 1'!AW305</f>
        <v/>
      </c>
      <c r="I303" s="4" t="str">
        <f>'Form responses 1'!AS305</f>
        <v/>
      </c>
      <c r="J303" s="4" t="str">
        <f>'Form responses 1'!J305</f>
        <v/>
      </c>
      <c r="K303" s="4" t="str">
        <f>'Form responses 1'!G305</f>
        <v/>
      </c>
      <c r="L303" s="4" t="str">
        <f>'Form responses 1'!F305</f>
        <v/>
      </c>
      <c r="M303" s="4" t="str">
        <f>'Form responses 1'!U305</f>
        <v>Chandu </v>
      </c>
      <c r="N303" s="4">
        <f>'Form responses 1'!V305</f>
        <v>9536442345</v>
      </c>
      <c r="O303" s="4" t="str">
        <f>'Form responses 1'!W305</f>
        <v>NA </v>
      </c>
      <c r="P303" s="4" t="str">
        <f>'Form responses 1'!X305</f>
        <v/>
      </c>
      <c r="Q303" s="4" t="str">
        <f>'Form responses 1'!Y305</f>
        <v/>
      </c>
      <c r="R303" s="4" t="str">
        <f>'Form responses 1'!Z305</f>
        <v/>
      </c>
      <c r="S303" s="4" t="str">
        <f>'Form responses 1'!AC305</f>
        <v/>
      </c>
      <c r="T303" s="4" t="str">
        <f>'Form responses 1'!AE305</f>
        <v/>
      </c>
      <c r="U303" s="4" t="str">
        <f>'Form responses 1'!AG305</f>
        <v/>
      </c>
      <c r="V303" s="4" t="str">
        <f>'Form responses 1'!AI305</f>
        <v/>
      </c>
      <c r="W303" s="4" t="str">
        <f>'Form responses 1'!AJ305</f>
        <v/>
      </c>
      <c r="X303" s="4" t="str">
        <f>'Form responses 1'!AK305</f>
        <v/>
      </c>
      <c r="Y303" s="4">
        <f t="shared" ref="Y303:AD303" si="302">if(S303&gt;0,1,0)</f>
        <v>0</v>
      </c>
      <c r="Z303" s="4">
        <f t="shared" si="302"/>
        <v>0</v>
      </c>
      <c r="AA303" s="4">
        <f t="shared" si="302"/>
        <v>0</v>
      </c>
      <c r="AB303" s="4">
        <f t="shared" si="302"/>
        <v>0</v>
      </c>
      <c r="AC303" s="4">
        <f t="shared" si="302"/>
        <v>0</v>
      </c>
      <c r="AD303" s="4">
        <f t="shared" si="302"/>
        <v>0</v>
      </c>
      <c r="AE303" s="4" t="str">
        <f>'Form responses 1'!AN305</f>
        <v/>
      </c>
      <c r="AF303" s="4" t="str">
        <f>'Form responses 1'!AO305</f>
        <v/>
      </c>
      <c r="AG303" s="4" t="str">
        <f>'Form responses 1'!AP305</f>
        <v/>
      </c>
      <c r="AH303" s="4" t="str">
        <f>'Form responses 1'!AQ305</f>
        <v/>
      </c>
      <c r="AI303" s="4" t="str">
        <f>'Form responses 1'!AR305</f>
        <v/>
      </c>
    </row>
    <row r="304">
      <c r="A304" s="26">
        <f>'Form responses 1'!B306</f>
        <v>46065</v>
      </c>
      <c r="B304" s="4" t="str">
        <f>'Form responses 1'!AZ306</f>
        <v>nitya.akshara@capsdelivery.com</v>
      </c>
      <c r="C304" s="4" t="str">
        <f>'Form responses 1'!BR306</f>
        <v>Old A1 Restraunt </v>
      </c>
      <c r="D304" s="4" t="str">
        <f>'Form responses 1'!AT306</f>
        <v/>
      </c>
      <c r="E304" s="4" t="str">
        <f>'Form responses 1'!AU306</f>
        <v>Yes</v>
      </c>
      <c r="F304" s="26">
        <f>'Form responses 1'!AX306</f>
        <v>46066</v>
      </c>
      <c r="G304" s="52">
        <f>'Form responses 1'!AY306</f>
        <v>0.08333333334</v>
      </c>
      <c r="H304" s="53" t="str">
        <f>'Form responses 1'!AW306</f>
        <v/>
      </c>
      <c r="I304" s="4" t="str">
        <f>'Form responses 1'!AS306</f>
        <v/>
      </c>
      <c r="J304" s="4" t="str">
        <f>'Form responses 1'!J306</f>
        <v/>
      </c>
      <c r="K304" s="4" t="str">
        <f>'Form responses 1'!G306</f>
        <v/>
      </c>
      <c r="L304" s="4" t="str">
        <f>'Form responses 1'!F306</f>
        <v/>
      </c>
      <c r="M304" s="4" t="str">
        <f>'Form responses 1'!U306</f>
        <v>NA</v>
      </c>
      <c r="N304" s="4" t="str">
        <f>'Form responses 1'!V306</f>
        <v>NA</v>
      </c>
      <c r="O304" s="4" t="str">
        <f>'Form responses 1'!W306</f>
        <v>NA</v>
      </c>
      <c r="P304" s="4" t="str">
        <f>'Form responses 1'!X306</f>
        <v/>
      </c>
      <c r="Q304" s="4" t="str">
        <f>'Form responses 1'!Y306</f>
        <v/>
      </c>
      <c r="R304" s="4" t="str">
        <f>'Form responses 1'!Z306</f>
        <v/>
      </c>
      <c r="S304" s="4" t="str">
        <f>'Form responses 1'!AC306</f>
        <v/>
      </c>
      <c r="T304" s="4" t="str">
        <f>'Form responses 1'!AE306</f>
        <v/>
      </c>
      <c r="U304" s="4" t="str">
        <f>'Form responses 1'!AG306</f>
        <v/>
      </c>
      <c r="V304" s="4" t="str">
        <f>'Form responses 1'!AI306</f>
        <v/>
      </c>
      <c r="W304" s="4" t="str">
        <f>'Form responses 1'!AJ306</f>
        <v/>
      </c>
      <c r="X304" s="4" t="str">
        <f>'Form responses 1'!AK306</f>
        <v/>
      </c>
      <c r="Y304" s="4">
        <f t="shared" ref="Y304:AD304" si="303">if(S304&gt;0,1,0)</f>
        <v>0</v>
      </c>
      <c r="Z304" s="4">
        <f t="shared" si="303"/>
        <v>0</v>
      </c>
      <c r="AA304" s="4">
        <f t="shared" si="303"/>
        <v>0</v>
      </c>
      <c r="AB304" s="4">
        <f t="shared" si="303"/>
        <v>0</v>
      </c>
      <c r="AC304" s="4">
        <f t="shared" si="303"/>
        <v>0</v>
      </c>
      <c r="AD304" s="4">
        <f t="shared" si="303"/>
        <v>0</v>
      </c>
      <c r="AE304" s="4" t="str">
        <f>'Form responses 1'!AN306</f>
        <v/>
      </c>
      <c r="AF304" s="4" t="str">
        <f>'Form responses 1'!AO306</f>
        <v/>
      </c>
      <c r="AG304" s="4" t="str">
        <f>'Form responses 1'!AP306</f>
        <v/>
      </c>
      <c r="AH304" s="4" t="str">
        <f>'Form responses 1'!AQ306</f>
        <v/>
      </c>
      <c r="AI304" s="4" t="str">
        <f>'Form responses 1'!AR306</f>
        <v/>
      </c>
    </row>
    <row r="305">
      <c r="A305" s="26">
        <f>'Form responses 1'!B307</f>
        <v>46065</v>
      </c>
      <c r="B305" s="4" t="str">
        <f>'Form responses 1'!AZ307</f>
        <v>akhila.narra@capsdelivery.com</v>
      </c>
      <c r="C305" s="4" t="str">
        <f>'Form responses 1'!BR307</f>
        <v>Kakatiyya TuffinsKakatiyya tiffins</v>
      </c>
      <c r="D305" s="4" t="str">
        <f>'Form responses 1'!AT307</f>
        <v/>
      </c>
      <c r="E305" s="4" t="str">
        <f>'Form responses 1'!AU307</f>
        <v>Yes</v>
      </c>
      <c r="F305" s="26">
        <f>'Form responses 1'!AX307</f>
        <v>46066</v>
      </c>
      <c r="G305" s="52">
        <f>'Form responses 1'!AY307</f>
        <v>0.25</v>
      </c>
      <c r="H305" s="53" t="str">
        <f>'Form responses 1'!AW307</f>
        <v>Need to Close him for 15 ++</v>
      </c>
      <c r="I305" s="4" t="str">
        <f>'Form responses 1'!AS307</f>
        <v/>
      </c>
      <c r="J305" s="4" t="str">
        <f>'Form responses 1'!J307</f>
        <v/>
      </c>
      <c r="K305" s="4" t="str">
        <f>'Form responses 1'!G307</f>
        <v/>
      </c>
      <c r="L305" s="4" t="str">
        <f>'Form responses 1'!F307</f>
        <v/>
      </c>
      <c r="M305" s="4" t="str">
        <f>'Form responses 1'!U307</f>
        <v>Prasad</v>
      </c>
      <c r="N305" s="4">
        <f>'Form responses 1'!V307</f>
        <v>9948505639</v>
      </c>
      <c r="O305" s="4" t="str">
        <f>'Form responses 1'!W307</f>
        <v>Na</v>
      </c>
      <c r="P305" s="4" t="str">
        <f>'Form responses 1'!X307</f>
        <v/>
      </c>
      <c r="Q305" s="4" t="str">
        <f>'Form responses 1'!Y307</f>
        <v/>
      </c>
      <c r="R305" s="4" t="str">
        <f>'Form responses 1'!Z307</f>
        <v/>
      </c>
      <c r="S305" s="4" t="str">
        <f>'Form responses 1'!AC307</f>
        <v/>
      </c>
      <c r="T305" s="4" t="str">
        <f>'Form responses 1'!AE307</f>
        <v/>
      </c>
      <c r="U305" s="4" t="str">
        <f>'Form responses 1'!AG307</f>
        <v/>
      </c>
      <c r="V305" s="4" t="str">
        <f>'Form responses 1'!AI307</f>
        <v/>
      </c>
      <c r="W305" s="4" t="str">
        <f>'Form responses 1'!AJ307</f>
        <v/>
      </c>
      <c r="X305" s="4" t="str">
        <f>'Form responses 1'!AK307</f>
        <v/>
      </c>
      <c r="Y305" s="4">
        <f t="shared" ref="Y305:AD305" si="304">if(S305&gt;0,1,0)</f>
        <v>0</v>
      </c>
      <c r="Z305" s="4">
        <f t="shared" si="304"/>
        <v>0</v>
      </c>
      <c r="AA305" s="4">
        <f t="shared" si="304"/>
        <v>0</v>
      </c>
      <c r="AB305" s="4">
        <f t="shared" si="304"/>
        <v>0</v>
      </c>
      <c r="AC305" s="4">
        <f t="shared" si="304"/>
        <v>0</v>
      </c>
      <c r="AD305" s="4">
        <f t="shared" si="304"/>
        <v>0</v>
      </c>
      <c r="AE305" s="4" t="str">
        <f>'Form responses 1'!AN307</f>
        <v/>
      </c>
      <c r="AF305" s="4" t="str">
        <f>'Form responses 1'!AO307</f>
        <v/>
      </c>
      <c r="AG305" s="4" t="str">
        <f>'Form responses 1'!AP307</f>
        <v/>
      </c>
      <c r="AH305" s="4" t="str">
        <f>'Form responses 1'!AQ307</f>
        <v/>
      </c>
      <c r="AI305" s="4" t="str">
        <f>'Form responses 1'!AR307</f>
        <v/>
      </c>
    </row>
    <row r="306">
      <c r="A306" s="26">
        <f>'Form responses 1'!B308</f>
        <v>46065</v>
      </c>
      <c r="B306" s="4" t="str">
        <f>'Form responses 1'!AZ308</f>
        <v>sumadhur.mummadi@capsdelivery.com</v>
      </c>
      <c r="C306" s="4" t="str">
        <f>'Form responses 1'!BR308</f>
        <v>Bahar cafe</v>
      </c>
      <c r="D306" s="4" t="str">
        <f>'Form responses 1'!AT308</f>
        <v/>
      </c>
      <c r="E306" s="4" t="str">
        <f>'Form responses 1'!AU308</f>
        <v>Yes</v>
      </c>
      <c r="F306" s="4" t="str">
        <f>'Form responses 1'!AX308</f>
        <v/>
      </c>
      <c r="G306" s="4" t="str">
        <f>'Form responses 1'!AY308</f>
        <v/>
      </c>
      <c r="H306" s="53" t="str">
        <f>'Form responses 1'!AW308</f>
        <v/>
      </c>
      <c r="I306" s="4" t="str">
        <f>'Form responses 1'!AS308</f>
        <v/>
      </c>
      <c r="J306" s="4" t="str">
        <f>'Form responses 1'!J308</f>
        <v/>
      </c>
      <c r="K306" s="4" t="str">
        <f>'Form responses 1'!G308</f>
        <v/>
      </c>
      <c r="L306" s="4" t="str">
        <f>'Form responses 1'!F308</f>
        <v/>
      </c>
      <c r="M306" s="4" t="str">
        <f>'Form responses 1'!U308</f>
        <v>Pundari naidu </v>
      </c>
      <c r="N306" s="4" t="str">
        <f>'Form responses 1'!V308</f>
        <v>+91 79897 34545</v>
      </c>
      <c r="O306" s="4" t="str">
        <f>'Form responses 1'!W308</f>
        <v>NA </v>
      </c>
      <c r="P306" s="4" t="str">
        <f>'Form responses 1'!X308</f>
        <v/>
      </c>
      <c r="Q306" s="4" t="str">
        <f>'Form responses 1'!Y308</f>
        <v/>
      </c>
      <c r="R306" s="4" t="str">
        <f>'Form responses 1'!Z308</f>
        <v/>
      </c>
      <c r="S306" s="4" t="str">
        <f>'Form responses 1'!AC308</f>
        <v/>
      </c>
      <c r="T306" s="4" t="str">
        <f>'Form responses 1'!AE308</f>
        <v/>
      </c>
      <c r="U306" s="4" t="str">
        <f>'Form responses 1'!AG308</f>
        <v/>
      </c>
      <c r="V306" s="4" t="str">
        <f>'Form responses 1'!AI308</f>
        <v/>
      </c>
      <c r="W306" s="4" t="str">
        <f>'Form responses 1'!AJ308</f>
        <v/>
      </c>
      <c r="X306" s="4" t="str">
        <f>'Form responses 1'!AK308</f>
        <v/>
      </c>
      <c r="Y306" s="4">
        <f t="shared" ref="Y306:AD306" si="305">if(S306&gt;0,1,0)</f>
        <v>0</v>
      </c>
      <c r="Z306" s="4">
        <f t="shared" si="305"/>
        <v>0</v>
      </c>
      <c r="AA306" s="4">
        <f t="shared" si="305"/>
        <v>0</v>
      </c>
      <c r="AB306" s="4">
        <f t="shared" si="305"/>
        <v>0</v>
      </c>
      <c r="AC306" s="4">
        <f t="shared" si="305"/>
        <v>0</v>
      </c>
      <c r="AD306" s="4">
        <f t="shared" si="305"/>
        <v>0</v>
      </c>
      <c r="AE306" s="4" t="str">
        <f>'Form responses 1'!AN308</f>
        <v/>
      </c>
      <c r="AF306" s="4" t="str">
        <f>'Form responses 1'!AO308</f>
        <v/>
      </c>
      <c r="AG306" s="4" t="str">
        <f>'Form responses 1'!AP308</f>
        <v/>
      </c>
      <c r="AH306" s="4" t="str">
        <f>'Form responses 1'!AQ308</f>
        <v/>
      </c>
      <c r="AI306" s="4" t="str">
        <f>'Form responses 1'!AR308</f>
        <v/>
      </c>
    </row>
    <row r="307">
      <c r="A307" s="26">
        <f>'Form responses 1'!B309</f>
        <v>46065</v>
      </c>
      <c r="B307" s="4" t="str">
        <f>'Form responses 1'!AZ309</f>
        <v>moin.khan@capsdelivery.com</v>
      </c>
      <c r="C307" s="4" t="str">
        <f>'Form responses 1'!BR309</f>
        <v>CAFE 555 AND AQEEQ RESTAURANTCAFE 555 AND AQEEQ RESTAURANT</v>
      </c>
      <c r="D307" s="4" t="str">
        <f>'Form responses 1'!AT309</f>
        <v/>
      </c>
      <c r="E307" s="4" t="str">
        <f>'Form responses 1'!AU309</f>
        <v>Yes</v>
      </c>
      <c r="F307" s="26">
        <f>'Form responses 1'!AX309</f>
        <v>46066</v>
      </c>
      <c r="G307" s="52">
        <f>'Form responses 1'!AY309</f>
        <v>0.625</v>
      </c>
      <c r="H307" s="53" t="str">
        <f>'Form responses 1'!AW309</f>
        <v>TOMMROW  AFTER 3 PM</v>
      </c>
      <c r="I307" s="4" t="str">
        <f>'Form responses 1'!AS309</f>
        <v/>
      </c>
      <c r="J307" s="4" t="str">
        <f>'Form responses 1'!J309</f>
        <v/>
      </c>
      <c r="K307" s="4" t="str">
        <f>'Form responses 1'!G309</f>
        <v/>
      </c>
      <c r="L307" s="4" t="str">
        <f>'Form responses 1'!F309</f>
        <v/>
      </c>
      <c r="M307" s="4" t="str">
        <f>'Form responses 1'!U309</f>
        <v>abbas</v>
      </c>
      <c r="N307" s="4">
        <f>'Form responses 1'!V309</f>
        <v>8125652110</v>
      </c>
      <c r="O307" s="4" t="str">
        <f>'Form responses 1'!W309</f>
        <v>NA</v>
      </c>
      <c r="P307" s="4" t="str">
        <f>'Form responses 1'!X309</f>
        <v/>
      </c>
      <c r="Q307" s="4" t="str">
        <f>'Form responses 1'!Y309</f>
        <v/>
      </c>
      <c r="R307" s="4" t="str">
        <f>'Form responses 1'!Z309</f>
        <v/>
      </c>
      <c r="S307" s="4" t="str">
        <f>'Form responses 1'!AC309</f>
        <v/>
      </c>
      <c r="T307" s="4" t="str">
        <f>'Form responses 1'!AE309</f>
        <v/>
      </c>
      <c r="U307" s="4" t="str">
        <f>'Form responses 1'!AG309</f>
        <v/>
      </c>
      <c r="V307" s="4" t="str">
        <f>'Form responses 1'!AI309</f>
        <v/>
      </c>
      <c r="W307" s="4" t="str">
        <f>'Form responses 1'!AJ309</f>
        <v/>
      </c>
      <c r="X307" s="4" t="str">
        <f>'Form responses 1'!AK309</f>
        <v/>
      </c>
      <c r="Y307" s="4">
        <f t="shared" ref="Y307:AD307" si="306">if(S307&gt;0,1,0)</f>
        <v>0</v>
      </c>
      <c r="Z307" s="4">
        <f t="shared" si="306"/>
        <v>0</v>
      </c>
      <c r="AA307" s="4">
        <f t="shared" si="306"/>
        <v>0</v>
      </c>
      <c r="AB307" s="4">
        <f t="shared" si="306"/>
        <v>0</v>
      </c>
      <c r="AC307" s="4">
        <f t="shared" si="306"/>
        <v>0</v>
      </c>
      <c r="AD307" s="4">
        <f t="shared" si="306"/>
        <v>0</v>
      </c>
      <c r="AE307" s="4" t="str">
        <f>'Form responses 1'!AN309</f>
        <v/>
      </c>
      <c r="AF307" s="4" t="str">
        <f>'Form responses 1'!AO309</f>
        <v/>
      </c>
      <c r="AG307" s="4" t="str">
        <f>'Form responses 1'!AP309</f>
        <v/>
      </c>
      <c r="AH307" s="4" t="str">
        <f>'Form responses 1'!AQ309</f>
        <v/>
      </c>
      <c r="AI307" s="4" t="str">
        <f>'Form responses 1'!AR309</f>
        <v/>
      </c>
    </row>
    <row r="308">
      <c r="A308" s="26">
        <f>'Form responses 1'!B310</f>
        <v>46065</v>
      </c>
      <c r="B308" s="4" t="str">
        <f>'Form responses 1'!AZ310</f>
        <v>moin.khan@capsdelivery.com</v>
      </c>
      <c r="C308" s="4" t="str">
        <f>'Form responses 1'!BR310</f>
        <v>imperial  multicuisine restaurant</v>
      </c>
      <c r="D308" s="4" t="str">
        <f>'Form responses 1'!AT310</f>
        <v/>
      </c>
      <c r="E308" s="4" t="str">
        <f>'Form responses 1'!AU310</f>
        <v>Yes</v>
      </c>
      <c r="F308" s="26">
        <f>'Form responses 1'!AX310</f>
        <v>46065</v>
      </c>
      <c r="G308" s="52">
        <f>'Form responses 1'!AY310</f>
        <v>0.7083333333</v>
      </c>
      <c r="H308" s="53" t="str">
        <f>'Form responses 1'!AW310</f>
        <v>MANAGER WILL BE AVAILABLE AFTER 5</v>
      </c>
      <c r="I308" s="4" t="str">
        <f>'Form responses 1'!AS310</f>
        <v/>
      </c>
      <c r="J308" s="4" t="str">
        <f>'Form responses 1'!J310</f>
        <v/>
      </c>
      <c r="K308" s="4" t="str">
        <f>'Form responses 1'!G310</f>
        <v/>
      </c>
      <c r="L308" s="4" t="str">
        <f>'Form responses 1'!F310</f>
        <v/>
      </c>
      <c r="M308" s="4" t="str">
        <f>'Form responses 1'!U310</f>
        <v>umar </v>
      </c>
      <c r="N308" s="4">
        <f>'Form responses 1'!V310</f>
        <v>9908602056</v>
      </c>
      <c r="O308" s="4" t="str">
        <f>'Form responses 1'!W310</f>
        <v>NA</v>
      </c>
      <c r="P308" s="4" t="str">
        <f>'Form responses 1'!X310</f>
        <v/>
      </c>
      <c r="Q308" s="4" t="str">
        <f>'Form responses 1'!Y310</f>
        <v/>
      </c>
      <c r="R308" s="4" t="str">
        <f>'Form responses 1'!Z310</f>
        <v/>
      </c>
      <c r="S308" s="4" t="str">
        <f>'Form responses 1'!AC310</f>
        <v/>
      </c>
      <c r="T308" s="4" t="str">
        <f>'Form responses 1'!AE310</f>
        <v/>
      </c>
      <c r="U308" s="4" t="str">
        <f>'Form responses 1'!AG310</f>
        <v/>
      </c>
      <c r="V308" s="4" t="str">
        <f>'Form responses 1'!AI310</f>
        <v/>
      </c>
      <c r="W308" s="4" t="str">
        <f>'Form responses 1'!AJ310</f>
        <v/>
      </c>
      <c r="X308" s="4" t="str">
        <f>'Form responses 1'!AK310</f>
        <v/>
      </c>
      <c r="Y308" s="4">
        <f t="shared" ref="Y308:AD308" si="307">if(S308&gt;0,1,0)</f>
        <v>0</v>
      </c>
      <c r="Z308" s="4">
        <f t="shared" si="307"/>
        <v>0</v>
      </c>
      <c r="AA308" s="4">
        <f t="shared" si="307"/>
        <v>0</v>
      </c>
      <c r="AB308" s="4">
        <f t="shared" si="307"/>
        <v>0</v>
      </c>
      <c r="AC308" s="4">
        <f t="shared" si="307"/>
        <v>0</v>
      </c>
      <c r="AD308" s="4">
        <f t="shared" si="307"/>
        <v>0</v>
      </c>
      <c r="AE308" s="4" t="str">
        <f>'Form responses 1'!AN310</f>
        <v/>
      </c>
      <c r="AF308" s="4" t="str">
        <f>'Form responses 1'!AO310</f>
        <v/>
      </c>
      <c r="AG308" s="4" t="str">
        <f>'Form responses 1'!AP310</f>
        <v/>
      </c>
      <c r="AH308" s="4" t="str">
        <f>'Form responses 1'!AQ310</f>
        <v/>
      </c>
      <c r="AI308" s="4" t="str">
        <f>'Form responses 1'!AR310</f>
        <v/>
      </c>
    </row>
    <row r="309">
      <c r="A309" s="26">
        <f>'Form responses 1'!B311</f>
        <v>46065</v>
      </c>
      <c r="B309" s="4" t="str">
        <f>'Form responses 1'!AZ311</f>
        <v>greeshma.vanneldas@capsdelivery.com</v>
      </c>
      <c r="C309" s="4" t="str">
        <f>'Form responses 1'!BR311</f>
        <v>AN TE RA KITCHEN AND BAR</v>
      </c>
      <c r="D309" s="4" t="str">
        <f>'Form responses 1'!AT311</f>
        <v/>
      </c>
      <c r="E309" s="4" t="str">
        <f>'Form responses 1'!AU311</f>
        <v>Yes</v>
      </c>
      <c r="F309" s="4" t="str">
        <f>'Form responses 1'!AX311</f>
        <v/>
      </c>
      <c r="G309" s="4" t="str">
        <f>'Form responses 1'!AY311</f>
        <v/>
      </c>
      <c r="H309" s="53" t="str">
        <f>'Form responses 1'!AW311</f>
        <v>Spoke with manager on the call,gave appointment on Monday</v>
      </c>
      <c r="I309" s="4" t="str">
        <f>'Form responses 1'!AS311</f>
        <v/>
      </c>
      <c r="J309" s="4" t="str">
        <f>'Form responses 1'!J311</f>
        <v/>
      </c>
      <c r="K309" s="4" t="str">
        <f>'Form responses 1'!G311</f>
        <v/>
      </c>
      <c r="L309" s="4" t="str">
        <f>'Form responses 1'!F311</f>
        <v/>
      </c>
      <c r="M309" s="4" t="str">
        <f>'Form responses 1'!U311</f>
        <v>Jeevan</v>
      </c>
      <c r="N309" s="4">
        <f>'Form responses 1'!V311</f>
        <v>8121764465</v>
      </c>
      <c r="O309" s="4" t="str">
        <f>'Form responses 1'!W311</f>
        <v>na</v>
      </c>
      <c r="P309" s="4" t="str">
        <f>'Form responses 1'!X311</f>
        <v/>
      </c>
      <c r="Q309" s="4" t="str">
        <f>'Form responses 1'!Y311</f>
        <v/>
      </c>
      <c r="R309" s="4" t="str">
        <f>'Form responses 1'!Z311</f>
        <v/>
      </c>
      <c r="S309" s="4" t="str">
        <f>'Form responses 1'!AC311</f>
        <v/>
      </c>
      <c r="T309" s="4" t="str">
        <f>'Form responses 1'!AE311</f>
        <v/>
      </c>
      <c r="U309" s="4" t="str">
        <f>'Form responses 1'!AG311</f>
        <v/>
      </c>
      <c r="V309" s="4" t="str">
        <f>'Form responses 1'!AI311</f>
        <v/>
      </c>
      <c r="W309" s="4" t="str">
        <f>'Form responses 1'!AJ311</f>
        <v/>
      </c>
      <c r="X309" s="4" t="str">
        <f>'Form responses 1'!AK311</f>
        <v/>
      </c>
      <c r="Y309" s="4">
        <f t="shared" ref="Y309:AD309" si="308">if(S309&gt;0,1,0)</f>
        <v>0</v>
      </c>
      <c r="Z309" s="4">
        <f t="shared" si="308"/>
        <v>0</v>
      </c>
      <c r="AA309" s="4">
        <f t="shared" si="308"/>
        <v>0</v>
      </c>
      <c r="AB309" s="4">
        <f t="shared" si="308"/>
        <v>0</v>
      </c>
      <c r="AC309" s="4">
        <f t="shared" si="308"/>
        <v>0</v>
      </c>
      <c r="AD309" s="4">
        <f t="shared" si="308"/>
        <v>0</v>
      </c>
      <c r="AE309" s="4" t="str">
        <f>'Form responses 1'!AN311</f>
        <v/>
      </c>
      <c r="AF309" s="4" t="str">
        <f>'Form responses 1'!AO311</f>
        <v/>
      </c>
      <c r="AG309" s="4" t="str">
        <f>'Form responses 1'!AP311</f>
        <v/>
      </c>
      <c r="AH309" s="4" t="str">
        <f>'Form responses 1'!AQ311</f>
        <v/>
      </c>
      <c r="AI309" s="4" t="str">
        <f>'Form responses 1'!AR311</f>
        <v/>
      </c>
    </row>
    <row r="310">
      <c r="A310" s="26">
        <f>'Form responses 1'!B312</f>
        <v>46066</v>
      </c>
      <c r="B310" s="4" t="str">
        <f>'Form responses 1'!AZ312</f>
        <v>ankitha.baske@capsdelivery.com</v>
      </c>
      <c r="C310" s="4" t="str">
        <f>'Form responses 1'!BR312</f>
        <v>Amogha</v>
      </c>
      <c r="D310" s="4" t="str">
        <f>'Form responses 1'!AT312</f>
        <v/>
      </c>
      <c r="E310" s="4" t="str">
        <f>'Form responses 1'!AU312</f>
        <v>Yes</v>
      </c>
      <c r="F310" s="26">
        <f>'Form responses 1'!AX312</f>
        <v>46066</v>
      </c>
      <c r="G310" s="52">
        <f>'Form responses 1'!AY312</f>
        <v>0.5416666667</v>
      </c>
      <c r="H310" s="53" t="str">
        <f>'Form responses 1'!AW312</f>
        <v/>
      </c>
      <c r="I310" s="4" t="str">
        <f>'Form responses 1'!AS312</f>
        <v/>
      </c>
      <c r="J310" s="4" t="str">
        <f>'Form responses 1'!J312</f>
        <v/>
      </c>
      <c r="K310" s="4" t="str">
        <f>'Form responses 1'!G312</f>
        <v/>
      </c>
      <c r="L310" s="4" t="str">
        <f>'Form responses 1'!F312</f>
        <v/>
      </c>
      <c r="M310" s="4" t="str">
        <f>'Form responses 1'!U312</f>
        <v>Prasad</v>
      </c>
      <c r="N310" s="4">
        <f>'Form responses 1'!V312</f>
        <v>8317696260</v>
      </c>
      <c r="O310" s="4" t="str">
        <f>'Form responses 1'!W312</f>
        <v>NA</v>
      </c>
      <c r="P310" s="4" t="str">
        <f>'Form responses 1'!X312</f>
        <v/>
      </c>
      <c r="Q310" s="4" t="str">
        <f>'Form responses 1'!Y312</f>
        <v/>
      </c>
      <c r="R310" s="4" t="str">
        <f>'Form responses 1'!Z312</f>
        <v/>
      </c>
      <c r="S310" s="4" t="str">
        <f>'Form responses 1'!AC312</f>
        <v/>
      </c>
      <c r="T310" s="4" t="str">
        <f>'Form responses 1'!AE312</f>
        <v/>
      </c>
      <c r="U310" s="4" t="str">
        <f>'Form responses 1'!AG312</f>
        <v/>
      </c>
      <c r="V310" s="4" t="str">
        <f>'Form responses 1'!AI312</f>
        <v/>
      </c>
      <c r="W310" s="4" t="str">
        <f>'Form responses 1'!AJ312</f>
        <v/>
      </c>
      <c r="X310" s="4" t="str">
        <f>'Form responses 1'!AK312</f>
        <v/>
      </c>
      <c r="Y310" s="4">
        <f t="shared" ref="Y310:AD310" si="309">if(S310&gt;0,1,0)</f>
        <v>0</v>
      </c>
      <c r="Z310" s="4">
        <f t="shared" si="309"/>
        <v>0</v>
      </c>
      <c r="AA310" s="4">
        <f t="shared" si="309"/>
        <v>0</v>
      </c>
      <c r="AB310" s="4">
        <f t="shared" si="309"/>
        <v>0</v>
      </c>
      <c r="AC310" s="4">
        <f t="shared" si="309"/>
        <v>0</v>
      </c>
      <c r="AD310" s="4">
        <f t="shared" si="309"/>
        <v>0</v>
      </c>
      <c r="AE310" s="4" t="str">
        <f>'Form responses 1'!AN312</f>
        <v/>
      </c>
      <c r="AF310" s="4" t="str">
        <f>'Form responses 1'!AO312</f>
        <v/>
      </c>
      <c r="AG310" s="4" t="str">
        <f>'Form responses 1'!AP312</f>
        <v/>
      </c>
      <c r="AH310" s="4" t="str">
        <f>'Form responses 1'!AQ312</f>
        <v/>
      </c>
      <c r="AI310" s="4" t="str">
        <f>'Form responses 1'!AR312</f>
        <v/>
      </c>
    </row>
    <row r="311">
      <c r="A311" s="26">
        <f>'Form responses 1'!B313</f>
        <v>46066</v>
      </c>
      <c r="B311" s="4" t="str">
        <f>'Form responses 1'!AZ313</f>
        <v>greeshma.vanneldas@capsdelivery.com</v>
      </c>
      <c r="C311" s="4" t="str">
        <f>'Form responses 1'!BR313</f>
        <v>Shanghai chef </v>
      </c>
      <c r="D311" s="4" t="str">
        <f>'Form responses 1'!AT313</f>
        <v/>
      </c>
      <c r="E311" s="4" t="str">
        <f>'Form responses 1'!AU313</f>
        <v>Yes</v>
      </c>
      <c r="F311" s="4" t="str">
        <f>'Form responses 1'!AX313</f>
        <v/>
      </c>
      <c r="G311" s="4" t="str">
        <f>'Form responses 1'!AY313</f>
        <v/>
      </c>
      <c r="H311" s="53" t="str">
        <f>'Form responses 1'!AW313</f>
        <v>Monday will be available </v>
      </c>
      <c r="I311" s="4" t="str">
        <f>'Form responses 1'!AS313</f>
        <v/>
      </c>
      <c r="J311" s="4" t="str">
        <f>'Form responses 1'!J313</f>
        <v/>
      </c>
      <c r="K311" s="4" t="str">
        <f>'Form responses 1'!G313</f>
        <v/>
      </c>
      <c r="L311" s="4" t="str">
        <f>'Form responses 1'!F313</f>
        <v/>
      </c>
      <c r="M311" s="4" t="str">
        <f>'Form responses 1'!U313</f>
        <v>Shekar</v>
      </c>
      <c r="N311" s="4">
        <f>'Form responses 1'!V313</f>
        <v>8074793426</v>
      </c>
      <c r="O311" s="4" t="str">
        <f>'Form responses 1'!W313</f>
        <v>Na</v>
      </c>
      <c r="P311" s="4" t="str">
        <f>'Form responses 1'!X313</f>
        <v/>
      </c>
      <c r="Q311" s="4" t="str">
        <f>'Form responses 1'!Y313</f>
        <v/>
      </c>
      <c r="R311" s="4" t="str">
        <f>'Form responses 1'!Z313</f>
        <v/>
      </c>
      <c r="S311" s="4" t="str">
        <f>'Form responses 1'!AC313</f>
        <v/>
      </c>
      <c r="T311" s="4" t="str">
        <f>'Form responses 1'!AE313</f>
        <v/>
      </c>
      <c r="U311" s="4" t="str">
        <f>'Form responses 1'!AG313</f>
        <v/>
      </c>
      <c r="V311" s="4" t="str">
        <f>'Form responses 1'!AI313</f>
        <v/>
      </c>
      <c r="W311" s="4" t="str">
        <f>'Form responses 1'!AJ313</f>
        <v/>
      </c>
      <c r="X311" s="4" t="str">
        <f>'Form responses 1'!AK313</f>
        <v/>
      </c>
      <c r="Y311" s="4">
        <f t="shared" ref="Y311:AD311" si="310">if(S311&gt;0,1,0)</f>
        <v>0</v>
      </c>
      <c r="Z311" s="4">
        <f t="shared" si="310"/>
        <v>0</v>
      </c>
      <c r="AA311" s="4">
        <f t="shared" si="310"/>
        <v>0</v>
      </c>
      <c r="AB311" s="4">
        <f t="shared" si="310"/>
        <v>0</v>
      </c>
      <c r="AC311" s="4">
        <f t="shared" si="310"/>
        <v>0</v>
      </c>
      <c r="AD311" s="4">
        <f t="shared" si="310"/>
        <v>0</v>
      </c>
      <c r="AE311" s="4" t="str">
        <f>'Form responses 1'!AN313</f>
        <v/>
      </c>
      <c r="AF311" s="4" t="str">
        <f>'Form responses 1'!AO313</f>
        <v/>
      </c>
      <c r="AG311" s="4" t="str">
        <f>'Form responses 1'!AP313</f>
        <v/>
      </c>
      <c r="AH311" s="4" t="str">
        <f>'Form responses 1'!AQ313</f>
        <v/>
      </c>
      <c r="AI311" s="4" t="str">
        <f>'Form responses 1'!AR313</f>
        <v/>
      </c>
    </row>
    <row r="312">
      <c r="A312" s="26">
        <f>'Form responses 1'!B314</f>
        <v>46066</v>
      </c>
      <c r="B312" s="4" t="str">
        <f>'Form responses 1'!AZ314</f>
        <v>greeshma.vanneldas@capsdelivery.com</v>
      </c>
      <c r="C312" s="4" t="str">
        <f>'Form responses 1'!BR314</f>
        <v>Wow momo</v>
      </c>
      <c r="D312" s="4" t="str">
        <f>'Form responses 1'!AT314</f>
        <v>Need to contact kolkata team for descion making </v>
      </c>
      <c r="E312" s="4" t="str">
        <f>'Form responses 1'!AU314</f>
        <v>No</v>
      </c>
      <c r="F312" s="4" t="str">
        <f>'Form responses 1'!AX314</f>
        <v/>
      </c>
      <c r="G312" s="4" t="str">
        <f>'Form responses 1'!AY314</f>
        <v/>
      </c>
      <c r="H312" s="53" t="str">
        <f>'Form responses 1'!AW314</f>
        <v>Need to contact kolkata branch for descion </v>
      </c>
      <c r="I312" s="4" t="str">
        <f>'Form responses 1'!AS314</f>
        <v/>
      </c>
      <c r="J312" s="4" t="str">
        <f>'Form responses 1'!J314</f>
        <v>Tier-2 (AOV &lt;400)</v>
      </c>
      <c r="K312" s="4">
        <f>'Form responses 1'!G314</f>
        <v>200</v>
      </c>
      <c r="L312" s="4">
        <f>'Form responses 1'!F314</f>
        <v>20</v>
      </c>
      <c r="M312" s="4" t="str">
        <f>'Form responses 1'!U314</f>
        <v>Piyush</v>
      </c>
      <c r="N312" s="4">
        <f>'Form responses 1'!V314</f>
        <v>7569890018</v>
      </c>
      <c r="O312" s="4" t="str">
        <f>'Form responses 1'!W314</f>
        <v>Na</v>
      </c>
      <c r="P312" s="4" t="str">
        <f>'Form responses 1'!X314</f>
        <v/>
      </c>
      <c r="Q312" s="4" t="str">
        <f>'Form responses 1'!Y314</f>
        <v/>
      </c>
      <c r="R312" s="4" t="str">
        <f>'Form responses 1'!Z314</f>
        <v/>
      </c>
      <c r="S312" s="4" t="str">
        <f>'Form responses 1'!AC314</f>
        <v/>
      </c>
      <c r="T312" s="4" t="str">
        <f>'Form responses 1'!AE314</f>
        <v/>
      </c>
      <c r="U312" s="4" t="str">
        <f>'Form responses 1'!AG314</f>
        <v/>
      </c>
      <c r="V312" s="4" t="str">
        <f>'Form responses 1'!AI314</f>
        <v/>
      </c>
      <c r="W312" s="4" t="str">
        <f>'Form responses 1'!AJ314</f>
        <v/>
      </c>
      <c r="X312" s="4" t="str">
        <f>'Form responses 1'!AK314</f>
        <v/>
      </c>
      <c r="Y312" s="4">
        <f t="shared" ref="Y312:AD312" si="311">if(S312&gt;0,1,0)</f>
        <v>0</v>
      </c>
      <c r="Z312" s="4">
        <f t="shared" si="311"/>
        <v>0</v>
      </c>
      <c r="AA312" s="4">
        <f t="shared" si="311"/>
        <v>0</v>
      </c>
      <c r="AB312" s="4">
        <f t="shared" si="311"/>
        <v>0</v>
      </c>
      <c r="AC312" s="4">
        <f t="shared" si="311"/>
        <v>0</v>
      </c>
      <c r="AD312" s="4">
        <f t="shared" si="311"/>
        <v>0</v>
      </c>
      <c r="AE312" s="4" t="str">
        <f>'Form responses 1'!AN314</f>
        <v/>
      </c>
      <c r="AF312" s="4" t="str">
        <f>'Form responses 1'!AO314</f>
        <v/>
      </c>
      <c r="AG312" s="4" t="str">
        <f>'Form responses 1'!AP314</f>
        <v/>
      </c>
      <c r="AH312" s="4" t="str">
        <f>'Form responses 1'!AQ314</f>
        <v/>
      </c>
      <c r="AI312" s="4" t="str">
        <f>'Form responses 1'!AR314</f>
        <v/>
      </c>
    </row>
    <row r="313">
      <c r="A313" s="26">
        <f>'Form responses 1'!B315</f>
        <v>46066</v>
      </c>
      <c r="B313" s="4" t="str">
        <f>'Form responses 1'!AZ315</f>
        <v>greeshma.vanneldas@capsdelivery.com</v>
      </c>
      <c r="C313" s="4" t="str">
        <f>'Form responses 1'!BR315</f>
        <v>Gali punjab di </v>
      </c>
      <c r="D313" s="4" t="str">
        <f>'Form responses 1'!AT315</f>
        <v/>
      </c>
      <c r="E313" s="4" t="str">
        <f>'Form responses 1'!AU315</f>
        <v>Yes</v>
      </c>
      <c r="F313" s="4" t="str">
        <f>'Form responses 1'!AX315</f>
        <v/>
      </c>
      <c r="G313" s="4" t="str">
        <f>'Form responses 1'!AY315</f>
        <v/>
      </c>
      <c r="H313" s="53" t="str">
        <f>'Form responses 1'!AW315</f>
        <v>Monday meeting scheduled </v>
      </c>
      <c r="I313" s="4" t="str">
        <f>'Form responses 1'!AS315</f>
        <v/>
      </c>
      <c r="J313" s="4" t="str">
        <f>'Form responses 1'!J315</f>
        <v/>
      </c>
      <c r="K313" s="4" t="str">
        <f>'Form responses 1'!G315</f>
        <v/>
      </c>
      <c r="L313" s="4" t="str">
        <f>'Form responses 1'!F315</f>
        <v/>
      </c>
      <c r="M313" s="4" t="str">
        <f>'Form responses 1'!U315</f>
        <v>Vamshi</v>
      </c>
      <c r="N313" s="4">
        <f>'Form responses 1'!V315</f>
        <v>8179514738</v>
      </c>
      <c r="O313" s="4" t="str">
        <f>'Form responses 1'!W315</f>
        <v>Na</v>
      </c>
      <c r="P313" s="4" t="str">
        <f>'Form responses 1'!X315</f>
        <v/>
      </c>
      <c r="Q313" s="4" t="str">
        <f>'Form responses 1'!Y315</f>
        <v/>
      </c>
      <c r="R313" s="4" t="str">
        <f>'Form responses 1'!Z315</f>
        <v/>
      </c>
      <c r="S313" s="4" t="str">
        <f>'Form responses 1'!AC315</f>
        <v/>
      </c>
      <c r="T313" s="4" t="str">
        <f>'Form responses 1'!AE315</f>
        <v/>
      </c>
      <c r="U313" s="4" t="str">
        <f>'Form responses 1'!AG315</f>
        <v/>
      </c>
      <c r="V313" s="4" t="str">
        <f>'Form responses 1'!AI315</f>
        <v/>
      </c>
      <c r="W313" s="4" t="str">
        <f>'Form responses 1'!AJ315</f>
        <v/>
      </c>
      <c r="X313" s="4" t="str">
        <f>'Form responses 1'!AK315</f>
        <v/>
      </c>
      <c r="Y313" s="4">
        <f t="shared" ref="Y313:AD313" si="312">if(S313&gt;0,1,0)</f>
        <v>0</v>
      </c>
      <c r="Z313" s="4">
        <f t="shared" si="312"/>
        <v>0</v>
      </c>
      <c r="AA313" s="4">
        <f t="shared" si="312"/>
        <v>0</v>
      </c>
      <c r="AB313" s="4">
        <f t="shared" si="312"/>
        <v>0</v>
      </c>
      <c r="AC313" s="4">
        <f t="shared" si="312"/>
        <v>0</v>
      </c>
      <c r="AD313" s="4">
        <f t="shared" si="312"/>
        <v>0</v>
      </c>
      <c r="AE313" s="4" t="str">
        <f>'Form responses 1'!AN315</f>
        <v/>
      </c>
      <c r="AF313" s="4" t="str">
        <f>'Form responses 1'!AO315</f>
        <v/>
      </c>
      <c r="AG313" s="4" t="str">
        <f>'Form responses 1'!AP315</f>
        <v/>
      </c>
      <c r="AH313" s="4" t="str">
        <f>'Form responses 1'!AQ315</f>
        <v/>
      </c>
      <c r="AI313" s="4" t="str">
        <f>'Form responses 1'!AR315</f>
        <v/>
      </c>
    </row>
    <row r="314">
      <c r="A314" s="26">
        <f>'Form responses 1'!B316</f>
        <v>46066</v>
      </c>
      <c r="B314" s="4" t="str">
        <f>'Form responses 1'!AZ316</f>
        <v>greeshma.vanneldas@capsdelivery.com</v>
      </c>
      <c r="C314" s="4" t="str">
        <f>'Form responses 1'!BR316</f>
        <v>Polar bear the ice cream sundae zone </v>
      </c>
      <c r="D314" s="4" t="str">
        <f>'Form responses 1'!AT316</f>
        <v/>
      </c>
      <c r="E314" s="4" t="str">
        <f>'Form responses 1'!AU316</f>
        <v>Yes</v>
      </c>
      <c r="F314" s="4" t="str">
        <f>'Form responses 1'!AX316</f>
        <v/>
      </c>
      <c r="G314" s="4" t="str">
        <f>'Form responses 1'!AY316</f>
        <v/>
      </c>
      <c r="H314" s="53" t="str">
        <f>'Form responses 1'!AW316</f>
        <v>Area head is responsible for descion making,she said she will pass the info I will follow up her </v>
      </c>
      <c r="I314" s="4" t="str">
        <f>'Form responses 1'!AS316</f>
        <v/>
      </c>
      <c r="J314" s="4" t="str">
        <f>'Form responses 1'!J316</f>
        <v/>
      </c>
      <c r="K314" s="4" t="str">
        <f>'Form responses 1'!G316</f>
        <v/>
      </c>
      <c r="L314" s="4" t="str">
        <f>'Form responses 1'!F316</f>
        <v/>
      </c>
      <c r="M314" s="4" t="str">
        <f>'Form responses 1'!U316</f>
        <v>Haritha</v>
      </c>
      <c r="N314" s="4">
        <f>'Form responses 1'!V316</f>
        <v>8374167037</v>
      </c>
      <c r="O314" s="4" t="str">
        <f>'Form responses 1'!W316</f>
        <v>Na</v>
      </c>
      <c r="P314" s="4" t="str">
        <f>'Form responses 1'!X316</f>
        <v/>
      </c>
      <c r="Q314" s="4" t="str">
        <f>'Form responses 1'!Y316</f>
        <v/>
      </c>
      <c r="R314" s="4" t="str">
        <f>'Form responses 1'!Z316</f>
        <v/>
      </c>
      <c r="S314" s="4" t="str">
        <f>'Form responses 1'!AC316</f>
        <v/>
      </c>
      <c r="T314" s="4" t="str">
        <f>'Form responses 1'!AE316</f>
        <v/>
      </c>
      <c r="U314" s="4" t="str">
        <f>'Form responses 1'!AG316</f>
        <v/>
      </c>
      <c r="V314" s="4" t="str">
        <f>'Form responses 1'!AI316</f>
        <v/>
      </c>
      <c r="W314" s="4" t="str">
        <f>'Form responses 1'!AJ316</f>
        <v/>
      </c>
      <c r="X314" s="4" t="str">
        <f>'Form responses 1'!AK316</f>
        <v/>
      </c>
      <c r="Y314" s="4">
        <f t="shared" ref="Y314:AD314" si="313">if(S314&gt;0,1,0)</f>
        <v>0</v>
      </c>
      <c r="Z314" s="4">
        <f t="shared" si="313"/>
        <v>0</v>
      </c>
      <c r="AA314" s="4">
        <f t="shared" si="313"/>
        <v>0</v>
      </c>
      <c r="AB314" s="4">
        <f t="shared" si="313"/>
        <v>0</v>
      </c>
      <c r="AC314" s="4">
        <f t="shared" si="313"/>
        <v>0</v>
      </c>
      <c r="AD314" s="4">
        <f t="shared" si="313"/>
        <v>0</v>
      </c>
      <c r="AE314" s="4" t="str">
        <f>'Form responses 1'!AN316</f>
        <v/>
      </c>
      <c r="AF314" s="4" t="str">
        <f>'Form responses 1'!AO316</f>
        <v/>
      </c>
      <c r="AG314" s="4" t="str">
        <f>'Form responses 1'!AP316</f>
        <v/>
      </c>
      <c r="AH314" s="4" t="str">
        <f>'Form responses 1'!AQ316</f>
        <v/>
      </c>
      <c r="AI314" s="4" t="str">
        <f>'Form responses 1'!AR316</f>
        <v/>
      </c>
    </row>
    <row r="315">
      <c r="A315" s="26">
        <f>'Form responses 1'!B317</f>
        <v>46066</v>
      </c>
      <c r="B315" s="4" t="str">
        <f>'Form responses 1'!AZ317</f>
        <v>sumadhur.mummadi@capsdelivery.com</v>
      </c>
      <c r="C315" s="4" t="str">
        <f>'Form responses 1'!BR317</f>
        <v>Meghana non veg parcelsMeghana non veg parcels</v>
      </c>
      <c r="D315" s="4" t="str">
        <f>'Form responses 1'!AT317</f>
        <v/>
      </c>
      <c r="E315" s="4" t="str">
        <f>'Form responses 1'!AU317</f>
        <v>Yes</v>
      </c>
      <c r="F315" s="4" t="str">
        <f>'Form responses 1'!AX317</f>
        <v/>
      </c>
      <c r="G315" s="4" t="str">
        <f>'Form responses 1'!AY317</f>
        <v/>
      </c>
      <c r="H315" s="53" t="str">
        <f>'Form responses 1'!AW317</f>
        <v/>
      </c>
      <c r="I315" s="4" t="str">
        <f>'Form responses 1'!AS317</f>
        <v/>
      </c>
      <c r="J315" s="4" t="str">
        <f>'Form responses 1'!J317</f>
        <v/>
      </c>
      <c r="K315" s="4" t="str">
        <f>'Form responses 1'!G317</f>
        <v/>
      </c>
      <c r="L315" s="4" t="str">
        <f>'Form responses 1'!F317</f>
        <v/>
      </c>
      <c r="M315" s="4" t="str">
        <f>'Form responses 1'!U317</f>
        <v>Shekhar </v>
      </c>
      <c r="N315" s="4" t="str">
        <f>'Form responses 1'!V317</f>
        <v>NA</v>
      </c>
      <c r="O315" s="4" t="str">
        <f>'Form responses 1'!W317</f>
        <v>NA</v>
      </c>
      <c r="P315" s="4" t="str">
        <f>'Form responses 1'!X317</f>
        <v/>
      </c>
      <c r="Q315" s="4" t="str">
        <f>'Form responses 1'!Y317</f>
        <v/>
      </c>
      <c r="R315" s="4" t="str">
        <f>'Form responses 1'!Z317</f>
        <v/>
      </c>
      <c r="S315" s="4" t="str">
        <f>'Form responses 1'!AC317</f>
        <v/>
      </c>
      <c r="T315" s="4" t="str">
        <f>'Form responses 1'!AE317</f>
        <v/>
      </c>
      <c r="U315" s="4" t="str">
        <f>'Form responses 1'!AG317</f>
        <v/>
      </c>
      <c r="V315" s="4" t="str">
        <f>'Form responses 1'!AI317</f>
        <v/>
      </c>
      <c r="W315" s="4" t="str">
        <f>'Form responses 1'!AJ317</f>
        <v/>
      </c>
      <c r="X315" s="4" t="str">
        <f>'Form responses 1'!AK317</f>
        <v/>
      </c>
      <c r="Y315" s="4">
        <f t="shared" ref="Y315:AD315" si="314">if(S315&gt;0,1,0)</f>
        <v>0</v>
      </c>
      <c r="Z315" s="4">
        <f t="shared" si="314"/>
        <v>0</v>
      </c>
      <c r="AA315" s="4">
        <f t="shared" si="314"/>
        <v>0</v>
      </c>
      <c r="AB315" s="4">
        <f t="shared" si="314"/>
        <v>0</v>
      </c>
      <c r="AC315" s="4">
        <f t="shared" si="314"/>
        <v>0</v>
      </c>
      <c r="AD315" s="4">
        <f t="shared" si="314"/>
        <v>0</v>
      </c>
      <c r="AE315" s="4" t="str">
        <f>'Form responses 1'!AN317</f>
        <v/>
      </c>
      <c r="AF315" s="4" t="str">
        <f>'Form responses 1'!AO317</f>
        <v/>
      </c>
      <c r="AG315" s="4" t="str">
        <f>'Form responses 1'!AP317</f>
        <v/>
      </c>
      <c r="AH315" s="4" t="str">
        <f>'Form responses 1'!AQ317</f>
        <v/>
      </c>
      <c r="AI315" s="4" t="str">
        <f>'Form responses 1'!AR317</f>
        <v/>
      </c>
    </row>
    <row r="316">
      <c r="A316" s="26">
        <f>'Form responses 1'!B318</f>
        <v>46066</v>
      </c>
      <c r="B316" s="4" t="str">
        <f>'Form responses 1'!AZ318</f>
        <v>sumadhur.mummadi@capsdelivery.com</v>
      </c>
      <c r="C316" s="4" t="str">
        <f>'Form responses 1'!BR318</f>
        <v>Satyam foods </v>
      </c>
      <c r="D316" s="4" t="str">
        <f>'Form responses 1'!AT318</f>
        <v/>
      </c>
      <c r="E316" s="4" t="str">
        <f>'Form responses 1'!AU318</f>
        <v>Yes</v>
      </c>
      <c r="F316" s="4" t="str">
        <f>'Form responses 1'!AX318</f>
        <v/>
      </c>
      <c r="G316" s="4" t="str">
        <f>'Form responses 1'!AY318</f>
        <v/>
      </c>
      <c r="H316" s="53" t="str">
        <f>'Form responses 1'!AW318</f>
        <v/>
      </c>
      <c r="I316" s="4" t="str">
        <f>'Form responses 1'!AS318</f>
        <v/>
      </c>
      <c r="J316" s="4" t="str">
        <f>'Form responses 1'!J318</f>
        <v/>
      </c>
      <c r="K316" s="4" t="str">
        <f>'Form responses 1'!G318</f>
        <v/>
      </c>
      <c r="L316" s="4" t="str">
        <f>'Form responses 1'!F318</f>
        <v/>
      </c>
      <c r="M316" s="4" t="str">
        <f>'Form responses 1'!U318</f>
        <v>Satyam</v>
      </c>
      <c r="N316" s="4">
        <f>'Form responses 1'!V318</f>
        <v>9652444418</v>
      </c>
      <c r="O316" s="4" t="str">
        <f>'Form responses 1'!W318</f>
        <v>NA</v>
      </c>
      <c r="P316" s="4" t="str">
        <f>'Form responses 1'!X318</f>
        <v/>
      </c>
      <c r="Q316" s="4" t="str">
        <f>'Form responses 1'!Y318</f>
        <v/>
      </c>
      <c r="R316" s="4" t="str">
        <f>'Form responses 1'!Z318</f>
        <v/>
      </c>
      <c r="S316" s="4" t="str">
        <f>'Form responses 1'!AC318</f>
        <v/>
      </c>
      <c r="T316" s="4" t="str">
        <f>'Form responses 1'!AE318</f>
        <v/>
      </c>
      <c r="U316" s="4" t="str">
        <f>'Form responses 1'!AG318</f>
        <v/>
      </c>
      <c r="V316" s="4" t="str">
        <f>'Form responses 1'!AI318</f>
        <v/>
      </c>
      <c r="W316" s="4" t="str">
        <f>'Form responses 1'!AJ318</f>
        <v/>
      </c>
      <c r="X316" s="4" t="str">
        <f>'Form responses 1'!AK318</f>
        <v/>
      </c>
      <c r="Y316" s="4">
        <f t="shared" ref="Y316:AD316" si="315">if(S316&gt;0,1,0)</f>
        <v>0</v>
      </c>
      <c r="Z316" s="4">
        <f t="shared" si="315"/>
        <v>0</v>
      </c>
      <c r="AA316" s="4">
        <f t="shared" si="315"/>
        <v>0</v>
      </c>
      <c r="AB316" s="4">
        <f t="shared" si="315"/>
        <v>0</v>
      </c>
      <c r="AC316" s="4">
        <f t="shared" si="315"/>
        <v>0</v>
      </c>
      <c r="AD316" s="4">
        <f t="shared" si="315"/>
        <v>0</v>
      </c>
      <c r="AE316" s="4" t="str">
        <f>'Form responses 1'!AN318</f>
        <v/>
      </c>
      <c r="AF316" s="4" t="str">
        <f>'Form responses 1'!AO318</f>
        <v/>
      </c>
      <c r="AG316" s="4" t="str">
        <f>'Form responses 1'!AP318</f>
        <v/>
      </c>
      <c r="AH316" s="4" t="str">
        <f>'Form responses 1'!AQ318</f>
        <v/>
      </c>
      <c r="AI316" s="4" t="str">
        <f>'Form responses 1'!AR318</f>
        <v/>
      </c>
    </row>
    <row r="317">
      <c r="A317" s="26">
        <f>'Form responses 1'!B319</f>
        <v>46066</v>
      </c>
      <c r="B317" s="4" t="str">
        <f>'Form responses 1'!AZ319</f>
        <v>chanakya.inugala@capsdelivery.com</v>
      </c>
      <c r="C317" s="4" t="str">
        <f>'Form responses 1'!BR319</f>
        <v>Bamma Tiffins </v>
      </c>
      <c r="D317" s="4" t="str">
        <f>'Form responses 1'!AT319</f>
        <v>Onboarded </v>
      </c>
      <c r="E317" s="4" t="str">
        <f>'Form responses 1'!AU319</f>
        <v>No</v>
      </c>
      <c r="F317" s="4" t="str">
        <f>'Form responses 1'!AX319</f>
        <v/>
      </c>
      <c r="G317" s="4" t="str">
        <f>'Form responses 1'!AY319</f>
        <v/>
      </c>
      <c r="H317" s="53" t="str">
        <f>'Form responses 1'!AW319</f>
        <v/>
      </c>
      <c r="I317" s="4" t="str">
        <f>'Form responses 1'!AS319</f>
        <v/>
      </c>
      <c r="J317" s="4" t="str">
        <f>'Form responses 1'!J319</f>
        <v>Tier-2 (AOV &lt;400)</v>
      </c>
      <c r="K317" s="4">
        <f>'Form responses 1'!G319</f>
        <v>209</v>
      </c>
      <c r="L317" s="4">
        <f>'Form responses 1'!F319</f>
        <v>20</v>
      </c>
      <c r="M317" s="4" t="str">
        <f>'Form responses 1'!U319</f>
        <v>Naveen</v>
      </c>
      <c r="N317" s="4">
        <f>'Form responses 1'!V319</f>
        <v>9885215007</v>
      </c>
      <c r="O317" s="4" t="str">
        <f>'Form responses 1'!W319</f>
        <v>Na</v>
      </c>
      <c r="P317" s="4" t="str">
        <f>'Form responses 1'!X319</f>
        <v/>
      </c>
      <c r="Q317" s="4" t="str">
        <f>'Form responses 1'!Y319</f>
        <v/>
      </c>
      <c r="R317" s="4" t="str">
        <f>'Form responses 1'!Z319</f>
        <v/>
      </c>
      <c r="S317" s="4" t="str">
        <f>'Form responses 1'!AC319</f>
        <v/>
      </c>
      <c r="T317" s="4" t="str">
        <f>'Form responses 1'!AE319</f>
        <v/>
      </c>
      <c r="U317" s="4" t="str">
        <f>'Form responses 1'!AG319</f>
        <v/>
      </c>
      <c r="V317" s="4" t="str">
        <f>'Form responses 1'!AI319</f>
        <v/>
      </c>
      <c r="W317" s="4" t="str">
        <f>'Form responses 1'!AJ319</f>
        <v/>
      </c>
      <c r="X317" s="4" t="str">
        <f>'Form responses 1'!AK319</f>
        <v/>
      </c>
      <c r="Y317" s="4">
        <f t="shared" ref="Y317:AD317" si="316">if(S317&gt;0,1,0)</f>
        <v>0</v>
      </c>
      <c r="Z317" s="4">
        <f t="shared" si="316"/>
        <v>0</v>
      </c>
      <c r="AA317" s="4">
        <f t="shared" si="316"/>
        <v>0</v>
      </c>
      <c r="AB317" s="4">
        <f t="shared" si="316"/>
        <v>0</v>
      </c>
      <c r="AC317" s="4">
        <f t="shared" si="316"/>
        <v>0</v>
      </c>
      <c r="AD317" s="4">
        <f t="shared" si="316"/>
        <v>0</v>
      </c>
      <c r="AE317" s="4" t="str">
        <f>'Form responses 1'!AN319</f>
        <v/>
      </c>
      <c r="AF317" s="4" t="str">
        <f>'Form responses 1'!AO319</f>
        <v/>
      </c>
      <c r="AG317" s="4" t="str">
        <f>'Form responses 1'!AP319</f>
        <v/>
      </c>
      <c r="AH317" s="4" t="str">
        <f>'Form responses 1'!AQ319</f>
        <v/>
      </c>
      <c r="AI317" s="4" t="str">
        <f>'Form responses 1'!AR319</f>
        <v/>
      </c>
    </row>
    <row r="318">
      <c r="A318" s="26">
        <f>'Form responses 1'!B320</f>
        <v>46066</v>
      </c>
      <c r="B318" s="4" t="str">
        <f>'Form responses 1'!AZ320</f>
        <v>sumadhur.mummadi@capsdelivery.com</v>
      </c>
      <c r="C318" s="4" t="str">
        <f>'Form responses 1'!BR320</f>
        <v>Emerald food house Emerald food house </v>
      </c>
      <c r="D318" s="4" t="str">
        <f>'Form responses 1'!AT320</f>
        <v/>
      </c>
      <c r="E318" s="4" t="str">
        <f>'Form responses 1'!AU320</f>
        <v>Yes</v>
      </c>
      <c r="F318" s="26">
        <f>'Form responses 1'!AX320</f>
        <v>46066</v>
      </c>
      <c r="G318" s="52">
        <f>'Form responses 1'!AY320</f>
        <v>0.6666666667</v>
      </c>
      <c r="H318" s="53" t="str">
        <f>'Form responses 1'!AW320</f>
        <v/>
      </c>
      <c r="I318" s="4" t="str">
        <f>'Form responses 1'!AS320</f>
        <v/>
      </c>
      <c r="J318" s="4" t="str">
        <f>'Form responses 1'!J320</f>
        <v/>
      </c>
      <c r="K318" s="4" t="str">
        <f>'Form responses 1'!G320</f>
        <v/>
      </c>
      <c r="L318" s="4" t="str">
        <f>'Form responses 1'!F320</f>
        <v/>
      </c>
      <c r="M318" s="4" t="str">
        <f>'Form responses 1'!U320</f>
        <v>Venu</v>
      </c>
      <c r="N318" s="4" t="str">
        <f>'Form responses 1'!V320</f>
        <v>93461 12262</v>
      </c>
      <c r="O318" s="4" t="str">
        <f>'Form responses 1'!W320</f>
        <v>NA </v>
      </c>
      <c r="P318" s="4" t="str">
        <f>'Form responses 1'!X320</f>
        <v/>
      </c>
      <c r="Q318" s="4" t="str">
        <f>'Form responses 1'!Y320</f>
        <v/>
      </c>
      <c r="R318" s="4" t="str">
        <f>'Form responses 1'!Z320</f>
        <v/>
      </c>
      <c r="S318" s="4" t="str">
        <f>'Form responses 1'!AC320</f>
        <v/>
      </c>
      <c r="T318" s="4" t="str">
        <f>'Form responses 1'!AE320</f>
        <v/>
      </c>
      <c r="U318" s="4" t="str">
        <f>'Form responses 1'!AG320</f>
        <v/>
      </c>
      <c r="V318" s="4" t="str">
        <f>'Form responses 1'!AI320</f>
        <v/>
      </c>
      <c r="W318" s="4" t="str">
        <f>'Form responses 1'!AJ320</f>
        <v/>
      </c>
      <c r="X318" s="4" t="str">
        <f>'Form responses 1'!AK320</f>
        <v/>
      </c>
      <c r="Y318" s="4">
        <f t="shared" ref="Y318:AD318" si="317">if(S318&gt;0,1,0)</f>
        <v>0</v>
      </c>
      <c r="Z318" s="4">
        <f t="shared" si="317"/>
        <v>0</v>
      </c>
      <c r="AA318" s="4">
        <f t="shared" si="317"/>
        <v>0</v>
      </c>
      <c r="AB318" s="4">
        <f t="shared" si="317"/>
        <v>0</v>
      </c>
      <c r="AC318" s="4">
        <f t="shared" si="317"/>
        <v>0</v>
      </c>
      <c r="AD318" s="4">
        <f t="shared" si="317"/>
        <v>0</v>
      </c>
      <c r="AE318" s="4" t="str">
        <f>'Form responses 1'!AN320</f>
        <v/>
      </c>
      <c r="AF318" s="4" t="str">
        <f>'Form responses 1'!AO320</f>
        <v/>
      </c>
      <c r="AG318" s="4" t="str">
        <f>'Form responses 1'!AP320</f>
        <v/>
      </c>
      <c r="AH318" s="4" t="str">
        <f>'Form responses 1'!AQ320</f>
        <v/>
      </c>
      <c r="AI318" s="4" t="str">
        <f>'Form responses 1'!AR320</f>
        <v/>
      </c>
    </row>
    <row r="319">
      <c r="A319" s="26">
        <f>'Form responses 1'!B321</f>
        <v>46066</v>
      </c>
      <c r="B319" s="4" t="str">
        <f>'Form responses 1'!AZ321</f>
        <v>greeshma.vanneldas@capsdelivery.com</v>
      </c>
      <c r="C319" s="4" t="str">
        <f>'Form responses 1'!BR321</f>
        <v>Patiala plate </v>
      </c>
      <c r="D319" s="4" t="str">
        <f>'Form responses 1'!AT321</f>
        <v/>
      </c>
      <c r="E319" s="4" t="str">
        <f>'Form responses 1'!AU321</f>
        <v>Yes</v>
      </c>
      <c r="F319" s="4" t="str">
        <f>'Form responses 1'!AX321</f>
        <v/>
      </c>
      <c r="G319" s="4" t="str">
        <f>'Form responses 1'!AY321</f>
        <v/>
      </c>
      <c r="H319" s="53" t="str">
        <f>'Form responses 1'!AW321</f>
        <v>Manager need to discuss with owner </v>
      </c>
      <c r="I319" s="4" t="str">
        <f>'Form responses 1'!AS321</f>
        <v/>
      </c>
      <c r="J319" s="4" t="str">
        <f>'Form responses 1'!J321</f>
        <v>Tier-1(AOV&gt;400)</v>
      </c>
      <c r="K319" s="4">
        <f>'Form responses 1'!G321</f>
        <v>500</v>
      </c>
      <c r="L319" s="4">
        <f>'Form responses 1'!F321</f>
        <v>60</v>
      </c>
      <c r="M319" s="4" t="str">
        <f>'Form responses 1'!U321</f>
        <v>Jaffar</v>
      </c>
      <c r="N319" s="4">
        <f>'Form responses 1'!V321</f>
        <v>8319942382</v>
      </c>
      <c r="O319" s="4" t="str">
        <f>'Form responses 1'!W321</f>
        <v>Na</v>
      </c>
      <c r="P319" s="4" t="str">
        <f>'Form responses 1'!X321</f>
        <v/>
      </c>
      <c r="Q319" s="4" t="str">
        <f>'Form responses 1'!Y321</f>
        <v/>
      </c>
      <c r="R319" s="4" t="str">
        <f>'Form responses 1'!Z321</f>
        <v/>
      </c>
      <c r="S319" s="4" t="str">
        <f>'Form responses 1'!AC321</f>
        <v/>
      </c>
      <c r="T319" s="4" t="str">
        <f>'Form responses 1'!AE321</f>
        <v/>
      </c>
      <c r="U319" s="4" t="str">
        <f>'Form responses 1'!AG321</f>
        <v/>
      </c>
      <c r="V319" s="4" t="str">
        <f>'Form responses 1'!AI321</f>
        <v/>
      </c>
      <c r="W319" s="4" t="str">
        <f>'Form responses 1'!AJ321</f>
        <v/>
      </c>
      <c r="X319" s="4" t="str">
        <f>'Form responses 1'!AK321</f>
        <v/>
      </c>
      <c r="Y319" s="4">
        <f t="shared" ref="Y319:AD319" si="318">if(S319&gt;0,1,0)</f>
        <v>0</v>
      </c>
      <c r="Z319" s="4">
        <f t="shared" si="318"/>
        <v>0</v>
      </c>
      <c r="AA319" s="4">
        <f t="shared" si="318"/>
        <v>0</v>
      </c>
      <c r="AB319" s="4">
        <f t="shared" si="318"/>
        <v>0</v>
      </c>
      <c r="AC319" s="4">
        <f t="shared" si="318"/>
        <v>0</v>
      </c>
      <c r="AD319" s="4">
        <f t="shared" si="318"/>
        <v>0</v>
      </c>
      <c r="AE319" s="4" t="str">
        <f>'Form responses 1'!AN321</f>
        <v/>
      </c>
      <c r="AF319" s="4" t="str">
        <f>'Form responses 1'!AO321</f>
        <v/>
      </c>
      <c r="AG319" s="4" t="str">
        <f>'Form responses 1'!AP321</f>
        <v/>
      </c>
      <c r="AH319" s="4" t="str">
        <f>'Form responses 1'!AQ321</f>
        <v/>
      </c>
      <c r="AI319" s="4" t="str">
        <f>'Form responses 1'!AR321</f>
        <v/>
      </c>
    </row>
    <row r="320">
      <c r="A320" s="26">
        <f>'Form responses 1'!B322</f>
        <v>46066</v>
      </c>
      <c r="B320" s="4" t="str">
        <f>'Form responses 1'!AZ322</f>
        <v>sumadhur.mummadi@capsdelivery.com</v>
      </c>
      <c r="C320" s="4" t="str">
        <f>'Form responses 1'!BR322</f>
        <v>Lassi and shakesLassi and shakes</v>
      </c>
      <c r="D320" s="4" t="str">
        <f>'Form responses 1'!AT322</f>
        <v/>
      </c>
      <c r="E320" s="4" t="str">
        <f>'Form responses 1'!AU322</f>
        <v>Yes</v>
      </c>
      <c r="F320" s="4" t="str">
        <f>'Form responses 1'!AX322</f>
        <v/>
      </c>
      <c r="G320" s="4" t="str">
        <f>'Form responses 1'!AY322</f>
        <v/>
      </c>
      <c r="H320" s="53" t="str">
        <f>'Form responses 1'!AW322</f>
        <v/>
      </c>
      <c r="I320" s="4" t="str">
        <f>'Form responses 1'!AS322</f>
        <v/>
      </c>
      <c r="J320" s="4" t="str">
        <f>'Form responses 1'!J322</f>
        <v/>
      </c>
      <c r="K320" s="4" t="str">
        <f>'Form responses 1'!G322</f>
        <v/>
      </c>
      <c r="L320" s="4" t="str">
        <f>'Form responses 1'!F322</f>
        <v/>
      </c>
      <c r="M320" s="4" t="str">
        <f>'Form responses 1'!U322</f>
        <v>Jamindar</v>
      </c>
      <c r="N320" s="4" t="str">
        <f>'Form responses 1'!V322</f>
        <v>75699 96701</v>
      </c>
      <c r="O320" s="4" t="str">
        <f>'Form responses 1'!W322</f>
        <v>NA</v>
      </c>
      <c r="P320" s="4" t="str">
        <f>'Form responses 1'!X322</f>
        <v/>
      </c>
      <c r="Q320" s="4" t="str">
        <f>'Form responses 1'!Y322</f>
        <v/>
      </c>
      <c r="R320" s="4" t="str">
        <f>'Form responses 1'!Z322</f>
        <v/>
      </c>
      <c r="S320" s="4" t="str">
        <f>'Form responses 1'!AC322</f>
        <v/>
      </c>
      <c r="T320" s="4" t="str">
        <f>'Form responses 1'!AE322</f>
        <v/>
      </c>
      <c r="U320" s="4" t="str">
        <f>'Form responses 1'!AG322</f>
        <v/>
      </c>
      <c r="V320" s="4" t="str">
        <f>'Form responses 1'!AI322</f>
        <v/>
      </c>
      <c r="W320" s="4" t="str">
        <f>'Form responses 1'!AJ322</f>
        <v/>
      </c>
      <c r="X320" s="4" t="str">
        <f>'Form responses 1'!AK322</f>
        <v/>
      </c>
      <c r="Y320" s="4">
        <f t="shared" ref="Y320:AD320" si="319">if(S320&gt;0,1,0)</f>
        <v>0</v>
      </c>
      <c r="Z320" s="4">
        <f t="shared" si="319"/>
        <v>0</v>
      </c>
      <c r="AA320" s="4">
        <f t="shared" si="319"/>
        <v>0</v>
      </c>
      <c r="AB320" s="4">
        <f t="shared" si="319"/>
        <v>0</v>
      </c>
      <c r="AC320" s="4">
        <f t="shared" si="319"/>
        <v>0</v>
      </c>
      <c r="AD320" s="4">
        <f t="shared" si="319"/>
        <v>0</v>
      </c>
      <c r="AE320" s="4" t="str">
        <f>'Form responses 1'!AN322</f>
        <v/>
      </c>
      <c r="AF320" s="4" t="str">
        <f>'Form responses 1'!AO322</f>
        <v/>
      </c>
      <c r="AG320" s="4" t="str">
        <f>'Form responses 1'!AP322</f>
        <v/>
      </c>
      <c r="AH320" s="4" t="str">
        <f>'Form responses 1'!AQ322</f>
        <v/>
      </c>
      <c r="AI320" s="4" t="str">
        <f>'Form responses 1'!AR322</f>
        <v/>
      </c>
    </row>
    <row r="321">
      <c r="A321" s="26">
        <f>'Form responses 1'!B323</f>
        <v>46066</v>
      </c>
      <c r="B321" s="4" t="str">
        <f>'Form responses 1'!AZ323</f>
        <v>sumadhur.mummadi@capsdelivery.com</v>
      </c>
      <c r="C321" s="4" t="str">
        <f>'Form responses 1'!BR323</f>
        <v>Hanuman juice point</v>
      </c>
      <c r="D321" s="4" t="str">
        <f>'Form responses 1'!AT323</f>
        <v/>
      </c>
      <c r="E321" s="4" t="str">
        <f>'Form responses 1'!AU323</f>
        <v>Yes</v>
      </c>
      <c r="F321" s="26">
        <f>'Form responses 1'!AX323</f>
        <v>46066</v>
      </c>
      <c r="G321" s="52">
        <f>'Form responses 1'!AY323</f>
        <v>0.6875</v>
      </c>
      <c r="H321" s="53" t="str">
        <f>'Form responses 1'!AW323</f>
        <v/>
      </c>
      <c r="I321" s="4" t="str">
        <f>'Form responses 1'!AS323</f>
        <v/>
      </c>
      <c r="J321" s="4" t="str">
        <f>'Form responses 1'!J323</f>
        <v/>
      </c>
      <c r="K321" s="4" t="str">
        <f>'Form responses 1'!G323</f>
        <v/>
      </c>
      <c r="L321" s="4" t="str">
        <f>'Form responses 1'!F323</f>
        <v/>
      </c>
      <c r="M321" s="4" t="str">
        <f>'Form responses 1'!U323</f>
        <v>Ramana</v>
      </c>
      <c r="N321" s="4">
        <f>'Form responses 1'!V323</f>
        <v>9885552731</v>
      </c>
      <c r="O321" s="4" t="str">
        <f>'Form responses 1'!W323</f>
        <v>NA</v>
      </c>
      <c r="P321" s="4" t="str">
        <f>'Form responses 1'!X323</f>
        <v/>
      </c>
      <c r="Q321" s="4" t="str">
        <f>'Form responses 1'!Y323</f>
        <v/>
      </c>
      <c r="R321" s="4" t="str">
        <f>'Form responses 1'!Z323</f>
        <v/>
      </c>
      <c r="S321" s="4" t="str">
        <f>'Form responses 1'!AC323</f>
        <v/>
      </c>
      <c r="T321" s="4" t="str">
        <f>'Form responses 1'!AE323</f>
        <v/>
      </c>
      <c r="U321" s="4" t="str">
        <f>'Form responses 1'!AG323</f>
        <v/>
      </c>
      <c r="V321" s="4" t="str">
        <f>'Form responses 1'!AI323</f>
        <v/>
      </c>
      <c r="W321" s="4" t="str">
        <f>'Form responses 1'!AJ323</f>
        <v/>
      </c>
      <c r="X321" s="4" t="str">
        <f>'Form responses 1'!AK323</f>
        <v/>
      </c>
      <c r="Y321" s="4">
        <f t="shared" ref="Y321:AD321" si="320">if(S321&gt;0,1,0)</f>
        <v>0</v>
      </c>
      <c r="Z321" s="4">
        <f t="shared" si="320"/>
        <v>0</v>
      </c>
      <c r="AA321" s="4">
        <f t="shared" si="320"/>
        <v>0</v>
      </c>
      <c r="AB321" s="4">
        <f t="shared" si="320"/>
        <v>0</v>
      </c>
      <c r="AC321" s="4">
        <f t="shared" si="320"/>
        <v>0</v>
      </c>
      <c r="AD321" s="4">
        <f t="shared" si="320"/>
        <v>0</v>
      </c>
      <c r="AE321" s="4" t="str">
        <f>'Form responses 1'!AN323</f>
        <v/>
      </c>
      <c r="AF321" s="4" t="str">
        <f>'Form responses 1'!AO323</f>
        <v/>
      </c>
      <c r="AG321" s="4" t="str">
        <f>'Form responses 1'!AP323</f>
        <v/>
      </c>
      <c r="AH321" s="4" t="str">
        <f>'Form responses 1'!AQ323</f>
        <v/>
      </c>
      <c r="AI321" s="4" t="str">
        <f>'Form responses 1'!AR323</f>
        <v/>
      </c>
    </row>
    <row r="322">
      <c r="A322" s="26">
        <f>'Form responses 1'!B324</f>
        <v>46066</v>
      </c>
      <c r="B322" s="4" t="str">
        <f>'Form responses 1'!AZ324</f>
        <v>sumadhur.mummadi@capsdelivery.com</v>
      </c>
      <c r="C322" s="4" t="str">
        <f>'Form responses 1'!BR324</f>
        <v>Trigunas kitchen</v>
      </c>
      <c r="D322" s="4" t="str">
        <f>'Form responses 1'!AT324</f>
        <v/>
      </c>
      <c r="E322" s="4" t="str">
        <f>'Form responses 1'!AU324</f>
        <v>Yes</v>
      </c>
      <c r="F322" s="4" t="str">
        <f>'Form responses 1'!AX324</f>
        <v/>
      </c>
      <c r="G322" s="4" t="str">
        <f>'Form responses 1'!AY324</f>
        <v/>
      </c>
      <c r="H322" s="53" t="str">
        <f>'Form responses 1'!AW324</f>
        <v/>
      </c>
      <c r="I322" s="4" t="str">
        <f>'Form responses 1'!AS324</f>
        <v/>
      </c>
      <c r="J322" s="4" t="str">
        <f>'Form responses 1'!J324</f>
        <v/>
      </c>
      <c r="K322" s="4" t="str">
        <f>'Form responses 1'!G324</f>
        <v/>
      </c>
      <c r="L322" s="4" t="str">
        <f>'Form responses 1'!F324</f>
        <v/>
      </c>
      <c r="M322" s="4" t="str">
        <f>'Form responses 1'!U324</f>
        <v>Sai Kiran </v>
      </c>
      <c r="N322" s="4">
        <f>'Form responses 1'!V324</f>
        <v>9494777720</v>
      </c>
      <c r="O322" s="4" t="str">
        <f>'Form responses 1'!W324</f>
        <v>NA </v>
      </c>
      <c r="P322" s="4" t="str">
        <f>'Form responses 1'!X324</f>
        <v/>
      </c>
      <c r="Q322" s="4" t="str">
        <f>'Form responses 1'!Y324</f>
        <v/>
      </c>
      <c r="R322" s="4" t="str">
        <f>'Form responses 1'!Z324</f>
        <v/>
      </c>
      <c r="S322" s="4" t="str">
        <f>'Form responses 1'!AC324</f>
        <v/>
      </c>
      <c r="T322" s="4" t="str">
        <f>'Form responses 1'!AE324</f>
        <v/>
      </c>
      <c r="U322" s="4" t="str">
        <f>'Form responses 1'!AG324</f>
        <v/>
      </c>
      <c r="V322" s="4" t="str">
        <f>'Form responses 1'!AI324</f>
        <v/>
      </c>
      <c r="W322" s="4" t="str">
        <f>'Form responses 1'!AJ324</f>
        <v/>
      </c>
      <c r="X322" s="4" t="str">
        <f>'Form responses 1'!AK324</f>
        <v/>
      </c>
      <c r="Y322" s="4">
        <f t="shared" ref="Y322:AD322" si="321">if(S322&gt;0,1,0)</f>
        <v>0</v>
      </c>
      <c r="Z322" s="4">
        <f t="shared" si="321"/>
        <v>0</v>
      </c>
      <c r="AA322" s="4">
        <f t="shared" si="321"/>
        <v>0</v>
      </c>
      <c r="AB322" s="4">
        <f t="shared" si="321"/>
        <v>0</v>
      </c>
      <c r="AC322" s="4">
        <f t="shared" si="321"/>
        <v>0</v>
      </c>
      <c r="AD322" s="4">
        <f t="shared" si="321"/>
        <v>0</v>
      </c>
      <c r="AE322" s="4" t="str">
        <f>'Form responses 1'!AN324</f>
        <v/>
      </c>
      <c r="AF322" s="4" t="str">
        <f>'Form responses 1'!AO324</f>
        <v/>
      </c>
      <c r="AG322" s="4" t="str">
        <f>'Form responses 1'!AP324</f>
        <v/>
      </c>
      <c r="AH322" s="4" t="str">
        <f>'Form responses 1'!AQ324</f>
        <v/>
      </c>
      <c r="AI322" s="4" t="str">
        <f>'Form responses 1'!AR324</f>
        <v/>
      </c>
    </row>
    <row r="323">
      <c r="A323" s="26">
        <f>'Form responses 1'!B325</f>
        <v>46066</v>
      </c>
      <c r="B323" s="4" t="str">
        <f>'Form responses 1'!AZ325</f>
        <v>greeshma.vanneldas@capsdelivery.com</v>
      </c>
      <c r="C323" s="4" t="str">
        <f>'Form responses 1'!BR325</f>
        <v>Chaayos</v>
      </c>
      <c r="D323" s="4" t="str">
        <f>'Form responses 1'!AT325</f>
        <v/>
      </c>
      <c r="E323" s="4" t="str">
        <f>'Form responses 1'!AU325</f>
        <v>Yes</v>
      </c>
      <c r="F323" s="4" t="str">
        <f>'Form responses 1'!AX325</f>
        <v/>
      </c>
      <c r="G323" s="4" t="str">
        <f>'Form responses 1'!AY325</f>
        <v/>
      </c>
      <c r="H323" s="53" t="str">
        <f>'Form responses 1'!AW325</f>
        <v/>
      </c>
      <c r="I323" s="4" t="str">
        <f>'Form responses 1'!AS325</f>
        <v/>
      </c>
      <c r="J323" s="4" t="str">
        <f>'Form responses 1'!J325</f>
        <v/>
      </c>
      <c r="K323" s="4" t="str">
        <f>'Form responses 1'!G325</f>
        <v/>
      </c>
      <c r="L323" s="4" t="str">
        <f>'Form responses 1'!F325</f>
        <v/>
      </c>
      <c r="M323" s="4" t="str">
        <f>'Form responses 1'!U325</f>
        <v>Ramakrishna </v>
      </c>
      <c r="N323" s="4">
        <f>'Form responses 1'!V325</f>
        <v>6300802819</v>
      </c>
      <c r="O323" s="4" t="str">
        <f>'Form responses 1'!W325</f>
        <v>Na</v>
      </c>
      <c r="P323" s="4" t="str">
        <f>'Form responses 1'!X325</f>
        <v/>
      </c>
      <c r="Q323" s="4" t="str">
        <f>'Form responses 1'!Y325</f>
        <v/>
      </c>
      <c r="R323" s="4" t="str">
        <f>'Form responses 1'!Z325</f>
        <v/>
      </c>
      <c r="S323" s="4" t="str">
        <f>'Form responses 1'!AC325</f>
        <v/>
      </c>
      <c r="T323" s="4" t="str">
        <f>'Form responses 1'!AE325</f>
        <v/>
      </c>
      <c r="U323" s="4" t="str">
        <f>'Form responses 1'!AG325</f>
        <v/>
      </c>
      <c r="V323" s="4" t="str">
        <f>'Form responses 1'!AI325</f>
        <v/>
      </c>
      <c r="W323" s="4" t="str">
        <f>'Form responses 1'!AJ325</f>
        <v/>
      </c>
      <c r="X323" s="4" t="str">
        <f>'Form responses 1'!AK325</f>
        <v/>
      </c>
      <c r="Y323" s="4">
        <f t="shared" ref="Y323:AD323" si="322">if(S323&gt;0,1,0)</f>
        <v>0</v>
      </c>
      <c r="Z323" s="4">
        <f t="shared" si="322"/>
        <v>0</v>
      </c>
      <c r="AA323" s="4">
        <f t="shared" si="322"/>
        <v>0</v>
      </c>
      <c r="AB323" s="4">
        <f t="shared" si="322"/>
        <v>0</v>
      </c>
      <c r="AC323" s="4">
        <f t="shared" si="322"/>
        <v>0</v>
      </c>
      <c r="AD323" s="4">
        <f t="shared" si="322"/>
        <v>0</v>
      </c>
      <c r="AE323" s="4" t="str">
        <f>'Form responses 1'!AN325</f>
        <v/>
      </c>
      <c r="AF323" s="4" t="str">
        <f>'Form responses 1'!AO325</f>
        <v/>
      </c>
      <c r="AG323" s="4" t="str">
        <f>'Form responses 1'!AP325</f>
        <v/>
      </c>
      <c r="AH323" s="4" t="str">
        <f>'Form responses 1'!AQ325</f>
        <v/>
      </c>
      <c r="AI323" s="4" t="str">
        <f>'Form responses 1'!AR325</f>
        <v/>
      </c>
    </row>
    <row r="324">
      <c r="A324" s="26">
        <f>'Form responses 1'!B326</f>
        <v>46066</v>
      </c>
      <c r="B324" s="4" t="str">
        <f>'Form responses 1'!AZ326</f>
        <v>sumadhur.mummadi@capsdelivery.com</v>
      </c>
      <c r="C324" s="4" t="str">
        <f>'Form responses 1'!BR326</f>
        <v>Raagam foods</v>
      </c>
      <c r="D324" s="4" t="str">
        <f>'Form responses 1'!AT326</f>
        <v/>
      </c>
      <c r="E324" s="4" t="str">
        <f>'Form responses 1'!AU326</f>
        <v>Yes</v>
      </c>
      <c r="F324" s="4" t="str">
        <f>'Form responses 1'!AX326</f>
        <v/>
      </c>
      <c r="G324" s="4" t="str">
        <f>'Form responses 1'!AY326</f>
        <v/>
      </c>
      <c r="H324" s="53" t="str">
        <f>'Form responses 1'!AW326</f>
        <v/>
      </c>
      <c r="I324" s="4" t="str">
        <f>'Form responses 1'!AS326</f>
        <v/>
      </c>
      <c r="J324" s="4" t="str">
        <f>'Form responses 1'!J326</f>
        <v/>
      </c>
      <c r="K324" s="4" t="str">
        <f>'Form responses 1'!G326</f>
        <v/>
      </c>
      <c r="L324" s="4" t="str">
        <f>'Form responses 1'!F326</f>
        <v/>
      </c>
      <c r="M324" s="4" t="str">
        <f>'Form responses 1'!U326</f>
        <v>NA</v>
      </c>
      <c r="N324" s="4">
        <f>'Form responses 1'!V326</f>
        <v>9381425752</v>
      </c>
      <c r="O324" s="4" t="str">
        <f>'Form responses 1'!W326</f>
        <v>NA </v>
      </c>
      <c r="P324" s="4" t="str">
        <f>'Form responses 1'!X326</f>
        <v/>
      </c>
      <c r="Q324" s="4" t="str">
        <f>'Form responses 1'!Y326</f>
        <v/>
      </c>
      <c r="R324" s="4" t="str">
        <f>'Form responses 1'!Z326</f>
        <v/>
      </c>
      <c r="S324" s="4" t="str">
        <f>'Form responses 1'!AC326</f>
        <v/>
      </c>
      <c r="T324" s="4" t="str">
        <f>'Form responses 1'!AE326</f>
        <v/>
      </c>
      <c r="U324" s="4" t="str">
        <f>'Form responses 1'!AG326</f>
        <v/>
      </c>
      <c r="V324" s="4" t="str">
        <f>'Form responses 1'!AI326</f>
        <v/>
      </c>
      <c r="W324" s="4" t="str">
        <f>'Form responses 1'!AJ326</f>
        <v/>
      </c>
      <c r="X324" s="4" t="str">
        <f>'Form responses 1'!AK326</f>
        <v/>
      </c>
      <c r="Y324" s="4">
        <f t="shared" ref="Y324:AD324" si="323">if(S324&gt;0,1,0)</f>
        <v>0</v>
      </c>
      <c r="Z324" s="4">
        <f t="shared" si="323"/>
        <v>0</v>
      </c>
      <c r="AA324" s="4">
        <f t="shared" si="323"/>
        <v>0</v>
      </c>
      <c r="AB324" s="4">
        <f t="shared" si="323"/>
        <v>0</v>
      </c>
      <c r="AC324" s="4">
        <f t="shared" si="323"/>
        <v>0</v>
      </c>
      <c r="AD324" s="4">
        <f t="shared" si="323"/>
        <v>0</v>
      </c>
      <c r="AE324" s="4" t="str">
        <f>'Form responses 1'!AN326</f>
        <v/>
      </c>
      <c r="AF324" s="4" t="str">
        <f>'Form responses 1'!AO326</f>
        <v/>
      </c>
      <c r="AG324" s="4" t="str">
        <f>'Form responses 1'!AP326</f>
        <v/>
      </c>
      <c r="AH324" s="4" t="str">
        <f>'Form responses 1'!AQ326</f>
        <v/>
      </c>
      <c r="AI324" s="4" t="str">
        <f>'Form responses 1'!AR326</f>
        <v/>
      </c>
    </row>
    <row r="325">
      <c r="A325" s="26">
        <f>'Form responses 1'!B327</f>
        <v>46066</v>
      </c>
      <c r="B325" s="4" t="str">
        <f>'Form responses 1'!AZ327</f>
        <v>parthive.maganti@capsdelivery.com</v>
      </c>
      <c r="C325" s="4" t="str">
        <f>'Form responses 1'!BR327</f>
        <v>The spicy venue</v>
      </c>
      <c r="D325" s="4" t="str">
        <f>'Form responses 1'!AT327</f>
        <v/>
      </c>
      <c r="E325" s="4" t="str">
        <f>'Form responses 1'!AU327</f>
        <v>Yes</v>
      </c>
      <c r="F325" s="4" t="str">
        <f>'Form responses 1'!AX327</f>
        <v/>
      </c>
      <c r="G325" s="4" t="str">
        <f>'Form responses 1'!AY327</f>
        <v/>
      </c>
      <c r="H325" s="53" t="str">
        <f>'Form responses 1'!AW327</f>
        <v/>
      </c>
      <c r="I325" s="4" t="str">
        <f>'Form responses 1'!AS327</f>
        <v/>
      </c>
      <c r="J325" s="4" t="str">
        <f>'Form responses 1'!J327</f>
        <v>Tier-1(AOV&gt;400)</v>
      </c>
      <c r="K325" s="4">
        <f>'Form responses 1'!G327</f>
        <v>500</v>
      </c>
      <c r="L325" s="4">
        <f>'Form responses 1'!F327</f>
        <v>250</v>
      </c>
      <c r="M325" s="4" t="str">
        <f>'Form responses 1'!U327</f>
        <v>Lead</v>
      </c>
      <c r="N325" s="4" t="str">
        <f>'Form responses 1'!V327</f>
        <v>Lead </v>
      </c>
      <c r="O325" s="4" t="str">
        <f>'Form responses 1'!W327</f>
        <v>Lead</v>
      </c>
      <c r="P325" s="4" t="str">
        <f>'Form responses 1'!X327</f>
        <v/>
      </c>
      <c r="Q325" s="4" t="str">
        <f>'Form responses 1'!Y327</f>
        <v/>
      </c>
      <c r="R325" s="4" t="str">
        <f>'Form responses 1'!Z327</f>
        <v/>
      </c>
      <c r="S325" s="4" t="str">
        <f>'Form responses 1'!AC327</f>
        <v/>
      </c>
      <c r="T325" s="4" t="str">
        <f>'Form responses 1'!AE327</f>
        <v/>
      </c>
      <c r="U325" s="4" t="str">
        <f>'Form responses 1'!AG327</f>
        <v/>
      </c>
      <c r="V325" s="4" t="str">
        <f>'Form responses 1'!AI327</f>
        <v/>
      </c>
      <c r="W325" s="4" t="str">
        <f>'Form responses 1'!AJ327</f>
        <v/>
      </c>
      <c r="X325" s="4" t="str">
        <f>'Form responses 1'!AK327</f>
        <v/>
      </c>
      <c r="Y325" s="4">
        <f t="shared" ref="Y325:AD325" si="324">if(S325&gt;0,1,0)</f>
        <v>0</v>
      </c>
      <c r="Z325" s="4">
        <f t="shared" si="324"/>
        <v>0</v>
      </c>
      <c r="AA325" s="4">
        <f t="shared" si="324"/>
        <v>0</v>
      </c>
      <c r="AB325" s="4">
        <f t="shared" si="324"/>
        <v>0</v>
      </c>
      <c r="AC325" s="4">
        <f t="shared" si="324"/>
        <v>0</v>
      </c>
      <c r="AD325" s="4">
        <f t="shared" si="324"/>
        <v>0</v>
      </c>
      <c r="AE325" s="4" t="str">
        <f>'Form responses 1'!AN327</f>
        <v/>
      </c>
      <c r="AF325" s="4" t="str">
        <f>'Form responses 1'!AO327</f>
        <v/>
      </c>
      <c r="AG325" s="4" t="str">
        <f>'Form responses 1'!AP327</f>
        <v/>
      </c>
      <c r="AH325" s="4" t="str">
        <f>'Form responses 1'!AQ327</f>
        <v/>
      </c>
      <c r="AI325" s="4" t="str">
        <f>'Form responses 1'!AR327</f>
        <v/>
      </c>
    </row>
    <row r="326">
      <c r="A326" s="26">
        <f>'Form responses 1'!B328</f>
        <v>46066</v>
      </c>
      <c r="B326" s="4" t="str">
        <f>'Form responses 1'!AZ328</f>
        <v>parthive.maganti@capsdelivery.com</v>
      </c>
      <c r="C326" s="4" t="str">
        <f>'Form responses 1'!BR328</f>
        <v>Sri Kanya comfort</v>
      </c>
      <c r="D326" s="4" t="str">
        <f>'Form responses 1'!AT328</f>
        <v/>
      </c>
      <c r="E326" s="4" t="str">
        <f>'Form responses 1'!AU328</f>
        <v>Yes</v>
      </c>
      <c r="F326" s="4" t="str">
        <f>'Form responses 1'!AX328</f>
        <v/>
      </c>
      <c r="G326" s="4" t="str">
        <f>'Form responses 1'!AY328</f>
        <v/>
      </c>
      <c r="H326" s="53" t="str">
        <f>'Form responses 1'!AW328</f>
        <v/>
      </c>
      <c r="I326" s="4" t="str">
        <f>'Form responses 1'!AS328</f>
        <v/>
      </c>
      <c r="J326" s="4" t="str">
        <f>'Form responses 1'!J328</f>
        <v>Tier-1(AOV&gt;400)</v>
      </c>
      <c r="K326" s="4">
        <f>'Form responses 1'!G328</f>
        <v>500</v>
      </c>
      <c r="L326" s="4">
        <f>'Form responses 1'!F328</f>
        <v>200</v>
      </c>
      <c r="M326" s="4" t="str">
        <f>'Form responses 1'!U328</f>
        <v>Lead murali</v>
      </c>
      <c r="N326" s="4" t="str">
        <f>'Form responses 1'!V328</f>
        <v>Lead</v>
      </c>
      <c r="O326" s="4" t="str">
        <f>'Form responses 1'!W328</f>
        <v>Lead</v>
      </c>
      <c r="P326" s="4" t="str">
        <f>'Form responses 1'!X328</f>
        <v/>
      </c>
      <c r="Q326" s="4" t="str">
        <f>'Form responses 1'!Y328</f>
        <v/>
      </c>
      <c r="R326" s="4" t="str">
        <f>'Form responses 1'!Z328</f>
        <v/>
      </c>
      <c r="S326" s="4" t="str">
        <f>'Form responses 1'!AC328</f>
        <v/>
      </c>
      <c r="T326" s="4" t="str">
        <f>'Form responses 1'!AE328</f>
        <v/>
      </c>
      <c r="U326" s="4" t="str">
        <f>'Form responses 1'!AG328</f>
        <v/>
      </c>
      <c r="V326" s="4" t="str">
        <f>'Form responses 1'!AI328</f>
        <v/>
      </c>
      <c r="W326" s="4" t="str">
        <f>'Form responses 1'!AJ328</f>
        <v/>
      </c>
      <c r="X326" s="4" t="str">
        <f>'Form responses 1'!AK328</f>
        <v/>
      </c>
      <c r="Y326" s="4">
        <f t="shared" ref="Y326:AD326" si="325">if(S326&gt;0,1,0)</f>
        <v>0</v>
      </c>
      <c r="Z326" s="4">
        <f t="shared" si="325"/>
        <v>0</v>
      </c>
      <c r="AA326" s="4">
        <f t="shared" si="325"/>
        <v>0</v>
      </c>
      <c r="AB326" s="4">
        <f t="shared" si="325"/>
        <v>0</v>
      </c>
      <c r="AC326" s="4">
        <f t="shared" si="325"/>
        <v>0</v>
      </c>
      <c r="AD326" s="4">
        <f t="shared" si="325"/>
        <v>0</v>
      </c>
      <c r="AE326" s="4" t="str">
        <f>'Form responses 1'!AN328</f>
        <v/>
      </c>
      <c r="AF326" s="4" t="str">
        <f>'Form responses 1'!AO328</f>
        <v/>
      </c>
      <c r="AG326" s="4" t="str">
        <f>'Form responses 1'!AP328</f>
        <v/>
      </c>
      <c r="AH326" s="4" t="str">
        <f>'Form responses 1'!AQ328</f>
        <v/>
      </c>
      <c r="AI326" s="4" t="str">
        <f>'Form responses 1'!AR328</f>
        <v/>
      </c>
    </row>
    <row r="327">
      <c r="A327" s="26">
        <f>'Form responses 1'!B329</f>
        <v>46066</v>
      </c>
      <c r="B327" s="4" t="str">
        <f>'Form responses 1'!AZ329</f>
        <v>moin.khan@capsdelivery.com</v>
      </c>
      <c r="C327" s="4" t="str">
        <f>'Form responses 1'!BR329</f>
        <v>mayur sweets and dry fruits </v>
      </c>
      <c r="D327" s="4" t="str">
        <f>'Form responses 1'!AT329</f>
        <v/>
      </c>
      <c r="E327" s="4" t="str">
        <f>'Form responses 1'!AU329</f>
        <v>Yes</v>
      </c>
      <c r="F327" s="26">
        <f>'Form responses 1'!AX329</f>
        <v>46066</v>
      </c>
      <c r="G327" s="52">
        <f>'Form responses 1'!AY329</f>
        <v>0.6458333333</v>
      </c>
      <c r="H327" s="53" t="str">
        <f>'Form responses 1'!AW329</f>
        <v>AFTER 3 PM OWNER WILL BE AVAILABLE </v>
      </c>
      <c r="I327" s="4" t="str">
        <f>'Form responses 1'!AS329</f>
        <v/>
      </c>
      <c r="J327" s="4" t="str">
        <f>'Form responses 1'!J329</f>
        <v/>
      </c>
      <c r="K327" s="4" t="str">
        <f>'Form responses 1'!G329</f>
        <v/>
      </c>
      <c r="L327" s="4" t="str">
        <f>'Form responses 1'!F329</f>
        <v/>
      </c>
      <c r="M327" s="4" t="str">
        <f>'Form responses 1'!U329</f>
        <v>samdar</v>
      </c>
      <c r="N327" s="4">
        <f>'Form responses 1'!V329</f>
        <v>8519979693</v>
      </c>
      <c r="O327" s="4" t="str">
        <f>'Form responses 1'!W329</f>
        <v>NA</v>
      </c>
      <c r="P327" s="4" t="str">
        <f>'Form responses 1'!X329</f>
        <v/>
      </c>
      <c r="Q327" s="4" t="str">
        <f>'Form responses 1'!Y329</f>
        <v/>
      </c>
      <c r="R327" s="4" t="str">
        <f>'Form responses 1'!Z329</f>
        <v/>
      </c>
      <c r="S327" s="4" t="str">
        <f>'Form responses 1'!AC329</f>
        <v/>
      </c>
      <c r="T327" s="4" t="str">
        <f>'Form responses 1'!AE329</f>
        <v/>
      </c>
      <c r="U327" s="4" t="str">
        <f>'Form responses 1'!AG329</f>
        <v/>
      </c>
      <c r="V327" s="4" t="str">
        <f>'Form responses 1'!AI329</f>
        <v/>
      </c>
      <c r="W327" s="4" t="str">
        <f>'Form responses 1'!AJ329</f>
        <v/>
      </c>
      <c r="X327" s="4" t="str">
        <f>'Form responses 1'!AK329</f>
        <v/>
      </c>
      <c r="Y327" s="4">
        <f t="shared" ref="Y327:AD327" si="326">if(S327&gt;0,1,0)</f>
        <v>0</v>
      </c>
      <c r="Z327" s="4">
        <f t="shared" si="326"/>
        <v>0</v>
      </c>
      <c r="AA327" s="4">
        <f t="shared" si="326"/>
        <v>0</v>
      </c>
      <c r="AB327" s="4">
        <f t="shared" si="326"/>
        <v>0</v>
      </c>
      <c r="AC327" s="4">
        <f t="shared" si="326"/>
        <v>0</v>
      </c>
      <c r="AD327" s="4">
        <f t="shared" si="326"/>
        <v>0</v>
      </c>
      <c r="AE327" s="4" t="str">
        <f>'Form responses 1'!AN329</f>
        <v/>
      </c>
      <c r="AF327" s="4" t="str">
        <f>'Form responses 1'!AO329</f>
        <v/>
      </c>
      <c r="AG327" s="4" t="str">
        <f>'Form responses 1'!AP329</f>
        <v/>
      </c>
      <c r="AH327" s="4" t="str">
        <f>'Form responses 1'!AQ329</f>
        <v/>
      </c>
      <c r="AI327" s="4" t="str">
        <f>'Form responses 1'!AR329</f>
        <v/>
      </c>
    </row>
    <row r="328">
      <c r="A328" s="26">
        <f>'Form responses 1'!B330</f>
        <v>46066</v>
      </c>
      <c r="B328" s="4" t="str">
        <f>'Form responses 1'!AZ330</f>
        <v>moin.khan@capsdelivery.com</v>
      </c>
      <c r="C328" s="4" t="str">
        <f>'Form responses 1'!BR330</f>
        <v> ganesh virat food court</v>
      </c>
      <c r="D328" s="4" t="str">
        <f>'Form responses 1'!AT330</f>
        <v>NOT INTERESTED IN ONLINE PLATFORM</v>
      </c>
      <c r="E328" s="4" t="str">
        <f>'Form responses 1'!AU330</f>
        <v>No</v>
      </c>
      <c r="F328" s="4" t="str">
        <f>'Form responses 1'!AX330</f>
        <v/>
      </c>
      <c r="G328" s="4" t="str">
        <f>'Form responses 1'!AY330</f>
        <v/>
      </c>
      <c r="H328" s="53" t="str">
        <f>'Form responses 1'!AW330</f>
        <v/>
      </c>
      <c r="I328" s="4" t="str">
        <f>'Form responses 1'!AS330</f>
        <v/>
      </c>
      <c r="J328" s="4" t="str">
        <f>'Form responses 1'!J330</f>
        <v/>
      </c>
      <c r="K328" s="4" t="str">
        <f>'Form responses 1'!G330</f>
        <v/>
      </c>
      <c r="L328" s="4" t="str">
        <f>'Form responses 1'!F330</f>
        <v/>
      </c>
      <c r="M328" s="4" t="str">
        <f>'Form responses 1'!U330</f>
        <v>GANESH</v>
      </c>
      <c r="N328" s="4" t="str">
        <f>'Form responses 1'!V330</f>
        <v>NA</v>
      </c>
      <c r="O328" s="4" t="str">
        <f>'Form responses 1'!W330</f>
        <v>NA</v>
      </c>
      <c r="P328" s="4" t="str">
        <f>'Form responses 1'!X330</f>
        <v/>
      </c>
      <c r="Q328" s="4" t="str">
        <f>'Form responses 1'!Y330</f>
        <v/>
      </c>
      <c r="R328" s="4" t="str">
        <f>'Form responses 1'!Z330</f>
        <v/>
      </c>
      <c r="S328" s="4" t="str">
        <f>'Form responses 1'!AC330</f>
        <v/>
      </c>
      <c r="T328" s="4" t="str">
        <f>'Form responses 1'!AE330</f>
        <v/>
      </c>
      <c r="U328" s="4" t="str">
        <f>'Form responses 1'!AG330</f>
        <v/>
      </c>
      <c r="V328" s="4" t="str">
        <f>'Form responses 1'!AI330</f>
        <v/>
      </c>
      <c r="W328" s="4" t="str">
        <f>'Form responses 1'!AJ330</f>
        <v/>
      </c>
      <c r="X328" s="4" t="str">
        <f>'Form responses 1'!AK330</f>
        <v/>
      </c>
      <c r="Y328" s="4">
        <f t="shared" ref="Y328:AD328" si="327">if(S328&gt;0,1,0)</f>
        <v>0</v>
      </c>
      <c r="Z328" s="4">
        <f t="shared" si="327"/>
        <v>0</v>
      </c>
      <c r="AA328" s="4">
        <f t="shared" si="327"/>
        <v>0</v>
      </c>
      <c r="AB328" s="4">
        <f t="shared" si="327"/>
        <v>0</v>
      </c>
      <c r="AC328" s="4">
        <f t="shared" si="327"/>
        <v>0</v>
      </c>
      <c r="AD328" s="4">
        <f t="shared" si="327"/>
        <v>0</v>
      </c>
      <c r="AE328" s="4" t="str">
        <f>'Form responses 1'!AN330</f>
        <v/>
      </c>
      <c r="AF328" s="4" t="str">
        <f>'Form responses 1'!AO330</f>
        <v/>
      </c>
      <c r="AG328" s="4" t="str">
        <f>'Form responses 1'!AP330</f>
        <v/>
      </c>
      <c r="AH328" s="4" t="str">
        <f>'Form responses 1'!AQ330</f>
        <v/>
      </c>
      <c r="AI328" s="4" t="str">
        <f>'Form responses 1'!AR330</f>
        <v/>
      </c>
    </row>
    <row r="329">
      <c r="A329" s="26">
        <f>'Form responses 1'!B331</f>
        <v>46066</v>
      </c>
      <c r="B329" s="4" t="str">
        <f>'Form responses 1'!AZ331</f>
        <v>parthive.maganti@capsdelivery.com</v>
      </c>
      <c r="C329" s="4" t="str">
        <f>'Form responses 1'!BR331</f>
        <v>Itihaas Restaurant and Banquets</v>
      </c>
      <c r="D329" s="4" t="str">
        <f>'Form responses 1'!AT331</f>
        <v/>
      </c>
      <c r="E329" s="4" t="str">
        <f>'Form responses 1'!AU331</f>
        <v>Yes</v>
      </c>
      <c r="F329" s="4" t="str">
        <f>'Form responses 1'!AX331</f>
        <v/>
      </c>
      <c r="G329" s="4" t="str">
        <f>'Form responses 1'!AY331</f>
        <v/>
      </c>
      <c r="H329" s="53" t="str">
        <f>'Form responses 1'!AW331</f>
        <v/>
      </c>
      <c r="I329" s="4" t="str">
        <f>'Form responses 1'!AS331</f>
        <v/>
      </c>
      <c r="J329" s="4" t="str">
        <f>'Form responses 1'!J331</f>
        <v>Tier-1(AOV&gt;400)</v>
      </c>
      <c r="K329" s="4">
        <f>'Form responses 1'!G331</f>
        <v>500</v>
      </c>
      <c r="L329" s="4">
        <f>'Form responses 1'!F331</f>
        <v>500</v>
      </c>
      <c r="M329" s="4" t="str">
        <f>'Form responses 1'!U331</f>
        <v>Lead murali </v>
      </c>
      <c r="N329" s="4" t="str">
        <f>'Form responses 1'!V331</f>
        <v>Lead</v>
      </c>
      <c r="O329" s="4" t="str">
        <f>'Form responses 1'!W331</f>
        <v>lead</v>
      </c>
      <c r="P329" s="4" t="str">
        <f>'Form responses 1'!X331</f>
        <v/>
      </c>
      <c r="Q329" s="4" t="str">
        <f>'Form responses 1'!Y331</f>
        <v/>
      </c>
      <c r="R329" s="4" t="str">
        <f>'Form responses 1'!Z331</f>
        <v/>
      </c>
      <c r="S329" s="4" t="str">
        <f>'Form responses 1'!AC331</f>
        <v/>
      </c>
      <c r="T329" s="4" t="str">
        <f>'Form responses 1'!AE331</f>
        <v/>
      </c>
      <c r="U329" s="4" t="str">
        <f>'Form responses 1'!AG331</f>
        <v/>
      </c>
      <c r="V329" s="4" t="str">
        <f>'Form responses 1'!AI331</f>
        <v/>
      </c>
      <c r="W329" s="4" t="str">
        <f>'Form responses 1'!AJ331</f>
        <v/>
      </c>
      <c r="X329" s="4" t="str">
        <f>'Form responses 1'!AK331</f>
        <v/>
      </c>
      <c r="Y329" s="4">
        <f t="shared" ref="Y329:AD329" si="328">if(S329&gt;0,1,0)</f>
        <v>0</v>
      </c>
      <c r="Z329" s="4">
        <f t="shared" si="328"/>
        <v>0</v>
      </c>
      <c r="AA329" s="4">
        <f t="shared" si="328"/>
        <v>0</v>
      </c>
      <c r="AB329" s="4">
        <f t="shared" si="328"/>
        <v>0</v>
      </c>
      <c r="AC329" s="4">
        <f t="shared" si="328"/>
        <v>0</v>
      </c>
      <c r="AD329" s="4">
        <f t="shared" si="328"/>
        <v>0</v>
      </c>
      <c r="AE329" s="4" t="str">
        <f>'Form responses 1'!AN331</f>
        <v/>
      </c>
      <c r="AF329" s="4" t="str">
        <f>'Form responses 1'!AO331</f>
        <v/>
      </c>
      <c r="AG329" s="4" t="str">
        <f>'Form responses 1'!AP331</f>
        <v/>
      </c>
      <c r="AH329" s="4" t="str">
        <f>'Form responses 1'!AQ331</f>
        <v/>
      </c>
      <c r="AI329" s="4" t="str">
        <f>'Form responses 1'!AR331</f>
        <v/>
      </c>
    </row>
    <row r="330">
      <c r="A330" s="26">
        <f>'Form responses 1'!B332</f>
        <v>46066</v>
      </c>
      <c r="B330" s="4" t="str">
        <f>'Form responses 1'!AZ332</f>
        <v>moin.khan@capsdelivery.com</v>
      </c>
      <c r="C330" s="4" t="str">
        <f>'Form responses 1'!BR332</f>
        <v>chai nagri </v>
      </c>
      <c r="D330" s="4" t="str">
        <f>'Form responses 1'!AT332</f>
        <v/>
      </c>
      <c r="E330" s="4" t="str">
        <f>'Form responses 1'!AU332</f>
        <v>Yes</v>
      </c>
      <c r="F330" s="26">
        <f>'Form responses 1'!AX332</f>
        <v>46066</v>
      </c>
      <c r="G330" s="52">
        <f>'Form responses 1'!AY332</f>
        <v>0.8333333333</v>
      </c>
      <c r="H330" s="53" t="str">
        <f>'Form responses 1'!AW332</f>
        <v>Owner  will be available after7</v>
      </c>
      <c r="I330" s="4" t="str">
        <f>'Form responses 1'!AS332</f>
        <v/>
      </c>
      <c r="J330" s="4" t="str">
        <f>'Form responses 1'!J332</f>
        <v/>
      </c>
      <c r="K330" s="4" t="str">
        <f>'Form responses 1'!G332</f>
        <v/>
      </c>
      <c r="L330" s="4" t="str">
        <f>'Form responses 1'!F332</f>
        <v/>
      </c>
      <c r="M330" s="4" t="str">
        <f>'Form responses 1'!U332</f>
        <v>ranjan </v>
      </c>
      <c r="N330" s="4">
        <f>'Form responses 1'!V332</f>
        <v>8712342023</v>
      </c>
      <c r="O330" s="4" t="str">
        <f>'Form responses 1'!W332</f>
        <v>NA</v>
      </c>
      <c r="P330" s="4" t="str">
        <f>'Form responses 1'!X332</f>
        <v/>
      </c>
      <c r="Q330" s="4" t="str">
        <f>'Form responses 1'!Y332</f>
        <v/>
      </c>
      <c r="R330" s="4" t="str">
        <f>'Form responses 1'!Z332</f>
        <v/>
      </c>
      <c r="S330" s="4" t="str">
        <f>'Form responses 1'!AC332</f>
        <v/>
      </c>
      <c r="T330" s="4" t="str">
        <f>'Form responses 1'!AE332</f>
        <v/>
      </c>
      <c r="U330" s="4" t="str">
        <f>'Form responses 1'!AG332</f>
        <v/>
      </c>
      <c r="V330" s="4" t="str">
        <f>'Form responses 1'!AI332</f>
        <v/>
      </c>
      <c r="W330" s="4" t="str">
        <f>'Form responses 1'!AJ332</f>
        <v/>
      </c>
      <c r="X330" s="4" t="str">
        <f>'Form responses 1'!AK332</f>
        <v/>
      </c>
      <c r="Y330" s="4">
        <f t="shared" ref="Y330:AD330" si="329">if(S330&gt;0,1,0)</f>
        <v>0</v>
      </c>
      <c r="Z330" s="4">
        <f t="shared" si="329"/>
        <v>0</v>
      </c>
      <c r="AA330" s="4">
        <f t="shared" si="329"/>
        <v>0</v>
      </c>
      <c r="AB330" s="4">
        <f t="shared" si="329"/>
        <v>0</v>
      </c>
      <c r="AC330" s="4">
        <f t="shared" si="329"/>
        <v>0</v>
      </c>
      <c r="AD330" s="4">
        <f t="shared" si="329"/>
        <v>0</v>
      </c>
      <c r="AE330" s="4" t="str">
        <f>'Form responses 1'!AN332</f>
        <v/>
      </c>
      <c r="AF330" s="4" t="str">
        <f>'Form responses 1'!AO332</f>
        <v/>
      </c>
      <c r="AG330" s="4" t="str">
        <f>'Form responses 1'!AP332</f>
        <v/>
      </c>
      <c r="AH330" s="4" t="str">
        <f>'Form responses 1'!AQ332</f>
        <v/>
      </c>
      <c r="AI330" s="4" t="str">
        <f>'Form responses 1'!AR332</f>
        <v/>
      </c>
    </row>
    <row r="331">
      <c r="A331" s="26">
        <f>'Form responses 1'!B333</f>
        <v>46066</v>
      </c>
      <c r="B331" s="4" t="str">
        <f>'Form responses 1'!AZ333</f>
        <v>parthive.maganti@capsdelivery.com</v>
      </c>
      <c r="C331" s="4" t="str">
        <f>'Form responses 1'!BR333</f>
        <v>Alanati</v>
      </c>
      <c r="D331" s="4" t="str">
        <f>'Form responses 1'!AT333</f>
        <v>Na</v>
      </c>
      <c r="E331" s="4" t="str">
        <f>'Form responses 1'!AU333</f>
        <v>No</v>
      </c>
      <c r="F331" s="4" t="str">
        <f>'Form responses 1'!AX333</f>
        <v/>
      </c>
      <c r="G331" s="4" t="str">
        <f>'Form responses 1'!AY333</f>
        <v/>
      </c>
      <c r="H331" s="53" t="str">
        <f>'Form responses 1'!AW333</f>
        <v/>
      </c>
      <c r="I331" s="4" t="str">
        <f>'Form responses 1'!AS333</f>
        <v/>
      </c>
      <c r="J331" s="4" t="str">
        <f>'Form responses 1'!J333</f>
        <v>Tier-1(AOV&gt;400)</v>
      </c>
      <c r="K331" s="4">
        <f>'Form responses 1'!G333</f>
        <v>500</v>
      </c>
      <c r="L331" s="4">
        <f>'Form responses 1'!F333</f>
        <v>200</v>
      </c>
      <c r="M331" s="4" t="str">
        <f>'Form responses 1'!U333</f>
        <v>Lead murali</v>
      </c>
      <c r="N331" s="4" t="str">
        <f>'Form responses 1'!V333</f>
        <v>Lead</v>
      </c>
      <c r="O331" s="4" t="str">
        <f>'Form responses 1'!W333</f>
        <v>lead</v>
      </c>
      <c r="P331" s="4" t="str">
        <f>'Form responses 1'!X333</f>
        <v/>
      </c>
      <c r="Q331" s="4" t="str">
        <f>'Form responses 1'!Y333</f>
        <v/>
      </c>
      <c r="R331" s="4" t="str">
        <f>'Form responses 1'!Z333</f>
        <v/>
      </c>
      <c r="S331" s="4" t="str">
        <f>'Form responses 1'!AC333</f>
        <v/>
      </c>
      <c r="T331" s="4" t="str">
        <f>'Form responses 1'!AE333</f>
        <v/>
      </c>
      <c r="U331" s="4" t="str">
        <f>'Form responses 1'!AG333</f>
        <v/>
      </c>
      <c r="V331" s="4" t="str">
        <f>'Form responses 1'!AI333</f>
        <v/>
      </c>
      <c r="W331" s="4" t="str">
        <f>'Form responses 1'!AJ333</f>
        <v/>
      </c>
      <c r="X331" s="4" t="str">
        <f>'Form responses 1'!AK333</f>
        <v/>
      </c>
      <c r="Y331" s="4">
        <f t="shared" ref="Y331:AD331" si="330">if(S331&gt;0,1,0)</f>
        <v>0</v>
      </c>
      <c r="Z331" s="4">
        <f t="shared" si="330"/>
        <v>0</v>
      </c>
      <c r="AA331" s="4">
        <f t="shared" si="330"/>
        <v>0</v>
      </c>
      <c r="AB331" s="4">
        <f t="shared" si="330"/>
        <v>0</v>
      </c>
      <c r="AC331" s="4">
        <f t="shared" si="330"/>
        <v>0</v>
      </c>
      <c r="AD331" s="4">
        <f t="shared" si="330"/>
        <v>0</v>
      </c>
      <c r="AE331" s="4" t="str">
        <f>'Form responses 1'!AN333</f>
        <v/>
      </c>
      <c r="AF331" s="4" t="str">
        <f>'Form responses 1'!AO333</f>
        <v/>
      </c>
      <c r="AG331" s="4" t="str">
        <f>'Form responses 1'!AP333</f>
        <v/>
      </c>
      <c r="AH331" s="4" t="str">
        <f>'Form responses 1'!AQ333</f>
        <v/>
      </c>
      <c r="AI331" s="4" t="str">
        <f>'Form responses 1'!AR333</f>
        <v/>
      </c>
    </row>
    <row r="332">
      <c r="A332" s="26">
        <f>'Form responses 1'!B334</f>
        <v>46066</v>
      </c>
      <c r="B332" s="4" t="str">
        <f>'Form responses 1'!AZ334</f>
        <v>parthive.maganti@capsdelivery.com</v>
      </c>
      <c r="C332" s="4" t="str">
        <f>'Form responses 1'!BR334</f>
        <v>Gumagumalu </v>
      </c>
      <c r="D332" s="4" t="str">
        <f>'Form responses 1'!AT334</f>
        <v/>
      </c>
      <c r="E332" s="4" t="str">
        <f>'Form responses 1'!AU334</f>
        <v>Yes</v>
      </c>
      <c r="F332" s="26">
        <f>'Form responses 1'!AX334</f>
        <v>46067</v>
      </c>
      <c r="G332" s="52">
        <f>'Form responses 1'!AY334</f>
        <v>0.5</v>
      </c>
      <c r="H332" s="53" t="str">
        <f>'Form responses 1'!AW334</f>
        <v>Na</v>
      </c>
      <c r="I332" s="4" t="str">
        <f>'Form responses 1'!AS334</f>
        <v/>
      </c>
      <c r="J332" s="4" t="str">
        <f>'Form responses 1'!J334</f>
        <v>Tier-1(AOV&gt;400)</v>
      </c>
      <c r="K332" s="4">
        <f>'Form responses 1'!G334</f>
        <v>350</v>
      </c>
      <c r="L332" s="4">
        <f>'Form responses 1'!F334</f>
        <v>150</v>
      </c>
      <c r="M332" s="4" t="str">
        <f>'Form responses 1'!U334</f>
        <v>Lead</v>
      </c>
      <c r="N332" s="4" t="str">
        <f>'Form responses 1'!V334</f>
        <v>Lead</v>
      </c>
      <c r="O332" s="4" t="str">
        <f>'Form responses 1'!W334</f>
        <v>lead</v>
      </c>
      <c r="P332" s="4" t="str">
        <f>'Form responses 1'!X334</f>
        <v>lead</v>
      </c>
      <c r="Q332" s="4" t="str">
        <f>'Form responses 1'!Y334</f>
        <v/>
      </c>
      <c r="R332" s="4" t="str">
        <f>'Form responses 1'!Z334</f>
        <v/>
      </c>
      <c r="S332" s="4" t="str">
        <f>'Form responses 1'!AC334</f>
        <v/>
      </c>
      <c r="T332" s="4" t="str">
        <f>'Form responses 1'!AE334</f>
        <v/>
      </c>
      <c r="U332" s="4" t="str">
        <f>'Form responses 1'!AG334</f>
        <v/>
      </c>
      <c r="V332" s="4" t="str">
        <f>'Form responses 1'!AI334</f>
        <v/>
      </c>
      <c r="W332" s="4" t="str">
        <f>'Form responses 1'!AJ334</f>
        <v/>
      </c>
      <c r="X332" s="4" t="str">
        <f>'Form responses 1'!AK334</f>
        <v/>
      </c>
      <c r="Y332" s="4">
        <f t="shared" ref="Y332:AD332" si="331">if(S332&gt;0,1,0)</f>
        <v>0</v>
      </c>
      <c r="Z332" s="4">
        <f t="shared" si="331"/>
        <v>0</v>
      </c>
      <c r="AA332" s="4">
        <f t="shared" si="331"/>
        <v>0</v>
      </c>
      <c r="AB332" s="4">
        <f t="shared" si="331"/>
        <v>0</v>
      </c>
      <c r="AC332" s="4">
        <f t="shared" si="331"/>
        <v>0</v>
      </c>
      <c r="AD332" s="4">
        <f t="shared" si="331"/>
        <v>0</v>
      </c>
      <c r="AE332" s="4" t="str">
        <f>'Form responses 1'!AN334</f>
        <v/>
      </c>
      <c r="AF332" s="4" t="str">
        <f>'Form responses 1'!AO334</f>
        <v/>
      </c>
      <c r="AG332" s="4" t="str">
        <f>'Form responses 1'!AP334</f>
        <v/>
      </c>
      <c r="AH332" s="4" t="str">
        <f>'Form responses 1'!AQ334</f>
        <v/>
      </c>
      <c r="AI332" s="4" t="str">
        <f>'Form responses 1'!AR334</f>
        <v/>
      </c>
    </row>
    <row r="333">
      <c r="A333" s="26">
        <f>'Form responses 1'!B335</f>
        <v>46066</v>
      </c>
      <c r="B333" s="4" t="str">
        <f>'Form responses 1'!AZ335</f>
        <v>parthive.maganti@capsdelivery.com</v>
      </c>
      <c r="C333" s="4" t="str">
        <f>'Form responses 1'!BR335</f>
        <v>Chopsticks</v>
      </c>
      <c r="D333" s="4" t="str">
        <f>'Form responses 1'!AT335</f>
        <v/>
      </c>
      <c r="E333" s="4" t="str">
        <f>'Form responses 1'!AU335</f>
        <v>Yes</v>
      </c>
      <c r="F333" s="26">
        <f>'Form responses 1'!AX335</f>
        <v>46068</v>
      </c>
      <c r="G333" s="52">
        <f>'Form responses 1'!AY335</f>
        <v>0.5</v>
      </c>
      <c r="H333" s="53" t="str">
        <f>'Form responses 1'!AW335</f>
        <v/>
      </c>
      <c r="I333" s="4" t="str">
        <f>'Form responses 1'!AS335</f>
        <v/>
      </c>
      <c r="J333" s="4" t="str">
        <f>'Form responses 1'!J335</f>
        <v/>
      </c>
      <c r="K333" s="4" t="str">
        <f>'Form responses 1'!G335</f>
        <v/>
      </c>
      <c r="L333" s="4" t="str">
        <f>'Form responses 1'!F335</f>
        <v/>
      </c>
      <c r="M333" s="4" t="str">
        <f>'Form responses 1'!U335</f>
        <v>Durga</v>
      </c>
      <c r="N333" s="4" t="str">
        <f>'Form responses 1'!V335</f>
        <v>Na</v>
      </c>
      <c r="O333" s="4" t="str">
        <f>'Form responses 1'!W335</f>
        <v>Na</v>
      </c>
      <c r="P333" s="4" t="str">
        <f>'Form responses 1'!X335</f>
        <v/>
      </c>
      <c r="Q333" s="4" t="str">
        <f>'Form responses 1'!Y335</f>
        <v/>
      </c>
      <c r="R333" s="4" t="str">
        <f>'Form responses 1'!Z335</f>
        <v/>
      </c>
      <c r="S333" s="4" t="str">
        <f>'Form responses 1'!AC335</f>
        <v/>
      </c>
      <c r="T333" s="4" t="str">
        <f>'Form responses 1'!AE335</f>
        <v/>
      </c>
      <c r="U333" s="4" t="str">
        <f>'Form responses 1'!AG335</f>
        <v/>
      </c>
      <c r="V333" s="4" t="str">
        <f>'Form responses 1'!AI335</f>
        <v/>
      </c>
      <c r="W333" s="4" t="str">
        <f>'Form responses 1'!AJ335</f>
        <v/>
      </c>
      <c r="X333" s="4" t="str">
        <f>'Form responses 1'!AK335</f>
        <v/>
      </c>
      <c r="Y333" s="4">
        <f t="shared" ref="Y333:AD333" si="332">if(S333&gt;0,1,0)</f>
        <v>0</v>
      </c>
      <c r="Z333" s="4">
        <f t="shared" si="332"/>
        <v>0</v>
      </c>
      <c r="AA333" s="4">
        <f t="shared" si="332"/>
        <v>0</v>
      </c>
      <c r="AB333" s="4">
        <f t="shared" si="332"/>
        <v>0</v>
      </c>
      <c r="AC333" s="4">
        <f t="shared" si="332"/>
        <v>0</v>
      </c>
      <c r="AD333" s="4">
        <f t="shared" si="332"/>
        <v>0</v>
      </c>
      <c r="AE333" s="4" t="str">
        <f>'Form responses 1'!AN335</f>
        <v/>
      </c>
      <c r="AF333" s="4" t="str">
        <f>'Form responses 1'!AO335</f>
        <v/>
      </c>
      <c r="AG333" s="4" t="str">
        <f>'Form responses 1'!AP335</f>
        <v/>
      </c>
      <c r="AH333" s="4" t="str">
        <f>'Form responses 1'!AQ335</f>
        <v/>
      </c>
      <c r="AI333" s="4" t="str">
        <f>'Form responses 1'!AR335</f>
        <v/>
      </c>
    </row>
    <row r="334">
      <c r="A334" s="26">
        <f>'Form responses 1'!B336</f>
        <v>46066</v>
      </c>
      <c r="B334" s="4" t="str">
        <f>'Form responses 1'!AZ336</f>
        <v>parthive.maganti@capsdelivery.com</v>
      </c>
      <c r="C334" s="4" t="str">
        <f>'Form responses 1'!BR336</f>
        <v>Parchuri foods</v>
      </c>
      <c r="D334" s="4" t="str">
        <f>'Form responses 1'!AT336</f>
        <v/>
      </c>
      <c r="E334" s="4" t="str">
        <f>'Form responses 1'!AU336</f>
        <v>Yes</v>
      </c>
      <c r="F334" s="26">
        <f>'Form responses 1'!AX336</f>
        <v>46069</v>
      </c>
      <c r="G334" s="52">
        <f>'Form responses 1'!AY336</f>
        <v>0.5138888889</v>
      </c>
      <c r="H334" s="53" t="str">
        <f>'Form responses 1'!AW336</f>
        <v/>
      </c>
      <c r="I334" s="4" t="str">
        <f>'Form responses 1'!AS336</f>
        <v/>
      </c>
      <c r="J334" s="4" t="str">
        <f>'Form responses 1'!J336</f>
        <v/>
      </c>
      <c r="K334" s="4" t="str">
        <f>'Form responses 1'!G336</f>
        <v/>
      </c>
      <c r="L334" s="4" t="str">
        <f>'Form responses 1'!F336</f>
        <v/>
      </c>
      <c r="M334" s="4" t="str">
        <f>'Form responses 1'!U336</f>
        <v>Chandrashekar</v>
      </c>
      <c r="N334" s="4" t="str">
        <f>'Form responses 1'!V336</f>
        <v>Na</v>
      </c>
      <c r="O334" s="4" t="str">
        <f>'Form responses 1'!W336</f>
        <v>Na</v>
      </c>
      <c r="P334" s="4" t="str">
        <f>'Form responses 1'!X336</f>
        <v/>
      </c>
      <c r="Q334" s="4" t="str">
        <f>'Form responses 1'!Y336</f>
        <v/>
      </c>
      <c r="R334" s="4" t="str">
        <f>'Form responses 1'!Z336</f>
        <v/>
      </c>
      <c r="S334" s="4" t="str">
        <f>'Form responses 1'!AC336</f>
        <v/>
      </c>
      <c r="T334" s="4" t="str">
        <f>'Form responses 1'!AE336</f>
        <v/>
      </c>
      <c r="U334" s="4" t="str">
        <f>'Form responses 1'!AG336</f>
        <v/>
      </c>
      <c r="V334" s="4" t="str">
        <f>'Form responses 1'!AI336</f>
        <v/>
      </c>
      <c r="W334" s="4" t="str">
        <f>'Form responses 1'!AJ336</f>
        <v/>
      </c>
      <c r="X334" s="4" t="str">
        <f>'Form responses 1'!AK336</f>
        <v/>
      </c>
      <c r="Y334" s="4">
        <f t="shared" ref="Y334:AD334" si="333">if(S334&gt;0,1,0)</f>
        <v>0</v>
      </c>
      <c r="Z334" s="4">
        <f t="shared" si="333"/>
        <v>0</v>
      </c>
      <c r="AA334" s="4">
        <f t="shared" si="333"/>
        <v>0</v>
      </c>
      <c r="AB334" s="4">
        <f t="shared" si="333"/>
        <v>0</v>
      </c>
      <c r="AC334" s="4">
        <f t="shared" si="333"/>
        <v>0</v>
      </c>
      <c r="AD334" s="4">
        <f t="shared" si="333"/>
        <v>0</v>
      </c>
      <c r="AE334" s="4" t="str">
        <f>'Form responses 1'!AN336</f>
        <v/>
      </c>
      <c r="AF334" s="4" t="str">
        <f>'Form responses 1'!AO336</f>
        <v/>
      </c>
      <c r="AG334" s="4" t="str">
        <f>'Form responses 1'!AP336</f>
        <v/>
      </c>
      <c r="AH334" s="4" t="str">
        <f>'Form responses 1'!AQ336</f>
        <v/>
      </c>
      <c r="AI334" s="4" t="str">
        <f>'Form responses 1'!AR336</f>
        <v/>
      </c>
    </row>
    <row r="335">
      <c r="A335" s="26">
        <f>'Form responses 1'!B337</f>
        <v>46066</v>
      </c>
      <c r="B335" s="4" t="str">
        <f>'Form responses 1'!AZ337</f>
        <v>nitya.akshara@capsdelivery.com</v>
      </c>
      <c r="C335" s="4" t="str">
        <f>'Form responses 1'!BR337</f>
        <v>Nakshtra Tiffins </v>
      </c>
      <c r="D335" s="4" t="str">
        <f>'Form responses 1'!AT337</f>
        <v/>
      </c>
      <c r="E335" s="4" t="str">
        <f>'Form responses 1'!AU337</f>
        <v>Yes</v>
      </c>
      <c r="F335" s="4" t="str">
        <f>'Form responses 1'!AX337</f>
        <v/>
      </c>
      <c r="G335" s="4" t="str">
        <f>'Form responses 1'!AY337</f>
        <v/>
      </c>
      <c r="H335" s="53" t="str">
        <f>'Form responses 1'!AW337</f>
        <v/>
      </c>
      <c r="I335" s="4" t="str">
        <f>'Form responses 1'!AS337</f>
        <v/>
      </c>
      <c r="J335" s="4" t="str">
        <f>'Form responses 1'!J337</f>
        <v>Tier-3 ( AOV&lt;200 )</v>
      </c>
      <c r="K335" s="4">
        <f>'Form responses 1'!G337</f>
        <v>50</v>
      </c>
      <c r="L335" s="4">
        <f>'Form responses 1'!F337</f>
        <v>1</v>
      </c>
      <c r="M335" s="4" t="str">
        <f>'Form responses 1'!U337</f>
        <v>Madhushekar </v>
      </c>
      <c r="N335" s="4" t="str">
        <f>'Form responses 1'!V337</f>
        <v>7680-006511</v>
      </c>
      <c r="O335" s="4" t="str">
        <f>'Form responses 1'!W337</f>
        <v>NA</v>
      </c>
      <c r="P335" s="4" t="str">
        <f>'Form responses 1'!X337</f>
        <v/>
      </c>
      <c r="Q335" s="4" t="str">
        <f>'Form responses 1'!Y337</f>
        <v/>
      </c>
      <c r="R335" s="4" t="str">
        <f>'Form responses 1'!Z337</f>
        <v/>
      </c>
      <c r="S335" s="4" t="str">
        <f>'Form responses 1'!AC337</f>
        <v/>
      </c>
      <c r="T335" s="4" t="str">
        <f>'Form responses 1'!AE337</f>
        <v/>
      </c>
      <c r="U335" s="4" t="str">
        <f>'Form responses 1'!AG337</f>
        <v/>
      </c>
      <c r="V335" s="4" t="str">
        <f>'Form responses 1'!AI337</f>
        <v/>
      </c>
      <c r="W335" s="4" t="str">
        <f>'Form responses 1'!AJ337</f>
        <v/>
      </c>
      <c r="X335" s="4" t="str">
        <f>'Form responses 1'!AK337</f>
        <v/>
      </c>
      <c r="Y335" s="4">
        <f t="shared" ref="Y335:AD335" si="334">if(S335&gt;0,1,0)</f>
        <v>0</v>
      </c>
      <c r="Z335" s="4">
        <f t="shared" si="334"/>
        <v>0</v>
      </c>
      <c r="AA335" s="4">
        <f t="shared" si="334"/>
        <v>0</v>
      </c>
      <c r="AB335" s="4">
        <f t="shared" si="334"/>
        <v>0</v>
      </c>
      <c r="AC335" s="4">
        <f t="shared" si="334"/>
        <v>0</v>
      </c>
      <c r="AD335" s="4">
        <f t="shared" si="334"/>
        <v>0</v>
      </c>
      <c r="AE335" s="4" t="str">
        <f>'Form responses 1'!AN337</f>
        <v/>
      </c>
      <c r="AF335" s="4" t="str">
        <f>'Form responses 1'!AO337</f>
        <v/>
      </c>
      <c r="AG335" s="4" t="str">
        <f>'Form responses 1'!AP337</f>
        <v/>
      </c>
      <c r="AH335" s="4" t="str">
        <f>'Form responses 1'!AQ337</f>
        <v/>
      </c>
      <c r="AI335" s="4" t="str">
        <f>'Form responses 1'!AR337</f>
        <v/>
      </c>
    </row>
    <row r="336">
      <c r="A336" s="26">
        <f>'Form responses 1'!B338</f>
        <v>46066</v>
      </c>
      <c r="B336" s="4" t="str">
        <f>'Form responses 1'!AZ338</f>
        <v>nitya.akshara@capsdelivery.com</v>
      </c>
      <c r="C336" s="4" t="str">
        <f>'Form responses 1'!BR338</f>
        <v>Bakers Town </v>
      </c>
      <c r="D336" s="4" t="str">
        <f>'Form responses 1'!AT338</f>
        <v/>
      </c>
      <c r="E336" s="4" t="str">
        <f>'Form responses 1'!AU338</f>
        <v>Yes</v>
      </c>
      <c r="F336" s="4" t="str">
        <f>'Form responses 1'!AX338</f>
        <v/>
      </c>
      <c r="G336" s="4" t="str">
        <f>'Form responses 1'!AY338</f>
        <v/>
      </c>
      <c r="H336" s="53" t="str">
        <f>'Form responses 1'!AW338</f>
        <v/>
      </c>
      <c r="I336" s="4" t="str">
        <f>'Form responses 1'!AS338</f>
        <v/>
      </c>
      <c r="J336" s="4" t="str">
        <f>'Form responses 1'!J338</f>
        <v/>
      </c>
      <c r="K336" s="4" t="str">
        <f>'Form responses 1'!G338</f>
        <v/>
      </c>
      <c r="L336" s="4" t="str">
        <f>'Form responses 1'!F338</f>
        <v/>
      </c>
      <c r="M336" s="4" t="str">
        <f>'Form responses 1'!U338</f>
        <v>NA</v>
      </c>
      <c r="N336" s="4" t="str">
        <f>'Form responses 1'!V338</f>
        <v>NA</v>
      </c>
      <c r="O336" s="4" t="str">
        <f>'Form responses 1'!W338</f>
        <v>NA</v>
      </c>
      <c r="P336" s="4" t="str">
        <f>'Form responses 1'!X338</f>
        <v/>
      </c>
      <c r="Q336" s="4" t="str">
        <f>'Form responses 1'!Y338</f>
        <v/>
      </c>
      <c r="R336" s="4" t="str">
        <f>'Form responses 1'!Z338</f>
        <v/>
      </c>
      <c r="S336" s="4" t="str">
        <f>'Form responses 1'!AC338</f>
        <v/>
      </c>
      <c r="T336" s="4" t="str">
        <f>'Form responses 1'!AE338</f>
        <v/>
      </c>
      <c r="U336" s="4" t="str">
        <f>'Form responses 1'!AG338</f>
        <v/>
      </c>
      <c r="V336" s="4" t="str">
        <f>'Form responses 1'!AI338</f>
        <v/>
      </c>
      <c r="W336" s="4" t="str">
        <f>'Form responses 1'!AJ338</f>
        <v/>
      </c>
      <c r="X336" s="4" t="str">
        <f>'Form responses 1'!AK338</f>
        <v/>
      </c>
      <c r="Y336" s="4">
        <f t="shared" ref="Y336:AD336" si="335">if(S336&gt;0,1,0)</f>
        <v>0</v>
      </c>
      <c r="Z336" s="4">
        <f t="shared" si="335"/>
        <v>0</v>
      </c>
      <c r="AA336" s="4">
        <f t="shared" si="335"/>
        <v>0</v>
      </c>
      <c r="AB336" s="4">
        <f t="shared" si="335"/>
        <v>0</v>
      </c>
      <c r="AC336" s="4">
        <f t="shared" si="335"/>
        <v>0</v>
      </c>
      <c r="AD336" s="4">
        <f t="shared" si="335"/>
        <v>0</v>
      </c>
      <c r="AE336" s="4" t="str">
        <f>'Form responses 1'!AN338</f>
        <v/>
      </c>
      <c r="AF336" s="4" t="str">
        <f>'Form responses 1'!AO338</f>
        <v/>
      </c>
      <c r="AG336" s="4" t="str">
        <f>'Form responses 1'!AP338</f>
        <v/>
      </c>
      <c r="AH336" s="4" t="str">
        <f>'Form responses 1'!AQ338</f>
        <v/>
      </c>
      <c r="AI336" s="4" t="str">
        <f>'Form responses 1'!AR338</f>
        <v/>
      </c>
    </row>
    <row r="337">
      <c r="A337" s="26">
        <f>'Form responses 1'!B339</f>
        <v>46066</v>
      </c>
      <c r="B337" s="4" t="str">
        <f>'Form responses 1'!AZ339</f>
        <v>nitya.akshara@capsdelivery.com</v>
      </c>
      <c r="C337" s="4" t="str">
        <f>'Form responses 1'!BR339</f>
        <v>Nellore Padmvati Ruchlu </v>
      </c>
      <c r="D337" s="4" t="str">
        <f>'Form responses 1'!AT339</f>
        <v/>
      </c>
      <c r="E337" s="4" t="str">
        <f>'Form responses 1'!AU339</f>
        <v>Yes</v>
      </c>
      <c r="F337" s="4" t="str">
        <f>'Form responses 1'!AX339</f>
        <v/>
      </c>
      <c r="G337" s="4" t="str">
        <f>'Form responses 1'!AY339</f>
        <v/>
      </c>
      <c r="H337" s="53" t="str">
        <f>'Form responses 1'!AW339</f>
        <v/>
      </c>
      <c r="I337" s="4" t="str">
        <f>'Form responses 1'!AS339</f>
        <v/>
      </c>
      <c r="J337" s="4" t="str">
        <f>'Form responses 1'!J339</f>
        <v>Tier-3 ( AOV&lt;200 )</v>
      </c>
      <c r="K337" s="4">
        <f>'Form responses 1'!G339</f>
        <v>150</v>
      </c>
      <c r="L337" s="4">
        <f>'Form responses 1'!F339</f>
        <v>20</v>
      </c>
      <c r="M337" s="4" t="str">
        <f>'Form responses 1'!U339</f>
        <v>Sudhakar reddy </v>
      </c>
      <c r="N337" s="4">
        <f>'Form responses 1'!V339</f>
        <v>9502547468</v>
      </c>
      <c r="O337" s="4" t="str">
        <f>'Form responses 1'!W339</f>
        <v>NA</v>
      </c>
      <c r="P337" s="4" t="str">
        <f>'Form responses 1'!X339</f>
        <v/>
      </c>
      <c r="Q337" s="4" t="str">
        <f>'Form responses 1'!Y339</f>
        <v/>
      </c>
      <c r="R337" s="4" t="str">
        <f>'Form responses 1'!Z339</f>
        <v/>
      </c>
      <c r="S337" s="4" t="str">
        <f>'Form responses 1'!AC339</f>
        <v/>
      </c>
      <c r="T337" s="4" t="str">
        <f>'Form responses 1'!AE339</f>
        <v/>
      </c>
      <c r="U337" s="4" t="str">
        <f>'Form responses 1'!AG339</f>
        <v/>
      </c>
      <c r="V337" s="4" t="str">
        <f>'Form responses 1'!AI339</f>
        <v/>
      </c>
      <c r="W337" s="4" t="str">
        <f>'Form responses 1'!AJ339</f>
        <v/>
      </c>
      <c r="X337" s="4" t="str">
        <f>'Form responses 1'!AK339</f>
        <v/>
      </c>
      <c r="Y337" s="4">
        <f t="shared" ref="Y337:AD337" si="336">if(S337&gt;0,1,0)</f>
        <v>0</v>
      </c>
      <c r="Z337" s="4">
        <f t="shared" si="336"/>
        <v>0</v>
      </c>
      <c r="AA337" s="4">
        <f t="shared" si="336"/>
        <v>0</v>
      </c>
      <c r="AB337" s="4">
        <f t="shared" si="336"/>
        <v>0</v>
      </c>
      <c r="AC337" s="4">
        <f t="shared" si="336"/>
        <v>0</v>
      </c>
      <c r="AD337" s="4">
        <f t="shared" si="336"/>
        <v>0</v>
      </c>
      <c r="AE337" s="4" t="str">
        <f>'Form responses 1'!AN339</f>
        <v/>
      </c>
      <c r="AF337" s="4" t="str">
        <f>'Form responses 1'!AO339</f>
        <v/>
      </c>
      <c r="AG337" s="4" t="str">
        <f>'Form responses 1'!AP339</f>
        <v/>
      </c>
      <c r="AH337" s="4" t="str">
        <f>'Form responses 1'!AQ339</f>
        <v/>
      </c>
      <c r="AI337" s="4" t="str">
        <f>'Form responses 1'!AR339</f>
        <v/>
      </c>
    </row>
    <row r="338">
      <c r="A338" s="26">
        <f>'Form responses 1'!B340</f>
        <v>46066</v>
      </c>
      <c r="B338" s="4" t="str">
        <f>'Form responses 1'!AZ340</f>
        <v>nitya.akshara@capsdelivery.com</v>
      </c>
      <c r="C338" s="4" t="str">
        <f>'Form responses 1'!BR340</f>
        <v>Cake Walkers </v>
      </c>
      <c r="D338" s="4" t="str">
        <f>'Form responses 1'!AT340</f>
        <v/>
      </c>
      <c r="E338" s="4" t="str">
        <f>'Form responses 1'!AU340</f>
        <v>Yes</v>
      </c>
      <c r="F338" s="4" t="str">
        <f>'Form responses 1'!AX340</f>
        <v/>
      </c>
      <c r="G338" s="4" t="str">
        <f>'Form responses 1'!AY340</f>
        <v/>
      </c>
      <c r="H338" s="53" t="str">
        <f>'Form responses 1'!AW340</f>
        <v/>
      </c>
      <c r="I338" s="4" t="str">
        <f>'Form responses 1'!AS340</f>
        <v/>
      </c>
      <c r="J338" s="4" t="str">
        <f>'Form responses 1'!J340</f>
        <v/>
      </c>
      <c r="K338" s="4" t="str">
        <f>'Form responses 1'!G340</f>
        <v/>
      </c>
      <c r="L338" s="4" t="str">
        <f>'Form responses 1'!F340</f>
        <v/>
      </c>
      <c r="M338" s="4" t="str">
        <f>'Form responses 1'!U340</f>
        <v>NA </v>
      </c>
      <c r="N338" s="4" t="str">
        <f>'Form responses 1'!V340</f>
        <v>NA</v>
      </c>
      <c r="O338" s="4" t="str">
        <f>'Form responses 1'!W340</f>
        <v>NA</v>
      </c>
      <c r="P338" s="4" t="str">
        <f>'Form responses 1'!X340</f>
        <v/>
      </c>
      <c r="Q338" s="4" t="str">
        <f>'Form responses 1'!Y340</f>
        <v/>
      </c>
      <c r="R338" s="4" t="str">
        <f>'Form responses 1'!Z340</f>
        <v/>
      </c>
      <c r="S338" s="4" t="str">
        <f>'Form responses 1'!AC340</f>
        <v/>
      </c>
      <c r="T338" s="4" t="str">
        <f>'Form responses 1'!AE340</f>
        <v/>
      </c>
      <c r="U338" s="4" t="str">
        <f>'Form responses 1'!AG340</f>
        <v/>
      </c>
      <c r="V338" s="4" t="str">
        <f>'Form responses 1'!AI340</f>
        <v/>
      </c>
      <c r="W338" s="4" t="str">
        <f>'Form responses 1'!AJ340</f>
        <v/>
      </c>
      <c r="X338" s="4" t="str">
        <f>'Form responses 1'!AK340</f>
        <v/>
      </c>
      <c r="Y338" s="4">
        <f t="shared" ref="Y338:AD338" si="337">if(S338&gt;0,1,0)</f>
        <v>0</v>
      </c>
      <c r="Z338" s="4">
        <f t="shared" si="337"/>
        <v>0</v>
      </c>
      <c r="AA338" s="4">
        <f t="shared" si="337"/>
        <v>0</v>
      </c>
      <c r="AB338" s="4">
        <f t="shared" si="337"/>
        <v>0</v>
      </c>
      <c r="AC338" s="4">
        <f t="shared" si="337"/>
        <v>0</v>
      </c>
      <c r="AD338" s="4">
        <f t="shared" si="337"/>
        <v>0</v>
      </c>
      <c r="AE338" s="4" t="str">
        <f>'Form responses 1'!AN340</f>
        <v/>
      </c>
      <c r="AF338" s="4" t="str">
        <f>'Form responses 1'!AO340</f>
        <v/>
      </c>
      <c r="AG338" s="4" t="str">
        <f>'Form responses 1'!AP340</f>
        <v/>
      </c>
      <c r="AH338" s="4" t="str">
        <f>'Form responses 1'!AQ340</f>
        <v/>
      </c>
      <c r="AI338" s="4" t="str">
        <f>'Form responses 1'!AR340</f>
        <v/>
      </c>
    </row>
    <row r="339">
      <c r="A339" s="26">
        <f>'Form responses 1'!B341</f>
        <v>46066</v>
      </c>
      <c r="B339" s="4" t="str">
        <f>'Form responses 1'!AZ341</f>
        <v>manasa.chigurupati@capsdelivery.com</v>
      </c>
      <c r="C339" s="4" t="str">
        <f>'Form responses 1'!BR341</f>
        <v>Mother’s Kitchen</v>
      </c>
      <c r="D339" s="4" t="str">
        <f>'Form responses 1'!AT341</f>
        <v>Needs to submit docs</v>
      </c>
      <c r="E339" s="4" t="str">
        <f>'Form responses 1'!AU341</f>
        <v>No</v>
      </c>
      <c r="F339" s="4" t="str">
        <f>'Form responses 1'!AX341</f>
        <v/>
      </c>
      <c r="G339" s="4" t="str">
        <f>'Form responses 1'!AY341</f>
        <v/>
      </c>
      <c r="H339" s="53" t="str">
        <f>'Form responses 1'!AW341</f>
        <v/>
      </c>
      <c r="I339" s="4" t="str">
        <f>'Form responses 1'!AS341</f>
        <v>Yes</v>
      </c>
      <c r="J339" s="4" t="str">
        <f>'Form responses 1'!J341</f>
        <v>Tier-3 ( AOV&lt;200 )</v>
      </c>
      <c r="K339" s="4">
        <f>'Form responses 1'!G341</f>
        <v>250</v>
      </c>
      <c r="L339" s="4">
        <f>'Form responses 1'!F341</f>
        <v>40</v>
      </c>
      <c r="M339" s="4" t="str">
        <f>'Form responses 1'!U341</f>
        <v>Ravi Kumar </v>
      </c>
      <c r="N339" s="4">
        <f>'Form responses 1'!V341</f>
        <v>9177960195</v>
      </c>
      <c r="O339" s="4" t="str">
        <f>'Form responses 1'!W341</f>
        <v>velagapudi6@gmail.com</v>
      </c>
      <c r="P339" s="4" t="str">
        <f>'Form responses 1'!X341</f>
        <v/>
      </c>
      <c r="Q339" s="4" t="str">
        <f>'Form responses 1'!Y341</f>
        <v/>
      </c>
      <c r="R339" s="4" t="str">
        <f>'Form responses 1'!Z341</f>
        <v/>
      </c>
      <c r="S339" s="4" t="str">
        <f>'Form responses 1'!AC341</f>
        <v/>
      </c>
      <c r="T339" s="4" t="str">
        <f>'Form responses 1'!AE341</f>
        <v/>
      </c>
      <c r="U339" s="4" t="str">
        <f>'Form responses 1'!AG341</f>
        <v/>
      </c>
      <c r="V339" s="4" t="str">
        <f>'Form responses 1'!AI341</f>
        <v/>
      </c>
      <c r="W339" s="4" t="str">
        <f>'Form responses 1'!AJ341</f>
        <v/>
      </c>
      <c r="X339" s="4" t="str">
        <f>'Form responses 1'!AK341</f>
        <v/>
      </c>
      <c r="Y339" s="4">
        <f t="shared" ref="Y339:AD339" si="338">if(S339&gt;0,1,0)</f>
        <v>0</v>
      </c>
      <c r="Z339" s="4">
        <f t="shared" si="338"/>
        <v>0</v>
      </c>
      <c r="AA339" s="4">
        <f t="shared" si="338"/>
        <v>0</v>
      </c>
      <c r="AB339" s="4">
        <f t="shared" si="338"/>
        <v>0</v>
      </c>
      <c r="AC339" s="4">
        <f t="shared" si="338"/>
        <v>0</v>
      </c>
      <c r="AD339" s="4">
        <f t="shared" si="338"/>
        <v>0</v>
      </c>
      <c r="AE339" s="4" t="str">
        <f>'Form responses 1'!AN341</f>
        <v/>
      </c>
      <c r="AF339" s="4" t="str">
        <f>'Form responses 1'!AO341</f>
        <v/>
      </c>
      <c r="AG339" s="4" t="str">
        <f>'Form responses 1'!AP341</f>
        <v/>
      </c>
      <c r="AH339" s="4" t="str">
        <f>'Form responses 1'!AQ341</f>
        <v/>
      </c>
      <c r="AI339" s="4" t="str">
        <f>'Form responses 1'!AR341</f>
        <v/>
      </c>
    </row>
    <row r="340">
      <c r="A340" s="26">
        <f>'Form responses 1'!B342</f>
        <v>46066</v>
      </c>
      <c r="B340" s="4" t="str">
        <f>'Form responses 1'!AZ342</f>
        <v>manasa.chigurupati@capsdelivery.com</v>
      </c>
      <c r="C340" s="4" t="str">
        <f>'Form responses 1'!BR342</f>
        <v>Vindhu Maharaj</v>
      </c>
      <c r="D340" s="4" t="str">
        <f>'Form responses 1'!AT342</f>
        <v>Needs to submit docs</v>
      </c>
      <c r="E340" s="4" t="str">
        <f>'Form responses 1'!AU342</f>
        <v>No</v>
      </c>
      <c r="F340" s="4" t="str">
        <f>'Form responses 1'!AX342</f>
        <v/>
      </c>
      <c r="G340" s="4" t="str">
        <f>'Form responses 1'!AY342</f>
        <v/>
      </c>
      <c r="H340" s="53" t="str">
        <f>'Form responses 1'!AW342</f>
        <v/>
      </c>
      <c r="I340" s="4" t="str">
        <f>'Form responses 1'!AS342</f>
        <v>Yes</v>
      </c>
      <c r="J340" s="4" t="str">
        <f>'Form responses 1'!J342</f>
        <v>Tier-3 ( AOV&lt;200 )</v>
      </c>
      <c r="K340" s="4">
        <f>'Form responses 1'!G342</f>
        <v>200</v>
      </c>
      <c r="L340" s="4">
        <f>'Form responses 1'!F342</f>
        <v>40</v>
      </c>
      <c r="M340" s="4" t="str">
        <f>'Form responses 1'!U342</f>
        <v>Ravi Kumar</v>
      </c>
      <c r="N340" s="4">
        <f>'Form responses 1'!V342</f>
        <v>9177960195</v>
      </c>
      <c r="O340" s="4" t="str">
        <f>'Form responses 1'!W342</f>
        <v>Velagapudi6@gmail.com</v>
      </c>
      <c r="P340" s="4" t="str">
        <f>'Form responses 1'!X342</f>
        <v/>
      </c>
      <c r="Q340" s="4" t="str">
        <f>'Form responses 1'!Y342</f>
        <v/>
      </c>
      <c r="R340" s="4" t="str">
        <f>'Form responses 1'!Z342</f>
        <v/>
      </c>
      <c r="S340" s="4" t="str">
        <f>'Form responses 1'!AC342</f>
        <v/>
      </c>
      <c r="T340" s="4" t="str">
        <f>'Form responses 1'!AE342</f>
        <v/>
      </c>
      <c r="U340" s="4" t="str">
        <f>'Form responses 1'!AG342</f>
        <v/>
      </c>
      <c r="V340" s="4" t="str">
        <f>'Form responses 1'!AI342</f>
        <v/>
      </c>
      <c r="W340" s="4" t="str">
        <f>'Form responses 1'!AJ342</f>
        <v/>
      </c>
      <c r="X340" s="4" t="str">
        <f>'Form responses 1'!AK342</f>
        <v/>
      </c>
      <c r="Y340" s="4">
        <f t="shared" ref="Y340:AD340" si="339">if(S340&gt;0,1,0)</f>
        <v>0</v>
      </c>
      <c r="Z340" s="4">
        <f t="shared" si="339"/>
        <v>0</v>
      </c>
      <c r="AA340" s="4">
        <f t="shared" si="339"/>
        <v>0</v>
      </c>
      <c r="AB340" s="4">
        <f t="shared" si="339"/>
        <v>0</v>
      </c>
      <c r="AC340" s="4">
        <f t="shared" si="339"/>
        <v>0</v>
      </c>
      <c r="AD340" s="4">
        <f t="shared" si="339"/>
        <v>0</v>
      </c>
      <c r="AE340" s="4" t="str">
        <f>'Form responses 1'!AN342</f>
        <v/>
      </c>
      <c r="AF340" s="4" t="str">
        <f>'Form responses 1'!AO342</f>
        <v/>
      </c>
      <c r="AG340" s="4" t="str">
        <f>'Form responses 1'!AP342</f>
        <v/>
      </c>
      <c r="AH340" s="4" t="str">
        <f>'Form responses 1'!AQ342</f>
        <v/>
      </c>
      <c r="AI340" s="4" t="str">
        <f>'Form responses 1'!AR342</f>
        <v/>
      </c>
    </row>
    <row r="341">
      <c r="A341" s="26">
        <f>'Form responses 1'!B343</f>
        <v>46066</v>
      </c>
      <c r="B341" s="4" t="str">
        <f>'Form responses 1'!AZ343</f>
        <v>ankitha.baske@capsdelivery.com</v>
      </c>
      <c r="C341" s="4" t="str">
        <f>'Form responses 1'!BR343</f>
        <v>Amogha Cafe and restaurant </v>
      </c>
      <c r="D341" s="4" t="str">
        <f>'Form responses 1'!AT343</f>
        <v/>
      </c>
      <c r="E341" s="4" t="str">
        <f>'Form responses 1'!AU343</f>
        <v>Yes</v>
      </c>
      <c r="F341" s="4" t="str">
        <f>'Form responses 1'!AX343</f>
        <v/>
      </c>
      <c r="G341" s="4" t="str">
        <f>'Form responses 1'!AY343</f>
        <v/>
      </c>
      <c r="H341" s="53" t="str">
        <f>'Form responses 1'!AW343</f>
        <v>He will give the documents after app lauch</v>
      </c>
      <c r="I341" s="4" t="str">
        <f>'Form responses 1'!AS343</f>
        <v>Yes</v>
      </c>
      <c r="J341" s="4" t="str">
        <f>'Form responses 1'!J343</f>
        <v>Tier-2 (AOV &lt;400)</v>
      </c>
      <c r="K341" s="4">
        <f>'Form responses 1'!G343</f>
        <v>200</v>
      </c>
      <c r="L341" s="4">
        <f>'Form responses 1'!F343</f>
        <v>50</v>
      </c>
      <c r="M341" s="4" t="str">
        <f>'Form responses 1'!U343</f>
        <v>Prasad</v>
      </c>
      <c r="N341" s="4">
        <f>'Form responses 1'!V343</f>
        <v>8317696260</v>
      </c>
      <c r="O341" s="4" t="str">
        <f>'Form responses 1'!W343</f>
        <v>amoghacafe@gmail.com</v>
      </c>
      <c r="P341" s="4" t="str">
        <f>'Form responses 1'!X343</f>
        <v/>
      </c>
      <c r="Q341" s="4" t="str">
        <f>'Form responses 1'!Y343</f>
        <v/>
      </c>
      <c r="R341" s="4" t="str">
        <f>'Form responses 1'!Z343</f>
        <v/>
      </c>
      <c r="S341" s="4" t="str">
        <f>'Form responses 1'!AC343</f>
        <v/>
      </c>
      <c r="T341" s="4" t="str">
        <f>'Form responses 1'!AE343</f>
        <v/>
      </c>
      <c r="U341" s="4" t="str">
        <f>'Form responses 1'!AG343</f>
        <v/>
      </c>
      <c r="V341" s="4" t="str">
        <f>'Form responses 1'!AI343</f>
        <v/>
      </c>
      <c r="W341" s="4" t="str">
        <f>'Form responses 1'!AJ343</f>
        <v/>
      </c>
      <c r="X341" s="4" t="str">
        <f>'Form responses 1'!AK343</f>
        <v/>
      </c>
      <c r="Y341" s="4">
        <f t="shared" ref="Y341:AD341" si="340">if(S341&gt;0,1,0)</f>
        <v>0</v>
      </c>
      <c r="Z341" s="4">
        <f t="shared" si="340"/>
        <v>0</v>
      </c>
      <c r="AA341" s="4">
        <f t="shared" si="340"/>
        <v>0</v>
      </c>
      <c r="AB341" s="4">
        <f t="shared" si="340"/>
        <v>0</v>
      </c>
      <c r="AC341" s="4">
        <f t="shared" si="340"/>
        <v>0</v>
      </c>
      <c r="AD341" s="4">
        <f t="shared" si="340"/>
        <v>0</v>
      </c>
      <c r="AE341" s="4" t="str">
        <f>'Form responses 1'!AN343</f>
        <v/>
      </c>
      <c r="AF341" s="4" t="str">
        <f>'Form responses 1'!AO343</f>
        <v/>
      </c>
      <c r="AG341" s="4" t="str">
        <f>'Form responses 1'!AP343</f>
        <v/>
      </c>
      <c r="AH341" s="4" t="str">
        <f>'Form responses 1'!AQ343</f>
        <v/>
      </c>
      <c r="AI341" s="4" t="str">
        <f>'Form responses 1'!AR343</f>
        <v/>
      </c>
    </row>
    <row r="342">
      <c r="A342" s="26">
        <f>'Form responses 1'!B344</f>
        <v>46066</v>
      </c>
      <c r="B342" s="4" t="str">
        <f>'Form responses 1'!AZ344</f>
        <v>ankitha.baske@capsdelivery.com</v>
      </c>
      <c r="C342" s="4" t="str">
        <f>'Form responses 1'!BR344</f>
        <v>Sri Aadhaya Delicious </v>
      </c>
      <c r="D342" s="4" t="str">
        <f>'Form responses 1'!AT344</f>
        <v>Onboarded </v>
      </c>
      <c r="E342" s="4" t="str">
        <f>'Form responses 1'!AU344</f>
        <v>No</v>
      </c>
      <c r="F342" s="4" t="str">
        <f>'Form responses 1'!AX344</f>
        <v/>
      </c>
      <c r="G342" s="4" t="str">
        <f>'Form responses 1'!AY344</f>
        <v/>
      </c>
      <c r="H342" s="53" t="str">
        <f>'Form responses 1'!AW344</f>
        <v/>
      </c>
      <c r="I342" s="4" t="str">
        <f>'Form responses 1'!AS344</f>
        <v>Yes</v>
      </c>
      <c r="J342" s="4" t="str">
        <f>'Form responses 1'!J344</f>
        <v>Tier-2 (AOV &lt;400)</v>
      </c>
      <c r="K342" s="4">
        <f>'Form responses 1'!G344</f>
        <v>250</v>
      </c>
      <c r="L342" s="4">
        <f>'Form responses 1'!F344</f>
        <v>40</v>
      </c>
      <c r="M342" s="4" t="str">
        <f>'Form responses 1'!U344</f>
        <v>Manikanta</v>
      </c>
      <c r="N342" s="4">
        <f>'Form responses 1'!V344</f>
        <v>8333936696</v>
      </c>
      <c r="O342" s="4" t="str">
        <f>'Form responses 1'!W344</f>
        <v>na</v>
      </c>
      <c r="P342" s="4" t="str">
        <f>'Form responses 1'!X344</f>
        <v/>
      </c>
      <c r="Q342" s="4" t="str">
        <f>'Form responses 1'!Y344</f>
        <v/>
      </c>
      <c r="R342" s="4" t="str">
        <f>'Form responses 1'!Z344</f>
        <v/>
      </c>
      <c r="S342" s="54" t="str">
        <f>'Form responses 1'!AC344</f>
        <v>https://drive.google.com/open?id=1lRsfS8PW2rGv9OdqTH2xf99j_u_nNw-E</v>
      </c>
      <c r="T342" s="4" t="str">
        <f>'Form responses 1'!AE344</f>
        <v/>
      </c>
      <c r="U342" s="4" t="str">
        <f>'Form responses 1'!AG344</f>
        <v/>
      </c>
      <c r="V342" s="4" t="str">
        <f>'Form responses 1'!AI344</f>
        <v/>
      </c>
      <c r="W342" s="4" t="str">
        <f>'Form responses 1'!AJ344</f>
        <v/>
      </c>
      <c r="X342" s="4" t="str">
        <f>'Form responses 1'!AK344</f>
        <v/>
      </c>
      <c r="Y342" s="4">
        <f t="shared" ref="Y342:AD342" si="341">if(S342&gt;0,1,0)</f>
        <v>1</v>
      </c>
      <c r="Z342" s="4">
        <f t="shared" si="341"/>
        <v>0</v>
      </c>
      <c r="AA342" s="4">
        <f t="shared" si="341"/>
        <v>0</v>
      </c>
      <c r="AB342" s="4">
        <f t="shared" si="341"/>
        <v>0</v>
      </c>
      <c r="AC342" s="4">
        <f t="shared" si="341"/>
        <v>0</v>
      </c>
      <c r="AD342" s="4">
        <f t="shared" si="341"/>
        <v>0</v>
      </c>
      <c r="AE342" s="4" t="str">
        <f>'Form responses 1'!AN344</f>
        <v/>
      </c>
      <c r="AF342" s="4" t="str">
        <f>'Form responses 1'!AO344</f>
        <v/>
      </c>
      <c r="AG342" s="4" t="str">
        <f>'Form responses 1'!AP344</f>
        <v/>
      </c>
      <c r="AH342" s="4" t="str">
        <f>'Form responses 1'!AQ344</f>
        <v/>
      </c>
      <c r="AI342" s="4" t="str">
        <f>'Form responses 1'!AR344</f>
        <v/>
      </c>
    </row>
    <row r="343">
      <c r="A343" s="26">
        <f>'Form responses 1'!B345</f>
        <v>46066</v>
      </c>
      <c r="B343" s="4" t="str">
        <f>'Form responses 1'!AZ345</f>
        <v>ankitha.baske@capsdelivery.com</v>
      </c>
      <c r="C343" s="4" t="str">
        <f>'Form responses 1'!BR345</f>
        <v>Wow! Vadapav</v>
      </c>
      <c r="D343" s="4" t="str">
        <f>'Form responses 1'!AT345</f>
        <v/>
      </c>
      <c r="E343" s="4" t="str">
        <f>'Form responses 1'!AU345</f>
        <v>Yes</v>
      </c>
      <c r="F343" s="26">
        <f>'Form responses 1'!AX345</f>
        <v>46067</v>
      </c>
      <c r="G343" s="52">
        <f>'Form responses 1'!AY345</f>
        <v>0.6666666667</v>
      </c>
      <c r="H343" s="53" t="str">
        <f>'Form responses 1'!AW345</f>
        <v/>
      </c>
      <c r="I343" s="4" t="str">
        <f>'Form responses 1'!AS345</f>
        <v/>
      </c>
      <c r="J343" s="4" t="str">
        <f>'Form responses 1'!J345</f>
        <v/>
      </c>
      <c r="K343" s="4" t="str">
        <f>'Form responses 1'!G345</f>
        <v/>
      </c>
      <c r="L343" s="4" t="str">
        <f>'Form responses 1'!F345</f>
        <v/>
      </c>
      <c r="M343" s="4" t="str">
        <f>'Form responses 1'!U345</f>
        <v>Sridar</v>
      </c>
      <c r="N343" s="4">
        <f>'Form responses 1'!V345</f>
        <v>7970928335</v>
      </c>
      <c r="O343" s="4" t="str">
        <f>'Form responses 1'!W345</f>
        <v>NA</v>
      </c>
      <c r="P343" s="4" t="str">
        <f>'Form responses 1'!X345</f>
        <v/>
      </c>
      <c r="Q343" s="4" t="str">
        <f>'Form responses 1'!Y345</f>
        <v/>
      </c>
      <c r="R343" s="4" t="str">
        <f>'Form responses 1'!Z345</f>
        <v/>
      </c>
      <c r="S343" s="4" t="str">
        <f>'Form responses 1'!AC345</f>
        <v/>
      </c>
      <c r="T343" s="4" t="str">
        <f>'Form responses 1'!AE345</f>
        <v/>
      </c>
      <c r="U343" s="4" t="str">
        <f>'Form responses 1'!AG345</f>
        <v/>
      </c>
      <c r="V343" s="4" t="str">
        <f>'Form responses 1'!AI345</f>
        <v/>
      </c>
      <c r="W343" s="4" t="str">
        <f>'Form responses 1'!AJ345</f>
        <v/>
      </c>
      <c r="X343" s="4" t="str">
        <f>'Form responses 1'!AK345</f>
        <v/>
      </c>
      <c r="Y343" s="4">
        <f t="shared" ref="Y343:AD343" si="342">if(S343&gt;0,1,0)</f>
        <v>0</v>
      </c>
      <c r="Z343" s="4">
        <f t="shared" si="342"/>
        <v>0</v>
      </c>
      <c r="AA343" s="4">
        <f t="shared" si="342"/>
        <v>0</v>
      </c>
      <c r="AB343" s="4">
        <f t="shared" si="342"/>
        <v>0</v>
      </c>
      <c r="AC343" s="4">
        <f t="shared" si="342"/>
        <v>0</v>
      </c>
      <c r="AD343" s="4">
        <f t="shared" si="342"/>
        <v>0</v>
      </c>
      <c r="AE343" s="4" t="str">
        <f>'Form responses 1'!AN345</f>
        <v/>
      </c>
      <c r="AF343" s="4" t="str">
        <f>'Form responses 1'!AO345</f>
        <v/>
      </c>
      <c r="AG343" s="4" t="str">
        <f>'Form responses 1'!AP345</f>
        <v/>
      </c>
      <c r="AH343" s="4" t="str">
        <f>'Form responses 1'!AQ345</f>
        <v/>
      </c>
      <c r="AI343" s="4" t="str">
        <f>'Form responses 1'!AR345</f>
        <v/>
      </c>
    </row>
    <row r="344">
      <c r="A344" s="26">
        <f>'Form responses 1'!B346</f>
        <v>46066</v>
      </c>
      <c r="B344" s="4" t="str">
        <f>'Form responses 1'!AZ346</f>
        <v>ankitha.baske@capsdelivery.com</v>
      </c>
      <c r="C344" s="4" t="str">
        <f>'Form responses 1'!BR346</f>
        <v>Creative Home Baker’s </v>
      </c>
      <c r="D344" s="4" t="str">
        <f>'Form responses 1'!AT346</f>
        <v/>
      </c>
      <c r="E344" s="4" t="str">
        <f>'Form responses 1'!AU346</f>
        <v>Yes</v>
      </c>
      <c r="F344" s="26">
        <f>'Form responses 1'!AX346</f>
        <v>46067</v>
      </c>
      <c r="G344" s="52">
        <f>'Form responses 1'!AY346</f>
        <v>0.5833333333</v>
      </c>
      <c r="H344" s="53" t="str">
        <f>'Form responses 1'!AW346</f>
        <v/>
      </c>
      <c r="I344" s="4" t="str">
        <f>'Form responses 1'!AS346</f>
        <v/>
      </c>
      <c r="J344" s="4" t="str">
        <f>'Form responses 1'!J346</f>
        <v/>
      </c>
      <c r="K344" s="4" t="str">
        <f>'Form responses 1'!G346</f>
        <v/>
      </c>
      <c r="L344" s="4" t="str">
        <f>'Form responses 1'!F346</f>
        <v/>
      </c>
      <c r="M344" s="4" t="str">
        <f>'Form responses 1'!U346</f>
        <v>Anad</v>
      </c>
      <c r="N344" s="4">
        <f>'Form responses 1'!V346</f>
        <v>7989922430</v>
      </c>
      <c r="O344" s="4" t="str">
        <f>'Form responses 1'!W346</f>
        <v>NA</v>
      </c>
      <c r="P344" s="4" t="str">
        <f>'Form responses 1'!X346</f>
        <v/>
      </c>
      <c r="Q344" s="4" t="str">
        <f>'Form responses 1'!Y346</f>
        <v/>
      </c>
      <c r="R344" s="4" t="str">
        <f>'Form responses 1'!Z346</f>
        <v/>
      </c>
      <c r="S344" s="4" t="str">
        <f>'Form responses 1'!AC346</f>
        <v/>
      </c>
      <c r="T344" s="4" t="str">
        <f>'Form responses 1'!AE346</f>
        <v/>
      </c>
      <c r="U344" s="4" t="str">
        <f>'Form responses 1'!AG346</f>
        <v/>
      </c>
      <c r="V344" s="4" t="str">
        <f>'Form responses 1'!AI346</f>
        <v/>
      </c>
      <c r="W344" s="4" t="str">
        <f>'Form responses 1'!AJ346</f>
        <v/>
      </c>
      <c r="X344" s="4" t="str">
        <f>'Form responses 1'!AK346</f>
        <v/>
      </c>
      <c r="Y344" s="4">
        <f t="shared" ref="Y344:AD344" si="343">if(S344&gt;0,1,0)</f>
        <v>0</v>
      </c>
      <c r="Z344" s="4">
        <f t="shared" si="343"/>
        <v>0</v>
      </c>
      <c r="AA344" s="4">
        <f t="shared" si="343"/>
        <v>0</v>
      </c>
      <c r="AB344" s="4">
        <f t="shared" si="343"/>
        <v>0</v>
      </c>
      <c r="AC344" s="4">
        <f t="shared" si="343"/>
        <v>0</v>
      </c>
      <c r="AD344" s="4">
        <f t="shared" si="343"/>
        <v>0</v>
      </c>
      <c r="AE344" s="4" t="str">
        <f>'Form responses 1'!AN346</f>
        <v/>
      </c>
      <c r="AF344" s="4" t="str">
        <f>'Form responses 1'!AO346</f>
        <v/>
      </c>
      <c r="AG344" s="4" t="str">
        <f>'Form responses 1'!AP346</f>
        <v/>
      </c>
      <c r="AH344" s="4" t="str">
        <f>'Form responses 1'!AQ346</f>
        <v/>
      </c>
      <c r="AI344" s="4" t="str">
        <f>'Form responses 1'!AR346</f>
        <v/>
      </c>
    </row>
    <row r="345">
      <c r="A345" s="26">
        <f>'Form responses 1'!B347</f>
        <v>46066</v>
      </c>
      <c r="B345" s="4" t="str">
        <f>'Form responses 1'!AZ347</f>
        <v>ankitha.baske@capsdelivery.com</v>
      </c>
      <c r="C345" s="4" t="str">
        <f>'Form responses 1'!BR347</f>
        <v>Wrappy</v>
      </c>
      <c r="D345" s="4" t="str">
        <f>'Form responses 1'!AT347</f>
        <v/>
      </c>
      <c r="E345" s="4" t="str">
        <f>'Form responses 1'!AU347</f>
        <v>Yes</v>
      </c>
      <c r="F345" s="26">
        <f>'Form responses 1'!AX347</f>
        <v>46067</v>
      </c>
      <c r="G345" s="52">
        <f>'Form responses 1'!AY347</f>
        <v>0.625</v>
      </c>
      <c r="H345" s="53" t="str">
        <f>'Form responses 1'!AW347</f>
        <v/>
      </c>
      <c r="I345" s="4" t="str">
        <f>'Form responses 1'!AS347</f>
        <v/>
      </c>
      <c r="J345" s="4" t="str">
        <f>'Form responses 1'!J347</f>
        <v/>
      </c>
      <c r="K345" s="4" t="str">
        <f>'Form responses 1'!G347</f>
        <v/>
      </c>
      <c r="L345" s="4" t="str">
        <f>'Form responses 1'!F347</f>
        <v/>
      </c>
      <c r="M345" s="4" t="str">
        <f>'Form responses 1'!U347</f>
        <v>Suresh</v>
      </c>
      <c r="N345" s="4">
        <f>'Form responses 1'!V347</f>
        <v>8978621009</v>
      </c>
      <c r="O345" s="4" t="str">
        <f>'Form responses 1'!W347</f>
        <v>NA</v>
      </c>
      <c r="P345" s="4" t="str">
        <f>'Form responses 1'!X347</f>
        <v/>
      </c>
      <c r="Q345" s="4" t="str">
        <f>'Form responses 1'!Y347</f>
        <v/>
      </c>
      <c r="R345" s="4" t="str">
        <f>'Form responses 1'!Z347</f>
        <v/>
      </c>
      <c r="S345" s="4" t="str">
        <f>'Form responses 1'!AC347</f>
        <v/>
      </c>
      <c r="T345" s="4" t="str">
        <f>'Form responses 1'!AE347</f>
        <v/>
      </c>
      <c r="U345" s="4" t="str">
        <f>'Form responses 1'!AG347</f>
        <v/>
      </c>
      <c r="V345" s="4" t="str">
        <f>'Form responses 1'!AI347</f>
        <v/>
      </c>
      <c r="W345" s="4" t="str">
        <f>'Form responses 1'!AJ347</f>
        <v/>
      </c>
      <c r="X345" s="4" t="str">
        <f>'Form responses 1'!AK347</f>
        <v/>
      </c>
      <c r="Y345" s="4">
        <f t="shared" ref="Y345:AD345" si="344">if(S345&gt;0,1,0)</f>
        <v>0</v>
      </c>
      <c r="Z345" s="4">
        <f t="shared" si="344"/>
        <v>0</v>
      </c>
      <c r="AA345" s="4">
        <f t="shared" si="344"/>
        <v>0</v>
      </c>
      <c r="AB345" s="4">
        <f t="shared" si="344"/>
        <v>0</v>
      </c>
      <c r="AC345" s="4">
        <f t="shared" si="344"/>
        <v>0</v>
      </c>
      <c r="AD345" s="4">
        <f t="shared" si="344"/>
        <v>0</v>
      </c>
      <c r="AE345" s="4" t="str">
        <f>'Form responses 1'!AN347</f>
        <v/>
      </c>
      <c r="AF345" s="4" t="str">
        <f>'Form responses 1'!AO347</f>
        <v/>
      </c>
      <c r="AG345" s="4" t="str">
        <f>'Form responses 1'!AP347</f>
        <v/>
      </c>
      <c r="AH345" s="4" t="str">
        <f>'Form responses 1'!AQ347</f>
        <v/>
      </c>
      <c r="AI345" s="4" t="str">
        <f>'Form responses 1'!AR347</f>
        <v/>
      </c>
    </row>
    <row r="346">
      <c r="A346" s="26">
        <f>'Form responses 1'!B348</f>
        <v>46066</v>
      </c>
      <c r="B346" s="4" t="str">
        <f>'Form responses 1'!AZ348</f>
        <v>manasa.chigurupati@capsdelivery.com</v>
      </c>
      <c r="C346" s="4" t="str">
        <f>'Form responses 1'!BR348</f>
        <v>Raj Darbar</v>
      </c>
      <c r="D346" s="4" t="str">
        <f>'Form responses 1'!AT348</f>
        <v/>
      </c>
      <c r="E346" s="4" t="str">
        <f>'Form responses 1'!AU348</f>
        <v>Yes</v>
      </c>
      <c r="F346" s="4" t="str">
        <f>'Form responses 1'!AX348</f>
        <v/>
      </c>
      <c r="G346" s="4" t="str">
        <f>'Form responses 1'!AY348</f>
        <v/>
      </c>
      <c r="H346" s="53" t="str">
        <f>'Form responses 1'!AW348</f>
        <v/>
      </c>
      <c r="I346" s="4" t="str">
        <f>'Form responses 1'!AS348</f>
        <v/>
      </c>
      <c r="J346" s="4" t="str">
        <f>'Form responses 1'!J348</f>
        <v/>
      </c>
      <c r="K346" s="4" t="str">
        <f>'Form responses 1'!G348</f>
        <v/>
      </c>
      <c r="L346" s="4" t="str">
        <f>'Form responses 1'!F348</f>
        <v/>
      </c>
      <c r="M346" s="4" t="str">
        <f>'Form responses 1'!U348</f>
        <v>Karthik</v>
      </c>
      <c r="N346" s="4">
        <f>'Form responses 1'!V348</f>
        <v>9246290001</v>
      </c>
      <c r="O346" s="4" t="str">
        <f>'Form responses 1'!W348</f>
        <v>c.sivakarthik@gmail.com</v>
      </c>
      <c r="P346" s="4" t="str">
        <f>'Form responses 1'!X348</f>
        <v/>
      </c>
      <c r="Q346" s="4" t="str">
        <f>'Form responses 1'!Y348</f>
        <v/>
      </c>
      <c r="R346" s="4" t="str">
        <f>'Form responses 1'!Z348</f>
        <v/>
      </c>
      <c r="S346" s="4" t="str">
        <f>'Form responses 1'!AC348</f>
        <v/>
      </c>
      <c r="T346" s="4" t="str">
        <f>'Form responses 1'!AE348</f>
        <v/>
      </c>
      <c r="U346" s="4" t="str">
        <f>'Form responses 1'!AG348</f>
        <v/>
      </c>
      <c r="V346" s="4" t="str">
        <f>'Form responses 1'!AI348</f>
        <v/>
      </c>
      <c r="W346" s="4" t="str">
        <f>'Form responses 1'!AJ348</f>
        <v/>
      </c>
      <c r="X346" s="4" t="str">
        <f>'Form responses 1'!AK348</f>
        <v/>
      </c>
      <c r="Y346" s="4">
        <f t="shared" ref="Y346:AD346" si="345">if(S346&gt;0,1,0)</f>
        <v>0</v>
      </c>
      <c r="Z346" s="4">
        <f t="shared" si="345"/>
        <v>0</v>
      </c>
      <c r="AA346" s="4">
        <f t="shared" si="345"/>
        <v>0</v>
      </c>
      <c r="AB346" s="4">
        <f t="shared" si="345"/>
        <v>0</v>
      </c>
      <c r="AC346" s="4">
        <f t="shared" si="345"/>
        <v>0</v>
      </c>
      <c r="AD346" s="4">
        <f t="shared" si="345"/>
        <v>0</v>
      </c>
      <c r="AE346" s="4" t="str">
        <f>'Form responses 1'!AN348</f>
        <v/>
      </c>
      <c r="AF346" s="4" t="str">
        <f>'Form responses 1'!AO348</f>
        <v/>
      </c>
      <c r="AG346" s="4" t="str">
        <f>'Form responses 1'!AP348</f>
        <v/>
      </c>
      <c r="AH346" s="4" t="str">
        <f>'Form responses 1'!AQ348</f>
        <v/>
      </c>
      <c r="AI346" s="4" t="str">
        <f>'Form responses 1'!AR348</f>
        <v/>
      </c>
    </row>
    <row r="347">
      <c r="A347" s="26">
        <f>'Form responses 1'!B349</f>
        <v>46066</v>
      </c>
      <c r="B347" s="4" t="str">
        <f>'Form responses 1'!AZ349</f>
        <v>chanakya.inugala@capsdelivery.com</v>
      </c>
      <c r="C347" s="4" t="str">
        <f>'Form responses 1'!BR349</f>
        <v>Fuel smoke House </v>
      </c>
      <c r="D347" s="4" t="str">
        <f>'Form responses 1'!AT349</f>
        <v/>
      </c>
      <c r="E347" s="4" t="str">
        <f>'Form responses 1'!AU349</f>
        <v>Yes</v>
      </c>
      <c r="F347" s="4" t="str">
        <f>'Form responses 1'!AX349</f>
        <v/>
      </c>
      <c r="G347" s="4" t="str">
        <f>'Form responses 1'!AY349</f>
        <v/>
      </c>
      <c r="H347" s="53" t="str">
        <f>'Form responses 1'!AW349</f>
        <v/>
      </c>
      <c r="I347" s="4" t="str">
        <f>'Form responses 1'!AS349</f>
        <v/>
      </c>
      <c r="J347" s="4" t="str">
        <f>'Form responses 1'!J349</f>
        <v>Tier-2 (AOV &lt;400)</v>
      </c>
      <c r="K347" s="4">
        <f>'Form responses 1'!G349</f>
        <v>500</v>
      </c>
      <c r="L347" s="4">
        <f>'Form responses 1'!F349</f>
        <v>40</v>
      </c>
      <c r="M347" s="4" t="str">
        <f>'Form responses 1'!U349</f>
        <v>Kalyani </v>
      </c>
      <c r="N347" s="4">
        <f>'Form responses 1'!V349</f>
        <v>8341366998</v>
      </c>
      <c r="O347" s="4" t="str">
        <f>'Form responses 1'!W349</f>
        <v>Na</v>
      </c>
      <c r="P347" s="4" t="str">
        <f>'Form responses 1'!X349</f>
        <v/>
      </c>
      <c r="Q347" s="4" t="str">
        <f>'Form responses 1'!Y349</f>
        <v/>
      </c>
      <c r="R347" s="4" t="str">
        <f>'Form responses 1'!Z349</f>
        <v/>
      </c>
      <c r="S347" s="4" t="str">
        <f>'Form responses 1'!AC349</f>
        <v/>
      </c>
      <c r="T347" s="4" t="str">
        <f>'Form responses 1'!AE349</f>
        <v/>
      </c>
      <c r="U347" s="4" t="str">
        <f>'Form responses 1'!AG349</f>
        <v/>
      </c>
      <c r="V347" s="4" t="str">
        <f>'Form responses 1'!AI349</f>
        <v/>
      </c>
      <c r="W347" s="4" t="str">
        <f>'Form responses 1'!AJ349</f>
        <v/>
      </c>
      <c r="X347" s="4" t="str">
        <f>'Form responses 1'!AK349</f>
        <v/>
      </c>
      <c r="Y347" s="4">
        <f t="shared" ref="Y347:AD347" si="346">if(S347&gt;0,1,0)</f>
        <v>0</v>
      </c>
      <c r="Z347" s="4">
        <f t="shared" si="346"/>
        <v>0</v>
      </c>
      <c r="AA347" s="4">
        <f t="shared" si="346"/>
        <v>0</v>
      </c>
      <c r="AB347" s="4">
        <f t="shared" si="346"/>
        <v>0</v>
      </c>
      <c r="AC347" s="4">
        <f t="shared" si="346"/>
        <v>0</v>
      </c>
      <c r="AD347" s="4">
        <f t="shared" si="346"/>
        <v>0</v>
      </c>
      <c r="AE347" s="4" t="str">
        <f>'Form responses 1'!AN349</f>
        <v/>
      </c>
      <c r="AF347" s="4" t="str">
        <f>'Form responses 1'!AO349</f>
        <v/>
      </c>
      <c r="AG347" s="4" t="str">
        <f>'Form responses 1'!AP349</f>
        <v/>
      </c>
      <c r="AH347" s="4" t="str">
        <f>'Form responses 1'!AQ349</f>
        <v/>
      </c>
      <c r="AI347" s="4" t="str">
        <f>'Form responses 1'!AR349</f>
        <v/>
      </c>
    </row>
    <row r="348">
      <c r="A348" s="26">
        <f>'Form responses 1'!B350</f>
        <v>46066</v>
      </c>
      <c r="B348" s="4" t="str">
        <f>'Form responses 1'!AZ350</f>
        <v>nitya.akshara@capsdelivery.com</v>
      </c>
      <c r="C348" s="4" t="str">
        <f>'Form responses 1'!BR350</f>
        <v>Sri Krishna</v>
      </c>
      <c r="D348" s="4" t="str">
        <f>'Form responses 1'!AT350</f>
        <v>No</v>
      </c>
      <c r="E348" s="4" t="str">
        <f>'Form responses 1'!AU350</f>
        <v>No</v>
      </c>
      <c r="F348" s="4" t="str">
        <f>'Form responses 1'!AX350</f>
        <v/>
      </c>
      <c r="G348" s="4" t="str">
        <f>'Form responses 1'!AY350</f>
        <v/>
      </c>
      <c r="H348" s="53" t="str">
        <f>'Form responses 1'!AW350</f>
        <v/>
      </c>
      <c r="I348" s="4" t="str">
        <f>'Form responses 1'!AS350</f>
        <v/>
      </c>
      <c r="J348" s="4" t="str">
        <f>'Form responses 1'!J350</f>
        <v>Tier-3 ( AOV&lt;200 )</v>
      </c>
      <c r="K348" s="4">
        <f>'Form responses 1'!G350</f>
        <v>150</v>
      </c>
      <c r="L348" s="4">
        <f>'Form responses 1'!F350</f>
        <v>1</v>
      </c>
      <c r="M348" s="4" t="str">
        <f>'Form responses 1'!U350</f>
        <v>NA</v>
      </c>
      <c r="N348" s="4">
        <f>'Form responses 1'!V350</f>
        <v>7396369586</v>
      </c>
      <c r="O348" s="4" t="str">
        <f>'Form responses 1'!W350</f>
        <v>NA</v>
      </c>
      <c r="P348" s="4" t="str">
        <f>'Form responses 1'!X350</f>
        <v/>
      </c>
      <c r="Q348" s="4" t="str">
        <f>'Form responses 1'!Y350</f>
        <v/>
      </c>
      <c r="R348" s="4" t="str">
        <f>'Form responses 1'!Z350</f>
        <v/>
      </c>
      <c r="S348" s="4" t="str">
        <f>'Form responses 1'!AC350</f>
        <v/>
      </c>
      <c r="T348" s="4" t="str">
        <f>'Form responses 1'!AE350</f>
        <v/>
      </c>
      <c r="U348" s="4" t="str">
        <f>'Form responses 1'!AG350</f>
        <v/>
      </c>
      <c r="V348" s="4" t="str">
        <f>'Form responses 1'!AI350</f>
        <v/>
      </c>
      <c r="W348" s="4" t="str">
        <f>'Form responses 1'!AJ350</f>
        <v/>
      </c>
      <c r="X348" s="4" t="str">
        <f>'Form responses 1'!AK350</f>
        <v/>
      </c>
      <c r="Y348" s="4">
        <f t="shared" ref="Y348:AD348" si="347">if(S348&gt;0,1,0)</f>
        <v>0</v>
      </c>
      <c r="Z348" s="4">
        <f t="shared" si="347"/>
        <v>0</v>
      </c>
      <c r="AA348" s="4">
        <f t="shared" si="347"/>
        <v>0</v>
      </c>
      <c r="AB348" s="4">
        <f t="shared" si="347"/>
        <v>0</v>
      </c>
      <c r="AC348" s="4">
        <f t="shared" si="347"/>
        <v>0</v>
      </c>
      <c r="AD348" s="4">
        <f t="shared" si="347"/>
        <v>0</v>
      </c>
      <c r="AE348" s="4" t="str">
        <f>'Form responses 1'!AN350</f>
        <v/>
      </c>
      <c r="AF348" s="4" t="str">
        <f>'Form responses 1'!AO350</f>
        <v/>
      </c>
      <c r="AG348" s="4" t="str">
        <f>'Form responses 1'!AP350</f>
        <v/>
      </c>
      <c r="AH348" s="4" t="str">
        <f>'Form responses 1'!AQ350</f>
        <v/>
      </c>
      <c r="AI348" s="4" t="str">
        <f>'Form responses 1'!AR350</f>
        <v/>
      </c>
    </row>
    <row r="349">
      <c r="A349" s="26">
        <f>'Form responses 1'!B351</f>
        <v>46066</v>
      </c>
      <c r="B349" s="4" t="str">
        <f>'Form responses 1'!AZ351</f>
        <v>chanakya.inugala@capsdelivery.com</v>
      </c>
      <c r="C349" s="4" t="str">
        <f>'Form responses 1'!BR351</f>
        <v>Om sree Sai foods</v>
      </c>
      <c r="D349" s="4" t="str">
        <f>'Form responses 1'!AT351</f>
        <v/>
      </c>
      <c r="E349" s="4" t="str">
        <f>'Form responses 1'!AU351</f>
        <v>Yes</v>
      </c>
      <c r="F349" s="4" t="str">
        <f>'Form responses 1'!AX351</f>
        <v/>
      </c>
      <c r="G349" s="4" t="str">
        <f>'Form responses 1'!AY351</f>
        <v/>
      </c>
      <c r="H349" s="53" t="str">
        <f>'Form responses 1'!AW351</f>
        <v/>
      </c>
      <c r="I349" s="4" t="str">
        <f>'Form responses 1'!AS351</f>
        <v/>
      </c>
      <c r="J349" s="4" t="str">
        <f>'Form responses 1'!J351</f>
        <v>Tier-3 ( AOV&lt;200 )</v>
      </c>
      <c r="K349" s="4">
        <f>'Form responses 1'!G351</f>
        <v>300</v>
      </c>
      <c r="L349" s="4">
        <f>'Form responses 1'!F351</f>
        <v>10</v>
      </c>
      <c r="M349" s="4" t="str">
        <f>'Form responses 1'!U351</f>
        <v>Na</v>
      </c>
      <c r="N349" s="4">
        <f>'Form responses 1'!V351</f>
        <v>9030474848</v>
      </c>
      <c r="O349" s="4" t="str">
        <f>'Form responses 1'!W351</f>
        <v>Info@omsreesaifoods.com</v>
      </c>
      <c r="P349" s="4" t="str">
        <f>'Form responses 1'!X351</f>
        <v/>
      </c>
      <c r="Q349" s="4" t="str">
        <f>'Form responses 1'!Y351</f>
        <v/>
      </c>
      <c r="R349" s="4" t="str">
        <f>'Form responses 1'!Z351</f>
        <v/>
      </c>
      <c r="S349" s="4" t="str">
        <f>'Form responses 1'!AC351</f>
        <v/>
      </c>
      <c r="T349" s="4" t="str">
        <f>'Form responses 1'!AE351</f>
        <v/>
      </c>
      <c r="U349" s="4" t="str">
        <f>'Form responses 1'!AG351</f>
        <v/>
      </c>
      <c r="V349" s="4" t="str">
        <f>'Form responses 1'!AI351</f>
        <v/>
      </c>
      <c r="W349" s="4" t="str">
        <f>'Form responses 1'!AJ351</f>
        <v/>
      </c>
      <c r="X349" s="4" t="str">
        <f>'Form responses 1'!AK351</f>
        <v/>
      </c>
      <c r="Y349" s="4">
        <f t="shared" ref="Y349:AD349" si="348">if(S349&gt;0,1,0)</f>
        <v>0</v>
      </c>
      <c r="Z349" s="4">
        <f t="shared" si="348"/>
        <v>0</v>
      </c>
      <c r="AA349" s="4">
        <f t="shared" si="348"/>
        <v>0</v>
      </c>
      <c r="AB349" s="4">
        <f t="shared" si="348"/>
        <v>0</v>
      </c>
      <c r="AC349" s="4">
        <f t="shared" si="348"/>
        <v>0</v>
      </c>
      <c r="AD349" s="4">
        <f t="shared" si="348"/>
        <v>0</v>
      </c>
      <c r="AE349" s="4" t="str">
        <f>'Form responses 1'!AN351</f>
        <v/>
      </c>
      <c r="AF349" s="4" t="str">
        <f>'Form responses 1'!AO351</f>
        <v/>
      </c>
      <c r="AG349" s="4" t="str">
        <f>'Form responses 1'!AP351</f>
        <v/>
      </c>
      <c r="AH349" s="4" t="str">
        <f>'Form responses 1'!AQ351</f>
        <v/>
      </c>
      <c r="AI349" s="4" t="str">
        <f>'Form responses 1'!AR351</f>
        <v/>
      </c>
    </row>
    <row r="350">
      <c r="A350" s="26">
        <f>'Form responses 1'!B352</f>
        <v>46072</v>
      </c>
      <c r="B350" s="4" t="str">
        <f>'Form responses 1'!AZ352</f>
        <v>chanakya.inugala@capsdelivery.com</v>
      </c>
      <c r="C350" s="4" t="str">
        <f>'Form responses 1'!BR352</f>
        <v>Manduva Ruchulu </v>
      </c>
      <c r="D350" s="4" t="str">
        <f>'Form responses 1'!AT352</f>
        <v/>
      </c>
      <c r="E350" s="4" t="str">
        <f>'Form responses 1'!AU352</f>
        <v>Yes</v>
      </c>
      <c r="F350" s="4" t="str">
        <f>'Form responses 1'!AX352</f>
        <v/>
      </c>
      <c r="G350" s="4" t="str">
        <f>'Form responses 1'!AY352</f>
        <v/>
      </c>
      <c r="H350" s="53" t="str">
        <f>'Form responses 1'!AW352</f>
        <v/>
      </c>
      <c r="I350" s="4" t="str">
        <f>'Form responses 1'!AS352</f>
        <v/>
      </c>
      <c r="J350" s="4" t="str">
        <f>'Form responses 1'!J352</f>
        <v>Tier-3 ( AOV&lt;200 )</v>
      </c>
      <c r="K350" s="4">
        <f>'Form responses 1'!G352</f>
        <v>200</v>
      </c>
      <c r="L350" s="4">
        <f>'Form responses 1'!F352</f>
        <v>20</v>
      </c>
      <c r="M350" s="4" t="str">
        <f>'Form responses 1'!U352</f>
        <v>Kedarnath reddy </v>
      </c>
      <c r="N350" s="4">
        <f>'Form responses 1'!V352</f>
        <v>7416812233</v>
      </c>
      <c r="O350" s="4" t="str">
        <f>'Form responses 1'!W352</f>
        <v>Na</v>
      </c>
      <c r="P350" s="4" t="str">
        <f>'Form responses 1'!X352</f>
        <v/>
      </c>
      <c r="Q350" s="4" t="str">
        <f>'Form responses 1'!Y352</f>
        <v/>
      </c>
      <c r="R350" s="4" t="str">
        <f>'Form responses 1'!Z352</f>
        <v/>
      </c>
      <c r="S350" s="4" t="str">
        <f>'Form responses 1'!AC352</f>
        <v/>
      </c>
      <c r="T350" s="4" t="str">
        <f>'Form responses 1'!AE352</f>
        <v/>
      </c>
      <c r="U350" s="4" t="str">
        <f>'Form responses 1'!AG352</f>
        <v/>
      </c>
      <c r="V350" s="4" t="str">
        <f>'Form responses 1'!AI352</f>
        <v/>
      </c>
      <c r="W350" s="4" t="str">
        <f>'Form responses 1'!AJ352</f>
        <v/>
      </c>
      <c r="X350" s="4" t="str">
        <f>'Form responses 1'!AK352</f>
        <v/>
      </c>
      <c r="Y350" s="4">
        <f t="shared" ref="Y350:AD350" si="349">if(S350&gt;0,1,0)</f>
        <v>0</v>
      </c>
      <c r="Z350" s="4">
        <f t="shared" si="349"/>
        <v>0</v>
      </c>
      <c r="AA350" s="4">
        <f t="shared" si="349"/>
        <v>0</v>
      </c>
      <c r="AB350" s="4">
        <f t="shared" si="349"/>
        <v>0</v>
      </c>
      <c r="AC350" s="4">
        <f t="shared" si="349"/>
        <v>0</v>
      </c>
      <c r="AD350" s="4">
        <f t="shared" si="349"/>
        <v>0</v>
      </c>
      <c r="AE350" s="4" t="str">
        <f>'Form responses 1'!AN352</f>
        <v/>
      </c>
      <c r="AF350" s="4" t="str">
        <f>'Form responses 1'!AO352</f>
        <v/>
      </c>
      <c r="AG350" s="4" t="str">
        <f>'Form responses 1'!AP352</f>
        <v/>
      </c>
      <c r="AH350" s="4" t="str">
        <f>'Form responses 1'!AQ352</f>
        <v/>
      </c>
      <c r="AI350" s="4" t="str">
        <f>'Form responses 1'!AR352</f>
        <v/>
      </c>
    </row>
    <row r="351">
      <c r="A351" s="26">
        <f>'Form responses 1'!B353</f>
        <v>46066</v>
      </c>
      <c r="B351" s="4" t="str">
        <f>'Form responses 1'!AZ353</f>
        <v>moin.khan@capsdelivery.com</v>
      </c>
      <c r="C351" s="4" t="str">
        <f>'Form responses 1'!BR353</f>
        <v> dadas tiffin and fast food </v>
      </c>
      <c r="D351" s="4" t="str">
        <f>'Form responses 1'!AT353</f>
        <v/>
      </c>
      <c r="E351" s="4" t="str">
        <f>'Form responses 1'!AU353</f>
        <v>Yes</v>
      </c>
      <c r="F351" s="26">
        <f>'Form responses 1'!AX353</f>
        <v>46069</v>
      </c>
      <c r="G351" s="52">
        <f>'Form responses 1'!AY353</f>
        <v>0.4583333333</v>
      </c>
      <c r="H351" s="53" t="str">
        <f>'Form responses 1'!AW353</f>
        <v>WILL ONBOARD ON MONDAY</v>
      </c>
      <c r="I351" s="4" t="str">
        <f>'Form responses 1'!AS353</f>
        <v/>
      </c>
      <c r="J351" s="4" t="str">
        <f>'Form responses 1'!J353</f>
        <v/>
      </c>
      <c r="K351" s="4" t="str">
        <f>'Form responses 1'!G353</f>
        <v/>
      </c>
      <c r="L351" s="4" t="str">
        <f>'Form responses 1'!F353</f>
        <v/>
      </c>
      <c r="M351" s="4" t="str">
        <f>'Form responses 1'!U353</f>
        <v> mohammed </v>
      </c>
      <c r="N351" s="4">
        <f>'Form responses 1'!V353</f>
        <v>9966321486</v>
      </c>
      <c r="O351" s="4" t="str">
        <f>'Form responses 1'!W353</f>
        <v>NA</v>
      </c>
      <c r="P351" s="4" t="str">
        <f>'Form responses 1'!X353</f>
        <v/>
      </c>
      <c r="Q351" s="4" t="str">
        <f>'Form responses 1'!Y353</f>
        <v/>
      </c>
      <c r="R351" s="4" t="str">
        <f>'Form responses 1'!Z353</f>
        <v/>
      </c>
      <c r="S351" s="4" t="str">
        <f>'Form responses 1'!AC353</f>
        <v/>
      </c>
      <c r="T351" s="4" t="str">
        <f>'Form responses 1'!AE353</f>
        <v/>
      </c>
      <c r="U351" s="4" t="str">
        <f>'Form responses 1'!AG353</f>
        <v/>
      </c>
      <c r="V351" s="4" t="str">
        <f>'Form responses 1'!AI353</f>
        <v/>
      </c>
      <c r="W351" s="4" t="str">
        <f>'Form responses 1'!AJ353</f>
        <v/>
      </c>
      <c r="X351" s="4" t="str">
        <f>'Form responses 1'!AK353</f>
        <v/>
      </c>
      <c r="Y351" s="4">
        <f t="shared" ref="Y351:AD351" si="350">if(S351&gt;0,1,0)</f>
        <v>0</v>
      </c>
      <c r="Z351" s="4">
        <f t="shared" si="350"/>
        <v>0</v>
      </c>
      <c r="AA351" s="4">
        <f t="shared" si="350"/>
        <v>0</v>
      </c>
      <c r="AB351" s="4">
        <f t="shared" si="350"/>
        <v>0</v>
      </c>
      <c r="AC351" s="4">
        <f t="shared" si="350"/>
        <v>0</v>
      </c>
      <c r="AD351" s="4">
        <f t="shared" si="350"/>
        <v>0</v>
      </c>
      <c r="AE351" s="4" t="str">
        <f>'Form responses 1'!AN353</f>
        <v/>
      </c>
      <c r="AF351" s="4" t="str">
        <f>'Form responses 1'!AO353</f>
        <v/>
      </c>
      <c r="AG351" s="4" t="str">
        <f>'Form responses 1'!AP353</f>
        <v/>
      </c>
      <c r="AH351" s="4" t="str">
        <f>'Form responses 1'!AQ353</f>
        <v/>
      </c>
      <c r="AI351" s="4" t="str">
        <f>'Form responses 1'!AR353</f>
        <v/>
      </c>
    </row>
    <row r="352">
      <c r="A352" s="26">
        <f>'Form responses 1'!B354</f>
        <v>46069</v>
      </c>
      <c r="B352" s="4" t="str">
        <f>'Form responses 1'!AZ354</f>
        <v>moin.khan@capsdelivery.com</v>
      </c>
      <c r="C352" s="4" t="str">
        <f>'Form responses 1'!BR354</f>
        <v> Hotel shurbhi udpi</v>
      </c>
      <c r="D352" s="4" t="str">
        <f>'Form responses 1'!AT354</f>
        <v/>
      </c>
      <c r="E352" s="4" t="str">
        <f>'Form responses 1'!AU354</f>
        <v>Yes</v>
      </c>
      <c r="F352" s="26">
        <f>'Form responses 1'!AX354</f>
        <v>46069</v>
      </c>
      <c r="G352" s="52">
        <f>'Form responses 1'!AY354</f>
        <v>0.4583333333</v>
      </c>
      <c r="H352" s="53" t="str">
        <f>'Form responses 1'!AW354</f>
        <v>WILL ON BOARD ON MONDAY </v>
      </c>
      <c r="I352" s="4" t="str">
        <f>'Form responses 1'!AS354</f>
        <v/>
      </c>
      <c r="J352" s="4" t="str">
        <f>'Form responses 1'!J354</f>
        <v/>
      </c>
      <c r="K352" s="4" t="str">
        <f>'Form responses 1'!G354</f>
        <v/>
      </c>
      <c r="L352" s="4" t="str">
        <f>'Form responses 1'!F354</f>
        <v/>
      </c>
      <c r="M352" s="4" t="str">
        <f>'Form responses 1'!U354</f>
        <v>abhimanyu</v>
      </c>
      <c r="N352" s="4">
        <f>'Form responses 1'!V354</f>
        <v>9966740877</v>
      </c>
      <c r="O352" s="4" t="str">
        <f>'Form responses 1'!W354</f>
        <v>NA</v>
      </c>
      <c r="P352" s="4" t="str">
        <f>'Form responses 1'!X354</f>
        <v/>
      </c>
      <c r="Q352" s="4" t="str">
        <f>'Form responses 1'!Y354</f>
        <v/>
      </c>
      <c r="R352" s="4" t="str">
        <f>'Form responses 1'!Z354</f>
        <v/>
      </c>
      <c r="S352" s="4" t="str">
        <f>'Form responses 1'!AC354</f>
        <v/>
      </c>
      <c r="T352" s="4" t="str">
        <f>'Form responses 1'!AE354</f>
        <v/>
      </c>
      <c r="U352" s="4" t="str">
        <f>'Form responses 1'!AG354</f>
        <v/>
      </c>
      <c r="V352" s="4" t="str">
        <f>'Form responses 1'!AI354</f>
        <v/>
      </c>
      <c r="W352" s="4" t="str">
        <f>'Form responses 1'!AJ354</f>
        <v/>
      </c>
      <c r="X352" s="4" t="str">
        <f>'Form responses 1'!AK354</f>
        <v/>
      </c>
      <c r="Y352" s="4">
        <f t="shared" ref="Y352:AD352" si="351">if(S352&gt;0,1,0)</f>
        <v>0</v>
      </c>
      <c r="Z352" s="4">
        <f t="shared" si="351"/>
        <v>0</v>
      </c>
      <c r="AA352" s="4">
        <f t="shared" si="351"/>
        <v>0</v>
      </c>
      <c r="AB352" s="4">
        <f t="shared" si="351"/>
        <v>0</v>
      </c>
      <c r="AC352" s="4">
        <f t="shared" si="351"/>
        <v>0</v>
      </c>
      <c r="AD352" s="4">
        <f t="shared" si="351"/>
        <v>0</v>
      </c>
      <c r="AE352" s="4" t="str">
        <f>'Form responses 1'!AN354</f>
        <v/>
      </c>
      <c r="AF352" s="4" t="str">
        <f>'Form responses 1'!AO354</f>
        <v/>
      </c>
      <c r="AG352" s="4" t="str">
        <f>'Form responses 1'!AP354</f>
        <v/>
      </c>
      <c r="AH352" s="4" t="str">
        <f>'Form responses 1'!AQ354</f>
        <v/>
      </c>
      <c r="AI352" s="4" t="str">
        <f>'Form responses 1'!AR354</f>
        <v/>
      </c>
    </row>
    <row r="353">
      <c r="A353" s="26">
        <f>'Form responses 1'!B355</f>
        <v>46069</v>
      </c>
      <c r="B353" s="4" t="str">
        <f>'Form responses 1'!AZ355</f>
        <v>moin.khan@capsdelivery.com</v>
      </c>
      <c r="C353" s="4" t="str">
        <f>'Form responses 1'!BR355</f>
        <v>elite delight cafe </v>
      </c>
      <c r="D353" s="4" t="str">
        <f>'Form responses 1'!AT355</f>
        <v/>
      </c>
      <c r="E353" s="4" t="str">
        <f>'Form responses 1'!AU355</f>
        <v>Yes</v>
      </c>
      <c r="F353" s="26">
        <f>'Form responses 1'!AX355</f>
        <v>46069</v>
      </c>
      <c r="G353" s="52">
        <f>'Form responses 1'!AY355</f>
        <v>0.625</v>
      </c>
      <c r="H353" s="53" t="str">
        <f>'Form responses 1'!AW355</f>
        <v>Owner will be available on monday at 11 am</v>
      </c>
      <c r="I353" s="4" t="str">
        <f>'Form responses 1'!AS355</f>
        <v/>
      </c>
      <c r="J353" s="4" t="str">
        <f>'Form responses 1'!J355</f>
        <v/>
      </c>
      <c r="K353" s="4" t="str">
        <f>'Form responses 1'!G355</f>
        <v/>
      </c>
      <c r="L353" s="4" t="str">
        <f>'Form responses 1'!F355</f>
        <v/>
      </c>
      <c r="M353" s="4" t="str">
        <f>'Form responses 1'!U355</f>
        <v>sarbeena </v>
      </c>
      <c r="N353" s="4">
        <f>'Form responses 1'!V355</f>
        <v>9346951279</v>
      </c>
      <c r="O353" s="4" t="str">
        <f>'Form responses 1'!W355</f>
        <v>NA</v>
      </c>
      <c r="P353" s="4" t="str">
        <f>'Form responses 1'!X355</f>
        <v/>
      </c>
      <c r="Q353" s="4" t="str">
        <f>'Form responses 1'!Y355</f>
        <v/>
      </c>
      <c r="R353" s="4" t="str">
        <f>'Form responses 1'!Z355</f>
        <v/>
      </c>
      <c r="S353" s="4" t="str">
        <f>'Form responses 1'!AC355</f>
        <v/>
      </c>
      <c r="T353" s="4" t="str">
        <f>'Form responses 1'!AE355</f>
        <v/>
      </c>
      <c r="U353" s="4" t="str">
        <f>'Form responses 1'!AG355</f>
        <v/>
      </c>
      <c r="V353" s="4" t="str">
        <f>'Form responses 1'!AI355</f>
        <v/>
      </c>
      <c r="W353" s="4" t="str">
        <f>'Form responses 1'!AJ355</f>
        <v/>
      </c>
      <c r="X353" s="4" t="str">
        <f>'Form responses 1'!AK355</f>
        <v/>
      </c>
      <c r="Y353" s="4">
        <f t="shared" ref="Y353:AD353" si="352">if(S353&gt;0,1,0)</f>
        <v>0</v>
      </c>
      <c r="Z353" s="4">
        <f t="shared" si="352"/>
        <v>0</v>
      </c>
      <c r="AA353" s="4">
        <f t="shared" si="352"/>
        <v>0</v>
      </c>
      <c r="AB353" s="4">
        <f t="shared" si="352"/>
        <v>0</v>
      </c>
      <c r="AC353" s="4">
        <f t="shared" si="352"/>
        <v>0</v>
      </c>
      <c r="AD353" s="4">
        <f t="shared" si="352"/>
        <v>0</v>
      </c>
      <c r="AE353" s="4" t="str">
        <f>'Form responses 1'!AN355</f>
        <v/>
      </c>
      <c r="AF353" s="4" t="str">
        <f>'Form responses 1'!AO355</f>
        <v/>
      </c>
      <c r="AG353" s="4" t="str">
        <f>'Form responses 1'!AP355</f>
        <v/>
      </c>
      <c r="AH353" s="4" t="str">
        <f>'Form responses 1'!AQ355</f>
        <v/>
      </c>
      <c r="AI353" s="4" t="str">
        <f>'Form responses 1'!AR355</f>
        <v/>
      </c>
    </row>
    <row r="354">
      <c r="A354" s="26">
        <f>'Form responses 1'!B356</f>
        <v>46067</v>
      </c>
      <c r="B354" s="4" t="str">
        <f>'Form responses 1'!AZ356</f>
        <v>moin.khan@capsdelivery.com</v>
      </c>
      <c r="C354" s="4" t="str">
        <f>'Form responses 1'!BR356</f>
        <v> krishna grand  </v>
      </c>
      <c r="D354" s="4" t="str">
        <f>'Form responses 1'!AT356</f>
        <v/>
      </c>
      <c r="E354" s="4" t="str">
        <f>'Form responses 1'!AU356</f>
        <v>Yes</v>
      </c>
      <c r="F354" s="26">
        <f>'Form responses 1'!AX356</f>
        <v>46066</v>
      </c>
      <c r="G354" s="52">
        <f>'Form responses 1'!AY356</f>
        <v>0.25</v>
      </c>
      <c r="H354" s="53" t="str">
        <f>'Form responses 1'!AW356</f>
        <v>Will onborad at 6 pm</v>
      </c>
      <c r="I354" s="4" t="str">
        <f>'Form responses 1'!AS356</f>
        <v/>
      </c>
      <c r="J354" s="4" t="str">
        <f>'Form responses 1'!J356</f>
        <v/>
      </c>
      <c r="K354" s="4" t="str">
        <f>'Form responses 1'!G356</f>
        <v/>
      </c>
      <c r="L354" s="4" t="str">
        <f>'Form responses 1'!F356</f>
        <v/>
      </c>
      <c r="M354" s="4" t="str">
        <f>'Form responses 1'!U356</f>
        <v>suresh </v>
      </c>
      <c r="N354" s="4">
        <f>'Form responses 1'!V356</f>
        <v>8309678652</v>
      </c>
      <c r="O354" s="4" t="str">
        <f>'Form responses 1'!W356</f>
        <v>NA</v>
      </c>
      <c r="P354" s="4" t="str">
        <f>'Form responses 1'!X356</f>
        <v/>
      </c>
      <c r="Q354" s="4" t="str">
        <f>'Form responses 1'!Y356</f>
        <v/>
      </c>
      <c r="R354" s="4" t="str">
        <f>'Form responses 1'!Z356</f>
        <v/>
      </c>
      <c r="S354" s="4" t="str">
        <f>'Form responses 1'!AC356</f>
        <v/>
      </c>
      <c r="T354" s="4" t="str">
        <f>'Form responses 1'!AE356</f>
        <v/>
      </c>
      <c r="U354" s="4" t="str">
        <f>'Form responses 1'!AG356</f>
        <v/>
      </c>
      <c r="V354" s="4" t="str">
        <f>'Form responses 1'!AI356</f>
        <v/>
      </c>
      <c r="W354" s="4" t="str">
        <f>'Form responses 1'!AJ356</f>
        <v/>
      </c>
      <c r="X354" s="4" t="str">
        <f>'Form responses 1'!AK356</f>
        <v/>
      </c>
      <c r="Y354" s="4">
        <f t="shared" ref="Y354:AD354" si="353">if(S354&gt;0,1,0)</f>
        <v>0</v>
      </c>
      <c r="Z354" s="4">
        <f t="shared" si="353"/>
        <v>0</v>
      </c>
      <c r="AA354" s="4">
        <f t="shared" si="353"/>
        <v>0</v>
      </c>
      <c r="AB354" s="4">
        <f t="shared" si="353"/>
        <v>0</v>
      </c>
      <c r="AC354" s="4">
        <f t="shared" si="353"/>
        <v>0</v>
      </c>
      <c r="AD354" s="4">
        <f t="shared" si="353"/>
        <v>0</v>
      </c>
      <c r="AE354" s="4" t="str">
        <f>'Form responses 1'!AN356</f>
        <v/>
      </c>
      <c r="AF354" s="4" t="str">
        <f>'Form responses 1'!AO356</f>
        <v/>
      </c>
      <c r="AG354" s="4" t="str">
        <f>'Form responses 1'!AP356</f>
        <v/>
      </c>
      <c r="AH354" s="4" t="str">
        <f>'Form responses 1'!AQ356</f>
        <v/>
      </c>
      <c r="AI354" s="4" t="str">
        <f>'Form responses 1'!AR356</f>
        <v/>
      </c>
    </row>
    <row r="355">
      <c r="A355" s="26">
        <f>'Form responses 1'!B357</f>
        <v>46066</v>
      </c>
      <c r="B355" s="4" t="str">
        <f>'Form responses 1'!AZ357</f>
        <v>akhila.narra@capsdelivery.com</v>
      </c>
      <c r="C355" s="4" t="str">
        <f>'Form responses 1'!BR357</f>
        <v>Kadali kitchen</v>
      </c>
      <c r="D355" s="4" t="str">
        <f>'Form responses 1'!AT357</f>
        <v/>
      </c>
      <c r="E355" s="4" t="str">
        <f>'Form responses 1'!AU357</f>
        <v>Yes</v>
      </c>
      <c r="F355" s="26">
        <f>'Form responses 1'!AX357</f>
        <v>46069</v>
      </c>
      <c r="G355" s="52">
        <f>'Form responses 1'!AY357</f>
        <v>0.1041666667</v>
      </c>
      <c r="H355" s="53" t="str">
        <f>'Form responses 1'!AW357</f>
        <v>19++</v>
      </c>
      <c r="I355" s="4" t="str">
        <f>'Form responses 1'!AS357</f>
        <v/>
      </c>
      <c r="J355" s="4" t="str">
        <f>'Form responses 1'!J357</f>
        <v>Tier-1(AOV&gt;400)</v>
      </c>
      <c r="K355" s="4">
        <f>'Form responses 1'!G357</f>
        <v>900</v>
      </c>
      <c r="L355" s="4">
        <f>'Form responses 1'!F357</f>
        <v>90</v>
      </c>
      <c r="M355" s="4" t="str">
        <f>'Form responses 1'!U357</f>
        <v>Rohan</v>
      </c>
      <c r="N355" s="4">
        <f>'Form responses 1'!V357</f>
        <v>9989649223</v>
      </c>
      <c r="O355" s="4" t="str">
        <f>'Form responses 1'!W357</f>
        <v>Ahsth</v>
      </c>
      <c r="P355" s="4" t="str">
        <f>'Form responses 1'!X357</f>
        <v/>
      </c>
      <c r="Q355" s="4" t="str">
        <f>'Form responses 1'!Y357</f>
        <v/>
      </c>
      <c r="R355" s="4" t="str">
        <f>'Form responses 1'!Z357</f>
        <v/>
      </c>
      <c r="S355" s="4" t="str">
        <f>'Form responses 1'!AC357</f>
        <v/>
      </c>
      <c r="T355" s="4" t="str">
        <f>'Form responses 1'!AE357</f>
        <v/>
      </c>
      <c r="U355" s="4" t="str">
        <f>'Form responses 1'!AG357</f>
        <v/>
      </c>
      <c r="V355" s="4" t="str">
        <f>'Form responses 1'!AI357</f>
        <v/>
      </c>
      <c r="W355" s="4" t="str">
        <f>'Form responses 1'!AJ357</f>
        <v/>
      </c>
      <c r="X355" s="4" t="str">
        <f>'Form responses 1'!AK357</f>
        <v/>
      </c>
      <c r="Y355" s="4">
        <f t="shared" ref="Y355:AD355" si="354">if(S355&gt;0,1,0)</f>
        <v>0</v>
      </c>
      <c r="Z355" s="4">
        <f t="shared" si="354"/>
        <v>0</v>
      </c>
      <c r="AA355" s="4">
        <f t="shared" si="354"/>
        <v>0</v>
      </c>
      <c r="AB355" s="4">
        <f t="shared" si="354"/>
        <v>0</v>
      </c>
      <c r="AC355" s="4">
        <f t="shared" si="354"/>
        <v>0</v>
      </c>
      <c r="AD355" s="4">
        <f t="shared" si="354"/>
        <v>0</v>
      </c>
      <c r="AE355" s="4" t="str">
        <f>'Form responses 1'!AN357</f>
        <v/>
      </c>
      <c r="AF355" s="4" t="str">
        <f>'Form responses 1'!AO357</f>
        <v/>
      </c>
      <c r="AG355" s="4" t="str">
        <f>'Form responses 1'!AP357</f>
        <v/>
      </c>
      <c r="AH355" s="4" t="str">
        <f>'Form responses 1'!AQ357</f>
        <v/>
      </c>
      <c r="AI355" s="4" t="str">
        <f>'Form responses 1'!AR357</f>
        <v/>
      </c>
    </row>
    <row r="356">
      <c r="A356" s="26">
        <f>'Form responses 1'!B358</f>
        <v>46066</v>
      </c>
      <c r="B356" s="4" t="str">
        <f>'Form responses 1'!AZ358</f>
        <v>akhila.narra@capsdelivery.com</v>
      </c>
      <c r="C356" s="4" t="str">
        <f>'Form responses 1'!BR358</f>
        <v>City 555City555</v>
      </c>
      <c r="D356" s="4" t="str">
        <f>'Form responses 1'!AT358</f>
        <v>Yes</v>
      </c>
      <c r="E356" s="4" t="str">
        <f>'Form responses 1'!AU358</f>
        <v>No</v>
      </c>
      <c r="F356" s="26">
        <f>'Form responses 1'!AX358</f>
        <v>46066</v>
      </c>
      <c r="G356" s="52">
        <f>'Form responses 1'!AY358</f>
        <v>0.1875</v>
      </c>
      <c r="H356" s="53" t="str">
        <f>'Form responses 1'!AW358</f>
        <v>15++ all restaurants</v>
      </c>
      <c r="I356" s="4" t="str">
        <f>'Form responses 1'!AS358</f>
        <v/>
      </c>
      <c r="J356" s="4" t="str">
        <f>'Form responses 1'!J358</f>
        <v/>
      </c>
      <c r="K356" s="4" t="str">
        <f>'Form responses 1'!G358</f>
        <v/>
      </c>
      <c r="L356" s="4" t="str">
        <f>'Form responses 1'!F358</f>
        <v/>
      </c>
      <c r="M356" s="4" t="str">
        <f>'Form responses 1'!U358</f>
        <v>Alif</v>
      </c>
      <c r="N356" s="4" t="str">
        <f>'Form responses 1'!V358</f>
        <v>6281 334 972</v>
      </c>
      <c r="O356" s="4" t="str">
        <f>'Form responses 1'!W358</f>
        <v>Ht</v>
      </c>
      <c r="P356" s="4" t="str">
        <f>'Form responses 1'!X358</f>
        <v/>
      </c>
      <c r="Q356" s="4" t="str">
        <f>'Form responses 1'!Y358</f>
        <v/>
      </c>
      <c r="R356" s="4" t="str">
        <f>'Form responses 1'!Z358</f>
        <v/>
      </c>
      <c r="S356" s="4" t="str">
        <f>'Form responses 1'!AC358</f>
        <v/>
      </c>
      <c r="T356" s="4" t="str">
        <f>'Form responses 1'!AE358</f>
        <v/>
      </c>
      <c r="U356" s="4" t="str">
        <f>'Form responses 1'!AG358</f>
        <v/>
      </c>
      <c r="V356" s="4" t="str">
        <f>'Form responses 1'!AI358</f>
        <v/>
      </c>
      <c r="W356" s="4" t="str">
        <f>'Form responses 1'!AJ358</f>
        <v/>
      </c>
      <c r="X356" s="4" t="str">
        <f>'Form responses 1'!AK358</f>
        <v/>
      </c>
      <c r="Y356" s="4">
        <f t="shared" ref="Y356:AD356" si="355">if(S356&gt;0,1,0)</f>
        <v>0</v>
      </c>
      <c r="Z356" s="4">
        <f t="shared" si="355"/>
        <v>0</v>
      </c>
      <c r="AA356" s="4">
        <f t="shared" si="355"/>
        <v>0</v>
      </c>
      <c r="AB356" s="4">
        <f t="shared" si="355"/>
        <v>0</v>
      </c>
      <c r="AC356" s="4">
        <f t="shared" si="355"/>
        <v>0</v>
      </c>
      <c r="AD356" s="4">
        <f t="shared" si="355"/>
        <v>0</v>
      </c>
      <c r="AE356" s="4" t="str">
        <f>'Form responses 1'!AN358</f>
        <v/>
      </c>
      <c r="AF356" s="4" t="str">
        <f>'Form responses 1'!AO358</f>
        <v/>
      </c>
      <c r="AG356" s="4" t="str">
        <f>'Form responses 1'!AP358</f>
        <v/>
      </c>
      <c r="AH356" s="4" t="str">
        <f>'Form responses 1'!AQ358</f>
        <v/>
      </c>
      <c r="AI356" s="4" t="str">
        <f>'Form responses 1'!AR358</f>
        <v/>
      </c>
    </row>
    <row r="357">
      <c r="A357" s="26">
        <f>'Form responses 1'!B359</f>
        <v>46066</v>
      </c>
      <c r="B357" s="4" t="str">
        <f>'Form responses 1'!AZ359</f>
        <v>akhila.narra@capsdelivery.com</v>
      </c>
      <c r="C357" s="4" t="str">
        <f>'Form responses 1'!BR359</f>
        <v>Imperative Imperial </v>
      </c>
      <c r="D357" s="4" t="str">
        <f>'Form responses 1'!AT359</f>
        <v/>
      </c>
      <c r="E357" s="4" t="str">
        <f>'Form responses 1'!AU359</f>
        <v>Yes</v>
      </c>
      <c r="F357" s="26">
        <f>'Form responses 1'!AX359</f>
        <v>46066</v>
      </c>
      <c r="G357" s="52">
        <f>'Form responses 1'!AY359</f>
        <v>0.1041666667</v>
      </c>
      <c r="H357" s="53" t="str">
        <f>'Form responses 1'!AW359</f>
        <v>Already I came and discussed With Manager</v>
      </c>
      <c r="I357" s="4" t="str">
        <f>'Form responses 1'!AS359</f>
        <v/>
      </c>
      <c r="J357" s="4" t="str">
        <f>'Form responses 1'!J359</f>
        <v/>
      </c>
      <c r="K357" s="4" t="str">
        <f>'Form responses 1'!G359</f>
        <v/>
      </c>
      <c r="L357" s="4" t="str">
        <f>'Form responses 1'!F359</f>
        <v/>
      </c>
      <c r="M357" s="4" t="str">
        <f>'Form responses 1'!U359</f>
        <v>Arbar</v>
      </c>
      <c r="N357" s="4" t="str">
        <f>'Form responses 1'!V359</f>
        <v> 99086 02056</v>
      </c>
      <c r="O357" s="4" t="str">
        <f>'Form responses 1'!W359</f>
        <v>Na</v>
      </c>
      <c r="P357" s="4" t="str">
        <f>'Form responses 1'!X359</f>
        <v/>
      </c>
      <c r="Q357" s="4" t="str">
        <f>'Form responses 1'!Y359</f>
        <v/>
      </c>
      <c r="R357" s="4" t="str">
        <f>'Form responses 1'!Z359</f>
        <v/>
      </c>
      <c r="S357" s="4" t="str">
        <f>'Form responses 1'!AC359</f>
        <v/>
      </c>
      <c r="T357" s="4" t="str">
        <f>'Form responses 1'!AE359</f>
        <v/>
      </c>
      <c r="U357" s="4" t="str">
        <f>'Form responses 1'!AG359</f>
        <v/>
      </c>
      <c r="V357" s="4" t="str">
        <f>'Form responses 1'!AI359</f>
        <v/>
      </c>
      <c r="W357" s="4" t="str">
        <f>'Form responses 1'!AJ359</f>
        <v/>
      </c>
      <c r="X357" s="4" t="str">
        <f>'Form responses 1'!AK359</f>
        <v/>
      </c>
      <c r="Y357" s="4">
        <f t="shared" ref="Y357:AD357" si="356">if(S357&gt;0,1,0)</f>
        <v>0</v>
      </c>
      <c r="Z357" s="4">
        <f t="shared" si="356"/>
        <v>0</v>
      </c>
      <c r="AA357" s="4">
        <f t="shared" si="356"/>
        <v>0</v>
      </c>
      <c r="AB357" s="4">
        <f t="shared" si="356"/>
        <v>0</v>
      </c>
      <c r="AC357" s="4">
        <f t="shared" si="356"/>
        <v>0</v>
      </c>
      <c r="AD357" s="4">
        <f t="shared" si="356"/>
        <v>0</v>
      </c>
      <c r="AE357" s="4" t="str">
        <f>'Form responses 1'!AN359</f>
        <v/>
      </c>
      <c r="AF357" s="4" t="str">
        <f>'Form responses 1'!AO359</f>
        <v/>
      </c>
      <c r="AG357" s="4" t="str">
        <f>'Form responses 1'!AP359</f>
        <v/>
      </c>
      <c r="AH357" s="4" t="str">
        <f>'Form responses 1'!AQ359</f>
        <v/>
      </c>
      <c r="AI357" s="4" t="str">
        <f>'Form responses 1'!AR359</f>
        <v/>
      </c>
    </row>
    <row r="358">
      <c r="A358" s="26">
        <f>'Form responses 1'!B360</f>
        <v>46066</v>
      </c>
      <c r="B358" s="4" t="str">
        <f>'Form responses 1'!AZ360</f>
        <v>akhila.narra@capsdelivery.com</v>
      </c>
      <c r="C358" s="4" t="str">
        <f>'Form responses 1'!BR360</f>
        <v>Dwarak Res</v>
      </c>
      <c r="D358" s="4" t="str">
        <f>'Form responses 1'!AT360</f>
        <v/>
      </c>
      <c r="E358" s="4" t="str">
        <f>'Form responses 1'!AU360</f>
        <v>Yes</v>
      </c>
      <c r="F358" s="26">
        <f>'Form responses 1'!AX360</f>
        <v>46066</v>
      </c>
      <c r="G358" s="52">
        <f>'Form responses 1'!AY360</f>
        <v>0.4791666667</v>
      </c>
      <c r="H358" s="53" t="str">
        <f>'Form responses 1'!AW360</f>
        <v>19++</v>
      </c>
      <c r="I358" s="4" t="str">
        <f>'Form responses 1'!AS360</f>
        <v/>
      </c>
      <c r="J358" s="4" t="str">
        <f>'Form responses 1'!J360</f>
        <v/>
      </c>
      <c r="K358" s="4" t="str">
        <f>'Form responses 1'!G360</f>
        <v/>
      </c>
      <c r="L358" s="4" t="str">
        <f>'Form responses 1'!F360</f>
        <v/>
      </c>
      <c r="M358" s="4" t="str">
        <f>'Form responses 1'!U360</f>
        <v>Gm</v>
      </c>
      <c r="N358" s="4">
        <f>'Form responses 1'!V360</f>
        <v>9248067813</v>
      </c>
      <c r="O358" s="4" t="str">
        <f>'Form responses 1'!W360</f>
        <v>Na</v>
      </c>
      <c r="P358" s="4" t="str">
        <f>'Form responses 1'!X360</f>
        <v/>
      </c>
      <c r="Q358" s="4" t="str">
        <f>'Form responses 1'!Y360</f>
        <v/>
      </c>
      <c r="R358" s="4" t="str">
        <f>'Form responses 1'!Z360</f>
        <v/>
      </c>
      <c r="S358" s="4" t="str">
        <f>'Form responses 1'!AC360</f>
        <v/>
      </c>
      <c r="T358" s="4" t="str">
        <f>'Form responses 1'!AE360</f>
        <v/>
      </c>
      <c r="U358" s="4" t="str">
        <f>'Form responses 1'!AG360</f>
        <v/>
      </c>
      <c r="V358" s="4" t="str">
        <f>'Form responses 1'!AI360</f>
        <v/>
      </c>
      <c r="W358" s="4" t="str">
        <f>'Form responses 1'!AJ360</f>
        <v/>
      </c>
      <c r="X358" s="4" t="str">
        <f>'Form responses 1'!AK360</f>
        <v/>
      </c>
      <c r="Y358" s="4">
        <f t="shared" ref="Y358:AD358" si="357">if(S358&gt;0,1,0)</f>
        <v>0</v>
      </c>
      <c r="Z358" s="4">
        <f t="shared" si="357"/>
        <v>0</v>
      </c>
      <c r="AA358" s="4">
        <f t="shared" si="357"/>
        <v>0</v>
      </c>
      <c r="AB358" s="4">
        <f t="shared" si="357"/>
        <v>0</v>
      </c>
      <c r="AC358" s="4">
        <f t="shared" si="357"/>
        <v>0</v>
      </c>
      <c r="AD358" s="4">
        <f t="shared" si="357"/>
        <v>0</v>
      </c>
      <c r="AE358" s="4" t="str">
        <f>'Form responses 1'!AN360</f>
        <v/>
      </c>
      <c r="AF358" s="4" t="str">
        <f>'Form responses 1'!AO360</f>
        <v/>
      </c>
      <c r="AG358" s="4" t="str">
        <f>'Form responses 1'!AP360</f>
        <v/>
      </c>
      <c r="AH358" s="4" t="str">
        <f>'Form responses 1'!AQ360</f>
        <v/>
      </c>
      <c r="AI358" s="4" t="str">
        <f>'Form responses 1'!AR360</f>
        <v/>
      </c>
    </row>
    <row r="359">
      <c r="A359" s="26">
        <f>'Form responses 1'!B361</f>
        <v>46066</v>
      </c>
      <c r="B359" s="4" t="str">
        <f>'Form responses 1'!AZ361</f>
        <v>akhila.narra@capsdelivery.com</v>
      </c>
      <c r="C359" s="4" t="str">
        <f>'Form responses 1'!BR361</f>
        <v>Hyderabad wala</v>
      </c>
      <c r="D359" s="4" t="str">
        <f>'Form responses 1'!AT361</f>
        <v/>
      </c>
      <c r="E359" s="4" t="str">
        <f>'Form responses 1'!AU361</f>
        <v>Yes</v>
      </c>
      <c r="F359" s="4" t="str">
        <f>'Form responses 1'!AX361</f>
        <v/>
      </c>
      <c r="G359" s="4" t="str">
        <f>'Form responses 1'!AY361</f>
        <v/>
      </c>
      <c r="H359" s="53" t="str">
        <f>'Form responses 1'!AW361</f>
        <v/>
      </c>
      <c r="I359" s="4" t="str">
        <f>'Form responses 1'!AS361</f>
        <v/>
      </c>
      <c r="J359" s="4" t="str">
        <f>'Form responses 1'!J361</f>
        <v>Tier-1(AOV&gt;400)</v>
      </c>
      <c r="K359" s="4">
        <f>'Form responses 1'!G361</f>
        <v>500</v>
      </c>
      <c r="L359" s="4">
        <f>'Form responses 1'!F361</f>
        <v>120</v>
      </c>
      <c r="M359" s="4" t="str">
        <f>'Form responses 1'!U361</f>
        <v>Hyder</v>
      </c>
      <c r="N359" s="4">
        <f>'Form responses 1'!V361</f>
        <v>8886741212</v>
      </c>
      <c r="O359" s="4" t="str">
        <f>'Form responses 1'!W361</f>
        <v>Na</v>
      </c>
      <c r="P359" s="4" t="str">
        <f>'Form responses 1'!X361</f>
        <v/>
      </c>
      <c r="Q359" s="4" t="str">
        <f>'Form responses 1'!Y361</f>
        <v/>
      </c>
      <c r="R359" s="4" t="str">
        <f>'Form responses 1'!Z361</f>
        <v/>
      </c>
      <c r="S359" s="4" t="str">
        <f>'Form responses 1'!AC361</f>
        <v/>
      </c>
      <c r="T359" s="4" t="str">
        <f>'Form responses 1'!AE361</f>
        <v/>
      </c>
      <c r="U359" s="4" t="str">
        <f>'Form responses 1'!AG361</f>
        <v/>
      </c>
      <c r="V359" s="4" t="str">
        <f>'Form responses 1'!AI361</f>
        <v/>
      </c>
      <c r="W359" s="4" t="str">
        <f>'Form responses 1'!AJ361</f>
        <v/>
      </c>
      <c r="X359" s="4" t="str">
        <f>'Form responses 1'!AK361</f>
        <v/>
      </c>
      <c r="Y359" s="4">
        <f t="shared" ref="Y359:AD359" si="358">if(S359&gt;0,1,0)</f>
        <v>0</v>
      </c>
      <c r="Z359" s="4">
        <f t="shared" si="358"/>
        <v>0</v>
      </c>
      <c r="AA359" s="4">
        <f t="shared" si="358"/>
        <v>0</v>
      </c>
      <c r="AB359" s="4">
        <f t="shared" si="358"/>
        <v>0</v>
      </c>
      <c r="AC359" s="4">
        <f t="shared" si="358"/>
        <v>0</v>
      </c>
      <c r="AD359" s="4">
        <f t="shared" si="358"/>
        <v>0</v>
      </c>
      <c r="AE359" s="4" t="str">
        <f>'Form responses 1'!AN361</f>
        <v/>
      </c>
      <c r="AF359" s="4" t="str">
        <f>'Form responses 1'!AO361</f>
        <v/>
      </c>
      <c r="AG359" s="4" t="str">
        <f>'Form responses 1'!AP361</f>
        <v/>
      </c>
      <c r="AH359" s="4" t="str">
        <f>'Form responses 1'!AQ361</f>
        <v/>
      </c>
      <c r="AI359" s="4" t="str">
        <f>'Form responses 1'!AR361</f>
        <v/>
      </c>
    </row>
    <row r="360">
      <c r="A360" s="26">
        <f>'Form responses 1'!B362</f>
        <v>46066</v>
      </c>
      <c r="B360" s="4" t="str">
        <f>'Form responses 1'!AZ362</f>
        <v>akhila.narra@capsdelivery.com</v>
      </c>
      <c r="C360" s="4" t="str">
        <f>'Form responses 1'!BR362</f>
        <v>Mana O Salv</v>
      </c>
      <c r="D360" s="4" t="str">
        <f>'Form responses 1'!AT362</f>
        <v/>
      </c>
      <c r="E360" s="4" t="str">
        <f>'Form responses 1'!AU362</f>
        <v>Yes</v>
      </c>
      <c r="F360" s="4" t="str">
        <f>'Form responses 1'!AX362</f>
        <v/>
      </c>
      <c r="G360" s="4" t="str">
        <f>'Form responses 1'!AY362</f>
        <v/>
      </c>
      <c r="H360" s="53" t="str">
        <f>'Form responses 1'!AW362</f>
        <v/>
      </c>
      <c r="I360" s="4" t="str">
        <f>'Form responses 1'!AS362</f>
        <v/>
      </c>
      <c r="J360" s="4" t="str">
        <f>'Form responses 1'!J362</f>
        <v/>
      </c>
      <c r="K360" s="4" t="str">
        <f>'Form responses 1'!G362</f>
        <v/>
      </c>
      <c r="L360" s="4" t="str">
        <f>'Form responses 1'!F362</f>
        <v/>
      </c>
      <c r="M360" s="4" t="str">
        <f>'Form responses 1'!U362</f>
        <v>Syder</v>
      </c>
      <c r="N360" s="4">
        <f>'Form responses 1'!V362</f>
        <v>9700389127</v>
      </c>
      <c r="O360" s="4" t="str">
        <f>'Form responses 1'!W362</f>
        <v>Na</v>
      </c>
      <c r="P360" s="4" t="str">
        <f>'Form responses 1'!X362</f>
        <v/>
      </c>
      <c r="Q360" s="4" t="str">
        <f>'Form responses 1'!Y362</f>
        <v/>
      </c>
      <c r="R360" s="4" t="str">
        <f>'Form responses 1'!Z362</f>
        <v/>
      </c>
      <c r="S360" s="4" t="str">
        <f>'Form responses 1'!AC362</f>
        <v/>
      </c>
      <c r="T360" s="4" t="str">
        <f>'Form responses 1'!AE362</f>
        <v/>
      </c>
      <c r="U360" s="4" t="str">
        <f>'Form responses 1'!AG362</f>
        <v/>
      </c>
      <c r="V360" s="4" t="str">
        <f>'Form responses 1'!AI362</f>
        <v/>
      </c>
      <c r="W360" s="4" t="str">
        <f>'Form responses 1'!AJ362</f>
        <v/>
      </c>
      <c r="X360" s="4" t="str">
        <f>'Form responses 1'!AK362</f>
        <v/>
      </c>
      <c r="Y360" s="4">
        <f t="shared" ref="Y360:AD360" si="359">if(S360&gt;0,1,0)</f>
        <v>0</v>
      </c>
      <c r="Z360" s="4">
        <f t="shared" si="359"/>
        <v>0</v>
      </c>
      <c r="AA360" s="4">
        <f t="shared" si="359"/>
        <v>0</v>
      </c>
      <c r="AB360" s="4">
        <f t="shared" si="359"/>
        <v>0</v>
      </c>
      <c r="AC360" s="4">
        <f t="shared" si="359"/>
        <v>0</v>
      </c>
      <c r="AD360" s="4">
        <f t="shared" si="359"/>
        <v>0</v>
      </c>
      <c r="AE360" s="4" t="str">
        <f>'Form responses 1'!AN362</f>
        <v/>
      </c>
      <c r="AF360" s="4" t="str">
        <f>'Form responses 1'!AO362</f>
        <v/>
      </c>
      <c r="AG360" s="4" t="str">
        <f>'Form responses 1'!AP362</f>
        <v/>
      </c>
      <c r="AH360" s="4" t="str">
        <f>'Form responses 1'!AQ362</f>
        <v/>
      </c>
      <c r="AI360" s="4" t="str">
        <f>'Form responses 1'!AR362</f>
        <v/>
      </c>
    </row>
    <row r="361">
      <c r="A361" s="26">
        <f>'Form responses 1'!B363</f>
        <v>46066</v>
      </c>
      <c r="B361" s="4" t="str">
        <f>'Form responses 1'!AZ363</f>
        <v>akhila.narra@capsdelivery.com</v>
      </c>
      <c r="C361" s="4" t="str">
        <f>'Form responses 1'!BR363</f>
        <v>Sree Balaji Tiffins</v>
      </c>
      <c r="D361" s="4" t="str">
        <f>'Form responses 1'!AT363</f>
        <v/>
      </c>
      <c r="E361" s="4" t="str">
        <f>'Form responses 1'!AU363</f>
        <v>Yes</v>
      </c>
      <c r="F361" s="26">
        <f>'Form responses 1'!AX363</f>
        <v>46066</v>
      </c>
      <c r="G361" s="52">
        <f>'Form responses 1'!AY363</f>
        <v>0.2708333333</v>
      </c>
      <c r="H361" s="53" t="str">
        <f>'Form responses 1'!AW363</f>
        <v/>
      </c>
      <c r="I361" s="4" t="str">
        <f>'Form responses 1'!AS363</f>
        <v/>
      </c>
      <c r="J361" s="4" t="str">
        <f>'Form responses 1'!J363</f>
        <v/>
      </c>
      <c r="K361" s="4" t="str">
        <f>'Form responses 1'!G363</f>
        <v/>
      </c>
      <c r="L361" s="4" t="str">
        <f>'Form responses 1'!F363</f>
        <v/>
      </c>
      <c r="M361" s="4" t="str">
        <f>'Form responses 1'!U363</f>
        <v>Sunny</v>
      </c>
      <c r="N361" s="4">
        <f>'Form responses 1'!V363</f>
        <v>9912324749</v>
      </c>
      <c r="O361" s="4" t="str">
        <f>'Form responses 1'!W363</f>
        <v>Na</v>
      </c>
      <c r="P361" s="4" t="str">
        <f>'Form responses 1'!X363</f>
        <v/>
      </c>
      <c r="Q361" s="4" t="str">
        <f>'Form responses 1'!Y363</f>
        <v/>
      </c>
      <c r="R361" s="4" t="str">
        <f>'Form responses 1'!Z363</f>
        <v/>
      </c>
      <c r="S361" s="4" t="str">
        <f>'Form responses 1'!AC363</f>
        <v/>
      </c>
      <c r="T361" s="4" t="str">
        <f>'Form responses 1'!AE363</f>
        <v/>
      </c>
      <c r="U361" s="4" t="str">
        <f>'Form responses 1'!AG363</f>
        <v/>
      </c>
      <c r="V361" s="4" t="str">
        <f>'Form responses 1'!AI363</f>
        <v/>
      </c>
      <c r="W361" s="4" t="str">
        <f>'Form responses 1'!AJ363</f>
        <v/>
      </c>
      <c r="X361" s="4" t="str">
        <f>'Form responses 1'!AK363</f>
        <v/>
      </c>
      <c r="Y361" s="4">
        <f t="shared" ref="Y361:AD361" si="360">if(S361&gt;0,1,0)</f>
        <v>0</v>
      </c>
      <c r="Z361" s="4">
        <f t="shared" si="360"/>
        <v>0</v>
      </c>
      <c r="AA361" s="4">
        <f t="shared" si="360"/>
        <v>0</v>
      </c>
      <c r="AB361" s="4">
        <f t="shared" si="360"/>
        <v>0</v>
      </c>
      <c r="AC361" s="4">
        <f t="shared" si="360"/>
        <v>0</v>
      </c>
      <c r="AD361" s="4">
        <f t="shared" si="360"/>
        <v>0</v>
      </c>
      <c r="AE361" s="4" t="str">
        <f>'Form responses 1'!AN363</f>
        <v/>
      </c>
      <c r="AF361" s="4" t="str">
        <f>'Form responses 1'!AO363</f>
        <v/>
      </c>
      <c r="AG361" s="4" t="str">
        <f>'Form responses 1'!AP363</f>
        <v/>
      </c>
      <c r="AH361" s="4" t="str">
        <f>'Form responses 1'!AQ363</f>
        <v/>
      </c>
      <c r="AI361" s="4" t="str">
        <f>'Form responses 1'!AR363</f>
        <v/>
      </c>
    </row>
    <row r="362">
      <c r="A362" s="26">
        <f>'Form responses 1'!B364</f>
        <v>46066</v>
      </c>
      <c r="B362" s="4" t="str">
        <f>'Form responses 1'!AZ364</f>
        <v>ankitha.baske@capsdelivery.com</v>
      </c>
      <c r="C362" s="4" t="str">
        <f>'Form responses 1'!BR364</f>
        <v>Santosh Dhaba</v>
      </c>
      <c r="D362" s="4" t="str">
        <f>'Form responses 1'!AT364</f>
        <v/>
      </c>
      <c r="E362" s="4" t="str">
        <f>'Form responses 1'!AU364</f>
        <v>Yes</v>
      </c>
      <c r="F362" s="26">
        <f>'Form responses 1'!AX364</f>
        <v>46069</v>
      </c>
      <c r="G362" s="52">
        <f>'Form responses 1'!AY364</f>
        <v>0.6666666667</v>
      </c>
      <c r="H362" s="53" t="str">
        <f>'Form responses 1'!AW364</f>
        <v/>
      </c>
      <c r="I362" s="4" t="str">
        <f>'Form responses 1'!AS364</f>
        <v/>
      </c>
      <c r="J362" s="4" t="str">
        <f>'Form responses 1'!J364</f>
        <v/>
      </c>
      <c r="K362" s="4" t="str">
        <f>'Form responses 1'!G364</f>
        <v/>
      </c>
      <c r="L362" s="4" t="str">
        <f>'Form responses 1'!F364</f>
        <v/>
      </c>
      <c r="M362" s="4" t="str">
        <f>'Form responses 1'!U364</f>
        <v>NA</v>
      </c>
      <c r="N362" s="4" t="str">
        <f>'Form responses 1'!V364</f>
        <v>NA</v>
      </c>
      <c r="O362" s="4" t="str">
        <f>'Form responses 1'!W364</f>
        <v>NA</v>
      </c>
      <c r="P362" s="4" t="str">
        <f>'Form responses 1'!X364</f>
        <v/>
      </c>
      <c r="Q362" s="4" t="str">
        <f>'Form responses 1'!Y364</f>
        <v/>
      </c>
      <c r="R362" s="4" t="str">
        <f>'Form responses 1'!Z364</f>
        <v/>
      </c>
      <c r="S362" s="4" t="str">
        <f>'Form responses 1'!AC364</f>
        <v/>
      </c>
      <c r="T362" s="4" t="str">
        <f>'Form responses 1'!AE364</f>
        <v/>
      </c>
      <c r="U362" s="4" t="str">
        <f>'Form responses 1'!AG364</f>
        <v/>
      </c>
      <c r="V362" s="4" t="str">
        <f>'Form responses 1'!AI364</f>
        <v/>
      </c>
      <c r="W362" s="4" t="str">
        <f>'Form responses 1'!AJ364</f>
        <v/>
      </c>
      <c r="X362" s="4" t="str">
        <f>'Form responses 1'!AK364</f>
        <v/>
      </c>
      <c r="Y362" s="4">
        <f t="shared" ref="Y362:AD362" si="361">if(S362&gt;0,1,0)</f>
        <v>0</v>
      </c>
      <c r="Z362" s="4">
        <f t="shared" si="361"/>
        <v>0</v>
      </c>
      <c r="AA362" s="4">
        <f t="shared" si="361"/>
        <v>0</v>
      </c>
      <c r="AB362" s="4">
        <f t="shared" si="361"/>
        <v>0</v>
      </c>
      <c r="AC362" s="4">
        <f t="shared" si="361"/>
        <v>0</v>
      </c>
      <c r="AD362" s="4">
        <f t="shared" si="361"/>
        <v>0</v>
      </c>
      <c r="AE362" s="4" t="str">
        <f>'Form responses 1'!AN364</f>
        <v/>
      </c>
      <c r="AF362" s="4" t="str">
        <f>'Form responses 1'!AO364</f>
        <v/>
      </c>
      <c r="AG362" s="4" t="str">
        <f>'Form responses 1'!AP364</f>
        <v/>
      </c>
      <c r="AH362" s="4" t="str">
        <f>'Form responses 1'!AQ364</f>
        <v/>
      </c>
      <c r="AI362" s="4" t="str">
        <f>'Form responses 1'!AR364</f>
        <v/>
      </c>
    </row>
    <row r="363">
      <c r="A363" s="26">
        <f>'Form responses 1'!B365</f>
        <v>46066</v>
      </c>
      <c r="B363" s="4" t="str">
        <f>'Form responses 1'!AZ365</f>
        <v>ankitha.baske@capsdelivery.com</v>
      </c>
      <c r="C363" s="4" t="str">
        <f>'Form responses 1'!BR365</f>
        <v>Palnodu Caterers</v>
      </c>
      <c r="D363" s="4" t="str">
        <f>'Form responses 1'!AT365</f>
        <v/>
      </c>
      <c r="E363" s="4" t="str">
        <f>'Form responses 1'!AU365</f>
        <v>Yes</v>
      </c>
      <c r="F363" s="26">
        <f>'Form responses 1'!AX365</f>
        <v>46069</v>
      </c>
      <c r="G363" s="52">
        <f>'Form responses 1'!AY365</f>
        <v>0.4583333333</v>
      </c>
      <c r="H363" s="53" t="str">
        <f>'Form responses 1'!AW365</f>
        <v/>
      </c>
      <c r="I363" s="4" t="str">
        <f>'Form responses 1'!AS365</f>
        <v/>
      </c>
      <c r="J363" s="4" t="str">
        <f>'Form responses 1'!J365</f>
        <v/>
      </c>
      <c r="K363" s="4" t="str">
        <f>'Form responses 1'!G365</f>
        <v/>
      </c>
      <c r="L363" s="4" t="str">
        <f>'Form responses 1'!F365</f>
        <v/>
      </c>
      <c r="M363" s="4" t="str">
        <f>'Form responses 1'!U365</f>
        <v>Sudhakar</v>
      </c>
      <c r="N363" s="4">
        <f>'Form responses 1'!V365</f>
        <v>9949992294</v>
      </c>
      <c r="O363" s="4" t="str">
        <f>'Form responses 1'!W365</f>
        <v>NA</v>
      </c>
      <c r="P363" s="4" t="str">
        <f>'Form responses 1'!X365</f>
        <v/>
      </c>
      <c r="Q363" s="4" t="str">
        <f>'Form responses 1'!Y365</f>
        <v/>
      </c>
      <c r="R363" s="4" t="str">
        <f>'Form responses 1'!Z365</f>
        <v/>
      </c>
      <c r="S363" s="4" t="str">
        <f>'Form responses 1'!AC365</f>
        <v/>
      </c>
      <c r="T363" s="4" t="str">
        <f>'Form responses 1'!AE365</f>
        <v/>
      </c>
      <c r="U363" s="4" t="str">
        <f>'Form responses 1'!AG365</f>
        <v/>
      </c>
      <c r="V363" s="4" t="str">
        <f>'Form responses 1'!AI365</f>
        <v/>
      </c>
      <c r="W363" s="4" t="str">
        <f>'Form responses 1'!AJ365</f>
        <v/>
      </c>
      <c r="X363" s="4" t="str">
        <f>'Form responses 1'!AK365</f>
        <v/>
      </c>
      <c r="Y363" s="4">
        <f t="shared" ref="Y363:AD363" si="362">if(S363&gt;0,1,0)</f>
        <v>0</v>
      </c>
      <c r="Z363" s="4">
        <f t="shared" si="362"/>
        <v>0</v>
      </c>
      <c r="AA363" s="4">
        <f t="shared" si="362"/>
        <v>0</v>
      </c>
      <c r="AB363" s="4">
        <f t="shared" si="362"/>
        <v>0</v>
      </c>
      <c r="AC363" s="4">
        <f t="shared" si="362"/>
        <v>0</v>
      </c>
      <c r="AD363" s="4">
        <f t="shared" si="362"/>
        <v>0</v>
      </c>
      <c r="AE363" s="4" t="str">
        <f>'Form responses 1'!AN365</f>
        <v/>
      </c>
      <c r="AF363" s="4" t="str">
        <f>'Form responses 1'!AO365</f>
        <v/>
      </c>
      <c r="AG363" s="4" t="str">
        <f>'Form responses 1'!AP365</f>
        <v/>
      </c>
      <c r="AH363" s="4" t="str">
        <f>'Form responses 1'!AQ365</f>
        <v/>
      </c>
      <c r="AI363" s="4" t="str">
        <f>'Form responses 1'!AR365</f>
        <v/>
      </c>
    </row>
    <row r="364">
      <c r="A364" s="26">
        <f>'Form responses 1'!B366</f>
        <v>46066</v>
      </c>
      <c r="B364" s="4" t="str">
        <f>'Form responses 1'!AZ366</f>
        <v>ankitha.baske@capsdelivery.com</v>
      </c>
      <c r="C364" s="4" t="str">
        <f>'Form responses 1'!BR366</f>
        <v>The Bombay Chaat</v>
      </c>
      <c r="D364" s="4" t="str">
        <f>'Form responses 1'!AT366</f>
        <v/>
      </c>
      <c r="E364" s="4" t="str">
        <f>'Form responses 1'!AU366</f>
        <v>Yes</v>
      </c>
      <c r="F364" s="4" t="str">
        <f>'Form responses 1'!AX366</f>
        <v/>
      </c>
      <c r="G364" s="4" t="str">
        <f>'Form responses 1'!AY366</f>
        <v/>
      </c>
      <c r="H364" s="53" t="str">
        <f>'Form responses 1'!AW366</f>
        <v/>
      </c>
      <c r="I364" s="4" t="str">
        <f>'Form responses 1'!AS366</f>
        <v/>
      </c>
      <c r="J364" s="4" t="str">
        <f>'Form responses 1'!J366</f>
        <v/>
      </c>
      <c r="K364" s="4" t="str">
        <f>'Form responses 1'!G366</f>
        <v/>
      </c>
      <c r="L364" s="4" t="str">
        <f>'Form responses 1'!F366</f>
        <v/>
      </c>
      <c r="M364" s="4" t="str">
        <f>'Form responses 1'!U366</f>
        <v>Raju</v>
      </c>
      <c r="N364" s="4">
        <f>'Form responses 1'!V366</f>
        <v>9700118190</v>
      </c>
      <c r="O364" s="4" t="str">
        <f>'Form responses 1'!W366</f>
        <v>NA</v>
      </c>
      <c r="P364" s="4" t="str">
        <f>'Form responses 1'!X366</f>
        <v/>
      </c>
      <c r="Q364" s="4" t="str">
        <f>'Form responses 1'!Y366</f>
        <v/>
      </c>
      <c r="R364" s="4" t="str">
        <f>'Form responses 1'!Z366</f>
        <v/>
      </c>
      <c r="S364" s="4" t="str">
        <f>'Form responses 1'!AC366</f>
        <v/>
      </c>
      <c r="T364" s="4" t="str">
        <f>'Form responses 1'!AE366</f>
        <v/>
      </c>
      <c r="U364" s="4" t="str">
        <f>'Form responses 1'!AG366</f>
        <v/>
      </c>
      <c r="V364" s="4" t="str">
        <f>'Form responses 1'!AI366</f>
        <v/>
      </c>
      <c r="W364" s="4" t="str">
        <f>'Form responses 1'!AJ366</f>
        <v/>
      </c>
      <c r="X364" s="4" t="str">
        <f>'Form responses 1'!AK366</f>
        <v/>
      </c>
      <c r="Y364" s="4">
        <f t="shared" ref="Y364:AD364" si="363">if(S364&gt;0,1,0)</f>
        <v>0</v>
      </c>
      <c r="Z364" s="4">
        <f t="shared" si="363"/>
        <v>0</v>
      </c>
      <c r="AA364" s="4">
        <f t="shared" si="363"/>
        <v>0</v>
      </c>
      <c r="AB364" s="4">
        <f t="shared" si="363"/>
        <v>0</v>
      </c>
      <c r="AC364" s="4">
        <f t="shared" si="363"/>
        <v>0</v>
      </c>
      <c r="AD364" s="4">
        <f t="shared" si="363"/>
        <v>0</v>
      </c>
      <c r="AE364" s="4" t="str">
        <f>'Form responses 1'!AN366</f>
        <v/>
      </c>
      <c r="AF364" s="4" t="str">
        <f>'Form responses 1'!AO366</f>
        <v/>
      </c>
      <c r="AG364" s="4" t="str">
        <f>'Form responses 1'!AP366</f>
        <v/>
      </c>
      <c r="AH364" s="4" t="str">
        <f>'Form responses 1'!AQ366</f>
        <v/>
      </c>
      <c r="AI364" s="4" t="str">
        <f>'Form responses 1'!AR366</f>
        <v/>
      </c>
    </row>
    <row r="365">
      <c r="A365" s="26">
        <f>'Form responses 1'!B367</f>
        <v>46066</v>
      </c>
      <c r="B365" s="4" t="str">
        <f>'Form responses 1'!AZ367</f>
        <v>ankitha.baske@capsdelivery.com</v>
      </c>
      <c r="C365" s="4" t="str">
        <f>'Form responses 1'!BR367</f>
        <v>Sangeeth Kitchen </v>
      </c>
      <c r="D365" s="4" t="str">
        <f>'Form responses 1'!AT367</f>
        <v/>
      </c>
      <c r="E365" s="4" t="str">
        <f>'Form responses 1'!AU367</f>
        <v>Yes</v>
      </c>
      <c r="F365" s="4" t="str">
        <f>'Form responses 1'!AX367</f>
        <v/>
      </c>
      <c r="G365" s="4" t="str">
        <f>'Form responses 1'!AY367</f>
        <v/>
      </c>
      <c r="H365" s="53" t="str">
        <f>'Form responses 1'!AW367</f>
        <v/>
      </c>
      <c r="I365" s="4" t="str">
        <f>'Form responses 1'!AS367</f>
        <v/>
      </c>
      <c r="J365" s="4" t="str">
        <f>'Form responses 1'!J367</f>
        <v/>
      </c>
      <c r="K365" s="4" t="str">
        <f>'Form responses 1'!G367</f>
        <v/>
      </c>
      <c r="L365" s="4" t="str">
        <f>'Form responses 1'!F367</f>
        <v/>
      </c>
      <c r="M365" s="4" t="str">
        <f>'Form responses 1'!U367</f>
        <v>Ragvendra</v>
      </c>
      <c r="N365" s="4">
        <f>'Form responses 1'!V367</f>
        <v>7386992552</v>
      </c>
      <c r="O365" s="4" t="str">
        <f>'Form responses 1'!W367</f>
        <v>NA</v>
      </c>
      <c r="P365" s="4" t="str">
        <f>'Form responses 1'!X367</f>
        <v/>
      </c>
      <c r="Q365" s="4" t="str">
        <f>'Form responses 1'!Y367</f>
        <v/>
      </c>
      <c r="R365" s="4" t="str">
        <f>'Form responses 1'!Z367</f>
        <v/>
      </c>
      <c r="S365" s="4" t="str">
        <f>'Form responses 1'!AC367</f>
        <v/>
      </c>
      <c r="T365" s="4" t="str">
        <f>'Form responses 1'!AE367</f>
        <v/>
      </c>
      <c r="U365" s="4" t="str">
        <f>'Form responses 1'!AG367</f>
        <v/>
      </c>
      <c r="V365" s="4" t="str">
        <f>'Form responses 1'!AI367</f>
        <v/>
      </c>
      <c r="W365" s="4" t="str">
        <f>'Form responses 1'!AJ367</f>
        <v/>
      </c>
      <c r="X365" s="4" t="str">
        <f>'Form responses 1'!AK367</f>
        <v/>
      </c>
      <c r="Y365" s="4">
        <f t="shared" ref="Y365:AD365" si="364">if(S365&gt;0,1,0)</f>
        <v>0</v>
      </c>
      <c r="Z365" s="4">
        <f t="shared" si="364"/>
        <v>0</v>
      </c>
      <c r="AA365" s="4">
        <f t="shared" si="364"/>
        <v>0</v>
      </c>
      <c r="AB365" s="4">
        <f t="shared" si="364"/>
        <v>0</v>
      </c>
      <c r="AC365" s="4">
        <f t="shared" si="364"/>
        <v>0</v>
      </c>
      <c r="AD365" s="4">
        <f t="shared" si="364"/>
        <v>0</v>
      </c>
      <c r="AE365" s="4" t="str">
        <f>'Form responses 1'!AN367</f>
        <v/>
      </c>
      <c r="AF365" s="4" t="str">
        <f>'Form responses 1'!AO367</f>
        <v/>
      </c>
      <c r="AG365" s="4" t="str">
        <f>'Form responses 1'!AP367</f>
        <v/>
      </c>
      <c r="AH365" s="4" t="str">
        <f>'Form responses 1'!AQ367</f>
        <v/>
      </c>
      <c r="AI365" s="4" t="str">
        <f>'Form responses 1'!AR367</f>
        <v/>
      </c>
    </row>
    <row r="366">
      <c r="A366" s="26">
        <f>'Form responses 1'!B368</f>
        <v>46066</v>
      </c>
      <c r="B366" s="4" t="str">
        <f>'Form responses 1'!AZ368</f>
        <v>ankitha.baske@capsdelivery.com</v>
      </c>
      <c r="C366" s="4" t="str">
        <f>'Form responses 1'!BR368</f>
        <v>Bruvaka Tiffins</v>
      </c>
      <c r="D366" s="4" t="str">
        <f>'Form responses 1'!AT368</f>
        <v/>
      </c>
      <c r="E366" s="4" t="str">
        <f>'Form responses 1'!AU368</f>
        <v>Yes</v>
      </c>
      <c r="F366" s="4" t="str">
        <f>'Form responses 1'!AX368</f>
        <v/>
      </c>
      <c r="G366" s="4" t="str">
        <f>'Form responses 1'!AY368</f>
        <v/>
      </c>
      <c r="H366" s="53" t="str">
        <f>'Form responses 1'!AW368</f>
        <v/>
      </c>
      <c r="I366" s="4" t="str">
        <f>'Form responses 1'!AS368</f>
        <v/>
      </c>
      <c r="J366" s="4" t="str">
        <f>'Form responses 1'!J368</f>
        <v/>
      </c>
      <c r="K366" s="4" t="str">
        <f>'Form responses 1'!G368</f>
        <v/>
      </c>
      <c r="L366" s="4" t="str">
        <f>'Form responses 1'!F368</f>
        <v/>
      </c>
      <c r="M366" s="4" t="str">
        <f>'Form responses 1'!U368</f>
        <v>Anil</v>
      </c>
      <c r="N366" s="4">
        <f>'Form responses 1'!V368</f>
        <v>9493862863</v>
      </c>
      <c r="O366" s="4" t="str">
        <f>'Form responses 1'!W368</f>
        <v>NA</v>
      </c>
      <c r="P366" s="4" t="str">
        <f>'Form responses 1'!X368</f>
        <v/>
      </c>
      <c r="Q366" s="4" t="str">
        <f>'Form responses 1'!Y368</f>
        <v/>
      </c>
      <c r="R366" s="4" t="str">
        <f>'Form responses 1'!Z368</f>
        <v/>
      </c>
      <c r="S366" s="4" t="str">
        <f>'Form responses 1'!AC368</f>
        <v/>
      </c>
      <c r="T366" s="4" t="str">
        <f>'Form responses 1'!AE368</f>
        <v/>
      </c>
      <c r="U366" s="4" t="str">
        <f>'Form responses 1'!AG368</f>
        <v/>
      </c>
      <c r="V366" s="4" t="str">
        <f>'Form responses 1'!AI368</f>
        <v/>
      </c>
      <c r="W366" s="4" t="str">
        <f>'Form responses 1'!AJ368</f>
        <v/>
      </c>
      <c r="X366" s="4" t="str">
        <f>'Form responses 1'!AK368</f>
        <v/>
      </c>
      <c r="Y366" s="4">
        <f t="shared" ref="Y366:AD366" si="365">if(S366&gt;0,1,0)</f>
        <v>0</v>
      </c>
      <c r="Z366" s="4">
        <f t="shared" si="365"/>
        <v>0</v>
      </c>
      <c r="AA366" s="4">
        <f t="shared" si="365"/>
        <v>0</v>
      </c>
      <c r="AB366" s="4">
        <f t="shared" si="365"/>
        <v>0</v>
      </c>
      <c r="AC366" s="4">
        <f t="shared" si="365"/>
        <v>0</v>
      </c>
      <c r="AD366" s="4">
        <f t="shared" si="365"/>
        <v>0</v>
      </c>
      <c r="AE366" s="4" t="str">
        <f>'Form responses 1'!AN368</f>
        <v/>
      </c>
      <c r="AF366" s="4" t="str">
        <f>'Form responses 1'!AO368</f>
        <v/>
      </c>
      <c r="AG366" s="4" t="str">
        <f>'Form responses 1'!AP368</f>
        <v/>
      </c>
      <c r="AH366" s="4" t="str">
        <f>'Form responses 1'!AQ368</f>
        <v/>
      </c>
      <c r="AI366" s="4" t="str">
        <f>'Form responses 1'!AR368</f>
        <v/>
      </c>
    </row>
    <row r="367">
      <c r="A367" s="26">
        <f>'Form responses 1'!B369</f>
        <v>46066</v>
      </c>
      <c r="B367" s="4" t="str">
        <f>'Form responses 1'!AZ369</f>
        <v>ankitha.baske@capsdelivery.com</v>
      </c>
      <c r="C367" s="4" t="str">
        <f>'Form responses 1'!BR369</f>
        <v>Sri Raghavendra Cafe</v>
      </c>
      <c r="D367" s="4" t="str">
        <f>'Form responses 1'!AT369</f>
        <v/>
      </c>
      <c r="E367" s="4" t="str">
        <f>'Form responses 1'!AU369</f>
        <v>Yes</v>
      </c>
      <c r="F367" s="26">
        <f>'Form responses 1'!AX369</f>
        <v>46069</v>
      </c>
      <c r="G367" s="4" t="str">
        <f>'Form responses 1'!AY369</f>
        <v/>
      </c>
      <c r="H367" s="53" t="str">
        <f>'Form responses 1'!AW369</f>
        <v/>
      </c>
      <c r="I367" s="4" t="str">
        <f>'Form responses 1'!AS369</f>
        <v/>
      </c>
      <c r="J367" s="4" t="str">
        <f>'Form responses 1'!J369</f>
        <v/>
      </c>
      <c r="K367" s="4" t="str">
        <f>'Form responses 1'!G369</f>
        <v/>
      </c>
      <c r="L367" s="4" t="str">
        <f>'Form responses 1'!F369</f>
        <v/>
      </c>
      <c r="M367" s="4" t="str">
        <f>'Form responses 1'!U369</f>
        <v>Mahesh</v>
      </c>
      <c r="N367" s="4">
        <f>'Form responses 1'!V369</f>
        <v>9100396662</v>
      </c>
      <c r="O367" s="4" t="str">
        <f>'Form responses 1'!W369</f>
        <v>NA</v>
      </c>
      <c r="P367" s="4" t="str">
        <f>'Form responses 1'!X369</f>
        <v/>
      </c>
      <c r="Q367" s="4" t="str">
        <f>'Form responses 1'!Y369</f>
        <v/>
      </c>
      <c r="R367" s="4" t="str">
        <f>'Form responses 1'!Z369</f>
        <v/>
      </c>
      <c r="S367" s="4" t="str">
        <f>'Form responses 1'!AC369</f>
        <v/>
      </c>
      <c r="T367" s="4" t="str">
        <f>'Form responses 1'!AE369</f>
        <v/>
      </c>
      <c r="U367" s="4" t="str">
        <f>'Form responses 1'!AG369</f>
        <v/>
      </c>
      <c r="V367" s="4" t="str">
        <f>'Form responses 1'!AI369</f>
        <v/>
      </c>
      <c r="W367" s="4" t="str">
        <f>'Form responses 1'!AJ369</f>
        <v/>
      </c>
      <c r="X367" s="4" t="str">
        <f>'Form responses 1'!AK369</f>
        <v/>
      </c>
      <c r="Y367" s="4">
        <f t="shared" ref="Y367:AD367" si="366">if(S367&gt;0,1,0)</f>
        <v>0</v>
      </c>
      <c r="Z367" s="4">
        <f t="shared" si="366"/>
        <v>0</v>
      </c>
      <c r="AA367" s="4">
        <f t="shared" si="366"/>
        <v>0</v>
      </c>
      <c r="AB367" s="4">
        <f t="shared" si="366"/>
        <v>0</v>
      </c>
      <c r="AC367" s="4">
        <f t="shared" si="366"/>
        <v>0</v>
      </c>
      <c r="AD367" s="4">
        <f t="shared" si="366"/>
        <v>0</v>
      </c>
      <c r="AE367" s="4" t="str">
        <f>'Form responses 1'!AN369</f>
        <v/>
      </c>
      <c r="AF367" s="4" t="str">
        <f>'Form responses 1'!AO369</f>
        <v/>
      </c>
      <c r="AG367" s="4" t="str">
        <f>'Form responses 1'!AP369</f>
        <v/>
      </c>
      <c r="AH367" s="4" t="str">
        <f>'Form responses 1'!AQ369</f>
        <v/>
      </c>
      <c r="AI367" s="4" t="str">
        <f>'Form responses 1'!AR369</f>
        <v/>
      </c>
    </row>
    <row r="368">
      <c r="A368" s="26">
        <f>'Form responses 1'!B370</f>
        <v>46066</v>
      </c>
      <c r="B368" s="4" t="str">
        <f>'Form responses 1'!AZ370</f>
        <v>ankitha.baske@capsdelivery.com</v>
      </c>
      <c r="C368" s="4" t="str">
        <f>'Form responses 1'!BR370</f>
        <v>Errababu Pulavos</v>
      </c>
      <c r="D368" s="4" t="str">
        <f>'Form responses 1'!AT370</f>
        <v/>
      </c>
      <c r="E368" s="4" t="str">
        <f>'Form responses 1'!AU370</f>
        <v>Yes</v>
      </c>
      <c r="F368" s="26">
        <f>'Form responses 1'!AX370</f>
        <v>46069</v>
      </c>
      <c r="G368" s="4" t="str">
        <f>'Form responses 1'!AY370</f>
        <v/>
      </c>
      <c r="H368" s="53" t="str">
        <f>'Form responses 1'!AW370</f>
        <v/>
      </c>
      <c r="I368" s="4" t="str">
        <f>'Form responses 1'!AS370</f>
        <v/>
      </c>
      <c r="J368" s="4" t="str">
        <f>'Form responses 1'!J370</f>
        <v/>
      </c>
      <c r="K368" s="4" t="str">
        <f>'Form responses 1'!G370</f>
        <v/>
      </c>
      <c r="L368" s="4" t="str">
        <f>'Form responses 1'!F370</f>
        <v/>
      </c>
      <c r="M368" s="4" t="str">
        <f>'Form responses 1'!U370</f>
        <v>NA</v>
      </c>
      <c r="N368" s="4" t="str">
        <f>'Form responses 1'!V370</f>
        <v>NA</v>
      </c>
      <c r="O368" s="4" t="str">
        <f>'Form responses 1'!W370</f>
        <v>Na</v>
      </c>
      <c r="P368" s="4" t="str">
        <f>'Form responses 1'!X370</f>
        <v/>
      </c>
      <c r="Q368" s="4" t="str">
        <f>'Form responses 1'!Y370</f>
        <v/>
      </c>
      <c r="R368" s="4" t="str">
        <f>'Form responses 1'!Z370</f>
        <v/>
      </c>
      <c r="S368" s="4" t="str">
        <f>'Form responses 1'!AC370</f>
        <v/>
      </c>
      <c r="T368" s="4" t="str">
        <f>'Form responses 1'!AE370</f>
        <v/>
      </c>
      <c r="U368" s="4" t="str">
        <f>'Form responses 1'!AG370</f>
        <v/>
      </c>
      <c r="V368" s="4" t="str">
        <f>'Form responses 1'!AI370</f>
        <v/>
      </c>
      <c r="W368" s="4" t="str">
        <f>'Form responses 1'!AJ370</f>
        <v/>
      </c>
      <c r="X368" s="4" t="str">
        <f>'Form responses 1'!AK370</f>
        <v/>
      </c>
      <c r="Y368" s="4">
        <f t="shared" ref="Y368:AD368" si="367">if(S368&gt;0,1,0)</f>
        <v>0</v>
      </c>
      <c r="Z368" s="4">
        <f t="shared" si="367"/>
        <v>0</v>
      </c>
      <c r="AA368" s="4">
        <f t="shared" si="367"/>
        <v>0</v>
      </c>
      <c r="AB368" s="4">
        <f t="shared" si="367"/>
        <v>0</v>
      </c>
      <c r="AC368" s="4">
        <f t="shared" si="367"/>
        <v>0</v>
      </c>
      <c r="AD368" s="4">
        <f t="shared" si="367"/>
        <v>0</v>
      </c>
      <c r="AE368" s="4" t="str">
        <f>'Form responses 1'!AN370</f>
        <v/>
      </c>
      <c r="AF368" s="4" t="str">
        <f>'Form responses 1'!AO370</f>
        <v/>
      </c>
      <c r="AG368" s="4" t="str">
        <f>'Form responses 1'!AP370</f>
        <v/>
      </c>
      <c r="AH368" s="4" t="str">
        <f>'Form responses 1'!AQ370</f>
        <v/>
      </c>
      <c r="AI368" s="4" t="str">
        <f>'Form responses 1'!AR370</f>
        <v/>
      </c>
    </row>
    <row r="369">
      <c r="A369" s="26">
        <f>'Form responses 1'!B371</f>
        <v>46066</v>
      </c>
      <c r="B369" s="4" t="str">
        <f>'Form responses 1'!AZ371</f>
        <v>ankitha.baske@capsdelivery.com</v>
      </c>
      <c r="C369" s="4" t="str">
        <f>'Form responses 1'!BR371</f>
        <v>Chittibabu Biryani </v>
      </c>
      <c r="D369" s="4" t="str">
        <f>'Form responses 1'!AT371</f>
        <v/>
      </c>
      <c r="E369" s="4" t="str">
        <f>'Form responses 1'!AU371</f>
        <v>Yes</v>
      </c>
      <c r="F369" s="4" t="str">
        <f>'Form responses 1'!AX371</f>
        <v/>
      </c>
      <c r="G369" s="4" t="str">
        <f>'Form responses 1'!AY371</f>
        <v/>
      </c>
      <c r="H369" s="53" t="str">
        <f>'Form responses 1'!AW371</f>
        <v/>
      </c>
      <c r="I369" s="4" t="str">
        <f>'Form responses 1'!AS371</f>
        <v/>
      </c>
      <c r="J369" s="4" t="str">
        <f>'Form responses 1'!J371</f>
        <v/>
      </c>
      <c r="K369" s="4" t="str">
        <f>'Form responses 1'!G371</f>
        <v/>
      </c>
      <c r="L369" s="4" t="str">
        <f>'Form responses 1'!F371</f>
        <v/>
      </c>
      <c r="M369" s="4" t="str">
        <f>'Form responses 1'!U371</f>
        <v>NA</v>
      </c>
      <c r="N369" s="4" t="str">
        <f>'Form responses 1'!V371</f>
        <v>NA</v>
      </c>
      <c r="O369" s="4" t="str">
        <f>'Form responses 1'!W371</f>
        <v>NA</v>
      </c>
      <c r="P369" s="4" t="str">
        <f>'Form responses 1'!X371</f>
        <v/>
      </c>
      <c r="Q369" s="4" t="str">
        <f>'Form responses 1'!Y371</f>
        <v/>
      </c>
      <c r="R369" s="4" t="str">
        <f>'Form responses 1'!Z371</f>
        <v/>
      </c>
      <c r="S369" s="4" t="str">
        <f>'Form responses 1'!AC371</f>
        <v/>
      </c>
      <c r="T369" s="4" t="str">
        <f>'Form responses 1'!AE371</f>
        <v/>
      </c>
      <c r="U369" s="4" t="str">
        <f>'Form responses 1'!AG371</f>
        <v/>
      </c>
      <c r="V369" s="4" t="str">
        <f>'Form responses 1'!AI371</f>
        <v/>
      </c>
      <c r="W369" s="4" t="str">
        <f>'Form responses 1'!AJ371</f>
        <v/>
      </c>
      <c r="X369" s="4" t="str">
        <f>'Form responses 1'!AK371</f>
        <v/>
      </c>
      <c r="Y369" s="4">
        <f t="shared" ref="Y369:AD369" si="368">if(S369&gt;0,1,0)</f>
        <v>0</v>
      </c>
      <c r="Z369" s="4">
        <f t="shared" si="368"/>
        <v>0</v>
      </c>
      <c r="AA369" s="4">
        <f t="shared" si="368"/>
        <v>0</v>
      </c>
      <c r="AB369" s="4">
        <f t="shared" si="368"/>
        <v>0</v>
      </c>
      <c r="AC369" s="4">
        <f t="shared" si="368"/>
        <v>0</v>
      </c>
      <c r="AD369" s="4">
        <f t="shared" si="368"/>
        <v>0</v>
      </c>
      <c r="AE369" s="4" t="str">
        <f>'Form responses 1'!AN371</f>
        <v/>
      </c>
      <c r="AF369" s="4" t="str">
        <f>'Form responses 1'!AO371</f>
        <v/>
      </c>
      <c r="AG369" s="4" t="str">
        <f>'Form responses 1'!AP371</f>
        <v/>
      </c>
      <c r="AH369" s="4" t="str">
        <f>'Form responses 1'!AQ371</f>
        <v/>
      </c>
      <c r="AI369" s="4" t="str">
        <f>'Form responses 1'!AR371</f>
        <v/>
      </c>
    </row>
    <row r="370">
      <c r="A370" s="26">
        <f>'Form responses 1'!B372</f>
        <v>46066</v>
      </c>
      <c r="B370" s="4" t="str">
        <f>'Form responses 1'!AZ372</f>
        <v>parthive.maganti@capsdelivery.com</v>
      </c>
      <c r="C370" s="4" t="str">
        <f>'Form responses 1'!BR372</f>
        <v>Sahi nawabs biryani</v>
      </c>
      <c r="D370" s="4" t="str">
        <f>'Form responses 1'!AT372</f>
        <v>Na</v>
      </c>
      <c r="E370" s="4" t="str">
        <f>'Form responses 1'!AU372</f>
        <v>No</v>
      </c>
      <c r="F370" s="4" t="str">
        <f>'Form responses 1'!AX372</f>
        <v/>
      </c>
      <c r="G370" s="4" t="str">
        <f>'Form responses 1'!AY372</f>
        <v/>
      </c>
      <c r="H370" s="53" t="str">
        <f>'Form responses 1'!AW372</f>
        <v/>
      </c>
      <c r="I370" s="4" t="str">
        <f>'Form responses 1'!AS372</f>
        <v>Yes</v>
      </c>
      <c r="J370" s="4" t="str">
        <f>'Form responses 1'!J372</f>
        <v>Tier-3 ( AOV&lt;200 )</v>
      </c>
      <c r="K370" s="4">
        <f>'Form responses 1'!G372</f>
        <v>130</v>
      </c>
      <c r="L370" s="4">
        <f>'Form responses 1'!F372</f>
        <v>30</v>
      </c>
      <c r="M370" s="4" t="str">
        <f>'Form responses 1'!U372</f>
        <v>Rama </v>
      </c>
      <c r="N370" s="4">
        <f>'Form responses 1'!V372</f>
        <v>900002378</v>
      </c>
      <c r="O370" s="4" t="str">
        <f>'Form responses 1'!W372</f>
        <v>Na</v>
      </c>
      <c r="P370" s="4" t="str">
        <f>'Form responses 1'!X372</f>
        <v/>
      </c>
      <c r="Q370" s="4" t="str">
        <f>'Form responses 1'!Y372</f>
        <v/>
      </c>
      <c r="R370" s="4" t="str">
        <f>'Form responses 1'!Z372</f>
        <v/>
      </c>
      <c r="S370" s="54" t="str">
        <f>'Form responses 1'!AC372</f>
        <v>https://drive.google.com/open?id=15LQNQwFCSmtoa-ANPNjSw85OKSSf_V4h</v>
      </c>
      <c r="T370" s="4" t="str">
        <f>'Form responses 1'!AE372</f>
        <v/>
      </c>
      <c r="U370" s="54" t="str">
        <f>'Form responses 1'!AG372</f>
        <v>https://drive.google.com/open?id=1sDrRhLZEmvz0XjP4BBf4HBBHVNAglB3S</v>
      </c>
      <c r="V370" s="4" t="str">
        <f>'Form responses 1'!AI372</f>
        <v/>
      </c>
      <c r="W370" s="4" t="str">
        <f>'Form responses 1'!AJ372</f>
        <v/>
      </c>
      <c r="X370" s="4" t="str">
        <f>'Form responses 1'!AK372</f>
        <v/>
      </c>
      <c r="Y370" s="4">
        <f t="shared" ref="Y370:AD370" si="369">if(S370&gt;0,1,0)</f>
        <v>1</v>
      </c>
      <c r="Z370" s="4">
        <f t="shared" si="369"/>
        <v>0</v>
      </c>
      <c r="AA370" s="4">
        <f t="shared" si="369"/>
        <v>1</v>
      </c>
      <c r="AB370" s="4">
        <f t="shared" si="369"/>
        <v>0</v>
      </c>
      <c r="AC370" s="4">
        <f t="shared" si="369"/>
        <v>0</v>
      </c>
      <c r="AD370" s="4">
        <f t="shared" si="369"/>
        <v>0</v>
      </c>
      <c r="AE370" s="4" t="str">
        <f>'Form responses 1'!AN372</f>
        <v>Rambabu ji</v>
      </c>
      <c r="AF370" s="4" t="str">
        <f>'Form responses 1'!AO372</f>
        <v/>
      </c>
      <c r="AG370" s="4" t="str">
        <f>'Form responses 1'!AP372</f>
        <v/>
      </c>
      <c r="AH370" s="4" t="str">
        <f>'Form responses 1'!AQ372</f>
        <v/>
      </c>
      <c r="AI370" s="4" t="str">
        <f>'Form responses 1'!AR372</f>
        <v/>
      </c>
    </row>
    <row r="371">
      <c r="A371" s="26">
        <f>'Form responses 1'!B373</f>
        <v>46066</v>
      </c>
      <c r="B371" s="4" t="str">
        <f>'Form responses 1'!AZ373</f>
        <v>ankitha.baske@capsdelivery.com</v>
      </c>
      <c r="C371" s="4" t="str">
        <f>'Form responses 1'!BR373</f>
        <v>Gadu Rajugari Ruchulu</v>
      </c>
      <c r="D371" s="4" t="str">
        <f>'Form responses 1'!AT373</f>
        <v/>
      </c>
      <c r="E371" s="4" t="str">
        <f>'Form responses 1'!AU373</f>
        <v>Yes</v>
      </c>
      <c r="F371" s="4" t="str">
        <f>'Form responses 1'!AX373</f>
        <v/>
      </c>
      <c r="G371" s="4" t="str">
        <f>'Form responses 1'!AY373</f>
        <v/>
      </c>
      <c r="H371" s="53" t="str">
        <f>'Form responses 1'!AW373</f>
        <v/>
      </c>
      <c r="I371" s="4" t="str">
        <f>'Form responses 1'!AS373</f>
        <v/>
      </c>
      <c r="J371" s="4" t="str">
        <f>'Form responses 1'!J373</f>
        <v/>
      </c>
      <c r="K371" s="4" t="str">
        <f>'Form responses 1'!G373</f>
        <v/>
      </c>
      <c r="L371" s="4" t="str">
        <f>'Form responses 1'!F373</f>
        <v/>
      </c>
      <c r="M371" s="4" t="str">
        <f>'Form responses 1'!U373</f>
        <v>Raju</v>
      </c>
      <c r="N371" s="4">
        <f>'Form responses 1'!V373</f>
        <v>7306506572</v>
      </c>
      <c r="O371" s="4" t="str">
        <f>'Form responses 1'!W373</f>
        <v>NA</v>
      </c>
      <c r="P371" s="4" t="str">
        <f>'Form responses 1'!X373</f>
        <v/>
      </c>
      <c r="Q371" s="4" t="str">
        <f>'Form responses 1'!Y373</f>
        <v/>
      </c>
      <c r="R371" s="4" t="str">
        <f>'Form responses 1'!Z373</f>
        <v/>
      </c>
      <c r="S371" s="4" t="str">
        <f>'Form responses 1'!AC373</f>
        <v/>
      </c>
      <c r="T371" s="4" t="str">
        <f>'Form responses 1'!AE373</f>
        <v/>
      </c>
      <c r="U371" s="4" t="str">
        <f>'Form responses 1'!AG373</f>
        <v/>
      </c>
      <c r="V371" s="4" t="str">
        <f>'Form responses 1'!AI373</f>
        <v/>
      </c>
      <c r="W371" s="4" t="str">
        <f>'Form responses 1'!AJ373</f>
        <v/>
      </c>
      <c r="X371" s="4" t="str">
        <f>'Form responses 1'!AK373</f>
        <v/>
      </c>
      <c r="Y371" s="4">
        <f t="shared" ref="Y371:AD371" si="370">if(S371&gt;0,1,0)</f>
        <v>0</v>
      </c>
      <c r="Z371" s="4">
        <f t="shared" si="370"/>
        <v>0</v>
      </c>
      <c r="AA371" s="4">
        <f t="shared" si="370"/>
        <v>0</v>
      </c>
      <c r="AB371" s="4">
        <f t="shared" si="370"/>
        <v>0</v>
      </c>
      <c r="AC371" s="4">
        <f t="shared" si="370"/>
        <v>0</v>
      </c>
      <c r="AD371" s="4">
        <f t="shared" si="370"/>
        <v>0</v>
      </c>
      <c r="AE371" s="4" t="str">
        <f>'Form responses 1'!AN373</f>
        <v/>
      </c>
      <c r="AF371" s="4" t="str">
        <f>'Form responses 1'!AO373</f>
        <v/>
      </c>
      <c r="AG371" s="4" t="str">
        <f>'Form responses 1'!AP373</f>
        <v/>
      </c>
      <c r="AH371" s="4" t="str">
        <f>'Form responses 1'!AQ373</f>
        <v/>
      </c>
      <c r="AI371" s="4" t="str">
        <f>'Form responses 1'!AR373</f>
        <v/>
      </c>
    </row>
    <row r="372">
      <c r="A372" s="26">
        <f>'Form responses 1'!B374</f>
        <v>46066</v>
      </c>
      <c r="B372" s="4" t="str">
        <f>'Form responses 1'!AZ374</f>
        <v>ankitha.baske@capsdelivery.com</v>
      </c>
      <c r="C372" s="4" t="str">
        <f>'Form responses 1'!BR374</f>
        <v>Military Rajanna Hotel</v>
      </c>
      <c r="D372" s="4" t="str">
        <f>'Form responses 1'!AT374</f>
        <v/>
      </c>
      <c r="E372" s="4" t="str">
        <f>'Form responses 1'!AU374</f>
        <v>Yes</v>
      </c>
      <c r="F372" s="26">
        <f>'Form responses 1'!AX374</f>
        <v>46069</v>
      </c>
      <c r="G372" s="4" t="str">
        <f>'Form responses 1'!AY374</f>
        <v/>
      </c>
      <c r="H372" s="53" t="str">
        <f>'Form responses 1'!AW374</f>
        <v/>
      </c>
      <c r="I372" s="4" t="str">
        <f>'Form responses 1'!AS374</f>
        <v/>
      </c>
      <c r="J372" s="4" t="str">
        <f>'Form responses 1'!J374</f>
        <v/>
      </c>
      <c r="K372" s="4" t="str">
        <f>'Form responses 1'!G374</f>
        <v/>
      </c>
      <c r="L372" s="4" t="str">
        <f>'Form responses 1'!F374</f>
        <v/>
      </c>
      <c r="M372" s="4" t="str">
        <f>'Form responses 1'!U374</f>
        <v>Rajashekar</v>
      </c>
      <c r="N372" s="4">
        <f>'Form responses 1'!V374</f>
        <v>9177171107</v>
      </c>
      <c r="O372" s="4" t="str">
        <f>'Form responses 1'!W374</f>
        <v>NA</v>
      </c>
      <c r="P372" s="4" t="str">
        <f>'Form responses 1'!X374</f>
        <v/>
      </c>
      <c r="Q372" s="4" t="str">
        <f>'Form responses 1'!Y374</f>
        <v/>
      </c>
      <c r="R372" s="4" t="str">
        <f>'Form responses 1'!Z374</f>
        <v/>
      </c>
      <c r="S372" s="4" t="str">
        <f>'Form responses 1'!AC374</f>
        <v/>
      </c>
      <c r="T372" s="4" t="str">
        <f>'Form responses 1'!AE374</f>
        <v/>
      </c>
      <c r="U372" s="4" t="str">
        <f>'Form responses 1'!AG374</f>
        <v/>
      </c>
      <c r="V372" s="4" t="str">
        <f>'Form responses 1'!AI374</f>
        <v/>
      </c>
      <c r="W372" s="4" t="str">
        <f>'Form responses 1'!AJ374</f>
        <v/>
      </c>
      <c r="X372" s="4" t="str">
        <f>'Form responses 1'!AK374</f>
        <v/>
      </c>
      <c r="Y372" s="4">
        <f t="shared" ref="Y372:AD372" si="371">if(S372&gt;0,1,0)</f>
        <v>0</v>
      </c>
      <c r="Z372" s="4">
        <f t="shared" si="371"/>
        <v>0</v>
      </c>
      <c r="AA372" s="4">
        <f t="shared" si="371"/>
        <v>0</v>
      </c>
      <c r="AB372" s="4">
        <f t="shared" si="371"/>
        <v>0</v>
      </c>
      <c r="AC372" s="4">
        <f t="shared" si="371"/>
        <v>0</v>
      </c>
      <c r="AD372" s="4">
        <f t="shared" si="371"/>
        <v>0</v>
      </c>
      <c r="AE372" s="4" t="str">
        <f>'Form responses 1'!AN374</f>
        <v/>
      </c>
      <c r="AF372" s="4" t="str">
        <f>'Form responses 1'!AO374</f>
        <v/>
      </c>
      <c r="AG372" s="4" t="str">
        <f>'Form responses 1'!AP374</f>
        <v/>
      </c>
      <c r="AH372" s="4" t="str">
        <f>'Form responses 1'!AQ374</f>
        <v/>
      </c>
      <c r="AI372" s="4" t="str">
        <f>'Form responses 1'!AR374</f>
        <v/>
      </c>
    </row>
    <row r="373">
      <c r="A373" s="26">
        <f>'Form responses 1'!B375</f>
        <v>46066</v>
      </c>
      <c r="B373" s="4" t="str">
        <f>'Form responses 1'!AZ375</f>
        <v>parthive.maganti@capsdelivery.com</v>
      </c>
      <c r="C373" s="4" t="str">
        <f>'Form responses 1'!BR375</f>
        <v>Bulli abbai kodi palav</v>
      </c>
      <c r="D373" s="4" t="str">
        <f>'Form responses 1'!AT375</f>
        <v>Na</v>
      </c>
      <c r="E373" s="4" t="str">
        <f>'Form responses 1'!AU375</f>
        <v>No</v>
      </c>
      <c r="F373" s="4" t="str">
        <f>'Form responses 1'!AX375</f>
        <v/>
      </c>
      <c r="G373" s="4" t="str">
        <f>'Form responses 1'!AY375</f>
        <v/>
      </c>
      <c r="H373" s="53" t="str">
        <f>'Form responses 1'!AW375</f>
        <v/>
      </c>
      <c r="I373" s="4" t="str">
        <f>'Form responses 1'!AS375</f>
        <v>Yes</v>
      </c>
      <c r="J373" s="4" t="str">
        <f>'Form responses 1'!J375</f>
        <v>Tier-3 ( AOV&lt;200 )</v>
      </c>
      <c r="K373" s="4">
        <f>'Form responses 1'!G375</f>
        <v>200</v>
      </c>
      <c r="L373" s="4">
        <f>'Form responses 1'!F375</f>
        <v>50</v>
      </c>
      <c r="M373" s="4" t="str">
        <f>'Form responses 1'!U375</f>
        <v>Venkata reddy</v>
      </c>
      <c r="N373" s="4" t="str">
        <f>'Form responses 1'!V375</f>
        <v>+91 94939 89362</v>
      </c>
      <c r="O373" s="4" t="str">
        <f>'Form responses 1'!W375</f>
        <v>Na</v>
      </c>
      <c r="P373" s="4" t="str">
        <f>'Form responses 1'!X375</f>
        <v/>
      </c>
      <c r="Q373" s="4" t="str">
        <f>'Form responses 1'!Y375</f>
        <v/>
      </c>
      <c r="R373" s="4" t="str">
        <f>'Form responses 1'!Z375</f>
        <v/>
      </c>
      <c r="S373" s="54" t="str">
        <f>'Form responses 1'!AC375</f>
        <v>https://drive.google.com/open?id=1bYYNkuI4klJFNRxozmqIxILvA32fXEGy</v>
      </c>
      <c r="T373" s="4" t="str">
        <f>'Form responses 1'!AE375</f>
        <v/>
      </c>
      <c r="U373" s="4" t="str">
        <f>'Form responses 1'!AG375</f>
        <v/>
      </c>
      <c r="V373" s="4" t="str">
        <f>'Form responses 1'!AI375</f>
        <v/>
      </c>
      <c r="W373" s="4" t="str">
        <f>'Form responses 1'!AJ375</f>
        <v/>
      </c>
      <c r="X373" s="4" t="str">
        <f>'Form responses 1'!AK375</f>
        <v/>
      </c>
      <c r="Y373" s="4">
        <f t="shared" ref="Y373:AD373" si="372">if(S373&gt;0,1,0)</f>
        <v>1</v>
      </c>
      <c r="Z373" s="4">
        <f t="shared" si="372"/>
        <v>0</v>
      </c>
      <c r="AA373" s="4">
        <f t="shared" si="372"/>
        <v>0</v>
      </c>
      <c r="AB373" s="4">
        <f t="shared" si="372"/>
        <v>0</v>
      </c>
      <c r="AC373" s="4">
        <f t="shared" si="372"/>
        <v>0</v>
      </c>
      <c r="AD373" s="4">
        <f t="shared" si="372"/>
        <v>0</v>
      </c>
      <c r="AE373" s="4" t="str">
        <f>'Form responses 1'!AN375</f>
        <v>Bulli abbai kodi palau</v>
      </c>
      <c r="AF373" s="4" t="str">
        <f>'Form responses 1'!AO375</f>
        <v>venkat reddy</v>
      </c>
      <c r="AG373" s="4" t="str">
        <f>'Form responses 1'!AP375</f>
        <v/>
      </c>
      <c r="AH373" s="4" t="str">
        <f>'Form responses 1'!AQ375</f>
        <v/>
      </c>
      <c r="AI373" s="4" t="str">
        <f>'Form responses 1'!AR375</f>
        <v/>
      </c>
    </row>
    <row r="374">
      <c r="A374" s="26">
        <f>'Form responses 1'!B376</f>
        <v>46065</v>
      </c>
      <c r="B374" s="4" t="str">
        <f>'Form responses 1'!AZ376</f>
        <v>parthive.maganti@capsdelivery.com</v>
      </c>
      <c r="C374" s="4" t="str">
        <f>'Form responses 1'!BR376</f>
        <v>Arukha Flavours </v>
      </c>
      <c r="D374" s="4" t="str">
        <f>'Form responses 1'!AT376</f>
        <v>Na</v>
      </c>
      <c r="E374" s="4" t="str">
        <f>'Form responses 1'!AU376</f>
        <v>No</v>
      </c>
      <c r="F374" s="4" t="str">
        <f>'Form responses 1'!AX376</f>
        <v/>
      </c>
      <c r="G374" s="4" t="str">
        <f>'Form responses 1'!AY376</f>
        <v/>
      </c>
      <c r="H374" s="53" t="str">
        <f>'Form responses 1'!AW376</f>
        <v/>
      </c>
      <c r="I374" s="4" t="str">
        <f>'Form responses 1'!AS376</f>
        <v>Yes</v>
      </c>
      <c r="J374" s="4" t="str">
        <f>'Form responses 1'!J376</f>
        <v>Tier-3 ( AOV&lt;200 )</v>
      </c>
      <c r="K374" s="4">
        <f>'Form responses 1'!G376</f>
        <v>300</v>
      </c>
      <c r="L374" s="4">
        <f>'Form responses 1'!F376</f>
        <v>3</v>
      </c>
      <c r="M374" s="4" t="str">
        <f>'Form responses 1'!U376</f>
        <v>Arun</v>
      </c>
      <c r="N374" s="4">
        <f>'Form responses 1'!V376</f>
        <v>9652222583</v>
      </c>
      <c r="O374" s="4" t="str">
        <f>'Form responses 1'!W376</f>
        <v>Arukhaflavours@gmail.com</v>
      </c>
      <c r="P374" s="4" t="str">
        <f>'Form responses 1'!X376</f>
        <v/>
      </c>
      <c r="Q374" s="4" t="str">
        <f>'Form responses 1'!Y376</f>
        <v/>
      </c>
      <c r="R374" s="4" t="str">
        <f>'Form responses 1'!Z376</f>
        <v/>
      </c>
      <c r="S374" s="54" t="str">
        <f>'Form responses 1'!AC376</f>
        <v>https://drive.google.com/open?id=1Y2r1fJ76bZRYNZ76UjnNFLyBLdtVuebW</v>
      </c>
      <c r="T374" s="4" t="str">
        <f>'Form responses 1'!AE376</f>
        <v/>
      </c>
      <c r="U374" s="54" t="str">
        <f>'Form responses 1'!AG376</f>
        <v>https://drive.google.com/open?id=14kcMFkw4Z8IDUJoLnnR9MRizu0k0-Bqy</v>
      </c>
      <c r="V374" s="4" t="str">
        <f>'Form responses 1'!AI376</f>
        <v/>
      </c>
      <c r="W374" s="4" t="str">
        <f>'Form responses 1'!AJ376</f>
        <v/>
      </c>
      <c r="X374" s="54" t="str">
        <f>'Form responses 1'!AK376</f>
        <v>https://drive.google.com/open?id=1QQz-dSrn8BLxQJ2yneKFg763S5lFmEn9</v>
      </c>
      <c r="Y374" s="4">
        <f t="shared" ref="Y374:AD374" si="373">if(S374&gt;0,1,0)</f>
        <v>1</v>
      </c>
      <c r="Z374" s="4">
        <f t="shared" si="373"/>
        <v>0</v>
      </c>
      <c r="AA374" s="4">
        <f t="shared" si="373"/>
        <v>1</v>
      </c>
      <c r="AB374" s="4">
        <f t="shared" si="373"/>
        <v>0</v>
      </c>
      <c r="AC374" s="4">
        <f t="shared" si="373"/>
        <v>0</v>
      </c>
      <c r="AD374" s="4">
        <f t="shared" si="373"/>
        <v>1</v>
      </c>
      <c r="AE374" s="4" t="str">
        <f>'Form responses 1'!AN376</f>
        <v>Arukha flavours</v>
      </c>
      <c r="AF374" s="4" t="str">
        <f>'Form responses 1'!AO376</f>
        <v>Arun</v>
      </c>
      <c r="AG374" s="4" t="str">
        <f>'Form responses 1'!AP376</f>
        <v/>
      </c>
      <c r="AH374" s="4" t="str">
        <f>'Form responses 1'!AQ376</f>
        <v/>
      </c>
      <c r="AI374" s="4" t="str">
        <f>'Form responses 1'!AR376</f>
        <v/>
      </c>
    </row>
    <row r="375">
      <c r="A375" s="26">
        <f>'Form responses 1'!B377</f>
        <v>46065</v>
      </c>
      <c r="B375" s="4" t="str">
        <f>'Form responses 1'!AZ377</f>
        <v>parthive.maganti@capsdelivery.com</v>
      </c>
      <c r="C375" s="4" t="str">
        <f>'Form responses 1'!BR377</f>
        <v>Amma chethi RuchuluNa</v>
      </c>
      <c r="D375" s="4" t="str">
        <f>'Form responses 1'!AT377</f>
        <v>NA</v>
      </c>
      <c r="E375" s="4" t="str">
        <f>'Form responses 1'!AU377</f>
        <v>No</v>
      </c>
      <c r="F375" s="4" t="str">
        <f>'Form responses 1'!AX377</f>
        <v/>
      </c>
      <c r="G375" s="4" t="str">
        <f>'Form responses 1'!AY377</f>
        <v/>
      </c>
      <c r="H375" s="53" t="str">
        <f>'Form responses 1'!AW377</f>
        <v/>
      </c>
      <c r="I375" s="4" t="str">
        <f>'Form responses 1'!AS377</f>
        <v>Yes</v>
      </c>
      <c r="J375" s="4" t="str">
        <f>'Form responses 1'!J377</f>
        <v/>
      </c>
      <c r="K375" s="4" t="str">
        <f>'Form responses 1'!G377</f>
        <v/>
      </c>
      <c r="L375" s="4" t="str">
        <f>'Form responses 1'!F377</f>
        <v/>
      </c>
      <c r="M375" s="4" t="str">
        <f>'Form responses 1'!U377</f>
        <v>Arun</v>
      </c>
      <c r="N375" s="4" t="str">
        <f>'Form responses 1'!V377</f>
        <v>Na</v>
      </c>
      <c r="O375" s="4" t="str">
        <f>'Form responses 1'!W377</f>
        <v>Na</v>
      </c>
      <c r="P375" s="4" t="str">
        <f>'Form responses 1'!X377</f>
        <v/>
      </c>
      <c r="Q375" s="4" t="str">
        <f>'Form responses 1'!Y377</f>
        <v/>
      </c>
      <c r="R375" s="4" t="str">
        <f>'Form responses 1'!Z377</f>
        <v/>
      </c>
      <c r="S375" s="54" t="str">
        <f>'Form responses 1'!AC377</f>
        <v>https://drive.google.com/open?id=1lckDHfTyIZ5yB82IYRdKjbdKZl3Jc_jX</v>
      </c>
      <c r="T375" s="4" t="str">
        <f>'Form responses 1'!AE377</f>
        <v/>
      </c>
      <c r="U375" s="54" t="str">
        <f>'Form responses 1'!AG377</f>
        <v>https://drive.google.com/open?id=1LGqkwoVNZb_k67wzigd4fkwMHJLGDjMy</v>
      </c>
      <c r="V375" s="4" t="str">
        <f>'Form responses 1'!AI377</f>
        <v/>
      </c>
      <c r="W375" s="4" t="str">
        <f>'Form responses 1'!AJ377</f>
        <v/>
      </c>
      <c r="X375" s="54" t="str">
        <f>'Form responses 1'!AK377</f>
        <v>https://drive.google.com/open?id=1dYdxSEdKDP25VExUX-FmWdaIiSXHMgdB</v>
      </c>
      <c r="Y375" s="4">
        <f t="shared" ref="Y375:AD375" si="374">if(S375&gt;0,1,0)</f>
        <v>1</v>
      </c>
      <c r="Z375" s="4">
        <f t="shared" si="374"/>
        <v>0</v>
      </c>
      <c r="AA375" s="4">
        <f t="shared" si="374"/>
        <v>1</v>
      </c>
      <c r="AB375" s="4">
        <f t="shared" si="374"/>
        <v>0</v>
      </c>
      <c r="AC375" s="4">
        <f t="shared" si="374"/>
        <v>0</v>
      </c>
      <c r="AD375" s="4">
        <f t="shared" si="374"/>
        <v>1</v>
      </c>
      <c r="AE375" s="4" t="str">
        <f>'Form responses 1'!AN377</f>
        <v>Arukha flavours </v>
      </c>
      <c r="AF375" s="4" t="str">
        <f>'Form responses 1'!AO377</f>
        <v/>
      </c>
      <c r="AG375" s="4" t="str">
        <f>'Form responses 1'!AP377</f>
        <v/>
      </c>
      <c r="AH375" s="4" t="str">
        <f>'Form responses 1'!AQ377</f>
        <v/>
      </c>
      <c r="AI375" s="4" t="str">
        <f>'Form responses 1'!AR377</f>
        <v/>
      </c>
    </row>
    <row r="376">
      <c r="A376" s="26">
        <f>'Form responses 1'!B378</f>
        <v>46066</v>
      </c>
      <c r="B376" s="4" t="str">
        <f>'Form responses 1'!AZ378</f>
        <v>nitya.akshara@capsdelivery.com</v>
      </c>
      <c r="C376" s="4" t="str">
        <f>'Form responses 1'!BR378</f>
        <v>Tara kitchen </v>
      </c>
      <c r="D376" s="4" t="str">
        <f>'Form responses 1'!AT378</f>
        <v/>
      </c>
      <c r="E376" s="4" t="str">
        <f>'Form responses 1'!AU378</f>
        <v>Yes</v>
      </c>
      <c r="F376" s="4" t="str">
        <f>'Form responses 1'!AX378</f>
        <v/>
      </c>
      <c r="G376" s="4" t="str">
        <f>'Form responses 1'!AY378</f>
        <v/>
      </c>
      <c r="H376" s="53" t="str">
        <f>'Form responses 1'!AW378</f>
        <v/>
      </c>
      <c r="I376" s="4" t="str">
        <f>'Form responses 1'!AS378</f>
        <v/>
      </c>
      <c r="J376" s="4" t="str">
        <f>'Form responses 1'!J378</f>
        <v/>
      </c>
      <c r="K376" s="4" t="str">
        <f>'Form responses 1'!G378</f>
        <v/>
      </c>
      <c r="L376" s="4" t="str">
        <f>'Form responses 1'!F378</f>
        <v/>
      </c>
      <c r="M376" s="4" t="str">
        <f>'Form responses 1'!U378</f>
        <v>Sravan reddy </v>
      </c>
      <c r="N376" s="4" t="str">
        <f>'Form responses 1'!V378</f>
        <v>97034 33533</v>
      </c>
      <c r="O376" s="4" t="str">
        <f>'Form responses 1'!W378</f>
        <v>NA</v>
      </c>
      <c r="P376" s="4" t="str">
        <f>'Form responses 1'!X378</f>
        <v>NA</v>
      </c>
      <c r="Q376" s="4" t="str">
        <f>'Form responses 1'!Y378</f>
        <v/>
      </c>
      <c r="R376" s="4" t="str">
        <f>'Form responses 1'!Z378</f>
        <v/>
      </c>
      <c r="S376" s="4" t="str">
        <f>'Form responses 1'!AC378</f>
        <v/>
      </c>
      <c r="T376" s="4" t="str">
        <f>'Form responses 1'!AE378</f>
        <v/>
      </c>
      <c r="U376" s="4" t="str">
        <f>'Form responses 1'!AG378</f>
        <v/>
      </c>
      <c r="V376" s="4" t="str">
        <f>'Form responses 1'!AI378</f>
        <v/>
      </c>
      <c r="W376" s="4" t="str">
        <f>'Form responses 1'!AJ378</f>
        <v/>
      </c>
      <c r="X376" s="4" t="str">
        <f>'Form responses 1'!AK378</f>
        <v/>
      </c>
      <c r="Y376" s="4">
        <f t="shared" ref="Y376:AD376" si="375">if(S376&gt;0,1,0)</f>
        <v>0</v>
      </c>
      <c r="Z376" s="4">
        <f t="shared" si="375"/>
        <v>0</v>
      </c>
      <c r="AA376" s="4">
        <f t="shared" si="375"/>
        <v>0</v>
      </c>
      <c r="AB376" s="4">
        <f t="shared" si="375"/>
        <v>0</v>
      </c>
      <c r="AC376" s="4">
        <f t="shared" si="375"/>
        <v>0</v>
      </c>
      <c r="AD376" s="4">
        <f t="shared" si="375"/>
        <v>0</v>
      </c>
      <c r="AE376" s="4" t="str">
        <f>'Form responses 1'!AN378</f>
        <v/>
      </c>
      <c r="AF376" s="4" t="str">
        <f>'Form responses 1'!AO378</f>
        <v/>
      </c>
      <c r="AG376" s="4" t="str">
        <f>'Form responses 1'!AP378</f>
        <v/>
      </c>
      <c r="AH376" s="4" t="str">
        <f>'Form responses 1'!AQ378</f>
        <v/>
      </c>
      <c r="AI376" s="4" t="str">
        <f>'Form responses 1'!AR378</f>
        <v/>
      </c>
    </row>
    <row r="377">
      <c r="A377" s="26">
        <f>'Form responses 1'!B379</f>
        <v>46066</v>
      </c>
      <c r="B377" s="4" t="str">
        <f>'Form responses 1'!AZ379</f>
        <v>nitya.akshara@capsdelivery.com</v>
      </c>
      <c r="C377" s="4" t="str">
        <f>'Form responses 1'!BR379</f>
        <v>Hello Kafe </v>
      </c>
      <c r="D377" s="4" t="str">
        <f>'Form responses 1'!AT379</f>
        <v/>
      </c>
      <c r="E377" s="4" t="str">
        <f>'Form responses 1'!AU379</f>
        <v>Yes</v>
      </c>
      <c r="F377" s="4" t="str">
        <f>'Form responses 1'!AX379</f>
        <v/>
      </c>
      <c r="G377" s="4" t="str">
        <f>'Form responses 1'!AY379</f>
        <v/>
      </c>
      <c r="H377" s="53" t="str">
        <f>'Form responses 1'!AW379</f>
        <v/>
      </c>
      <c r="I377" s="4" t="str">
        <f>'Form responses 1'!AS379</f>
        <v/>
      </c>
      <c r="J377" s="4" t="str">
        <f>'Form responses 1'!J379</f>
        <v/>
      </c>
      <c r="K377" s="4" t="str">
        <f>'Form responses 1'!G379</f>
        <v/>
      </c>
      <c r="L377" s="4" t="str">
        <f>'Form responses 1'!F379</f>
        <v/>
      </c>
      <c r="M377" s="4" t="str">
        <f>'Form responses 1'!U379</f>
        <v>NA</v>
      </c>
      <c r="N377" s="4" t="str">
        <f>'Form responses 1'!V379</f>
        <v>NA</v>
      </c>
      <c r="O377" s="4" t="str">
        <f>'Form responses 1'!W379</f>
        <v>NA</v>
      </c>
      <c r="P377" s="4" t="str">
        <f>'Form responses 1'!X379</f>
        <v>NA</v>
      </c>
      <c r="Q377" s="4" t="str">
        <f>'Form responses 1'!Y379</f>
        <v/>
      </c>
      <c r="R377" s="4" t="str">
        <f>'Form responses 1'!Z379</f>
        <v/>
      </c>
      <c r="S377" s="4" t="str">
        <f>'Form responses 1'!AC379</f>
        <v/>
      </c>
      <c r="T377" s="4" t="str">
        <f>'Form responses 1'!AE379</f>
        <v/>
      </c>
      <c r="U377" s="4" t="str">
        <f>'Form responses 1'!AG379</f>
        <v/>
      </c>
      <c r="V377" s="4" t="str">
        <f>'Form responses 1'!AI379</f>
        <v/>
      </c>
      <c r="W377" s="4" t="str">
        <f>'Form responses 1'!AJ379</f>
        <v/>
      </c>
      <c r="X377" s="4" t="str">
        <f>'Form responses 1'!AK379</f>
        <v/>
      </c>
      <c r="Y377" s="4">
        <f t="shared" ref="Y377:AD377" si="376">if(S377&gt;0,1,0)</f>
        <v>0</v>
      </c>
      <c r="Z377" s="4">
        <f t="shared" si="376"/>
        <v>0</v>
      </c>
      <c r="AA377" s="4">
        <f t="shared" si="376"/>
        <v>0</v>
      </c>
      <c r="AB377" s="4">
        <f t="shared" si="376"/>
        <v>0</v>
      </c>
      <c r="AC377" s="4">
        <f t="shared" si="376"/>
        <v>0</v>
      </c>
      <c r="AD377" s="4">
        <f t="shared" si="376"/>
        <v>0</v>
      </c>
      <c r="AE377" s="4" t="str">
        <f>'Form responses 1'!AN379</f>
        <v/>
      </c>
      <c r="AF377" s="4" t="str">
        <f>'Form responses 1'!AO379</f>
        <v/>
      </c>
      <c r="AG377" s="4" t="str">
        <f>'Form responses 1'!AP379</f>
        <v/>
      </c>
      <c r="AH377" s="4" t="str">
        <f>'Form responses 1'!AQ379</f>
        <v/>
      </c>
      <c r="AI377" s="4" t="str">
        <f>'Form responses 1'!AR379</f>
        <v/>
      </c>
    </row>
    <row r="378">
      <c r="A378" s="26">
        <f>'Form responses 1'!B380</f>
        <v>46066</v>
      </c>
      <c r="B378" s="4" t="str">
        <f>'Form responses 1'!AZ380</f>
        <v>nitya.akshara@capsdelivery.com</v>
      </c>
      <c r="C378" s="4" t="str">
        <f>'Form responses 1'!BR380</f>
        <v>Brew Gato</v>
      </c>
      <c r="D378" s="4" t="str">
        <f>'Form responses 1'!AT380</f>
        <v/>
      </c>
      <c r="E378" s="4" t="str">
        <f>'Form responses 1'!AU380</f>
        <v>Yes</v>
      </c>
      <c r="F378" s="4" t="str">
        <f>'Form responses 1'!AX380</f>
        <v/>
      </c>
      <c r="G378" s="4" t="str">
        <f>'Form responses 1'!AY380</f>
        <v/>
      </c>
      <c r="H378" s="53" t="str">
        <f>'Form responses 1'!AW380</f>
        <v/>
      </c>
      <c r="I378" s="4" t="str">
        <f>'Form responses 1'!AS380</f>
        <v/>
      </c>
      <c r="J378" s="4" t="str">
        <f>'Form responses 1'!J380</f>
        <v/>
      </c>
      <c r="K378" s="4" t="str">
        <f>'Form responses 1'!G380</f>
        <v/>
      </c>
      <c r="L378" s="4" t="str">
        <f>'Form responses 1'!F380</f>
        <v/>
      </c>
      <c r="M378" s="4" t="str">
        <f>'Form responses 1'!U380</f>
        <v>Deva </v>
      </c>
      <c r="N378" s="4" t="str">
        <f>'Form responses 1'!V380</f>
        <v>98492 42228</v>
      </c>
      <c r="O378" s="4" t="str">
        <f>'Form responses 1'!W380</f>
        <v>NA</v>
      </c>
      <c r="P378" s="4" t="str">
        <f>'Form responses 1'!X380</f>
        <v/>
      </c>
      <c r="Q378" s="4" t="str">
        <f>'Form responses 1'!Y380</f>
        <v/>
      </c>
      <c r="R378" s="4" t="str">
        <f>'Form responses 1'!Z380</f>
        <v/>
      </c>
      <c r="S378" s="4" t="str">
        <f>'Form responses 1'!AC380</f>
        <v/>
      </c>
      <c r="T378" s="4" t="str">
        <f>'Form responses 1'!AE380</f>
        <v/>
      </c>
      <c r="U378" s="4" t="str">
        <f>'Form responses 1'!AG380</f>
        <v/>
      </c>
      <c r="V378" s="4" t="str">
        <f>'Form responses 1'!AI380</f>
        <v/>
      </c>
      <c r="W378" s="4" t="str">
        <f>'Form responses 1'!AJ380</f>
        <v/>
      </c>
      <c r="X378" s="4" t="str">
        <f>'Form responses 1'!AK380</f>
        <v/>
      </c>
      <c r="Y378" s="4">
        <f t="shared" ref="Y378:AD378" si="377">if(S378&gt;0,1,0)</f>
        <v>0</v>
      </c>
      <c r="Z378" s="4">
        <f t="shared" si="377"/>
        <v>0</v>
      </c>
      <c r="AA378" s="4">
        <f t="shared" si="377"/>
        <v>0</v>
      </c>
      <c r="AB378" s="4">
        <f t="shared" si="377"/>
        <v>0</v>
      </c>
      <c r="AC378" s="4">
        <f t="shared" si="377"/>
        <v>0</v>
      </c>
      <c r="AD378" s="4">
        <f t="shared" si="377"/>
        <v>0</v>
      </c>
      <c r="AE378" s="4" t="str">
        <f>'Form responses 1'!AN380</f>
        <v/>
      </c>
      <c r="AF378" s="4" t="str">
        <f>'Form responses 1'!AO380</f>
        <v/>
      </c>
      <c r="AG378" s="4" t="str">
        <f>'Form responses 1'!AP380</f>
        <v/>
      </c>
      <c r="AH378" s="4" t="str">
        <f>'Form responses 1'!AQ380</f>
        <v/>
      </c>
      <c r="AI378" s="4" t="str">
        <f>'Form responses 1'!AR380</f>
        <v/>
      </c>
    </row>
    <row r="379">
      <c r="A379" s="26">
        <f>'Form responses 1'!B381</f>
        <v>46065</v>
      </c>
      <c r="B379" s="4" t="str">
        <f>'Form responses 1'!AZ381</f>
        <v>parthive.maganti@capsdelivery.com</v>
      </c>
      <c r="C379" s="4" t="str">
        <f>'Form responses 1'!BR381</f>
        <v>Amma chethi Ruchulu</v>
      </c>
      <c r="D379" s="4" t="str">
        <f>'Form responses 1'!AT381</f>
        <v>Na</v>
      </c>
      <c r="E379" s="4" t="str">
        <f>'Form responses 1'!AU381</f>
        <v>No</v>
      </c>
      <c r="F379" s="4" t="str">
        <f>'Form responses 1'!AX381</f>
        <v/>
      </c>
      <c r="G379" s="4" t="str">
        <f>'Form responses 1'!AY381</f>
        <v/>
      </c>
      <c r="H379" s="53" t="str">
        <f>'Form responses 1'!AW381</f>
        <v/>
      </c>
      <c r="I379" s="4" t="str">
        <f>'Form responses 1'!AS381</f>
        <v>Yes</v>
      </c>
      <c r="J379" s="4" t="str">
        <f>'Form responses 1'!J381</f>
        <v>Tier-3 ( AOV&lt;200 )</v>
      </c>
      <c r="K379" s="4">
        <f>'Form responses 1'!G381</f>
        <v>300</v>
      </c>
      <c r="L379" s="4">
        <f>'Form responses 1'!F381</f>
        <v>1</v>
      </c>
      <c r="M379" s="4" t="str">
        <f>'Form responses 1'!U381</f>
        <v>Arun</v>
      </c>
      <c r="N379" s="4" t="str">
        <f>'Form responses 1'!V381</f>
        <v>Na</v>
      </c>
      <c r="O379" s="4" t="str">
        <f>'Form responses 1'!W381</f>
        <v>na</v>
      </c>
      <c r="P379" s="4" t="str">
        <f>'Form responses 1'!X381</f>
        <v/>
      </c>
      <c r="Q379" s="4" t="str">
        <f>'Form responses 1'!Y381</f>
        <v/>
      </c>
      <c r="R379" s="4" t="str">
        <f>'Form responses 1'!Z381</f>
        <v/>
      </c>
      <c r="S379" s="54" t="str">
        <f>'Form responses 1'!AC381</f>
        <v>https://drive.google.com/open?id=1yxAcSsnzIiU3Ql7cs-2Q1mpsTEeB95JQ</v>
      </c>
      <c r="T379" s="4" t="str">
        <f>'Form responses 1'!AE381</f>
        <v/>
      </c>
      <c r="U379" s="54" t="str">
        <f>'Form responses 1'!AG381</f>
        <v>https://drive.google.com/open?id=1lgW0kIjnPAZ5KLVH-CnWfgRd9KntwZz5</v>
      </c>
      <c r="V379" s="4" t="str">
        <f>'Form responses 1'!AI381</f>
        <v/>
      </c>
      <c r="W379" s="4" t="str">
        <f>'Form responses 1'!AJ381</f>
        <v/>
      </c>
      <c r="X379" s="54" t="str">
        <f>'Form responses 1'!AK381</f>
        <v>https://drive.google.com/open?id=181YFkStbeQu9DiIOSorReiJkbKFB5kZE</v>
      </c>
      <c r="Y379" s="4">
        <f t="shared" ref="Y379:AD379" si="378">if(S379&gt;0,1,0)</f>
        <v>1</v>
      </c>
      <c r="Z379" s="4">
        <f t="shared" si="378"/>
        <v>0</v>
      </c>
      <c r="AA379" s="4">
        <f t="shared" si="378"/>
        <v>1</v>
      </c>
      <c r="AB379" s="4">
        <f t="shared" si="378"/>
        <v>0</v>
      </c>
      <c r="AC379" s="4">
        <f t="shared" si="378"/>
        <v>0</v>
      </c>
      <c r="AD379" s="4">
        <f t="shared" si="378"/>
        <v>1</v>
      </c>
      <c r="AE379" s="4" t="str">
        <f>'Form responses 1'!AN381</f>
        <v>Akurha flavours</v>
      </c>
      <c r="AF379" s="4" t="str">
        <f>'Form responses 1'!AO381</f>
        <v/>
      </c>
      <c r="AG379" s="4" t="str">
        <f>'Form responses 1'!AP381</f>
        <v/>
      </c>
      <c r="AH379" s="4" t="str">
        <f>'Form responses 1'!AQ381</f>
        <v/>
      </c>
      <c r="AI379" s="4" t="str">
        <f>'Form responses 1'!AR381</f>
        <v/>
      </c>
    </row>
    <row r="380">
      <c r="A380" s="26">
        <f>'Form responses 1'!B382</f>
        <v>46066</v>
      </c>
      <c r="B380" s="4" t="str">
        <f>'Form responses 1'!AZ382</f>
        <v>sumadhur.mummadi@capsdelivery.com</v>
      </c>
      <c r="C380" s="4" t="str">
        <f>'Form responses 1'!BR382</f>
        <v> Bhimavaram thali Bhimavaram thali </v>
      </c>
      <c r="D380" s="4" t="str">
        <f>'Form responses 1'!AT382</f>
        <v>Bhimavaram thali onboarded at 22% ++</v>
      </c>
      <c r="E380" s="4" t="str">
        <f>'Form responses 1'!AU382</f>
        <v>No</v>
      </c>
      <c r="F380" s="4" t="str">
        <f>'Form responses 1'!AX382</f>
        <v/>
      </c>
      <c r="G380" s="4" t="str">
        <f>'Form responses 1'!AY382</f>
        <v/>
      </c>
      <c r="H380" s="53" t="str">
        <f>'Form responses 1'!AW382</f>
        <v/>
      </c>
      <c r="I380" s="4" t="str">
        <f>'Form responses 1'!AS382</f>
        <v>Yes</v>
      </c>
      <c r="J380" s="4" t="str">
        <f>'Form responses 1'!J382</f>
        <v/>
      </c>
      <c r="K380" s="4" t="str">
        <f>'Form responses 1'!G382</f>
        <v/>
      </c>
      <c r="L380" s="4" t="str">
        <f>'Form responses 1'!F382</f>
        <v/>
      </c>
      <c r="M380" s="4" t="str">
        <f>'Form responses 1'!U382</f>
        <v>Satish</v>
      </c>
      <c r="N380" s="4">
        <f>'Form responses 1'!V382</f>
        <v>7066346634</v>
      </c>
      <c r="O380" s="4" t="str">
        <f>'Form responses 1'!W382</f>
        <v>sribhimavaramthali@gmail.com</v>
      </c>
      <c r="P380" s="4" t="str">
        <f>'Form responses 1'!X382</f>
        <v/>
      </c>
      <c r="Q380" s="4" t="str">
        <f>'Form responses 1'!Y382</f>
        <v/>
      </c>
      <c r="R380" s="4" t="str">
        <f>'Form responses 1'!Z382</f>
        <v/>
      </c>
      <c r="S380" s="4" t="str">
        <f>'Form responses 1'!AC382</f>
        <v/>
      </c>
      <c r="T380" s="4" t="str">
        <f>'Form responses 1'!AE382</f>
        <v/>
      </c>
      <c r="U380" s="4" t="str">
        <f>'Form responses 1'!AG382</f>
        <v/>
      </c>
      <c r="V380" s="4" t="str">
        <f>'Form responses 1'!AI382</f>
        <v/>
      </c>
      <c r="W380" s="4" t="str">
        <f>'Form responses 1'!AJ382</f>
        <v/>
      </c>
      <c r="X380" s="4" t="str">
        <f>'Form responses 1'!AK382</f>
        <v/>
      </c>
      <c r="Y380" s="4">
        <f t="shared" ref="Y380:AD380" si="379">if(S380&gt;0,1,0)</f>
        <v>0</v>
      </c>
      <c r="Z380" s="4">
        <f t="shared" si="379"/>
        <v>0</v>
      </c>
      <c r="AA380" s="4">
        <f t="shared" si="379"/>
        <v>0</v>
      </c>
      <c r="AB380" s="4">
        <f t="shared" si="379"/>
        <v>0</v>
      </c>
      <c r="AC380" s="4">
        <f t="shared" si="379"/>
        <v>0</v>
      </c>
      <c r="AD380" s="4">
        <f t="shared" si="379"/>
        <v>0</v>
      </c>
      <c r="AE380" s="4" t="str">
        <f>'Form responses 1'!AN382</f>
        <v/>
      </c>
      <c r="AF380" s="4" t="str">
        <f>'Form responses 1'!AO382</f>
        <v/>
      </c>
      <c r="AG380" s="4" t="str">
        <f>'Form responses 1'!AP382</f>
        <v/>
      </c>
      <c r="AH380" s="4" t="str">
        <f>'Form responses 1'!AQ382</f>
        <v/>
      </c>
      <c r="AI380" s="4" t="str">
        <f>'Form responses 1'!AR382</f>
        <v/>
      </c>
    </row>
    <row r="381">
      <c r="A381" s="26">
        <f>'Form responses 1'!B383</f>
        <v>46066</v>
      </c>
      <c r="B381" s="4" t="str">
        <f>'Form responses 1'!AZ383</f>
        <v>madhumitha.sonnakula@capsdelivery.com</v>
      </c>
      <c r="C381" s="4" t="str">
        <f>'Form responses 1'!BR383</f>
        <v>badrachalam cafe badrachalam cafe</v>
      </c>
      <c r="D381" s="4" t="str">
        <f>'Form responses 1'!AT383</f>
        <v/>
      </c>
      <c r="E381" s="4" t="str">
        <f>'Form responses 1'!AU383</f>
        <v>Yes</v>
      </c>
      <c r="F381" s="4" t="str">
        <f>'Form responses 1'!AX383</f>
        <v/>
      </c>
      <c r="G381" s="4" t="str">
        <f>'Form responses 1'!AY383</f>
        <v/>
      </c>
      <c r="H381" s="53" t="str">
        <f>'Form responses 1'!AW383</f>
        <v/>
      </c>
      <c r="I381" s="4" t="str">
        <f>'Form responses 1'!AS383</f>
        <v/>
      </c>
      <c r="J381" s="4" t="str">
        <f>'Form responses 1'!J383</f>
        <v/>
      </c>
      <c r="K381" s="4" t="str">
        <f>'Form responses 1'!G383</f>
        <v/>
      </c>
      <c r="L381" s="4" t="str">
        <f>'Form responses 1'!F383</f>
        <v/>
      </c>
      <c r="M381" s="4" t="str">
        <f>'Form responses 1'!U383</f>
        <v>raghuram</v>
      </c>
      <c r="N381" s="4">
        <f>'Form responses 1'!V383</f>
        <v>7893779377</v>
      </c>
      <c r="O381" s="4" t="str">
        <f>'Form responses 1'!W383</f>
        <v>na</v>
      </c>
      <c r="P381" s="4" t="str">
        <f>'Form responses 1'!X383</f>
        <v/>
      </c>
      <c r="Q381" s="4" t="str">
        <f>'Form responses 1'!Y383</f>
        <v/>
      </c>
      <c r="R381" s="4" t="str">
        <f>'Form responses 1'!Z383</f>
        <v/>
      </c>
      <c r="S381" s="4" t="str">
        <f>'Form responses 1'!AC383</f>
        <v/>
      </c>
      <c r="T381" s="4" t="str">
        <f>'Form responses 1'!AE383</f>
        <v/>
      </c>
      <c r="U381" s="4" t="str">
        <f>'Form responses 1'!AG383</f>
        <v/>
      </c>
      <c r="V381" s="4" t="str">
        <f>'Form responses 1'!AI383</f>
        <v/>
      </c>
      <c r="W381" s="4" t="str">
        <f>'Form responses 1'!AJ383</f>
        <v/>
      </c>
      <c r="X381" s="4" t="str">
        <f>'Form responses 1'!AK383</f>
        <v/>
      </c>
      <c r="Y381" s="4">
        <f t="shared" ref="Y381:AD381" si="380">if(S381&gt;0,1,0)</f>
        <v>0</v>
      </c>
      <c r="Z381" s="4">
        <f t="shared" si="380"/>
        <v>0</v>
      </c>
      <c r="AA381" s="4">
        <f t="shared" si="380"/>
        <v>0</v>
      </c>
      <c r="AB381" s="4">
        <f t="shared" si="380"/>
        <v>0</v>
      </c>
      <c r="AC381" s="4">
        <f t="shared" si="380"/>
        <v>0</v>
      </c>
      <c r="AD381" s="4">
        <f t="shared" si="380"/>
        <v>0</v>
      </c>
      <c r="AE381" s="4" t="str">
        <f>'Form responses 1'!AN383</f>
        <v/>
      </c>
      <c r="AF381" s="4" t="str">
        <f>'Form responses 1'!AO383</f>
        <v/>
      </c>
      <c r="AG381" s="4" t="str">
        <f>'Form responses 1'!AP383</f>
        <v/>
      </c>
      <c r="AH381" s="4" t="str">
        <f>'Form responses 1'!AQ383</f>
        <v/>
      </c>
      <c r="AI381" s="4" t="str">
        <f>'Form responses 1'!AR383</f>
        <v/>
      </c>
    </row>
    <row r="382">
      <c r="A382" s="26">
        <f>'Form responses 1'!B384</f>
        <v>46066</v>
      </c>
      <c r="B382" s="4" t="str">
        <f>'Form responses 1'!AZ384</f>
        <v>madhumitha.sonnakula@capsdelivery.com</v>
      </c>
      <c r="C382" s="4" t="str">
        <f>'Form responses 1'!BR384</f>
        <v>laibas cafe</v>
      </c>
      <c r="D382" s="4" t="str">
        <f>'Form responses 1'!AT384</f>
        <v/>
      </c>
      <c r="E382" s="4" t="str">
        <f>'Form responses 1'!AU384</f>
        <v>Yes</v>
      </c>
      <c r="F382" s="4" t="str">
        <f>'Form responses 1'!AX384</f>
        <v/>
      </c>
      <c r="G382" s="4" t="str">
        <f>'Form responses 1'!AY384</f>
        <v/>
      </c>
      <c r="H382" s="53" t="str">
        <f>'Form responses 1'!AW384</f>
        <v/>
      </c>
      <c r="I382" s="4" t="str">
        <f>'Form responses 1'!AS384</f>
        <v/>
      </c>
      <c r="J382" s="4" t="str">
        <f>'Form responses 1'!J384</f>
        <v>Tier-3 ( AOV&lt;200 )</v>
      </c>
      <c r="K382" s="4">
        <f>'Form responses 1'!G384</f>
        <v>200</v>
      </c>
      <c r="L382" s="4">
        <f>'Form responses 1'!F384</f>
        <v>25</v>
      </c>
      <c r="M382" s="4" t="str">
        <f>'Form responses 1'!U384</f>
        <v>mirza </v>
      </c>
      <c r="N382" s="4">
        <f>'Form responses 1'!V384</f>
        <v>9666440620</v>
      </c>
      <c r="O382" s="4" t="str">
        <f>'Form responses 1'!W384</f>
        <v>na</v>
      </c>
      <c r="P382" s="4" t="str">
        <f>'Form responses 1'!X384</f>
        <v/>
      </c>
      <c r="Q382" s="4" t="str">
        <f>'Form responses 1'!Y384</f>
        <v/>
      </c>
      <c r="R382" s="4" t="str">
        <f>'Form responses 1'!Z384</f>
        <v/>
      </c>
      <c r="S382" s="4" t="str">
        <f>'Form responses 1'!AC384</f>
        <v/>
      </c>
      <c r="T382" s="4" t="str">
        <f>'Form responses 1'!AE384</f>
        <v/>
      </c>
      <c r="U382" s="4" t="str">
        <f>'Form responses 1'!AG384</f>
        <v/>
      </c>
      <c r="V382" s="4" t="str">
        <f>'Form responses 1'!AI384</f>
        <v/>
      </c>
      <c r="W382" s="4" t="str">
        <f>'Form responses 1'!AJ384</f>
        <v/>
      </c>
      <c r="X382" s="4" t="str">
        <f>'Form responses 1'!AK384</f>
        <v/>
      </c>
      <c r="Y382" s="4">
        <f t="shared" ref="Y382:AD382" si="381">if(S382&gt;0,1,0)</f>
        <v>0</v>
      </c>
      <c r="Z382" s="4">
        <f t="shared" si="381"/>
        <v>0</v>
      </c>
      <c r="AA382" s="4">
        <f t="shared" si="381"/>
        <v>0</v>
      </c>
      <c r="AB382" s="4">
        <f t="shared" si="381"/>
        <v>0</v>
      </c>
      <c r="AC382" s="4">
        <f t="shared" si="381"/>
        <v>0</v>
      </c>
      <c r="AD382" s="4">
        <f t="shared" si="381"/>
        <v>0</v>
      </c>
      <c r="AE382" s="4" t="str">
        <f>'Form responses 1'!AN384</f>
        <v/>
      </c>
      <c r="AF382" s="4" t="str">
        <f>'Form responses 1'!AO384</f>
        <v/>
      </c>
      <c r="AG382" s="4" t="str">
        <f>'Form responses 1'!AP384</f>
        <v/>
      </c>
      <c r="AH382" s="4" t="str">
        <f>'Form responses 1'!AQ384</f>
        <v/>
      </c>
      <c r="AI382" s="4" t="str">
        <f>'Form responses 1'!AR384</f>
        <v/>
      </c>
    </row>
    <row r="383">
      <c r="A383" s="26">
        <f>'Form responses 1'!B385</f>
        <v>-684419</v>
      </c>
      <c r="B383" s="4" t="str">
        <f>'Form responses 1'!AZ385</f>
        <v>madhumitha.sonnakula@capsdelivery.com</v>
      </c>
      <c r="C383" s="4" t="str">
        <f>'Form responses 1'!BR385</f>
        <v>rrr mandi</v>
      </c>
      <c r="D383" s="4" t="str">
        <f>'Form responses 1'!AT385</f>
        <v/>
      </c>
      <c r="E383" s="4" t="str">
        <f>'Form responses 1'!AU385</f>
        <v>Yes</v>
      </c>
      <c r="F383" s="4" t="str">
        <f>'Form responses 1'!AX385</f>
        <v/>
      </c>
      <c r="G383" s="4" t="str">
        <f>'Form responses 1'!AY385</f>
        <v/>
      </c>
      <c r="H383" s="53" t="str">
        <f>'Form responses 1'!AW385</f>
        <v/>
      </c>
      <c r="I383" s="4" t="str">
        <f>'Form responses 1'!AS385</f>
        <v/>
      </c>
      <c r="J383" s="4" t="str">
        <f>'Form responses 1'!J385</f>
        <v/>
      </c>
      <c r="K383" s="4" t="str">
        <f>'Form responses 1'!G385</f>
        <v/>
      </c>
      <c r="L383" s="4" t="str">
        <f>'Form responses 1'!F385</f>
        <v/>
      </c>
      <c r="M383" s="4" t="str">
        <f>'Form responses 1'!U385</f>
        <v>na</v>
      </c>
      <c r="N383" s="4" t="str">
        <f>'Form responses 1'!V385</f>
        <v>na</v>
      </c>
      <c r="O383" s="4" t="str">
        <f>'Form responses 1'!W385</f>
        <v>na</v>
      </c>
      <c r="P383" s="4" t="str">
        <f>'Form responses 1'!X385</f>
        <v/>
      </c>
      <c r="Q383" s="4" t="str">
        <f>'Form responses 1'!Y385</f>
        <v/>
      </c>
      <c r="R383" s="4" t="str">
        <f>'Form responses 1'!Z385</f>
        <v/>
      </c>
      <c r="S383" s="4" t="str">
        <f>'Form responses 1'!AC385</f>
        <v/>
      </c>
      <c r="T383" s="4" t="str">
        <f>'Form responses 1'!AE385</f>
        <v/>
      </c>
      <c r="U383" s="4" t="str">
        <f>'Form responses 1'!AG385</f>
        <v/>
      </c>
      <c r="V383" s="4" t="str">
        <f>'Form responses 1'!AI385</f>
        <v/>
      </c>
      <c r="W383" s="4" t="str">
        <f>'Form responses 1'!AJ385</f>
        <v/>
      </c>
      <c r="X383" s="4" t="str">
        <f>'Form responses 1'!AK385</f>
        <v/>
      </c>
      <c r="Y383" s="4">
        <f t="shared" ref="Y383:AD383" si="382">if(S383&gt;0,1,0)</f>
        <v>0</v>
      </c>
      <c r="Z383" s="4">
        <f t="shared" si="382"/>
        <v>0</v>
      </c>
      <c r="AA383" s="4">
        <f t="shared" si="382"/>
        <v>0</v>
      </c>
      <c r="AB383" s="4">
        <f t="shared" si="382"/>
        <v>0</v>
      </c>
      <c r="AC383" s="4">
        <f t="shared" si="382"/>
        <v>0</v>
      </c>
      <c r="AD383" s="4">
        <f t="shared" si="382"/>
        <v>0</v>
      </c>
      <c r="AE383" s="4" t="str">
        <f>'Form responses 1'!AN385</f>
        <v/>
      </c>
      <c r="AF383" s="4" t="str">
        <f>'Form responses 1'!AO385</f>
        <v/>
      </c>
      <c r="AG383" s="4" t="str">
        <f>'Form responses 1'!AP385</f>
        <v/>
      </c>
      <c r="AH383" s="4" t="str">
        <f>'Form responses 1'!AQ385</f>
        <v/>
      </c>
      <c r="AI383" s="4" t="str">
        <f>'Form responses 1'!AR385</f>
        <v/>
      </c>
    </row>
    <row r="384">
      <c r="A384" s="26">
        <f>'Form responses 1'!B386</f>
        <v>46066</v>
      </c>
      <c r="B384" s="4" t="str">
        <f>'Form responses 1'!AZ386</f>
        <v>madhumitha.sonnakula@capsdelivery.com</v>
      </c>
      <c r="C384" s="4" t="str">
        <f>'Form responses 1'!BR386</f>
        <v>bab al mandibab al mandi</v>
      </c>
      <c r="D384" s="4" t="str">
        <f>'Form responses 1'!AT386</f>
        <v/>
      </c>
      <c r="E384" s="4" t="str">
        <f>'Form responses 1'!AU386</f>
        <v>Yes</v>
      </c>
      <c r="F384" s="4" t="str">
        <f>'Form responses 1'!AX386</f>
        <v/>
      </c>
      <c r="G384" s="4" t="str">
        <f>'Form responses 1'!AY386</f>
        <v/>
      </c>
      <c r="H384" s="53" t="str">
        <f>'Form responses 1'!AW386</f>
        <v/>
      </c>
      <c r="I384" s="4" t="str">
        <f>'Form responses 1'!AS386</f>
        <v/>
      </c>
      <c r="J384" s="4" t="str">
        <f>'Form responses 1'!J386</f>
        <v/>
      </c>
      <c r="K384" s="4" t="str">
        <f>'Form responses 1'!G386</f>
        <v/>
      </c>
      <c r="L384" s="4" t="str">
        <f>'Form responses 1'!F386</f>
        <v/>
      </c>
      <c r="M384" s="4" t="str">
        <f>'Form responses 1'!U386</f>
        <v>fathima</v>
      </c>
      <c r="N384" s="4" t="str">
        <f>'Form responses 1'!V386</f>
        <v>na</v>
      </c>
      <c r="O384" s="4" t="str">
        <f>'Form responses 1'!W386</f>
        <v>na</v>
      </c>
      <c r="P384" s="4" t="str">
        <f>'Form responses 1'!X386</f>
        <v/>
      </c>
      <c r="Q384" s="4" t="str">
        <f>'Form responses 1'!Y386</f>
        <v/>
      </c>
      <c r="R384" s="4" t="str">
        <f>'Form responses 1'!Z386</f>
        <v/>
      </c>
      <c r="S384" s="4" t="str">
        <f>'Form responses 1'!AC386</f>
        <v/>
      </c>
      <c r="T384" s="4" t="str">
        <f>'Form responses 1'!AE386</f>
        <v/>
      </c>
      <c r="U384" s="4" t="str">
        <f>'Form responses 1'!AG386</f>
        <v/>
      </c>
      <c r="V384" s="4" t="str">
        <f>'Form responses 1'!AI386</f>
        <v/>
      </c>
      <c r="W384" s="4" t="str">
        <f>'Form responses 1'!AJ386</f>
        <v/>
      </c>
      <c r="X384" s="4" t="str">
        <f>'Form responses 1'!AK386</f>
        <v/>
      </c>
      <c r="Y384" s="4">
        <f t="shared" ref="Y384:AD384" si="383">if(S384&gt;0,1,0)</f>
        <v>0</v>
      </c>
      <c r="Z384" s="4">
        <f t="shared" si="383"/>
        <v>0</v>
      </c>
      <c r="AA384" s="4">
        <f t="shared" si="383"/>
        <v>0</v>
      </c>
      <c r="AB384" s="4">
        <f t="shared" si="383"/>
        <v>0</v>
      </c>
      <c r="AC384" s="4">
        <f t="shared" si="383"/>
        <v>0</v>
      </c>
      <c r="AD384" s="4">
        <f t="shared" si="383"/>
        <v>0</v>
      </c>
      <c r="AE384" s="4" t="str">
        <f>'Form responses 1'!AN386</f>
        <v/>
      </c>
      <c r="AF384" s="4" t="str">
        <f>'Form responses 1'!AO386</f>
        <v/>
      </c>
      <c r="AG384" s="4" t="str">
        <f>'Form responses 1'!AP386</f>
        <v/>
      </c>
      <c r="AH384" s="4" t="str">
        <f>'Form responses 1'!AQ386</f>
        <v/>
      </c>
      <c r="AI384" s="4" t="str">
        <f>'Form responses 1'!AR386</f>
        <v/>
      </c>
    </row>
    <row r="385">
      <c r="A385" s="26">
        <f>'Form responses 1'!B387</f>
        <v>46066</v>
      </c>
      <c r="B385" s="4" t="str">
        <f>'Form responses 1'!AZ387</f>
        <v>madhumitha.sonnakula@capsdelivery.com</v>
      </c>
      <c r="C385" s="4" t="str">
        <f>'Form responses 1'!BR387</f>
        <v>arabian affairs </v>
      </c>
      <c r="D385" s="4" t="str">
        <f>'Form responses 1'!AT387</f>
        <v/>
      </c>
      <c r="E385" s="4" t="str">
        <f>'Form responses 1'!AU387</f>
        <v>Yes</v>
      </c>
      <c r="F385" s="4" t="str">
        <f>'Form responses 1'!AX387</f>
        <v/>
      </c>
      <c r="G385" s="4" t="str">
        <f>'Form responses 1'!AY387</f>
        <v/>
      </c>
      <c r="H385" s="53" t="str">
        <f>'Form responses 1'!AW387</f>
        <v/>
      </c>
      <c r="I385" s="4" t="str">
        <f>'Form responses 1'!AS387</f>
        <v/>
      </c>
      <c r="J385" s="4" t="str">
        <f>'Form responses 1'!J387</f>
        <v/>
      </c>
      <c r="K385" s="4" t="str">
        <f>'Form responses 1'!G387</f>
        <v/>
      </c>
      <c r="L385" s="4" t="str">
        <f>'Form responses 1'!F387</f>
        <v/>
      </c>
      <c r="M385" s="4" t="str">
        <f>'Form responses 1'!U387</f>
        <v>na </v>
      </c>
      <c r="N385" s="4" t="str">
        <f>'Form responses 1'!V387</f>
        <v>na </v>
      </c>
      <c r="O385" s="4" t="str">
        <f>'Form responses 1'!W387</f>
        <v>na</v>
      </c>
      <c r="P385" s="4" t="str">
        <f>'Form responses 1'!X387</f>
        <v/>
      </c>
      <c r="Q385" s="4" t="str">
        <f>'Form responses 1'!Y387</f>
        <v/>
      </c>
      <c r="R385" s="4" t="str">
        <f>'Form responses 1'!Z387</f>
        <v/>
      </c>
      <c r="S385" s="4" t="str">
        <f>'Form responses 1'!AC387</f>
        <v/>
      </c>
      <c r="T385" s="4" t="str">
        <f>'Form responses 1'!AE387</f>
        <v/>
      </c>
      <c r="U385" s="4" t="str">
        <f>'Form responses 1'!AG387</f>
        <v/>
      </c>
      <c r="V385" s="4" t="str">
        <f>'Form responses 1'!AI387</f>
        <v/>
      </c>
      <c r="W385" s="4" t="str">
        <f>'Form responses 1'!AJ387</f>
        <v/>
      </c>
      <c r="X385" s="4" t="str">
        <f>'Form responses 1'!AK387</f>
        <v/>
      </c>
      <c r="Y385" s="4">
        <f t="shared" ref="Y385:AD385" si="384">if(S385&gt;0,1,0)</f>
        <v>0</v>
      </c>
      <c r="Z385" s="4">
        <f t="shared" si="384"/>
        <v>0</v>
      </c>
      <c r="AA385" s="4">
        <f t="shared" si="384"/>
        <v>0</v>
      </c>
      <c r="AB385" s="4">
        <f t="shared" si="384"/>
        <v>0</v>
      </c>
      <c r="AC385" s="4">
        <f t="shared" si="384"/>
        <v>0</v>
      </c>
      <c r="AD385" s="4">
        <f t="shared" si="384"/>
        <v>0</v>
      </c>
      <c r="AE385" s="4" t="str">
        <f>'Form responses 1'!AN387</f>
        <v/>
      </c>
      <c r="AF385" s="4" t="str">
        <f>'Form responses 1'!AO387</f>
        <v/>
      </c>
      <c r="AG385" s="4" t="str">
        <f>'Form responses 1'!AP387</f>
        <v/>
      </c>
      <c r="AH385" s="4" t="str">
        <f>'Form responses 1'!AQ387</f>
        <v/>
      </c>
      <c r="AI385" s="4" t="str">
        <f>'Form responses 1'!AR387</f>
        <v/>
      </c>
    </row>
    <row r="386">
      <c r="A386" s="26">
        <f>'Form responses 1'!B388</f>
        <v>46066</v>
      </c>
      <c r="B386" s="4" t="str">
        <f>'Form responses 1'!AZ388</f>
        <v>madhumitha.sonnakula@capsdelivery.com</v>
      </c>
      <c r="C386" s="4" t="str">
        <f>'Form responses 1'!BR388</f>
        <v>sreenindhi fast food </v>
      </c>
      <c r="D386" s="4" t="str">
        <f>'Form responses 1'!AT388</f>
        <v/>
      </c>
      <c r="E386" s="4" t="str">
        <f>'Form responses 1'!AU388</f>
        <v>Yes</v>
      </c>
      <c r="F386" s="4" t="str">
        <f>'Form responses 1'!AX388</f>
        <v/>
      </c>
      <c r="G386" s="4" t="str">
        <f>'Form responses 1'!AY388</f>
        <v/>
      </c>
      <c r="H386" s="53" t="str">
        <f>'Form responses 1'!AW388</f>
        <v/>
      </c>
      <c r="I386" s="4" t="str">
        <f>'Form responses 1'!AS388</f>
        <v/>
      </c>
      <c r="J386" s="4" t="str">
        <f>'Form responses 1'!J388</f>
        <v/>
      </c>
      <c r="K386" s="4" t="str">
        <f>'Form responses 1'!G388</f>
        <v/>
      </c>
      <c r="L386" s="4" t="str">
        <f>'Form responses 1'!F388</f>
        <v/>
      </c>
      <c r="M386" s="4" t="str">
        <f>'Form responses 1'!U388</f>
        <v>na</v>
      </c>
      <c r="N386" s="4" t="str">
        <f>'Form responses 1'!V388</f>
        <v>na</v>
      </c>
      <c r="O386" s="4" t="str">
        <f>'Form responses 1'!W388</f>
        <v>na</v>
      </c>
      <c r="P386" s="4" t="str">
        <f>'Form responses 1'!X388</f>
        <v/>
      </c>
      <c r="Q386" s="4" t="str">
        <f>'Form responses 1'!Y388</f>
        <v/>
      </c>
      <c r="R386" s="4" t="str">
        <f>'Form responses 1'!Z388</f>
        <v/>
      </c>
      <c r="S386" s="4" t="str">
        <f>'Form responses 1'!AC388</f>
        <v/>
      </c>
      <c r="T386" s="4" t="str">
        <f>'Form responses 1'!AE388</f>
        <v/>
      </c>
      <c r="U386" s="4" t="str">
        <f>'Form responses 1'!AG388</f>
        <v/>
      </c>
      <c r="V386" s="4" t="str">
        <f>'Form responses 1'!AI388</f>
        <v/>
      </c>
      <c r="W386" s="4" t="str">
        <f>'Form responses 1'!AJ388</f>
        <v/>
      </c>
      <c r="X386" s="4" t="str">
        <f>'Form responses 1'!AK388</f>
        <v/>
      </c>
      <c r="Y386" s="4">
        <f t="shared" ref="Y386:AD386" si="385">if(S386&gt;0,1,0)</f>
        <v>0</v>
      </c>
      <c r="Z386" s="4">
        <f t="shared" si="385"/>
        <v>0</v>
      </c>
      <c r="AA386" s="4">
        <f t="shared" si="385"/>
        <v>0</v>
      </c>
      <c r="AB386" s="4">
        <f t="shared" si="385"/>
        <v>0</v>
      </c>
      <c r="AC386" s="4">
        <f t="shared" si="385"/>
        <v>0</v>
      </c>
      <c r="AD386" s="4">
        <f t="shared" si="385"/>
        <v>0</v>
      </c>
      <c r="AE386" s="4" t="str">
        <f>'Form responses 1'!AN388</f>
        <v/>
      </c>
      <c r="AF386" s="4" t="str">
        <f>'Form responses 1'!AO388</f>
        <v/>
      </c>
      <c r="AG386" s="4" t="str">
        <f>'Form responses 1'!AP388</f>
        <v/>
      </c>
      <c r="AH386" s="4" t="str">
        <f>'Form responses 1'!AQ388</f>
        <v/>
      </c>
      <c r="AI386" s="4" t="str">
        <f>'Form responses 1'!AR388</f>
        <v/>
      </c>
    </row>
    <row r="387">
      <c r="A387" s="26">
        <f>'Form responses 1'!B389</f>
        <v>46066</v>
      </c>
      <c r="B387" s="4" t="str">
        <f>'Form responses 1'!AZ389</f>
        <v>madhumitha.sonnakula@capsdelivery.com</v>
      </c>
      <c r="C387" s="4" t="str">
        <f>'Form responses 1'!BR389</f>
        <v>oven fresh bakery oven fresh bakery</v>
      </c>
      <c r="D387" s="4" t="str">
        <f>'Form responses 1'!AT389</f>
        <v/>
      </c>
      <c r="E387" s="4" t="str">
        <f>'Form responses 1'!AU389</f>
        <v>Yes</v>
      </c>
      <c r="F387" s="4" t="str">
        <f>'Form responses 1'!AX389</f>
        <v/>
      </c>
      <c r="G387" s="4" t="str">
        <f>'Form responses 1'!AY389</f>
        <v/>
      </c>
      <c r="H387" s="53" t="str">
        <f>'Form responses 1'!AW389</f>
        <v/>
      </c>
      <c r="I387" s="4" t="str">
        <f>'Form responses 1'!AS389</f>
        <v/>
      </c>
      <c r="J387" s="4" t="str">
        <f>'Form responses 1'!J389</f>
        <v/>
      </c>
      <c r="K387" s="4" t="str">
        <f>'Form responses 1'!G389</f>
        <v/>
      </c>
      <c r="L387" s="4" t="str">
        <f>'Form responses 1'!F389</f>
        <v/>
      </c>
      <c r="M387" s="4" t="str">
        <f>'Form responses 1'!U389</f>
        <v>deepak </v>
      </c>
      <c r="N387" s="4">
        <f>'Form responses 1'!V389</f>
        <v>9505255701</v>
      </c>
      <c r="O387" s="4" t="str">
        <f>'Form responses 1'!W389</f>
        <v>na</v>
      </c>
      <c r="P387" s="4" t="str">
        <f>'Form responses 1'!X389</f>
        <v/>
      </c>
      <c r="Q387" s="4" t="str">
        <f>'Form responses 1'!Y389</f>
        <v/>
      </c>
      <c r="R387" s="4" t="str">
        <f>'Form responses 1'!Z389</f>
        <v/>
      </c>
      <c r="S387" s="4" t="str">
        <f>'Form responses 1'!AC389</f>
        <v/>
      </c>
      <c r="T387" s="4" t="str">
        <f>'Form responses 1'!AE389</f>
        <v/>
      </c>
      <c r="U387" s="4" t="str">
        <f>'Form responses 1'!AG389</f>
        <v/>
      </c>
      <c r="V387" s="4" t="str">
        <f>'Form responses 1'!AI389</f>
        <v/>
      </c>
      <c r="W387" s="4" t="str">
        <f>'Form responses 1'!AJ389</f>
        <v/>
      </c>
      <c r="X387" s="4" t="str">
        <f>'Form responses 1'!AK389</f>
        <v/>
      </c>
      <c r="Y387" s="4">
        <f t="shared" ref="Y387:AD387" si="386">if(S387&gt;0,1,0)</f>
        <v>0</v>
      </c>
      <c r="Z387" s="4">
        <f t="shared" si="386"/>
        <v>0</v>
      </c>
      <c r="AA387" s="4">
        <f t="shared" si="386"/>
        <v>0</v>
      </c>
      <c r="AB387" s="4">
        <f t="shared" si="386"/>
        <v>0</v>
      </c>
      <c r="AC387" s="4">
        <f t="shared" si="386"/>
        <v>0</v>
      </c>
      <c r="AD387" s="4">
        <f t="shared" si="386"/>
        <v>0</v>
      </c>
      <c r="AE387" s="4" t="str">
        <f>'Form responses 1'!AN389</f>
        <v/>
      </c>
      <c r="AF387" s="4" t="str">
        <f>'Form responses 1'!AO389</f>
        <v/>
      </c>
      <c r="AG387" s="4" t="str">
        <f>'Form responses 1'!AP389</f>
        <v/>
      </c>
      <c r="AH387" s="4" t="str">
        <f>'Form responses 1'!AQ389</f>
        <v/>
      </c>
      <c r="AI387" s="4" t="str">
        <f>'Form responses 1'!AR389</f>
        <v/>
      </c>
    </row>
    <row r="388">
      <c r="A388" s="26">
        <f>'Form responses 1'!B390</f>
        <v>46066</v>
      </c>
      <c r="B388" s="4" t="str">
        <f>'Form responses 1'!AZ390</f>
        <v>madhumitha.sonnakula@capsdelivery.com</v>
      </c>
      <c r="C388" s="4" t="str">
        <f>'Form responses 1'!BR390</f>
        <v>nawabi </v>
      </c>
      <c r="D388" s="4" t="str">
        <f>'Form responses 1'!AT390</f>
        <v/>
      </c>
      <c r="E388" s="4" t="str">
        <f>'Form responses 1'!AU390</f>
        <v>Yes</v>
      </c>
      <c r="F388" s="4" t="str">
        <f>'Form responses 1'!AX390</f>
        <v/>
      </c>
      <c r="G388" s="4" t="str">
        <f>'Form responses 1'!AY390</f>
        <v/>
      </c>
      <c r="H388" s="53" t="str">
        <f>'Form responses 1'!AW390</f>
        <v/>
      </c>
      <c r="I388" s="4" t="str">
        <f>'Form responses 1'!AS390</f>
        <v/>
      </c>
      <c r="J388" s="4" t="str">
        <f>'Form responses 1'!J390</f>
        <v>Tier-2 (AOV &lt;400)</v>
      </c>
      <c r="K388" s="4">
        <f>'Form responses 1'!G390</f>
        <v>300</v>
      </c>
      <c r="L388" s="4">
        <f>'Form responses 1'!F390</f>
        <v>30</v>
      </c>
      <c r="M388" s="4" t="str">
        <f>'Form responses 1'!U390</f>
        <v>irfaan </v>
      </c>
      <c r="N388" s="4">
        <f>'Form responses 1'!V390</f>
        <v>8919193385</v>
      </c>
      <c r="O388" s="4" t="str">
        <f>'Form responses 1'!W390</f>
        <v>na</v>
      </c>
      <c r="P388" s="4" t="str">
        <f>'Form responses 1'!X390</f>
        <v/>
      </c>
      <c r="Q388" s="4" t="str">
        <f>'Form responses 1'!Y390</f>
        <v/>
      </c>
      <c r="R388" s="4" t="str">
        <f>'Form responses 1'!Z390</f>
        <v/>
      </c>
      <c r="S388" s="4" t="str">
        <f>'Form responses 1'!AC390</f>
        <v/>
      </c>
      <c r="T388" s="4" t="str">
        <f>'Form responses 1'!AE390</f>
        <v/>
      </c>
      <c r="U388" s="4" t="str">
        <f>'Form responses 1'!AG390</f>
        <v/>
      </c>
      <c r="V388" s="4" t="str">
        <f>'Form responses 1'!AI390</f>
        <v/>
      </c>
      <c r="W388" s="4" t="str">
        <f>'Form responses 1'!AJ390</f>
        <v/>
      </c>
      <c r="X388" s="4" t="str">
        <f>'Form responses 1'!AK390</f>
        <v/>
      </c>
      <c r="Y388" s="4">
        <f t="shared" ref="Y388:AD388" si="387">if(S388&gt;0,1,0)</f>
        <v>0</v>
      </c>
      <c r="Z388" s="4">
        <f t="shared" si="387"/>
        <v>0</v>
      </c>
      <c r="AA388" s="4">
        <f t="shared" si="387"/>
        <v>0</v>
      </c>
      <c r="AB388" s="4">
        <f t="shared" si="387"/>
        <v>0</v>
      </c>
      <c r="AC388" s="4">
        <f t="shared" si="387"/>
        <v>0</v>
      </c>
      <c r="AD388" s="4">
        <f t="shared" si="387"/>
        <v>0</v>
      </c>
      <c r="AE388" s="4" t="str">
        <f>'Form responses 1'!AN390</f>
        <v/>
      </c>
      <c r="AF388" s="4" t="str">
        <f>'Form responses 1'!AO390</f>
        <v/>
      </c>
      <c r="AG388" s="4" t="str">
        <f>'Form responses 1'!AP390</f>
        <v/>
      </c>
      <c r="AH388" s="4" t="str">
        <f>'Form responses 1'!AQ390</f>
        <v/>
      </c>
      <c r="AI388" s="4" t="str">
        <f>'Form responses 1'!AR390</f>
        <v/>
      </c>
    </row>
    <row r="389">
      <c r="A389" s="26">
        <f>'Form responses 1'!B391</f>
        <v>46066</v>
      </c>
      <c r="B389" s="4" t="str">
        <f>'Form responses 1'!AZ391</f>
        <v>madhumitha.sonnakula@capsdelivery.com</v>
      </c>
      <c r="C389" s="4" t="str">
        <f>'Form responses 1'!BR391</f>
        <v>tealogy </v>
      </c>
      <c r="D389" s="4" t="str">
        <f>'Form responses 1'!AT391</f>
        <v/>
      </c>
      <c r="E389" s="4" t="str">
        <f>'Form responses 1'!AU391</f>
        <v>Yes</v>
      </c>
      <c r="F389" s="4" t="str">
        <f>'Form responses 1'!AX391</f>
        <v/>
      </c>
      <c r="G389" s="4" t="str">
        <f>'Form responses 1'!AY391</f>
        <v/>
      </c>
      <c r="H389" s="53" t="str">
        <f>'Form responses 1'!AW391</f>
        <v/>
      </c>
      <c r="I389" s="4" t="str">
        <f>'Form responses 1'!AS391</f>
        <v/>
      </c>
      <c r="J389" s="4" t="str">
        <f>'Form responses 1'!J391</f>
        <v>Tier-2 (AOV &lt;400)</v>
      </c>
      <c r="K389" s="4">
        <f>'Form responses 1'!G391</f>
        <v>200</v>
      </c>
      <c r="L389" s="4">
        <f>'Form responses 1'!F391</f>
        <v>35</v>
      </c>
      <c r="M389" s="4" t="str">
        <f>'Form responses 1'!U391</f>
        <v>ashok </v>
      </c>
      <c r="N389" s="4">
        <f>'Form responses 1'!V391</f>
        <v>9980102334</v>
      </c>
      <c r="O389" s="4" t="str">
        <f>'Form responses 1'!W391</f>
        <v>na</v>
      </c>
      <c r="P389" s="4" t="str">
        <f>'Form responses 1'!X391</f>
        <v/>
      </c>
      <c r="Q389" s="4" t="str">
        <f>'Form responses 1'!Y391</f>
        <v/>
      </c>
      <c r="R389" s="4" t="str">
        <f>'Form responses 1'!Z391</f>
        <v/>
      </c>
      <c r="S389" s="4" t="str">
        <f>'Form responses 1'!AC391</f>
        <v/>
      </c>
      <c r="T389" s="4" t="str">
        <f>'Form responses 1'!AE391</f>
        <v/>
      </c>
      <c r="U389" s="4" t="str">
        <f>'Form responses 1'!AG391</f>
        <v/>
      </c>
      <c r="V389" s="4" t="str">
        <f>'Form responses 1'!AI391</f>
        <v/>
      </c>
      <c r="W389" s="4" t="str">
        <f>'Form responses 1'!AJ391</f>
        <v/>
      </c>
      <c r="X389" s="4" t="str">
        <f>'Form responses 1'!AK391</f>
        <v/>
      </c>
      <c r="Y389" s="4">
        <f t="shared" ref="Y389:AD389" si="388">if(S389&gt;0,1,0)</f>
        <v>0</v>
      </c>
      <c r="Z389" s="4">
        <f t="shared" si="388"/>
        <v>0</v>
      </c>
      <c r="AA389" s="4">
        <f t="shared" si="388"/>
        <v>0</v>
      </c>
      <c r="AB389" s="4">
        <f t="shared" si="388"/>
        <v>0</v>
      </c>
      <c r="AC389" s="4">
        <f t="shared" si="388"/>
        <v>0</v>
      </c>
      <c r="AD389" s="4">
        <f t="shared" si="388"/>
        <v>0</v>
      </c>
      <c r="AE389" s="4" t="str">
        <f>'Form responses 1'!AN391</f>
        <v/>
      </c>
      <c r="AF389" s="4" t="str">
        <f>'Form responses 1'!AO391</f>
        <v/>
      </c>
      <c r="AG389" s="4" t="str">
        <f>'Form responses 1'!AP391</f>
        <v/>
      </c>
      <c r="AH389" s="4" t="str">
        <f>'Form responses 1'!AQ391</f>
        <v/>
      </c>
      <c r="AI389" s="4" t="str">
        <f>'Form responses 1'!AR391</f>
        <v/>
      </c>
    </row>
    <row r="390">
      <c r="A390" s="26">
        <f>'Form responses 1'!B392</f>
        <v>46066</v>
      </c>
      <c r="B390" s="4" t="str">
        <f>'Form responses 1'!AZ392</f>
        <v>madhumitha.sonnakula@capsdelivery.com</v>
      </c>
      <c r="C390" s="4" t="str">
        <f>'Form responses 1'!BR392</f>
        <v>bawarchi express</v>
      </c>
      <c r="D390" s="4" t="str">
        <f>'Form responses 1'!AT392</f>
        <v/>
      </c>
      <c r="E390" s="4" t="str">
        <f>'Form responses 1'!AU392</f>
        <v>Yes</v>
      </c>
      <c r="F390" s="4" t="str">
        <f>'Form responses 1'!AX392</f>
        <v/>
      </c>
      <c r="G390" s="4" t="str">
        <f>'Form responses 1'!AY392</f>
        <v/>
      </c>
      <c r="H390" s="53" t="str">
        <f>'Form responses 1'!AW392</f>
        <v/>
      </c>
      <c r="I390" s="4" t="str">
        <f>'Form responses 1'!AS392</f>
        <v/>
      </c>
      <c r="J390" s="4" t="str">
        <f>'Form responses 1'!J392</f>
        <v>Tier-2 (AOV &lt;400)</v>
      </c>
      <c r="K390" s="4">
        <f>'Form responses 1'!G392</f>
        <v>300</v>
      </c>
      <c r="L390" s="4">
        <f>'Form responses 1'!F392</f>
        <v>25</v>
      </c>
      <c r="M390" s="4" t="str">
        <f>'Form responses 1'!U392</f>
        <v>mohammed</v>
      </c>
      <c r="N390" s="4">
        <f>'Form responses 1'!V392</f>
        <v>7780667655</v>
      </c>
      <c r="O390" s="4" t="str">
        <f>'Form responses 1'!W392</f>
        <v>na</v>
      </c>
      <c r="P390" s="4" t="str">
        <f>'Form responses 1'!X392</f>
        <v/>
      </c>
      <c r="Q390" s="4" t="str">
        <f>'Form responses 1'!Y392</f>
        <v/>
      </c>
      <c r="R390" s="4" t="str">
        <f>'Form responses 1'!Z392</f>
        <v/>
      </c>
      <c r="S390" s="4" t="str">
        <f>'Form responses 1'!AC392</f>
        <v/>
      </c>
      <c r="T390" s="4" t="str">
        <f>'Form responses 1'!AE392</f>
        <v/>
      </c>
      <c r="U390" s="4" t="str">
        <f>'Form responses 1'!AG392</f>
        <v/>
      </c>
      <c r="V390" s="4" t="str">
        <f>'Form responses 1'!AI392</f>
        <v/>
      </c>
      <c r="W390" s="4" t="str">
        <f>'Form responses 1'!AJ392</f>
        <v/>
      </c>
      <c r="X390" s="4" t="str">
        <f>'Form responses 1'!AK392</f>
        <v/>
      </c>
      <c r="Y390" s="4">
        <f t="shared" ref="Y390:AD390" si="389">if(S390&gt;0,1,0)</f>
        <v>0</v>
      </c>
      <c r="Z390" s="4">
        <f t="shared" si="389"/>
        <v>0</v>
      </c>
      <c r="AA390" s="4">
        <f t="shared" si="389"/>
        <v>0</v>
      </c>
      <c r="AB390" s="4">
        <f t="shared" si="389"/>
        <v>0</v>
      </c>
      <c r="AC390" s="4">
        <f t="shared" si="389"/>
        <v>0</v>
      </c>
      <c r="AD390" s="4">
        <f t="shared" si="389"/>
        <v>0</v>
      </c>
      <c r="AE390" s="4" t="str">
        <f>'Form responses 1'!AN392</f>
        <v/>
      </c>
      <c r="AF390" s="4" t="str">
        <f>'Form responses 1'!AO392</f>
        <v/>
      </c>
      <c r="AG390" s="4" t="str">
        <f>'Form responses 1'!AP392</f>
        <v/>
      </c>
      <c r="AH390" s="4" t="str">
        <f>'Form responses 1'!AQ392</f>
        <v/>
      </c>
      <c r="AI390" s="4" t="str">
        <f>'Form responses 1'!AR392</f>
        <v/>
      </c>
    </row>
    <row r="391">
      <c r="A391" s="26">
        <f>'Form responses 1'!B393</f>
        <v>46066</v>
      </c>
      <c r="B391" s="4" t="str">
        <f>'Form responses 1'!AZ393</f>
        <v>madhumitha.sonnakula@capsdelivery.com</v>
      </c>
      <c r="C391" s="4" t="str">
        <f>'Form responses 1'!BR393</f>
        <v>madhura restraunt bar na</v>
      </c>
      <c r="D391" s="4" t="str">
        <f>'Form responses 1'!AT393</f>
        <v/>
      </c>
      <c r="E391" s="4" t="str">
        <f>'Form responses 1'!AU393</f>
        <v>Yes</v>
      </c>
      <c r="F391" s="4" t="str">
        <f>'Form responses 1'!AX393</f>
        <v/>
      </c>
      <c r="G391" s="4" t="str">
        <f>'Form responses 1'!AY393</f>
        <v/>
      </c>
      <c r="H391" s="53" t="str">
        <f>'Form responses 1'!AW393</f>
        <v/>
      </c>
      <c r="I391" s="4" t="str">
        <f>'Form responses 1'!AS393</f>
        <v/>
      </c>
      <c r="J391" s="4" t="str">
        <f>'Form responses 1'!J393</f>
        <v/>
      </c>
      <c r="K391" s="4" t="str">
        <f>'Form responses 1'!G393</f>
        <v/>
      </c>
      <c r="L391" s="4" t="str">
        <f>'Form responses 1'!F393</f>
        <v/>
      </c>
      <c r="M391" s="4" t="str">
        <f>'Form responses 1'!U393</f>
        <v>shiva </v>
      </c>
      <c r="N391" s="4">
        <f>'Form responses 1'!V393</f>
        <v>9640166669</v>
      </c>
      <c r="O391" s="4" t="str">
        <f>'Form responses 1'!W393</f>
        <v>na</v>
      </c>
      <c r="P391" s="4" t="str">
        <f>'Form responses 1'!X393</f>
        <v/>
      </c>
      <c r="Q391" s="4" t="str">
        <f>'Form responses 1'!Y393</f>
        <v/>
      </c>
      <c r="R391" s="4" t="str">
        <f>'Form responses 1'!Z393</f>
        <v/>
      </c>
      <c r="S391" s="4" t="str">
        <f>'Form responses 1'!AC393</f>
        <v/>
      </c>
      <c r="T391" s="4" t="str">
        <f>'Form responses 1'!AE393</f>
        <v/>
      </c>
      <c r="U391" s="4" t="str">
        <f>'Form responses 1'!AG393</f>
        <v/>
      </c>
      <c r="V391" s="4" t="str">
        <f>'Form responses 1'!AI393</f>
        <v/>
      </c>
      <c r="W391" s="4" t="str">
        <f>'Form responses 1'!AJ393</f>
        <v/>
      </c>
      <c r="X391" s="4" t="str">
        <f>'Form responses 1'!AK393</f>
        <v/>
      </c>
      <c r="Y391" s="4">
        <f t="shared" ref="Y391:AD391" si="390">if(S391&gt;0,1,0)</f>
        <v>0</v>
      </c>
      <c r="Z391" s="4">
        <f t="shared" si="390"/>
        <v>0</v>
      </c>
      <c r="AA391" s="4">
        <f t="shared" si="390"/>
        <v>0</v>
      </c>
      <c r="AB391" s="4">
        <f t="shared" si="390"/>
        <v>0</v>
      </c>
      <c r="AC391" s="4">
        <f t="shared" si="390"/>
        <v>0</v>
      </c>
      <c r="AD391" s="4">
        <f t="shared" si="390"/>
        <v>0</v>
      </c>
      <c r="AE391" s="4" t="str">
        <f>'Form responses 1'!AN393</f>
        <v/>
      </c>
      <c r="AF391" s="4" t="str">
        <f>'Form responses 1'!AO393</f>
        <v/>
      </c>
      <c r="AG391" s="4" t="str">
        <f>'Form responses 1'!AP393</f>
        <v/>
      </c>
      <c r="AH391" s="4" t="str">
        <f>'Form responses 1'!AQ393</f>
        <v/>
      </c>
      <c r="AI391" s="4" t="str">
        <f>'Form responses 1'!AR393</f>
        <v/>
      </c>
    </row>
    <row r="392">
      <c r="A392" s="26">
        <f>'Form responses 1'!B394</f>
        <v>46066</v>
      </c>
      <c r="B392" s="4" t="str">
        <f>'Form responses 1'!AZ394</f>
        <v>madhumitha.sonnakula@capsdelivery.com</v>
      </c>
      <c r="C392" s="4" t="str">
        <f>'Form responses 1'!BR394</f>
        <v>flavours of andhra na</v>
      </c>
      <c r="D392" s="4" t="str">
        <f>'Form responses 1'!AT394</f>
        <v/>
      </c>
      <c r="E392" s="4" t="str">
        <f>'Form responses 1'!AU394</f>
        <v>Yes</v>
      </c>
      <c r="F392" s="4" t="str">
        <f>'Form responses 1'!AX394</f>
        <v/>
      </c>
      <c r="G392" s="4" t="str">
        <f>'Form responses 1'!AY394</f>
        <v/>
      </c>
      <c r="H392" s="53" t="str">
        <f>'Form responses 1'!AW394</f>
        <v/>
      </c>
      <c r="I392" s="4" t="str">
        <f>'Form responses 1'!AS394</f>
        <v/>
      </c>
      <c r="J392" s="4" t="str">
        <f>'Form responses 1'!J394</f>
        <v/>
      </c>
      <c r="K392" s="4" t="str">
        <f>'Form responses 1'!G394</f>
        <v/>
      </c>
      <c r="L392" s="4" t="str">
        <f>'Form responses 1'!F394</f>
        <v/>
      </c>
      <c r="M392" s="4" t="str">
        <f>'Form responses 1'!U394</f>
        <v>shekar</v>
      </c>
      <c r="N392" s="4">
        <f>'Form responses 1'!V394</f>
        <v>9949072220</v>
      </c>
      <c r="O392" s="4" t="str">
        <f>'Form responses 1'!W394</f>
        <v>na</v>
      </c>
      <c r="P392" s="4" t="str">
        <f>'Form responses 1'!X394</f>
        <v/>
      </c>
      <c r="Q392" s="4" t="str">
        <f>'Form responses 1'!Y394</f>
        <v/>
      </c>
      <c r="R392" s="4" t="str">
        <f>'Form responses 1'!Z394</f>
        <v/>
      </c>
      <c r="S392" s="4" t="str">
        <f>'Form responses 1'!AC394</f>
        <v/>
      </c>
      <c r="T392" s="4" t="str">
        <f>'Form responses 1'!AE394</f>
        <v/>
      </c>
      <c r="U392" s="4" t="str">
        <f>'Form responses 1'!AG394</f>
        <v/>
      </c>
      <c r="V392" s="4" t="str">
        <f>'Form responses 1'!AI394</f>
        <v/>
      </c>
      <c r="W392" s="4" t="str">
        <f>'Form responses 1'!AJ394</f>
        <v/>
      </c>
      <c r="X392" s="4" t="str">
        <f>'Form responses 1'!AK394</f>
        <v/>
      </c>
      <c r="Y392" s="4">
        <f t="shared" ref="Y392:AD392" si="391">if(S392&gt;0,1,0)</f>
        <v>0</v>
      </c>
      <c r="Z392" s="4">
        <f t="shared" si="391"/>
        <v>0</v>
      </c>
      <c r="AA392" s="4">
        <f t="shared" si="391"/>
        <v>0</v>
      </c>
      <c r="AB392" s="4">
        <f t="shared" si="391"/>
        <v>0</v>
      </c>
      <c r="AC392" s="4">
        <f t="shared" si="391"/>
        <v>0</v>
      </c>
      <c r="AD392" s="4">
        <f t="shared" si="391"/>
        <v>0</v>
      </c>
      <c r="AE392" s="4" t="str">
        <f>'Form responses 1'!AN394</f>
        <v/>
      </c>
      <c r="AF392" s="4" t="str">
        <f>'Form responses 1'!AO394</f>
        <v/>
      </c>
      <c r="AG392" s="4" t="str">
        <f>'Form responses 1'!AP394</f>
        <v/>
      </c>
      <c r="AH392" s="4" t="str">
        <f>'Form responses 1'!AQ394</f>
        <v/>
      </c>
      <c r="AI392" s="4" t="str">
        <f>'Form responses 1'!AR394</f>
        <v/>
      </c>
    </row>
    <row r="393">
      <c r="A393" s="26">
        <f>'Form responses 1'!B395</f>
        <v>46066</v>
      </c>
      <c r="B393" s="4" t="str">
        <f>'Form responses 1'!AZ395</f>
        <v>madhumitha.sonnakula@capsdelivery.com</v>
      </c>
      <c r="C393" s="4" t="str">
        <f>'Form responses 1'!BR395</f>
        <v>gismat jailnza</v>
      </c>
      <c r="D393" s="4" t="str">
        <f>'Form responses 1'!AT395</f>
        <v/>
      </c>
      <c r="E393" s="4" t="str">
        <f>'Form responses 1'!AU395</f>
        <v>Yes</v>
      </c>
      <c r="F393" s="4" t="str">
        <f>'Form responses 1'!AX395</f>
        <v/>
      </c>
      <c r="G393" s="4" t="str">
        <f>'Form responses 1'!AY395</f>
        <v/>
      </c>
      <c r="H393" s="53" t="str">
        <f>'Form responses 1'!AW395</f>
        <v/>
      </c>
      <c r="I393" s="4" t="str">
        <f>'Form responses 1'!AS395</f>
        <v/>
      </c>
      <c r="J393" s="4" t="str">
        <f>'Form responses 1'!J395</f>
        <v/>
      </c>
      <c r="K393" s="4" t="str">
        <f>'Form responses 1'!G395</f>
        <v/>
      </c>
      <c r="L393" s="4" t="str">
        <f>'Form responses 1'!F395</f>
        <v/>
      </c>
      <c r="M393" s="4" t="str">
        <f>'Form responses 1'!U395</f>
        <v>vidhya sagar</v>
      </c>
      <c r="N393" s="4">
        <f>'Form responses 1'!V395</f>
        <v>9985404412</v>
      </c>
      <c r="O393" s="4" t="str">
        <f>'Form responses 1'!W395</f>
        <v>na</v>
      </c>
      <c r="P393" s="4" t="str">
        <f>'Form responses 1'!X395</f>
        <v/>
      </c>
      <c r="Q393" s="4" t="str">
        <f>'Form responses 1'!Y395</f>
        <v/>
      </c>
      <c r="R393" s="4" t="str">
        <f>'Form responses 1'!Z395</f>
        <v/>
      </c>
      <c r="S393" s="4" t="str">
        <f>'Form responses 1'!AC395</f>
        <v/>
      </c>
      <c r="T393" s="4" t="str">
        <f>'Form responses 1'!AE395</f>
        <v/>
      </c>
      <c r="U393" s="4" t="str">
        <f>'Form responses 1'!AG395</f>
        <v/>
      </c>
      <c r="V393" s="4" t="str">
        <f>'Form responses 1'!AI395</f>
        <v/>
      </c>
      <c r="W393" s="4" t="str">
        <f>'Form responses 1'!AJ395</f>
        <v/>
      </c>
      <c r="X393" s="4" t="str">
        <f>'Form responses 1'!AK395</f>
        <v/>
      </c>
      <c r="Y393" s="4">
        <f t="shared" ref="Y393:AD393" si="392">if(S393&gt;0,1,0)</f>
        <v>0</v>
      </c>
      <c r="Z393" s="4">
        <f t="shared" si="392"/>
        <v>0</v>
      </c>
      <c r="AA393" s="4">
        <f t="shared" si="392"/>
        <v>0</v>
      </c>
      <c r="AB393" s="4">
        <f t="shared" si="392"/>
        <v>0</v>
      </c>
      <c r="AC393" s="4">
        <f t="shared" si="392"/>
        <v>0</v>
      </c>
      <c r="AD393" s="4">
        <f t="shared" si="392"/>
        <v>0</v>
      </c>
      <c r="AE393" s="4" t="str">
        <f>'Form responses 1'!AN395</f>
        <v/>
      </c>
      <c r="AF393" s="4" t="str">
        <f>'Form responses 1'!AO395</f>
        <v/>
      </c>
      <c r="AG393" s="4" t="str">
        <f>'Form responses 1'!AP395</f>
        <v/>
      </c>
      <c r="AH393" s="4" t="str">
        <f>'Form responses 1'!AQ395</f>
        <v/>
      </c>
      <c r="AI393" s="4" t="str">
        <f>'Form responses 1'!AR395</f>
        <v/>
      </c>
    </row>
    <row r="394">
      <c r="A394" s="26">
        <f>'Form responses 1'!B396</f>
        <v>46066</v>
      </c>
      <c r="B394" s="4" t="str">
        <f>'Form responses 1'!AZ396</f>
        <v>madhumitha.sonnakula@capsdelivery.com</v>
      </c>
      <c r="C394" s="4" t="str">
        <f>'Form responses 1'!BR396</f>
        <v>kaaram the authentic telangana spice kitchen </v>
      </c>
      <c r="D394" s="4" t="str">
        <f>'Form responses 1'!AT396</f>
        <v>ONBOARDING DONE</v>
      </c>
      <c r="E394" s="4" t="str">
        <f>'Form responses 1'!AU396</f>
        <v>No</v>
      </c>
      <c r="F394" s="4" t="str">
        <f>'Form responses 1'!AX396</f>
        <v/>
      </c>
      <c r="G394" s="4" t="str">
        <f>'Form responses 1'!AY396</f>
        <v/>
      </c>
      <c r="H394" s="53" t="str">
        <f>'Form responses 1'!AW396</f>
        <v/>
      </c>
      <c r="I394" s="4" t="str">
        <f>'Form responses 1'!AS396</f>
        <v>Yes</v>
      </c>
      <c r="J394" s="4" t="str">
        <f>'Form responses 1'!J396</f>
        <v>Tier-1(AOV&gt;400)</v>
      </c>
      <c r="K394" s="4">
        <f>'Form responses 1'!G396</f>
        <v>600</v>
      </c>
      <c r="L394" s="4">
        <f>'Form responses 1'!F396</f>
        <v>60</v>
      </c>
      <c r="M394" s="4" t="str">
        <f>'Form responses 1'!U396</f>
        <v>shruthi</v>
      </c>
      <c r="N394" s="4">
        <f>'Form responses 1'!V396</f>
        <v>991269903</v>
      </c>
      <c r="O394" s="4" t="str">
        <f>'Form responses 1'!W396</f>
        <v>kaaramthespicekitchen@gmail.com</v>
      </c>
      <c r="P394" s="4" t="str">
        <f>'Form responses 1'!X396</f>
        <v/>
      </c>
      <c r="Q394" s="4" t="str">
        <f>'Form responses 1'!Y396</f>
        <v/>
      </c>
      <c r="R394" s="4" t="str">
        <f>'Form responses 1'!Z396</f>
        <v/>
      </c>
      <c r="S394" s="54" t="str">
        <f>'Form responses 1'!AC396</f>
        <v>https://drive.google.com/open?id=1Y4KiVuvKsiEij0pmuN9chObs0R6zRWix</v>
      </c>
      <c r="T394" s="4" t="str">
        <f>'Form responses 1'!AE396</f>
        <v/>
      </c>
      <c r="U394" s="54" t="str">
        <f>'Form responses 1'!AG396</f>
        <v>https://drive.google.com/open?id=1YLzd-h6M_cVMp9BAWEwQEL6usbuyBhDk</v>
      </c>
      <c r="V394" s="54" t="str">
        <f>'Form responses 1'!AI396</f>
        <v>https://drive.google.com/open?id=1BIYKKTui-geMacpBdE2bNO7Mgdto7mOH</v>
      </c>
      <c r="W394" s="54" t="str">
        <f>'Form responses 1'!AJ396</f>
        <v>https://drive.google.com/open?id=1Km226MX9KwuUpcWS9pqTAKGqr92Mg0Y3</v>
      </c>
      <c r="X394" s="54" t="str">
        <f>'Form responses 1'!AK396</f>
        <v>https://drive.google.com/open?id=1GzwV68LZjE7yRgLhc0J8Np1acynTdVFG</v>
      </c>
      <c r="Y394" s="4">
        <f t="shared" ref="Y394:AD394" si="393">if(S394&gt;0,1,0)</f>
        <v>1</v>
      </c>
      <c r="Z394" s="4">
        <f t="shared" si="393"/>
        <v>0</v>
      </c>
      <c r="AA394" s="4">
        <f t="shared" si="393"/>
        <v>1</v>
      </c>
      <c r="AB394" s="4">
        <f t="shared" si="393"/>
        <v>1</v>
      </c>
      <c r="AC394" s="4">
        <f t="shared" si="393"/>
        <v>1</v>
      </c>
      <c r="AD394" s="4">
        <f t="shared" si="393"/>
        <v>1</v>
      </c>
      <c r="AE394" s="4" t="str">
        <f>'Form responses 1'!AN396</f>
        <v>HDFC BANK</v>
      </c>
      <c r="AF394" s="4" t="str">
        <f>'Form responses 1'!AO396</f>
        <v/>
      </c>
      <c r="AG394" s="4" t="str">
        <f>'Form responses 1'!AP396</f>
        <v/>
      </c>
      <c r="AH394" s="4" t="str">
        <f>'Form responses 1'!AQ396</f>
        <v/>
      </c>
      <c r="AI394" s="4" t="str">
        <f>'Form responses 1'!AR396</f>
        <v/>
      </c>
    </row>
    <row r="395">
      <c r="A395" s="26">
        <f>'Form responses 1'!B397</f>
        <v>46067</v>
      </c>
      <c r="B395" s="4" t="str">
        <f>'Form responses 1'!AZ397</f>
        <v>amit.kaler@capsdelivery.com</v>
      </c>
      <c r="C395" s="4" t="str">
        <f>'Form responses 1'!BR397</f>
        <v>Test</v>
      </c>
      <c r="D395" s="4" t="str">
        <f>'Form responses 1'!AT397</f>
        <v>Test</v>
      </c>
      <c r="E395" s="4" t="str">
        <f>'Form responses 1'!AU397</f>
        <v>No</v>
      </c>
      <c r="F395" s="4" t="str">
        <f>'Form responses 1'!AX397</f>
        <v/>
      </c>
      <c r="G395" s="4" t="str">
        <f>'Form responses 1'!AY397</f>
        <v/>
      </c>
      <c r="H395" s="53" t="str">
        <f>'Form responses 1'!AW397</f>
        <v/>
      </c>
      <c r="I395" s="4" t="str">
        <f>'Form responses 1'!AS397</f>
        <v/>
      </c>
      <c r="J395" s="4" t="str">
        <f>'Form responses 1'!J397</f>
        <v>Tier-1(AOV&gt;400)</v>
      </c>
      <c r="K395" s="4">
        <f>'Form responses 1'!G397</f>
        <v>33</v>
      </c>
      <c r="L395" s="4">
        <f>'Form responses 1'!F397</f>
        <v>33</v>
      </c>
      <c r="M395" s="4">
        <f>'Form responses 1'!U397</f>
        <v>33</v>
      </c>
      <c r="N395" s="4">
        <f>'Form responses 1'!V397</f>
        <v>33</v>
      </c>
      <c r="O395" s="4">
        <f>'Form responses 1'!W397</f>
        <v>33</v>
      </c>
      <c r="P395" s="4" t="str">
        <f>'Form responses 1'!X397</f>
        <v/>
      </c>
      <c r="Q395" s="4" t="str">
        <f>'Form responses 1'!Y397</f>
        <v/>
      </c>
      <c r="R395" s="4" t="str">
        <f>'Form responses 1'!Z397</f>
        <v/>
      </c>
      <c r="S395" s="4" t="str">
        <f>'Form responses 1'!AC397</f>
        <v/>
      </c>
      <c r="T395" s="4" t="str">
        <f>'Form responses 1'!AE397</f>
        <v/>
      </c>
      <c r="U395" s="4" t="str">
        <f>'Form responses 1'!AG397</f>
        <v/>
      </c>
      <c r="V395" s="4" t="str">
        <f>'Form responses 1'!AI397</f>
        <v/>
      </c>
      <c r="W395" s="4" t="str">
        <f>'Form responses 1'!AJ397</f>
        <v/>
      </c>
      <c r="X395" s="4" t="str">
        <f>'Form responses 1'!AK397</f>
        <v/>
      </c>
      <c r="Y395" s="4">
        <f t="shared" ref="Y395:AD395" si="394">if(S395&gt;0,1,0)</f>
        <v>0</v>
      </c>
      <c r="Z395" s="4">
        <f t="shared" si="394"/>
        <v>0</v>
      </c>
      <c r="AA395" s="4">
        <f t="shared" si="394"/>
        <v>0</v>
      </c>
      <c r="AB395" s="4">
        <f t="shared" si="394"/>
        <v>0</v>
      </c>
      <c r="AC395" s="4">
        <f t="shared" si="394"/>
        <v>0</v>
      </c>
      <c r="AD395" s="4">
        <f t="shared" si="394"/>
        <v>0</v>
      </c>
      <c r="AE395" s="4" t="str">
        <f>'Form responses 1'!AN397</f>
        <v/>
      </c>
      <c r="AF395" s="4" t="str">
        <f>'Form responses 1'!AO397</f>
        <v/>
      </c>
      <c r="AG395" s="4" t="str">
        <f>'Form responses 1'!AP397</f>
        <v/>
      </c>
      <c r="AH395" s="4" t="str">
        <f>'Form responses 1'!AQ397</f>
        <v/>
      </c>
      <c r="AI395" s="4" t="str">
        <f>'Form responses 1'!AR397</f>
        <v/>
      </c>
    </row>
    <row r="396">
      <c r="A396" s="26">
        <f>'Form responses 1'!B398</f>
        <v>46067</v>
      </c>
      <c r="B396" s="4" t="str">
        <f>'Form responses 1'!AZ398</f>
        <v>amit.kaler@capsdelivery.com</v>
      </c>
      <c r="C396" s="4" t="str">
        <f>'Form responses 1'!BR398</f>
        <v>Test</v>
      </c>
      <c r="D396" s="4" t="str">
        <f>'Form responses 1'!AT398</f>
        <v>Test
</v>
      </c>
      <c r="E396" s="4" t="str">
        <f>'Form responses 1'!AU398</f>
        <v>No</v>
      </c>
      <c r="F396" s="4" t="str">
        <f>'Form responses 1'!AX398</f>
        <v/>
      </c>
      <c r="G396" s="4" t="str">
        <f>'Form responses 1'!AY398</f>
        <v/>
      </c>
      <c r="H396" s="53" t="str">
        <f>'Form responses 1'!AW398</f>
        <v/>
      </c>
      <c r="I396" s="4" t="str">
        <f>'Form responses 1'!AS398</f>
        <v/>
      </c>
      <c r="J396" s="4" t="str">
        <f>'Form responses 1'!J398</f>
        <v/>
      </c>
      <c r="K396" s="4" t="str">
        <f>'Form responses 1'!G398</f>
        <v/>
      </c>
      <c r="L396" s="4" t="str">
        <f>'Form responses 1'!F398</f>
        <v/>
      </c>
      <c r="M396" s="4" t="str">
        <f>'Form responses 1'!U398</f>
        <v>Test</v>
      </c>
      <c r="N396" s="4" t="str">
        <f>'Form responses 1'!V398</f>
        <v>Test</v>
      </c>
      <c r="O396" s="4" t="str">
        <f>'Form responses 1'!W398</f>
        <v>Test</v>
      </c>
      <c r="P396" s="4" t="str">
        <f>'Form responses 1'!X398</f>
        <v/>
      </c>
      <c r="Q396" s="4" t="str">
        <f>'Form responses 1'!Y398</f>
        <v/>
      </c>
      <c r="R396" s="4" t="str">
        <f>'Form responses 1'!Z398</f>
        <v/>
      </c>
      <c r="S396" s="4" t="str">
        <f>'Form responses 1'!AC398</f>
        <v/>
      </c>
      <c r="T396" s="4" t="str">
        <f>'Form responses 1'!AE398</f>
        <v/>
      </c>
      <c r="U396" s="4" t="str">
        <f>'Form responses 1'!AG398</f>
        <v/>
      </c>
      <c r="V396" s="4" t="str">
        <f>'Form responses 1'!AI398</f>
        <v/>
      </c>
      <c r="W396" s="4" t="str">
        <f>'Form responses 1'!AJ398</f>
        <v/>
      </c>
      <c r="X396" s="4" t="str">
        <f>'Form responses 1'!AK398</f>
        <v/>
      </c>
      <c r="Y396" s="4">
        <f t="shared" ref="Y396:AD396" si="395">if(S396&gt;0,1,0)</f>
        <v>0</v>
      </c>
      <c r="Z396" s="4">
        <f t="shared" si="395"/>
        <v>0</v>
      </c>
      <c r="AA396" s="4">
        <f t="shared" si="395"/>
        <v>0</v>
      </c>
      <c r="AB396" s="4">
        <f t="shared" si="395"/>
        <v>0</v>
      </c>
      <c r="AC396" s="4">
        <f t="shared" si="395"/>
        <v>0</v>
      </c>
      <c r="AD396" s="4">
        <f t="shared" si="395"/>
        <v>0</v>
      </c>
      <c r="AE396" s="4" t="str">
        <f>'Form responses 1'!AN398</f>
        <v/>
      </c>
      <c r="AF396" s="4" t="str">
        <f>'Form responses 1'!AO398</f>
        <v/>
      </c>
      <c r="AG396" s="4" t="str">
        <f>'Form responses 1'!AP398</f>
        <v/>
      </c>
      <c r="AH396" s="4" t="str">
        <f>'Form responses 1'!AQ398</f>
        <v/>
      </c>
      <c r="AI396" s="4" t="str">
        <f>'Form responses 1'!AR398</f>
        <v/>
      </c>
    </row>
    <row r="397">
      <c r="A397" s="26">
        <f>'Form responses 1'!B399</f>
        <v>46067</v>
      </c>
      <c r="B397" s="4" t="str">
        <f>'Form responses 1'!AZ399</f>
        <v>amit.kaler@capsdelivery.com</v>
      </c>
      <c r="C397" s="4" t="str">
        <f>'Form responses 1'!BR399</f>
        <v>Test</v>
      </c>
      <c r="D397" s="4" t="str">
        <f>'Form responses 1'!AT399</f>
        <v>Test
</v>
      </c>
      <c r="E397" s="4" t="str">
        <f>'Form responses 1'!AU399</f>
        <v>No</v>
      </c>
      <c r="F397" s="4" t="str">
        <f>'Form responses 1'!AX399</f>
        <v/>
      </c>
      <c r="G397" s="4" t="str">
        <f>'Form responses 1'!AY399</f>
        <v/>
      </c>
      <c r="H397" s="53" t="str">
        <f>'Form responses 1'!AW399</f>
        <v/>
      </c>
      <c r="I397" s="4" t="str">
        <f>'Form responses 1'!AS399</f>
        <v/>
      </c>
      <c r="J397" s="4" t="str">
        <f>'Form responses 1'!J399</f>
        <v>Tier-1(AOV&gt;400)</v>
      </c>
      <c r="K397" s="4">
        <f>'Form responses 1'!G399</f>
        <v>33</v>
      </c>
      <c r="L397" s="4">
        <f>'Form responses 1'!F399</f>
        <v>33</v>
      </c>
      <c r="M397" s="4" t="str">
        <f>'Form responses 1'!U399</f>
        <v>Test</v>
      </c>
      <c r="N397" s="4" t="str">
        <f>'Form responses 1'!V399</f>
        <v>Test</v>
      </c>
      <c r="O397" s="4" t="str">
        <f>'Form responses 1'!W399</f>
        <v>Test</v>
      </c>
      <c r="P397" s="4" t="str">
        <f>'Form responses 1'!X399</f>
        <v/>
      </c>
      <c r="Q397" s="4" t="str">
        <f>'Form responses 1'!Y399</f>
        <v/>
      </c>
      <c r="R397" s="4" t="str">
        <f>'Form responses 1'!Z399</f>
        <v/>
      </c>
      <c r="S397" s="4" t="str">
        <f>'Form responses 1'!AC399</f>
        <v/>
      </c>
      <c r="T397" s="4" t="str">
        <f>'Form responses 1'!AE399</f>
        <v/>
      </c>
      <c r="U397" s="4" t="str">
        <f>'Form responses 1'!AG399</f>
        <v/>
      </c>
      <c r="V397" s="4" t="str">
        <f>'Form responses 1'!AI399</f>
        <v/>
      </c>
      <c r="W397" s="4" t="str">
        <f>'Form responses 1'!AJ399</f>
        <v/>
      </c>
      <c r="X397" s="4" t="str">
        <f>'Form responses 1'!AK399</f>
        <v/>
      </c>
      <c r="Y397" s="4">
        <f t="shared" ref="Y397:AD397" si="396">if(S397&gt;0,1,0)</f>
        <v>0</v>
      </c>
      <c r="Z397" s="4">
        <f t="shared" si="396"/>
        <v>0</v>
      </c>
      <c r="AA397" s="4">
        <f t="shared" si="396"/>
        <v>0</v>
      </c>
      <c r="AB397" s="4">
        <f t="shared" si="396"/>
        <v>0</v>
      </c>
      <c r="AC397" s="4">
        <f t="shared" si="396"/>
        <v>0</v>
      </c>
      <c r="AD397" s="4">
        <f t="shared" si="396"/>
        <v>0</v>
      </c>
      <c r="AE397" s="4" t="str">
        <f>'Form responses 1'!AN399</f>
        <v/>
      </c>
      <c r="AF397" s="4" t="str">
        <f>'Form responses 1'!AO399</f>
        <v/>
      </c>
      <c r="AG397" s="4" t="str">
        <f>'Form responses 1'!AP399</f>
        <v/>
      </c>
      <c r="AH397" s="4" t="str">
        <f>'Form responses 1'!AQ399</f>
        <v/>
      </c>
      <c r="AI397" s="4" t="str">
        <f>'Form responses 1'!AR399</f>
        <v/>
      </c>
    </row>
    <row r="398">
      <c r="A398" s="26">
        <f>'Form responses 1'!B400</f>
        <v>46066</v>
      </c>
      <c r="B398" s="4" t="str">
        <f>'Form responses 1'!AZ400</f>
        <v>greeshma.vanneldas@capsdelivery.com</v>
      </c>
      <c r="C398" s="4" t="str">
        <f>'Form responses 1'!BR400</f>
        <v>Vinni cabin cafe Vinni cabin cafe </v>
      </c>
      <c r="D398" s="4" t="str">
        <f>'Form responses 1'!AT400</f>
        <v>Onboarded</v>
      </c>
      <c r="E398" s="4" t="str">
        <f>'Form responses 1'!AU400</f>
        <v>No</v>
      </c>
      <c r="F398" s="4" t="str">
        <f>'Form responses 1'!AX400</f>
        <v/>
      </c>
      <c r="G398" s="4" t="str">
        <f>'Form responses 1'!AY400</f>
        <v/>
      </c>
      <c r="H398" s="53" t="str">
        <f>'Form responses 1'!AW400</f>
        <v/>
      </c>
      <c r="I398" s="4" t="str">
        <f>'Form responses 1'!AS400</f>
        <v>Yes</v>
      </c>
      <c r="J398" s="4" t="str">
        <f>'Form responses 1'!J400</f>
        <v/>
      </c>
      <c r="K398" s="4" t="str">
        <f>'Form responses 1'!G400</f>
        <v/>
      </c>
      <c r="L398" s="4" t="str">
        <f>'Form responses 1'!F400</f>
        <v/>
      </c>
      <c r="M398" s="4" t="str">
        <f>'Form responses 1'!U400</f>
        <v>Vinesh </v>
      </c>
      <c r="N398" s="4" t="str">
        <f>'Form responses 1'!V400</f>
        <v>+91 83746 28209</v>
      </c>
      <c r="O398" s="4" t="str">
        <f>'Form responses 1'!W400</f>
        <v>avinesh363@gmail.com</v>
      </c>
      <c r="P398" s="4" t="str">
        <f>'Form responses 1'!X400</f>
        <v/>
      </c>
      <c r="Q398" s="4" t="str">
        <f>'Form responses 1'!Y400</f>
        <v/>
      </c>
      <c r="R398" s="4" t="str">
        <f>'Form responses 1'!Z400</f>
        <v/>
      </c>
      <c r="S398" s="54" t="str">
        <f>'Form responses 1'!AC400</f>
        <v>https://drive.google.com/open?id=1MLUUMknW2eGLiMy4-2efmMrFgAz1nhYH</v>
      </c>
      <c r="T398" s="4" t="str">
        <f>'Form responses 1'!AE400</f>
        <v/>
      </c>
      <c r="U398" s="54" t="str">
        <f>'Form responses 1'!AG400</f>
        <v>https://drive.google.com/open?id=1Lui1FIfU_zhdyYNbhdIUlGp6GG6Sfkc2</v>
      </c>
      <c r="V398" s="4" t="str">
        <f>'Form responses 1'!AI400</f>
        <v/>
      </c>
      <c r="W398" s="4" t="str">
        <f>'Form responses 1'!AJ400</f>
        <v/>
      </c>
      <c r="X398" s="54" t="str">
        <f>'Form responses 1'!AK400</f>
        <v>https://drive.google.com/open?id=1YV_3V66B3IfEOWAvik5kQtmn72HGp0jh</v>
      </c>
      <c r="Y398" s="4">
        <f t="shared" ref="Y398:AD398" si="397">if(S398&gt;0,1,0)</f>
        <v>1</v>
      </c>
      <c r="Z398" s="4">
        <f t="shared" si="397"/>
        <v>0</v>
      </c>
      <c r="AA398" s="4">
        <f t="shared" si="397"/>
        <v>1</v>
      </c>
      <c r="AB398" s="4">
        <f t="shared" si="397"/>
        <v>0</v>
      </c>
      <c r="AC398" s="4">
        <f t="shared" si="397"/>
        <v>0</v>
      </c>
      <c r="AD398" s="4">
        <f t="shared" si="397"/>
        <v>1</v>
      </c>
      <c r="AE398" s="4" t="str">
        <f>'Form responses 1'!AN400</f>
        <v/>
      </c>
      <c r="AF398" s="4" t="str">
        <f>'Form responses 1'!AO400</f>
        <v/>
      </c>
      <c r="AG398" s="4" t="str">
        <f>'Form responses 1'!AP400</f>
        <v/>
      </c>
      <c r="AH398" s="4" t="str">
        <f>'Form responses 1'!AQ400</f>
        <v/>
      </c>
      <c r="AI398" s="4" t="str">
        <f>'Form responses 1'!AR400</f>
        <v/>
      </c>
    </row>
    <row r="399">
      <c r="A399" s="26">
        <f>'Form responses 1'!B401</f>
        <v>46069</v>
      </c>
      <c r="B399" s="4" t="str">
        <f>'Form responses 1'!AZ401</f>
        <v>sumadhur.mummadi@capsdelivery.com</v>
      </c>
      <c r="C399" s="4" t="str">
        <f>'Form responses 1'!BR401</f>
        <v>Indira Darshini tiffins </v>
      </c>
      <c r="D399" s="4" t="str">
        <f>'Form responses 1'!AT401</f>
        <v/>
      </c>
      <c r="E399" s="4" t="str">
        <f>'Form responses 1'!AU401</f>
        <v>Yes</v>
      </c>
      <c r="F399" s="26">
        <f>'Form responses 1'!AX401</f>
        <v>46070</v>
      </c>
      <c r="G399" s="52">
        <f>'Form responses 1'!AY401</f>
        <v>0.4166666667</v>
      </c>
      <c r="H399" s="53" t="str">
        <f>'Form responses 1'!AW401</f>
        <v/>
      </c>
      <c r="I399" s="4" t="str">
        <f>'Form responses 1'!AS401</f>
        <v/>
      </c>
      <c r="J399" s="4" t="str">
        <f>'Form responses 1'!J401</f>
        <v/>
      </c>
      <c r="K399" s="4" t="str">
        <f>'Form responses 1'!G401</f>
        <v/>
      </c>
      <c r="L399" s="4" t="str">
        <f>'Form responses 1'!F401</f>
        <v/>
      </c>
      <c r="M399" s="4" t="str">
        <f>'Form responses 1'!U401</f>
        <v>P rohit </v>
      </c>
      <c r="N399" s="4">
        <f>'Form responses 1'!V401</f>
        <v>9000266581</v>
      </c>
      <c r="O399" s="4" t="str">
        <f>'Form responses 1'!W401</f>
        <v>NA </v>
      </c>
      <c r="P399" s="4" t="str">
        <f>'Form responses 1'!X401</f>
        <v/>
      </c>
      <c r="Q399" s="4" t="str">
        <f>'Form responses 1'!Y401</f>
        <v/>
      </c>
      <c r="R399" s="4" t="str">
        <f>'Form responses 1'!Z401</f>
        <v/>
      </c>
      <c r="S399" s="4" t="str">
        <f>'Form responses 1'!AC401</f>
        <v/>
      </c>
      <c r="T399" s="4" t="str">
        <f>'Form responses 1'!AE401</f>
        <v/>
      </c>
      <c r="U399" s="4" t="str">
        <f>'Form responses 1'!AG401</f>
        <v/>
      </c>
      <c r="V399" s="4" t="str">
        <f>'Form responses 1'!AI401</f>
        <v/>
      </c>
      <c r="W399" s="4" t="str">
        <f>'Form responses 1'!AJ401</f>
        <v/>
      </c>
      <c r="X399" s="4" t="str">
        <f>'Form responses 1'!AK401</f>
        <v/>
      </c>
      <c r="Y399" s="4">
        <f t="shared" ref="Y399:AD399" si="398">if(S399&gt;0,1,0)</f>
        <v>0</v>
      </c>
      <c r="Z399" s="4">
        <f t="shared" si="398"/>
        <v>0</v>
      </c>
      <c r="AA399" s="4">
        <f t="shared" si="398"/>
        <v>0</v>
      </c>
      <c r="AB399" s="4">
        <f t="shared" si="398"/>
        <v>0</v>
      </c>
      <c r="AC399" s="4">
        <f t="shared" si="398"/>
        <v>0</v>
      </c>
      <c r="AD399" s="4">
        <f t="shared" si="398"/>
        <v>0</v>
      </c>
      <c r="AE399" s="4" t="str">
        <f>'Form responses 1'!AN401</f>
        <v/>
      </c>
      <c r="AF399" s="4" t="str">
        <f>'Form responses 1'!AO401</f>
        <v/>
      </c>
      <c r="AG399" s="4" t="str">
        <f>'Form responses 1'!AP401</f>
        <v/>
      </c>
      <c r="AH399" s="4" t="str">
        <f>'Form responses 1'!AQ401</f>
        <v/>
      </c>
      <c r="AI399" s="4" t="str">
        <f>'Form responses 1'!AR401</f>
        <v/>
      </c>
    </row>
    <row r="400">
      <c r="A400" s="26">
        <f>'Form responses 1'!B402</f>
        <v>46078</v>
      </c>
      <c r="B400" s="27" t="str">
        <f>'Form responses 1'!AZ402</f>
        <v>Manisha Kumari</v>
      </c>
      <c r="C400" s="4" t="str">
        <f>'Form responses 1'!BR402</f>
        <v> Aha Dakshin Aha Dakshin Aha Dakshin</v>
      </c>
      <c r="D400" s="4" t="str">
        <f>'Form responses 1'!AT402</f>
        <v>He is on leave asked comeback on 25th for onboarding</v>
      </c>
      <c r="E400" s="4" t="str">
        <f>'Form responses 1'!AU402</f>
        <v>Yes</v>
      </c>
      <c r="F400" s="26">
        <f>'Form responses 1'!AX402</f>
        <v>46078</v>
      </c>
      <c r="G400" s="4" t="str">
        <f>'Form responses 1'!AY402</f>
        <v/>
      </c>
      <c r="H400" s="53" t="str">
        <f>'Form responses 1'!AW402</f>
        <v/>
      </c>
      <c r="I400" s="4" t="str">
        <f>'Form responses 1'!AS402</f>
        <v/>
      </c>
      <c r="J400" s="4" t="str">
        <f>'Form responses 1'!J402</f>
        <v/>
      </c>
      <c r="K400" s="4" t="str">
        <f>'Form responses 1'!G402</f>
        <v/>
      </c>
      <c r="L400" s="4" t="str">
        <f>'Form responses 1'!F402</f>
        <v/>
      </c>
      <c r="M400" s="4" t="str">
        <f>'Form responses 1'!U402</f>
        <v>Ajay </v>
      </c>
      <c r="N400" s="4" t="str">
        <f>'Form responses 1'!V402</f>
        <v>94533 15094</v>
      </c>
      <c r="O400" s="4" t="str">
        <f>'Form responses 1'!W402</f>
        <v>NA</v>
      </c>
      <c r="P400" s="4" t="str">
        <f>'Form responses 1'!X402</f>
        <v/>
      </c>
      <c r="Q400" s="4" t="str">
        <f>'Form responses 1'!Y402</f>
        <v/>
      </c>
      <c r="R400" s="4" t="str">
        <f>'Form responses 1'!Z402</f>
        <v/>
      </c>
      <c r="S400" s="4" t="str">
        <f>'Form responses 1'!AC402</f>
        <v/>
      </c>
      <c r="T400" s="4" t="str">
        <f>'Form responses 1'!AE402</f>
        <v/>
      </c>
      <c r="U400" s="4" t="str">
        <f>'Form responses 1'!AG402</f>
        <v/>
      </c>
      <c r="V400" s="4" t="str">
        <f>'Form responses 1'!AI402</f>
        <v/>
      </c>
      <c r="W400" s="4" t="str">
        <f>'Form responses 1'!AJ402</f>
        <v/>
      </c>
      <c r="X400" s="4" t="str">
        <f>'Form responses 1'!AK402</f>
        <v/>
      </c>
      <c r="Y400" s="4">
        <f t="shared" ref="Y400:AD400" si="399">if(S400&gt;0,1,0)</f>
        <v>0</v>
      </c>
      <c r="Z400" s="4">
        <f t="shared" si="399"/>
        <v>0</v>
      </c>
      <c r="AA400" s="4">
        <f t="shared" si="399"/>
        <v>0</v>
      </c>
      <c r="AB400" s="4">
        <f t="shared" si="399"/>
        <v>0</v>
      </c>
      <c r="AC400" s="4">
        <f t="shared" si="399"/>
        <v>0</v>
      </c>
      <c r="AD400" s="4">
        <f t="shared" si="399"/>
        <v>0</v>
      </c>
      <c r="AE400" s="4" t="str">
        <f>'Form responses 1'!AN402</f>
        <v/>
      </c>
      <c r="AF400" s="4" t="str">
        <f>'Form responses 1'!AO402</f>
        <v/>
      </c>
      <c r="AG400" s="4" t="str">
        <f>'Form responses 1'!AP402</f>
        <v/>
      </c>
      <c r="AH400" s="4" t="str">
        <f>'Form responses 1'!AQ402</f>
        <v/>
      </c>
      <c r="AI400" s="4" t="str">
        <f>'Form responses 1'!AR402</f>
        <v/>
      </c>
    </row>
    <row r="401">
      <c r="A401" s="26">
        <f>'Form responses 1'!B403</f>
        <v>46069</v>
      </c>
      <c r="B401" s="4" t="str">
        <f>'Form responses 1'!AZ403</f>
        <v>manisha.kumari@capsdelivery.com</v>
      </c>
      <c r="C401" s="4" t="str">
        <f>'Form responses 1'!BR403</f>
        <v>Burger KingBurger KingBurger King</v>
      </c>
      <c r="D401" s="4" t="str">
        <f>'Form responses 1'!AT403</f>
        <v>Asked to share the proposal</v>
      </c>
      <c r="E401" s="4" t="str">
        <f>'Form responses 1'!AU403</f>
        <v>Yes</v>
      </c>
      <c r="F401" s="55">
        <f>'Form responses 1'!AX403</f>
        <v>46070</v>
      </c>
      <c r="G401" s="4" t="str">
        <f>'Form responses 1'!AY403</f>
        <v/>
      </c>
      <c r="H401" s="53" t="str">
        <f>'Form responses 1'!AW403</f>
        <v/>
      </c>
      <c r="I401" s="4" t="str">
        <f>'Form responses 1'!AS403</f>
        <v/>
      </c>
      <c r="J401" s="4" t="str">
        <f>'Form responses 1'!J403</f>
        <v/>
      </c>
      <c r="K401" s="4" t="str">
        <f>'Form responses 1'!G403</f>
        <v/>
      </c>
      <c r="L401" s="4" t="str">
        <f>'Form responses 1'!F403</f>
        <v/>
      </c>
      <c r="M401" s="4" t="str">
        <f>'Form responses 1'!U403</f>
        <v>Shoukat </v>
      </c>
      <c r="N401" s="4" t="str">
        <f>'Form responses 1'!V403</f>
        <v>98498 82217</v>
      </c>
      <c r="O401" s="4" t="str">
        <f>'Form responses 1'!W403</f>
        <v>NA</v>
      </c>
      <c r="P401" s="4" t="str">
        <f>'Form responses 1'!X403</f>
        <v>Dheeraj</v>
      </c>
      <c r="Q401" s="4" t="str">
        <f>'Form responses 1'!Y403</f>
        <v>81234 01137</v>
      </c>
      <c r="R401" s="4" t="str">
        <f>'Form responses 1'!Z403</f>
        <v/>
      </c>
      <c r="S401" s="4" t="str">
        <f>'Form responses 1'!AC403</f>
        <v/>
      </c>
      <c r="T401" s="4" t="str">
        <f>'Form responses 1'!AE403</f>
        <v/>
      </c>
      <c r="U401" s="4" t="str">
        <f>'Form responses 1'!AG403</f>
        <v/>
      </c>
      <c r="V401" s="4" t="str">
        <f>'Form responses 1'!AI403</f>
        <v/>
      </c>
      <c r="W401" s="4" t="str">
        <f>'Form responses 1'!AJ403</f>
        <v/>
      </c>
      <c r="X401" s="4" t="str">
        <f>'Form responses 1'!AK403</f>
        <v/>
      </c>
      <c r="Y401" s="4">
        <f t="shared" ref="Y401:AD401" si="400">if(S401&gt;0,1,0)</f>
        <v>0</v>
      </c>
      <c r="Z401" s="4">
        <f t="shared" si="400"/>
        <v>0</v>
      </c>
      <c r="AA401" s="4">
        <f t="shared" si="400"/>
        <v>0</v>
      </c>
      <c r="AB401" s="4">
        <f t="shared" si="400"/>
        <v>0</v>
      </c>
      <c r="AC401" s="4">
        <f t="shared" si="400"/>
        <v>0</v>
      </c>
      <c r="AD401" s="4">
        <f t="shared" si="400"/>
        <v>0</v>
      </c>
      <c r="AE401" s="4" t="str">
        <f>'Form responses 1'!AN403</f>
        <v/>
      </c>
      <c r="AF401" s="4" t="str">
        <f>'Form responses 1'!AO403</f>
        <v/>
      </c>
      <c r="AG401" s="4" t="str">
        <f>'Form responses 1'!AP403</f>
        <v/>
      </c>
      <c r="AH401" s="4" t="str">
        <f>'Form responses 1'!AQ403</f>
        <v/>
      </c>
      <c r="AI401" s="4" t="str">
        <f>'Form responses 1'!AR403</f>
        <v/>
      </c>
    </row>
    <row r="402">
      <c r="A402" s="26">
        <f>'Form responses 1'!B404</f>
        <v>46069</v>
      </c>
      <c r="B402" s="4" t="str">
        <f>'Form responses 1'!AZ404</f>
        <v>manisha.kumari@capsdelivery.com</v>
      </c>
      <c r="C402" s="4" t="str">
        <f>'Form responses 1'!BR404</f>
        <v>WOW ChinaWOW ChinaWOW China</v>
      </c>
      <c r="D402" s="4" t="str">
        <f>'Form responses 1'!AT404</f>
        <v>Asked to share the proposal</v>
      </c>
      <c r="E402" s="4" t="str">
        <f>'Form responses 1'!AU404</f>
        <v>Yes</v>
      </c>
      <c r="F402" s="55">
        <f>'Form responses 1'!AX404</f>
        <v>46070</v>
      </c>
      <c r="G402" s="4" t="str">
        <f>'Form responses 1'!AY404</f>
        <v/>
      </c>
      <c r="H402" s="53" t="str">
        <f>'Form responses 1'!AW404</f>
        <v/>
      </c>
      <c r="I402" s="4" t="str">
        <f>'Form responses 1'!AS404</f>
        <v/>
      </c>
      <c r="J402" s="4" t="str">
        <f>'Form responses 1'!J404</f>
        <v/>
      </c>
      <c r="K402" s="4" t="str">
        <f>'Form responses 1'!G404</f>
        <v/>
      </c>
      <c r="L402" s="4" t="str">
        <f>'Form responses 1'!F404</f>
        <v/>
      </c>
      <c r="M402" s="4" t="str">
        <f>'Form responses 1'!U404</f>
        <v>Sudhanshu </v>
      </c>
      <c r="N402" s="4" t="str">
        <f>'Form responses 1'!V404</f>
        <v>7848-873441 </v>
      </c>
      <c r="O402" s="4" t="str">
        <f>'Form responses 1'!W404</f>
        <v>na</v>
      </c>
      <c r="P402" s="4" t="str">
        <f>'Form responses 1'!X404</f>
        <v>Faizan</v>
      </c>
      <c r="Q402" s="4" t="str">
        <f>'Form responses 1'!Y404</f>
        <v/>
      </c>
      <c r="R402" s="4" t="str">
        <f>'Form responses 1'!Z404</f>
        <v/>
      </c>
      <c r="S402" s="4" t="str">
        <f>'Form responses 1'!AC404</f>
        <v/>
      </c>
      <c r="T402" s="4" t="str">
        <f>'Form responses 1'!AE404</f>
        <v/>
      </c>
      <c r="U402" s="4" t="str">
        <f>'Form responses 1'!AG404</f>
        <v/>
      </c>
      <c r="V402" s="4" t="str">
        <f>'Form responses 1'!AI404</f>
        <v/>
      </c>
      <c r="W402" s="4" t="str">
        <f>'Form responses 1'!AJ404</f>
        <v/>
      </c>
      <c r="X402" s="4" t="str">
        <f>'Form responses 1'!AK404</f>
        <v/>
      </c>
      <c r="Y402" s="4">
        <f t="shared" ref="Y402:AD402" si="401">if(S402&gt;0,1,0)</f>
        <v>0</v>
      </c>
      <c r="Z402" s="4">
        <f t="shared" si="401"/>
        <v>0</v>
      </c>
      <c r="AA402" s="4">
        <f t="shared" si="401"/>
        <v>0</v>
      </c>
      <c r="AB402" s="4">
        <f t="shared" si="401"/>
        <v>0</v>
      </c>
      <c r="AC402" s="4">
        <f t="shared" si="401"/>
        <v>0</v>
      </c>
      <c r="AD402" s="4">
        <f t="shared" si="401"/>
        <v>0</v>
      </c>
      <c r="AE402" s="4" t="str">
        <f>'Form responses 1'!AN404</f>
        <v/>
      </c>
      <c r="AF402" s="4" t="str">
        <f>'Form responses 1'!AO404</f>
        <v/>
      </c>
      <c r="AG402" s="4" t="str">
        <f>'Form responses 1'!AP404</f>
        <v/>
      </c>
      <c r="AH402" s="4" t="str">
        <f>'Form responses 1'!AQ404</f>
        <v/>
      </c>
      <c r="AI402" s="4" t="str">
        <f>'Form responses 1'!AR404</f>
        <v/>
      </c>
    </row>
    <row r="403">
      <c r="A403" s="26">
        <f>'Form responses 1'!B405</f>
        <v>46069</v>
      </c>
      <c r="B403" s="4" t="str">
        <f>'Form responses 1'!AZ405</f>
        <v>manisha.kumari@capsdelivery.com</v>
      </c>
      <c r="C403" s="4" t="str">
        <f>'Form responses 1'!BR405</f>
        <v>The Thickshake Factory The Thickshake Factory The Thickshake Factory </v>
      </c>
      <c r="D403" s="4" t="str">
        <f>'Form responses 1'!AT405</f>
        <v>Asked to call on Thursday to check for an update (19/02/2026)</v>
      </c>
      <c r="E403" s="4" t="str">
        <f>'Form responses 1'!AU405</f>
        <v>Yes</v>
      </c>
      <c r="F403" s="55">
        <f>'Form responses 1'!AX405</f>
        <v>46072</v>
      </c>
      <c r="G403" s="4" t="str">
        <f>'Form responses 1'!AY405</f>
        <v/>
      </c>
      <c r="H403" s="53" t="str">
        <f>'Form responses 1'!AW405</f>
        <v/>
      </c>
      <c r="I403" s="4" t="str">
        <f>'Form responses 1'!AS405</f>
        <v/>
      </c>
      <c r="J403" s="4" t="str">
        <f>'Form responses 1'!J405</f>
        <v/>
      </c>
      <c r="K403" s="4" t="str">
        <f>'Form responses 1'!G405</f>
        <v/>
      </c>
      <c r="L403" s="4" t="str">
        <f>'Form responses 1'!F405</f>
        <v/>
      </c>
      <c r="M403" s="4" t="str">
        <f>'Form responses 1'!U405</f>
        <v>Muzzammil </v>
      </c>
      <c r="N403" s="4" t="str">
        <f>'Form responses 1'!V405</f>
        <v>824-7534864</v>
      </c>
      <c r="O403" s="4" t="str">
        <f>'Form responses 1'!W405</f>
        <v>NA</v>
      </c>
      <c r="P403" s="4" t="str">
        <f>'Form responses 1'!X405</f>
        <v/>
      </c>
      <c r="Q403" s="4" t="str">
        <f>'Form responses 1'!Y405</f>
        <v/>
      </c>
      <c r="R403" s="4" t="str">
        <f>'Form responses 1'!Z405</f>
        <v/>
      </c>
      <c r="S403" s="4" t="str">
        <f>'Form responses 1'!AC405</f>
        <v/>
      </c>
      <c r="T403" s="4" t="str">
        <f>'Form responses 1'!AE405</f>
        <v/>
      </c>
      <c r="U403" s="4" t="str">
        <f>'Form responses 1'!AG405</f>
        <v/>
      </c>
      <c r="V403" s="4" t="str">
        <f>'Form responses 1'!AI405</f>
        <v/>
      </c>
      <c r="W403" s="4" t="str">
        <f>'Form responses 1'!AJ405</f>
        <v/>
      </c>
      <c r="X403" s="4" t="str">
        <f>'Form responses 1'!AK405</f>
        <v/>
      </c>
      <c r="Y403" s="4">
        <f t="shared" ref="Y403:AD403" si="402">if(S403&gt;0,1,0)</f>
        <v>0</v>
      </c>
      <c r="Z403" s="4">
        <f t="shared" si="402"/>
        <v>0</v>
      </c>
      <c r="AA403" s="4">
        <f t="shared" si="402"/>
        <v>0</v>
      </c>
      <c r="AB403" s="4">
        <f t="shared" si="402"/>
        <v>0</v>
      </c>
      <c r="AC403" s="4">
        <f t="shared" si="402"/>
        <v>0</v>
      </c>
      <c r="AD403" s="4">
        <f t="shared" si="402"/>
        <v>0</v>
      </c>
      <c r="AE403" s="4" t="str">
        <f>'Form responses 1'!AN405</f>
        <v/>
      </c>
      <c r="AF403" s="4" t="str">
        <f>'Form responses 1'!AO405</f>
        <v/>
      </c>
      <c r="AG403" s="4" t="str">
        <f>'Form responses 1'!AP405</f>
        <v/>
      </c>
      <c r="AH403" s="4" t="str">
        <f>'Form responses 1'!AQ405</f>
        <v/>
      </c>
      <c r="AI403" s="4" t="str">
        <f>'Form responses 1'!AR405</f>
        <v/>
      </c>
    </row>
    <row r="404">
      <c r="A404" s="26">
        <f>'Form responses 1'!B406</f>
        <v>46069</v>
      </c>
      <c r="B404" s="4" t="str">
        <f>'Form responses 1'!AZ406</f>
        <v>ankitha.baske@capsdelivery.com</v>
      </c>
      <c r="C404" s="4" t="str">
        <f>'Form responses 1'!BR406</f>
        <v>The Spicy Express The Spicy Express </v>
      </c>
      <c r="D404" s="4" t="str">
        <f>'Form responses 1'!AT406</f>
        <v/>
      </c>
      <c r="E404" s="4" t="str">
        <f>'Form responses 1'!AU406</f>
        <v>Yes</v>
      </c>
      <c r="F404" s="26">
        <f>'Form responses 1'!AX406</f>
        <v>46070</v>
      </c>
      <c r="G404" s="52">
        <f>'Form responses 1'!AY406</f>
        <v>0.4583333333</v>
      </c>
      <c r="H404" s="53" t="str">
        <f>'Form responses 1'!AW406</f>
        <v/>
      </c>
      <c r="I404" s="4" t="str">
        <f>'Form responses 1'!AS406</f>
        <v/>
      </c>
      <c r="J404" s="4" t="str">
        <f>'Form responses 1'!J406</f>
        <v/>
      </c>
      <c r="K404" s="4" t="str">
        <f>'Form responses 1'!G406</f>
        <v/>
      </c>
      <c r="L404" s="4" t="str">
        <f>'Form responses 1'!F406</f>
        <v/>
      </c>
      <c r="M404" s="4" t="str">
        <f>'Form responses 1'!U406</f>
        <v>Balu</v>
      </c>
      <c r="N404" s="4">
        <f>'Form responses 1'!V406</f>
        <v>9059036521</v>
      </c>
      <c r="O404" s="4" t="str">
        <f>'Form responses 1'!W406</f>
        <v>NA</v>
      </c>
      <c r="P404" s="4" t="str">
        <f>'Form responses 1'!X406</f>
        <v/>
      </c>
      <c r="Q404" s="4" t="str">
        <f>'Form responses 1'!Y406</f>
        <v/>
      </c>
      <c r="R404" s="4" t="str">
        <f>'Form responses 1'!Z406</f>
        <v/>
      </c>
      <c r="S404" s="4" t="str">
        <f>'Form responses 1'!AC406</f>
        <v/>
      </c>
      <c r="T404" s="4" t="str">
        <f>'Form responses 1'!AE406</f>
        <v/>
      </c>
      <c r="U404" s="4" t="str">
        <f>'Form responses 1'!AG406</f>
        <v/>
      </c>
      <c r="V404" s="4" t="str">
        <f>'Form responses 1'!AI406</f>
        <v/>
      </c>
      <c r="W404" s="4" t="str">
        <f>'Form responses 1'!AJ406</f>
        <v/>
      </c>
      <c r="X404" s="4" t="str">
        <f>'Form responses 1'!AK406</f>
        <v/>
      </c>
      <c r="Y404" s="4">
        <f t="shared" ref="Y404:AD404" si="403">if(S404&gt;0,1,0)</f>
        <v>0</v>
      </c>
      <c r="Z404" s="4">
        <f t="shared" si="403"/>
        <v>0</v>
      </c>
      <c r="AA404" s="4">
        <f t="shared" si="403"/>
        <v>0</v>
      </c>
      <c r="AB404" s="4">
        <f t="shared" si="403"/>
        <v>0</v>
      </c>
      <c r="AC404" s="4">
        <f t="shared" si="403"/>
        <v>0</v>
      </c>
      <c r="AD404" s="4">
        <f t="shared" si="403"/>
        <v>0</v>
      </c>
      <c r="AE404" s="4" t="str">
        <f>'Form responses 1'!AN406</f>
        <v/>
      </c>
      <c r="AF404" s="4" t="str">
        <f>'Form responses 1'!AO406</f>
        <v/>
      </c>
      <c r="AG404" s="4" t="str">
        <f>'Form responses 1'!AP406</f>
        <v/>
      </c>
      <c r="AH404" s="4" t="str">
        <f>'Form responses 1'!AQ406</f>
        <v/>
      </c>
      <c r="AI404" s="4" t="str">
        <f>'Form responses 1'!AR406</f>
        <v/>
      </c>
    </row>
    <row r="405">
      <c r="A405" s="26">
        <f>'Form responses 1'!B407</f>
        <v>46069</v>
      </c>
      <c r="B405" s="4" t="str">
        <f>'Form responses 1'!AZ407</f>
        <v>manisha.kumari@capsdelivery.com</v>
      </c>
      <c r="C405" s="4" t="str">
        <f>'Form responses 1'!BR407</f>
        <v>FrankieFrankieFrankie</v>
      </c>
      <c r="D405" s="4" t="str">
        <f>'Form responses 1'!AT407</f>
        <v>He was on leave asked to call tomorrow (17/02/2026)</v>
      </c>
      <c r="E405" s="4" t="str">
        <f>'Form responses 1'!AU407</f>
        <v>Yes</v>
      </c>
      <c r="F405" s="55">
        <f>'Form responses 1'!AX407</f>
        <v>46070</v>
      </c>
      <c r="G405" s="4" t="str">
        <f>'Form responses 1'!AY407</f>
        <v/>
      </c>
      <c r="H405" s="53" t="str">
        <f>'Form responses 1'!AW407</f>
        <v/>
      </c>
      <c r="I405" s="4" t="str">
        <f>'Form responses 1'!AS407</f>
        <v/>
      </c>
      <c r="J405" s="4" t="str">
        <f>'Form responses 1'!J407</f>
        <v/>
      </c>
      <c r="K405" s="4" t="str">
        <f>'Form responses 1'!G407</f>
        <v/>
      </c>
      <c r="L405" s="4" t="str">
        <f>'Form responses 1'!F407</f>
        <v/>
      </c>
      <c r="M405" s="4" t="str">
        <f>'Form responses 1'!U407</f>
        <v>Mohan Singh</v>
      </c>
      <c r="N405" s="4" t="str">
        <f>'Form responses 1'!V407</f>
        <v>92468 78121</v>
      </c>
      <c r="O405" s="4" t="str">
        <f>'Form responses 1'!W407</f>
        <v>NA</v>
      </c>
      <c r="P405" s="4" t="str">
        <f>'Form responses 1'!X407</f>
        <v/>
      </c>
      <c r="Q405" s="4" t="str">
        <f>'Form responses 1'!Y407</f>
        <v/>
      </c>
      <c r="R405" s="4" t="str">
        <f>'Form responses 1'!Z407</f>
        <v/>
      </c>
      <c r="S405" s="4" t="str">
        <f>'Form responses 1'!AC407</f>
        <v/>
      </c>
      <c r="T405" s="4" t="str">
        <f>'Form responses 1'!AE407</f>
        <v/>
      </c>
      <c r="U405" s="4" t="str">
        <f>'Form responses 1'!AG407</f>
        <v/>
      </c>
      <c r="V405" s="4" t="str">
        <f>'Form responses 1'!AI407</f>
        <v/>
      </c>
      <c r="W405" s="4" t="str">
        <f>'Form responses 1'!AJ407</f>
        <v/>
      </c>
      <c r="X405" s="4" t="str">
        <f>'Form responses 1'!AK407</f>
        <v/>
      </c>
      <c r="Y405" s="4">
        <f t="shared" ref="Y405:AD405" si="404">if(S405&gt;0,1,0)</f>
        <v>0</v>
      </c>
      <c r="Z405" s="4">
        <f t="shared" si="404"/>
        <v>0</v>
      </c>
      <c r="AA405" s="4">
        <f t="shared" si="404"/>
        <v>0</v>
      </c>
      <c r="AB405" s="4">
        <f t="shared" si="404"/>
        <v>0</v>
      </c>
      <c r="AC405" s="4">
        <f t="shared" si="404"/>
        <v>0</v>
      </c>
      <c r="AD405" s="4">
        <f t="shared" si="404"/>
        <v>0</v>
      </c>
      <c r="AE405" s="4" t="str">
        <f>'Form responses 1'!AN407</f>
        <v/>
      </c>
      <c r="AF405" s="4" t="str">
        <f>'Form responses 1'!AO407</f>
        <v/>
      </c>
      <c r="AG405" s="4" t="str">
        <f>'Form responses 1'!AP407</f>
        <v/>
      </c>
      <c r="AH405" s="4" t="str">
        <f>'Form responses 1'!AQ407</f>
        <v/>
      </c>
      <c r="AI405" s="4" t="str">
        <f>'Form responses 1'!AR407</f>
        <v/>
      </c>
    </row>
    <row r="406">
      <c r="A406" s="26">
        <f>'Form responses 1'!B408</f>
        <v>46069</v>
      </c>
      <c r="B406" s="4" t="str">
        <f>'Form responses 1'!AZ408</f>
        <v>ankitha.baske@capsdelivery.com</v>
      </c>
      <c r="C406" s="4" t="str">
        <f>'Form responses 1'!BR408</f>
        <v>Venkees kitchen </v>
      </c>
      <c r="D406" s="4" t="str">
        <f>'Form responses 1'!AT408</f>
        <v/>
      </c>
      <c r="E406" s="4" t="str">
        <f>'Form responses 1'!AU408</f>
        <v>Yes</v>
      </c>
      <c r="F406" s="4" t="str">
        <f>'Form responses 1'!AX408</f>
        <v/>
      </c>
      <c r="G406" s="4" t="str">
        <f>'Form responses 1'!AY408</f>
        <v/>
      </c>
      <c r="H406" s="53" t="str">
        <f>'Form responses 1'!AW408</f>
        <v/>
      </c>
      <c r="I406" s="4" t="str">
        <f>'Form responses 1'!AS408</f>
        <v/>
      </c>
      <c r="J406" s="4" t="str">
        <f>'Form responses 1'!J408</f>
        <v/>
      </c>
      <c r="K406" s="4" t="str">
        <f>'Form responses 1'!G408</f>
        <v/>
      </c>
      <c r="L406" s="4" t="str">
        <f>'Form responses 1'!F408</f>
        <v/>
      </c>
      <c r="M406" s="4" t="str">
        <f>'Form responses 1'!U408</f>
        <v>Venkateswar Rao</v>
      </c>
      <c r="N406" s="4">
        <f>'Form responses 1'!V408</f>
        <v>9912013333</v>
      </c>
      <c r="O406" s="4" t="str">
        <f>'Form responses 1'!W408</f>
        <v>NA</v>
      </c>
      <c r="P406" s="4" t="str">
        <f>'Form responses 1'!X408</f>
        <v/>
      </c>
      <c r="Q406" s="4" t="str">
        <f>'Form responses 1'!Y408</f>
        <v/>
      </c>
      <c r="R406" s="4" t="str">
        <f>'Form responses 1'!Z408</f>
        <v/>
      </c>
      <c r="S406" s="4" t="str">
        <f>'Form responses 1'!AC408</f>
        <v/>
      </c>
      <c r="T406" s="4" t="str">
        <f>'Form responses 1'!AE408</f>
        <v/>
      </c>
      <c r="U406" s="4" t="str">
        <f>'Form responses 1'!AG408</f>
        <v/>
      </c>
      <c r="V406" s="4" t="str">
        <f>'Form responses 1'!AI408</f>
        <v/>
      </c>
      <c r="W406" s="4" t="str">
        <f>'Form responses 1'!AJ408</f>
        <v/>
      </c>
      <c r="X406" s="4" t="str">
        <f>'Form responses 1'!AK408</f>
        <v/>
      </c>
      <c r="Y406" s="4">
        <f t="shared" ref="Y406:AD406" si="405">if(S406&gt;0,1,0)</f>
        <v>0</v>
      </c>
      <c r="Z406" s="4">
        <f t="shared" si="405"/>
        <v>0</v>
      </c>
      <c r="AA406" s="4">
        <f t="shared" si="405"/>
        <v>0</v>
      </c>
      <c r="AB406" s="4">
        <f t="shared" si="405"/>
        <v>0</v>
      </c>
      <c r="AC406" s="4">
        <f t="shared" si="405"/>
        <v>0</v>
      </c>
      <c r="AD406" s="4">
        <f t="shared" si="405"/>
        <v>0</v>
      </c>
      <c r="AE406" s="4" t="str">
        <f>'Form responses 1'!AN408</f>
        <v/>
      </c>
      <c r="AF406" s="4" t="str">
        <f>'Form responses 1'!AO408</f>
        <v/>
      </c>
      <c r="AG406" s="4" t="str">
        <f>'Form responses 1'!AP408</f>
        <v/>
      </c>
      <c r="AH406" s="4" t="str">
        <f>'Form responses 1'!AQ408</f>
        <v/>
      </c>
      <c r="AI406" s="4" t="str">
        <f>'Form responses 1'!AR408</f>
        <v/>
      </c>
    </row>
    <row r="407">
      <c r="A407" s="26">
        <f>'Form responses 1'!B409</f>
        <v>46069</v>
      </c>
      <c r="B407" s="4" t="str">
        <f>'Form responses 1'!AZ409</f>
        <v>ankitha.baske@capsdelivery.com</v>
      </c>
      <c r="C407" s="4" t="str">
        <f>'Form responses 1'!BR409</f>
        <v>FireWater</v>
      </c>
      <c r="D407" s="4" t="str">
        <f>'Form responses 1'!AT409</f>
        <v/>
      </c>
      <c r="E407" s="4" t="str">
        <f>'Form responses 1'!AU409</f>
        <v>Yes</v>
      </c>
      <c r="F407" s="4" t="str">
        <f>'Form responses 1'!AX409</f>
        <v/>
      </c>
      <c r="G407" s="4" t="str">
        <f>'Form responses 1'!AY409</f>
        <v/>
      </c>
      <c r="H407" s="53" t="str">
        <f>'Form responses 1'!AW409</f>
        <v/>
      </c>
      <c r="I407" s="4" t="str">
        <f>'Form responses 1'!AS409</f>
        <v/>
      </c>
      <c r="J407" s="4" t="str">
        <f>'Form responses 1'!J409</f>
        <v/>
      </c>
      <c r="K407" s="4" t="str">
        <f>'Form responses 1'!G409</f>
        <v/>
      </c>
      <c r="L407" s="4" t="str">
        <f>'Form responses 1'!F409</f>
        <v/>
      </c>
      <c r="M407" s="4" t="str">
        <f>'Form responses 1'!U409</f>
        <v>Chandu</v>
      </c>
      <c r="N407" s="4">
        <f>'Form responses 1'!V409</f>
        <v>9100002909</v>
      </c>
      <c r="O407" s="4" t="str">
        <f>'Form responses 1'!W409</f>
        <v>NA</v>
      </c>
      <c r="P407" s="4" t="str">
        <f>'Form responses 1'!X409</f>
        <v/>
      </c>
      <c r="Q407" s="4" t="str">
        <f>'Form responses 1'!Y409</f>
        <v/>
      </c>
      <c r="R407" s="4" t="str">
        <f>'Form responses 1'!Z409</f>
        <v/>
      </c>
      <c r="S407" s="4" t="str">
        <f>'Form responses 1'!AC409</f>
        <v/>
      </c>
      <c r="T407" s="4" t="str">
        <f>'Form responses 1'!AE409</f>
        <v/>
      </c>
      <c r="U407" s="4" t="str">
        <f>'Form responses 1'!AG409</f>
        <v/>
      </c>
      <c r="V407" s="4" t="str">
        <f>'Form responses 1'!AI409</f>
        <v/>
      </c>
      <c r="W407" s="4" t="str">
        <f>'Form responses 1'!AJ409</f>
        <v/>
      </c>
      <c r="X407" s="4" t="str">
        <f>'Form responses 1'!AK409</f>
        <v/>
      </c>
      <c r="Y407" s="4">
        <f t="shared" ref="Y407:AD407" si="406">if(S407&gt;0,1,0)</f>
        <v>0</v>
      </c>
      <c r="Z407" s="4">
        <f t="shared" si="406"/>
        <v>0</v>
      </c>
      <c r="AA407" s="4">
        <f t="shared" si="406"/>
        <v>0</v>
      </c>
      <c r="AB407" s="4">
        <f t="shared" si="406"/>
        <v>0</v>
      </c>
      <c r="AC407" s="4">
        <f t="shared" si="406"/>
        <v>0</v>
      </c>
      <c r="AD407" s="4">
        <f t="shared" si="406"/>
        <v>0</v>
      </c>
      <c r="AE407" s="4" t="str">
        <f>'Form responses 1'!AN409</f>
        <v/>
      </c>
      <c r="AF407" s="4" t="str">
        <f>'Form responses 1'!AO409</f>
        <v/>
      </c>
      <c r="AG407" s="4" t="str">
        <f>'Form responses 1'!AP409</f>
        <v/>
      </c>
      <c r="AH407" s="4" t="str">
        <f>'Form responses 1'!AQ409</f>
        <v/>
      </c>
      <c r="AI407" s="4" t="str">
        <f>'Form responses 1'!AR409</f>
        <v/>
      </c>
    </row>
    <row r="408">
      <c r="A408" s="26">
        <f>'Form responses 1'!B410</f>
        <v>46069</v>
      </c>
      <c r="B408" s="4" t="str">
        <f>'Form responses 1'!AZ410</f>
        <v>ankitha.baske@capsdelivery.com</v>
      </c>
      <c r="C408" s="4" t="str">
        <f>'Form responses 1'!BR410</f>
        <v>Fuel Box</v>
      </c>
      <c r="D408" s="4" t="str">
        <f>'Form responses 1'!AT410</f>
        <v/>
      </c>
      <c r="E408" s="4" t="str">
        <f>'Form responses 1'!AU410</f>
        <v>Yes</v>
      </c>
      <c r="F408" s="4" t="str">
        <f>'Form responses 1'!AX410</f>
        <v/>
      </c>
      <c r="G408" s="4" t="str">
        <f>'Form responses 1'!AY410</f>
        <v/>
      </c>
      <c r="H408" s="53" t="str">
        <f>'Form responses 1'!AW410</f>
        <v/>
      </c>
      <c r="I408" s="4" t="str">
        <f>'Form responses 1'!AS410</f>
        <v/>
      </c>
      <c r="J408" s="4" t="str">
        <f>'Form responses 1'!J410</f>
        <v/>
      </c>
      <c r="K408" s="4" t="str">
        <f>'Form responses 1'!G410</f>
        <v/>
      </c>
      <c r="L408" s="4" t="str">
        <f>'Form responses 1'!F410</f>
        <v/>
      </c>
      <c r="M408" s="4" t="str">
        <f>'Form responses 1'!U410</f>
        <v>Mahesh</v>
      </c>
      <c r="N408" s="4">
        <f>'Form responses 1'!V410</f>
        <v>8790606524</v>
      </c>
      <c r="O408" s="4" t="str">
        <f>'Form responses 1'!W410</f>
        <v>NA</v>
      </c>
      <c r="P408" s="4" t="str">
        <f>'Form responses 1'!X410</f>
        <v/>
      </c>
      <c r="Q408" s="4" t="str">
        <f>'Form responses 1'!Y410</f>
        <v/>
      </c>
      <c r="R408" s="4" t="str">
        <f>'Form responses 1'!Z410</f>
        <v/>
      </c>
      <c r="S408" s="4" t="str">
        <f>'Form responses 1'!AC410</f>
        <v/>
      </c>
      <c r="T408" s="4" t="str">
        <f>'Form responses 1'!AE410</f>
        <v/>
      </c>
      <c r="U408" s="4" t="str">
        <f>'Form responses 1'!AG410</f>
        <v/>
      </c>
      <c r="V408" s="4" t="str">
        <f>'Form responses 1'!AI410</f>
        <v/>
      </c>
      <c r="W408" s="4" t="str">
        <f>'Form responses 1'!AJ410</f>
        <v/>
      </c>
      <c r="X408" s="4" t="str">
        <f>'Form responses 1'!AK410</f>
        <v/>
      </c>
      <c r="Y408" s="4">
        <f t="shared" ref="Y408:AD408" si="407">if(S408&gt;0,1,0)</f>
        <v>0</v>
      </c>
      <c r="Z408" s="4">
        <f t="shared" si="407"/>
        <v>0</v>
      </c>
      <c r="AA408" s="4">
        <f t="shared" si="407"/>
        <v>0</v>
      </c>
      <c r="AB408" s="4">
        <f t="shared" si="407"/>
        <v>0</v>
      </c>
      <c r="AC408" s="4">
        <f t="shared" si="407"/>
        <v>0</v>
      </c>
      <c r="AD408" s="4">
        <f t="shared" si="407"/>
        <v>0</v>
      </c>
      <c r="AE408" s="4" t="str">
        <f>'Form responses 1'!AN410</f>
        <v/>
      </c>
      <c r="AF408" s="4" t="str">
        <f>'Form responses 1'!AO410</f>
        <v/>
      </c>
      <c r="AG408" s="4" t="str">
        <f>'Form responses 1'!AP410</f>
        <v/>
      </c>
      <c r="AH408" s="4" t="str">
        <f>'Form responses 1'!AQ410</f>
        <v/>
      </c>
      <c r="AI408" s="4" t="str">
        <f>'Form responses 1'!AR410</f>
        <v/>
      </c>
    </row>
    <row r="409">
      <c r="A409" s="26">
        <f>'Form responses 1'!B411</f>
        <v>46069</v>
      </c>
      <c r="B409" s="4" t="str">
        <f>'Form responses 1'!AZ411</f>
        <v>manisha.kumari@capsdelivery.com</v>
      </c>
      <c r="C409" s="4" t="str">
        <f>'Form responses 1'!BR411</f>
        <v>Khaan SaabKhaan SaabKhaan Saab</v>
      </c>
      <c r="D409" s="4" t="str">
        <f>'Form responses 1'!AT411</f>
        <v>Tried calling but he disconnected the call. Will calling him tomorrow (17/02/2026)</v>
      </c>
      <c r="E409" s="4" t="str">
        <f>'Form responses 1'!AU411</f>
        <v>Yes</v>
      </c>
      <c r="F409" s="55">
        <f>'Form responses 1'!AX411</f>
        <v>46070</v>
      </c>
      <c r="G409" s="4" t="str">
        <f>'Form responses 1'!AY411</f>
        <v/>
      </c>
      <c r="H409" s="53" t="str">
        <f>'Form responses 1'!AW411</f>
        <v/>
      </c>
      <c r="I409" s="4" t="str">
        <f>'Form responses 1'!AS411</f>
        <v/>
      </c>
      <c r="J409" s="4" t="str">
        <f>'Form responses 1'!J411</f>
        <v/>
      </c>
      <c r="K409" s="4" t="str">
        <f>'Form responses 1'!G411</f>
        <v/>
      </c>
      <c r="L409" s="4" t="str">
        <f>'Form responses 1'!F411</f>
        <v/>
      </c>
      <c r="M409" s="4" t="str">
        <f>'Form responses 1'!U411</f>
        <v> Yashwant sai</v>
      </c>
      <c r="N409" s="4" t="str">
        <f>'Form responses 1'!V411</f>
        <v>NA</v>
      </c>
      <c r="O409" s="4" t="str">
        <f>'Form responses 1'!W411</f>
        <v>NA</v>
      </c>
      <c r="P409" s="4" t="str">
        <f>'Form responses 1'!X411</f>
        <v/>
      </c>
      <c r="Q409" s="4" t="str">
        <f>'Form responses 1'!Y411</f>
        <v/>
      </c>
      <c r="R409" s="4" t="str">
        <f>'Form responses 1'!Z411</f>
        <v/>
      </c>
      <c r="S409" s="4" t="str">
        <f>'Form responses 1'!AC411</f>
        <v/>
      </c>
      <c r="T409" s="4" t="str">
        <f>'Form responses 1'!AE411</f>
        <v/>
      </c>
      <c r="U409" s="4" t="str">
        <f>'Form responses 1'!AG411</f>
        <v/>
      </c>
      <c r="V409" s="4" t="str">
        <f>'Form responses 1'!AI411</f>
        <v/>
      </c>
      <c r="W409" s="4" t="str">
        <f>'Form responses 1'!AJ411</f>
        <v/>
      </c>
      <c r="X409" s="4" t="str">
        <f>'Form responses 1'!AK411</f>
        <v/>
      </c>
      <c r="Y409" s="4">
        <f t="shared" ref="Y409:AD409" si="408">if(S409&gt;0,1,0)</f>
        <v>0</v>
      </c>
      <c r="Z409" s="4">
        <f t="shared" si="408"/>
        <v>0</v>
      </c>
      <c r="AA409" s="4">
        <f t="shared" si="408"/>
        <v>0</v>
      </c>
      <c r="AB409" s="4">
        <f t="shared" si="408"/>
        <v>0</v>
      </c>
      <c r="AC409" s="4">
        <f t="shared" si="408"/>
        <v>0</v>
      </c>
      <c r="AD409" s="4">
        <f t="shared" si="408"/>
        <v>0</v>
      </c>
      <c r="AE409" s="4" t="str">
        <f>'Form responses 1'!AN411</f>
        <v/>
      </c>
      <c r="AF409" s="4" t="str">
        <f>'Form responses 1'!AO411</f>
        <v/>
      </c>
      <c r="AG409" s="4" t="str">
        <f>'Form responses 1'!AP411</f>
        <v/>
      </c>
      <c r="AH409" s="4" t="str">
        <f>'Form responses 1'!AQ411</f>
        <v/>
      </c>
      <c r="AI409" s="4" t="str">
        <f>'Form responses 1'!AR411</f>
        <v/>
      </c>
    </row>
    <row r="410">
      <c r="A410" s="26">
        <f>'Form responses 1'!B412</f>
        <v>46069</v>
      </c>
      <c r="B410" s="4" t="str">
        <f>'Form responses 1'!AZ412</f>
        <v>manisha.kumari@capsdelivery.com</v>
      </c>
      <c r="C410" s="4" t="str">
        <f>'Form responses 1'!BR412</f>
        <v>Chai point Chai point Chai point </v>
      </c>
      <c r="D410" s="4" t="str">
        <f>'Form responses 1'!AT412</f>
        <v>Manager did not answer the call, however will try again tomorrow (17/02/2026)</v>
      </c>
      <c r="E410" s="4" t="str">
        <f>'Form responses 1'!AU412</f>
        <v>Yes</v>
      </c>
      <c r="F410" s="55">
        <f>'Form responses 1'!AX412</f>
        <v>46070</v>
      </c>
      <c r="G410" s="4" t="str">
        <f>'Form responses 1'!AY412</f>
        <v/>
      </c>
      <c r="H410" s="53" t="str">
        <f>'Form responses 1'!AW412</f>
        <v/>
      </c>
      <c r="I410" s="4" t="str">
        <f>'Form responses 1'!AS412</f>
        <v/>
      </c>
      <c r="J410" s="4" t="str">
        <f>'Form responses 1'!J412</f>
        <v/>
      </c>
      <c r="K410" s="4" t="str">
        <f>'Form responses 1'!G412</f>
        <v/>
      </c>
      <c r="L410" s="4" t="str">
        <f>'Form responses 1'!F412</f>
        <v/>
      </c>
      <c r="M410" s="4" t="str">
        <f>'Form responses 1'!U412</f>
        <v>Rakesh </v>
      </c>
      <c r="N410" s="4" t="str">
        <f>'Form responses 1'!V412</f>
        <v>91827 69806</v>
      </c>
      <c r="O410" s="4" t="str">
        <f>'Form responses 1'!W412</f>
        <v>NA</v>
      </c>
      <c r="P410" s="4" t="str">
        <f>'Form responses 1'!X412</f>
        <v/>
      </c>
      <c r="Q410" s="4" t="str">
        <f>'Form responses 1'!Y412</f>
        <v/>
      </c>
      <c r="R410" s="4" t="str">
        <f>'Form responses 1'!Z412</f>
        <v/>
      </c>
      <c r="S410" s="4" t="str">
        <f>'Form responses 1'!AC412</f>
        <v/>
      </c>
      <c r="T410" s="4" t="str">
        <f>'Form responses 1'!AE412</f>
        <v/>
      </c>
      <c r="U410" s="4" t="str">
        <f>'Form responses 1'!AG412</f>
        <v/>
      </c>
      <c r="V410" s="4" t="str">
        <f>'Form responses 1'!AI412</f>
        <v/>
      </c>
      <c r="W410" s="4" t="str">
        <f>'Form responses 1'!AJ412</f>
        <v/>
      </c>
      <c r="X410" s="4" t="str">
        <f>'Form responses 1'!AK412</f>
        <v/>
      </c>
      <c r="Y410" s="4">
        <f t="shared" ref="Y410:AD410" si="409">if(S410&gt;0,1,0)</f>
        <v>0</v>
      </c>
      <c r="Z410" s="4">
        <f t="shared" si="409"/>
        <v>0</v>
      </c>
      <c r="AA410" s="4">
        <f t="shared" si="409"/>
        <v>0</v>
      </c>
      <c r="AB410" s="4">
        <f t="shared" si="409"/>
        <v>0</v>
      </c>
      <c r="AC410" s="4">
        <f t="shared" si="409"/>
        <v>0</v>
      </c>
      <c r="AD410" s="4">
        <f t="shared" si="409"/>
        <v>0</v>
      </c>
      <c r="AE410" s="4" t="str">
        <f>'Form responses 1'!AN412</f>
        <v/>
      </c>
      <c r="AF410" s="4" t="str">
        <f>'Form responses 1'!AO412</f>
        <v/>
      </c>
      <c r="AG410" s="4" t="str">
        <f>'Form responses 1'!AP412</f>
        <v/>
      </c>
      <c r="AH410" s="4" t="str">
        <f>'Form responses 1'!AQ412</f>
        <v/>
      </c>
      <c r="AI410" s="4" t="str">
        <f>'Form responses 1'!AR412</f>
        <v/>
      </c>
    </row>
    <row r="411">
      <c r="A411" s="26">
        <f>'Form responses 1'!B413</f>
        <v>46069</v>
      </c>
      <c r="B411" s="4" t="str">
        <f>'Form responses 1'!AZ413</f>
        <v>manisha.kumari@capsdelivery.com</v>
      </c>
      <c r="C411" s="4" t="str">
        <f>'Form responses 1'!BR413</f>
        <v>Onesta Onesta Onesta </v>
      </c>
      <c r="D411" s="4" t="str">
        <f>'Form responses 1'!AT413</f>
        <v>Tried calling him but no response, will follow up tomorrow (17/02/2026)</v>
      </c>
      <c r="E411" s="4" t="str">
        <f>'Form responses 1'!AU413</f>
        <v>Yes</v>
      </c>
      <c r="F411" s="55">
        <f>'Form responses 1'!AX413</f>
        <v>46072</v>
      </c>
      <c r="G411" s="4" t="str">
        <f>'Form responses 1'!AY413</f>
        <v/>
      </c>
      <c r="H411" s="53" t="str">
        <f>'Form responses 1'!AW413</f>
        <v/>
      </c>
      <c r="I411" s="4" t="str">
        <f>'Form responses 1'!AS413</f>
        <v/>
      </c>
      <c r="J411" s="4" t="str">
        <f>'Form responses 1'!J413</f>
        <v/>
      </c>
      <c r="K411" s="4" t="str">
        <f>'Form responses 1'!G413</f>
        <v/>
      </c>
      <c r="L411" s="4" t="str">
        <f>'Form responses 1'!F413</f>
        <v/>
      </c>
      <c r="M411" s="4" t="str">
        <f>'Form responses 1'!U413</f>
        <v>syed </v>
      </c>
      <c r="N411" s="4" t="str">
        <f>'Form responses 1'!V413</f>
        <v>761-8754404</v>
      </c>
      <c r="O411" s="4" t="str">
        <f>'Form responses 1'!W413</f>
        <v>NA</v>
      </c>
      <c r="P411" s="4" t="str">
        <f>'Form responses 1'!X413</f>
        <v/>
      </c>
      <c r="Q411" s="4" t="str">
        <f>'Form responses 1'!Y413</f>
        <v/>
      </c>
      <c r="R411" s="4" t="str">
        <f>'Form responses 1'!Z413</f>
        <v/>
      </c>
      <c r="S411" s="4" t="str">
        <f>'Form responses 1'!AC413</f>
        <v/>
      </c>
      <c r="T411" s="4" t="str">
        <f>'Form responses 1'!AE413</f>
        <v/>
      </c>
      <c r="U411" s="4" t="str">
        <f>'Form responses 1'!AG413</f>
        <v/>
      </c>
      <c r="V411" s="4" t="str">
        <f>'Form responses 1'!AI413</f>
        <v/>
      </c>
      <c r="W411" s="4" t="str">
        <f>'Form responses 1'!AJ413</f>
        <v/>
      </c>
      <c r="X411" s="4" t="str">
        <f>'Form responses 1'!AK413</f>
        <v/>
      </c>
      <c r="Y411" s="4">
        <f t="shared" ref="Y411:AD411" si="410">if(S411&gt;0,1,0)</f>
        <v>0</v>
      </c>
      <c r="Z411" s="4">
        <f t="shared" si="410"/>
        <v>0</v>
      </c>
      <c r="AA411" s="4">
        <f t="shared" si="410"/>
        <v>0</v>
      </c>
      <c r="AB411" s="4">
        <f t="shared" si="410"/>
        <v>0</v>
      </c>
      <c r="AC411" s="4">
        <f t="shared" si="410"/>
        <v>0</v>
      </c>
      <c r="AD411" s="4">
        <f t="shared" si="410"/>
        <v>0</v>
      </c>
      <c r="AE411" s="4" t="str">
        <f>'Form responses 1'!AN413</f>
        <v/>
      </c>
      <c r="AF411" s="4" t="str">
        <f>'Form responses 1'!AO413</f>
        <v/>
      </c>
      <c r="AG411" s="4" t="str">
        <f>'Form responses 1'!AP413</f>
        <v/>
      </c>
      <c r="AH411" s="4" t="str">
        <f>'Form responses 1'!AQ413</f>
        <v/>
      </c>
      <c r="AI411" s="4" t="str">
        <f>'Form responses 1'!AR413</f>
        <v/>
      </c>
    </row>
    <row r="412">
      <c r="A412" s="26">
        <f>'Form responses 1'!B414</f>
        <v>46069</v>
      </c>
      <c r="B412" s="4" t="str">
        <f>'Form responses 1'!AZ414</f>
        <v>nitya.akshara@capsdelivery.com</v>
      </c>
      <c r="C412" s="4" t="str">
        <f>'Form responses 1'!BR414</f>
        <v>Sweet Basket</v>
      </c>
      <c r="D412" s="4" t="str">
        <f>'Form responses 1'!AT414</f>
        <v/>
      </c>
      <c r="E412" s="4" t="str">
        <f>'Form responses 1'!AU414</f>
        <v>Yes</v>
      </c>
      <c r="F412" s="4" t="str">
        <f>'Form responses 1'!AX414</f>
        <v/>
      </c>
      <c r="G412" s="4" t="str">
        <f>'Form responses 1'!AY414</f>
        <v/>
      </c>
      <c r="H412" s="53" t="str">
        <f>'Form responses 1'!AW414</f>
        <v/>
      </c>
      <c r="I412" s="4" t="str">
        <f>'Form responses 1'!AS414</f>
        <v/>
      </c>
      <c r="J412" s="4" t="str">
        <f>'Form responses 1'!J414</f>
        <v/>
      </c>
      <c r="K412" s="4" t="str">
        <f>'Form responses 1'!G414</f>
        <v/>
      </c>
      <c r="L412" s="4" t="str">
        <f>'Form responses 1'!F414</f>
        <v/>
      </c>
      <c r="M412" s="4" t="str">
        <f>'Form responses 1'!U414</f>
        <v>NA</v>
      </c>
      <c r="N412" s="4">
        <f>'Form responses 1'!V414</f>
        <v>9381014399</v>
      </c>
      <c r="O412" s="4" t="str">
        <f>'Form responses 1'!W414</f>
        <v>NA</v>
      </c>
      <c r="P412" s="4" t="str">
        <f>'Form responses 1'!X414</f>
        <v/>
      </c>
      <c r="Q412" s="4" t="str">
        <f>'Form responses 1'!Y414</f>
        <v/>
      </c>
      <c r="R412" s="4" t="str">
        <f>'Form responses 1'!Z414</f>
        <v/>
      </c>
      <c r="S412" s="4" t="str">
        <f>'Form responses 1'!AC414</f>
        <v/>
      </c>
      <c r="T412" s="4" t="str">
        <f>'Form responses 1'!AE414</f>
        <v/>
      </c>
      <c r="U412" s="4" t="str">
        <f>'Form responses 1'!AG414</f>
        <v/>
      </c>
      <c r="V412" s="4" t="str">
        <f>'Form responses 1'!AI414</f>
        <v/>
      </c>
      <c r="W412" s="4" t="str">
        <f>'Form responses 1'!AJ414</f>
        <v/>
      </c>
      <c r="X412" s="4" t="str">
        <f>'Form responses 1'!AK414</f>
        <v/>
      </c>
      <c r="Y412" s="4">
        <f t="shared" ref="Y412:AD412" si="411">if(S412&gt;0,1,0)</f>
        <v>0</v>
      </c>
      <c r="Z412" s="4">
        <f t="shared" si="411"/>
        <v>0</v>
      </c>
      <c r="AA412" s="4">
        <f t="shared" si="411"/>
        <v>0</v>
      </c>
      <c r="AB412" s="4">
        <f t="shared" si="411"/>
        <v>0</v>
      </c>
      <c r="AC412" s="4">
        <f t="shared" si="411"/>
        <v>0</v>
      </c>
      <c r="AD412" s="4">
        <f t="shared" si="411"/>
        <v>0</v>
      </c>
      <c r="AE412" s="4" t="str">
        <f>'Form responses 1'!AN414</f>
        <v/>
      </c>
      <c r="AF412" s="4" t="str">
        <f>'Form responses 1'!AO414</f>
        <v/>
      </c>
      <c r="AG412" s="4" t="str">
        <f>'Form responses 1'!AP414</f>
        <v/>
      </c>
      <c r="AH412" s="4" t="str">
        <f>'Form responses 1'!AQ414</f>
        <v/>
      </c>
      <c r="AI412" s="4" t="str">
        <f>'Form responses 1'!AR414</f>
        <v/>
      </c>
    </row>
    <row r="413">
      <c r="A413" s="26">
        <f>'Form responses 1'!B415</f>
        <v>46069</v>
      </c>
      <c r="B413" s="4" t="str">
        <f>'Form responses 1'!AZ415</f>
        <v>nitya.akshara@capsdelivery.com</v>
      </c>
      <c r="C413" s="4" t="str">
        <f>'Form responses 1'!BR415</f>
        <v>Agra Sweets </v>
      </c>
      <c r="D413" s="4" t="str">
        <f>'Form responses 1'!AT415</f>
        <v/>
      </c>
      <c r="E413" s="4" t="str">
        <f>'Form responses 1'!AU415</f>
        <v>Yes</v>
      </c>
      <c r="F413" s="4" t="str">
        <f>'Form responses 1'!AX415</f>
        <v/>
      </c>
      <c r="G413" s="4" t="str">
        <f>'Form responses 1'!AY415</f>
        <v/>
      </c>
      <c r="H413" s="53" t="str">
        <f>'Form responses 1'!AW415</f>
        <v/>
      </c>
      <c r="I413" s="4" t="str">
        <f>'Form responses 1'!AS415</f>
        <v/>
      </c>
      <c r="J413" s="4" t="str">
        <f>'Form responses 1'!J415</f>
        <v/>
      </c>
      <c r="K413" s="4" t="str">
        <f>'Form responses 1'!G415</f>
        <v/>
      </c>
      <c r="L413" s="4" t="str">
        <f>'Form responses 1'!F415</f>
        <v/>
      </c>
      <c r="M413" s="4" t="str">
        <f>'Form responses 1'!U415</f>
        <v>Suraj </v>
      </c>
      <c r="N413" s="4" t="str">
        <f>'Form responses 1'!V415</f>
        <v>90003 43427</v>
      </c>
      <c r="O413" s="4" t="str">
        <f>'Form responses 1'!W415</f>
        <v>NA</v>
      </c>
      <c r="P413" s="4" t="str">
        <f>'Form responses 1'!X415</f>
        <v/>
      </c>
      <c r="Q413" s="4" t="str">
        <f>'Form responses 1'!Y415</f>
        <v/>
      </c>
      <c r="R413" s="4" t="str">
        <f>'Form responses 1'!Z415</f>
        <v/>
      </c>
      <c r="S413" s="4" t="str">
        <f>'Form responses 1'!AC415</f>
        <v/>
      </c>
      <c r="T413" s="4" t="str">
        <f>'Form responses 1'!AE415</f>
        <v/>
      </c>
      <c r="U413" s="4" t="str">
        <f>'Form responses 1'!AG415</f>
        <v/>
      </c>
      <c r="V413" s="4" t="str">
        <f>'Form responses 1'!AI415</f>
        <v/>
      </c>
      <c r="W413" s="4" t="str">
        <f>'Form responses 1'!AJ415</f>
        <v/>
      </c>
      <c r="X413" s="4" t="str">
        <f>'Form responses 1'!AK415</f>
        <v/>
      </c>
      <c r="Y413" s="4">
        <f t="shared" ref="Y413:AD413" si="412">if(S413&gt;0,1,0)</f>
        <v>0</v>
      </c>
      <c r="Z413" s="4">
        <f t="shared" si="412"/>
        <v>0</v>
      </c>
      <c r="AA413" s="4">
        <f t="shared" si="412"/>
        <v>0</v>
      </c>
      <c r="AB413" s="4">
        <f t="shared" si="412"/>
        <v>0</v>
      </c>
      <c r="AC413" s="4">
        <f t="shared" si="412"/>
        <v>0</v>
      </c>
      <c r="AD413" s="4">
        <f t="shared" si="412"/>
        <v>0</v>
      </c>
      <c r="AE413" s="4" t="str">
        <f>'Form responses 1'!AN415</f>
        <v/>
      </c>
      <c r="AF413" s="4" t="str">
        <f>'Form responses 1'!AO415</f>
        <v/>
      </c>
      <c r="AG413" s="4" t="str">
        <f>'Form responses 1'!AP415</f>
        <v/>
      </c>
      <c r="AH413" s="4" t="str">
        <f>'Form responses 1'!AQ415</f>
        <v/>
      </c>
      <c r="AI413" s="4" t="str">
        <f>'Form responses 1'!AR415</f>
        <v/>
      </c>
    </row>
    <row r="414">
      <c r="A414" s="26">
        <f>'Form responses 1'!B416</f>
        <v>46069</v>
      </c>
      <c r="B414" s="4" t="str">
        <f>'Form responses 1'!AZ416</f>
        <v>nitya.akshara@capsdelivery.com</v>
      </c>
      <c r="C414" s="4" t="str">
        <f>'Form responses 1'!BR416</f>
        <v>Machili Patnam </v>
      </c>
      <c r="D414" s="4" t="str">
        <f>'Form responses 1'!AT416</f>
        <v/>
      </c>
      <c r="E414" s="4" t="str">
        <f>'Form responses 1'!AU416</f>
        <v>Yes</v>
      </c>
      <c r="F414" s="26">
        <f>'Form responses 1'!AX416</f>
        <v>46070</v>
      </c>
      <c r="G414" s="4" t="str">
        <f>'Form responses 1'!AY416</f>
        <v/>
      </c>
      <c r="H414" s="53" t="str">
        <f>'Form responses 1'!AW416</f>
        <v/>
      </c>
      <c r="I414" s="4" t="str">
        <f>'Form responses 1'!AS416</f>
        <v/>
      </c>
      <c r="J414" s="4" t="str">
        <f>'Form responses 1'!J416</f>
        <v/>
      </c>
      <c r="K414" s="4" t="str">
        <f>'Form responses 1'!G416</f>
        <v/>
      </c>
      <c r="L414" s="4" t="str">
        <f>'Form responses 1'!F416</f>
        <v/>
      </c>
      <c r="M414" s="4" t="str">
        <f>'Form responses 1'!U416</f>
        <v>Srinivas Reddy </v>
      </c>
      <c r="N414" s="4" t="str">
        <f>'Form responses 1'!V416</f>
        <v>97804 55455</v>
      </c>
      <c r="O414" s="4" t="str">
        <f>'Form responses 1'!W416</f>
        <v>NA</v>
      </c>
      <c r="P414" s="4" t="str">
        <f>'Form responses 1'!X416</f>
        <v/>
      </c>
      <c r="Q414" s="4" t="str">
        <f>'Form responses 1'!Y416</f>
        <v/>
      </c>
      <c r="R414" s="4" t="str">
        <f>'Form responses 1'!Z416</f>
        <v/>
      </c>
      <c r="S414" s="4" t="str">
        <f>'Form responses 1'!AC416</f>
        <v/>
      </c>
      <c r="T414" s="4" t="str">
        <f>'Form responses 1'!AE416</f>
        <v/>
      </c>
      <c r="U414" s="4" t="str">
        <f>'Form responses 1'!AG416</f>
        <v/>
      </c>
      <c r="V414" s="4" t="str">
        <f>'Form responses 1'!AI416</f>
        <v/>
      </c>
      <c r="W414" s="4" t="str">
        <f>'Form responses 1'!AJ416</f>
        <v/>
      </c>
      <c r="X414" s="4" t="str">
        <f>'Form responses 1'!AK416</f>
        <v/>
      </c>
      <c r="Y414" s="4">
        <f t="shared" ref="Y414:AD414" si="413">if(S414&gt;0,1,0)</f>
        <v>0</v>
      </c>
      <c r="Z414" s="4">
        <f t="shared" si="413"/>
        <v>0</v>
      </c>
      <c r="AA414" s="4">
        <f t="shared" si="413"/>
        <v>0</v>
      </c>
      <c r="AB414" s="4">
        <f t="shared" si="413"/>
        <v>0</v>
      </c>
      <c r="AC414" s="4">
        <f t="shared" si="413"/>
        <v>0</v>
      </c>
      <c r="AD414" s="4">
        <f t="shared" si="413"/>
        <v>0</v>
      </c>
      <c r="AE414" s="4" t="str">
        <f>'Form responses 1'!AN416</f>
        <v/>
      </c>
      <c r="AF414" s="4" t="str">
        <f>'Form responses 1'!AO416</f>
        <v/>
      </c>
      <c r="AG414" s="4" t="str">
        <f>'Form responses 1'!AP416</f>
        <v/>
      </c>
      <c r="AH414" s="4" t="str">
        <f>'Form responses 1'!AQ416</f>
        <v/>
      </c>
      <c r="AI414" s="4" t="str">
        <f>'Form responses 1'!AR416</f>
        <v/>
      </c>
    </row>
    <row r="415">
      <c r="A415" s="26">
        <f>'Form responses 1'!B417</f>
        <v>46069</v>
      </c>
      <c r="B415" s="4" t="str">
        <f>'Form responses 1'!AZ417</f>
        <v>nitya.akshara@capsdelivery.com</v>
      </c>
      <c r="C415" s="4" t="str">
        <f>'Form responses 1'!BR417</f>
        <v>Big Byte </v>
      </c>
      <c r="D415" s="4" t="str">
        <f>'Form responses 1'!AT417</f>
        <v/>
      </c>
      <c r="E415" s="4" t="str">
        <f>'Form responses 1'!AU417</f>
        <v>Yes</v>
      </c>
      <c r="F415" s="26">
        <f>'Form responses 1'!AX417</f>
        <v>46070</v>
      </c>
      <c r="G415" s="4" t="str">
        <f>'Form responses 1'!AY417</f>
        <v/>
      </c>
      <c r="H415" s="53" t="str">
        <f>'Form responses 1'!AW417</f>
        <v/>
      </c>
      <c r="I415" s="4" t="str">
        <f>'Form responses 1'!AS417</f>
        <v/>
      </c>
      <c r="J415" s="4" t="str">
        <f>'Form responses 1'!J417</f>
        <v/>
      </c>
      <c r="K415" s="4" t="str">
        <f>'Form responses 1'!G417</f>
        <v/>
      </c>
      <c r="L415" s="4" t="str">
        <f>'Form responses 1'!F417</f>
        <v/>
      </c>
      <c r="M415" s="4" t="str">
        <f>'Form responses 1'!U417</f>
        <v>Charan </v>
      </c>
      <c r="N415" s="4" t="str">
        <f>'Form responses 1'!V417</f>
        <v>93907 32422</v>
      </c>
      <c r="O415" s="4" t="str">
        <f>'Form responses 1'!W417</f>
        <v>NA</v>
      </c>
      <c r="P415" s="4" t="str">
        <f>'Form responses 1'!X417</f>
        <v/>
      </c>
      <c r="Q415" s="4" t="str">
        <f>'Form responses 1'!Y417</f>
        <v/>
      </c>
      <c r="R415" s="4" t="str">
        <f>'Form responses 1'!Z417</f>
        <v/>
      </c>
      <c r="S415" s="4" t="str">
        <f>'Form responses 1'!AC417</f>
        <v/>
      </c>
      <c r="T415" s="4" t="str">
        <f>'Form responses 1'!AE417</f>
        <v/>
      </c>
      <c r="U415" s="4" t="str">
        <f>'Form responses 1'!AG417</f>
        <v/>
      </c>
      <c r="V415" s="4" t="str">
        <f>'Form responses 1'!AI417</f>
        <v/>
      </c>
      <c r="W415" s="4" t="str">
        <f>'Form responses 1'!AJ417</f>
        <v/>
      </c>
      <c r="X415" s="4" t="str">
        <f>'Form responses 1'!AK417</f>
        <v/>
      </c>
      <c r="Y415" s="4">
        <f t="shared" ref="Y415:AD415" si="414">if(S415&gt;0,1,0)</f>
        <v>0</v>
      </c>
      <c r="Z415" s="4">
        <f t="shared" si="414"/>
        <v>0</v>
      </c>
      <c r="AA415" s="4">
        <f t="shared" si="414"/>
        <v>0</v>
      </c>
      <c r="AB415" s="4">
        <f t="shared" si="414"/>
        <v>0</v>
      </c>
      <c r="AC415" s="4">
        <f t="shared" si="414"/>
        <v>0</v>
      </c>
      <c r="AD415" s="4">
        <f t="shared" si="414"/>
        <v>0</v>
      </c>
      <c r="AE415" s="4" t="str">
        <f>'Form responses 1'!AN417</f>
        <v/>
      </c>
      <c r="AF415" s="4" t="str">
        <f>'Form responses 1'!AO417</f>
        <v/>
      </c>
      <c r="AG415" s="4" t="str">
        <f>'Form responses 1'!AP417</f>
        <v/>
      </c>
      <c r="AH415" s="4" t="str">
        <f>'Form responses 1'!AQ417</f>
        <v/>
      </c>
      <c r="AI415" s="4" t="str">
        <f>'Form responses 1'!AR417</f>
        <v/>
      </c>
    </row>
    <row r="416">
      <c r="A416" s="26">
        <f>'Form responses 1'!B418</f>
        <v>46069</v>
      </c>
      <c r="B416" s="4" t="str">
        <f>'Form responses 1'!AZ418</f>
        <v>nitya.akshara@capsdelivery.com</v>
      </c>
      <c r="C416" s="4" t="str">
        <f>'Form responses 1'!BR418</f>
        <v>Amy’s cafe </v>
      </c>
      <c r="D416" s="4" t="str">
        <f>'Form responses 1'!AT418</f>
        <v/>
      </c>
      <c r="E416" s="4" t="str">
        <f>'Form responses 1'!AU418</f>
        <v>Yes</v>
      </c>
      <c r="F416" s="26">
        <f>'Form responses 1'!AX418</f>
        <v>46070</v>
      </c>
      <c r="G416" s="4" t="str">
        <f>'Form responses 1'!AY418</f>
        <v/>
      </c>
      <c r="H416" s="53" t="str">
        <f>'Form responses 1'!AW418</f>
        <v/>
      </c>
      <c r="I416" s="4" t="str">
        <f>'Form responses 1'!AS418</f>
        <v/>
      </c>
      <c r="J416" s="4" t="str">
        <f>'Form responses 1'!J418</f>
        <v/>
      </c>
      <c r="K416" s="4" t="str">
        <f>'Form responses 1'!G418</f>
        <v/>
      </c>
      <c r="L416" s="4" t="str">
        <f>'Form responses 1'!F418</f>
        <v/>
      </c>
      <c r="M416" s="4" t="str">
        <f>'Form responses 1'!U418</f>
        <v>Aditya </v>
      </c>
      <c r="N416" s="4" t="str">
        <f>'Form responses 1'!V418</f>
        <v>863-9857988</v>
      </c>
      <c r="O416" s="4" t="str">
        <f>'Form responses 1'!W418</f>
        <v>NA</v>
      </c>
      <c r="P416" s="4" t="str">
        <f>'Form responses 1'!X418</f>
        <v/>
      </c>
      <c r="Q416" s="4" t="str">
        <f>'Form responses 1'!Y418</f>
        <v/>
      </c>
      <c r="R416" s="4" t="str">
        <f>'Form responses 1'!Z418</f>
        <v/>
      </c>
      <c r="S416" s="4" t="str">
        <f>'Form responses 1'!AC418</f>
        <v/>
      </c>
      <c r="T416" s="4" t="str">
        <f>'Form responses 1'!AE418</f>
        <v/>
      </c>
      <c r="U416" s="4" t="str">
        <f>'Form responses 1'!AG418</f>
        <v/>
      </c>
      <c r="V416" s="4" t="str">
        <f>'Form responses 1'!AI418</f>
        <v/>
      </c>
      <c r="W416" s="4" t="str">
        <f>'Form responses 1'!AJ418</f>
        <v/>
      </c>
      <c r="X416" s="4" t="str">
        <f>'Form responses 1'!AK418</f>
        <v/>
      </c>
      <c r="Y416" s="4">
        <f t="shared" ref="Y416:AD416" si="415">if(S416&gt;0,1,0)</f>
        <v>0</v>
      </c>
      <c r="Z416" s="4">
        <f t="shared" si="415"/>
        <v>0</v>
      </c>
      <c r="AA416" s="4">
        <f t="shared" si="415"/>
        <v>0</v>
      </c>
      <c r="AB416" s="4">
        <f t="shared" si="415"/>
        <v>0</v>
      </c>
      <c r="AC416" s="4">
        <f t="shared" si="415"/>
        <v>0</v>
      </c>
      <c r="AD416" s="4">
        <f t="shared" si="415"/>
        <v>0</v>
      </c>
      <c r="AE416" s="4" t="str">
        <f>'Form responses 1'!AN418</f>
        <v/>
      </c>
      <c r="AF416" s="4" t="str">
        <f>'Form responses 1'!AO418</f>
        <v/>
      </c>
      <c r="AG416" s="4" t="str">
        <f>'Form responses 1'!AP418</f>
        <v/>
      </c>
      <c r="AH416" s="4" t="str">
        <f>'Form responses 1'!AQ418</f>
        <v/>
      </c>
      <c r="AI416" s="4" t="str">
        <f>'Form responses 1'!AR418</f>
        <v/>
      </c>
    </row>
    <row r="417">
      <c r="A417" s="26">
        <f>'Form responses 1'!B419</f>
        <v>46069</v>
      </c>
      <c r="B417" s="4" t="str">
        <f>'Form responses 1'!AZ419</f>
        <v>nitya.akshara@capsdelivery.com</v>
      </c>
      <c r="C417" s="4" t="str">
        <f>'Form responses 1'!BR419</f>
        <v>Tosh e Daan </v>
      </c>
      <c r="D417" s="4" t="str">
        <f>'Form responses 1'!AT419</f>
        <v/>
      </c>
      <c r="E417" s="4" t="str">
        <f>'Form responses 1'!AU419</f>
        <v>Yes</v>
      </c>
      <c r="F417" s="4" t="str">
        <f>'Form responses 1'!AX419</f>
        <v/>
      </c>
      <c r="G417" s="4" t="str">
        <f>'Form responses 1'!AY419</f>
        <v/>
      </c>
      <c r="H417" s="53" t="str">
        <f>'Form responses 1'!AW419</f>
        <v/>
      </c>
      <c r="I417" s="4" t="str">
        <f>'Form responses 1'!AS419</f>
        <v/>
      </c>
      <c r="J417" s="4" t="str">
        <f>'Form responses 1'!J419</f>
        <v/>
      </c>
      <c r="K417" s="4" t="str">
        <f>'Form responses 1'!G419</f>
        <v/>
      </c>
      <c r="L417" s="4" t="str">
        <f>'Form responses 1'!F419</f>
        <v/>
      </c>
      <c r="M417" s="4" t="str">
        <f>'Form responses 1'!U419</f>
        <v>NA</v>
      </c>
      <c r="N417" s="4" t="str">
        <f>'Form responses 1'!V419</f>
        <v>NA</v>
      </c>
      <c r="O417" s="4" t="str">
        <f>'Form responses 1'!W419</f>
        <v>NA</v>
      </c>
      <c r="P417" s="4" t="str">
        <f>'Form responses 1'!X419</f>
        <v/>
      </c>
      <c r="Q417" s="4" t="str">
        <f>'Form responses 1'!Y419</f>
        <v/>
      </c>
      <c r="R417" s="4" t="str">
        <f>'Form responses 1'!Z419</f>
        <v/>
      </c>
      <c r="S417" s="4" t="str">
        <f>'Form responses 1'!AC419</f>
        <v/>
      </c>
      <c r="T417" s="4" t="str">
        <f>'Form responses 1'!AE419</f>
        <v/>
      </c>
      <c r="U417" s="4" t="str">
        <f>'Form responses 1'!AG419</f>
        <v/>
      </c>
      <c r="V417" s="4" t="str">
        <f>'Form responses 1'!AI419</f>
        <v/>
      </c>
      <c r="W417" s="4" t="str">
        <f>'Form responses 1'!AJ419</f>
        <v/>
      </c>
      <c r="X417" s="4" t="str">
        <f>'Form responses 1'!AK419</f>
        <v/>
      </c>
      <c r="Y417" s="4">
        <f t="shared" ref="Y417:AD417" si="416">if(S417&gt;0,1,0)</f>
        <v>0</v>
      </c>
      <c r="Z417" s="4">
        <f t="shared" si="416"/>
        <v>0</v>
      </c>
      <c r="AA417" s="4">
        <f t="shared" si="416"/>
        <v>0</v>
      </c>
      <c r="AB417" s="4">
        <f t="shared" si="416"/>
        <v>0</v>
      </c>
      <c r="AC417" s="4">
        <f t="shared" si="416"/>
        <v>0</v>
      </c>
      <c r="AD417" s="4">
        <f t="shared" si="416"/>
        <v>0</v>
      </c>
      <c r="AE417" s="4" t="str">
        <f>'Form responses 1'!AN419</f>
        <v/>
      </c>
      <c r="AF417" s="4" t="str">
        <f>'Form responses 1'!AO419</f>
        <v/>
      </c>
      <c r="AG417" s="4" t="str">
        <f>'Form responses 1'!AP419</f>
        <v/>
      </c>
      <c r="AH417" s="4" t="str">
        <f>'Form responses 1'!AQ419</f>
        <v/>
      </c>
      <c r="AI417" s="4" t="str">
        <f>'Form responses 1'!AR419</f>
        <v/>
      </c>
    </row>
    <row r="418">
      <c r="A418" s="26">
        <f>'Form responses 1'!B420</f>
        <v>46069</v>
      </c>
      <c r="B418" s="4" t="str">
        <f>'Form responses 1'!AZ420</f>
        <v>nitya.akshara@capsdelivery.com</v>
      </c>
      <c r="C418" s="4" t="str">
        <f>'Form responses 1'!BR420</f>
        <v>Tteok bokki </v>
      </c>
      <c r="D418" s="4" t="str">
        <f>'Form responses 1'!AT420</f>
        <v/>
      </c>
      <c r="E418" s="4" t="str">
        <f>'Form responses 1'!AU420</f>
        <v>Yes</v>
      </c>
      <c r="F418" s="4" t="str">
        <f>'Form responses 1'!AX420</f>
        <v/>
      </c>
      <c r="G418" s="4" t="str">
        <f>'Form responses 1'!AY420</f>
        <v/>
      </c>
      <c r="H418" s="53" t="str">
        <f>'Form responses 1'!AW420</f>
        <v/>
      </c>
      <c r="I418" s="4" t="str">
        <f>'Form responses 1'!AS420</f>
        <v/>
      </c>
      <c r="J418" s="4" t="str">
        <f>'Form responses 1'!J420</f>
        <v/>
      </c>
      <c r="K418" s="4" t="str">
        <f>'Form responses 1'!G420</f>
        <v/>
      </c>
      <c r="L418" s="4" t="str">
        <f>'Form responses 1'!F420</f>
        <v/>
      </c>
      <c r="M418" s="4" t="str">
        <f>'Form responses 1'!U420</f>
        <v>Priyan</v>
      </c>
      <c r="N418" s="4" t="str">
        <f>'Form responses 1'!V420</f>
        <v>80087 45888</v>
      </c>
      <c r="O418" s="4" t="str">
        <f>'Form responses 1'!W420</f>
        <v>NA</v>
      </c>
      <c r="P418" s="4" t="str">
        <f>'Form responses 1'!X420</f>
        <v/>
      </c>
      <c r="Q418" s="4" t="str">
        <f>'Form responses 1'!Y420</f>
        <v/>
      </c>
      <c r="R418" s="4" t="str">
        <f>'Form responses 1'!Z420</f>
        <v/>
      </c>
      <c r="S418" s="4" t="str">
        <f>'Form responses 1'!AC420</f>
        <v/>
      </c>
      <c r="T418" s="4" t="str">
        <f>'Form responses 1'!AE420</f>
        <v/>
      </c>
      <c r="U418" s="4" t="str">
        <f>'Form responses 1'!AG420</f>
        <v/>
      </c>
      <c r="V418" s="4" t="str">
        <f>'Form responses 1'!AI420</f>
        <v/>
      </c>
      <c r="W418" s="4" t="str">
        <f>'Form responses 1'!AJ420</f>
        <v/>
      </c>
      <c r="X418" s="4" t="str">
        <f>'Form responses 1'!AK420</f>
        <v/>
      </c>
      <c r="Y418" s="4">
        <f t="shared" ref="Y418:AD418" si="417">if(S418&gt;0,1,0)</f>
        <v>0</v>
      </c>
      <c r="Z418" s="4">
        <f t="shared" si="417"/>
        <v>0</v>
      </c>
      <c r="AA418" s="4">
        <f t="shared" si="417"/>
        <v>0</v>
      </c>
      <c r="AB418" s="4">
        <f t="shared" si="417"/>
        <v>0</v>
      </c>
      <c r="AC418" s="4">
        <f t="shared" si="417"/>
        <v>0</v>
      </c>
      <c r="AD418" s="4">
        <f t="shared" si="417"/>
        <v>0</v>
      </c>
      <c r="AE418" s="4" t="str">
        <f>'Form responses 1'!AN420</f>
        <v/>
      </c>
      <c r="AF418" s="4" t="str">
        <f>'Form responses 1'!AO420</f>
        <v/>
      </c>
      <c r="AG418" s="4" t="str">
        <f>'Form responses 1'!AP420</f>
        <v/>
      </c>
      <c r="AH418" s="4" t="str">
        <f>'Form responses 1'!AQ420</f>
        <v/>
      </c>
      <c r="AI418" s="4" t="str">
        <f>'Form responses 1'!AR420</f>
        <v/>
      </c>
    </row>
    <row r="419">
      <c r="A419" s="26">
        <f>'Form responses 1'!B421</f>
        <v>46069</v>
      </c>
      <c r="B419" s="4" t="str">
        <f>'Form responses 1'!AZ421</f>
        <v>nitya.akshara@capsdelivery.com</v>
      </c>
      <c r="C419" s="4" t="str">
        <f>'Form responses 1'!BR421</f>
        <v>Bakers Harvest </v>
      </c>
      <c r="D419" s="4" t="str">
        <f>'Form responses 1'!AT421</f>
        <v/>
      </c>
      <c r="E419" s="4" t="str">
        <f>'Form responses 1'!AU421</f>
        <v>Yes</v>
      </c>
      <c r="F419" s="4" t="str">
        <f>'Form responses 1'!AX421</f>
        <v/>
      </c>
      <c r="G419" s="4" t="str">
        <f>'Form responses 1'!AY421</f>
        <v/>
      </c>
      <c r="H419" s="53" t="str">
        <f>'Form responses 1'!AW421</f>
        <v/>
      </c>
      <c r="I419" s="4" t="str">
        <f>'Form responses 1'!AS421</f>
        <v/>
      </c>
      <c r="J419" s="4" t="str">
        <f>'Form responses 1'!J421</f>
        <v/>
      </c>
      <c r="K419" s="4" t="str">
        <f>'Form responses 1'!G421</f>
        <v/>
      </c>
      <c r="L419" s="4" t="str">
        <f>'Form responses 1'!F421</f>
        <v/>
      </c>
      <c r="M419" s="4" t="str">
        <f>'Form responses 1'!U421</f>
        <v>NA</v>
      </c>
      <c r="N419" s="4" t="str">
        <f>'Form responses 1'!V421</f>
        <v>NA</v>
      </c>
      <c r="O419" s="4" t="str">
        <f>'Form responses 1'!W421</f>
        <v>NA</v>
      </c>
      <c r="P419" s="4" t="str">
        <f>'Form responses 1'!X421</f>
        <v>NA</v>
      </c>
      <c r="Q419" s="4" t="str">
        <f>'Form responses 1'!Y421</f>
        <v/>
      </c>
      <c r="R419" s="4" t="str">
        <f>'Form responses 1'!Z421</f>
        <v/>
      </c>
      <c r="S419" s="4" t="str">
        <f>'Form responses 1'!AC421</f>
        <v/>
      </c>
      <c r="T419" s="4" t="str">
        <f>'Form responses 1'!AE421</f>
        <v/>
      </c>
      <c r="U419" s="4" t="str">
        <f>'Form responses 1'!AG421</f>
        <v/>
      </c>
      <c r="V419" s="4" t="str">
        <f>'Form responses 1'!AI421</f>
        <v/>
      </c>
      <c r="W419" s="4" t="str">
        <f>'Form responses 1'!AJ421</f>
        <v/>
      </c>
      <c r="X419" s="4" t="str">
        <f>'Form responses 1'!AK421</f>
        <v/>
      </c>
      <c r="Y419" s="4">
        <f t="shared" ref="Y419:AD419" si="418">if(S419&gt;0,1,0)</f>
        <v>0</v>
      </c>
      <c r="Z419" s="4">
        <f t="shared" si="418"/>
        <v>0</v>
      </c>
      <c r="AA419" s="4">
        <f t="shared" si="418"/>
        <v>0</v>
      </c>
      <c r="AB419" s="4">
        <f t="shared" si="418"/>
        <v>0</v>
      </c>
      <c r="AC419" s="4">
        <f t="shared" si="418"/>
        <v>0</v>
      </c>
      <c r="AD419" s="4">
        <f t="shared" si="418"/>
        <v>0</v>
      </c>
      <c r="AE419" s="4" t="str">
        <f>'Form responses 1'!AN421</f>
        <v/>
      </c>
      <c r="AF419" s="4" t="str">
        <f>'Form responses 1'!AO421</f>
        <v/>
      </c>
      <c r="AG419" s="4" t="str">
        <f>'Form responses 1'!AP421</f>
        <v/>
      </c>
      <c r="AH419" s="4" t="str">
        <f>'Form responses 1'!AQ421</f>
        <v/>
      </c>
      <c r="AI419" s="4" t="str">
        <f>'Form responses 1'!AR421</f>
        <v/>
      </c>
    </row>
    <row r="420">
      <c r="A420" s="26">
        <f>'Form responses 1'!B422</f>
        <v>46069</v>
      </c>
      <c r="B420" s="4" t="str">
        <f>'Form responses 1'!AZ422</f>
        <v>akhila.narra@capsdelivery.com</v>
      </c>
      <c r="C420" s="4" t="str">
        <f>'Form responses 1'!BR422</f>
        <v>Sri Raghavendra Bhavan</v>
      </c>
      <c r="D420" s="4" t="str">
        <f>'Form responses 1'!AT422</f>
        <v/>
      </c>
      <c r="E420" s="4" t="str">
        <f>'Form responses 1'!AU422</f>
        <v>Yes</v>
      </c>
      <c r="F420" s="26">
        <f>'Form responses 1'!AX422</f>
        <v>46069</v>
      </c>
      <c r="G420" s="52">
        <f>'Form responses 1'!AY422</f>
        <v>0.2013888889</v>
      </c>
      <c r="H420" s="53" t="str">
        <f>'Form responses 1'!AW422</f>
        <v/>
      </c>
      <c r="I420" s="4" t="str">
        <f>'Form responses 1'!AS422</f>
        <v/>
      </c>
      <c r="J420" s="4" t="str">
        <f>'Form responses 1'!J422</f>
        <v>Tier-2 (AOV &lt;400)</v>
      </c>
      <c r="K420" s="4">
        <f>'Form responses 1'!G422</f>
        <v>270</v>
      </c>
      <c r="L420" s="4">
        <f>'Form responses 1'!F422</f>
        <v>150</v>
      </c>
      <c r="M420" s="4" t="str">
        <f>'Form responses 1'!U422</f>
        <v>Ragav</v>
      </c>
      <c r="N420" s="4">
        <f>'Form responses 1'!V422</f>
        <v>7702942820</v>
      </c>
      <c r="O420" s="4" t="str">
        <f>'Form responses 1'!W422</f>
        <v>Na</v>
      </c>
      <c r="P420" s="4" t="str">
        <f>'Form responses 1'!X422</f>
        <v/>
      </c>
      <c r="Q420" s="4" t="str">
        <f>'Form responses 1'!Y422</f>
        <v/>
      </c>
      <c r="R420" s="4" t="str">
        <f>'Form responses 1'!Z422</f>
        <v/>
      </c>
      <c r="S420" s="4" t="str">
        <f>'Form responses 1'!AC422</f>
        <v/>
      </c>
      <c r="T420" s="4" t="str">
        <f>'Form responses 1'!AE422</f>
        <v/>
      </c>
      <c r="U420" s="4" t="str">
        <f>'Form responses 1'!AG422</f>
        <v/>
      </c>
      <c r="V420" s="4" t="str">
        <f>'Form responses 1'!AI422</f>
        <v/>
      </c>
      <c r="W420" s="4" t="str">
        <f>'Form responses 1'!AJ422</f>
        <v/>
      </c>
      <c r="X420" s="4" t="str">
        <f>'Form responses 1'!AK422</f>
        <v/>
      </c>
      <c r="Y420" s="4">
        <f t="shared" ref="Y420:AD420" si="419">if(S420&gt;0,1,0)</f>
        <v>0</v>
      </c>
      <c r="Z420" s="4">
        <f t="shared" si="419"/>
        <v>0</v>
      </c>
      <c r="AA420" s="4">
        <f t="shared" si="419"/>
        <v>0</v>
      </c>
      <c r="AB420" s="4">
        <f t="shared" si="419"/>
        <v>0</v>
      </c>
      <c r="AC420" s="4">
        <f t="shared" si="419"/>
        <v>0</v>
      </c>
      <c r="AD420" s="4">
        <f t="shared" si="419"/>
        <v>0</v>
      </c>
      <c r="AE420" s="4" t="str">
        <f>'Form responses 1'!AN422</f>
        <v/>
      </c>
      <c r="AF420" s="4" t="str">
        <f>'Form responses 1'!AO422</f>
        <v/>
      </c>
      <c r="AG420" s="4" t="str">
        <f>'Form responses 1'!AP422</f>
        <v/>
      </c>
      <c r="AH420" s="4" t="str">
        <f>'Form responses 1'!AQ422</f>
        <v/>
      </c>
      <c r="AI420" s="4" t="str">
        <f>'Form responses 1'!AR422</f>
        <v/>
      </c>
    </row>
    <row r="421">
      <c r="A421" s="26">
        <f>'Form responses 1'!B423</f>
        <v>46069</v>
      </c>
      <c r="B421" s="4" t="str">
        <f>'Form responses 1'!AZ423</f>
        <v>ankitha.baske@capsdelivery.com</v>
      </c>
      <c r="C421" s="4" t="str">
        <f>'Form responses 1'!BR423</f>
        <v>Kings Kohinoor Hotels</v>
      </c>
      <c r="D421" s="4" t="str">
        <f>'Form responses 1'!AT423</f>
        <v>Onboarded </v>
      </c>
      <c r="E421" s="4" t="str">
        <f>'Form responses 1'!AU423</f>
        <v>No</v>
      </c>
      <c r="F421" s="4" t="str">
        <f>'Form responses 1'!AX423</f>
        <v/>
      </c>
      <c r="G421" s="4" t="str">
        <f>'Form responses 1'!AY423</f>
        <v/>
      </c>
      <c r="H421" s="53" t="str">
        <f>'Form responses 1'!AW423</f>
        <v/>
      </c>
      <c r="I421" s="4" t="str">
        <f>'Form responses 1'!AS423</f>
        <v>Yes</v>
      </c>
      <c r="J421" s="4" t="str">
        <f>'Form responses 1'!J423</f>
        <v>Tier-2 (AOV &lt;400)</v>
      </c>
      <c r="K421" s="4">
        <f>'Form responses 1'!G423</f>
        <v>200</v>
      </c>
      <c r="L421" s="4">
        <f>'Form responses 1'!F423</f>
        <v>60</v>
      </c>
      <c r="M421" s="4" t="str">
        <f>'Form responses 1'!U423</f>
        <v>Mohammed khaleel</v>
      </c>
      <c r="N421" s="4">
        <f>'Form responses 1'!V423</f>
        <v>8897351867</v>
      </c>
      <c r="O421" s="4" t="str">
        <f>'Form responses 1'!W423</f>
        <v>NA</v>
      </c>
      <c r="P421" s="4" t="str">
        <f>'Form responses 1'!X423</f>
        <v/>
      </c>
      <c r="Q421" s="4" t="str">
        <f>'Form responses 1'!Y423</f>
        <v/>
      </c>
      <c r="R421" s="4" t="str">
        <f>'Form responses 1'!Z423</f>
        <v/>
      </c>
      <c r="S421" s="54" t="str">
        <f>'Form responses 1'!AC423</f>
        <v>https://drive.google.com/open?id=1E0YyvYuvkww1Vl4LmBKqT1b-yVnr6XXq</v>
      </c>
      <c r="T421" s="4" t="str">
        <f>'Form responses 1'!AE423</f>
        <v/>
      </c>
      <c r="U421" s="54" t="str">
        <f>'Form responses 1'!AG423</f>
        <v>https://drive.google.com/open?id=1cKpMV49fCKB-o1IzWrDE-ogDddLX-IEP</v>
      </c>
      <c r="V421" s="54" t="str">
        <f>'Form responses 1'!AI423</f>
        <v>https://drive.google.com/open?id=1jX4__Ei1uQlFS5DZI3VjqtlXUCBm3Zoe</v>
      </c>
      <c r="W421" s="4" t="str">
        <f>'Form responses 1'!AJ423</f>
        <v/>
      </c>
      <c r="X421" s="54" t="str">
        <f>'Form responses 1'!AK423</f>
        <v>https://drive.google.com/open?id=1zu_M2fRUfLRdFPZfETU9gn84XXlL3P0m</v>
      </c>
      <c r="Y421" s="4">
        <f t="shared" ref="Y421:AD421" si="420">if(S421&gt;0,1,0)</f>
        <v>1</v>
      </c>
      <c r="Z421" s="4">
        <f t="shared" si="420"/>
        <v>0</v>
      </c>
      <c r="AA421" s="4">
        <f t="shared" si="420"/>
        <v>1</v>
      </c>
      <c r="AB421" s="4">
        <f t="shared" si="420"/>
        <v>1</v>
      </c>
      <c r="AC421" s="4">
        <f t="shared" si="420"/>
        <v>0</v>
      </c>
      <c r="AD421" s="4">
        <f t="shared" si="420"/>
        <v>1</v>
      </c>
      <c r="AE421" s="4" t="str">
        <f>'Form responses 1'!AN423</f>
        <v/>
      </c>
      <c r="AF421" s="4" t="str">
        <f>'Form responses 1'!AO423</f>
        <v/>
      </c>
      <c r="AG421" s="4" t="str">
        <f>'Form responses 1'!AP423</f>
        <v/>
      </c>
      <c r="AH421" s="4" t="str">
        <f>'Form responses 1'!AQ423</f>
        <v/>
      </c>
      <c r="AI421" s="4" t="str">
        <f>'Form responses 1'!AR423</f>
        <v/>
      </c>
    </row>
    <row r="422">
      <c r="A422" s="26">
        <f>'Form responses 1'!B424</f>
        <v>46069</v>
      </c>
      <c r="B422" s="4" t="str">
        <f>'Form responses 1'!AZ424</f>
        <v>manisha.kumari@capsdelivery.com</v>
      </c>
      <c r="C422" s="4" t="str">
        <f>'Form responses 1'!BR424</f>
        <v>7th Heaven &amp; white hart7th Heaven &amp; white hart7th Heaven &amp; white hart</v>
      </c>
      <c r="D422" s="4" t="str">
        <f>'Form responses 1'!AT424</f>
        <v>Asked to share the proposal after that he will connect back with us</v>
      </c>
      <c r="E422" s="4" t="str">
        <f>'Form responses 1'!AU424</f>
        <v>Yes</v>
      </c>
      <c r="F422" s="55">
        <f>'Form responses 1'!AX424</f>
        <v>46070</v>
      </c>
      <c r="G422" s="4" t="str">
        <f>'Form responses 1'!AY424</f>
        <v/>
      </c>
      <c r="H422" s="53" t="str">
        <f>'Form responses 1'!AW424</f>
        <v/>
      </c>
      <c r="I422" s="4" t="str">
        <f>'Form responses 1'!AS424</f>
        <v/>
      </c>
      <c r="J422" s="4" t="str">
        <f>'Form responses 1'!J424</f>
        <v/>
      </c>
      <c r="K422" s="4" t="str">
        <f>'Form responses 1'!G424</f>
        <v/>
      </c>
      <c r="L422" s="4" t="str">
        <f>'Form responses 1'!F424</f>
        <v/>
      </c>
      <c r="M422" s="4" t="str">
        <f>'Form responses 1'!U424</f>
        <v>Srikant Reddy</v>
      </c>
      <c r="N422" s="4" t="str">
        <f>'Form responses 1'!V424</f>
        <v>70705 67056</v>
      </c>
      <c r="O422" s="4" t="str">
        <f>'Form responses 1'!W424</f>
        <v>NA</v>
      </c>
      <c r="P422" s="4" t="str">
        <f>'Form responses 1'!X424</f>
        <v/>
      </c>
      <c r="Q422" s="4" t="str">
        <f>'Form responses 1'!Y424</f>
        <v/>
      </c>
      <c r="R422" s="4" t="str">
        <f>'Form responses 1'!Z424</f>
        <v/>
      </c>
      <c r="S422" s="4" t="str">
        <f>'Form responses 1'!AC424</f>
        <v/>
      </c>
      <c r="T422" s="4" t="str">
        <f>'Form responses 1'!AE424</f>
        <v/>
      </c>
      <c r="U422" s="4" t="str">
        <f>'Form responses 1'!AG424</f>
        <v/>
      </c>
      <c r="V422" s="4" t="str">
        <f>'Form responses 1'!AI424</f>
        <v/>
      </c>
      <c r="W422" s="4" t="str">
        <f>'Form responses 1'!AJ424</f>
        <v/>
      </c>
      <c r="X422" s="4" t="str">
        <f>'Form responses 1'!AK424</f>
        <v/>
      </c>
      <c r="Y422" s="4">
        <f t="shared" ref="Y422:AD422" si="421">if(S422&gt;0,1,0)</f>
        <v>0</v>
      </c>
      <c r="Z422" s="4">
        <f t="shared" si="421"/>
        <v>0</v>
      </c>
      <c r="AA422" s="4">
        <f t="shared" si="421"/>
        <v>0</v>
      </c>
      <c r="AB422" s="4">
        <f t="shared" si="421"/>
        <v>0</v>
      </c>
      <c r="AC422" s="4">
        <f t="shared" si="421"/>
        <v>0</v>
      </c>
      <c r="AD422" s="4">
        <f t="shared" si="421"/>
        <v>0</v>
      </c>
      <c r="AE422" s="4" t="str">
        <f>'Form responses 1'!AN424</f>
        <v/>
      </c>
      <c r="AF422" s="4" t="str">
        <f>'Form responses 1'!AO424</f>
        <v/>
      </c>
      <c r="AG422" s="4" t="str">
        <f>'Form responses 1'!AP424</f>
        <v/>
      </c>
      <c r="AH422" s="4" t="str">
        <f>'Form responses 1'!AQ424</f>
        <v/>
      </c>
      <c r="AI422" s="4" t="str">
        <f>'Form responses 1'!AR424</f>
        <v/>
      </c>
    </row>
    <row r="423">
      <c r="A423" s="26">
        <f>'Form responses 1'!B425</f>
        <v>46069</v>
      </c>
      <c r="B423" s="4" t="str">
        <f>'Form responses 1'!AZ425</f>
        <v>chanakya.inugala@capsdelivery.com</v>
      </c>
      <c r="C423" s="4" t="str">
        <f>'Form responses 1'!BR425</f>
        <v>Swad of Grandma </v>
      </c>
      <c r="D423" s="4" t="str">
        <f>'Form responses 1'!AT425</f>
        <v>Na</v>
      </c>
      <c r="E423" s="4" t="str">
        <f>'Form responses 1'!AU425</f>
        <v>No</v>
      </c>
      <c r="F423" s="4" t="str">
        <f>'Form responses 1'!AX425</f>
        <v/>
      </c>
      <c r="G423" s="4" t="str">
        <f>'Form responses 1'!AY425</f>
        <v/>
      </c>
      <c r="H423" s="53" t="str">
        <f>'Form responses 1'!AW425</f>
        <v/>
      </c>
      <c r="I423" s="4" t="str">
        <f>'Form responses 1'!AS425</f>
        <v/>
      </c>
      <c r="J423" s="4" t="str">
        <f>'Form responses 1'!J425</f>
        <v>Tier-3 ( AOV&lt;200 )</v>
      </c>
      <c r="K423" s="4">
        <f>'Form responses 1'!G425</f>
        <v>270</v>
      </c>
      <c r="L423" s="4">
        <f>'Form responses 1'!F425</f>
        <v>30</v>
      </c>
      <c r="M423" s="4" t="str">
        <f>'Form responses 1'!U425</f>
        <v>Amit</v>
      </c>
      <c r="N423" s="4">
        <f>'Form responses 1'!V425</f>
        <v>9985489397</v>
      </c>
      <c r="O423" s="4" t="str">
        <f>'Form responses 1'!W425</f>
        <v>Na</v>
      </c>
      <c r="P423" s="4" t="str">
        <f>'Form responses 1'!X425</f>
        <v/>
      </c>
      <c r="Q423" s="4" t="str">
        <f>'Form responses 1'!Y425</f>
        <v/>
      </c>
      <c r="R423" s="4" t="str">
        <f>'Form responses 1'!Z425</f>
        <v/>
      </c>
      <c r="S423" s="4" t="str">
        <f>'Form responses 1'!AC425</f>
        <v/>
      </c>
      <c r="T423" s="4" t="str">
        <f>'Form responses 1'!AE425</f>
        <v/>
      </c>
      <c r="U423" s="4" t="str">
        <f>'Form responses 1'!AG425</f>
        <v/>
      </c>
      <c r="V423" s="4" t="str">
        <f>'Form responses 1'!AI425</f>
        <v/>
      </c>
      <c r="W423" s="4" t="str">
        <f>'Form responses 1'!AJ425</f>
        <v/>
      </c>
      <c r="X423" s="4" t="str">
        <f>'Form responses 1'!AK425</f>
        <v/>
      </c>
      <c r="Y423" s="4">
        <f t="shared" ref="Y423:AD423" si="422">if(S423&gt;0,1,0)</f>
        <v>0</v>
      </c>
      <c r="Z423" s="4">
        <f t="shared" si="422"/>
        <v>0</v>
      </c>
      <c r="AA423" s="4">
        <f t="shared" si="422"/>
        <v>0</v>
      </c>
      <c r="AB423" s="4">
        <f t="shared" si="422"/>
        <v>0</v>
      </c>
      <c r="AC423" s="4">
        <f t="shared" si="422"/>
        <v>0</v>
      </c>
      <c r="AD423" s="4">
        <f t="shared" si="422"/>
        <v>0</v>
      </c>
      <c r="AE423" s="4" t="str">
        <f>'Form responses 1'!AN425</f>
        <v/>
      </c>
      <c r="AF423" s="4" t="str">
        <f>'Form responses 1'!AO425</f>
        <v/>
      </c>
      <c r="AG423" s="4" t="str">
        <f>'Form responses 1'!AP425</f>
        <v/>
      </c>
      <c r="AH423" s="4" t="str">
        <f>'Form responses 1'!AQ425</f>
        <v/>
      </c>
      <c r="AI423" s="4" t="str">
        <f>'Form responses 1'!AR425</f>
        <v/>
      </c>
    </row>
    <row r="424">
      <c r="A424" s="26">
        <f>'Form responses 1'!B473</f>
        <v>46069</v>
      </c>
      <c r="B424" s="4" t="str">
        <f>'Form responses 1'!AZ473</f>
        <v>greeshma.vanneldas@capsdelivery.com</v>
      </c>
      <c r="C424" s="4" t="str">
        <f>'Form responses 1'!BR473</f>
        <v>Hope in a cup</v>
      </c>
      <c r="D424" s="4" t="str">
        <f>'Form responses 1'!AT473</f>
        <v>following up to fix intro meeting</v>
      </c>
      <c r="E424" s="4" t="str">
        <f>'Form responses 1'!AU473</f>
        <v>Yes</v>
      </c>
      <c r="F424" s="4" t="str">
        <f>'Form responses 1'!AX473</f>
        <v/>
      </c>
      <c r="G424" s="4" t="str">
        <f>'Form responses 1'!AY473</f>
        <v/>
      </c>
      <c r="H424" s="53" t="str">
        <f>'Form responses 1'!AW473</f>
        <v/>
      </c>
      <c r="I424" s="4" t="str">
        <f>'Form responses 1'!AS473</f>
        <v/>
      </c>
      <c r="J424" s="4" t="str">
        <f>'Form responses 1'!J473</f>
        <v/>
      </c>
      <c r="K424" s="4" t="str">
        <f>'Form responses 1'!G473</f>
        <v/>
      </c>
      <c r="L424" s="4" t="str">
        <f>'Form responses 1'!F473</f>
        <v/>
      </c>
      <c r="M424" s="4" t="str">
        <f>'Form responses 1'!U473</f>
        <v>Niranjan</v>
      </c>
      <c r="N424" s="4">
        <f>'Form responses 1'!V473</f>
        <v>9676367127</v>
      </c>
      <c r="O424" s="4" t="str">
        <f>'Form responses 1'!W473</f>
        <v>na</v>
      </c>
      <c r="P424" s="4" t="str">
        <f>'Form responses 1'!X473</f>
        <v/>
      </c>
      <c r="Q424" s="4" t="str">
        <f>'Form responses 1'!Y473</f>
        <v/>
      </c>
      <c r="R424" s="4" t="str">
        <f>'Form responses 1'!Z473</f>
        <v/>
      </c>
      <c r="S424" s="4" t="str">
        <f>'Form responses 1'!AC473</f>
        <v/>
      </c>
      <c r="T424" s="4" t="str">
        <f>'Form responses 1'!AE473</f>
        <v/>
      </c>
      <c r="U424" s="4" t="str">
        <f>'Form responses 1'!AG473</f>
        <v/>
      </c>
      <c r="V424" s="4" t="str">
        <f>'Form responses 1'!AI473</f>
        <v/>
      </c>
      <c r="W424" s="4" t="str">
        <f>'Form responses 1'!AJ473</f>
        <v/>
      </c>
      <c r="X424" s="4" t="str">
        <f>'Form responses 1'!AK473</f>
        <v/>
      </c>
      <c r="Y424" s="4">
        <f t="shared" ref="Y424:AD424" si="423">if(S424&gt;0,1,0)</f>
        <v>0</v>
      </c>
      <c r="Z424" s="4">
        <f t="shared" si="423"/>
        <v>0</v>
      </c>
      <c r="AA424" s="4">
        <f t="shared" si="423"/>
        <v>0</v>
      </c>
      <c r="AB424" s="4">
        <f t="shared" si="423"/>
        <v>0</v>
      </c>
      <c r="AC424" s="4">
        <f t="shared" si="423"/>
        <v>0</v>
      </c>
      <c r="AD424" s="4">
        <f t="shared" si="423"/>
        <v>0</v>
      </c>
      <c r="AE424" s="4" t="str">
        <f>'Form responses 1'!AN473</f>
        <v/>
      </c>
      <c r="AF424" s="4" t="str">
        <f>'Form responses 1'!AO473</f>
        <v/>
      </c>
      <c r="AG424" s="4" t="str">
        <f>'Form responses 1'!AP473</f>
        <v/>
      </c>
      <c r="AH424" s="4" t="str">
        <f>'Form responses 1'!AQ473</f>
        <v/>
      </c>
      <c r="AI424" s="4" t="str">
        <f>'Form responses 1'!AR473</f>
        <v/>
      </c>
    </row>
    <row r="425">
      <c r="A425" s="26">
        <f>'Form responses 1'!B427</f>
        <v>46069</v>
      </c>
      <c r="B425" s="4" t="str">
        <f>'Form responses 1'!AZ427</f>
        <v>moin.khan@capsdelivery.com</v>
      </c>
      <c r="C425" s="4" t="str">
        <f>'Form responses 1'!BR427</f>
        <v>preeti tiffins</v>
      </c>
      <c r="D425" s="4" t="str">
        <f>'Form responses 1'!AT427</f>
        <v/>
      </c>
      <c r="E425" s="4" t="str">
        <f>'Form responses 1'!AU427</f>
        <v>Yes</v>
      </c>
      <c r="F425" s="26">
        <f>'Form responses 1'!AX427</f>
        <v>46070</v>
      </c>
      <c r="G425" s="52">
        <f>'Form responses 1'!AY427</f>
        <v>0.7284722222</v>
      </c>
      <c r="H425" s="53" t="str">
        <f>'Form responses 1'!AW427</f>
        <v/>
      </c>
      <c r="I425" s="4" t="str">
        <f>'Form responses 1'!AS427</f>
        <v/>
      </c>
      <c r="J425" s="4" t="str">
        <f>'Form responses 1'!J427</f>
        <v/>
      </c>
      <c r="K425" s="4" t="str">
        <f>'Form responses 1'!G427</f>
        <v/>
      </c>
      <c r="L425" s="4" t="str">
        <f>'Form responses 1'!F427</f>
        <v/>
      </c>
      <c r="M425" s="4" t="str">
        <f>'Form responses 1'!U427</f>
        <v>megha</v>
      </c>
      <c r="N425" s="4">
        <f>'Form responses 1'!V427</f>
        <v>8897622869</v>
      </c>
      <c r="O425" s="4" t="str">
        <f>'Form responses 1'!W427</f>
        <v>na</v>
      </c>
      <c r="P425" s="4" t="str">
        <f>'Form responses 1'!X427</f>
        <v/>
      </c>
      <c r="Q425" s="4" t="str">
        <f>'Form responses 1'!Y427</f>
        <v/>
      </c>
      <c r="R425" s="4" t="str">
        <f>'Form responses 1'!Z427</f>
        <v/>
      </c>
      <c r="S425" s="4" t="str">
        <f>'Form responses 1'!AC427</f>
        <v/>
      </c>
      <c r="T425" s="4" t="str">
        <f>'Form responses 1'!AE427</f>
        <v/>
      </c>
      <c r="U425" s="4" t="str">
        <f>'Form responses 1'!AG427</f>
        <v/>
      </c>
      <c r="V425" s="4" t="str">
        <f>'Form responses 1'!AI427</f>
        <v/>
      </c>
      <c r="W425" s="4" t="str">
        <f>'Form responses 1'!AJ427</f>
        <v/>
      </c>
      <c r="X425" s="4" t="str">
        <f>'Form responses 1'!AK427</f>
        <v/>
      </c>
      <c r="Y425" s="4">
        <f t="shared" ref="Y425:AD425" si="424">if(S425&gt;0,1,0)</f>
        <v>0</v>
      </c>
      <c r="Z425" s="4">
        <f t="shared" si="424"/>
        <v>0</v>
      </c>
      <c r="AA425" s="4">
        <f t="shared" si="424"/>
        <v>0</v>
      </c>
      <c r="AB425" s="4">
        <f t="shared" si="424"/>
        <v>0</v>
      </c>
      <c r="AC425" s="4">
        <f t="shared" si="424"/>
        <v>0</v>
      </c>
      <c r="AD425" s="4">
        <f t="shared" si="424"/>
        <v>0</v>
      </c>
      <c r="AE425" s="4" t="str">
        <f>'Form responses 1'!AN427</f>
        <v/>
      </c>
      <c r="AF425" s="4" t="str">
        <f>'Form responses 1'!AO427</f>
        <v/>
      </c>
      <c r="AG425" s="4" t="str">
        <f>'Form responses 1'!AP427</f>
        <v/>
      </c>
      <c r="AH425" s="4" t="str">
        <f>'Form responses 1'!AQ427</f>
        <v/>
      </c>
      <c r="AI425" s="4" t="str">
        <f>'Form responses 1'!AR427</f>
        <v/>
      </c>
    </row>
    <row r="426">
      <c r="A426" s="26">
        <f>'Form responses 1'!B678</f>
        <v>46073</v>
      </c>
      <c r="B426" s="4" t="str">
        <f>'Form responses 1'!AZ678</f>
        <v>greeshma.vanneldas@capsdelivery.com</v>
      </c>
      <c r="C426" s="4" t="str">
        <f>'Form responses 1'!BR678</f>
        <v>Hotel swaruchiHotel surichi</v>
      </c>
      <c r="D426" s="4" t="str">
        <f>'Form responses 1'!AT678</f>
        <v>He is looking for 12%</v>
      </c>
      <c r="E426" s="4" t="str">
        <f>'Form responses 1'!AU678</f>
        <v>Yes</v>
      </c>
      <c r="F426" s="4" t="str">
        <f>'Form responses 1'!AX678</f>
        <v/>
      </c>
      <c r="G426" s="4" t="str">
        <f>'Form responses 1'!AY678</f>
        <v/>
      </c>
      <c r="H426" s="53" t="str">
        <f>'Form responses 1'!AW678</f>
        <v/>
      </c>
      <c r="I426" s="4" t="str">
        <f>'Form responses 1'!AS678</f>
        <v/>
      </c>
      <c r="J426" s="4" t="str">
        <f>'Form responses 1'!J678</f>
        <v/>
      </c>
      <c r="K426" s="4" t="str">
        <f>'Form responses 1'!G678</f>
        <v/>
      </c>
      <c r="L426" s="4" t="str">
        <f>'Form responses 1'!F678</f>
        <v/>
      </c>
      <c r="M426" s="4" t="str">
        <f>'Form responses 1'!U678</f>
        <v>Ramesh </v>
      </c>
      <c r="N426" s="4">
        <f>'Form responses 1'!V678</f>
        <v>7396928999</v>
      </c>
      <c r="O426" s="4" t="str">
        <f>'Form responses 1'!W678</f>
        <v>Na</v>
      </c>
      <c r="P426" s="4" t="str">
        <f>'Form responses 1'!X678</f>
        <v/>
      </c>
      <c r="Q426" s="4" t="str">
        <f>'Form responses 1'!Y678</f>
        <v/>
      </c>
      <c r="R426" s="4" t="str">
        <f>'Form responses 1'!Z678</f>
        <v/>
      </c>
      <c r="S426" s="4" t="str">
        <f>'Form responses 1'!AC678</f>
        <v/>
      </c>
      <c r="T426" s="4" t="str">
        <f>'Form responses 1'!AE678</f>
        <v/>
      </c>
      <c r="U426" s="4" t="str">
        <f>'Form responses 1'!AG678</f>
        <v/>
      </c>
      <c r="V426" s="4" t="str">
        <f>'Form responses 1'!AI678</f>
        <v/>
      </c>
      <c r="W426" s="4" t="str">
        <f>'Form responses 1'!AJ678</f>
        <v/>
      </c>
      <c r="X426" s="4" t="str">
        <f>'Form responses 1'!AK678</f>
        <v/>
      </c>
      <c r="Y426" s="4">
        <f t="shared" ref="Y426:AD426" si="425">if(S426&gt;0,1,0)</f>
        <v>0</v>
      </c>
      <c r="Z426" s="4">
        <f t="shared" si="425"/>
        <v>0</v>
      </c>
      <c r="AA426" s="4">
        <f t="shared" si="425"/>
        <v>0</v>
      </c>
      <c r="AB426" s="4">
        <f t="shared" si="425"/>
        <v>0</v>
      </c>
      <c r="AC426" s="4">
        <f t="shared" si="425"/>
        <v>0</v>
      </c>
      <c r="AD426" s="4">
        <f t="shared" si="425"/>
        <v>0</v>
      </c>
      <c r="AE426" s="4" t="str">
        <f>'Form responses 1'!AN678</f>
        <v/>
      </c>
      <c r="AF426" s="4" t="str">
        <f>'Form responses 1'!AO1797</f>
        <v/>
      </c>
      <c r="AG426" s="4" t="str">
        <f>'Form responses 1'!AP1797</f>
        <v/>
      </c>
      <c r="AH426" s="4" t="str">
        <f>'Form responses 1'!AQ1797</f>
        <v/>
      </c>
      <c r="AI426" s="4" t="str">
        <f>'Form responses 1'!AR1797</f>
        <v/>
      </c>
    </row>
    <row r="427">
      <c r="A427" s="26">
        <f>'Form responses 1'!B429</f>
        <v>46070</v>
      </c>
      <c r="B427" s="4" t="str">
        <f>'Form responses 1'!AZ429</f>
        <v>moin.khan@capsdelivery.com</v>
      </c>
      <c r="C427" s="4" t="str">
        <f>'Form responses 1'!BR429</f>
        <v> fire and ice cream  fire and ice  ice cream </v>
      </c>
      <c r="D427" s="4" t="str">
        <f>'Form responses 1'!AT429</f>
        <v/>
      </c>
      <c r="E427" s="4" t="str">
        <f>'Form responses 1'!AU429</f>
        <v>Yes</v>
      </c>
      <c r="F427" s="26">
        <f>'Form responses 1'!AX429</f>
        <v>46070</v>
      </c>
      <c r="G427" s="52">
        <f>'Form responses 1'!AY429</f>
        <v>0.5625</v>
      </c>
      <c r="H427" s="53" t="str">
        <f>'Form responses 1'!AW429</f>
        <v/>
      </c>
      <c r="I427" s="4" t="str">
        <f>'Form responses 1'!AS429</f>
        <v/>
      </c>
      <c r="J427" s="4" t="str">
        <f>'Form responses 1'!J429</f>
        <v/>
      </c>
      <c r="K427" s="4" t="str">
        <f>'Form responses 1'!G429</f>
        <v/>
      </c>
      <c r="L427" s="4" t="str">
        <f>'Form responses 1'!F429</f>
        <v/>
      </c>
      <c r="M427" s="4" t="str">
        <f>'Form responses 1'!U429</f>
        <v>azhar</v>
      </c>
      <c r="N427" s="4" t="str">
        <f>'Form responses 1'!V429</f>
        <v> 84649 15054</v>
      </c>
      <c r="O427" s="4" t="str">
        <f>'Form responses 1'!W429</f>
        <v>na</v>
      </c>
      <c r="P427" s="4" t="str">
        <f>'Form responses 1'!X429</f>
        <v/>
      </c>
      <c r="Q427" s="4" t="str">
        <f>'Form responses 1'!Y429</f>
        <v/>
      </c>
      <c r="R427" s="4" t="str">
        <f>'Form responses 1'!Z429</f>
        <v/>
      </c>
      <c r="S427" s="4" t="str">
        <f>'Form responses 1'!AC429</f>
        <v/>
      </c>
      <c r="T427" s="4" t="str">
        <f>'Form responses 1'!AE429</f>
        <v/>
      </c>
      <c r="U427" s="4" t="str">
        <f>'Form responses 1'!AG429</f>
        <v/>
      </c>
      <c r="V427" s="4" t="str">
        <f>'Form responses 1'!AI429</f>
        <v/>
      </c>
      <c r="W427" s="4" t="str">
        <f>'Form responses 1'!AJ429</f>
        <v/>
      </c>
      <c r="X427" s="4" t="str">
        <f>'Form responses 1'!AK429</f>
        <v/>
      </c>
      <c r="Y427" s="4">
        <f t="shared" ref="Y427:AD427" si="426">if(S427&gt;0,1,0)</f>
        <v>0</v>
      </c>
      <c r="Z427" s="4">
        <f t="shared" si="426"/>
        <v>0</v>
      </c>
      <c r="AA427" s="4">
        <f t="shared" si="426"/>
        <v>0</v>
      </c>
      <c r="AB427" s="4">
        <f t="shared" si="426"/>
        <v>0</v>
      </c>
      <c r="AC427" s="4">
        <f t="shared" si="426"/>
        <v>0</v>
      </c>
      <c r="AD427" s="4">
        <f t="shared" si="426"/>
        <v>0</v>
      </c>
      <c r="AE427" s="4" t="str">
        <f>'Form responses 1'!AN429</f>
        <v/>
      </c>
      <c r="AF427" s="4" t="str">
        <f>'Form responses 1'!AO429</f>
        <v/>
      </c>
      <c r="AG427" s="4" t="str">
        <f>'Form responses 1'!AP429</f>
        <v/>
      </c>
      <c r="AH427" s="4" t="str">
        <f>'Form responses 1'!AQ429</f>
        <v/>
      </c>
      <c r="AI427" s="4" t="str">
        <f>'Form responses 1'!AR429</f>
        <v/>
      </c>
    </row>
    <row r="428">
      <c r="A428" s="26">
        <f>'Form responses 1'!B275</f>
        <v>46065</v>
      </c>
      <c r="B428" s="4" t="str">
        <f>'Form responses 1'!AZ275</f>
        <v>greeshma.vanneldas@capsdelivery.com</v>
      </c>
      <c r="C428" s="4" t="str">
        <f>'Form responses 1'!BR275</f>
        <v>Hulchal desserts and bakers</v>
      </c>
      <c r="D428" s="4" t="str">
        <f>'Form responses 1'!AT275</f>
        <v/>
      </c>
      <c r="E428" s="4" t="str">
        <f>'Form responses 1'!AU275</f>
        <v>Yes</v>
      </c>
      <c r="F428" s="4" t="str">
        <f>'Form responses 1'!AX275</f>
        <v/>
      </c>
      <c r="G428" s="4" t="str">
        <f>'Form responses 1'!AY275</f>
        <v/>
      </c>
      <c r="H428" s="53" t="str">
        <f>'Form responses 1'!AW275</f>
        <v>Owner will be available after 18th of these month</v>
      </c>
      <c r="I428" s="4" t="str">
        <f>'Form responses 1'!AS275</f>
        <v/>
      </c>
      <c r="J428" s="4" t="str">
        <f>'Form responses 1'!J275</f>
        <v/>
      </c>
      <c r="K428" s="4" t="str">
        <f>'Form responses 1'!G275</f>
        <v/>
      </c>
      <c r="L428" s="4" t="str">
        <f>'Form responses 1'!F275</f>
        <v/>
      </c>
      <c r="M428" s="4" t="str">
        <f>'Form responses 1'!U275</f>
        <v>Awaiz Ammari</v>
      </c>
      <c r="N428" s="4">
        <f>'Form responses 1'!V275</f>
        <v>9000931717</v>
      </c>
      <c r="O428" s="4" t="str">
        <f>'Form responses 1'!W275</f>
        <v>na</v>
      </c>
      <c r="P428" s="4" t="str">
        <f>'Form responses 1'!X275</f>
        <v/>
      </c>
      <c r="Q428" s="4" t="str">
        <f>'Form responses 1'!Y275</f>
        <v/>
      </c>
      <c r="R428" s="4" t="str">
        <f>'Form responses 1'!Z275</f>
        <v/>
      </c>
      <c r="S428" s="4" t="str">
        <f>'Form responses 1'!AC275</f>
        <v/>
      </c>
      <c r="T428" s="4" t="str">
        <f>'Form responses 1'!AE275</f>
        <v/>
      </c>
      <c r="U428" s="4" t="str">
        <f>'Form responses 1'!AG275</f>
        <v/>
      </c>
      <c r="V428" s="4" t="str">
        <f>'Form responses 1'!AI275</f>
        <v/>
      </c>
      <c r="W428" s="4" t="str">
        <f>'Form responses 1'!AJ275</f>
        <v/>
      </c>
      <c r="X428" s="4" t="str">
        <f>'Form responses 1'!AK275</f>
        <v/>
      </c>
      <c r="Y428" s="4">
        <f t="shared" ref="Y428:AD428" si="427">if(S428&gt;0,1,0)</f>
        <v>0</v>
      </c>
      <c r="Z428" s="4">
        <f t="shared" si="427"/>
        <v>0</v>
      </c>
      <c r="AA428" s="4">
        <f t="shared" si="427"/>
        <v>0</v>
      </c>
      <c r="AB428" s="4">
        <f t="shared" si="427"/>
        <v>0</v>
      </c>
      <c r="AC428" s="4">
        <f t="shared" si="427"/>
        <v>0</v>
      </c>
      <c r="AD428" s="4">
        <f t="shared" si="427"/>
        <v>0</v>
      </c>
      <c r="AE428" s="4" t="str">
        <f>'Form responses 1'!AN275</f>
        <v/>
      </c>
      <c r="AF428" s="4" t="str">
        <f>'Form responses 1'!AO275</f>
        <v/>
      </c>
      <c r="AG428" s="4" t="str">
        <f>'Form responses 1'!AP275</f>
        <v/>
      </c>
      <c r="AH428" s="4" t="str">
        <f>'Form responses 1'!AQ275</f>
        <v/>
      </c>
      <c r="AI428" s="4" t="str">
        <f>'Form responses 1'!AR275</f>
        <v/>
      </c>
    </row>
    <row r="429">
      <c r="A429" s="26">
        <f>'Form responses 1'!B431</f>
        <v>46069</v>
      </c>
      <c r="B429" s="4" t="str">
        <f>'Form responses 1'!AZ431</f>
        <v>moin.khan@capsdelivery.com</v>
      </c>
      <c r="C429" s="4" t="str">
        <f>'Form responses 1'!BR431</f>
        <v>minerva  sweet </v>
      </c>
      <c r="D429" s="4" t="str">
        <f>'Form responses 1'!AT431</f>
        <v/>
      </c>
      <c r="E429" s="4" t="str">
        <f>'Form responses 1'!AU431</f>
        <v>Yes</v>
      </c>
      <c r="F429" s="26">
        <f>'Form responses 1'!AX431</f>
        <v>46070</v>
      </c>
      <c r="G429" s="52">
        <f>'Form responses 1'!AY431</f>
        <v>0.8333333333</v>
      </c>
      <c r="H429" s="53" t="str">
        <f>'Form responses 1'!AW431</f>
        <v>OWNER WILL BE AVAILABLE  AFTER 8</v>
      </c>
      <c r="I429" s="4" t="str">
        <f>'Form responses 1'!AS431</f>
        <v/>
      </c>
      <c r="J429" s="4" t="str">
        <f>'Form responses 1'!J431</f>
        <v/>
      </c>
      <c r="K429" s="4" t="str">
        <f>'Form responses 1'!G431</f>
        <v/>
      </c>
      <c r="L429" s="4" t="str">
        <f>'Form responses 1'!F431</f>
        <v/>
      </c>
      <c r="M429" s="4" t="str">
        <f>'Form responses 1'!U431</f>
        <v>ashish</v>
      </c>
      <c r="N429" s="4">
        <f>'Form responses 1'!V431</f>
        <v>7801005204</v>
      </c>
      <c r="O429" s="4" t="str">
        <f>'Form responses 1'!W431</f>
        <v>NA</v>
      </c>
      <c r="P429" s="4" t="str">
        <f>'Form responses 1'!X431</f>
        <v/>
      </c>
      <c r="Q429" s="4" t="str">
        <f>'Form responses 1'!Y431</f>
        <v/>
      </c>
      <c r="R429" s="4" t="str">
        <f>'Form responses 1'!Z431</f>
        <v/>
      </c>
      <c r="S429" s="4" t="str">
        <f>'Form responses 1'!AC431</f>
        <v/>
      </c>
      <c r="T429" s="4" t="str">
        <f>'Form responses 1'!AE431</f>
        <v/>
      </c>
      <c r="U429" s="4" t="str">
        <f>'Form responses 1'!AG431</f>
        <v/>
      </c>
      <c r="V429" s="4" t="str">
        <f>'Form responses 1'!AI431</f>
        <v/>
      </c>
      <c r="W429" s="4" t="str">
        <f>'Form responses 1'!AJ431</f>
        <v/>
      </c>
      <c r="X429" s="4" t="str">
        <f>'Form responses 1'!AK431</f>
        <v/>
      </c>
      <c r="Y429" s="4">
        <f t="shared" ref="Y429:AD429" si="428">if(S429&gt;0,1,0)</f>
        <v>0</v>
      </c>
      <c r="Z429" s="4">
        <f t="shared" si="428"/>
        <v>0</v>
      </c>
      <c r="AA429" s="4">
        <f t="shared" si="428"/>
        <v>0</v>
      </c>
      <c r="AB429" s="4">
        <f t="shared" si="428"/>
        <v>0</v>
      </c>
      <c r="AC429" s="4">
        <f t="shared" si="428"/>
        <v>0</v>
      </c>
      <c r="AD429" s="4">
        <f t="shared" si="428"/>
        <v>0</v>
      </c>
      <c r="AE429" s="4" t="str">
        <f>'Form responses 1'!AN431</f>
        <v/>
      </c>
      <c r="AF429" s="4" t="str">
        <f>'Form responses 1'!AO431</f>
        <v/>
      </c>
      <c r="AG429" s="4" t="str">
        <f>'Form responses 1'!AP431</f>
        <v/>
      </c>
      <c r="AH429" s="4" t="str">
        <f>'Form responses 1'!AQ431</f>
        <v/>
      </c>
      <c r="AI429" s="4" t="str">
        <f>'Form responses 1'!AR431</f>
        <v/>
      </c>
    </row>
    <row r="430">
      <c r="A430" s="26">
        <f>'Form responses 1'!B552</f>
        <v>46070</v>
      </c>
      <c r="B430" s="4" t="str">
        <f>'Form responses 1'!AZ552</f>
        <v>greeshma.vanneldas@capsdelivery.com</v>
      </c>
      <c r="C430" s="4" t="str">
        <f>'Form responses 1'!BR552</f>
        <v>IFC INDIAN FAV CHEFIFC INDIAN FAV CHEF</v>
      </c>
      <c r="D430" s="4" t="str">
        <f>'Form responses 1'!AT552</f>
        <v>discussion done with owner need to think</v>
      </c>
      <c r="E430" s="4" t="str">
        <f>'Form responses 1'!AU552</f>
        <v>Yes</v>
      </c>
      <c r="F430" s="4" t="str">
        <f>'Form responses 1'!AX552</f>
        <v/>
      </c>
      <c r="G430" s="4" t="str">
        <f>'Form responses 1'!AY552</f>
        <v/>
      </c>
      <c r="H430" s="53" t="str">
        <f>'Form responses 1'!AW552</f>
        <v/>
      </c>
      <c r="I430" s="4" t="str">
        <f>'Form responses 1'!AS552</f>
        <v/>
      </c>
      <c r="J430" s="4" t="str">
        <f>'Form responses 1'!J552</f>
        <v/>
      </c>
      <c r="K430" s="4" t="str">
        <f>'Form responses 1'!G552</f>
        <v/>
      </c>
      <c r="L430" s="4" t="str">
        <f>'Form responses 1'!F552</f>
        <v/>
      </c>
      <c r="M430" s="4" t="str">
        <f>'Form responses 1'!U552</f>
        <v>na</v>
      </c>
      <c r="N430" s="4" t="str">
        <f>'Form responses 1'!V552</f>
        <v>POC-70042 40970(Owner)</v>
      </c>
      <c r="O430" s="4" t="str">
        <f>'Form responses 1'!W552</f>
        <v>na</v>
      </c>
      <c r="P430" s="4" t="str">
        <f>'Form responses 1'!X552</f>
        <v/>
      </c>
      <c r="Q430" s="4" t="str">
        <f>'Form responses 1'!Y552</f>
        <v/>
      </c>
      <c r="R430" s="4" t="str">
        <f>'Form responses 1'!Z552</f>
        <v/>
      </c>
      <c r="S430" s="4" t="str">
        <f>'Form responses 1'!AC552</f>
        <v/>
      </c>
      <c r="T430" s="4" t="str">
        <f>'Form responses 1'!AE552</f>
        <v/>
      </c>
      <c r="U430" s="4" t="str">
        <f>'Form responses 1'!AG552</f>
        <v/>
      </c>
      <c r="V430" s="4" t="str">
        <f>'Form responses 1'!AI552</f>
        <v/>
      </c>
      <c r="W430" s="4" t="str">
        <f>'Form responses 1'!AJ552</f>
        <v/>
      </c>
      <c r="X430" s="4" t="str">
        <f>'Form responses 1'!AK552</f>
        <v/>
      </c>
      <c r="Y430" s="4">
        <f t="shared" ref="Y430:AD430" si="429">if(S430&gt;0,1,0)</f>
        <v>0</v>
      </c>
      <c r="Z430" s="4">
        <f t="shared" si="429"/>
        <v>0</v>
      </c>
      <c r="AA430" s="4">
        <f t="shared" si="429"/>
        <v>0</v>
      </c>
      <c r="AB430" s="4">
        <f t="shared" si="429"/>
        <v>0</v>
      </c>
      <c r="AC430" s="4">
        <f t="shared" si="429"/>
        <v>0</v>
      </c>
      <c r="AD430" s="4">
        <f t="shared" si="429"/>
        <v>0</v>
      </c>
      <c r="AE430" s="4" t="str">
        <f>'Form responses 1'!AN552</f>
        <v/>
      </c>
      <c r="AF430" s="4" t="str">
        <f>'Form responses 1'!AO552</f>
        <v/>
      </c>
      <c r="AG430" s="4" t="str">
        <f>'Form responses 1'!AP552</f>
        <v/>
      </c>
      <c r="AH430" s="4" t="str">
        <f>'Form responses 1'!AQ552</f>
        <v/>
      </c>
      <c r="AI430" s="4" t="str">
        <f>'Form responses 1'!AR552</f>
        <v/>
      </c>
    </row>
    <row r="431">
      <c r="A431" s="26">
        <f>'Form responses 1'!B541</f>
        <v>46070</v>
      </c>
      <c r="B431" s="4" t="str">
        <f>'Form responses 1'!AZ541</f>
        <v>greeshma.vanneldas@capsdelivery.com</v>
      </c>
      <c r="C431" s="4" t="str">
        <f>'Form responses 1'!BR541</f>
        <v>Just bake</v>
      </c>
      <c r="D431" s="4" t="str">
        <f>'Form responses 1'!AT541</f>
        <v>meeting scheduled tomorrow</v>
      </c>
      <c r="E431" s="4" t="str">
        <f>'Form responses 1'!AU541</f>
        <v>Yes</v>
      </c>
      <c r="F431" s="4" t="str">
        <f>'Form responses 1'!AX541</f>
        <v/>
      </c>
      <c r="G431" s="4" t="str">
        <f>'Form responses 1'!AY541</f>
        <v/>
      </c>
      <c r="H431" s="53" t="str">
        <f>'Form responses 1'!AW541</f>
        <v/>
      </c>
      <c r="I431" s="4" t="str">
        <f>'Form responses 1'!AS541</f>
        <v/>
      </c>
      <c r="J431" s="4" t="str">
        <f>'Form responses 1'!J541</f>
        <v>Tier-2 (AOV &lt;400)</v>
      </c>
      <c r="K431" s="4">
        <f>'Form responses 1'!G541</f>
        <v>300</v>
      </c>
      <c r="L431" s="4">
        <f>'Form responses 1'!F541</f>
        <v>15</v>
      </c>
      <c r="M431" s="4" t="str">
        <f>'Form responses 1'!U541</f>
        <v>Mohan</v>
      </c>
      <c r="N431" s="4">
        <f>'Form responses 1'!V541</f>
        <v>9666669210</v>
      </c>
      <c r="O431" s="4" t="str">
        <f>'Form responses 1'!W541</f>
        <v>na</v>
      </c>
      <c r="P431" s="4" t="str">
        <f>'Form responses 1'!X541</f>
        <v/>
      </c>
      <c r="Q431" s="4" t="str">
        <f>'Form responses 1'!Y541</f>
        <v/>
      </c>
      <c r="R431" s="4" t="str">
        <f>'Form responses 1'!Z541</f>
        <v/>
      </c>
      <c r="S431" s="4" t="str">
        <f>'Form responses 1'!AC541</f>
        <v/>
      </c>
      <c r="T431" s="4" t="str">
        <f>'Form responses 1'!AE541</f>
        <v/>
      </c>
      <c r="U431" s="4" t="str">
        <f>'Form responses 1'!AG541</f>
        <v/>
      </c>
      <c r="V431" s="4" t="str">
        <f>'Form responses 1'!AI541</f>
        <v/>
      </c>
      <c r="W431" s="4" t="str">
        <f>'Form responses 1'!AJ541</f>
        <v/>
      </c>
      <c r="X431" s="4" t="str">
        <f>'Form responses 1'!AK541</f>
        <v/>
      </c>
      <c r="Y431" s="4">
        <f t="shared" ref="Y431:AD431" si="430">if(S431&gt;0,1,0)</f>
        <v>0</v>
      </c>
      <c r="Z431" s="4">
        <f t="shared" si="430"/>
        <v>0</v>
      </c>
      <c r="AA431" s="4">
        <f t="shared" si="430"/>
        <v>0</v>
      </c>
      <c r="AB431" s="4">
        <f t="shared" si="430"/>
        <v>0</v>
      </c>
      <c r="AC431" s="4">
        <f t="shared" si="430"/>
        <v>0</v>
      </c>
      <c r="AD431" s="4">
        <f t="shared" si="430"/>
        <v>0</v>
      </c>
      <c r="AE431" s="4" t="str">
        <f>'Form responses 1'!AN541</f>
        <v/>
      </c>
      <c r="AF431" s="4" t="str">
        <f>'Form responses 1'!AO541</f>
        <v/>
      </c>
      <c r="AG431" s="4" t="str">
        <f>'Form responses 1'!AP541</f>
        <v/>
      </c>
      <c r="AH431" s="4" t="str">
        <f>'Form responses 1'!AQ541</f>
        <v/>
      </c>
      <c r="AI431" s="4" t="str">
        <f>'Form responses 1'!AR541</f>
        <v/>
      </c>
    </row>
    <row r="432">
      <c r="A432" s="26">
        <f>'Form responses 1'!B434</f>
        <v>46069</v>
      </c>
      <c r="B432" s="4" t="str">
        <f>'Form responses 1'!AZ434</f>
        <v>ankitha.baske@capsdelivery.com</v>
      </c>
      <c r="C432" s="4" t="str">
        <f>'Form responses 1'!BR434</f>
        <v>Deccan Dhaba</v>
      </c>
      <c r="D432" s="4" t="str">
        <f>'Form responses 1'!AT434</f>
        <v/>
      </c>
      <c r="E432" s="4" t="str">
        <f>'Form responses 1'!AU434</f>
        <v>Yes</v>
      </c>
      <c r="F432" s="4" t="str">
        <f>'Form responses 1'!AX434</f>
        <v/>
      </c>
      <c r="G432" s="4" t="str">
        <f>'Form responses 1'!AY434</f>
        <v/>
      </c>
      <c r="H432" s="53" t="str">
        <f>'Form responses 1'!AW434</f>
        <v/>
      </c>
      <c r="I432" s="4" t="str">
        <f>'Form responses 1'!AS434</f>
        <v/>
      </c>
      <c r="J432" s="4" t="str">
        <f>'Form responses 1'!J434</f>
        <v/>
      </c>
      <c r="K432" s="4" t="str">
        <f>'Form responses 1'!G434</f>
        <v/>
      </c>
      <c r="L432" s="4" t="str">
        <f>'Form responses 1'!F434</f>
        <v/>
      </c>
      <c r="M432" s="4" t="str">
        <f>'Form responses 1'!U434</f>
        <v>NA</v>
      </c>
      <c r="N432" s="4" t="str">
        <f>'Form responses 1'!V434</f>
        <v>NA</v>
      </c>
      <c r="O432" s="4" t="str">
        <f>'Form responses 1'!W434</f>
        <v>NA</v>
      </c>
      <c r="P432" s="4" t="str">
        <f>'Form responses 1'!X434</f>
        <v/>
      </c>
      <c r="Q432" s="4" t="str">
        <f>'Form responses 1'!Y434</f>
        <v/>
      </c>
      <c r="R432" s="4" t="str">
        <f>'Form responses 1'!Z434</f>
        <v/>
      </c>
      <c r="S432" s="4" t="str">
        <f>'Form responses 1'!AC434</f>
        <v/>
      </c>
      <c r="T432" s="4" t="str">
        <f>'Form responses 1'!AE434</f>
        <v/>
      </c>
      <c r="U432" s="4" t="str">
        <f>'Form responses 1'!AG434</f>
        <v/>
      </c>
      <c r="V432" s="4" t="str">
        <f>'Form responses 1'!AI434</f>
        <v/>
      </c>
      <c r="W432" s="4" t="str">
        <f>'Form responses 1'!AJ434</f>
        <v/>
      </c>
      <c r="X432" s="4" t="str">
        <f>'Form responses 1'!AK434</f>
        <v/>
      </c>
      <c r="Y432" s="4">
        <f t="shared" ref="Y432:AD432" si="431">if(S432&gt;0,1,0)</f>
        <v>0</v>
      </c>
      <c r="Z432" s="4">
        <f t="shared" si="431"/>
        <v>0</v>
      </c>
      <c r="AA432" s="4">
        <f t="shared" si="431"/>
        <v>0</v>
      </c>
      <c r="AB432" s="4">
        <f t="shared" si="431"/>
        <v>0</v>
      </c>
      <c r="AC432" s="4">
        <f t="shared" si="431"/>
        <v>0</v>
      </c>
      <c r="AD432" s="4">
        <f t="shared" si="431"/>
        <v>0</v>
      </c>
      <c r="AE432" s="4" t="str">
        <f>'Form responses 1'!AN434</f>
        <v/>
      </c>
      <c r="AF432" s="4" t="str">
        <f>'Form responses 1'!AO434</f>
        <v/>
      </c>
      <c r="AG432" s="4" t="str">
        <f>'Form responses 1'!AP434</f>
        <v/>
      </c>
      <c r="AH432" s="4" t="str">
        <f>'Form responses 1'!AQ434</f>
        <v/>
      </c>
      <c r="AI432" s="4" t="str">
        <f>'Form responses 1'!AR434</f>
        <v/>
      </c>
    </row>
    <row r="433">
      <c r="A433" s="26">
        <f>'Form responses 1'!B435</f>
        <v>46069</v>
      </c>
      <c r="B433" s="4" t="str">
        <f>'Form responses 1'!AZ435</f>
        <v>moin.khan@capsdelivery.com</v>
      </c>
      <c r="C433" s="4" t="str">
        <f>'Form responses 1'!BR435</f>
        <v>priyansh fast food </v>
      </c>
      <c r="D433" s="4" t="str">
        <f>'Form responses 1'!AT435</f>
        <v/>
      </c>
      <c r="E433" s="4" t="str">
        <f>'Form responses 1'!AU435</f>
        <v>Yes</v>
      </c>
      <c r="F433" s="26">
        <f>'Form responses 1'!AX435</f>
        <v>46070</v>
      </c>
      <c r="G433" s="52">
        <f>'Form responses 1'!AY435</f>
        <v>0.5416666667</v>
      </c>
      <c r="H433" s="53" t="str">
        <f>'Form responses 1'!AW435</f>
        <v/>
      </c>
      <c r="I433" s="4" t="str">
        <f>'Form responses 1'!AS435</f>
        <v>Yes</v>
      </c>
      <c r="J433" s="4" t="str">
        <f>'Form responses 1'!J435</f>
        <v>Tier-2 (AOV &lt;400)</v>
      </c>
      <c r="K433" s="4">
        <f>'Form responses 1'!G435</f>
        <v>250</v>
      </c>
      <c r="L433" s="4">
        <f>'Form responses 1'!F435</f>
        <v>30</v>
      </c>
      <c r="M433" s="4" t="str">
        <f>'Form responses 1'!U435</f>
        <v>VENKETESH</v>
      </c>
      <c r="N433" s="4" t="str">
        <f>'Form responses 1'!V435</f>
        <v>832 856 8920</v>
      </c>
      <c r="O433" s="4" t="str">
        <f>'Form responses 1'!W435</f>
        <v>Rathodvenkat62@gmail.com</v>
      </c>
      <c r="P433" s="4" t="str">
        <f>'Form responses 1'!X435</f>
        <v/>
      </c>
      <c r="Q433" s="4" t="str">
        <f>'Form responses 1'!Y435</f>
        <v/>
      </c>
      <c r="R433" s="4" t="str">
        <f>'Form responses 1'!Z435</f>
        <v/>
      </c>
      <c r="S433" s="54" t="str">
        <f>'Form responses 1'!AC435</f>
        <v>https://drive.google.com/open?id=1WyRpq7Y9UlNtgHY06tO1Rf-kj6bCjxqg</v>
      </c>
      <c r="T433" s="4" t="str">
        <f>'Form responses 1'!AE435</f>
        <v/>
      </c>
      <c r="U433" s="54" t="str">
        <f>'Form responses 1'!AG435</f>
        <v>https://drive.google.com/open?id=1a4jrdCpp0mdyelv-EXaW5gTBFvJFBFj8</v>
      </c>
      <c r="V433" s="4" t="str">
        <f>'Form responses 1'!AI435</f>
        <v/>
      </c>
      <c r="W433" s="4" t="str">
        <f>'Form responses 1'!AJ435</f>
        <v/>
      </c>
      <c r="X433" s="4" t="str">
        <f>'Form responses 1'!AK435</f>
        <v/>
      </c>
      <c r="Y433" s="4">
        <f t="shared" ref="Y433:AD433" si="432">if(S433&gt;0,1,0)</f>
        <v>1</v>
      </c>
      <c r="Z433" s="4">
        <f t="shared" si="432"/>
        <v>0</v>
      </c>
      <c r="AA433" s="4">
        <f t="shared" si="432"/>
        <v>1</v>
      </c>
      <c r="AB433" s="4">
        <f t="shared" si="432"/>
        <v>0</v>
      </c>
      <c r="AC433" s="4">
        <f t="shared" si="432"/>
        <v>0</v>
      </c>
      <c r="AD433" s="4">
        <f t="shared" si="432"/>
        <v>0</v>
      </c>
      <c r="AE433" s="4" t="str">
        <f>'Form responses 1'!AN435</f>
        <v/>
      </c>
      <c r="AF433" s="4" t="str">
        <f>'Form responses 1'!AO435</f>
        <v/>
      </c>
      <c r="AG433" s="4" t="str">
        <f>'Form responses 1'!AP435</f>
        <v/>
      </c>
      <c r="AH433" s="4" t="str">
        <f>'Form responses 1'!AQ435</f>
        <v/>
      </c>
      <c r="AI433" s="4" t="str">
        <f>'Form responses 1'!AR435</f>
        <v/>
      </c>
    </row>
    <row r="434">
      <c r="A434" s="26">
        <f>'Form responses 1'!B436</f>
        <v>46069</v>
      </c>
      <c r="B434" s="4" t="str">
        <f>'Form responses 1'!AZ436</f>
        <v>chanakya.inugala@capsdelivery.com</v>
      </c>
      <c r="C434" s="4" t="str">
        <f>'Form responses 1'!BR436</f>
        <v>Sardarji kitchen </v>
      </c>
      <c r="D434" s="4" t="str">
        <f>'Form responses 1'!AT436</f>
        <v/>
      </c>
      <c r="E434" s="4" t="str">
        <f>'Form responses 1'!AU436</f>
        <v>Yes</v>
      </c>
      <c r="F434" s="4" t="str">
        <f>'Form responses 1'!AX436</f>
        <v/>
      </c>
      <c r="G434" s="4" t="str">
        <f>'Form responses 1'!AY436</f>
        <v/>
      </c>
      <c r="H434" s="53" t="str">
        <f>'Form responses 1'!AW436</f>
        <v/>
      </c>
      <c r="I434" s="4" t="str">
        <f>'Form responses 1'!AS436</f>
        <v/>
      </c>
      <c r="J434" s="4" t="str">
        <f>'Form responses 1'!J436</f>
        <v>Tier-2 (AOV &lt;400)</v>
      </c>
      <c r="K434" s="4">
        <f>'Form responses 1'!G436</f>
        <v>200</v>
      </c>
      <c r="L434" s="4">
        <f>'Form responses 1'!F436</f>
        <v>30</v>
      </c>
      <c r="M434" s="4" t="str">
        <f>'Form responses 1'!U436</f>
        <v>Gurvinder Singh </v>
      </c>
      <c r="N434" s="4">
        <f>'Form responses 1'!V436</f>
        <v>9642357335</v>
      </c>
      <c r="O434" s="4" t="str">
        <f>'Form responses 1'!W436</f>
        <v>Na</v>
      </c>
      <c r="P434" s="4" t="str">
        <f>'Form responses 1'!X436</f>
        <v/>
      </c>
      <c r="Q434" s="4" t="str">
        <f>'Form responses 1'!Y436</f>
        <v/>
      </c>
      <c r="R434" s="4" t="str">
        <f>'Form responses 1'!Z436</f>
        <v/>
      </c>
      <c r="S434" s="4" t="str">
        <f>'Form responses 1'!AC436</f>
        <v/>
      </c>
      <c r="T434" s="4" t="str">
        <f>'Form responses 1'!AE436</f>
        <v/>
      </c>
      <c r="U434" s="4" t="str">
        <f>'Form responses 1'!AG436</f>
        <v/>
      </c>
      <c r="V434" s="4" t="str">
        <f>'Form responses 1'!AI436</f>
        <v/>
      </c>
      <c r="W434" s="4" t="str">
        <f>'Form responses 1'!AJ436</f>
        <v/>
      </c>
      <c r="X434" s="4" t="str">
        <f>'Form responses 1'!AK436</f>
        <v/>
      </c>
      <c r="Y434" s="4">
        <f t="shared" ref="Y434:AD434" si="433">if(S434&gt;0,1,0)</f>
        <v>0</v>
      </c>
      <c r="Z434" s="4">
        <f t="shared" si="433"/>
        <v>0</v>
      </c>
      <c r="AA434" s="4">
        <f t="shared" si="433"/>
        <v>0</v>
      </c>
      <c r="AB434" s="4">
        <f t="shared" si="433"/>
        <v>0</v>
      </c>
      <c r="AC434" s="4">
        <f t="shared" si="433"/>
        <v>0</v>
      </c>
      <c r="AD434" s="4">
        <f t="shared" si="433"/>
        <v>0</v>
      </c>
      <c r="AE434" s="4" t="str">
        <f>'Form responses 1'!AN436</f>
        <v/>
      </c>
      <c r="AF434" s="4" t="str">
        <f>'Form responses 1'!AO436</f>
        <v/>
      </c>
      <c r="AG434" s="4" t="str">
        <f>'Form responses 1'!AP436</f>
        <v/>
      </c>
      <c r="AH434" s="4" t="str">
        <f>'Form responses 1'!AQ436</f>
        <v/>
      </c>
      <c r="AI434" s="4" t="str">
        <f>'Form responses 1'!AR436</f>
        <v/>
      </c>
    </row>
    <row r="435">
      <c r="A435" s="26">
        <f>'Form responses 1'!B437</f>
        <v>46069</v>
      </c>
      <c r="B435" s="4" t="str">
        <f>'Form responses 1'!AZ437</f>
        <v>moin.khan@capsdelivery.com</v>
      </c>
      <c r="C435" s="4" t="str">
        <f>'Form responses 1'!BR437</f>
        <v>mysore bakery </v>
      </c>
      <c r="D435" s="4" t="str">
        <f>'Form responses 1'!AT437</f>
        <v>ONBOARDED</v>
      </c>
      <c r="E435" s="4" t="str">
        <f>'Form responses 1'!AU437</f>
        <v>No</v>
      </c>
      <c r="F435" s="4" t="str">
        <f>'Form responses 1'!AX437</f>
        <v/>
      </c>
      <c r="G435" s="4" t="str">
        <f>'Form responses 1'!AY437</f>
        <v/>
      </c>
      <c r="H435" s="53" t="str">
        <f>'Form responses 1'!AW437</f>
        <v/>
      </c>
      <c r="I435" s="4" t="str">
        <f>'Form responses 1'!AS437</f>
        <v>Yes</v>
      </c>
      <c r="J435" s="4" t="str">
        <f>'Form responses 1'!J437</f>
        <v>Tier-2 (AOV &lt;400)</v>
      </c>
      <c r="K435" s="4">
        <f>'Form responses 1'!G437</f>
        <v>300</v>
      </c>
      <c r="L435" s="4">
        <f>'Form responses 1'!F437</f>
        <v>20</v>
      </c>
      <c r="M435" s="4" t="str">
        <f>'Form responses 1'!U437</f>
        <v>DINESH</v>
      </c>
      <c r="N435" s="4">
        <f>'Form responses 1'!V437</f>
        <v>9885238434</v>
      </c>
      <c r="O435" s="4" t="str">
        <f>'Form responses 1'!W437</f>
        <v>NA</v>
      </c>
      <c r="P435" s="4" t="str">
        <f>'Form responses 1'!X437</f>
        <v/>
      </c>
      <c r="Q435" s="4" t="str">
        <f>'Form responses 1'!Y437</f>
        <v/>
      </c>
      <c r="R435" s="4" t="str">
        <f>'Form responses 1'!Z437</f>
        <v/>
      </c>
      <c r="S435" s="54" t="str">
        <f>'Form responses 1'!AC437</f>
        <v>https://drive.google.com/open?id=1d95a7vRIcXsPASPsC4bzqOyFhSVR4OSZ</v>
      </c>
      <c r="T435" s="4" t="str">
        <f>'Form responses 1'!AE437</f>
        <v/>
      </c>
      <c r="U435" s="54" t="str">
        <f>'Form responses 1'!AG437</f>
        <v>https://drive.google.com/open?id=1Ob5ZsFBnNcbO1RXlHH9F9alkofaUv9JU</v>
      </c>
      <c r="V435" s="4" t="str">
        <f>'Form responses 1'!AI437</f>
        <v/>
      </c>
      <c r="W435" s="4" t="str">
        <f>'Form responses 1'!AJ437</f>
        <v/>
      </c>
      <c r="X435" s="54" t="str">
        <f>'Form responses 1'!AK437</f>
        <v>https://drive.google.com/open?id=1dxElB3vRZ1tS6RVyXUrVqeRnYh81rGTu</v>
      </c>
      <c r="Y435" s="4">
        <f t="shared" ref="Y435:AD435" si="434">if(S435&gt;0,1,0)</f>
        <v>1</v>
      </c>
      <c r="Z435" s="4">
        <f t="shared" si="434"/>
        <v>0</v>
      </c>
      <c r="AA435" s="4">
        <f t="shared" si="434"/>
        <v>1</v>
      </c>
      <c r="AB435" s="4">
        <f t="shared" si="434"/>
        <v>0</v>
      </c>
      <c r="AC435" s="4">
        <f t="shared" si="434"/>
        <v>0</v>
      </c>
      <c r="AD435" s="4">
        <f t="shared" si="434"/>
        <v>1</v>
      </c>
      <c r="AE435" s="4" t="str">
        <f>'Form responses 1'!AN437</f>
        <v>C DINESH KUMAR</v>
      </c>
      <c r="AF435" s="4" t="str">
        <f>'Form responses 1'!AO437</f>
        <v>C DINESH KUMAR</v>
      </c>
      <c r="AG435" s="4" t="str">
        <f>'Form responses 1'!AP437</f>
        <v/>
      </c>
      <c r="AH435" s="4" t="str">
        <f>'Form responses 1'!AQ437</f>
        <v/>
      </c>
      <c r="AI435" s="4" t="str">
        <f>'Form responses 1'!AR437</f>
        <v>C DINESH KUMAR</v>
      </c>
    </row>
    <row r="436">
      <c r="A436" s="26">
        <f>'Form responses 1'!B438</f>
        <v>46069</v>
      </c>
      <c r="B436" s="4" t="str">
        <f>'Form responses 1'!AZ438</f>
        <v>chanakya.inugala@capsdelivery.com</v>
      </c>
      <c r="C436" s="4" t="str">
        <f>'Form responses 1'!BR438</f>
        <v>Kingston Restaurant </v>
      </c>
      <c r="D436" s="4" t="str">
        <f>'Form responses 1'!AT438</f>
        <v/>
      </c>
      <c r="E436" s="4" t="str">
        <f>'Form responses 1'!AU438</f>
        <v>Yes</v>
      </c>
      <c r="F436" s="4" t="str">
        <f>'Form responses 1'!AX438</f>
        <v/>
      </c>
      <c r="G436" s="4" t="str">
        <f>'Form responses 1'!AY438</f>
        <v/>
      </c>
      <c r="H436" s="53" t="str">
        <f>'Form responses 1'!AW438</f>
        <v/>
      </c>
      <c r="I436" s="4" t="str">
        <f>'Form responses 1'!AS438</f>
        <v/>
      </c>
      <c r="J436" s="4" t="str">
        <f>'Form responses 1'!J438</f>
        <v>Tier-2 (AOV &lt;400)</v>
      </c>
      <c r="K436" s="4">
        <f>'Form responses 1'!G438</f>
        <v>300</v>
      </c>
      <c r="L436" s="4">
        <f>'Form responses 1'!F438</f>
        <v>50</v>
      </c>
      <c r="M436" s="4" t="str">
        <f>'Form responses 1'!U438</f>
        <v>Sultan </v>
      </c>
      <c r="N436" s="4" t="str">
        <f>'Form responses 1'!V438</f>
        <v>Na</v>
      </c>
      <c r="O436" s="4" t="str">
        <f>'Form responses 1'!W438</f>
        <v>Na</v>
      </c>
      <c r="P436" s="4" t="str">
        <f>'Form responses 1'!X438</f>
        <v/>
      </c>
      <c r="Q436" s="4" t="str">
        <f>'Form responses 1'!Y438</f>
        <v/>
      </c>
      <c r="R436" s="4" t="str">
        <f>'Form responses 1'!Z438</f>
        <v/>
      </c>
      <c r="S436" s="4" t="str">
        <f>'Form responses 1'!AC438</f>
        <v/>
      </c>
      <c r="T436" s="4" t="str">
        <f>'Form responses 1'!AE438</f>
        <v/>
      </c>
      <c r="U436" s="4" t="str">
        <f>'Form responses 1'!AG438</f>
        <v/>
      </c>
      <c r="V436" s="4" t="str">
        <f>'Form responses 1'!AI438</f>
        <v/>
      </c>
      <c r="W436" s="4" t="str">
        <f>'Form responses 1'!AJ438</f>
        <v/>
      </c>
      <c r="X436" s="4" t="str">
        <f>'Form responses 1'!AK438</f>
        <v/>
      </c>
      <c r="Y436" s="4">
        <f t="shared" ref="Y436:AD436" si="435">if(S436&gt;0,1,0)</f>
        <v>0</v>
      </c>
      <c r="Z436" s="4">
        <f t="shared" si="435"/>
        <v>0</v>
      </c>
      <c r="AA436" s="4">
        <f t="shared" si="435"/>
        <v>0</v>
      </c>
      <c r="AB436" s="4">
        <f t="shared" si="435"/>
        <v>0</v>
      </c>
      <c r="AC436" s="4">
        <f t="shared" si="435"/>
        <v>0</v>
      </c>
      <c r="AD436" s="4">
        <f t="shared" si="435"/>
        <v>0</v>
      </c>
      <c r="AE436" s="4" t="str">
        <f>'Form responses 1'!AN438</f>
        <v/>
      </c>
      <c r="AF436" s="4" t="str">
        <f>'Form responses 1'!AO438</f>
        <v/>
      </c>
      <c r="AG436" s="4" t="str">
        <f>'Form responses 1'!AP438</f>
        <v/>
      </c>
      <c r="AH436" s="4" t="str">
        <f>'Form responses 1'!AQ438</f>
        <v/>
      </c>
      <c r="AI436" s="4" t="str">
        <f>'Form responses 1'!AR438</f>
        <v/>
      </c>
    </row>
    <row r="437">
      <c r="A437" s="26">
        <f>'Form responses 1'!B439</f>
        <v>46069</v>
      </c>
      <c r="B437" s="4" t="str">
        <f>'Form responses 1'!AZ439</f>
        <v>chanakya.inugala@capsdelivery.com</v>
      </c>
      <c r="C437" s="4" t="str">
        <f>'Form responses 1'!BR439</f>
        <v>Akshaya bhojanam </v>
      </c>
      <c r="D437" s="4" t="str">
        <f>'Form responses 1'!AT439</f>
        <v/>
      </c>
      <c r="E437" s="4" t="str">
        <f>'Form responses 1'!AU439</f>
        <v>Yes</v>
      </c>
      <c r="F437" s="4" t="str">
        <f>'Form responses 1'!AX439</f>
        <v/>
      </c>
      <c r="G437" s="4" t="str">
        <f>'Form responses 1'!AY439</f>
        <v/>
      </c>
      <c r="H437" s="53" t="str">
        <f>'Form responses 1'!AW439</f>
        <v/>
      </c>
      <c r="I437" s="4" t="str">
        <f>'Form responses 1'!AS439</f>
        <v/>
      </c>
      <c r="J437" s="4" t="str">
        <f>'Form responses 1'!J439</f>
        <v>Tier-3 ( AOV&lt;200 )</v>
      </c>
      <c r="K437" s="4">
        <f>'Form responses 1'!G439</f>
        <v>200</v>
      </c>
      <c r="L437" s="4">
        <f>'Form responses 1'!F439</f>
        <v>15</v>
      </c>
      <c r="M437" s="4" t="str">
        <f>'Form responses 1'!U439</f>
        <v>Santhosh </v>
      </c>
      <c r="N437" s="4">
        <f>'Form responses 1'!V439</f>
        <v>9790769073</v>
      </c>
      <c r="O437" s="4" t="str">
        <f>'Form responses 1'!W439</f>
        <v>Na</v>
      </c>
      <c r="P437" s="4" t="str">
        <f>'Form responses 1'!X439</f>
        <v/>
      </c>
      <c r="Q437" s="4" t="str">
        <f>'Form responses 1'!Y439</f>
        <v/>
      </c>
      <c r="R437" s="4" t="str">
        <f>'Form responses 1'!Z439</f>
        <v/>
      </c>
      <c r="S437" s="4" t="str">
        <f>'Form responses 1'!AC439</f>
        <v/>
      </c>
      <c r="T437" s="4" t="str">
        <f>'Form responses 1'!AE439</f>
        <v/>
      </c>
      <c r="U437" s="4" t="str">
        <f>'Form responses 1'!AG439</f>
        <v/>
      </c>
      <c r="V437" s="4" t="str">
        <f>'Form responses 1'!AI439</f>
        <v/>
      </c>
      <c r="W437" s="4" t="str">
        <f>'Form responses 1'!AJ439</f>
        <v/>
      </c>
      <c r="X437" s="4" t="str">
        <f>'Form responses 1'!AK439</f>
        <v/>
      </c>
      <c r="Y437" s="4">
        <f t="shared" ref="Y437:AD437" si="436">if(S437&gt;0,1,0)</f>
        <v>0</v>
      </c>
      <c r="Z437" s="4">
        <f t="shared" si="436"/>
        <v>0</v>
      </c>
      <c r="AA437" s="4">
        <f t="shared" si="436"/>
        <v>0</v>
      </c>
      <c r="AB437" s="4">
        <f t="shared" si="436"/>
        <v>0</v>
      </c>
      <c r="AC437" s="4">
        <f t="shared" si="436"/>
        <v>0</v>
      </c>
      <c r="AD437" s="4">
        <f t="shared" si="436"/>
        <v>0</v>
      </c>
      <c r="AE437" s="4" t="str">
        <f>'Form responses 1'!AN439</f>
        <v/>
      </c>
      <c r="AF437" s="4" t="str">
        <f>'Form responses 1'!AO439</f>
        <v/>
      </c>
      <c r="AG437" s="4" t="str">
        <f>'Form responses 1'!AP439</f>
        <v/>
      </c>
      <c r="AH437" s="4" t="str">
        <f>'Form responses 1'!AQ439</f>
        <v/>
      </c>
      <c r="AI437" s="4" t="str">
        <f>'Form responses 1'!AR439</f>
        <v/>
      </c>
    </row>
    <row r="438">
      <c r="A438" s="26">
        <f>'Form responses 1'!B440</f>
        <v>46069</v>
      </c>
      <c r="B438" s="4" t="str">
        <f>'Form responses 1'!AZ440</f>
        <v>moin.khan@capsdelivery.com</v>
      </c>
      <c r="C438" s="4" t="str">
        <f>'Form responses 1'!BR440</f>
        <v>NAWAB CAFETERIANAWAB CAFETERIA</v>
      </c>
      <c r="D438" s="4" t="str">
        <f>'Form responses 1'!AT440</f>
        <v/>
      </c>
      <c r="E438" s="4" t="str">
        <f>'Form responses 1'!AU440</f>
        <v>Yes</v>
      </c>
      <c r="F438" s="26">
        <f>'Form responses 1'!AX440</f>
        <v>46070</v>
      </c>
      <c r="G438" s="52">
        <f>'Form responses 1'!AY440</f>
        <v>0.71875</v>
      </c>
      <c r="H438" s="53" t="str">
        <f>'Form responses 1'!AW440</f>
        <v>ASKED TO COME 5 PM</v>
      </c>
      <c r="I438" s="4" t="str">
        <f>'Form responses 1'!AS440</f>
        <v/>
      </c>
      <c r="J438" s="4" t="str">
        <f>'Form responses 1'!J440</f>
        <v/>
      </c>
      <c r="K438" s="4" t="str">
        <f>'Form responses 1'!G440</f>
        <v/>
      </c>
      <c r="L438" s="4" t="str">
        <f>'Form responses 1'!F440</f>
        <v/>
      </c>
      <c r="M438" s="4" t="str">
        <f>'Form responses 1'!U440</f>
        <v>IRFAN</v>
      </c>
      <c r="N438" s="4" t="str">
        <f>'Form responses 1'!V440</f>
        <v>+91 891 919 3385</v>
      </c>
      <c r="O438" s="4" t="str">
        <f>'Form responses 1'!W440</f>
        <v>mohammedirfan5731@gmail.com</v>
      </c>
      <c r="P438" s="4" t="str">
        <f>'Form responses 1'!X440</f>
        <v/>
      </c>
      <c r="Q438" s="4" t="str">
        <f>'Form responses 1'!Y440</f>
        <v/>
      </c>
      <c r="R438" s="4" t="str">
        <f>'Form responses 1'!Z440</f>
        <v/>
      </c>
      <c r="S438" s="4" t="str">
        <f>'Form responses 1'!AC440</f>
        <v/>
      </c>
      <c r="T438" s="4" t="str">
        <f>'Form responses 1'!AE440</f>
        <v/>
      </c>
      <c r="U438" s="4" t="str">
        <f>'Form responses 1'!AG440</f>
        <v/>
      </c>
      <c r="V438" s="4" t="str">
        <f>'Form responses 1'!AI440</f>
        <v/>
      </c>
      <c r="W438" s="4" t="str">
        <f>'Form responses 1'!AJ440</f>
        <v/>
      </c>
      <c r="X438" s="4" t="str">
        <f>'Form responses 1'!AK440</f>
        <v/>
      </c>
      <c r="Y438" s="4">
        <f t="shared" ref="Y438:AD438" si="437">if(S438&gt;0,1,0)</f>
        <v>0</v>
      </c>
      <c r="Z438" s="4">
        <f t="shared" si="437"/>
        <v>0</v>
      </c>
      <c r="AA438" s="4">
        <f t="shared" si="437"/>
        <v>0</v>
      </c>
      <c r="AB438" s="4">
        <f t="shared" si="437"/>
        <v>0</v>
      </c>
      <c r="AC438" s="4">
        <f t="shared" si="437"/>
        <v>0</v>
      </c>
      <c r="AD438" s="4">
        <f t="shared" si="437"/>
        <v>0</v>
      </c>
      <c r="AE438" s="4" t="str">
        <f>'Form responses 1'!AN440</f>
        <v/>
      </c>
      <c r="AF438" s="4" t="str">
        <f>'Form responses 1'!AO440</f>
        <v/>
      </c>
      <c r="AG438" s="4" t="str">
        <f>'Form responses 1'!AP440</f>
        <v/>
      </c>
      <c r="AH438" s="4" t="str">
        <f>'Form responses 1'!AQ440</f>
        <v/>
      </c>
      <c r="AI438" s="4" t="str">
        <f>'Form responses 1'!AR440</f>
        <v/>
      </c>
    </row>
    <row r="439">
      <c r="A439" s="26">
        <f>'Form responses 1'!B733</f>
        <v>46073</v>
      </c>
      <c r="B439" s="4" t="str">
        <f>'Form responses 1'!AZ733</f>
        <v>greeshma.vanneldas@capsdelivery.com</v>
      </c>
      <c r="C439" s="4" t="str">
        <f>'Form responses 1'!BR733</f>
        <v>Kadak house</v>
      </c>
      <c r="D439" s="4" t="str">
        <f>'Form responses 1'!AT733</f>
        <v>They have 6 outlets,main branch is in jubliee hills kbr park</v>
      </c>
      <c r="E439" s="4" t="str">
        <f>'Form responses 1'!AU733</f>
        <v>Yes</v>
      </c>
      <c r="F439" s="4" t="str">
        <f>'Form responses 1'!AX733</f>
        <v/>
      </c>
      <c r="G439" s="4" t="str">
        <f>'Form responses 1'!AY733</f>
        <v/>
      </c>
      <c r="H439" s="53" t="str">
        <f>'Form responses 1'!AW733</f>
        <v/>
      </c>
      <c r="I439" s="4" t="str">
        <f>'Form responses 1'!AS733</f>
        <v/>
      </c>
      <c r="J439" s="4" t="str">
        <f>'Form responses 1'!J733</f>
        <v/>
      </c>
      <c r="K439" s="4" t="str">
        <f>'Form responses 1'!G733</f>
        <v/>
      </c>
      <c r="L439" s="4" t="str">
        <f>'Form responses 1'!F733</f>
        <v/>
      </c>
      <c r="M439" s="4" t="str">
        <f>'Form responses 1'!U733</f>
        <v>sameer</v>
      </c>
      <c r="N439" s="4" t="str">
        <f>'Form responses 1'!V733</f>
        <v>na</v>
      </c>
      <c r="O439" s="4" t="str">
        <f>'Form responses 1'!W733</f>
        <v>na</v>
      </c>
      <c r="P439" s="4" t="str">
        <f>'Form responses 1'!X733</f>
        <v/>
      </c>
      <c r="Q439" s="4" t="str">
        <f>'Form responses 1'!Y733</f>
        <v/>
      </c>
      <c r="R439" s="4" t="str">
        <f>'Form responses 1'!Z733</f>
        <v/>
      </c>
      <c r="S439" s="4" t="str">
        <f>'Form responses 1'!AC733</f>
        <v/>
      </c>
      <c r="T439" s="4" t="str">
        <f>'Form responses 1'!AE733</f>
        <v/>
      </c>
      <c r="U439" s="4" t="str">
        <f>'Form responses 1'!AG733</f>
        <v/>
      </c>
      <c r="V439" s="4" t="str">
        <f>'Form responses 1'!AI733</f>
        <v/>
      </c>
      <c r="W439" s="4" t="str">
        <f>'Form responses 1'!AJ733</f>
        <v/>
      </c>
      <c r="X439" s="4" t="str">
        <f>'Form responses 1'!AK733</f>
        <v/>
      </c>
      <c r="Y439" s="4">
        <f t="shared" ref="Y439:AD439" si="438">if(S439&gt;0,1,0)</f>
        <v>0</v>
      </c>
      <c r="Z439" s="4">
        <f t="shared" si="438"/>
        <v>0</v>
      </c>
      <c r="AA439" s="4">
        <f t="shared" si="438"/>
        <v>0</v>
      </c>
      <c r="AB439" s="4">
        <f t="shared" si="438"/>
        <v>0</v>
      </c>
      <c r="AC439" s="4">
        <f t="shared" si="438"/>
        <v>0</v>
      </c>
      <c r="AD439" s="4">
        <f t="shared" si="438"/>
        <v>0</v>
      </c>
      <c r="AE439" s="4" t="str">
        <f>'Form responses 1'!AN733</f>
        <v/>
      </c>
      <c r="AF439" s="4" t="str">
        <f>'Form responses 1'!AO1852</f>
        <v/>
      </c>
      <c r="AG439" s="4" t="str">
        <f>'Form responses 1'!AP1852</f>
        <v/>
      </c>
      <c r="AH439" s="4" t="str">
        <f>'Form responses 1'!AQ1852</f>
        <v/>
      </c>
      <c r="AI439" s="4" t="str">
        <f>'Form responses 1'!AR1852</f>
        <v/>
      </c>
    </row>
    <row r="440">
      <c r="A440" s="26">
        <f>'Form responses 1'!B442</f>
        <v>46069</v>
      </c>
      <c r="B440" s="4" t="str">
        <f>'Form responses 1'!AZ442</f>
        <v>manisha.kumari@capsdelivery.com</v>
      </c>
      <c r="C440" s="4" t="str">
        <f>'Form responses 1'!BR442</f>
        <v>Hard Rock CafeHard Rock Cafe</v>
      </c>
      <c r="D440" s="4" t="str">
        <f>'Form responses 1'!AT442</f>
        <v>Asked to share the proposal over the email</v>
      </c>
      <c r="E440" s="4" t="str">
        <f>'Form responses 1'!AU442</f>
        <v>Yes</v>
      </c>
      <c r="F440" s="55">
        <f>'Form responses 1'!AX442</f>
        <v>46070</v>
      </c>
      <c r="G440" s="4" t="str">
        <f>'Form responses 1'!AY442</f>
        <v/>
      </c>
      <c r="H440" s="53" t="str">
        <f>'Form responses 1'!AW442</f>
        <v/>
      </c>
      <c r="I440" s="4" t="str">
        <f>'Form responses 1'!AS442</f>
        <v/>
      </c>
      <c r="J440" s="4" t="str">
        <f>'Form responses 1'!J442</f>
        <v>Tier-1(AOV&gt;400)</v>
      </c>
      <c r="K440" s="4">
        <f>'Form responses 1'!G442</f>
        <v>800</v>
      </c>
      <c r="L440" s="4">
        <f>'Form responses 1'!F442</f>
        <v>80</v>
      </c>
      <c r="M440" s="4" t="str">
        <f>'Form responses 1'!U442</f>
        <v>T Naveen Kumar</v>
      </c>
      <c r="N440" s="4">
        <f>'Form responses 1'!V442</f>
        <v>9985287122</v>
      </c>
      <c r="O440" s="4" t="str">
        <f>'Form responses 1'!W442</f>
        <v>om.hrchyd@jsmcorp.in</v>
      </c>
      <c r="P440" s="4" t="str">
        <f>'Form responses 1'!X442</f>
        <v/>
      </c>
      <c r="Q440" s="4" t="str">
        <f>'Form responses 1'!Y442</f>
        <v/>
      </c>
      <c r="R440" s="4" t="str">
        <f>'Form responses 1'!Z442</f>
        <v/>
      </c>
      <c r="S440" s="4" t="str">
        <f>'Form responses 1'!AC442</f>
        <v/>
      </c>
      <c r="T440" s="4" t="str">
        <f>'Form responses 1'!AE442</f>
        <v/>
      </c>
      <c r="U440" s="4" t="str">
        <f>'Form responses 1'!AG442</f>
        <v/>
      </c>
      <c r="V440" s="4" t="str">
        <f>'Form responses 1'!AI442</f>
        <v/>
      </c>
      <c r="W440" s="4" t="str">
        <f>'Form responses 1'!AJ442</f>
        <v/>
      </c>
      <c r="X440" s="4" t="str">
        <f>'Form responses 1'!AK442</f>
        <v/>
      </c>
      <c r="Y440" s="4">
        <f t="shared" ref="Y440:AD440" si="439">if(S440&gt;0,1,0)</f>
        <v>0</v>
      </c>
      <c r="Z440" s="4">
        <f t="shared" si="439"/>
        <v>0</v>
      </c>
      <c r="AA440" s="4">
        <f t="shared" si="439"/>
        <v>0</v>
      </c>
      <c r="AB440" s="4">
        <f t="shared" si="439"/>
        <v>0</v>
      </c>
      <c r="AC440" s="4">
        <f t="shared" si="439"/>
        <v>0</v>
      </c>
      <c r="AD440" s="4">
        <f t="shared" si="439"/>
        <v>0</v>
      </c>
      <c r="AE440" s="4" t="str">
        <f>'Form responses 1'!AN442</f>
        <v/>
      </c>
      <c r="AF440" s="4" t="str">
        <f>'Form responses 1'!AO442</f>
        <v/>
      </c>
      <c r="AG440" s="4" t="str">
        <f>'Form responses 1'!AP442</f>
        <v/>
      </c>
      <c r="AH440" s="4" t="str">
        <f>'Form responses 1'!AQ442</f>
        <v/>
      </c>
      <c r="AI440" s="4" t="str">
        <f>'Form responses 1'!AR442</f>
        <v/>
      </c>
    </row>
    <row r="441">
      <c r="A441" s="26">
        <f>'Form responses 1'!B443</f>
        <v>46069</v>
      </c>
      <c r="B441" s="4" t="str">
        <f>'Form responses 1'!AZ443</f>
        <v>sumadhur.mummadi@capsdelivery.com</v>
      </c>
      <c r="C441" s="4" t="str">
        <f>'Form responses 1'!BR443</f>
        <v>Deerga Ayushman bhava Deerga Ayushman bhava </v>
      </c>
      <c r="D441" s="4" t="str">
        <f>'Form responses 1'!AT443</f>
        <v>Onboarding will be done tomorrow </v>
      </c>
      <c r="E441" s="4" t="str">
        <f>'Form responses 1'!AU443</f>
        <v>Yes</v>
      </c>
      <c r="F441" s="26">
        <f>'Form responses 1'!AX443</f>
        <v>46070</v>
      </c>
      <c r="G441" s="52">
        <f>'Form responses 1'!AY443</f>
        <v>0.5416666667</v>
      </c>
      <c r="H441" s="53" t="str">
        <f>'Form responses 1'!AW443</f>
        <v/>
      </c>
      <c r="I441" s="4" t="str">
        <f>'Form responses 1'!AS443</f>
        <v/>
      </c>
      <c r="J441" s="4" t="str">
        <f>'Form responses 1'!J443</f>
        <v/>
      </c>
      <c r="K441" s="4" t="str">
        <f>'Form responses 1'!G443</f>
        <v/>
      </c>
      <c r="L441" s="4" t="str">
        <f>'Form responses 1'!F443</f>
        <v/>
      </c>
      <c r="M441" s="4" t="str">
        <f>'Form responses 1'!U443</f>
        <v>Srinivas </v>
      </c>
      <c r="N441" s="4" t="str">
        <f>'Form responses 1'!V443</f>
        <v>+91 96180 84946</v>
      </c>
      <c r="O441" s="4" t="str">
        <f>'Form responses 1'!W443</f>
        <v>NA </v>
      </c>
      <c r="P441" s="4" t="str">
        <f>'Form responses 1'!X443</f>
        <v/>
      </c>
      <c r="Q441" s="4" t="str">
        <f>'Form responses 1'!Y443</f>
        <v/>
      </c>
      <c r="R441" s="4" t="str">
        <f>'Form responses 1'!Z443</f>
        <v/>
      </c>
      <c r="S441" s="4" t="str">
        <f>'Form responses 1'!AC443</f>
        <v/>
      </c>
      <c r="T441" s="4" t="str">
        <f>'Form responses 1'!AE443</f>
        <v/>
      </c>
      <c r="U441" s="4" t="str">
        <f>'Form responses 1'!AG443</f>
        <v/>
      </c>
      <c r="V441" s="4" t="str">
        <f>'Form responses 1'!AI443</f>
        <v/>
      </c>
      <c r="W441" s="4" t="str">
        <f>'Form responses 1'!AJ443</f>
        <v/>
      </c>
      <c r="X441" s="4" t="str">
        <f>'Form responses 1'!AK443</f>
        <v/>
      </c>
      <c r="Y441" s="4">
        <f t="shared" ref="Y441:AD441" si="440">if(S441&gt;0,1,0)</f>
        <v>0</v>
      </c>
      <c r="Z441" s="4">
        <f t="shared" si="440"/>
        <v>0</v>
      </c>
      <c r="AA441" s="4">
        <f t="shared" si="440"/>
        <v>0</v>
      </c>
      <c r="AB441" s="4">
        <f t="shared" si="440"/>
        <v>0</v>
      </c>
      <c r="AC441" s="4">
        <f t="shared" si="440"/>
        <v>0</v>
      </c>
      <c r="AD441" s="4">
        <f t="shared" si="440"/>
        <v>0</v>
      </c>
      <c r="AE441" s="4" t="str">
        <f>'Form responses 1'!AN443</f>
        <v/>
      </c>
      <c r="AF441" s="4" t="str">
        <f>'Form responses 1'!AO443</f>
        <v/>
      </c>
      <c r="AG441" s="4" t="str">
        <f>'Form responses 1'!AP443</f>
        <v/>
      </c>
      <c r="AH441" s="4" t="str">
        <f>'Form responses 1'!AQ443</f>
        <v/>
      </c>
      <c r="AI441" s="4" t="str">
        <f>'Form responses 1'!AR443</f>
        <v/>
      </c>
    </row>
    <row r="442">
      <c r="A442" s="26">
        <f>'Form responses 1'!B444</f>
        <v>46069</v>
      </c>
      <c r="B442" s="4" t="str">
        <f>'Form responses 1'!AZ444</f>
        <v>sumadhur.mummadi@capsdelivery.com</v>
      </c>
      <c r="C442" s="4" t="str">
        <f>'Form responses 1'!BR444</f>
        <v>Simply parottas Simply parottas </v>
      </c>
      <c r="D442" s="4" t="str">
        <f>'Form responses 1'!AT444</f>
        <v>I should call him tomorrow at 1:00 regarding an update from his side</v>
      </c>
      <c r="E442" s="4" t="str">
        <f>'Form responses 1'!AU444</f>
        <v>Yes</v>
      </c>
      <c r="F442" s="26">
        <f>'Form responses 1'!AX444</f>
        <v>46070</v>
      </c>
      <c r="G442" s="52">
        <f>'Form responses 1'!AY444</f>
        <v>0.5416666667</v>
      </c>
      <c r="H442" s="53" t="str">
        <f>'Form responses 1'!AW444</f>
        <v/>
      </c>
      <c r="I442" s="4" t="str">
        <f>'Form responses 1'!AS444</f>
        <v/>
      </c>
      <c r="J442" s="4" t="str">
        <f>'Form responses 1'!J444</f>
        <v/>
      </c>
      <c r="K442" s="4" t="str">
        <f>'Form responses 1'!G444</f>
        <v/>
      </c>
      <c r="L442" s="4" t="str">
        <f>'Form responses 1'!F444</f>
        <v/>
      </c>
      <c r="M442" s="4" t="str">
        <f>'Form responses 1'!U444</f>
        <v>Rupesh </v>
      </c>
      <c r="N442" s="4">
        <f>'Form responses 1'!V444</f>
        <v>7991231238</v>
      </c>
      <c r="O442" s="4" t="str">
        <f>'Form responses 1'!W444</f>
        <v>NA </v>
      </c>
      <c r="P442" s="4" t="str">
        <f>'Form responses 1'!X444</f>
        <v/>
      </c>
      <c r="Q442" s="4" t="str">
        <f>'Form responses 1'!Y444</f>
        <v/>
      </c>
      <c r="R442" s="4" t="str">
        <f>'Form responses 1'!Z444</f>
        <v/>
      </c>
      <c r="S442" s="4" t="str">
        <f>'Form responses 1'!AC444</f>
        <v/>
      </c>
      <c r="T442" s="4" t="str">
        <f>'Form responses 1'!AE444</f>
        <v/>
      </c>
      <c r="U442" s="4" t="str">
        <f>'Form responses 1'!AG444</f>
        <v/>
      </c>
      <c r="V442" s="4" t="str">
        <f>'Form responses 1'!AI444</f>
        <v/>
      </c>
      <c r="W442" s="4" t="str">
        <f>'Form responses 1'!AJ444</f>
        <v/>
      </c>
      <c r="X442" s="4" t="str">
        <f>'Form responses 1'!AK444</f>
        <v/>
      </c>
      <c r="Y442" s="4">
        <f t="shared" ref="Y442:AD442" si="441">if(S442&gt;0,1,0)</f>
        <v>0</v>
      </c>
      <c r="Z442" s="4">
        <f t="shared" si="441"/>
        <v>0</v>
      </c>
      <c r="AA442" s="4">
        <f t="shared" si="441"/>
        <v>0</v>
      </c>
      <c r="AB442" s="4">
        <f t="shared" si="441"/>
        <v>0</v>
      </c>
      <c r="AC442" s="4">
        <f t="shared" si="441"/>
        <v>0</v>
      </c>
      <c r="AD442" s="4">
        <f t="shared" si="441"/>
        <v>0</v>
      </c>
      <c r="AE442" s="4" t="str">
        <f>'Form responses 1'!AN444</f>
        <v/>
      </c>
      <c r="AF442" s="4" t="str">
        <f>'Form responses 1'!AO444</f>
        <v/>
      </c>
      <c r="AG442" s="4" t="str">
        <f>'Form responses 1'!AP444</f>
        <v/>
      </c>
      <c r="AH442" s="4" t="str">
        <f>'Form responses 1'!AQ444</f>
        <v/>
      </c>
      <c r="AI442" s="4" t="str">
        <f>'Form responses 1'!AR444</f>
        <v/>
      </c>
    </row>
    <row r="443">
      <c r="A443" s="26">
        <f>'Form responses 1'!B445</f>
        <v>46069</v>
      </c>
      <c r="B443" s="4" t="str">
        <f>'Form responses 1'!AZ445</f>
        <v>sumadhur.mummadi@capsdelivery.com</v>
      </c>
      <c r="C443" s="4" t="str">
        <f>'Form responses 1'!BR445</f>
        <v>Hari dosaHari dosa </v>
      </c>
      <c r="D443" s="4" t="str">
        <f>'Form responses 1'!AT445</f>
        <v>He asked for two days time regarding the decision. Will follow him up</v>
      </c>
      <c r="E443" s="4" t="str">
        <f>'Form responses 1'!AU445</f>
        <v>Yes</v>
      </c>
      <c r="F443" s="4" t="str">
        <f>'Form responses 1'!AX445</f>
        <v/>
      </c>
      <c r="G443" s="4" t="str">
        <f>'Form responses 1'!AY445</f>
        <v/>
      </c>
      <c r="H443" s="53" t="str">
        <f>'Form responses 1'!AW445</f>
        <v/>
      </c>
      <c r="I443" s="4" t="str">
        <f>'Form responses 1'!AS445</f>
        <v/>
      </c>
      <c r="J443" s="4" t="str">
        <f>'Form responses 1'!J445</f>
        <v/>
      </c>
      <c r="K443" s="4" t="str">
        <f>'Form responses 1'!G445</f>
        <v/>
      </c>
      <c r="L443" s="4" t="str">
        <f>'Form responses 1'!F445</f>
        <v/>
      </c>
      <c r="M443" s="4" t="str">
        <f>'Form responses 1'!U445</f>
        <v>Hari palve</v>
      </c>
      <c r="N443" s="4" t="str">
        <f>'Form responses 1'!V445</f>
        <v>+917702428848</v>
      </c>
      <c r="O443" s="4" t="str">
        <f>'Form responses 1'!W445</f>
        <v>NA </v>
      </c>
      <c r="P443" s="4" t="str">
        <f>'Form responses 1'!X445</f>
        <v/>
      </c>
      <c r="Q443" s="4" t="str">
        <f>'Form responses 1'!Y445</f>
        <v/>
      </c>
      <c r="R443" s="4" t="str">
        <f>'Form responses 1'!Z445</f>
        <v/>
      </c>
      <c r="S443" s="4" t="str">
        <f>'Form responses 1'!AC445</f>
        <v/>
      </c>
      <c r="T443" s="4" t="str">
        <f>'Form responses 1'!AE445</f>
        <v/>
      </c>
      <c r="U443" s="4" t="str">
        <f>'Form responses 1'!AG445</f>
        <v/>
      </c>
      <c r="V443" s="4" t="str">
        <f>'Form responses 1'!AI445</f>
        <v/>
      </c>
      <c r="W443" s="4" t="str">
        <f>'Form responses 1'!AJ445</f>
        <v/>
      </c>
      <c r="X443" s="4" t="str">
        <f>'Form responses 1'!AK445</f>
        <v/>
      </c>
      <c r="Y443" s="4">
        <f t="shared" ref="Y443:AD443" si="442">if(S443&gt;0,1,0)</f>
        <v>0</v>
      </c>
      <c r="Z443" s="4">
        <f t="shared" si="442"/>
        <v>0</v>
      </c>
      <c r="AA443" s="4">
        <f t="shared" si="442"/>
        <v>0</v>
      </c>
      <c r="AB443" s="4">
        <f t="shared" si="442"/>
        <v>0</v>
      </c>
      <c r="AC443" s="4">
        <f t="shared" si="442"/>
        <v>0</v>
      </c>
      <c r="AD443" s="4">
        <f t="shared" si="442"/>
        <v>0</v>
      </c>
      <c r="AE443" s="4" t="str">
        <f>'Form responses 1'!AN445</f>
        <v/>
      </c>
      <c r="AF443" s="4" t="str">
        <f>'Form responses 1'!AO445</f>
        <v/>
      </c>
      <c r="AG443" s="4" t="str">
        <f>'Form responses 1'!AP445</f>
        <v/>
      </c>
      <c r="AH443" s="4" t="str">
        <f>'Form responses 1'!AQ445</f>
        <v/>
      </c>
      <c r="AI443" s="4" t="str">
        <f>'Form responses 1'!AR445</f>
        <v/>
      </c>
    </row>
    <row r="444">
      <c r="A444" s="26">
        <f>'Form responses 1'!B446</f>
        <v>46069</v>
      </c>
      <c r="B444" s="4" t="str">
        <f>'Form responses 1'!AZ446</f>
        <v>sumadhur.mummadi@capsdelivery.com</v>
      </c>
      <c r="C444" s="4" t="str">
        <f>'Form responses 1'!BR446</f>
        <v>Missamma restaurant Missamma restaurant </v>
      </c>
      <c r="D444" s="4" t="str">
        <f>'Form responses 1'!AT446</f>
        <v>The receptionist asked me to call tomorrow at 11am for checking the availability of the owner</v>
      </c>
      <c r="E444" s="4" t="str">
        <f>'Form responses 1'!AU446</f>
        <v>Yes</v>
      </c>
      <c r="F444" s="4" t="str">
        <f>'Form responses 1'!AX446</f>
        <v/>
      </c>
      <c r="G444" s="4" t="str">
        <f>'Form responses 1'!AY446</f>
        <v/>
      </c>
      <c r="H444" s="53" t="str">
        <f>'Form responses 1'!AW446</f>
        <v/>
      </c>
      <c r="I444" s="4" t="str">
        <f>'Form responses 1'!AS446</f>
        <v/>
      </c>
      <c r="J444" s="4" t="str">
        <f>'Form responses 1'!J446</f>
        <v/>
      </c>
      <c r="K444" s="4" t="str">
        <f>'Form responses 1'!G446</f>
        <v/>
      </c>
      <c r="L444" s="4" t="str">
        <f>'Form responses 1'!F446</f>
        <v/>
      </c>
      <c r="M444" s="4" t="str">
        <f>'Form responses 1'!U446</f>
        <v>NA </v>
      </c>
      <c r="N444" s="4" t="str">
        <f>'Form responses 1'!V446</f>
        <v>96422 34333</v>
      </c>
      <c r="O444" s="4" t="str">
        <f>'Form responses 1'!W446</f>
        <v>NA </v>
      </c>
      <c r="P444" s="4" t="str">
        <f>'Form responses 1'!X446</f>
        <v/>
      </c>
      <c r="Q444" s="4" t="str">
        <f>'Form responses 1'!Y446</f>
        <v/>
      </c>
      <c r="R444" s="4" t="str">
        <f>'Form responses 1'!Z446</f>
        <v/>
      </c>
      <c r="S444" s="4" t="str">
        <f>'Form responses 1'!AC446</f>
        <v/>
      </c>
      <c r="T444" s="4" t="str">
        <f>'Form responses 1'!AE446</f>
        <v/>
      </c>
      <c r="U444" s="4" t="str">
        <f>'Form responses 1'!AG446</f>
        <v/>
      </c>
      <c r="V444" s="4" t="str">
        <f>'Form responses 1'!AI446</f>
        <v/>
      </c>
      <c r="W444" s="4" t="str">
        <f>'Form responses 1'!AJ446</f>
        <v/>
      </c>
      <c r="X444" s="4" t="str">
        <f>'Form responses 1'!AK446</f>
        <v/>
      </c>
      <c r="Y444" s="4">
        <f t="shared" ref="Y444:AD444" si="443">if(S444&gt;0,1,0)</f>
        <v>0</v>
      </c>
      <c r="Z444" s="4">
        <f t="shared" si="443"/>
        <v>0</v>
      </c>
      <c r="AA444" s="4">
        <f t="shared" si="443"/>
        <v>0</v>
      </c>
      <c r="AB444" s="4">
        <f t="shared" si="443"/>
        <v>0</v>
      </c>
      <c r="AC444" s="4">
        <f t="shared" si="443"/>
        <v>0</v>
      </c>
      <c r="AD444" s="4">
        <f t="shared" si="443"/>
        <v>0</v>
      </c>
      <c r="AE444" s="4" t="str">
        <f>'Form responses 1'!AN446</f>
        <v/>
      </c>
      <c r="AF444" s="4" t="str">
        <f>'Form responses 1'!AO446</f>
        <v/>
      </c>
      <c r="AG444" s="4" t="str">
        <f>'Form responses 1'!AP446</f>
        <v/>
      </c>
      <c r="AH444" s="4" t="str">
        <f>'Form responses 1'!AQ446</f>
        <v/>
      </c>
      <c r="AI444" s="4" t="str">
        <f>'Form responses 1'!AR446</f>
        <v/>
      </c>
    </row>
    <row r="445">
      <c r="A445" s="26">
        <f>'Form responses 1'!B447</f>
        <v>46069</v>
      </c>
      <c r="B445" s="4" t="str">
        <f>'Form responses 1'!AZ447</f>
        <v>sumadhur.mummadi@capsdelivery.com</v>
      </c>
      <c r="C445" s="4" t="str">
        <f>'Form responses 1'!BR447</f>
        <v>Poruginti chepala pulusu Poruginti chepala pulusu </v>
      </c>
      <c r="D445" s="4" t="str">
        <f>'Form responses 1'!AT447</f>
        <v>He has asked for time regarding the decision but he is interested . I will follow up the day after tomorrow </v>
      </c>
      <c r="E445" s="4" t="str">
        <f>'Form responses 1'!AU447</f>
        <v>Yes</v>
      </c>
      <c r="F445" s="4" t="str">
        <f>'Form responses 1'!AX447</f>
        <v/>
      </c>
      <c r="G445" s="4" t="str">
        <f>'Form responses 1'!AY447</f>
        <v/>
      </c>
      <c r="H445" s="53" t="str">
        <f>'Form responses 1'!AW447</f>
        <v/>
      </c>
      <c r="I445" s="4" t="str">
        <f>'Form responses 1'!AS447</f>
        <v/>
      </c>
      <c r="J445" s="4" t="str">
        <f>'Form responses 1'!J447</f>
        <v/>
      </c>
      <c r="K445" s="4" t="str">
        <f>'Form responses 1'!G447</f>
        <v/>
      </c>
      <c r="L445" s="4" t="str">
        <f>'Form responses 1'!F447</f>
        <v/>
      </c>
      <c r="M445" s="4" t="str">
        <f>'Form responses 1'!U447</f>
        <v>Naveen</v>
      </c>
      <c r="N445" s="4" t="str">
        <f>'Form responses 1'!V447</f>
        <v>90595 55171</v>
      </c>
      <c r="O445" s="4" t="str">
        <f>'Form responses 1'!W447</f>
        <v>NA </v>
      </c>
      <c r="P445" s="4" t="str">
        <f>'Form responses 1'!X447</f>
        <v/>
      </c>
      <c r="Q445" s="4" t="str">
        <f>'Form responses 1'!Y447</f>
        <v/>
      </c>
      <c r="R445" s="4" t="str">
        <f>'Form responses 1'!Z447</f>
        <v/>
      </c>
      <c r="S445" s="4" t="str">
        <f>'Form responses 1'!AC447</f>
        <v/>
      </c>
      <c r="T445" s="4" t="str">
        <f>'Form responses 1'!AE447</f>
        <v/>
      </c>
      <c r="U445" s="4" t="str">
        <f>'Form responses 1'!AG447</f>
        <v/>
      </c>
      <c r="V445" s="4" t="str">
        <f>'Form responses 1'!AI447</f>
        <v/>
      </c>
      <c r="W445" s="4" t="str">
        <f>'Form responses 1'!AJ447</f>
        <v/>
      </c>
      <c r="X445" s="4" t="str">
        <f>'Form responses 1'!AK447</f>
        <v/>
      </c>
      <c r="Y445" s="4">
        <f t="shared" ref="Y445:AD445" si="444">if(S445&gt;0,1,0)</f>
        <v>0</v>
      </c>
      <c r="Z445" s="4">
        <f t="shared" si="444"/>
        <v>0</v>
      </c>
      <c r="AA445" s="4">
        <f t="shared" si="444"/>
        <v>0</v>
      </c>
      <c r="AB445" s="4">
        <f t="shared" si="444"/>
        <v>0</v>
      </c>
      <c r="AC445" s="4">
        <f t="shared" si="444"/>
        <v>0</v>
      </c>
      <c r="AD445" s="4">
        <f t="shared" si="444"/>
        <v>0</v>
      </c>
      <c r="AE445" s="4" t="str">
        <f>'Form responses 1'!AN447</f>
        <v/>
      </c>
      <c r="AF445" s="4" t="str">
        <f>'Form responses 1'!AO447</f>
        <v/>
      </c>
      <c r="AG445" s="4" t="str">
        <f>'Form responses 1'!AP447</f>
        <v/>
      </c>
      <c r="AH445" s="4" t="str">
        <f>'Form responses 1'!AQ447</f>
        <v/>
      </c>
      <c r="AI445" s="4" t="str">
        <f>'Form responses 1'!AR447</f>
        <v/>
      </c>
    </row>
    <row r="446">
      <c r="A446" s="26">
        <f>'Form responses 1'!B448</f>
        <v>46069</v>
      </c>
      <c r="B446" s="4" t="str">
        <f>'Form responses 1'!AZ448</f>
        <v>sumadhur.mummadi@capsdelivery.com</v>
      </c>
      <c r="C446" s="4" t="str">
        <f>'Form responses 1'!BR448</f>
        <v>Rainbow mandi restaurant Rainbow mandi </v>
      </c>
      <c r="D446" s="4" t="str">
        <f>'Form responses 1'!AT448</f>
        <v>They have agreed to onboard next Monday </v>
      </c>
      <c r="E446" s="4" t="str">
        <f>'Form responses 1'!AU448</f>
        <v>No</v>
      </c>
      <c r="F446" s="4" t="str">
        <f>'Form responses 1'!AX448</f>
        <v/>
      </c>
      <c r="G446" s="4" t="str">
        <f>'Form responses 1'!AY448</f>
        <v/>
      </c>
      <c r="H446" s="53" t="str">
        <f>'Form responses 1'!AW448</f>
        <v/>
      </c>
      <c r="I446" s="4" t="str">
        <f>'Form responses 1'!AS448</f>
        <v/>
      </c>
      <c r="J446" s="4" t="str">
        <f>'Form responses 1'!J448</f>
        <v/>
      </c>
      <c r="K446" s="4" t="str">
        <f>'Form responses 1'!G448</f>
        <v/>
      </c>
      <c r="L446" s="4" t="str">
        <f>'Form responses 1'!F448</f>
        <v/>
      </c>
      <c r="M446" s="4" t="str">
        <f>'Form responses 1'!U448</f>
        <v>Divya </v>
      </c>
      <c r="N446" s="4">
        <f>'Form responses 1'!V448</f>
        <v>7995243674</v>
      </c>
      <c r="O446" s="4" t="str">
        <f>'Form responses 1'!W448</f>
        <v>NA </v>
      </c>
      <c r="P446" s="4" t="str">
        <f>'Form responses 1'!X448</f>
        <v/>
      </c>
      <c r="Q446" s="4" t="str">
        <f>'Form responses 1'!Y448</f>
        <v/>
      </c>
      <c r="R446" s="4" t="str">
        <f>'Form responses 1'!Z448</f>
        <v/>
      </c>
      <c r="S446" s="4" t="str">
        <f>'Form responses 1'!AC448</f>
        <v/>
      </c>
      <c r="T446" s="4" t="str">
        <f>'Form responses 1'!AE448</f>
        <v/>
      </c>
      <c r="U446" s="4" t="str">
        <f>'Form responses 1'!AG448</f>
        <v/>
      </c>
      <c r="V446" s="4" t="str">
        <f>'Form responses 1'!AI448</f>
        <v/>
      </c>
      <c r="W446" s="4" t="str">
        <f>'Form responses 1'!AJ448</f>
        <v/>
      </c>
      <c r="X446" s="4" t="str">
        <f>'Form responses 1'!AK448</f>
        <v/>
      </c>
      <c r="Y446" s="4">
        <f t="shared" ref="Y446:AD446" si="445">if(S446&gt;0,1,0)</f>
        <v>0</v>
      </c>
      <c r="Z446" s="4">
        <f t="shared" si="445"/>
        <v>0</v>
      </c>
      <c r="AA446" s="4">
        <f t="shared" si="445"/>
        <v>0</v>
      </c>
      <c r="AB446" s="4">
        <f t="shared" si="445"/>
        <v>0</v>
      </c>
      <c r="AC446" s="4">
        <f t="shared" si="445"/>
        <v>0</v>
      </c>
      <c r="AD446" s="4">
        <f t="shared" si="445"/>
        <v>0</v>
      </c>
      <c r="AE446" s="4" t="str">
        <f>'Form responses 1'!AN448</f>
        <v/>
      </c>
      <c r="AF446" s="4" t="str">
        <f>'Form responses 1'!AO448</f>
        <v/>
      </c>
      <c r="AG446" s="4" t="str">
        <f>'Form responses 1'!AP448</f>
        <v/>
      </c>
      <c r="AH446" s="4" t="str">
        <f>'Form responses 1'!AQ448</f>
        <v/>
      </c>
      <c r="AI446" s="4" t="str">
        <f>'Form responses 1'!AR448</f>
        <v/>
      </c>
    </row>
    <row r="447">
      <c r="A447" s="26">
        <f>'Form responses 1'!B449</f>
        <v>46069</v>
      </c>
      <c r="B447" s="4" t="str">
        <f>'Form responses 1'!AZ449</f>
        <v>sumadhur.mummadi@capsdelivery.com</v>
      </c>
      <c r="C447" s="4" t="str">
        <f>'Form responses 1'!BR449</f>
        <v>Ritvikas kitchenRitvikas kitchen </v>
      </c>
      <c r="D447" s="4" t="str">
        <f>'Form responses 1'!AT449</f>
        <v>I should call Mr Surendra owner tomorrow </v>
      </c>
      <c r="E447" s="4" t="str">
        <f>'Form responses 1'!AU449</f>
        <v>Yes</v>
      </c>
      <c r="F447" s="4" t="str">
        <f>'Form responses 1'!AX449</f>
        <v/>
      </c>
      <c r="G447" s="4" t="str">
        <f>'Form responses 1'!AY449</f>
        <v/>
      </c>
      <c r="H447" s="53" t="str">
        <f>'Form responses 1'!AW449</f>
        <v/>
      </c>
      <c r="I447" s="4" t="str">
        <f>'Form responses 1'!AS449</f>
        <v/>
      </c>
      <c r="J447" s="4" t="str">
        <f>'Form responses 1'!J449</f>
        <v/>
      </c>
      <c r="K447" s="4" t="str">
        <f>'Form responses 1'!G449</f>
        <v/>
      </c>
      <c r="L447" s="4" t="str">
        <f>'Form responses 1'!F449</f>
        <v/>
      </c>
      <c r="M447" s="4" t="str">
        <f>'Form responses 1'!U449</f>
        <v>Surendra</v>
      </c>
      <c r="N447" s="4" t="str">
        <f>'Form responses 1'!V449</f>
        <v>+919127893278</v>
      </c>
      <c r="O447" s="4" t="str">
        <f>'Form responses 1'!W449</f>
        <v>NA </v>
      </c>
      <c r="P447" s="4" t="str">
        <f>'Form responses 1'!X449</f>
        <v/>
      </c>
      <c r="Q447" s="4" t="str">
        <f>'Form responses 1'!Y449</f>
        <v/>
      </c>
      <c r="R447" s="4" t="str">
        <f>'Form responses 1'!Z449</f>
        <v/>
      </c>
      <c r="S447" s="4" t="str">
        <f>'Form responses 1'!AC449</f>
        <v/>
      </c>
      <c r="T447" s="4" t="str">
        <f>'Form responses 1'!AE449</f>
        <v/>
      </c>
      <c r="U447" s="4" t="str">
        <f>'Form responses 1'!AG449</f>
        <v/>
      </c>
      <c r="V447" s="4" t="str">
        <f>'Form responses 1'!AI449</f>
        <v/>
      </c>
      <c r="W447" s="4" t="str">
        <f>'Form responses 1'!AJ449</f>
        <v/>
      </c>
      <c r="X447" s="4" t="str">
        <f>'Form responses 1'!AK449</f>
        <v/>
      </c>
      <c r="Y447" s="4">
        <f t="shared" ref="Y447:AD447" si="446">if(S447&gt;0,1,0)</f>
        <v>0</v>
      </c>
      <c r="Z447" s="4">
        <f t="shared" si="446"/>
        <v>0</v>
      </c>
      <c r="AA447" s="4">
        <f t="shared" si="446"/>
        <v>0</v>
      </c>
      <c r="AB447" s="4">
        <f t="shared" si="446"/>
        <v>0</v>
      </c>
      <c r="AC447" s="4">
        <f t="shared" si="446"/>
        <v>0</v>
      </c>
      <c r="AD447" s="4">
        <f t="shared" si="446"/>
        <v>0</v>
      </c>
      <c r="AE447" s="4" t="str">
        <f>'Form responses 1'!AN449</f>
        <v/>
      </c>
      <c r="AF447" s="4" t="str">
        <f>'Form responses 1'!AO449</f>
        <v/>
      </c>
      <c r="AG447" s="4" t="str">
        <f>'Form responses 1'!AP449</f>
        <v/>
      </c>
      <c r="AH447" s="4" t="str">
        <f>'Form responses 1'!AQ449</f>
        <v/>
      </c>
      <c r="AI447" s="4" t="str">
        <f>'Form responses 1'!AR449</f>
        <v/>
      </c>
    </row>
    <row r="448">
      <c r="A448" s="26">
        <f>'Form responses 1'!B450</f>
        <v>46069</v>
      </c>
      <c r="B448" s="4" t="str">
        <f>'Form responses 1'!AZ450</f>
        <v>sumadhur.mummadi@capsdelivery.com</v>
      </c>
      <c r="C448" s="4" t="str">
        <f>'Form responses 1'!BR450</f>
        <v>Raagam foods Raagam foods </v>
      </c>
      <c r="D448" s="4" t="str">
        <f>'Form responses 1'!AT450</f>
        <v>I should call him tomorrow for appointment </v>
      </c>
      <c r="E448" s="4" t="str">
        <f>'Form responses 1'!AU450</f>
        <v>Yes</v>
      </c>
      <c r="F448" s="4" t="str">
        <f>'Form responses 1'!AX450</f>
        <v/>
      </c>
      <c r="G448" s="4" t="str">
        <f>'Form responses 1'!AY450</f>
        <v/>
      </c>
      <c r="H448" s="53" t="str">
        <f>'Form responses 1'!AW450</f>
        <v/>
      </c>
      <c r="I448" s="4" t="str">
        <f>'Form responses 1'!AS450</f>
        <v/>
      </c>
      <c r="J448" s="4" t="str">
        <f>'Form responses 1'!J450</f>
        <v/>
      </c>
      <c r="K448" s="4" t="str">
        <f>'Form responses 1'!G450</f>
        <v/>
      </c>
      <c r="L448" s="4" t="str">
        <f>'Form responses 1'!F450</f>
        <v/>
      </c>
      <c r="M448" s="4">
        <f>'Form responses 1'!U450</f>
        <v>9381425752</v>
      </c>
      <c r="N448" s="4" t="str">
        <f>'Form responses 1'!V450</f>
        <v>NA </v>
      </c>
      <c r="O448" s="4" t="str">
        <f>'Form responses 1'!W450</f>
        <v>NA </v>
      </c>
      <c r="P448" s="4" t="str">
        <f>'Form responses 1'!X450</f>
        <v/>
      </c>
      <c r="Q448" s="4" t="str">
        <f>'Form responses 1'!Y450</f>
        <v/>
      </c>
      <c r="R448" s="4" t="str">
        <f>'Form responses 1'!Z450</f>
        <v/>
      </c>
      <c r="S448" s="4" t="str">
        <f>'Form responses 1'!AC450</f>
        <v/>
      </c>
      <c r="T448" s="4" t="str">
        <f>'Form responses 1'!AE450</f>
        <v/>
      </c>
      <c r="U448" s="4" t="str">
        <f>'Form responses 1'!AG450</f>
        <v/>
      </c>
      <c r="V448" s="4" t="str">
        <f>'Form responses 1'!AI450</f>
        <v/>
      </c>
      <c r="W448" s="4" t="str">
        <f>'Form responses 1'!AJ450</f>
        <v/>
      </c>
      <c r="X448" s="4" t="str">
        <f>'Form responses 1'!AK450</f>
        <v/>
      </c>
      <c r="Y448" s="4">
        <f t="shared" ref="Y448:AD448" si="447">if(S448&gt;0,1,0)</f>
        <v>0</v>
      </c>
      <c r="Z448" s="4">
        <f t="shared" si="447"/>
        <v>0</v>
      </c>
      <c r="AA448" s="4">
        <f t="shared" si="447"/>
        <v>0</v>
      </c>
      <c r="AB448" s="4">
        <f t="shared" si="447"/>
        <v>0</v>
      </c>
      <c r="AC448" s="4">
        <f t="shared" si="447"/>
        <v>0</v>
      </c>
      <c r="AD448" s="4">
        <f t="shared" si="447"/>
        <v>0</v>
      </c>
      <c r="AE448" s="4" t="str">
        <f>'Form responses 1'!AN450</f>
        <v/>
      </c>
      <c r="AF448" s="4" t="str">
        <f>'Form responses 1'!AO450</f>
        <v/>
      </c>
      <c r="AG448" s="4" t="str">
        <f>'Form responses 1'!AP450</f>
        <v/>
      </c>
      <c r="AH448" s="4" t="str">
        <f>'Form responses 1'!AQ450</f>
        <v/>
      </c>
      <c r="AI448" s="4" t="str">
        <f>'Form responses 1'!AR450</f>
        <v/>
      </c>
    </row>
    <row r="449">
      <c r="A449" s="26">
        <f>'Form responses 1'!B451</f>
        <v>46069</v>
      </c>
      <c r="B449" s="4" t="str">
        <f>'Form responses 1'!AZ451</f>
        <v>sumadhur.mummadi@capsdelivery.com</v>
      </c>
      <c r="C449" s="4" t="str">
        <f>'Form responses 1'!BR451</f>
        <v>Kings biryani adda Kings biryani adda </v>
      </c>
      <c r="D449" s="4" t="str">
        <f>'Form responses 1'!AT451</f>
        <v>This restaurant's owner has been postponing onboarding from the last 3 days</v>
      </c>
      <c r="E449" s="4" t="str">
        <f>'Form responses 1'!AU451</f>
        <v>Yes</v>
      </c>
      <c r="F449" s="26">
        <f>'Form responses 1'!AX451</f>
        <v>46070</v>
      </c>
      <c r="G449" s="52">
        <f>'Form responses 1'!AY451</f>
        <v>0.75</v>
      </c>
      <c r="H449" s="53" t="str">
        <f>'Form responses 1'!AW451</f>
        <v/>
      </c>
      <c r="I449" s="4" t="str">
        <f>'Form responses 1'!AS451</f>
        <v/>
      </c>
      <c r="J449" s="4" t="str">
        <f>'Form responses 1'!J451</f>
        <v/>
      </c>
      <c r="K449" s="4" t="str">
        <f>'Form responses 1'!G451</f>
        <v/>
      </c>
      <c r="L449" s="4" t="str">
        <f>'Form responses 1'!F451</f>
        <v/>
      </c>
      <c r="M449" s="4" t="str">
        <f>'Form responses 1'!U451</f>
        <v>Mahesh</v>
      </c>
      <c r="N449" s="4" t="str">
        <f>'Form responses 1'!V451</f>
        <v>87901 30941</v>
      </c>
      <c r="O449" s="4" t="str">
        <f>'Form responses 1'!W451</f>
        <v>NA </v>
      </c>
      <c r="P449" s="4" t="str">
        <f>'Form responses 1'!X451</f>
        <v/>
      </c>
      <c r="Q449" s="4" t="str">
        <f>'Form responses 1'!Y451</f>
        <v/>
      </c>
      <c r="R449" s="4" t="str">
        <f>'Form responses 1'!Z451</f>
        <v/>
      </c>
      <c r="S449" s="4" t="str">
        <f>'Form responses 1'!AC451</f>
        <v/>
      </c>
      <c r="T449" s="4" t="str">
        <f>'Form responses 1'!AE451</f>
        <v/>
      </c>
      <c r="U449" s="4" t="str">
        <f>'Form responses 1'!AG451</f>
        <v/>
      </c>
      <c r="V449" s="4" t="str">
        <f>'Form responses 1'!AI451</f>
        <v/>
      </c>
      <c r="W449" s="4" t="str">
        <f>'Form responses 1'!AJ451</f>
        <v/>
      </c>
      <c r="X449" s="4" t="str">
        <f>'Form responses 1'!AK451</f>
        <v/>
      </c>
      <c r="Y449" s="4">
        <f t="shared" ref="Y449:AD449" si="448">if(S449&gt;0,1,0)</f>
        <v>0</v>
      </c>
      <c r="Z449" s="4">
        <f t="shared" si="448"/>
        <v>0</v>
      </c>
      <c r="AA449" s="4">
        <f t="shared" si="448"/>
        <v>0</v>
      </c>
      <c r="AB449" s="4">
        <f t="shared" si="448"/>
        <v>0</v>
      </c>
      <c r="AC449" s="4">
        <f t="shared" si="448"/>
        <v>0</v>
      </c>
      <c r="AD449" s="4">
        <f t="shared" si="448"/>
        <v>0</v>
      </c>
      <c r="AE449" s="4" t="str">
        <f>'Form responses 1'!AN451</f>
        <v/>
      </c>
      <c r="AF449" s="4" t="str">
        <f>'Form responses 1'!AO451</f>
        <v/>
      </c>
      <c r="AG449" s="4" t="str">
        <f>'Form responses 1'!AP451</f>
        <v/>
      </c>
      <c r="AH449" s="4" t="str">
        <f>'Form responses 1'!AQ451</f>
        <v/>
      </c>
      <c r="AI449" s="4" t="str">
        <f>'Form responses 1'!AR451</f>
        <v/>
      </c>
    </row>
    <row r="450">
      <c r="A450" s="26">
        <f>'Form responses 1'!B452</f>
        <v>46069</v>
      </c>
      <c r="B450" s="4" t="str">
        <f>'Form responses 1'!AZ452</f>
        <v>sumadhur.mummadi@capsdelivery.com</v>
      </c>
      <c r="C450" s="4" t="str">
        <f>'Form responses 1'!BR452</f>
        <v>Emerald food house Emerald food house </v>
      </c>
      <c r="D450" s="4" t="str">
        <f>'Form responses 1'!AT452</f>
        <v>Mr venu has asked me to meet after 4 pm tomorrow </v>
      </c>
      <c r="E450" s="4" t="str">
        <f>'Form responses 1'!AU452</f>
        <v>Yes</v>
      </c>
      <c r="F450" s="26">
        <f>'Form responses 1'!AX452</f>
        <v>46070</v>
      </c>
      <c r="G450" s="52">
        <f>'Form responses 1'!AY452</f>
        <v>0.6666666667</v>
      </c>
      <c r="H450" s="53" t="str">
        <f>'Form responses 1'!AW452</f>
        <v/>
      </c>
      <c r="I450" s="4" t="str">
        <f>'Form responses 1'!AS452</f>
        <v/>
      </c>
      <c r="J450" s="4" t="str">
        <f>'Form responses 1'!J452</f>
        <v/>
      </c>
      <c r="K450" s="4" t="str">
        <f>'Form responses 1'!G452</f>
        <v/>
      </c>
      <c r="L450" s="4" t="str">
        <f>'Form responses 1'!F452</f>
        <v/>
      </c>
      <c r="M450" s="4" t="str">
        <f>'Form responses 1'!U452</f>
        <v>Venu </v>
      </c>
      <c r="N450" s="4" t="str">
        <f>'Form responses 1'!V452</f>
        <v>93461 12262</v>
      </c>
      <c r="O450" s="4" t="str">
        <f>'Form responses 1'!W452</f>
        <v>NA </v>
      </c>
      <c r="P450" s="4" t="str">
        <f>'Form responses 1'!X452</f>
        <v/>
      </c>
      <c r="Q450" s="4" t="str">
        <f>'Form responses 1'!Y452</f>
        <v/>
      </c>
      <c r="R450" s="4" t="str">
        <f>'Form responses 1'!Z452</f>
        <v/>
      </c>
      <c r="S450" s="4" t="str">
        <f>'Form responses 1'!AC452</f>
        <v/>
      </c>
      <c r="T450" s="4" t="str">
        <f>'Form responses 1'!AE452</f>
        <v/>
      </c>
      <c r="U450" s="4" t="str">
        <f>'Form responses 1'!AG452</f>
        <v/>
      </c>
      <c r="V450" s="4" t="str">
        <f>'Form responses 1'!AI452</f>
        <v/>
      </c>
      <c r="W450" s="4" t="str">
        <f>'Form responses 1'!AJ452</f>
        <v/>
      </c>
      <c r="X450" s="4" t="str">
        <f>'Form responses 1'!AK452</f>
        <v/>
      </c>
      <c r="Y450" s="4">
        <f t="shared" ref="Y450:AD450" si="449">if(S450&gt;0,1,0)</f>
        <v>0</v>
      </c>
      <c r="Z450" s="4">
        <f t="shared" si="449"/>
        <v>0</v>
      </c>
      <c r="AA450" s="4">
        <f t="shared" si="449"/>
        <v>0</v>
      </c>
      <c r="AB450" s="4">
        <f t="shared" si="449"/>
        <v>0</v>
      </c>
      <c r="AC450" s="4">
        <f t="shared" si="449"/>
        <v>0</v>
      </c>
      <c r="AD450" s="4">
        <f t="shared" si="449"/>
        <v>0</v>
      </c>
      <c r="AE450" s="4" t="str">
        <f>'Form responses 1'!AN452</f>
        <v/>
      </c>
      <c r="AF450" s="4" t="str">
        <f>'Form responses 1'!AO452</f>
        <v/>
      </c>
      <c r="AG450" s="4" t="str">
        <f>'Form responses 1'!AP452</f>
        <v/>
      </c>
      <c r="AH450" s="4" t="str">
        <f>'Form responses 1'!AQ452</f>
        <v/>
      </c>
      <c r="AI450" s="4" t="str">
        <f>'Form responses 1'!AR452</f>
        <v/>
      </c>
    </row>
    <row r="451">
      <c r="A451" s="26">
        <f>'Form responses 1'!B453</f>
        <v>46069</v>
      </c>
      <c r="B451" s="4" t="str">
        <f>'Form responses 1'!AZ453</f>
        <v>sumadhur.mummadi@capsdelivery.com</v>
      </c>
      <c r="C451" s="4" t="str">
        <f>'Form responses 1'!BR453</f>
        <v>QubzQubz</v>
      </c>
      <c r="D451" s="4" t="str">
        <f>'Form responses 1'!AT453</f>
        <v>He has asked me to call and come tomorrow after 4pm</v>
      </c>
      <c r="E451" s="4" t="str">
        <f>'Form responses 1'!AU453</f>
        <v>Yes</v>
      </c>
      <c r="F451" s="26">
        <f>'Form responses 1'!AX453</f>
        <v>46070</v>
      </c>
      <c r="G451" s="52">
        <f>'Form responses 1'!AY453</f>
        <v>0.6666666667</v>
      </c>
      <c r="H451" s="53" t="str">
        <f>'Form responses 1'!AW453</f>
        <v/>
      </c>
      <c r="I451" s="4" t="str">
        <f>'Form responses 1'!AS453</f>
        <v/>
      </c>
      <c r="J451" s="4" t="str">
        <f>'Form responses 1'!J453</f>
        <v/>
      </c>
      <c r="K451" s="4" t="str">
        <f>'Form responses 1'!G453</f>
        <v/>
      </c>
      <c r="L451" s="4" t="str">
        <f>'Form responses 1'!F453</f>
        <v/>
      </c>
      <c r="M451" s="4" t="str">
        <f>'Form responses 1'!U453</f>
        <v>Hemanth</v>
      </c>
      <c r="N451" s="4" t="str">
        <f>'Form responses 1'!V453</f>
        <v>81425 20056</v>
      </c>
      <c r="O451" s="4" t="str">
        <f>'Form responses 1'!W453</f>
        <v>NA </v>
      </c>
      <c r="P451" s="4" t="str">
        <f>'Form responses 1'!X453</f>
        <v/>
      </c>
      <c r="Q451" s="4" t="str">
        <f>'Form responses 1'!Y453</f>
        <v/>
      </c>
      <c r="R451" s="4" t="str">
        <f>'Form responses 1'!Z453</f>
        <v/>
      </c>
      <c r="S451" s="4" t="str">
        <f>'Form responses 1'!AC453</f>
        <v/>
      </c>
      <c r="T451" s="4" t="str">
        <f>'Form responses 1'!AE453</f>
        <v/>
      </c>
      <c r="U451" s="4" t="str">
        <f>'Form responses 1'!AG453</f>
        <v/>
      </c>
      <c r="V451" s="4" t="str">
        <f>'Form responses 1'!AI453</f>
        <v/>
      </c>
      <c r="W451" s="4" t="str">
        <f>'Form responses 1'!AJ453</f>
        <v/>
      </c>
      <c r="X451" s="4" t="str">
        <f>'Form responses 1'!AK453</f>
        <v/>
      </c>
      <c r="Y451" s="4">
        <f t="shared" ref="Y451:AD451" si="450">if(S451&gt;0,1,0)</f>
        <v>0</v>
      </c>
      <c r="Z451" s="4">
        <f t="shared" si="450"/>
        <v>0</v>
      </c>
      <c r="AA451" s="4">
        <f t="shared" si="450"/>
        <v>0</v>
      </c>
      <c r="AB451" s="4">
        <f t="shared" si="450"/>
        <v>0</v>
      </c>
      <c r="AC451" s="4">
        <f t="shared" si="450"/>
        <v>0</v>
      </c>
      <c r="AD451" s="4">
        <f t="shared" si="450"/>
        <v>0</v>
      </c>
      <c r="AE451" s="4" t="str">
        <f>'Form responses 1'!AN453</f>
        <v/>
      </c>
      <c r="AF451" s="4" t="str">
        <f>'Form responses 1'!AO453</f>
        <v/>
      </c>
      <c r="AG451" s="4" t="str">
        <f>'Form responses 1'!AP453</f>
        <v/>
      </c>
      <c r="AH451" s="4" t="str">
        <f>'Form responses 1'!AQ453</f>
        <v/>
      </c>
      <c r="AI451" s="4" t="str">
        <f>'Form responses 1'!AR453</f>
        <v/>
      </c>
    </row>
    <row r="452">
      <c r="A452" s="26">
        <f>'Form responses 1'!B454</f>
        <v>46066</v>
      </c>
      <c r="B452" s="4" t="str">
        <f>'Form responses 1'!AZ454</f>
        <v>madhumitha.sonnakula@capsdelivery.com</v>
      </c>
      <c r="C452" s="4" t="str">
        <f>'Form responses 1'!BR454</f>
        <v>ZEESHAN </v>
      </c>
      <c r="D452" s="4" t="str">
        <f>'Form responses 1'!AT454</f>
        <v>ONBOARDING DONE</v>
      </c>
      <c r="E452" s="4" t="str">
        <f>'Form responses 1'!AU454</f>
        <v>No</v>
      </c>
      <c r="F452" s="4" t="str">
        <f>'Form responses 1'!AX454</f>
        <v/>
      </c>
      <c r="G452" s="4" t="str">
        <f>'Form responses 1'!AY454</f>
        <v/>
      </c>
      <c r="H452" s="53" t="str">
        <f>'Form responses 1'!AW454</f>
        <v/>
      </c>
      <c r="I452" s="4" t="str">
        <f>'Form responses 1'!AS454</f>
        <v>Yes</v>
      </c>
      <c r="J452" s="4" t="str">
        <f>'Form responses 1'!J454</f>
        <v>Tier-1(AOV&gt;400)</v>
      </c>
      <c r="K452" s="4">
        <f>'Form responses 1'!G454</f>
        <v>400</v>
      </c>
      <c r="L452" s="4">
        <f>'Form responses 1'!F454</f>
        <v>100</v>
      </c>
      <c r="M452" s="4" t="str">
        <f>'Form responses 1'!U454</f>
        <v>MAHENDRA </v>
      </c>
      <c r="N452" s="4" t="str">
        <f>'Form responses 1'!V454</f>
        <v>91779 37307</v>
      </c>
      <c r="O452" s="4" t="str">
        <f>'Form responses 1'!W454</f>
        <v>NA</v>
      </c>
      <c r="P452" s="4" t="str">
        <f>'Form responses 1'!X454</f>
        <v/>
      </c>
      <c r="Q452" s="4" t="str">
        <f>'Form responses 1'!Y454</f>
        <v/>
      </c>
      <c r="R452" s="4" t="str">
        <f>'Form responses 1'!Z454</f>
        <v/>
      </c>
      <c r="S452" s="54" t="str">
        <f>'Form responses 1'!AC454</f>
        <v>https://drive.google.com/open?id=1EXRoLkUeVUy1NFPvVCPy0gMxGzevA2zB</v>
      </c>
      <c r="T452" s="54" t="str">
        <f>'Form responses 1'!AE454</f>
        <v>https://drive.google.com/open?id=1Xt_N59iQiL-ckJBW-gBNtWBQPr972Kl-</v>
      </c>
      <c r="U452" s="54" t="str">
        <f>'Form responses 1'!AG454</f>
        <v>https://drive.google.com/open?id=1SHS07UZY0g1n5LwrKZvE3xpK2gX8BWk0</v>
      </c>
      <c r="V452" s="4" t="str">
        <f>'Form responses 1'!AI454</f>
        <v/>
      </c>
      <c r="W452" s="4" t="str">
        <f>'Form responses 1'!AJ454</f>
        <v/>
      </c>
      <c r="X452" s="54" t="str">
        <f>'Form responses 1'!AK454</f>
        <v>https://drive.google.com/open?id=1TG-6YHm1tSjM2QKx8bxcb5OsnRWbvTBx</v>
      </c>
      <c r="Y452" s="4">
        <f t="shared" ref="Y452:AD452" si="451">if(S452&gt;0,1,0)</f>
        <v>1</v>
      </c>
      <c r="Z452" s="4">
        <f t="shared" si="451"/>
        <v>1</v>
      </c>
      <c r="AA452" s="4">
        <f t="shared" si="451"/>
        <v>1</v>
      </c>
      <c r="AB452" s="4">
        <f t="shared" si="451"/>
        <v>0</v>
      </c>
      <c r="AC452" s="4">
        <f t="shared" si="451"/>
        <v>0</v>
      </c>
      <c r="AD452" s="4">
        <f t="shared" si="451"/>
        <v>1</v>
      </c>
      <c r="AE452" s="4" t="str">
        <f>'Form responses 1'!AN454</f>
        <v>INDIAN OVERSEAS </v>
      </c>
      <c r="AF452" s="4" t="str">
        <f>'Form responses 1'!AO454</f>
        <v>TOKALA MAHENDRA REDDY</v>
      </c>
      <c r="AG452" s="4">
        <f>'Form responses 1'!AP454</f>
        <v>9177937307</v>
      </c>
      <c r="AH452" s="4" t="str">
        <f>'Form responses 1'!AQ454</f>
        <v/>
      </c>
      <c r="AI452" s="4" t="str">
        <f>'Form responses 1'!AR454</f>
        <v/>
      </c>
    </row>
    <row r="453">
      <c r="A453" s="26">
        <f>'Form responses 1'!B455</f>
        <v>46066</v>
      </c>
      <c r="B453" s="4" t="str">
        <f>'Form responses 1'!AZ455</f>
        <v>madhumitha.sonnakula@capsdelivery.com</v>
      </c>
      <c r="C453" s="4" t="str">
        <f>'Form responses 1'!BR455</f>
        <v>SS BAWARCHI</v>
      </c>
      <c r="D453" s="4" t="str">
        <f>'Form responses 1'!AT455</f>
        <v>ONBOARDED</v>
      </c>
      <c r="E453" s="4" t="str">
        <f>'Form responses 1'!AU455</f>
        <v>No</v>
      </c>
      <c r="F453" s="4" t="str">
        <f>'Form responses 1'!AX455</f>
        <v/>
      </c>
      <c r="G453" s="4" t="str">
        <f>'Form responses 1'!AY455</f>
        <v/>
      </c>
      <c r="H453" s="53" t="str">
        <f>'Form responses 1'!AW455</f>
        <v/>
      </c>
      <c r="I453" s="4" t="str">
        <f>'Form responses 1'!AS455</f>
        <v>Yes</v>
      </c>
      <c r="J453" s="4" t="str">
        <f>'Form responses 1'!J455</f>
        <v>Tier-2 (AOV &lt;400)</v>
      </c>
      <c r="K453" s="4">
        <f>'Form responses 1'!G455</f>
        <v>300</v>
      </c>
      <c r="L453" s="4">
        <f>'Form responses 1'!F455</f>
        <v>100</v>
      </c>
      <c r="M453" s="4" t="str">
        <f>'Form responses 1'!U455</f>
        <v>THAKUR PRASHANTH SINGH</v>
      </c>
      <c r="N453" s="4" t="str">
        <f>'Form responses 1'!V455</f>
        <v>90320 00555</v>
      </c>
      <c r="O453" s="4" t="str">
        <f>'Form responses 1'!W455</f>
        <v>NA</v>
      </c>
      <c r="P453" s="4" t="str">
        <f>'Form responses 1'!X455</f>
        <v/>
      </c>
      <c r="Q453" s="4" t="str">
        <f>'Form responses 1'!Y455</f>
        <v/>
      </c>
      <c r="R453" s="4" t="str">
        <f>'Form responses 1'!Z455</f>
        <v/>
      </c>
      <c r="S453" s="54" t="str">
        <f>'Form responses 1'!AC455</f>
        <v>https://drive.google.com/open?id=1HrStDjCgHTofQeCbOBlxQbgfOzFz-65r</v>
      </c>
      <c r="T453" s="4" t="str">
        <f>'Form responses 1'!AE455</f>
        <v/>
      </c>
      <c r="U453" s="54" t="str">
        <f>'Form responses 1'!AG455</f>
        <v>https://drive.google.com/open?id=12ghaPXC0kCxeonRGdc1yrqfLQMmtnlTa</v>
      </c>
      <c r="V453" s="4" t="str">
        <f>'Form responses 1'!AI455</f>
        <v/>
      </c>
      <c r="W453" s="4" t="str">
        <f>'Form responses 1'!AJ455</f>
        <v/>
      </c>
      <c r="X453" s="4" t="str">
        <f>'Form responses 1'!AK455</f>
        <v/>
      </c>
      <c r="Y453" s="4">
        <f t="shared" ref="Y453:AD453" si="452">if(S453&gt;0,1,0)</f>
        <v>1</v>
      </c>
      <c r="Z453" s="4">
        <f t="shared" si="452"/>
        <v>0</v>
      </c>
      <c r="AA453" s="4">
        <f t="shared" si="452"/>
        <v>1</v>
      </c>
      <c r="AB453" s="4">
        <f t="shared" si="452"/>
        <v>0</v>
      </c>
      <c r="AC453" s="4">
        <f t="shared" si="452"/>
        <v>0</v>
      </c>
      <c r="AD453" s="4">
        <f t="shared" si="452"/>
        <v>0</v>
      </c>
      <c r="AE453" s="4" t="str">
        <f>'Form responses 1'!AN455</f>
        <v/>
      </c>
      <c r="AF453" s="4" t="str">
        <f>'Form responses 1'!AO455</f>
        <v/>
      </c>
      <c r="AG453" s="4" t="str">
        <f>'Form responses 1'!AP455</f>
        <v/>
      </c>
      <c r="AH453" s="4" t="str">
        <f>'Form responses 1'!AQ455</f>
        <v/>
      </c>
      <c r="AI453" s="4" t="str">
        <f>'Form responses 1'!AR455</f>
        <v/>
      </c>
    </row>
    <row r="454">
      <c r="A454" s="26">
        <f>'Form responses 1'!B456</f>
        <v>46069</v>
      </c>
      <c r="B454" s="4" t="str">
        <f>'Form responses 1'!AZ456</f>
        <v>ankitha.baske@capsdelivery.com</v>
      </c>
      <c r="C454" s="4" t="str">
        <f>'Form responses 1'!BR456</f>
        <v>Al Aadaab Arabian Mandi Restaurant </v>
      </c>
      <c r="D454" s="4" t="str">
        <f>'Form responses 1'!AT456</f>
        <v>Onboarded </v>
      </c>
      <c r="E454" s="4" t="str">
        <f>'Form responses 1'!AU456</f>
        <v>No</v>
      </c>
      <c r="F454" s="4" t="str">
        <f>'Form responses 1'!AX456</f>
        <v/>
      </c>
      <c r="G454" s="4" t="str">
        <f>'Form responses 1'!AY456</f>
        <v/>
      </c>
      <c r="H454" s="53" t="str">
        <f>'Form responses 1'!AW456</f>
        <v/>
      </c>
      <c r="I454" s="4" t="str">
        <f>'Form responses 1'!AS456</f>
        <v>Yes</v>
      </c>
      <c r="J454" s="4" t="str">
        <f>'Form responses 1'!J456</f>
        <v>Tier-2 (AOV &lt;400)</v>
      </c>
      <c r="K454" s="4">
        <f>'Form responses 1'!G456</f>
        <v>250</v>
      </c>
      <c r="L454" s="4">
        <f>'Form responses 1'!F456</f>
        <v>60</v>
      </c>
      <c r="M454" s="4" t="str">
        <f>'Form responses 1'!U456</f>
        <v>Sai Lakshmi</v>
      </c>
      <c r="N454" s="4">
        <f>'Form responses 1'!V456</f>
        <v>8801656811</v>
      </c>
      <c r="O454" s="4" t="str">
        <f>'Form responses 1'!W456</f>
        <v>lakshmisai349@gmail.com</v>
      </c>
      <c r="P454" s="4" t="str">
        <f>'Form responses 1'!X456</f>
        <v/>
      </c>
      <c r="Q454" s="4" t="str">
        <f>'Form responses 1'!Y456</f>
        <v/>
      </c>
      <c r="R454" s="4" t="str">
        <f>'Form responses 1'!Z456</f>
        <v/>
      </c>
      <c r="S454" s="54" t="str">
        <f>'Form responses 1'!AC456</f>
        <v>https://drive.google.com/open?id=1f5YEmi8R5RjXfuitMzBruEY8OzIZ72t8</v>
      </c>
      <c r="T454" s="4" t="str">
        <f>'Form responses 1'!AE456</f>
        <v/>
      </c>
      <c r="U454" s="54" t="str">
        <f>'Form responses 1'!AG456</f>
        <v>https://drive.google.com/open?id=1ecRpt3QjIY5PotmiNiHR1HBPyDPtQuvl</v>
      </c>
      <c r="V454" s="4" t="str">
        <f>'Form responses 1'!AI456</f>
        <v/>
      </c>
      <c r="W454" s="4" t="str">
        <f>'Form responses 1'!AJ456</f>
        <v/>
      </c>
      <c r="X454" s="54" t="str">
        <f>'Form responses 1'!AK456</f>
        <v>https://drive.google.com/open?id=15hJdUQGf_fyRP9LiydLCMSi1StFZTTjv</v>
      </c>
      <c r="Y454" s="4">
        <f t="shared" ref="Y454:AD454" si="453">if(S454&gt;0,1,0)</f>
        <v>1</v>
      </c>
      <c r="Z454" s="4">
        <f t="shared" si="453"/>
        <v>0</v>
      </c>
      <c r="AA454" s="4">
        <f t="shared" si="453"/>
        <v>1</v>
      </c>
      <c r="AB454" s="4">
        <f t="shared" si="453"/>
        <v>0</v>
      </c>
      <c r="AC454" s="4">
        <f t="shared" si="453"/>
        <v>0</v>
      </c>
      <c r="AD454" s="4">
        <f t="shared" si="453"/>
        <v>1</v>
      </c>
      <c r="AE454" s="4" t="str">
        <f>'Form responses 1'!AN456</f>
        <v/>
      </c>
      <c r="AF454" s="4" t="str">
        <f>'Form responses 1'!AO456</f>
        <v/>
      </c>
      <c r="AG454" s="4" t="str">
        <f>'Form responses 1'!AP456</f>
        <v/>
      </c>
      <c r="AH454" s="4" t="str">
        <f>'Form responses 1'!AQ456</f>
        <v/>
      </c>
      <c r="AI454" s="4" t="str">
        <f>'Form responses 1'!AR456</f>
        <v/>
      </c>
    </row>
    <row r="455">
      <c r="A455" s="26">
        <f>'Form responses 1'!B457</f>
        <v>46069</v>
      </c>
      <c r="B455" s="4" t="str">
        <f>'Form responses 1'!AZ457</f>
        <v>madhumitha.sonnakula@capsdelivery.com</v>
      </c>
      <c r="C455" s="4" t="str">
        <f>'Form responses 1'!BR457</f>
        <v>SRI RAMANA MAHARSHI FOOD COURT </v>
      </c>
      <c r="D455" s="4" t="str">
        <f>'Form responses 1'!AT457</f>
        <v>DONE ONBORDING</v>
      </c>
      <c r="E455" s="4" t="str">
        <f>'Form responses 1'!AU457</f>
        <v>No</v>
      </c>
      <c r="F455" s="4" t="str">
        <f>'Form responses 1'!AX457</f>
        <v/>
      </c>
      <c r="G455" s="4" t="str">
        <f>'Form responses 1'!AY457</f>
        <v/>
      </c>
      <c r="H455" s="53" t="str">
        <f>'Form responses 1'!AW457</f>
        <v/>
      </c>
      <c r="I455" s="4" t="str">
        <f>'Form responses 1'!AS457</f>
        <v>Yes</v>
      </c>
      <c r="J455" s="4" t="str">
        <f>'Form responses 1'!J457</f>
        <v>Tier-3 ( AOV&lt;200 )</v>
      </c>
      <c r="K455" s="4">
        <f>'Form responses 1'!G457</f>
        <v>200</v>
      </c>
      <c r="L455" s="4">
        <f>'Form responses 1'!F457</f>
        <v>20</v>
      </c>
      <c r="M455" s="4" t="str">
        <f>'Form responses 1'!U457</f>
        <v>VENKATA PADMAVATHI</v>
      </c>
      <c r="N455" s="4">
        <f>'Form responses 1'!V457</f>
        <v>62175906581</v>
      </c>
      <c r="O455" s="4" t="str">
        <f>'Form responses 1'!W457</f>
        <v>padmakasa76@gmail.com</v>
      </c>
      <c r="P455" s="4" t="str">
        <f>'Form responses 1'!X457</f>
        <v/>
      </c>
      <c r="Q455" s="4" t="str">
        <f>'Form responses 1'!Y457</f>
        <v/>
      </c>
      <c r="R455" s="4" t="str">
        <f>'Form responses 1'!Z457</f>
        <v/>
      </c>
      <c r="S455" s="54" t="str">
        <f>'Form responses 1'!AC457</f>
        <v>https://drive.google.com/open?id=1WXzJB5jAq-ErFkqRSFDqCwMunYuUzXes</v>
      </c>
      <c r="T455" s="4" t="str">
        <f>'Form responses 1'!AE457</f>
        <v/>
      </c>
      <c r="U455" s="54" t="str">
        <f>'Form responses 1'!AG457</f>
        <v>https://drive.google.com/open?id=1zBdMZcQqrV-mArYvL02JEA_MH9zQNp7y</v>
      </c>
      <c r="V455" s="4" t="str">
        <f>'Form responses 1'!AI457</f>
        <v/>
      </c>
      <c r="W455" s="4" t="str">
        <f>'Form responses 1'!AJ457</f>
        <v/>
      </c>
      <c r="X455" s="4" t="str">
        <f>'Form responses 1'!AK457</f>
        <v/>
      </c>
      <c r="Y455" s="4">
        <f t="shared" ref="Y455:AD455" si="454">if(S455&gt;0,1,0)</f>
        <v>1</v>
      </c>
      <c r="Z455" s="4">
        <f t="shared" si="454"/>
        <v>0</v>
      </c>
      <c r="AA455" s="4">
        <f t="shared" si="454"/>
        <v>1</v>
      </c>
      <c r="AB455" s="4">
        <f t="shared" si="454"/>
        <v>0</v>
      </c>
      <c r="AC455" s="4">
        <f t="shared" si="454"/>
        <v>0</v>
      </c>
      <c r="AD455" s="4">
        <f t="shared" si="454"/>
        <v>0</v>
      </c>
      <c r="AE455" s="4" t="str">
        <f>'Form responses 1'!AN457</f>
        <v/>
      </c>
      <c r="AF455" s="4" t="str">
        <f>'Form responses 1'!AO457</f>
        <v/>
      </c>
      <c r="AG455" s="4" t="str">
        <f>'Form responses 1'!AP457</f>
        <v/>
      </c>
      <c r="AH455" s="4" t="str">
        <f>'Form responses 1'!AQ457</f>
        <v/>
      </c>
      <c r="AI455" s="4" t="str">
        <f>'Form responses 1'!AR457</f>
        <v/>
      </c>
    </row>
    <row r="456">
      <c r="A456" s="26">
        <f>'Form responses 1'!B458</f>
        <v>46069</v>
      </c>
      <c r="B456" s="4" t="str">
        <f>'Form responses 1'!AZ458</f>
        <v>madhumitha.sonnakula@capsdelivery.com</v>
      </c>
      <c r="C456" s="4" t="str">
        <f>'Form responses 1'!BR458</f>
        <v>TEAALOGY</v>
      </c>
      <c r="D456" s="4" t="str">
        <f>'Form responses 1'!AT458</f>
        <v>onboarded</v>
      </c>
      <c r="E456" s="4" t="str">
        <f>'Form responses 1'!AU458</f>
        <v>Yes</v>
      </c>
      <c r="F456" s="4" t="str">
        <f>'Form responses 1'!AX458</f>
        <v/>
      </c>
      <c r="G456" s="4" t="str">
        <f>'Form responses 1'!AY458</f>
        <v/>
      </c>
      <c r="H456" s="53" t="str">
        <f>'Form responses 1'!AW458</f>
        <v/>
      </c>
      <c r="I456" s="4" t="str">
        <f>'Form responses 1'!AS458</f>
        <v>Yes</v>
      </c>
      <c r="J456" s="4" t="str">
        <f>'Form responses 1'!J458</f>
        <v>Tier-2 (AOV &lt;400)</v>
      </c>
      <c r="K456" s="4">
        <f>'Form responses 1'!G458</f>
        <v>300</v>
      </c>
      <c r="L456" s="4">
        <f>'Form responses 1'!F458</f>
        <v>50</v>
      </c>
      <c r="M456" s="4" t="str">
        <f>'Form responses 1'!U458</f>
        <v>ASHOK</v>
      </c>
      <c r="N456" s="4">
        <f>'Form responses 1'!V458</f>
        <v>9980102334</v>
      </c>
      <c r="O456" s="4" t="str">
        <f>'Form responses 1'!W458</f>
        <v>kothashok25@gmail.com</v>
      </c>
      <c r="P456" s="4" t="str">
        <f>'Form responses 1'!X458</f>
        <v/>
      </c>
      <c r="Q456" s="4" t="str">
        <f>'Form responses 1'!Y458</f>
        <v/>
      </c>
      <c r="R456" s="4" t="str">
        <f>'Form responses 1'!Z458</f>
        <v/>
      </c>
      <c r="S456" s="54" t="str">
        <f>'Form responses 1'!AC458</f>
        <v>https://drive.google.com/open?id=1RqIgGbKdS7V0393jSefvmGbOHW9VQV1S</v>
      </c>
      <c r="T456" s="54" t="str">
        <f>'Form responses 1'!AE458</f>
        <v>https://drive.google.com/open?id=1U6JzgmUtu9GghBUA6vtVT1X_i_LLPJ_2</v>
      </c>
      <c r="U456" s="54" t="str">
        <f>'Form responses 1'!AG458</f>
        <v>https://drive.google.com/open?id=1cyQLytiQvsiU0vA4tc9EQj5yhuJDrOPW</v>
      </c>
      <c r="V456" s="4" t="str">
        <f>'Form responses 1'!AI458</f>
        <v/>
      </c>
      <c r="W456" s="4" t="str">
        <f>'Form responses 1'!AJ458</f>
        <v/>
      </c>
      <c r="X456" s="54" t="str">
        <f>'Form responses 1'!AK458</f>
        <v>https://drive.google.com/open?id=1c5OX2uUNeQWX_ZBgExdNadzag4rWD5lN</v>
      </c>
      <c r="Y456" s="4">
        <f t="shared" ref="Y456:AD456" si="455">if(S456&gt;0,1,0)</f>
        <v>1</v>
      </c>
      <c r="Z456" s="4">
        <f t="shared" si="455"/>
        <v>1</v>
      </c>
      <c r="AA456" s="4">
        <f t="shared" si="455"/>
        <v>1</v>
      </c>
      <c r="AB456" s="4">
        <f t="shared" si="455"/>
        <v>0</v>
      </c>
      <c r="AC456" s="4">
        <f t="shared" si="455"/>
        <v>0</v>
      </c>
      <c r="AD456" s="4">
        <f t="shared" si="455"/>
        <v>1</v>
      </c>
      <c r="AE456" s="4" t="str">
        <f>'Form responses 1'!AN458</f>
        <v>HDFC</v>
      </c>
      <c r="AF456" s="4" t="str">
        <f>'Form responses 1'!AO458</f>
        <v>KOTHA ASHOK</v>
      </c>
      <c r="AG456" s="4">
        <f>'Form responses 1'!AP458</f>
        <v>9980102334</v>
      </c>
      <c r="AH456" s="4" t="str">
        <f>'Form responses 1'!AQ458</f>
        <v>kothaaashok25@gmail.com</v>
      </c>
      <c r="AI456" s="4" t="str">
        <f>'Form responses 1'!AR458</f>
        <v>tealogy cafe</v>
      </c>
    </row>
    <row r="457">
      <c r="A457" s="26">
        <f>'Form responses 1'!B459</f>
        <v>46069</v>
      </c>
      <c r="B457" s="4" t="str">
        <f>'Form responses 1'!AZ459</f>
        <v>madhumitha.sonnakula@capsdelivery.com</v>
      </c>
      <c r="C457" s="4" t="str">
        <f>'Form responses 1'!BR459</f>
        <v>oak bistro</v>
      </c>
      <c r="D457" s="4" t="str">
        <f>'Form responses 1'!AT459</f>
        <v>ONBOARDING </v>
      </c>
      <c r="E457" s="4" t="str">
        <f>'Form responses 1'!AU459</f>
        <v>No</v>
      </c>
      <c r="F457" s="4" t="str">
        <f>'Form responses 1'!AX459</f>
        <v/>
      </c>
      <c r="G457" s="4" t="str">
        <f>'Form responses 1'!AY459</f>
        <v/>
      </c>
      <c r="H457" s="53" t="str">
        <f>'Form responses 1'!AW459</f>
        <v/>
      </c>
      <c r="I457" s="4" t="str">
        <f>'Form responses 1'!AS459</f>
        <v>Yes</v>
      </c>
      <c r="J457" s="4" t="str">
        <f>'Form responses 1'!J459</f>
        <v>Tier-1(AOV&gt;400)</v>
      </c>
      <c r="K457" s="4">
        <f>'Form responses 1'!G459</f>
        <v>500</v>
      </c>
      <c r="L457" s="4">
        <f>'Form responses 1'!F459</f>
        <v>50</v>
      </c>
      <c r="M457" s="4" t="str">
        <f>'Form responses 1'!U459</f>
        <v>sheik sammer </v>
      </c>
      <c r="N457" s="4">
        <f>'Form responses 1'!V459</f>
        <v>8008115681</v>
      </c>
      <c r="O457" s="4" t="str">
        <f>'Form responses 1'!W459</f>
        <v>oakbistro0@gmail.com</v>
      </c>
      <c r="P457" s="4" t="str">
        <f>'Form responses 1'!X459</f>
        <v/>
      </c>
      <c r="Q457" s="4" t="str">
        <f>'Form responses 1'!Y459</f>
        <v/>
      </c>
      <c r="R457" s="4" t="str">
        <f>'Form responses 1'!Z459</f>
        <v/>
      </c>
      <c r="S457" s="54" t="str">
        <f>'Form responses 1'!AC459</f>
        <v>https://drive.google.com/open?id=1aG-dLFSw3LpAi8pn-Qwq1DOev6gi8frp</v>
      </c>
      <c r="T457" s="4" t="str">
        <f>'Form responses 1'!AE459</f>
        <v/>
      </c>
      <c r="U457" s="54" t="str">
        <f>'Form responses 1'!AG459</f>
        <v>https://drive.google.com/open?id=17tcFw2cINnz_Ih3bP9CBcgAGFyyMS4Ul</v>
      </c>
      <c r="V457" s="4" t="str">
        <f>'Form responses 1'!AI459</f>
        <v/>
      </c>
      <c r="W457" s="4" t="str">
        <f>'Form responses 1'!AJ459</f>
        <v/>
      </c>
      <c r="X457" s="54" t="str">
        <f>'Form responses 1'!AK459</f>
        <v>https://drive.google.com/open?id=1DztSeMbfTMIHcNUCvl3ObaM0uq3Eem1t</v>
      </c>
      <c r="Y457" s="4">
        <f t="shared" ref="Y457:AD457" si="456">if(S457&gt;0,1,0)</f>
        <v>1</v>
      </c>
      <c r="Z457" s="4">
        <f t="shared" si="456"/>
        <v>0</v>
      </c>
      <c r="AA457" s="4">
        <f t="shared" si="456"/>
        <v>1</v>
      </c>
      <c r="AB457" s="4">
        <f t="shared" si="456"/>
        <v>0</v>
      </c>
      <c r="AC457" s="4">
        <f t="shared" si="456"/>
        <v>0</v>
      </c>
      <c r="AD457" s="4">
        <f t="shared" si="456"/>
        <v>1</v>
      </c>
      <c r="AE457" s="4" t="str">
        <f>'Form responses 1'!AN459</f>
        <v/>
      </c>
      <c r="AF457" s="4" t="str">
        <f>'Form responses 1'!AO459</f>
        <v/>
      </c>
      <c r="AG457" s="4" t="str">
        <f>'Form responses 1'!AP459</f>
        <v/>
      </c>
      <c r="AH457" s="4" t="str">
        <f>'Form responses 1'!AQ459</f>
        <v/>
      </c>
      <c r="AI457" s="4" t="str">
        <f>'Form responses 1'!AR459</f>
        <v/>
      </c>
    </row>
    <row r="458">
      <c r="A458" s="26">
        <f>'Form responses 1'!B460</f>
        <v>46069</v>
      </c>
      <c r="B458" s="4" t="str">
        <f>'Form responses 1'!AZ460</f>
        <v>madhumitha.sonnakula@capsdelivery.com</v>
      </c>
      <c r="C458" s="4" t="str">
        <f>'Form responses 1'!BR460</f>
        <v>SHA SHA SHAWARMA </v>
      </c>
      <c r="D458" s="4" t="str">
        <f>'Form responses 1'!AT460</f>
        <v>onboarded</v>
      </c>
      <c r="E458" s="4" t="str">
        <f>'Form responses 1'!AU460</f>
        <v>No</v>
      </c>
      <c r="F458" s="4" t="str">
        <f>'Form responses 1'!AX460</f>
        <v/>
      </c>
      <c r="G458" s="4" t="str">
        <f>'Form responses 1'!AY460</f>
        <v/>
      </c>
      <c r="H458" s="53" t="str">
        <f>'Form responses 1'!AW460</f>
        <v/>
      </c>
      <c r="I458" s="4" t="str">
        <f>'Form responses 1'!AS460</f>
        <v>Yes</v>
      </c>
      <c r="J458" s="4" t="str">
        <f>'Form responses 1'!J460</f>
        <v>Tier-2 (AOV &lt;400)</v>
      </c>
      <c r="K458" s="4">
        <f>'Form responses 1'!G460</f>
        <v>300</v>
      </c>
      <c r="L458" s="4">
        <f>'Form responses 1'!F460</f>
        <v>25</v>
      </c>
      <c r="M458" s="4" t="str">
        <f>'Form responses 1'!U460</f>
        <v>SHIHARI GOUD</v>
      </c>
      <c r="N458" s="4" t="str">
        <f>'Form responses 1'!V460</f>
        <v>89789 36410</v>
      </c>
      <c r="O458" s="4" t="str">
        <f>'Form responses 1'!W460</f>
        <v>NA</v>
      </c>
      <c r="P458" s="4" t="str">
        <f>'Form responses 1'!X460</f>
        <v/>
      </c>
      <c r="Q458" s="4" t="str">
        <f>'Form responses 1'!Y460</f>
        <v/>
      </c>
      <c r="R458" s="4" t="str">
        <f>'Form responses 1'!Z460</f>
        <v/>
      </c>
      <c r="S458" s="54" t="str">
        <f>'Form responses 1'!AC460</f>
        <v>https://drive.google.com/open?id=1fxLJs5jB-xpQQqYcyKiJa9ow9u28RGf_</v>
      </c>
      <c r="T458" s="4" t="str">
        <f>'Form responses 1'!AE460</f>
        <v/>
      </c>
      <c r="U458" s="54" t="str">
        <f>'Form responses 1'!AG460</f>
        <v>https://drive.google.com/open?id=1nLvd4DvtCUcB1ziwiCLawkm7WjK0wHT0</v>
      </c>
      <c r="V458" s="4" t="str">
        <f>'Form responses 1'!AI460</f>
        <v/>
      </c>
      <c r="W458" s="4" t="str">
        <f>'Form responses 1'!AJ460</f>
        <v/>
      </c>
      <c r="X458" s="54" t="str">
        <f>'Form responses 1'!AK460</f>
        <v>https://drive.google.com/open?id=1s3qkv8BsnDod67ajNIztoNk4pVhhTL74</v>
      </c>
      <c r="Y458" s="4">
        <f t="shared" ref="Y458:AD458" si="457">if(S458&gt;0,1,0)</f>
        <v>1</v>
      </c>
      <c r="Z458" s="4">
        <f t="shared" si="457"/>
        <v>0</v>
      </c>
      <c r="AA458" s="4">
        <f t="shared" si="457"/>
        <v>1</v>
      </c>
      <c r="AB458" s="4">
        <f t="shared" si="457"/>
        <v>0</v>
      </c>
      <c r="AC458" s="4">
        <f t="shared" si="457"/>
        <v>0</v>
      </c>
      <c r="AD458" s="4">
        <f t="shared" si="457"/>
        <v>1</v>
      </c>
      <c r="AE458" s="4" t="str">
        <f>'Form responses 1'!AN460</f>
        <v/>
      </c>
      <c r="AF458" s="4" t="str">
        <f>'Form responses 1'!AO460</f>
        <v/>
      </c>
      <c r="AG458" s="4" t="str">
        <f>'Form responses 1'!AP460</f>
        <v/>
      </c>
      <c r="AH458" s="4" t="str">
        <f>'Form responses 1'!AQ460</f>
        <v/>
      </c>
      <c r="AI458" s="4" t="str">
        <f>'Form responses 1'!AR460</f>
        <v/>
      </c>
    </row>
    <row r="459">
      <c r="A459" s="26">
        <f>'Form responses 1'!B461</f>
        <v>46069</v>
      </c>
      <c r="B459" s="4" t="str">
        <f>'Form responses 1'!AZ461</f>
        <v>madhumitha.sonnakula@capsdelivery.com</v>
      </c>
      <c r="C459" s="4" t="str">
        <f>'Form responses 1'!BR461</f>
        <v>AROMA BIRYANIS PULAOS   </v>
      </c>
      <c r="D459" s="4" t="str">
        <f>'Form responses 1'!AT461</f>
        <v>onbaorded</v>
      </c>
      <c r="E459" s="4" t="str">
        <f>'Form responses 1'!AU461</f>
        <v>Yes</v>
      </c>
      <c r="F459" s="4" t="str">
        <f>'Form responses 1'!AX461</f>
        <v/>
      </c>
      <c r="G459" s="4" t="str">
        <f>'Form responses 1'!AY461</f>
        <v/>
      </c>
      <c r="H459" s="53" t="str">
        <f>'Form responses 1'!AW461</f>
        <v/>
      </c>
      <c r="I459" s="4" t="str">
        <f>'Form responses 1'!AS461</f>
        <v>Yes</v>
      </c>
      <c r="J459" s="4" t="str">
        <f>'Form responses 1'!J461</f>
        <v>Tier-2 (AOV &lt;400)</v>
      </c>
      <c r="K459" s="4">
        <f>'Form responses 1'!G461</f>
        <v>400</v>
      </c>
      <c r="L459" s="4">
        <f>'Form responses 1'!F461</f>
        <v>50</v>
      </c>
      <c r="M459" s="4" t="str">
        <f>'Form responses 1'!U461</f>
        <v>ravi teja</v>
      </c>
      <c r="N459" s="4">
        <f>'Form responses 1'!V461</f>
        <v>9505154858</v>
      </c>
      <c r="O459" s="4" t="str">
        <f>'Form responses 1'!W461</f>
        <v>na</v>
      </c>
      <c r="P459" s="4" t="str">
        <f>'Form responses 1'!X461</f>
        <v/>
      </c>
      <c r="Q459" s="4" t="str">
        <f>'Form responses 1'!Y461</f>
        <v/>
      </c>
      <c r="R459" s="4" t="str">
        <f>'Form responses 1'!Z461</f>
        <v/>
      </c>
      <c r="S459" s="54" t="str">
        <f>'Form responses 1'!AC461</f>
        <v>https://drive.google.com/open?id=1Bs5j9AK0RG5Hl2wupt4lloyhDgXIhyxN</v>
      </c>
      <c r="T459" s="4" t="str">
        <f>'Form responses 1'!AE461</f>
        <v/>
      </c>
      <c r="U459" s="4" t="str">
        <f>'Form responses 1'!AG461</f>
        <v/>
      </c>
      <c r="V459" s="4" t="str">
        <f>'Form responses 1'!AI461</f>
        <v/>
      </c>
      <c r="W459" s="4" t="str">
        <f>'Form responses 1'!AJ461</f>
        <v/>
      </c>
      <c r="X459" s="4" t="str">
        <f>'Form responses 1'!AK461</f>
        <v/>
      </c>
      <c r="Y459" s="4">
        <f t="shared" ref="Y459:AD459" si="458">if(S459&gt;0,1,0)</f>
        <v>1</v>
      </c>
      <c r="Z459" s="4">
        <f t="shared" si="458"/>
        <v>0</v>
      </c>
      <c r="AA459" s="4">
        <f t="shared" si="458"/>
        <v>0</v>
      </c>
      <c r="AB459" s="4">
        <f t="shared" si="458"/>
        <v>0</v>
      </c>
      <c r="AC459" s="4">
        <f t="shared" si="458"/>
        <v>0</v>
      </c>
      <c r="AD459" s="4">
        <f t="shared" si="458"/>
        <v>0</v>
      </c>
      <c r="AE459" s="4" t="str">
        <f>'Form responses 1'!AN461</f>
        <v/>
      </c>
      <c r="AF459" s="4" t="str">
        <f>'Form responses 1'!AO461</f>
        <v/>
      </c>
      <c r="AG459" s="4" t="str">
        <f>'Form responses 1'!AP461</f>
        <v/>
      </c>
      <c r="AH459" s="4" t="str">
        <f>'Form responses 1'!AQ461</f>
        <v/>
      </c>
      <c r="AI459" s="4" t="str">
        <f>'Form responses 1'!AR461</f>
        <v/>
      </c>
    </row>
    <row r="460">
      <c r="A460" s="26">
        <f>'Form responses 1'!B462</f>
        <v>46069</v>
      </c>
      <c r="B460" s="4" t="str">
        <f>'Form responses 1'!AZ462</f>
        <v>madhumitha.sonnakula@capsdelivery.com</v>
      </c>
      <c r="C460" s="4" t="str">
        <f>'Form responses 1'!BR462</f>
        <v>flavours of andhra</v>
      </c>
      <c r="D460" s="4" t="str">
        <f>'Form responses 1'!AT462</f>
        <v>ONBOARDED</v>
      </c>
      <c r="E460" s="4" t="str">
        <f>'Form responses 1'!AU462</f>
        <v>No</v>
      </c>
      <c r="F460" s="4" t="str">
        <f>'Form responses 1'!AX462</f>
        <v/>
      </c>
      <c r="G460" s="4" t="str">
        <f>'Form responses 1'!AY462</f>
        <v/>
      </c>
      <c r="H460" s="53" t="str">
        <f>'Form responses 1'!AW462</f>
        <v/>
      </c>
      <c r="I460" s="4" t="str">
        <f>'Form responses 1'!AS462</f>
        <v>Yes</v>
      </c>
      <c r="J460" s="4" t="str">
        <f>'Form responses 1'!J462</f>
        <v>Tier-1(AOV&gt;400)</v>
      </c>
      <c r="K460" s="4">
        <f>'Form responses 1'!G462</f>
        <v>600</v>
      </c>
      <c r="L460" s="4">
        <f>'Form responses 1'!F462</f>
        <v>150</v>
      </c>
      <c r="M460" s="4" t="str">
        <f>'Form responses 1'!U462</f>
        <v>abhishek </v>
      </c>
      <c r="N460" s="4">
        <f>'Form responses 1'!V462</f>
        <v>9949072220</v>
      </c>
      <c r="O460" s="4" t="str">
        <f>'Form responses 1'!W462</f>
        <v>na</v>
      </c>
      <c r="P460" s="4" t="str">
        <f>'Form responses 1'!X462</f>
        <v/>
      </c>
      <c r="Q460" s="4" t="str">
        <f>'Form responses 1'!Y462</f>
        <v/>
      </c>
      <c r="R460" s="4" t="str">
        <f>'Form responses 1'!Z462</f>
        <v/>
      </c>
      <c r="S460" s="54" t="str">
        <f>'Form responses 1'!AC462</f>
        <v>https://drive.google.com/open?id=15OcZoL691OxDeIQUq7hxTLlVkESpAFxU</v>
      </c>
      <c r="T460" s="54" t="str">
        <f>'Form responses 1'!AE462</f>
        <v>https://drive.google.com/open?id=12_glf7ohtBGogh91v9HxkwCJo0GOxHT3</v>
      </c>
      <c r="U460" s="54" t="str">
        <f>'Form responses 1'!AG462</f>
        <v>https://drive.google.com/open?id=1QXAlKpIBQInBixggqbC_jI6MPRubZ-Dv</v>
      </c>
      <c r="V460" s="4" t="str">
        <f>'Form responses 1'!AI462</f>
        <v/>
      </c>
      <c r="W460" s="4" t="str">
        <f>'Form responses 1'!AJ462</f>
        <v/>
      </c>
      <c r="X460" s="54" t="str">
        <f>'Form responses 1'!AK462</f>
        <v>https://drive.google.com/open?id=1iSONILkt5lH4Z6I8zgC4f5FG-WyYCWjD</v>
      </c>
      <c r="Y460" s="4">
        <f t="shared" ref="Y460:AD460" si="459">if(S460&gt;0,1,0)</f>
        <v>1</v>
      </c>
      <c r="Z460" s="4">
        <f t="shared" si="459"/>
        <v>1</v>
      </c>
      <c r="AA460" s="4">
        <f t="shared" si="459"/>
        <v>1</v>
      </c>
      <c r="AB460" s="4">
        <f t="shared" si="459"/>
        <v>0</v>
      </c>
      <c r="AC460" s="4">
        <f t="shared" si="459"/>
        <v>0</v>
      </c>
      <c r="AD460" s="4">
        <f t="shared" si="459"/>
        <v>1</v>
      </c>
      <c r="AE460" s="4" t="str">
        <f>'Form responses 1'!AN462</f>
        <v/>
      </c>
      <c r="AF460" s="4" t="str">
        <f>'Form responses 1'!AO462</f>
        <v/>
      </c>
      <c r="AG460" s="4" t="str">
        <f>'Form responses 1'!AP462</f>
        <v/>
      </c>
      <c r="AH460" s="4" t="str">
        <f>'Form responses 1'!AQ462</f>
        <v/>
      </c>
      <c r="AI460" s="4" t="str">
        <f>'Form responses 1'!AR462</f>
        <v/>
      </c>
    </row>
    <row r="461">
      <c r="A461" s="26">
        <f>'Form responses 1'!B463</f>
        <v>46070</v>
      </c>
      <c r="B461" s="4" t="str">
        <f>'Form responses 1'!AZ463</f>
        <v>akhila.narra@capsdelivery.com</v>
      </c>
      <c r="C461" s="4" t="str">
        <f>'Form responses 1'!BR463</f>
        <v>Daily Rituals</v>
      </c>
      <c r="D461" s="4" t="str">
        <f>'Form responses 1'!AT463</f>
        <v>na</v>
      </c>
      <c r="E461" s="4" t="str">
        <f>'Form responses 1'!AU463</f>
        <v>No</v>
      </c>
      <c r="F461" s="4" t="str">
        <f>'Form responses 1'!AX463</f>
        <v/>
      </c>
      <c r="G461" s="4" t="str">
        <f>'Form responses 1'!AY463</f>
        <v/>
      </c>
      <c r="H461" s="53" t="str">
        <f>'Form responses 1'!AW463</f>
        <v/>
      </c>
      <c r="I461" s="4" t="str">
        <f>'Form responses 1'!AS463</f>
        <v/>
      </c>
      <c r="J461" s="4" t="str">
        <f>'Form responses 1'!J463</f>
        <v>Tier-1(AOV&gt;400)</v>
      </c>
      <c r="K461" s="4">
        <f>'Form responses 1'!G463</f>
        <v>800</v>
      </c>
      <c r="L461" s="4">
        <f>'Form responses 1'!F463</f>
        <v>80</v>
      </c>
      <c r="M461" s="4" t="str">
        <f>'Form responses 1'!U463</f>
        <v>Rajan</v>
      </c>
      <c r="N461" s="4" t="str">
        <f>'Form responses 1'!V463</f>
        <v>97034 45554</v>
      </c>
      <c r="O461" s="4" t="str">
        <f>'Form responses 1'!W463</f>
        <v>na</v>
      </c>
      <c r="P461" s="4" t="str">
        <f>'Form responses 1'!X463</f>
        <v/>
      </c>
      <c r="Q461" s="4" t="str">
        <f>'Form responses 1'!Y463</f>
        <v/>
      </c>
      <c r="R461" s="4" t="str">
        <f>'Form responses 1'!Z463</f>
        <v/>
      </c>
      <c r="S461" s="4" t="str">
        <f>'Form responses 1'!AC463</f>
        <v/>
      </c>
      <c r="T461" s="4" t="str">
        <f>'Form responses 1'!AE463</f>
        <v/>
      </c>
      <c r="U461" s="4" t="str">
        <f>'Form responses 1'!AG463</f>
        <v/>
      </c>
      <c r="V461" s="4" t="str">
        <f>'Form responses 1'!AI463</f>
        <v/>
      </c>
      <c r="W461" s="4" t="str">
        <f>'Form responses 1'!AJ463</f>
        <v/>
      </c>
      <c r="X461" s="4" t="str">
        <f>'Form responses 1'!AK463</f>
        <v/>
      </c>
      <c r="Y461" s="4">
        <f t="shared" ref="Y461:AD461" si="460">if(S461&gt;0,1,0)</f>
        <v>0</v>
      </c>
      <c r="Z461" s="4">
        <f t="shared" si="460"/>
        <v>0</v>
      </c>
      <c r="AA461" s="4">
        <f t="shared" si="460"/>
        <v>0</v>
      </c>
      <c r="AB461" s="4">
        <f t="shared" si="460"/>
        <v>0</v>
      </c>
      <c r="AC461" s="4">
        <f t="shared" si="460"/>
        <v>0</v>
      </c>
      <c r="AD461" s="4">
        <f t="shared" si="460"/>
        <v>0</v>
      </c>
      <c r="AE461" s="4" t="str">
        <f>'Form responses 1'!AN463</f>
        <v/>
      </c>
      <c r="AF461" s="4" t="str">
        <f>'Form responses 1'!AO463</f>
        <v/>
      </c>
      <c r="AG461" s="4" t="str">
        <f>'Form responses 1'!AP463</f>
        <v/>
      </c>
      <c r="AH461" s="4" t="str">
        <f>'Form responses 1'!AQ463</f>
        <v/>
      </c>
      <c r="AI461" s="4" t="str">
        <f>'Form responses 1'!AR463</f>
        <v/>
      </c>
    </row>
    <row r="462">
      <c r="A462" s="26">
        <f>'Form responses 1'!B464</f>
        <v>46070</v>
      </c>
      <c r="B462" s="4" t="str">
        <f>'Form responses 1'!AZ464</f>
        <v>akhila.narra@capsdelivery.com</v>
      </c>
      <c r="C462" s="4" t="str">
        <f>'Form responses 1'!BR464</f>
        <v>Tiffins and more</v>
      </c>
      <c r="D462" s="4" t="str">
        <f>'Form responses 1'!AT464</f>
        <v>Na</v>
      </c>
      <c r="E462" s="4" t="str">
        <f>'Form responses 1'!AU464</f>
        <v>Yes</v>
      </c>
      <c r="F462" s="26">
        <f>'Form responses 1'!AX464</f>
        <v>46072</v>
      </c>
      <c r="G462" s="52">
        <f>'Form responses 1'!AY464</f>
        <v>0.1041666667</v>
      </c>
      <c r="H462" s="53" t="str">
        <f>'Form responses 1'!AW464</f>
        <v/>
      </c>
      <c r="I462" s="4" t="str">
        <f>'Form responses 1'!AS464</f>
        <v/>
      </c>
      <c r="J462" s="4" t="str">
        <f>'Form responses 1'!J464</f>
        <v>Tier-1(AOV&gt;400)</v>
      </c>
      <c r="K462" s="4">
        <f>'Form responses 1'!G464</f>
        <v>900</v>
      </c>
      <c r="L462" s="4">
        <f>'Form responses 1'!F464</f>
        <v>80</v>
      </c>
      <c r="M462" s="4" t="str">
        <f>'Form responses 1'!U464</f>
        <v>Arun</v>
      </c>
      <c r="N462" s="4" t="str">
        <f>'Form responses 1'!V464</f>
        <v>99855 59905</v>
      </c>
      <c r="O462" s="4" t="str">
        <f>'Form responses 1'!W464</f>
        <v>Na</v>
      </c>
      <c r="P462" s="4" t="str">
        <f>'Form responses 1'!X464</f>
        <v/>
      </c>
      <c r="Q462" s="4" t="str">
        <f>'Form responses 1'!Y464</f>
        <v/>
      </c>
      <c r="R462" s="4" t="str">
        <f>'Form responses 1'!Z464</f>
        <v/>
      </c>
      <c r="S462" s="4" t="str">
        <f>'Form responses 1'!AC464</f>
        <v/>
      </c>
      <c r="T462" s="4" t="str">
        <f>'Form responses 1'!AE464</f>
        <v/>
      </c>
      <c r="U462" s="4" t="str">
        <f>'Form responses 1'!AG464</f>
        <v/>
      </c>
      <c r="V462" s="4" t="str">
        <f>'Form responses 1'!AI464</f>
        <v/>
      </c>
      <c r="W462" s="4" t="str">
        <f>'Form responses 1'!AJ464</f>
        <v/>
      </c>
      <c r="X462" s="4" t="str">
        <f>'Form responses 1'!AK464</f>
        <v/>
      </c>
      <c r="Y462" s="4">
        <f t="shared" ref="Y462:AD462" si="461">if(S462&gt;0,1,0)</f>
        <v>0</v>
      </c>
      <c r="Z462" s="4">
        <f t="shared" si="461"/>
        <v>0</v>
      </c>
      <c r="AA462" s="4">
        <f t="shared" si="461"/>
        <v>0</v>
      </c>
      <c r="AB462" s="4">
        <f t="shared" si="461"/>
        <v>0</v>
      </c>
      <c r="AC462" s="4">
        <f t="shared" si="461"/>
        <v>0</v>
      </c>
      <c r="AD462" s="4">
        <f t="shared" si="461"/>
        <v>0</v>
      </c>
      <c r="AE462" s="4" t="str">
        <f>'Form responses 1'!AN464</f>
        <v/>
      </c>
      <c r="AF462" s="4" t="str">
        <f>'Form responses 1'!AO464</f>
        <v/>
      </c>
      <c r="AG462" s="4" t="str">
        <f>'Form responses 1'!AP464</f>
        <v/>
      </c>
      <c r="AH462" s="4" t="str">
        <f>'Form responses 1'!AQ464</f>
        <v/>
      </c>
      <c r="AI462" s="4" t="str">
        <f>'Form responses 1'!AR464</f>
        <v/>
      </c>
    </row>
    <row r="463">
      <c r="A463" s="26">
        <f>'Form responses 1'!B465</f>
        <v>46070</v>
      </c>
      <c r="B463" s="4" t="str">
        <f>'Form responses 1'!AZ465</f>
        <v>akhila.narra@capsdelivery.com</v>
      </c>
      <c r="C463" s="4" t="str">
        <f>'Form responses 1'!BR465</f>
        <v>Dwaraka Restuarant </v>
      </c>
      <c r="D463" s="4" t="str">
        <f>'Form responses 1'!AT465</f>
        <v>Na</v>
      </c>
      <c r="E463" s="4" t="str">
        <f>'Form responses 1'!AU465</f>
        <v>No</v>
      </c>
      <c r="F463" s="4" t="str">
        <f>'Form responses 1'!AX465</f>
        <v/>
      </c>
      <c r="G463" s="4" t="str">
        <f>'Form responses 1'!AY465</f>
        <v/>
      </c>
      <c r="H463" s="53" t="str">
        <f>'Form responses 1'!AW465</f>
        <v/>
      </c>
      <c r="I463" s="4" t="str">
        <f>'Form responses 1'!AS465</f>
        <v/>
      </c>
      <c r="J463" s="4" t="str">
        <f>'Form responses 1'!J465</f>
        <v>Tier-2 (AOV &lt;400)</v>
      </c>
      <c r="K463" s="4">
        <f>'Form responses 1'!G465</f>
        <v>500</v>
      </c>
      <c r="L463" s="4">
        <f>'Form responses 1'!F465</f>
        <v>120</v>
      </c>
      <c r="M463" s="4" t="str">
        <f>'Form responses 1'!U465</f>
        <v>Darik</v>
      </c>
      <c r="N463" s="4" t="str">
        <f>'Form responses 1'!V465</f>
        <v>Na</v>
      </c>
      <c r="O463" s="4" t="str">
        <f>'Form responses 1'!W465</f>
        <v>Na</v>
      </c>
      <c r="P463" s="4" t="str">
        <f>'Form responses 1'!X465</f>
        <v/>
      </c>
      <c r="Q463" s="4" t="str">
        <f>'Form responses 1'!Y465</f>
        <v/>
      </c>
      <c r="R463" s="4" t="str">
        <f>'Form responses 1'!Z465</f>
        <v/>
      </c>
      <c r="S463" s="4" t="str">
        <f>'Form responses 1'!AC465</f>
        <v/>
      </c>
      <c r="T463" s="4" t="str">
        <f>'Form responses 1'!AE465</f>
        <v/>
      </c>
      <c r="U463" s="4" t="str">
        <f>'Form responses 1'!AG465</f>
        <v/>
      </c>
      <c r="V463" s="4" t="str">
        <f>'Form responses 1'!AI465</f>
        <v/>
      </c>
      <c r="W463" s="4" t="str">
        <f>'Form responses 1'!AJ465</f>
        <v/>
      </c>
      <c r="X463" s="4" t="str">
        <f>'Form responses 1'!AK465</f>
        <v/>
      </c>
      <c r="Y463" s="4">
        <f t="shared" ref="Y463:AD463" si="462">if(S463&gt;0,1,0)</f>
        <v>0</v>
      </c>
      <c r="Z463" s="4">
        <f t="shared" si="462"/>
        <v>0</v>
      </c>
      <c r="AA463" s="4">
        <f t="shared" si="462"/>
        <v>0</v>
      </c>
      <c r="AB463" s="4">
        <f t="shared" si="462"/>
        <v>0</v>
      </c>
      <c r="AC463" s="4">
        <f t="shared" si="462"/>
        <v>0</v>
      </c>
      <c r="AD463" s="4">
        <f t="shared" si="462"/>
        <v>0</v>
      </c>
      <c r="AE463" s="4" t="str">
        <f>'Form responses 1'!AN465</f>
        <v/>
      </c>
      <c r="AF463" s="4" t="str">
        <f>'Form responses 1'!AO465</f>
        <v/>
      </c>
      <c r="AG463" s="4" t="str">
        <f>'Form responses 1'!AP465</f>
        <v/>
      </c>
      <c r="AH463" s="4" t="str">
        <f>'Form responses 1'!AQ465</f>
        <v/>
      </c>
      <c r="AI463" s="4" t="str">
        <f>'Form responses 1'!AR465</f>
        <v/>
      </c>
    </row>
    <row r="464">
      <c r="A464" s="26">
        <f>'Form responses 1'!B466</f>
        <v>46069</v>
      </c>
      <c r="B464" s="4" t="str">
        <f>'Form responses 1'!AZ466</f>
        <v>akhila.narra@capsdelivery.com</v>
      </c>
      <c r="C464" s="4" t="str">
        <f>'Form responses 1'!BR466</f>
        <v>Sri Raghavendra Bhavan</v>
      </c>
      <c r="D464" s="4" t="str">
        <f>'Form responses 1'!AT466</f>
        <v>Na</v>
      </c>
      <c r="E464" s="4" t="str">
        <f>'Form responses 1'!AU466</f>
        <v>Yes</v>
      </c>
      <c r="F464" s="26">
        <f>'Form responses 1'!AX466</f>
        <v>46069</v>
      </c>
      <c r="G464" s="52">
        <f>'Form responses 1'!AY466</f>
        <v>0.1041666667</v>
      </c>
      <c r="H464" s="53" t="str">
        <f>'Form responses 1'!AW466</f>
        <v>Intrested to Onboard</v>
      </c>
      <c r="I464" s="4" t="str">
        <f>'Form responses 1'!AS466</f>
        <v/>
      </c>
      <c r="J464" s="4" t="str">
        <f>'Form responses 1'!J466</f>
        <v>Tier-2 (AOV &lt;400)</v>
      </c>
      <c r="K464" s="4">
        <f>'Form responses 1'!G466</f>
        <v>270</v>
      </c>
      <c r="L464" s="4">
        <f>'Form responses 1'!F466</f>
        <v>120</v>
      </c>
      <c r="M464" s="4" t="str">
        <f>'Form responses 1'!U466</f>
        <v>Swamy</v>
      </c>
      <c r="N464" s="4">
        <f>'Form responses 1'!V466</f>
        <v>7702942820</v>
      </c>
      <c r="O464" s="4" t="str">
        <f>'Form responses 1'!W466</f>
        <v>Na</v>
      </c>
      <c r="P464" s="4" t="str">
        <f>'Form responses 1'!X466</f>
        <v/>
      </c>
      <c r="Q464" s="4" t="str">
        <f>'Form responses 1'!Y466</f>
        <v/>
      </c>
      <c r="R464" s="4" t="str">
        <f>'Form responses 1'!Z466</f>
        <v/>
      </c>
      <c r="S464" s="4" t="str">
        <f>'Form responses 1'!AC466</f>
        <v/>
      </c>
      <c r="T464" s="4" t="str">
        <f>'Form responses 1'!AE466</f>
        <v/>
      </c>
      <c r="U464" s="4" t="str">
        <f>'Form responses 1'!AG466</f>
        <v/>
      </c>
      <c r="V464" s="4" t="str">
        <f>'Form responses 1'!AI466</f>
        <v/>
      </c>
      <c r="W464" s="4" t="str">
        <f>'Form responses 1'!AJ466</f>
        <v/>
      </c>
      <c r="X464" s="4" t="str">
        <f>'Form responses 1'!AK466</f>
        <v/>
      </c>
      <c r="Y464" s="4">
        <f t="shared" ref="Y464:AD464" si="463">if(S464&gt;0,1,0)</f>
        <v>0</v>
      </c>
      <c r="Z464" s="4">
        <f t="shared" si="463"/>
        <v>0</v>
      </c>
      <c r="AA464" s="4">
        <f t="shared" si="463"/>
        <v>0</v>
      </c>
      <c r="AB464" s="4">
        <f t="shared" si="463"/>
        <v>0</v>
      </c>
      <c r="AC464" s="4">
        <f t="shared" si="463"/>
        <v>0</v>
      </c>
      <c r="AD464" s="4">
        <f t="shared" si="463"/>
        <v>0</v>
      </c>
      <c r="AE464" s="4" t="str">
        <f>'Form responses 1'!AN466</f>
        <v/>
      </c>
      <c r="AF464" s="4" t="str">
        <f>'Form responses 1'!AO466</f>
        <v/>
      </c>
      <c r="AG464" s="4" t="str">
        <f>'Form responses 1'!AP466</f>
        <v/>
      </c>
      <c r="AH464" s="4" t="str">
        <f>'Form responses 1'!AQ466</f>
        <v/>
      </c>
      <c r="AI464" s="4" t="str">
        <f>'Form responses 1'!AR466</f>
        <v/>
      </c>
    </row>
    <row r="465">
      <c r="A465" s="26">
        <f>'Form responses 1'!B685</f>
        <v>46073</v>
      </c>
      <c r="B465" s="4" t="str">
        <f>'Form responses 1'!AZ685</f>
        <v>greeshma.vanneldas@capsdelivery.com</v>
      </c>
      <c r="C465" s="4" t="str">
        <f>'Form responses 1'!BR685</f>
        <v>Kadak house </v>
      </c>
      <c r="D465" s="4" t="str">
        <f>'Form responses 1'!AT685</f>
        <v>The owner will be available in jubliee hills branch they have 6outlets </v>
      </c>
      <c r="E465" s="4" t="str">
        <f>'Form responses 1'!AU685</f>
        <v>Yes</v>
      </c>
      <c r="F465" s="4" t="str">
        <f>'Form responses 1'!AX685</f>
        <v/>
      </c>
      <c r="G465" s="4" t="str">
        <f>'Form responses 1'!AY685</f>
        <v/>
      </c>
      <c r="H465" s="53" t="str">
        <f>'Form responses 1'!AW685</f>
        <v/>
      </c>
      <c r="I465" s="4" t="str">
        <f>'Form responses 1'!AS685</f>
        <v/>
      </c>
      <c r="J465" s="4" t="str">
        <f>'Form responses 1'!J685</f>
        <v/>
      </c>
      <c r="K465" s="4" t="str">
        <f>'Form responses 1'!G685</f>
        <v/>
      </c>
      <c r="L465" s="4" t="str">
        <f>'Form responses 1'!F685</f>
        <v/>
      </c>
      <c r="M465" s="4" t="str">
        <f>'Form responses 1'!U685</f>
        <v>Sameer</v>
      </c>
      <c r="N465" s="4" t="str">
        <f>'Form responses 1'!V685</f>
        <v>Na</v>
      </c>
      <c r="O465" s="4" t="str">
        <f>'Form responses 1'!W685</f>
        <v>Na</v>
      </c>
      <c r="P465" s="4" t="str">
        <f>'Form responses 1'!X685</f>
        <v/>
      </c>
      <c r="Q465" s="4" t="str">
        <f>'Form responses 1'!Y685</f>
        <v/>
      </c>
      <c r="R465" s="4" t="str">
        <f>'Form responses 1'!Z685</f>
        <v/>
      </c>
      <c r="S465" s="4" t="str">
        <f>'Form responses 1'!AC685</f>
        <v/>
      </c>
      <c r="T465" s="4" t="str">
        <f>'Form responses 1'!AE685</f>
        <v/>
      </c>
      <c r="U465" s="4" t="str">
        <f>'Form responses 1'!AG685</f>
        <v/>
      </c>
      <c r="V465" s="4" t="str">
        <f>'Form responses 1'!AI685</f>
        <v/>
      </c>
      <c r="W465" s="4" t="str">
        <f>'Form responses 1'!AJ685</f>
        <v/>
      </c>
      <c r="X465" s="4" t="str">
        <f>'Form responses 1'!AK685</f>
        <v/>
      </c>
      <c r="Y465" s="4">
        <f t="shared" ref="Y465:AD465" si="464">if(S465&gt;0,1,0)</f>
        <v>0</v>
      </c>
      <c r="Z465" s="4">
        <f t="shared" si="464"/>
        <v>0</v>
      </c>
      <c r="AA465" s="4">
        <f t="shared" si="464"/>
        <v>0</v>
      </c>
      <c r="AB465" s="4">
        <f t="shared" si="464"/>
        <v>0</v>
      </c>
      <c r="AC465" s="4">
        <f t="shared" si="464"/>
        <v>0</v>
      </c>
      <c r="AD465" s="4">
        <f t="shared" si="464"/>
        <v>0</v>
      </c>
      <c r="AE465" s="4" t="str">
        <f>'Form responses 1'!AN685</f>
        <v/>
      </c>
      <c r="AF465" s="4" t="str">
        <f>'Form responses 1'!AO1804</f>
        <v/>
      </c>
      <c r="AG465" s="4" t="str">
        <f>'Form responses 1'!AP1804</f>
        <v/>
      </c>
      <c r="AH465" s="4" t="str">
        <f>'Form responses 1'!AQ1804</f>
        <v/>
      </c>
      <c r="AI465" s="4" t="str">
        <f>'Form responses 1'!AR1804</f>
        <v/>
      </c>
    </row>
    <row r="466">
      <c r="A466" s="26">
        <f>'Form responses 1'!B661</f>
        <v>46071</v>
      </c>
      <c r="B466" s="4" t="str">
        <f>'Form responses 1'!AZ661</f>
        <v>greeshma.vanneldas@capsdelivery.com</v>
      </c>
      <c r="C466" s="4" t="str">
        <f>'Form responses 1'!BR661</f>
        <v>Kafika</v>
      </c>
      <c r="D466" s="4" t="str">
        <f>'Form responses 1'!AT661</f>
        <v>need to follow up</v>
      </c>
      <c r="E466" s="4" t="str">
        <f>'Form responses 1'!AU661</f>
        <v>Yes</v>
      </c>
      <c r="F466" s="4" t="str">
        <f>'Form responses 1'!AX661</f>
        <v/>
      </c>
      <c r="G466" s="4" t="str">
        <f>'Form responses 1'!AY661</f>
        <v/>
      </c>
      <c r="H466" s="53" t="str">
        <f>'Form responses 1'!AW661</f>
        <v/>
      </c>
      <c r="I466" s="4" t="str">
        <f>'Form responses 1'!AS661</f>
        <v/>
      </c>
      <c r="J466" s="4" t="str">
        <f>'Form responses 1'!J661</f>
        <v/>
      </c>
      <c r="K466" s="4" t="str">
        <f>'Form responses 1'!G661</f>
        <v/>
      </c>
      <c r="L466" s="4" t="str">
        <f>'Form responses 1'!F661</f>
        <v/>
      </c>
      <c r="M466" s="4" t="str">
        <f>'Form responses 1'!U661</f>
        <v>Chakra</v>
      </c>
      <c r="N466" s="4">
        <f>'Form responses 1'!V661</f>
        <v>9701959365</v>
      </c>
      <c r="O466" s="4" t="str">
        <f>'Form responses 1'!W661</f>
        <v>na</v>
      </c>
      <c r="P466" s="4" t="str">
        <f>'Form responses 1'!X661</f>
        <v/>
      </c>
      <c r="Q466" s="4" t="str">
        <f>'Form responses 1'!Y661</f>
        <v/>
      </c>
      <c r="R466" s="4" t="str">
        <f>'Form responses 1'!Z661</f>
        <v/>
      </c>
      <c r="S466" s="4" t="str">
        <f>'Form responses 1'!AC661</f>
        <v/>
      </c>
      <c r="T466" s="4" t="str">
        <f>'Form responses 1'!AE661</f>
        <v/>
      </c>
      <c r="U466" s="4" t="str">
        <f>'Form responses 1'!AG661</f>
        <v/>
      </c>
      <c r="V466" s="4" t="str">
        <f>'Form responses 1'!AI661</f>
        <v/>
      </c>
      <c r="W466" s="4" t="str">
        <f>'Form responses 1'!AJ661</f>
        <v/>
      </c>
      <c r="X466" s="4" t="str">
        <f>'Form responses 1'!AK661</f>
        <v/>
      </c>
      <c r="Y466" s="4">
        <f t="shared" ref="Y466:AD466" si="465">if(S466&gt;0,1,0)</f>
        <v>0</v>
      </c>
      <c r="Z466" s="4">
        <f t="shared" si="465"/>
        <v>0</v>
      </c>
      <c r="AA466" s="4">
        <f t="shared" si="465"/>
        <v>0</v>
      </c>
      <c r="AB466" s="4">
        <f t="shared" si="465"/>
        <v>0</v>
      </c>
      <c r="AC466" s="4">
        <f t="shared" si="465"/>
        <v>0</v>
      </c>
      <c r="AD466" s="4">
        <f t="shared" si="465"/>
        <v>0</v>
      </c>
      <c r="AE466" s="4" t="str">
        <f>'Form responses 1'!AN661</f>
        <v/>
      </c>
      <c r="AF466" s="4" t="str">
        <f>'Form responses 1'!AO1780</f>
        <v/>
      </c>
      <c r="AG466" s="4" t="str">
        <f>'Form responses 1'!AP1780</f>
        <v/>
      </c>
      <c r="AH466" s="4" t="str">
        <f>'Form responses 1'!AQ1780</f>
        <v/>
      </c>
      <c r="AI466" s="4" t="str">
        <f>'Form responses 1'!AR1780</f>
        <v/>
      </c>
    </row>
    <row r="467">
      <c r="A467" s="26">
        <f>'Form responses 1'!B139</f>
        <v>46063</v>
      </c>
      <c r="B467" s="4" t="str">
        <f>'Form responses 1'!AZ139</f>
        <v>greeshma.vanneldas@capsdelivery.com</v>
      </c>
      <c r="C467" s="4" t="str">
        <f>'Form responses 1'!BR139</f>
        <v>Kake di hatti</v>
      </c>
      <c r="D467" s="4" t="str">
        <f>'Form responses 1'!AT139</f>
        <v/>
      </c>
      <c r="E467" s="4" t="str">
        <f>'Form responses 1'!AU139</f>
        <v>Yes</v>
      </c>
      <c r="F467" s="4" t="str">
        <f>'Form responses 1'!AX139</f>
        <v/>
      </c>
      <c r="G467" s="4" t="str">
        <f>'Form responses 1'!AY139</f>
        <v/>
      </c>
      <c r="H467" s="53" t="str">
        <f>'Form responses 1'!AW139</f>
        <v>Owner will be available after 21:00Pm in the restaurant(Kondapur)</v>
      </c>
      <c r="I467" s="4" t="str">
        <f>'Form responses 1'!AS139</f>
        <v/>
      </c>
      <c r="J467" s="4" t="str">
        <f>'Form responses 1'!J139</f>
        <v>Tier-1(AOV&gt;400)</v>
      </c>
      <c r="K467" s="4">
        <f>'Form responses 1'!G139</f>
        <v>500</v>
      </c>
      <c r="L467" s="4">
        <f>'Form responses 1'!F139</f>
        <v>120</v>
      </c>
      <c r="M467" s="4" t="str">
        <f>'Form responses 1'!U139</f>
        <v>Prabhakar</v>
      </c>
      <c r="N467" s="4">
        <f>'Form responses 1'!V139</f>
        <v>9140523292</v>
      </c>
      <c r="O467" s="4" t="str">
        <f>'Form responses 1'!W139</f>
        <v>Na</v>
      </c>
      <c r="P467" s="4" t="str">
        <f>'Form responses 1'!X139</f>
        <v/>
      </c>
      <c r="Q467" s="4" t="str">
        <f>'Form responses 1'!Y139</f>
        <v/>
      </c>
      <c r="R467" s="4" t="str">
        <f>'Form responses 1'!Z139</f>
        <v/>
      </c>
      <c r="S467" s="4" t="str">
        <f>'Form responses 1'!AC139</f>
        <v/>
      </c>
      <c r="T467" s="4" t="str">
        <f>'Form responses 1'!AE139</f>
        <v/>
      </c>
      <c r="U467" s="4" t="str">
        <f>'Form responses 1'!AG139</f>
        <v/>
      </c>
      <c r="V467" s="4" t="str">
        <f>'Form responses 1'!AI139</f>
        <v/>
      </c>
      <c r="W467" s="4" t="str">
        <f>'Form responses 1'!AJ139</f>
        <v/>
      </c>
      <c r="X467" s="4" t="str">
        <f>'Form responses 1'!AK139</f>
        <v/>
      </c>
      <c r="Y467" s="4">
        <f t="shared" ref="Y467:AD467" si="466">if(S467&gt;0,1,0)</f>
        <v>0</v>
      </c>
      <c r="Z467" s="4">
        <f t="shared" si="466"/>
        <v>0</v>
      </c>
      <c r="AA467" s="4">
        <f t="shared" si="466"/>
        <v>0</v>
      </c>
      <c r="AB467" s="4">
        <f t="shared" si="466"/>
        <v>0</v>
      </c>
      <c r="AC467" s="4">
        <f t="shared" si="466"/>
        <v>0</v>
      </c>
      <c r="AD467" s="4">
        <f t="shared" si="466"/>
        <v>0</v>
      </c>
      <c r="AE467" s="4" t="str">
        <f>'Form responses 1'!AN139</f>
        <v/>
      </c>
      <c r="AF467" s="4" t="str">
        <f>'Form responses 1'!AO139</f>
        <v/>
      </c>
      <c r="AG467" s="4" t="str">
        <f>'Form responses 1'!AP139</f>
        <v/>
      </c>
      <c r="AH467" s="4" t="str">
        <f>'Form responses 1'!AQ139</f>
        <v/>
      </c>
      <c r="AI467" s="4" t="str">
        <f>'Form responses 1'!AR139</f>
        <v/>
      </c>
    </row>
    <row r="468">
      <c r="A468" s="26">
        <f>'Form responses 1'!B470</f>
        <v>46069</v>
      </c>
      <c r="B468" s="4" t="str">
        <f>'Form responses 1'!AZ470</f>
        <v>greeshma.vanneldas@capsdelivery.com</v>
      </c>
      <c r="C468" s="4" t="str">
        <f>'Form responses 1'!BR470</f>
        <v>Palapitta ruchuluPala pitta ruchulu</v>
      </c>
      <c r="D468" s="4" t="str">
        <f>'Form responses 1'!AT470</f>
        <v>Onboarded</v>
      </c>
      <c r="E468" s="4" t="str">
        <f>'Form responses 1'!AU470</f>
        <v>No</v>
      </c>
      <c r="F468" s="4" t="str">
        <f>'Form responses 1'!AX470</f>
        <v/>
      </c>
      <c r="G468" s="4" t="str">
        <f>'Form responses 1'!AY470</f>
        <v/>
      </c>
      <c r="H468" s="53" t="str">
        <f>'Form responses 1'!AW470</f>
        <v/>
      </c>
      <c r="I468" s="4" t="str">
        <f>'Form responses 1'!AS470</f>
        <v/>
      </c>
      <c r="J468" s="4" t="str">
        <f>'Form responses 1'!J470</f>
        <v/>
      </c>
      <c r="K468" s="4" t="str">
        <f>'Form responses 1'!G470</f>
        <v/>
      </c>
      <c r="L468" s="4" t="str">
        <f>'Form responses 1'!F470</f>
        <v/>
      </c>
      <c r="M468" s="4" t="str">
        <f>'Form responses 1'!U470</f>
        <v>Manne hanumanth</v>
      </c>
      <c r="N468" s="4">
        <f>'Form responses 1'!V470</f>
        <v>7331139799</v>
      </c>
      <c r="O468" s="4" t="str">
        <f>'Form responses 1'!W470</f>
        <v>na</v>
      </c>
      <c r="P468" s="4" t="str">
        <f>'Form responses 1'!X470</f>
        <v/>
      </c>
      <c r="Q468" s="4" t="str">
        <f>'Form responses 1'!Y470</f>
        <v/>
      </c>
      <c r="R468" s="4" t="str">
        <f>'Form responses 1'!Z470</f>
        <v/>
      </c>
      <c r="S468" s="4" t="str">
        <f>'Form responses 1'!AC470</f>
        <v/>
      </c>
      <c r="T468" s="4" t="str">
        <f>'Form responses 1'!AE470</f>
        <v/>
      </c>
      <c r="U468" s="4" t="str">
        <f>'Form responses 1'!AG470</f>
        <v/>
      </c>
      <c r="V468" s="4" t="str">
        <f>'Form responses 1'!AI470</f>
        <v/>
      </c>
      <c r="W468" s="4" t="str">
        <f>'Form responses 1'!AJ470</f>
        <v/>
      </c>
      <c r="X468" s="4" t="str">
        <f>'Form responses 1'!AK470</f>
        <v/>
      </c>
      <c r="Y468" s="4">
        <f t="shared" ref="Y468:AD468" si="467">if(S468&gt;0,1,0)</f>
        <v>0</v>
      </c>
      <c r="Z468" s="4">
        <f t="shared" si="467"/>
        <v>0</v>
      </c>
      <c r="AA468" s="4">
        <f t="shared" si="467"/>
        <v>0</v>
      </c>
      <c r="AB468" s="4">
        <f t="shared" si="467"/>
        <v>0</v>
      </c>
      <c r="AC468" s="4">
        <f t="shared" si="467"/>
        <v>0</v>
      </c>
      <c r="AD468" s="4">
        <f t="shared" si="467"/>
        <v>0</v>
      </c>
      <c r="AE468" s="4" t="str">
        <f>'Form responses 1'!AN470</f>
        <v/>
      </c>
      <c r="AF468" s="4" t="str">
        <f>'Form responses 1'!AO470</f>
        <v/>
      </c>
      <c r="AG468" s="4" t="str">
        <f>'Form responses 1'!AP470</f>
        <v/>
      </c>
      <c r="AH468" s="4" t="str">
        <f>'Form responses 1'!AQ470</f>
        <v/>
      </c>
      <c r="AI468" s="4" t="str">
        <f>'Form responses 1'!AR470</f>
        <v/>
      </c>
    </row>
    <row r="469">
      <c r="A469" s="26">
        <f>'Form responses 1'!B471</f>
        <v>46069</v>
      </c>
      <c r="B469" s="4" t="str">
        <f>'Form responses 1'!AZ471</f>
        <v>greeshma.vanneldas@capsdelivery.com</v>
      </c>
      <c r="C469" s="4" t="str">
        <f>'Form responses 1'!BR471</f>
        <v>Patnam ruchuluPatnam ruchulu</v>
      </c>
      <c r="D469" s="4" t="str">
        <f>'Form responses 1'!AT471</f>
        <v>Onboarded</v>
      </c>
      <c r="E469" s="4" t="str">
        <f>'Form responses 1'!AU471</f>
        <v>No</v>
      </c>
      <c r="F469" s="4" t="str">
        <f>'Form responses 1'!AX471</f>
        <v/>
      </c>
      <c r="G469" s="4" t="str">
        <f>'Form responses 1'!AY471</f>
        <v/>
      </c>
      <c r="H469" s="53" t="str">
        <f>'Form responses 1'!AW471</f>
        <v/>
      </c>
      <c r="I469" s="4" t="str">
        <f>'Form responses 1'!AS471</f>
        <v/>
      </c>
      <c r="J469" s="4" t="str">
        <f>'Form responses 1'!J471</f>
        <v/>
      </c>
      <c r="K469" s="4" t="str">
        <f>'Form responses 1'!G471</f>
        <v/>
      </c>
      <c r="L469" s="4" t="str">
        <f>'Form responses 1'!F471</f>
        <v/>
      </c>
      <c r="M469" s="4" t="str">
        <f>'Form responses 1'!U471</f>
        <v>Nithesh</v>
      </c>
      <c r="N469" s="4">
        <f>'Form responses 1'!V471</f>
        <v>9000464440</v>
      </c>
      <c r="O469" s="4" t="str">
        <f>'Form responses 1'!W471</f>
        <v>na</v>
      </c>
      <c r="P469" s="4" t="str">
        <f>'Form responses 1'!X471</f>
        <v/>
      </c>
      <c r="Q469" s="4" t="str">
        <f>'Form responses 1'!Y471</f>
        <v/>
      </c>
      <c r="R469" s="4" t="str">
        <f>'Form responses 1'!Z471</f>
        <v/>
      </c>
      <c r="S469" s="4" t="str">
        <f>'Form responses 1'!AC471</f>
        <v/>
      </c>
      <c r="T469" s="4" t="str">
        <f>'Form responses 1'!AE471</f>
        <v/>
      </c>
      <c r="U469" s="4" t="str">
        <f>'Form responses 1'!AG471</f>
        <v/>
      </c>
      <c r="V469" s="4" t="str">
        <f>'Form responses 1'!AI471</f>
        <v/>
      </c>
      <c r="W469" s="4" t="str">
        <f>'Form responses 1'!AJ471</f>
        <v/>
      </c>
      <c r="X469" s="4" t="str">
        <f>'Form responses 1'!AK471</f>
        <v/>
      </c>
      <c r="Y469" s="4">
        <f t="shared" ref="Y469:AD469" si="468">if(S469&gt;0,1,0)</f>
        <v>0</v>
      </c>
      <c r="Z469" s="4">
        <f t="shared" si="468"/>
        <v>0</v>
      </c>
      <c r="AA469" s="4">
        <f t="shared" si="468"/>
        <v>0</v>
      </c>
      <c r="AB469" s="4">
        <f t="shared" si="468"/>
        <v>0</v>
      </c>
      <c r="AC469" s="4">
        <f t="shared" si="468"/>
        <v>0</v>
      </c>
      <c r="AD469" s="4">
        <f t="shared" si="468"/>
        <v>0</v>
      </c>
      <c r="AE469" s="4" t="str">
        <f>'Form responses 1'!AN471</f>
        <v/>
      </c>
      <c r="AF469" s="4" t="str">
        <f>'Form responses 1'!AO471</f>
        <v/>
      </c>
      <c r="AG469" s="4" t="str">
        <f>'Form responses 1'!AP471</f>
        <v/>
      </c>
      <c r="AH469" s="4" t="str">
        <f>'Form responses 1'!AQ471</f>
        <v/>
      </c>
      <c r="AI469" s="4" t="str">
        <f>'Form responses 1'!AR471</f>
        <v/>
      </c>
    </row>
    <row r="470">
      <c r="A470" s="26">
        <f>'Form responses 1'!B240</f>
        <v>46064</v>
      </c>
      <c r="B470" s="4" t="str">
        <f>'Form responses 1'!AZ240</f>
        <v>greeshma.vanneldas@capsdelivery.com</v>
      </c>
      <c r="C470" s="4" t="str">
        <f>'Form responses 1'!BR240</f>
        <v>Kanchi cafe</v>
      </c>
      <c r="D470" s="4" t="str">
        <f>'Form responses 1'!AT240</f>
        <v/>
      </c>
      <c r="E470" s="4" t="str">
        <f>'Form responses 1'!AU240</f>
        <v>Yes</v>
      </c>
      <c r="F470" s="4" t="str">
        <f>'Form responses 1'!AX240</f>
        <v/>
      </c>
      <c r="G470" s="4" t="str">
        <f>'Form responses 1'!AY240</f>
        <v/>
      </c>
      <c r="H470" s="53" t="str">
        <f>'Form responses 1'!AW240</f>
        <v>Manager is not available,when I visited the cafe got the contact details,I will follow up</v>
      </c>
      <c r="I470" s="4" t="str">
        <f>'Form responses 1'!AS240</f>
        <v/>
      </c>
      <c r="J470" s="4" t="str">
        <f>'Form responses 1'!J240</f>
        <v>Tier-2 (AOV &lt;400)</v>
      </c>
      <c r="K470" s="4">
        <f>'Form responses 1'!G240</f>
        <v>300</v>
      </c>
      <c r="L470" s="4">
        <f>'Form responses 1'!F240</f>
        <v>30</v>
      </c>
      <c r="M470" s="4" t="str">
        <f>'Form responses 1'!U240</f>
        <v>Dhakshina murthy</v>
      </c>
      <c r="N470" s="4">
        <f>'Form responses 1'!V240</f>
        <v>8438457084</v>
      </c>
      <c r="O470" s="4" t="str">
        <f>'Form responses 1'!W240</f>
        <v>na</v>
      </c>
      <c r="P470" s="4" t="str">
        <f>'Form responses 1'!X240</f>
        <v/>
      </c>
      <c r="Q470" s="4" t="str">
        <f>'Form responses 1'!Y240</f>
        <v/>
      </c>
      <c r="R470" s="4" t="str">
        <f>'Form responses 1'!Z240</f>
        <v/>
      </c>
      <c r="S470" s="4" t="str">
        <f>'Form responses 1'!AC240</f>
        <v/>
      </c>
      <c r="T470" s="4" t="str">
        <f>'Form responses 1'!AE240</f>
        <v/>
      </c>
      <c r="U470" s="4" t="str">
        <f>'Form responses 1'!AG240</f>
        <v/>
      </c>
      <c r="V470" s="4" t="str">
        <f>'Form responses 1'!AI240</f>
        <v/>
      </c>
      <c r="W470" s="4" t="str">
        <f>'Form responses 1'!AJ240</f>
        <v/>
      </c>
      <c r="X470" s="4" t="str">
        <f>'Form responses 1'!AK240</f>
        <v/>
      </c>
      <c r="Y470" s="4">
        <f t="shared" ref="Y470:AD470" si="469">if(S470&gt;0,1,0)</f>
        <v>0</v>
      </c>
      <c r="Z470" s="4">
        <f t="shared" si="469"/>
        <v>0</v>
      </c>
      <c r="AA470" s="4">
        <f t="shared" si="469"/>
        <v>0</v>
      </c>
      <c r="AB470" s="4">
        <f t="shared" si="469"/>
        <v>0</v>
      </c>
      <c r="AC470" s="4">
        <f t="shared" si="469"/>
        <v>0</v>
      </c>
      <c r="AD470" s="4">
        <f t="shared" si="469"/>
        <v>0</v>
      </c>
      <c r="AE470" s="4" t="str">
        <f>'Form responses 1'!AN240</f>
        <v/>
      </c>
      <c r="AF470" s="4" t="str">
        <f>'Form responses 1'!AO240</f>
        <v/>
      </c>
      <c r="AG470" s="4" t="str">
        <f>'Form responses 1'!AP240</f>
        <v/>
      </c>
      <c r="AH470" s="4" t="str">
        <f>'Form responses 1'!AQ240</f>
        <v/>
      </c>
      <c r="AI470" s="4" t="str">
        <f>'Form responses 1'!AR240</f>
        <v/>
      </c>
    </row>
    <row r="471">
      <c r="A471" s="26">
        <f>'Form responses 1'!B532</f>
        <v>46070</v>
      </c>
      <c r="B471" s="4" t="str">
        <f>'Form responses 1'!AZ532</f>
        <v>greeshma.vanneldas@capsdelivery.com</v>
      </c>
      <c r="C471" s="4" t="str">
        <f>'Form responses 1'!BR532</f>
        <v>Kings Restaurant and bar </v>
      </c>
      <c r="D471" s="4" t="str">
        <f>'Form responses 1'!AT532</f>
        <v>manager was not available</v>
      </c>
      <c r="E471" s="4" t="str">
        <f>'Form responses 1'!AU532</f>
        <v>Yes</v>
      </c>
      <c r="F471" s="4" t="str">
        <f>'Form responses 1'!AX532</f>
        <v/>
      </c>
      <c r="G471" s="4" t="str">
        <f>'Form responses 1'!AY532</f>
        <v/>
      </c>
      <c r="H471" s="53" t="str">
        <f>'Form responses 1'!AW532</f>
        <v/>
      </c>
      <c r="I471" s="4" t="str">
        <f>'Form responses 1'!AS532</f>
        <v/>
      </c>
      <c r="J471" s="4" t="str">
        <f>'Form responses 1'!J532</f>
        <v/>
      </c>
      <c r="K471" s="4" t="str">
        <f>'Form responses 1'!G532</f>
        <v/>
      </c>
      <c r="L471" s="4" t="str">
        <f>'Form responses 1'!F532</f>
        <v/>
      </c>
      <c r="M471" s="4" t="str">
        <f>'Form responses 1'!U532</f>
        <v>Probin</v>
      </c>
      <c r="N471" s="4">
        <f>'Form responses 1'!V532</f>
        <v>9441469962</v>
      </c>
      <c r="O471" s="4" t="str">
        <f>'Form responses 1'!W532</f>
        <v>na</v>
      </c>
      <c r="P471" s="4" t="str">
        <f>'Form responses 1'!X532</f>
        <v/>
      </c>
      <c r="Q471" s="4" t="str">
        <f>'Form responses 1'!Y532</f>
        <v/>
      </c>
      <c r="R471" s="4" t="str">
        <f>'Form responses 1'!Z532</f>
        <v/>
      </c>
      <c r="S471" s="4" t="str">
        <f>'Form responses 1'!AC532</f>
        <v/>
      </c>
      <c r="T471" s="4" t="str">
        <f>'Form responses 1'!AE532</f>
        <v/>
      </c>
      <c r="U471" s="4" t="str">
        <f>'Form responses 1'!AG532</f>
        <v/>
      </c>
      <c r="V471" s="4" t="str">
        <f>'Form responses 1'!AI532</f>
        <v/>
      </c>
      <c r="W471" s="4" t="str">
        <f>'Form responses 1'!AJ532</f>
        <v/>
      </c>
      <c r="X471" s="4" t="str">
        <f>'Form responses 1'!AK532</f>
        <v/>
      </c>
      <c r="Y471" s="4">
        <f t="shared" ref="Y471:AD471" si="470">if(S471&gt;0,1,0)</f>
        <v>0</v>
      </c>
      <c r="Z471" s="4">
        <f t="shared" si="470"/>
        <v>0</v>
      </c>
      <c r="AA471" s="4">
        <f t="shared" si="470"/>
        <v>0</v>
      </c>
      <c r="AB471" s="4">
        <f t="shared" si="470"/>
        <v>0</v>
      </c>
      <c r="AC471" s="4">
        <f t="shared" si="470"/>
        <v>0</v>
      </c>
      <c r="AD471" s="4">
        <f t="shared" si="470"/>
        <v>0</v>
      </c>
      <c r="AE471" s="4" t="str">
        <f>'Form responses 1'!AN532</f>
        <v/>
      </c>
      <c r="AF471" s="4" t="str">
        <f>'Form responses 1'!AO532</f>
        <v/>
      </c>
      <c r="AG471" s="4" t="str">
        <f>'Form responses 1'!AP532</f>
        <v/>
      </c>
      <c r="AH471" s="4" t="str">
        <f>'Form responses 1'!AQ532</f>
        <v/>
      </c>
      <c r="AI471" s="4" t="str">
        <f>'Form responses 1'!AR532</f>
        <v/>
      </c>
    </row>
    <row r="472">
      <c r="A472" s="26">
        <f>'Form responses 1'!B264</f>
        <v>46065</v>
      </c>
      <c r="B472" s="4" t="str">
        <f>'Form responses 1'!AZ264</f>
        <v>greeshma.vanneldas@capsdelivery.com</v>
      </c>
      <c r="C472" s="4" t="str">
        <f>'Form responses 1'!BR264</f>
        <v>Kochin spicesKochinspices</v>
      </c>
      <c r="D472" s="4" t="str">
        <f>'Form responses 1'!AT264</f>
        <v/>
      </c>
      <c r="E472" s="4" t="str">
        <f>'Form responses 1'!AU264</f>
        <v>Yes</v>
      </c>
      <c r="F472" s="4" t="str">
        <f>'Form responses 1'!AX264</f>
        <v/>
      </c>
      <c r="G472" s="4" t="str">
        <f>'Form responses 1'!AY264</f>
        <v/>
      </c>
      <c r="H472" s="53" t="str">
        <f>'Form responses 1'!AW264</f>
        <v>They are 4 partners,discussion done with one partner  need to discuss with other partners,200-400 average orders per day in online platforms</v>
      </c>
      <c r="I472" s="4" t="str">
        <f>'Form responses 1'!AS264</f>
        <v/>
      </c>
      <c r="J472" s="4" t="str">
        <f>'Form responses 1'!J264</f>
        <v/>
      </c>
      <c r="K472" s="4" t="str">
        <f>'Form responses 1'!G264</f>
        <v/>
      </c>
      <c r="L472" s="4" t="str">
        <f>'Form responses 1'!F264</f>
        <v/>
      </c>
      <c r="M472" s="4" t="str">
        <f>'Form responses 1'!U264</f>
        <v>Jeff</v>
      </c>
      <c r="N472" s="4">
        <f>'Form responses 1'!V264</f>
        <v>9544186712</v>
      </c>
      <c r="O472" s="4" t="str">
        <f>'Form responses 1'!W264</f>
        <v>na</v>
      </c>
      <c r="P472" s="4" t="str">
        <f>'Form responses 1'!X264</f>
        <v/>
      </c>
      <c r="Q472" s="4" t="str">
        <f>'Form responses 1'!Y264</f>
        <v/>
      </c>
      <c r="R472" s="4" t="str">
        <f>'Form responses 1'!Z264</f>
        <v/>
      </c>
      <c r="S472" s="4" t="str">
        <f>'Form responses 1'!AC264</f>
        <v/>
      </c>
      <c r="T472" s="4" t="str">
        <f>'Form responses 1'!AE264</f>
        <v/>
      </c>
      <c r="U472" s="4" t="str">
        <f>'Form responses 1'!AG264</f>
        <v/>
      </c>
      <c r="V472" s="4" t="str">
        <f>'Form responses 1'!AI264</f>
        <v/>
      </c>
      <c r="W472" s="4" t="str">
        <f>'Form responses 1'!AJ264</f>
        <v/>
      </c>
      <c r="X472" s="4" t="str">
        <f>'Form responses 1'!AK264</f>
        <v/>
      </c>
      <c r="Y472" s="4">
        <f t="shared" ref="Y472:AD472" si="471">if(S472&gt;0,1,0)</f>
        <v>0</v>
      </c>
      <c r="Z472" s="4">
        <f t="shared" si="471"/>
        <v>0</v>
      </c>
      <c r="AA472" s="4">
        <f t="shared" si="471"/>
        <v>0</v>
      </c>
      <c r="AB472" s="4">
        <f t="shared" si="471"/>
        <v>0</v>
      </c>
      <c r="AC472" s="4">
        <f t="shared" si="471"/>
        <v>0</v>
      </c>
      <c r="AD472" s="4">
        <f t="shared" si="471"/>
        <v>0</v>
      </c>
      <c r="AE472" s="4" t="str">
        <f>'Form responses 1'!AN264</f>
        <v/>
      </c>
      <c r="AF472" s="4" t="str">
        <f>'Form responses 1'!AO264</f>
        <v/>
      </c>
      <c r="AG472" s="4" t="str">
        <f>'Form responses 1'!AP264</f>
        <v/>
      </c>
      <c r="AH472" s="4" t="str">
        <f>'Form responses 1'!AQ264</f>
        <v/>
      </c>
      <c r="AI472" s="4" t="str">
        <f>'Form responses 1'!AR264</f>
        <v/>
      </c>
    </row>
    <row r="473">
      <c r="A473" s="26">
        <f>'Form responses 1'!B432</f>
        <v>46069</v>
      </c>
      <c r="B473" s="4" t="str">
        <f>'Form responses 1'!AZ432</f>
        <v>greeshma.vanneldas@capsdelivery.com</v>
      </c>
      <c r="C473" s="4" t="str">
        <f>'Form responses 1'!BR432</f>
        <v>Kodi kura chitti gaare</v>
      </c>
      <c r="D473" s="4" t="str">
        <f>'Form responses 1'!AT432</f>
        <v/>
      </c>
      <c r="E473" s="4" t="str">
        <f>'Form responses 1'!AU432</f>
        <v>Yes</v>
      </c>
      <c r="F473" s="4" t="str">
        <f>'Form responses 1'!AX432</f>
        <v/>
      </c>
      <c r="G473" s="4" t="str">
        <f>'Form responses 1'!AY432</f>
        <v/>
      </c>
      <c r="H473" s="53" t="str">
        <f>'Form responses 1'!AW432</f>
        <v/>
      </c>
      <c r="I473" s="4" t="str">
        <f>'Form responses 1'!AS432</f>
        <v/>
      </c>
      <c r="J473" s="4" t="str">
        <f>'Form responses 1'!J432</f>
        <v/>
      </c>
      <c r="K473" s="4" t="str">
        <f>'Form responses 1'!G432</f>
        <v/>
      </c>
      <c r="L473" s="4" t="str">
        <f>'Form responses 1'!F432</f>
        <v/>
      </c>
      <c r="M473" s="4" t="str">
        <f>'Form responses 1'!U432</f>
        <v>Ashish</v>
      </c>
      <c r="N473" s="4">
        <f>'Form responses 1'!V432</f>
        <v>8328471182</v>
      </c>
      <c r="O473" s="4" t="str">
        <f>'Form responses 1'!W432</f>
        <v>na</v>
      </c>
      <c r="P473" s="4" t="str">
        <f>'Form responses 1'!X432</f>
        <v/>
      </c>
      <c r="Q473" s="4" t="str">
        <f>'Form responses 1'!Y432</f>
        <v/>
      </c>
      <c r="R473" s="4" t="str">
        <f>'Form responses 1'!Z432</f>
        <v/>
      </c>
      <c r="S473" s="4" t="str">
        <f>'Form responses 1'!AC432</f>
        <v/>
      </c>
      <c r="T473" s="4" t="str">
        <f>'Form responses 1'!AE432</f>
        <v/>
      </c>
      <c r="U473" s="4" t="str">
        <f>'Form responses 1'!AG432</f>
        <v/>
      </c>
      <c r="V473" s="4" t="str">
        <f>'Form responses 1'!AI432</f>
        <v/>
      </c>
      <c r="W473" s="4" t="str">
        <f>'Form responses 1'!AJ432</f>
        <v/>
      </c>
      <c r="X473" s="4" t="str">
        <f>'Form responses 1'!AK432</f>
        <v/>
      </c>
      <c r="Y473" s="4">
        <f t="shared" ref="Y473:AD473" si="472">if(S473&gt;0,1,0)</f>
        <v>0</v>
      </c>
      <c r="Z473" s="4">
        <f t="shared" si="472"/>
        <v>0</v>
      </c>
      <c r="AA473" s="4">
        <f t="shared" si="472"/>
        <v>0</v>
      </c>
      <c r="AB473" s="4">
        <f t="shared" si="472"/>
        <v>0</v>
      </c>
      <c r="AC473" s="4">
        <f t="shared" si="472"/>
        <v>0</v>
      </c>
      <c r="AD473" s="4">
        <f t="shared" si="472"/>
        <v>0</v>
      </c>
      <c r="AE473" s="4" t="str">
        <f>'Form responses 1'!AN432</f>
        <v/>
      </c>
      <c r="AF473" s="4" t="str">
        <f>'Form responses 1'!AO432</f>
        <v/>
      </c>
      <c r="AG473" s="4" t="str">
        <f>'Form responses 1'!AP432</f>
        <v/>
      </c>
      <c r="AH473" s="4" t="str">
        <f>'Form responses 1'!AQ432</f>
        <v/>
      </c>
      <c r="AI473" s="4" t="str">
        <f>'Form responses 1'!AR432</f>
        <v/>
      </c>
    </row>
    <row r="474">
      <c r="A474" s="26">
        <f>'Form responses 1'!B472</f>
        <v>46069</v>
      </c>
      <c r="B474" s="4" t="str">
        <f>'Form responses 1'!AZ472</f>
        <v>greeshma.vanneldas@capsdelivery.com</v>
      </c>
      <c r="C474" s="4" t="str">
        <f>'Form responses 1'!BR472</f>
        <v>Kodi kura chitti gare</v>
      </c>
      <c r="D474" s="4" t="str">
        <f>'Form responses 1'!AT472</f>
        <v>Manager was not available,following up</v>
      </c>
      <c r="E474" s="4" t="str">
        <f>'Form responses 1'!AU472</f>
        <v>Yes</v>
      </c>
      <c r="F474" s="4" t="str">
        <f>'Form responses 1'!AX472</f>
        <v/>
      </c>
      <c r="G474" s="4" t="str">
        <f>'Form responses 1'!AY472</f>
        <v/>
      </c>
      <c r="H474" s="53" t="str">
        <f>'Form responses 1'!AW472</f>
        <v/>
      </c>
      <c r="I474" s="4" t="str">
        <f>'Form responses 1'!AS472</f>
        <v/>
      </c>
      <c r="J474" s="4" t="str">
        <f>'Form responses 1'!J472</f>
        <v/>
      </c>
      <c r="K474" s="4" t="str">
        <f>'Form responses 1'!G472</f>
        <v/>
      </c>
      <c r="L474" s="4" t="str">
        <f>'Form responses 1'!F472</f>
        <v/>
      </c>
      <c r="M474" s="4" t="str">
        <f>'Form responses 1'!U472</f>
        <v>Ashish</v>
      </c>
      <c r="N474" s="4">
        <f>'Form responses 1'!V472</f>
        <v>8328471182</v>
      </c>
      <c r="O474" s="4" t="str">
        <f>'Form responses 1'!W472</f>
        <v>na</v>
      </c>
      <c r="P474" s="4" t="str">
        <f>'Form responses 1'!X472</f>
        <v/>
      </c>
      <c r="Q474" s="4" t="str">
        <f>'Form responses 1'!Y472</f>
        <v/>
      </c>
      <c r="R474" s="4" t="str">
        <f>'Form responses 1'!Z472</f>
        <v/>
      </c>
      <c r="S474" s="4" t="str">
        <f>'Form responses 1'!AC472</f>
        <v/>
      </c>
      <c r="T474" s="4" t="str">
        <f>'Form responses 1'!AE472</f>
        <v/>
      </c>
      <c r="U474" s="4" t="str">
        <f>'Form responses 1'!AG472</f>
        <v/>
      </c>
      <c r="V474" s="4" t="str">
        <f>'Form responses 1'!AI472</f>
        <v/>
      </c>
      <c r="W474" s="4" t="str">
        <f>'Form responses 1'!AJ472</f>
        <v/>
      </c>
      <c r="X474" s="4" t="str">
        <f>'Form responses 1'!AK472</f>
        <v/>
      </c>
      <c r="Y474" s="4">
        <f t="shared" ref="Y474:AD474" si="473">if(S474&gt;0,1,0)</f>
        <v>0</v>
      </c>
      <c r="Z474" s="4">
        <f t="shared" si="473"/>
        <v>0</v>
      </c>
      <c r="AA474" s="4">
        <f t="shared" si="473"/>
        <v>0</v>
      </c>
      <c r="AB474" s="4">
        <f t="shared" si="473"/>
        <v>0</v>
      </c>
      <c r="AC474" s="4">
        <f t="shared" si="473"/>
        <v>0</v>
      </c>
      <c r="AD474" s="4">
        <f t="shared" si="473"/>
        <v>0</v>
      </c>
      <c r="AE474" s="4" t="str">
        <f>'Form responses 1'!AN472</f>
        <v/>
      </c>
      <c r="AF474" s="4" t="str">
        <f>'Form responses 1'!AO472</f>
        <v/>
      </c>
      <c r="AG474" s="4" t="str">
        <f>'Form responses 1'!AP472</f>
        <v/>
      </c>
      <c r="AH474" s="4" t="str">
        <f>'Form responses 1'!AQ472</f>
        <v/>
      </c>
      <c r="AI474" s="4" t="str">
        <f>'Form responses 1'!AR472</f>
        <v/>
      </c>
    </row>
    <row r="475">
      <c r="A475" s="26">
        <f>'Form responses 1'!B534</f>
        <v>46070</v>
      </c>
      <c r="B475" s="4" t="str">
        <f>'Form responses 1'!AZ534</f>
        <v>greeshma.vanneldas@capsdelivery.com</v>
      </c>
      <c r="C475" s="4" t="str">
        <f>'Form responses 1'!BR534</f>
        <v>KS Bakers</v>
      </c>
      <c r="D475" s="4" t="str">
        <f>'Form responses 1'!AT534</f>
        <v>Follo up</v>
      </c>
      <c r="E475" s="4" t="str">
        <f>'Form responses 1'!AU534</f>
        <v>Yes</v>
      </c>
      <c r="F475" s="4" t="str">
        <f>'Form responses 1'!AX534</f>
        <v/>
      </c>
      <c r="G475" s="4" t="str">
        <f>'Form responses 1'!AY534</f>
        <v/>
      </c>
      <c r="H475" s="53" t="str">
        <f>'Form responses 1'!AW534</f>
        <v/>
      </c>
      <c r="I475" s="4" t="str">
        <f>'Form responses 1'!AS534</f>
        <v/>
      </c>
      <c r="J475" s="4" t="str">
        <f>'Form responses 1'!J534</f>
        <v/>
      </c>
      <c r="K475" s="4" t="str">
        <f>'Form responses 1'!G534</f>
        <v/>
      </c>
      <c r="L475" s="4" t="str">
        <f>'Form responses 1'!F534</f>
        <v/>
      </c>
      <c r="M475" s="4" t="str">
        <f>'Form responses 1'!U534</f>
        <v>David</v>
      </c>
      <c r="N475" s="4">
        <f>'Form responses 1'!V534</f>
        <v>9154819482</v>
      </c>
      <c r="O475" s="4" t="str">
        <f>'Form responses 1'!W534</f>
        <v>na</v>
      </c>
      <c r="P475" s="4" t="str">
        <f>'Form responses 1'!X534</f>
        <v/>
      </c>
      <c r="Q475" s="4" t="str">
        <f>'Form responses 1'!Y534</f>
        <v/>
      </c>
      <c r="R475" s="4" t="str">
        <f>'Form responses 1'!Z534</f>
        <v/>
      </c>
      <c r="S475" s="4" t="str">
        <f>'Form responses 1'!AC534</f>
        <v/>
      </c>
      <c r="T475" s="4" t="str">
        <f>'Form responses 1'!AE534</f>
        <v/>
      </c>
      <c r="U475" s="4" t="str">
        <f>'Form responses 1'!AG534</f>
        <v/>
      </c>
      <c r="V475" s="4" t="str">
        <f>'Form responses 1'!AI534</f>
        <v/>
      </c>
      <c r="W475" s="4" t="str">
        <f>'Form responses 1'!AJ534</f>
        <v/>
      </c>
      <c r="X475" s="4" t="str">
        <f>'Form responses 1'!AK534</f>
        <v/>
      </c>
      <c r="Y475" s="4">
        <f t="shared" ref="Y475:AD475" si="474">if(S475&gt;0,1,0)</f>
        <v>0</v>
      </c>
      <c r="Z475" s="4">
        <f t="shared" si="474"/>
        <v>0</v>
      </c>
      <c r="AA475" s="4">
        <f t="shared" si="474"/>
        <v>0</v>
      </c>
      <c r="AB475" s="4">
        <f t="shared" si="474"/>
        <v>0</v>
      </c>
      <c r="AC475" s="4">
        <f t="shared" si="474"/>
        <v>0</v>
      </c>
      <c r="AD475" s="4">
        <f t="shared" si="474"/>
        <v>0</v>
      </c>
      <c r="AE475" s="4" t="str">
        <f>'Form responses 1'!AN534</f>
        <v/>
      </c>
      <c r="AF475" s="4" t="str">
        <f>'Form responses 1'!AO534</f>
        <v/>
      </c>
      <c r="AG475" s="4" t="str">
        <f>'Form responses 1'!AP534</f>
        <v/>
      </c>
      <c r="AH475" s="4" t="str">
        <f>'Form responses 1'!AQ534</f>
        <v/>
      </c>
      <c r="AI475" s="4" t="str">
        <f>'Form responses 1'!AR534</f>
        <v/>
      </c>
    </row>
    <row r="476">
      <c r="A476" s="26">
        <f>'Form responses 1'!B547</f>
        <v>46070</v>
      </c>
      <c r="B476" s="4" t="str">
        <f>'Form responses 1'!AZ547</f>
        <v>greeshma.vanneldas@capsdelivery.com</v>
      </c>
      <c r="C476" s="4" t="str">
        <f>'Form responses 1'!BR547</f>
        <v>Kulcha kulchaKulcha kulcha</v>
      </c>
      <c r="D476" s="4" t="str">
        <f>'Form responses 1'!AT547</f>
        <v>Meeting fixed with Md</v>
      </c>
      <c r="E476" s="4" t="str">
        <f>'Form responses 1'!AU547</f>
        <v>Yes</v>
      </c>
      <c r="F476" s="4" t="str">
        <f>'Form responses 1'!AX547</f>
        <v/>
      </c>
      <c r="G476" s="4" t="str">
        <f>'Form responses 1'!AY547</f>
        <v/>
      </c>
      <c r="H476" s="53" t="str">
        <f>'Form responses 1'!AW547</f>
        <v/>
      </c>
      <c r="I476" s="4" t="str">
        <f>'Form responses 1'!AS547</f>
        <v/>
      </c>
      <c r="J476" s="4" t="str">
        <f>'Form responses 1'!J547</f>
        <v/>
      </c>
      <c r="K476" s="4" t="str">
        <f>'Form responses 1'!G547</f>
        <v/>
      </c>
      <c r="L476" s="4" t="str">
        <f>'Form responses 1'!F547</f>
        <v/>
      </c>
      <c r="M476" s="4" t="str">
        <f>'Form responses 1'!U547</f>
        <v>Rohith</v>
      </c>
      <c r="N476" s="4">
        <f>'Form responses 1'!V547</f>
        <v>9000360723</v>
      </c>
      <c r="O476" s="4" t="str">
        <f>'Form responses 1'!W547</f>
        <v>na</v>
      </c>
      <c r="P476" s="4" t="str">
        <f>'Form responses 1'!X547</f>
        <v/>
      </c>
      <c r="Q476" s="4" t="str">
        <f>'Form responses 1'!Y547</f>
        <v/>
      </c>
      <c r="R476" s="4" t="str">
        <f>'Form responses 1'!Z547</f>
        <v/>
      </c>
      <c r="S476" s="4" t="str">
        <f>'Form responses 1'!AC547</f>
        <v/>
      </c>
      <c r="T476" s="4" t="str">
        <f>'Form responses 1'!AE547</f>
        <v/>
      </c>
      <c r="U476" s="4" t="str">
        <f>'Form responses 1'!AG547</f>
        <v/>
      </c>
      <c r="V476" s="4" t="str">
        <f>'Form responses 1'!AI547</f>
        <v/>
      </c>
      <c r="W476" s="4" t="str">
        <f>'Form responses 1'!AJ547</f>
        <v/>
      </c>
      <c r="X476" s="4" t="str">
        <f>'Form responses 1'!AK547</f>
        <v/>
      </c>
      <c r="Y476" s="4">
        <f t="shared" ref="Y476:AD476" si="475">if(S476&gt;0,1,0)</f>
        <v>0</v>
      </c>
      <c r="Z476" s="4">
        <f t="shared" si="475"/>
        <v>0</v>
      </c>
      <c r="AA476" s="4">
        <f t="shared" si="475"/>
        <v>0</v>
      </c>
      <c r="AB476" s="4">
        <f t="shared" si="475"/>
        <v>0</v>
      </c>
      <c r="AC476" s="4">
        <f t="shared" si="475"/>
        <v>0</v>
      </c>
      <c r="AD476" s="4">
        <f t="shared" si="475"/>
        <v>0</v>
      </c>
      <c r="AE476" s="4" t="str">
        <f>'Form responses 1'!AN547</f>
        <v/>
      </c>
      <c r="AF476" s="4" t="str">
        <f>'Form responses 1'!AO547</f>
        <v/>
      </c>
      <c r="AG476" s="4" t="str">
        <f>'Form responses 1'!AP547</f>
        <v/>
      </c>
      <c r="AH476" s="4" t="str">
        <f>'Form responses 1'!AQ547</f>
        <v/>
      </c>
      <c r="AI476" s="4" t="str">
        <f>'Form responses 1'!AR547</f>
        <v/>
      </c>
    </row>
    <row r="477">
      <c r="A477" s="26">
        <f>'Form responses 1'!B660</f>
        <v>46071</v>
      </c>
      <c r="B477" s="4" t="str">
        <f>'Form responses 1'!AZ660</f>
        <v>greeshma.vanneldas@capsdelivery.com</v>
      </c>
      <c r="C477" s="4" t="str">
        <f>'Form responses 1'!BR660</f>
        <v>Kulcha kulchaKulcha kulcha</v>
      </c>
      <c r="D477" s="4" t="str">
        <f>'Form responses 1'!AT660</f>
        <v>Meeting scheduled on friday</v>
      </c>
      <c r="E477" s="4" t="str">
        <f>'Form responses 1'!AU660</f>
        <v>Yes</v>
      </c>
      <c r="F477" s="26">
        <f>'Form responses 1'!AX660</f>
        <v>46073</v>
      </c>
      <c r="G477" s="4" t="str">
        <f>'Form responses 1'!AY660</f>
        <v/>
      </c>
      <c r="H477" s="53" t="str">
        <f>'Form responses 1'!AW660</f>
        <v/>
      </c>
      <c r="I477" s="4" t="str">
        <f>'Form responses 1'!AS660</f>
        <v/>
      </c>
      <c r="J477" s="4" t="str">
        <f>'Form responses 1'!J660</f>
        <v/>
      </c>
      <c r="K477" s="4" t="str">
        <f>'Form responses 1'!G660</f>
        <v/>
      </c>
      <c r="L477" s="4" t="str">
        <f>'Form responses 1'!F660</f>
        <v/>
      </c>
      <c r="M477" s="4" t="str">
        <f>'Form responses 1'!U660</f>
        <v>sajan</v>
      </c>
      <c r="N477" s="4">
        <f>'Form responses 1'!V660</f>
        <v>9030000622</v>
      </c>
      <c r="O477" s="4" t="str">
        <f>'Form responses 1'!W660</f>
        <v>na</v>
      </c>
      <c r="P477" s="4" t="str">
        <f>'Form responses 1'!X660</f>
        <v/>
      </c>
      <c r="Q477" s="4" t="str">
        <f>'Form responses 1'!Y660</f>
        <v/>
      </c>
      <c r="R477" s="4" t="str">
        <f>'Form responses 1'!Z660</f>
        <v/>
      </c>
      <c r="S477" s="4" t="str">
        <f>'Form responses 1'!AC660</f>
        <v/>
      </c>
      <c r="T477" s="4" t="str">
        <f>'Form responses 1'!AE660</f>
        <v/>
      </c>
      <c r="U477" s="4" t="str">
        <f>'Form responses 1'!AG660</f>
        <v/>
      </c>
      <c r="V477" s="4" t="str">
        <f>'Form responses 1'!AI660</f>
        <v/>
      </c>
      <c r="W477" s="4" t="str">
        <f>'Form responses 1'!AJ660</f>
        <v/>
      </c>
      <c r="X477" s="4" t="str">
        <f>'Form responses 1'!AK660</f>
        <v/>
      </c>
      <c r="Y477" s="4">
        <f t="shared" ref="Y477:AD477" si="476">if(S477&gt;0,1,0)</f>
        <v>0</v>
      </c>
      <c r="Z477" s="4">
        <f t="shared" si="476"/>
        <v>0</v>
      </c>
      <c r="AA477" s="4">
        <f t="shared" si="476"/>
        <v>0</v>
      </c>
      <c r="AB477" s="4">
        <f t="shared" si="476"/>
        <v>0</v>
      </c>
      <c r="AC477" s="4">
        <f t="shared" si="476"/>
        <v>0</v>
      </c>
      <c r="AD477" s="4">
        <f t="shared" si="476"/>
        <v>0</v>
      </c>
      <c r="AE477" s="4" t="str">
        <f>'Form responses 1'!AN660</f>
        <v/>
      </c>
      <c r="AF477" s="4" t="str">
        <f>'Form responses 1'!AO1779</f>
        <v/>
      </c>
      <c r="AG477" s="4" t="str">
        <f>'Form responses 1'!AP1779</f>
        <v/>
      </c>
      <c r="AH477" s="4" t="str">
        <f>'Form responses 1'!AQ1779</f>
        <v/>
      </c>
      <c r="AI477" s="4" t="str">
        <f>'Form responses 1'!AR1779</f>
        <v/>
      </c>
    </row>
    <row r="478">
      <c r="A478" s="26">
        <f>'Form responses 1'!B731</f>
        <v>46073</v>
      </c>
      <c r="B478" s="4" t="str">
        <f>'Form responses 1'!AZ731</f>
        <v>greeshma.vanneldas@capsdelivery.com</v>
      </c>
      <c r="C478" s="4" t="str">
        <f>'Form responses 1'!BR731</f>
        <v>Kush mandiKush mandi</v>
      </c>
      <c r="D478" s="4" t="str">
        <f>'Form responses 1'!AT731</f>
        <v>Shared proposal need to follow up in next week</v>
      </c>
      <c r="E478" s="4" t="str">
        <f>'Form responses 1'!AU731</f>
        <v>Yes</v>
      </c>
      <c r="F478" s="4" t="str">
        <f>'Form responses 1'!AX731</f>
        <v/>
      </c>
      <c r="G478" s="4" t="str">
        <f>'Form responses 1'!AY731</f>
        <v/>
      </c>
      <c r="H478" s="53" t="str">
        <f>'Form responses 1'!AW731</f>
        <v/>
      </c>
      <c r="I478" s="4" t="str">
        <f>'Form responses 1'!AS731</f>
        <v/>
      </c>
      <c r="J478" s="4" t="str">
        <f>'Form responses 1'!J731</f>
        <v/>
      </c>
      <c r="K478" s="4" t="str">
        <f>'Form responses 1'!G731</f>
        <v/>
      </c>
      <c r="L478" s="4" t="str">
        <f>'Form responses 1'!F731</f>
        <v/>
      </c>
      <c r="M478" s="4" t="str">
        <f>'Form responses 1'!U731</f>
        <v>na</v>
      </c>
      <c r="N478" s="4">
        <f>'Form responses 1'!V731</f>
        <v>9908662728</v>
      </c>
      <c r="O478" s="4" t="str">
        <f>'Form responses 1'!W731</f>
        <v>na</v>
      </c>
      <c r="P478" s="4" t="str">
        <f>'Form responses 1'!X731</f>
        <v/>
      </c>
      <c r="Q478" s="4" t="str">
        <f>'Form responses 1'!Y731</f>
        <v/>
      </c>
      <c r="R478" s="4" t="str">
        <f>'Form responses 1'!Z731</f>
        <v/>
      </c>
      <c r="S478" s="4" t="str">
        <f>'Form responses 1'!AC731</f>
        <v/>
      </c>
      <c r="T478" s="4" t="str">
        <f>'Form responses 1'!AE731</f>
        <v/>
      </c>
      <c r="U478" s="4" t="str">
        <f>'Form responses 1'!AG731</f>
        <v/>
      </c>
      <c r="V478" s="4" t="str">
        <f>'Form responses 1'!AI731</f>
        <v/>
      </c>
      <c r="W478" s="4" t="str">
        <f>'Form responses 1'!AJ731</f>
        <v/>
      </c>
      <c r="X478" s="4" t="str">
        <f>'Form responses 1'!AK731</f>
        <v/>
      </c>
      <c r="Y478" s="4">
        <f t="shared" ref="Y478:AD478" si="477">if(S478&gt;0,1,0)</f>
        <v>0</v>
      </c>
      <c r="Z478" s="4">
        <f t="shared" si="477"/>
        <v>0</v>
      </c>
      <c r="AA478" s="4">
        <f t="shared" si="477"/>
        <v>0</v>
      </c>
      <c r="AB478" s="4">
        <f t="shared" si="477"/>
        <v>0</v>
      </c>
      <c r="AC478" s="4">
        <f t="shared" si="477"/>
        <v>0</v>
      </c>
      <c r="AD478" s="4">
        <f t="shared" si="477"/>
        <v>0</v>
      </c>
      <c r="AE478" s="4" t="str">
        <f>'Form responses 1'!AN731</f>
        <v/>
      </c>
      <c r="AF478" s="4" t="str">
        <f>'Form responses 1'!AO1850</f>
        <v/>
      </c>
      <c r="AG478" s="4" t="str">
        <f>'Form responses 1'!AP1850</f>
        <v/>
      </c>
      <c r="AH478" s="4" t="str">
        <f>'Form responses 1'!AQ1850</f>
        <v/>
      </c>
      <c r="AI478" s="4" t="str">
        <f>'Form responses 1'!AR1850</f>
        <v/>
      </c>
    </row>
    <row r="479">
      <c r="A479" s="26">
        <f>'Form responses 1'!B539</f>
        <v>46070</v>
      </c>
      <c r="B479" s="4" t="str">
        <f>'Form responses 1'!AZ539</f>
        <v>greeshma.vanneldas@capsdelivery.com</v>
      </c>
      <c r="C479" s="4" t="str">
        <f>'Form responses 1'!BR539</f>
        <v>Lassi shopLassi shop</v>
      </c>
      <c r="D479" s="4" t="str">
        <f>'Form responses 1'!AT539</f>
        <v>Onboarded</v>
      </c>
      <c r="E479" s="4" t="str">
        <f>'Form responses 1'!AU539</f>
        <v>Yes</v>
      </c>
      <c r="F479" s="4" t="str">
        <f>'Form responses 1'!AX539</f>
        <v/>
      </c>
      <c r="G479" s="4" t="str">
        <f>'Form responses 1'!AY539</f>
        <v/>
      </c>
      <c r="H479" s="53" t="str">
        <f>'Form responses 1'!AW539</f>
        <v/>
      </c>
      <c r="I479" s="4" t="str">
        <f>'Form responses 1'!AS539</f>
        <v/>
      </c>
      <c r="J479" s="4" t="str">
        <f>'Form responses 1'!J539</f>
        <v/>
      </c>
      <c r="K479" s="4" t="str">
        <f>'Form responses 1'!G539</f>
        <v/>
      </c>
      <c r="L479" s="4" t="str">
        <f>'Form responses 1'!F539</f>
        <v/>
      </c>
      <c r="M479" s="4" t="str">
        <f>'Form responses 1'!U539</f>
        <v>Sita Ram</v>
      </c>
      <c r="N479" s="4">
        <f>'Form responses 1'!V539</f>
        <v>9491064999</v>
      </c>
      <c r="O479" s="4" t="str">
        <f>'Form responses 1'!W539</f>
        <v>na</v>
      </c>
      <c r="P479" s="4" t="str">
        <f>'Form responses 1'!X539</f>
        <v/>
      </c>
      <c r="Q479" s="4" t="str">
        <f>'Form responses 1'!Y539</f>
        <v/>
      </c>
      <c r="R479" s="4" t="str">
        <f>'Form responses 1'!Z539</f>
        <v/>
      </c>
      <c r="S479" s="4" t="str">
        <f>'Form responses 1'!AC539</f>
        <v/>
      </c>
      <c r="T479" s="4" t="str">
        <f>'Form responses 1'!AE539</f>
        <v/>
      </c>
      <c r="U479" s="4" t="str">
        <f>'Form responses 1'!AG539</f>
        <v/>
      </c>
      <c r="V479" s="4" t="str">
        <f>'Form responses 1'!AI539</f>
        <v/>
      </c>
      <c r="W479" s="4" t="str">
        <f>'Form responses 1'!AJ539</f>
        <v/>
      </c>
      <c r="X479" s="4" t="str">
        <f>'Form responses 1'!AK539</f>
        <v/>
      </c>
      <c r="Y479" s="4">
        <f t="shared" ref="Y479:AD479" si="478">if(S479&gt;0,1,0)</f>
        <v>0</v>
      </c>
      <c r="Z479" s="4">
        <f t="shared" si="478"/>
        <v>0</v>
      </c>
      <c r="AA479" s="4">
        <f t="shared" si="478"/>
        <v>0</v>
      </c>
      <c r="AB479" s="4">
        <f t="shared" si="478"/>
        <v>0</v>
      </c>
      <c r="AC479" s="4">
        <f t="shared" si="478"/>
        <v>0</v>
      </c>
      <c r="AD479" s="4">
        <f t="shared" si="478"/>
        <v>0</v>
      </c>
      <c r="AE479" s="4" t="str">
        <f>'Form responses 1'!AN539</f>
        <v/>
      </c>
      <c r="AF479" s="4" t="str">
        <f>'Form responses 1'!AO539</f>
        <v/>
      </c>
      <c r="AG479" s="4" t="str">
        <f>'Form responses 1'!AP539</f>
        <v/>
      </c>
      <c r="AH479" s="4" t="str">
        <f>'Form responses 1'!AQ539</f>
        <v/>
      </c>
      <c r="AI479" s="4" t="str">
        <f>'Form responses 1'!AR539</f>
        <v/>
      </c>
    </row>
    <row r="480">
      <c r="A480" s="26">
        <f>'Form responses 1'!B482</f>
        <v>46070</v>
      </c>
      <c r="B480" s="4" t="str">
        <f>'Form responses 1'!AZ482</f>
        <v>anisha.poddar@capsdelivery.com</v>
      </c>
      <c r="C480" s="4" t="str">
        <f>'Form responses 1'!BR482</f>
        <v>Udupi restaurant</v>
      </c>
      <c r="D480" s="4" t="str">
        <f>'Form responses 1'!AT482</f>
        <v>Partner should be onboarded by the next meeting</v>
      </c>
      <c r="E480" s="4" t="str">
        <f>'Form responses 1'!AU482</f>
        <v>Yes</v>
      </c>
      <c r="F480" s="4" t="str">
        <f>'Form responses 1'!AX482</f>
        <v/>
      </c>
      <c r="G480" s="4" t="str">
        <f>'Form responses 1'!AY482</f>
        <v/>
      </c>
      <c r="H480" s="53" t="str">
        <f>'Form responses 1'!AW482</f>
        <v/>
      </c>
      <c r="I480" s="4" t="str">
        <f>'Form responses 1'!AS482</f>
        <v/>
      </c>
      <c r="J480" s="4" t="str">
        <f>'Form responses 1'!J482</f>
        <v>Tier-2 (AOV &lt;400)</v>
      </c>
      <c r="K480" s="4">
        <f>'Form responses 1'!G482</f>
        <v>250</v>
      </c>
      <c r="L480" s="4">
        <f>'Form responses 1'!F482</f>
        <v>30</v>
      </c>
      <c r="M480" s="4" t="str">
        <f>'Form responses 1'!U482</f>
        <v>Sukant </v>
      </c>
      <c r="N480" s="4">
        <f>'Form responses 1'!V482</f>
        <v>9700815352</v>
      </c>
      <c r="O480" s="4" t="str">
        <f>'Form responses 1'!W482</f>
        <v>sukant@udupi.com</v>
      </c>
      <c r="P480" s="4" t="str">
        <f>'Form responses 1'!X482</f>
        <v/>
      </c>
      <c r="Q480" s="4" t="str">
        <f>'Form responses 1'!Y482</f>
        <v/>
      </c>
      <c r="R480" s="4" t="str">
        <f>'Form responses 1'!Z482</f>
        <v/>
      </c>
      <c r="S480" s="4" t="str">
        <f>'Form responses 1'!AC482</f>
        <v/>
      </c>
      <c r="T480" s="4" t="str">
        <f>'Form responses 1'!AE482</f>
        <v/>
      </c>
      <c r="U480" s="4" t="str">
        <f>'Form responses 1'!AG482</f>
        <v/>
      </c>
      <c r="V480" s="4" t="str">
        <f>'Form responses 1'!AI482</f>
        <v/>
      </c>
      <c r="W480" s="4" t="str">
        <f>'Form responses 1'!AJ482</f>
        <v/>
      </c>
      <c r="X480" s="4" t="str">
        <f>'Form responses 1'!AK482</f>
        <v/>
      </c>
      <c r="Y480" s="4">
        <f t="shared" ref="Y480:AD480" si="479">if(S480&gt;0,1,0)</f>
        <v>0</v>
      </c>
      <c r="Z480" s="4">
        <f t="shared" si="479"/>
        <v>0</v>
      </c>
      <c r="AA480" s="4">
        <f t="shared" si="479"/>
        <v>0</v>
      </c>
      <c r="AB480" s="4">
        <f t="shared" si="479"/>
        <v>0</v>
      </c>
      <c r="AC480" s="4">
        <f t="shared" si="479"/>
        <v>0</v>
      </c>
      <c r="AD480" s="4">
        <f t="shared" si="479"/>
        <v>0</v>
      </c>
      <c r="AE480" s="4" t="str">
        <f>'Form responses 1'!AN482</f>
        <v/>
      </c>
      <c r="AF480" s="4" t="str">
        <f>'Form responses 1'!AO482</f>
        <v/>
      </c>
      <c r="AG480" s="4" t="str">
        <f>'Form responses 1'!AP482</f>
        <v/>
      </c>
      <c r="AH480" s="4" t="str">
        <f>'Form responses 1'!AQ482</f>
        <v/>
      </c>
      <c r="AI480" s="4" t="str">
        <f>'Form responses 1'!AR482</f>
        <v/>
      </c>
    </row>
    <row r="481">
      <c r="A481" s="26">
        <f>'Form responses 1'!B483</f>
        <v>46069</v>
      </c>
      <c r="B481" s="4" t="str">
        <f>'Form responses 1'!AZ483</f>
        <v>amit.kaler@capsdelivery.com</v>
      </c>
      <c r="C481" s="4" t="str">
        <f>'Form responses 1'!BR483</f>
        <v>Cafe Delhi Heights</v>
      </c>
      <c r="D481" s="4" t="str">
        <f>'Form responses 1'!AT483</f>
        <v>Call Mr. Kishan</v>
      </c>
      <c r="E481" s="4" t="str">
        <f>'Form responses 1'!AU483</f>
        <v>Yes</v>
      </c>
      <c r="F481" s="26">
        <f>'Form responses 1'!AX483</f>
        <v>46071</v>
      </c>
      <c r="G481" s="52">
        <f>'Form responses 1'!AY483</f>
        <v>0.75</v>
      </c>
      <c r="H481" s="53" t="str">
        <f>'Form responses 1'!AW483</f>
        <v>Call Mr. Kishan </v>
      </c>
      <c r="I481" s="4" t="str">
        <f>'Form responses 1'!AS483</f>
        <v/>
      </c>
      <c r="J481" s="4" t="str">
        <f>'Form responses 1'!J483</f>
        <v>Tier-1(AOV&gt;400)</v>
      </c>
      <c r="K481" s="4">
        <f>'Form responses 1'!G483</f>
        <v>600</v>
      </c>
      <c r="L481" s="4">
        <f>'Form responses 1'!F483</f>
        <v>98</v>
      </c>
      <c r="M481" s="4" t="str">
        <f>'Form responses 1'!U483</f>
        <v>Kishan Negi (Head Office POC)</v>
      </c>
      <c r="N481" s="4">
        <f>'Form responses 1'!V483</f>
        <v>9818808004</v>
      </c>
      <c r="O481" s="4" t="str">
        <f>'Form responses 1'!W483</f>
        <v>NA</v>
      </c>
      <c r="P481" s="4" t="str">
        <f>'Form responses 1'!X483</f>
        <v>Rajan (Asst. Rest. Manager)</v>
      </c>
      <c r="Q481" s="4">
        <f>'Form responses 1'!Y483</f>
        <v>9281054033</v>
      </c>
      <c r="R481" s="4" t="str">
        <f>'Form responses 1'!Z483</f>
        <v>NA</v>
      </c>
      <c r="S481" s="4" t="str">
        <f>'Form responses 1'!AC483</f>
        <v/>
      </c>
      <c r="T481" s="4" t="str">
        <f>'Form responses 1'!AE483</f>
        <v/>
      </c>
      <c r="U481" s="4" t="str">
        <f>'Form responses 1'!AG483</f>
        <v/>
      </c>
      <c r="V481" s="4" t="str">
        <f>'Form responses 1'!AI483</f>
        <v/>
      </c>
      <c r="W481" s="4" t="str">
        <f>'Form responses 1'!AJ483</f>
        <v/>
      </c>
      <c r="X481" s="4" t="str">
        <f>'Form responses 1'!AK483</f>
        <v/>
      </c>
      <c r="Y481" s="4">
        <f t="shared" ref="Y481:AD481" si="480">if(S481&gt;0,1,0)</f>
        <v>0</v>
      </c>
      <c r="Z481" s="4">
        <f t="shared" si="480"/>
        <v>0</v>
      </c>
      <c r="AA481" s="4">
        <f t="shared" si="480"/>
        <v>0</v>
      </c>
      <c r="AB481" s="4">
        <f t="shared" si="480"/>
        <v>0</v>
      </c>
      <c r="AC481" s="4">
        <f t="shared" si="480"/>
        <v>0</v>
      </c>
      <c r="AD481" s="4">
        <f t="shared" si="480"/>
        <v>0</v>
      </c>
      <c r="AE481" s="4" t="str">
        <f>'Form responses 1'!AN483</f>
        <v/>
      </c>
      <c r="AF481" s="4" t="str">
        <f>'Form responses 1'!AO483</f>
        <v/>
      </c>
      <c r="AG481" s="4" t="str">
        <f>'Form responses 1'!AP483</f>
        <v/>
      </c>
      <c r="AH481" s="4" t="str">
        <f>'Form responses 1'!AQ483</f>
        <v/>
      </c>
      <c r="AI481" s="4" t="str">
        <f>'Form responses 1'!AR483</f>
        <v/>
      </c>
    </row>
    <row r="482">
      <c r="A482" s="26">
        <f>'Form responses 1'!B484</f>
        <v>46069</v>
      </c>
      <c r="B482" s="4" t="str">
        <f>'Form responses 1'!AZ484</f>
        <v>amit.kaler@capsdelivery.com</v>
      </c>
      <c r="C482" s="4" t="str">
        <f>'Form responses 1'!BR484</f>
        <v>Chutnety's</v>
      </c>
      <c r="D482" s="4" t="str">
        <f>'Form responses 1'!AT484</f>
        <v>Call Mr. Gaffar and meet him at 5 pm at Jubliee Hills office</v>
      </c>
      <c r="E482" s="4" t="str">
        <f>'Form responses 1'!AU484</f>
        <v>Yes</v>
      </c>
      <c r="F482" s="26">
        <f>'Form responses 1'!AX484</f>
        <v>46070</v>
      </c>
      <c r="G482" s="52">
        <f>'Form responses 1'!AY484</f>
        <v>0.7083333333</v>
      </c>
      <c r="H482" s="53" t="str">
        <f>'Form responses 1'!AW484</f>
        <v>Call and meet Mr. Gaffar</v>
      </c>
      <c r="I482" s="4" t="str">
        <f>'Form responses 1'!AS484</f>
        <v/>
      </c>
      <c r="J482" s="4" t="str">
        <f>'Form responses 1'!J484</f>
        <v>Tier-1(AOV&gt;400)</v>
      </c>
      <c r="K482" s="4">
        <f>'Form responses 1'!G484</f>
        <v>650</v>
      </c>
      <c r="L482" s="4">
        <f>'Form responses 1'!F484</f>
        <v>150</v>
      </c>
      <c r="M482" s="4" t="str">
        <f>'Form responses 1'!U484</f>
        <v>Gaffar Khan</v>
      </c>
      <c r="N482" s="4">
        <f>'Form responses 1'!V484</f>
        <v>7893734731</v>
      </c>
      <c r="O482" s="4" t="str">
        <f>'Form responses 1'!W484</f>
        <v>Na</v>
      </c>
      <c r="P482" s="4" t="str">
        <f>'Form responses 1'!X484</f>
        <v/>
      </c>
      <c r="Q482" s="4" t="str">
        <f>'Form responses 1'!Y484</f>
        <v/>
      </c>
      <c r="R482" s="4" t="str">
        <f>'Form responses 1'!Z484</f>
        <v/>
      </c>
      <c r="S482" s="4" t="str">
        <f>'Form responses 1'!AC484</f>
        <v/>
      </c>
      <c r="T482" s="4" t="str">
        <f>'Form responses 1'!AE484</f>
        <v/>
      </c>
      <c r="U482" s="4" t="str">
        <f>'Form responses 1'!AG484</f>
        <v/>
      </c>
      <c r="V482" s="4" t="str">
        <f>'Form responses 1'!AI484</f>
        <v/>
      </c>
      <c r="W482" s="4" t="str">
        <f>'Form responses 1'!AJ484</f>
        <v/>
      </c>
      <c r="X482" s="4" t="str">
        <f>'Form responses 1'!AK484</f>
        <v/>
      </c>
      <c r="Y482" s="4">
        <f t="shared" ref="Y482:AD482" si="481">if(S482&gt;0,1,0)</f>
        <v>0</v>
      </c>
      <c r="Z482" s="4">
        <f t="shared" si="481"/>
        <v>0</v>
      </c>
      <c r="AA482" s="4">
        <f t="shared" si="481"/>
        <v>0</v>
      </c>
      <c r="AB482" s="4">
        <f t="shared" si="481"/>
        <v>0</v>
      </c>
      <c r="AC482" s="4">
        <f t="shared" si="481"/>
        <v>0</v>
      </c>
      <c r="AD482" s="4">
        <f t="shared" si="481"/>
        <v>0</v>
      </c>
      <c r="AE482" s="4" t="str">
        <f>'Form responses 1'!AN484</f>
        <v/>
      </c>
      <c r="AF482" s="4" t="str">
        <f>'Form responses 1'!AO484</f>
        <v/>
      </c>
      <c r="AG482" s="4" t="str">
        <f>'Form responses 1'!AP484</f>
        <v/>
      </c>
      <c r="AH482" s="4" t="str">
        <f>'Form responses 1'!AQ484</f>
        <v/>
      </c>
      <c r="AI482" s="4" t="str">
        <f>'Form responses 1'!AR484</f>
        <v/>
      </c>
    </row>
    <row r="483">
      <c r="A483" s="26">
        <f>'Form responses 1'!B485</f>
        <v>46069</v>
      </c>
      <c r="B483" s="4" t="str">
        <f>'Form responses 1'!AZ485</f>
        <v>amit.kaler@capsdelivery.com</v>
      </c>
      <c r="C483" s="4" t="str">
        <f>'Form responses 1'!BR485</f>
        <v>Starbucks</v>
      </c>
      <c r="D483" s="4" t="str">
        <f>'Form responses 1'!AT485</f>
        <v>Call again</v>
      </c>
      <c r="E483" s="4" t="str">
        <f>'Form responses 1'!AU485</f>
        <v>Yes</v>
      </c>
      <c r="F483" s="26">
        <f>'Form responses 1'!AX485</f>
        <v>46071</v>
      </c>
      <c r="G483" s="52">
        <f>'Form responses 1'!AY485</f>
        <v>0.5</v>
      </c>
      <c r="H483" s="53" t="str">
        <f>'Form responses 1'!AW485</f>
        <v>Connect to call centre and fix meeting with area manager</v>
      </c>
      <c r="I483" s="4" t="str">
        <f>'Form responses 1'!AS485</f>
        <v/>
      </c>
      <c r="J483" s="4" t="str">
        <f>'Form responses 1'!J485</f>
        <v/>
      </c>
      <c r="K483" s="4" t="str">
        <f>'Form responses 1'!G485</f>
        <v/>
      </c>
      <c r="L483" s="4" t="str">
        <f>'Form responses 1'!F485</f>
        <v/>
      </c>
      <c r="M483" s="4" t="str">
        <f>'Form responses 1'!U485</f>
        <v>Call Centre</v>
      </c>
      <c r="N483" s="4">
        <f>'Form responses 1'!V485</f>
        <v>18602660010</v>
      </c>
      <c r="O483" s="4" t="str">
        <f>'Form responses 1'!W485</f>
        <v>NA</v>
      </c>
      <c r="P483" s="4" t="str">
        <f>'Form responses 1'!X485</f>
        <v/>
      </c>
      <c r="Q483" s="4" t="str">
        <f>'Form responses 1'!Y485</f>
        <v/>
      </c>
      <c r="R483" s="4" t="str">
        <f>'Form responses 1'!Z485</f>
        <v/>
      </c>
      <c r="S483" s="4" t="str">
        <f>'Form responses 1'!AC485</f>
        <v/>
      </c>
      <c r="T483" s="4" t="str">
        <f>'Form responses 1'!AE485</f>
        <v/>
      </c>
      <c r="U483" s="4" t="str">
        <f>'Form responses 1'!AG485</f>
        <v/>
      </c>
      <c r="V483" s="4" t="str">
        <f>'Form responses 1'!AI485</f>
        <v/>
      </c>
      <c r="W483" s="4" t="str">
        <f>'Form responses 1'!AJ485</f>
        <v/>
      </c>
      <c r="X483" s="4" t="str">
        <f>'Form responses 1'!AK485</f>
        <v/>
      </c>
      <c r="Y483" s="4">
        <f t="shared" ref="Y483:AD483" si="482">if(S483&gt;0,1,0)</f>
        <v>0</v>
      </c>
      <c r="Z483" s="4">
        <f t="shared" si="482"/>
        <v>0</v>
      </c>
      <c r="AA483" s="4">
        <f t="shared" si="482"/>
        <v>0</v>
      </c>
      <c r="AB483" s="4">
        <f t="shared" si="482"/>
        <v>0</v>
      </c>
      <c r="AC483" s="4">
        <f t="shared" si="482"/>
        <v>0</v>
      </c>
      <c r="AD483" s="4">
        <f t="shared" si="482"/>
        <v>0</v>
      </c>
      <c r="AE483" s="4" t="str">
        <f>'Form responses 1'!AN485</f>
        <v/>
      </c>
      <c r="AF483" s="4" t="str">
        <f>'Form responses 1'!AO485</f>
        <v/>
      </c>
      <c r="AG483" s="4" t="str">
        <f>'Form responses 1'!AP485</f>
        <v/>
      </c>
      <c r="AH483" s="4" t="str">
        <f>'Form responses 1'!AQ485</f>
        <v/>
      </c>
      <c r="AI483" s="4" t="str">
        <f>'Form responses 1'!AR485</f>
        <v/>
      </c>
    </row>
    <row r="484">
      <c r="A484" s="26">
        <f>'Form responses 1'!B486</f>
        <v>46069</v>
      </c>
      <c r="B484" s="4" t="str">
        <f>'Form responses 1'!AZ486</f>
        <v>amit.kaler@capsdelivery.com</v>
      </c>
      <c r="C484" s="4" t="str">
        <f>'Form responses 1'!BR486</f>
        <v>Wisphot</v>
      </c>
      <c r="D484" s="4" t="str">
        <f>'Form responses 1'!AT486</f>
        <v>Call Mr. Gopi</v>
      </c>
      <c r="E484" s="4" t="str">
        <f>'Form responses 1'!AU486</f>
        <v>Yes</v>
      </c>
      <c r="F484" s="26">
        <f>'Form responses 1'!AX486</f>
        <v>46071</v>
      </c>
      <c r="G484" s="52">
        <f>'Form responses 1'!AY486</f>
        <v>0.4583333333</v>
      </c>
      <c r="H484" s="53" t="str">
        <f>'Form responses 1'!AW486</f>
        <v>CAll Mr. Gopi</v>
      </c>
      <c r="I484" s="4" t="str">
        <f>'Form responses 1'!AS486</f>
        <v/>
      </c>
      <c r="J484" s="4" t="str">
        <f>'Form responses 1'!J486</f>
        <v>Tier-2 (AOV &lt;400)</v>
      </c>
      <c r="K484" s="4">
        <f>'Form responses 1'!G486</f>
        <v>250</v>
      </c>
      <c r="L484" s="4">
        <f>'Form responses 1'!F486</f>
        <v>1</v>
      </c>
      <c r="M484" s="4" t="str">
        <f>'Form responses 1'!U486</f>
        <v>Gopi (Area Manager)</v>
      </c>
      <c r="N484" s="4">
        <f>'Form responses 1'!V486</f>
        <v>6381622735</v>
      </c>
      <c r="O484" s="4" t="str">
        <f>'Form responses 1'!W486</f>
        <v>Na</v>
      </c>
      <c r="P484" s="4" t="str">
        <f>'Form responses 1'!X486</f>
        <v>Surya (Cashier)</v>
      </c>
      <c r="Q484" s="4">
        <f>'Form responses 1'!Y486</f>
        <v>9097949702</v>
      </c>
      <c r="R484" s="4" t="str">
        <f>'Form responses 1'!Z486</f>
        <v>Na</v>
      </c>
      <c r="S484" s="4" t="str">
        <f>'Form responses 1'!AC486</f>
        <v/>
      </c>
      <c r="T484" s="4" t="str">
        <f>'Form responses 1'!AE486</f>
        <v/>
      </c>
      <c r="U484" s="4" t="str">
        <f>'Form responses 1'!AG486</f>
        <v/>
      </c>
      <c r="V484" s="4" t="str">
        <f>'Form responses 1'!AI486</f>
        <v/>
      </c>
      <c r="W484" s="4" t="str">
        <f>'Form responses 1'!AJ486</f>
        <v/>
      </c>
      <c r="X484" s="4" t="str">
        <f>'Form responses 1'!AK486</f>
        <v/>
      </c>
      <c r="Y484" s="4">
        <f t="shared" ref="Y484:AD484" si="483">if(S484&gt;0,1,0)</f>
        <v>0</v>
      </c>
      <c r="Z484" s="4">
        <f t="shared" si="483"/>
        <v>0</v>
      </c>
      <c r="AA484" s="4">
        <f t="shared" si="483"/>
        <v>0</v>
      </c>
      <c r="AB484" s="4">
        <f t="shared" si="483"/>
        <v>0</v>
      </c>
      <c r="AC484" s="4">
        <f t="shared" si="483"/>
        <v>0</v>
      </c>
      <c r="AD484" s="4">
        <f t="shared" si="483"/>
        <v>0</v>
      </c>
      <c r="AE484" s="4" t="str">
        <f>'Form responses 1'!AN486</f>
        <v/>
      </c>
      <c r="AF484" s="4" t="str">
        <f>'Form responses 1'!AO486</f>
        <v/>
      </c>
      <c r="AG484" s="4" t="str">
        <f>'Form responses 1'!AP486</f>
        <v/>
      </c>
      <c r="AH484" s="4" t="str">
        <f>'Form responses 1'!AQ486</f>
        <v/>
      </c>
      <c r="AI484" s="4" t="str">
        <f>'Form responses 1'!AR486</f>
        <v/>
      </c>
    </row>
    <row r="485">
      <c r="A485" s="26">
        <f>'Form responses 1'!B487</f>
        <v>46069</v>
      </c>
      <c r="B485" s="4" t="str">
        <f>'Form responses 1'!AZ487</f>
        <v>amit.kaler@capsdelivery.com</v>
      </c>
      <c r="C485" s="4" t="str">
        <f>'Form responses 1'!BR487</f>
        <v>Foo</v>
      </c>
      <c r="D485" s="4" t="str">
        <f>'Form responses 1'!AT487</f>
        <v>Call Mr. Prajitesh</v>
      </c>
      <c r="E485" s="4" t="str">
        <f>'Form responses 1'!AU487</f>
        <v>Yes</v>
      </c>
      <c r="F485" s="26">
        <f>'Form responses 1'!AX487</f>
        <v>46071</v>
      </c>
      <c r="G485" s="52">
        <f>'Form responses 1'!AY487</f>
        <v>0.7083333333</v>
      </c>
      <c r="H485" s="53" t="str">
        <f>'Form responses 1'!AW487</f>
        <v>Call Mr. Prajitesh</v>
      </c>
      <c r="I485" s="4" t="str">
        <f>'Form responses 1'!AS487</f>
        <v/>
      </c>
      <c r="J485" s="4" t="str">
        <f>'Form responses 1'!J487</f>
        <v>Tier-1(AOV&gt;400)</v>
      </c>
      <c r="K485" s="4">
        <f>'Form responses 1'!G487</f>
        <v>1500</v>
      </c>
      <c r="L485" s="4">
        <f>'Form responses 1'!F487</f>
        <v>140</v>
      </c>
      <c r="M485" s="4" t="str">
        <f>'Form responses 1'!U487</f>
        <v>Prajitesh (GM)</v>
      </c>
      <c r="N485" s="4">
        <f>'Form responses 1'!V487</f>
        <v>7030998709</v>
      </c>
      <c r="O485" s="4" t="str">
        <f>'Form responses 1'!W487</f>
        <v>NA</v>
      </c>
      <c r="P485" s="4" t="str">
        <f>'Form responses 1'!X487</f>
        <v>Amitava (Entry Manager)</v>
      </c>
      <c r="Q485" s="4">
        <f>'Form responses 1'!Y487</f>
        <v>9832874225</v>
      </c>
      <c r="R485" s="4" t="str">
        <f>'Form responses 1'!Z487</f>
        <v/>
      </c>
      <c r="S485" s="4" t="str">
        <f>'Form responses 1'!AC487</f>
        <v/>
      </c>
      <c r="T485" s="4" t="str">
        <f>'Form responses 1'!AE487</f>
        <v/>
      </c>
      <c r="U485" s="4" t="str">
        <f>'Form responses 1'!AG487</f>
        <v/>
      </c>
      <c r="V485" s="4" t="str">
        <f>'Form responses 1'!AI487</f>
        <v/>
      </c>
      <c r="W485" s="4" t="str">
        <f>'Form responses 1'!AJ487</f>
        <v/>
      </c>
      <c r="X485" s="4" t="str">
        <f>'Form responses 1'!AK487</f>
        <v/>
      </c>
      <c r="Y485" s="4">
        <f t="shared" ref="Y485:AD485" si="484">if(S485&gt;0,1,0)</f>
        <v>0</v>
      </c>
      <c r="Z485" s="4">
        <f t="shared" si="484"/>
        <v>0</v>
      </c>
      <c r="AA485" s="4">
        <f t="shared" si="484"/>
        <v>0</v>
      </c>
      <c r="AB485" s="4">
        <f t="shared" si="484"/>
        <v>0</v>
      </c>
      <c r="AC485" s="4">
        <f t="shared" si="484"/>
        <v>0</v>
      </c>
      <c r="AD485" s="4">
        <f t="shared" si="484"/>
        <v>0</v>
      </c>
      <c r="AE485" s="4" t="str">
        <f>'Form responses 1'!AN487</f>
        <v/>
      </c>
      <c r="AF485" s="4" t="str">
        <f>'Form responses 1'!AO487</f>
        <v/>
      </c>
      <c r="AG485" s="4" t="str">
        <f>'Form responses 1'!AP487</f>
        <v/>
      </c>
      <c r="AH485" s="4" t="str">
        <f>'Form responses 1'!AQ487</f>
        <v/>
      </c>
      <c r="AI485" s="4" t="str">
        <f>'Form responses 1'!AR487</f>
        <v/>
      </c>
    </row>
    <row r="486">
      <c r="A486" s="26">
        <f>'Form responses 1'!B488</f>
        <v>46069</v>
      </c>
      <c r="B486" s="4" t="str">
        <f>'Form responses 1'!AZ488</f>
        <v>amit.kaler@capsdelivery.com</v>
      </c>
      <c r="C486" s="4" t="str">
        <f>'Form responses 1'!BR488</f>
        <v>Popoyes</v>
      </c>
      <c r="D486" s="4" t="str">
        <f>'Form responses 1'!AT488</f>
        <v>Call Mr. Mahendra</v>
      </c>
      <c r="E486" s="4" t="str">
        <f>'Form responses 1'!AU488</f>
        <v>Yes</v>
      </c>
      <c r="F486" s="26">
        <f>'Form responses 1'!AX488</f>
        <v>46071</v>
      </c>
      <c r="G486" s="52">
        <f>'Form responses 1'!AY488</f>
        <v>0.5833333333</v>
      </c>
      <c r="H486" s="53" t="str">
        <f>'Form responses 1'!AW488</f>
        <v>Call Mr. Mahendra</v>
      </c>
      <c r="I486" s="4" t="str">
        <f>'Form responses 1'!AS488</f>
        <v/>
      </c>
      <c r="J486" s="4" t="str">
        <f>'Form responses 1'!J488</f>
        <v>Tier-1(AOV&gt;400)</v>
      </c>
      <c r="K486" s="4">
        <f>'Form responses 1'!G488</f>
        <v>400</v>
      </c>
      <c r="L486" s="4">
        <f>'Form responses 1'!F488</f>
        <v>1</v>
      </c>
      <c r="M486" s="4" t="str">
        <f>'Form responses 1'!U488</f>
        <v>Mahender (Area Manager)</v>
      </c>
      <c r="N486" s="4">
        <f>'Form responses 1'!V488</f>
        <v>9663743265</v>
      </c>
      <c r="O486" s="4" t="str">
        <f>'Form responses 1'!W488</f>
        <v>NA</v>
      </c>
      <c r="P486" s="4" t="str">
        <f>'Form responses 1'!X488</f>
        <v>Raju Samba</v>
      </c>
      <c r="Q486" s="4" t="str">
        <f>'Form responses 1'!Y488</f>
        <v/>
      </c>
      <c r="R486" s="4" t="str">
        <f>'Form responses 1'!Z488</f>
        <v/>
      </c>
      <c r="S486" s="4" t="str">
        <f>'Form responses 1'!AC488</f>
        <v/>
      </c>
      <c r="T486" s="4" t="str">
        <f>'Form responses 1'!AE488</f>
        <v/>
      </c>
      <c r="U486" s="4" t="str">
        <f>'Form responses 1'!AG488</f>
        <v/>
      </c>
      <c r="V486" s="4" t="str">
        <f>'Form responses 1'!AI488</f>
        <v/>
      </c>
      <c r="W486" s="4" t="str">
        <f>'Form responses 1'!AJ488</f>
        <v/>
      </c>
      <c r="X486" s="4" t="str">
        <f>'Form responses 1'!AK488</f>
        <v/>
      </c>
      <c r="Y486" s="4">
        <f t="shared" ref="Y486:AD486" si="485">if(S486&gt;0,1,0)</f>
        <v>0</v>
      </c>
      <c r="Z486" s="4">
        <f t="shared" si="485"/>
        <v>0</v>
      </c>
      <c r="AA486" s="4">
        <f t="shared" si="485"/>
        <v>0</v>
      </c>
      <c r="AB486" s="4">
        <f t="shared" si="485"/>
        <v>0</v>
      </c>
      <c r="AC486" s="4">
        <f t="shared" si="485"/>
        <v>0</v>
      </c>
      <c r="AD486" s="4">
        <f t="shared" si="485"/>
        <v>0</v>
      </c>
      <c r="AE486" s="4" t="str">
        <f>'Form responses 1'!AN488</f>
        <v/>
      </c>
      <c r="AF486" s="4" t="str">
        <f>'Form responses 1'!AO488</f>
        <v/>
      </c>
      <c r="AG486" s="4" t="str">
        <f>'Form responses 1'!AP488</f>
        <v/>
      </c>
      <c r="AH486" s="4" t="str">
        <f>'Form responses 1'!AQ488</f>
        <v/>
      </c>
      <c r="AI486" s="4" t="str">
        <f>'Form responses 1'!AR488</f>
        <v/>
      </c>
    </row>
    <row r="487">
      <c r="A487" s="26">
        <f>'Form responses 1'!B489</f>
        <v>46069</v>
      </c>
      <c r="B487" s="4" t="str">
        <f>'Form responses 1'!AZ489</f>
        <v>amit.kaler@capsdelivery.com</v>
      </c>
      <c r="C487" s="4" t="str">
        <f>'Form responses 1'!BR489</f>
        <v>Mad about China +  Indian Tadka</v>
      </c>
      <c r="D487" s="4" t="str">
        <f>'Form responses 1'!AT489</f>
        <v>Call Mr. Sanjeev post 11 am</v>
      </c>
      <c r="E487" s="4" t="str">
        <f>'Form responses 1'!AU489</f>
        <v>Yes</v>
      </c>
      <c r="F487" s="26">
        <f>'Form responses 1'!AX489</f>
        <v>46071</v>
      </c>
      <c r="G487" s="52">
        <f>'Form responses 1'!AY489</f>
        <v>0.5416666667</v>
      </c>
      <c r="H487" s="53" t="str">
        <f>'Form responses 1'!AW489</f>
        <v>Call Mr. Sanjeev</v>
      </c>
      <c r="I487" s="4" t="str">
        <f>'Form responses 1'!AS489</f>
        <v/>
      </c>
      <c r="J487" s="4" t="str">
        <f>'Form responses 1'!J489</f>
        <v>Tier-2 (AOV &lt;400)</v>
      </c>
      <c r="K487" s="4">
        <f>'Form responses 1'!G489</f>
        <v>350</v>
      </c>
      <c r="L487" s="4">
        <f>'Form responses 1'!F489</f>
        <v>1</v>
      </c>
      <c r="M487" s="4" t="str">
        <f>'Form responses 1'!U489</f>
        <v>Ssanjeev Seth (GM)</v>
      </c>
      <c r="N487" s="4">
        <f>'Form responses 1'!V489</f>
        <v>7905152075</v>
      </c>
      <c r="O487" s="4" t="str">
        <f>'Form responses 1'!W489</f>
        <v>NA</v>
      </c>
      <c r="P487" s="4" t="str">
        <f>'Form responses 1'!X489</f>
        <v>Pradeep (Shift Manager)</v>
      </c>
      <c r="Q487" s="4">
        <f>'Form responses 1'!Y489</f>
        <v>9794814820</v>
      </c>
      <c r="R487" s="4" t="str">
        <f>'Form responses 1'!Z489</f>
        <v>NA</v>
      </c>
      <c r="S487" s="4" t="str">
        <f>'Form responses 1'!AC489</f>
        <v/>
      </c>
      <c r="T487" s="4" t="str">
        <f>'Form responses 1'!AE489</f>
        <v/>
      </c>
      <c r="U487" s="4" t="str">
        <f>'Form responses 1'!AG489</f>
        <v/>
      </c>
      <c r="V487" s="4" t="str">
        <f>'Form responses 1'!AI489</f>
        <v/>
      </c>
      <c r="W487" s="4" t="str">
        <f>'Form responses 1'!AJ489</f>
        <v/>
      </c>
      <c r="X487" s="4" t="str">
        <f>'Form responses 1'!AK489</f>
        <v/>
      </c>
      <c r="Y487" s="4">
        <f t="shared" ref="Y487:AD487" si="486">if(S487&gt;0,1,0)</f>
        <v>0</v>
      </c>
      <c r="Z487" s="4">
        <f t="shared" si="486"/>
        <v>0</v>
      </c>
      <c r="AA487" s="4">
        <f t="shared" si="486"/>
        <v>0</v>
      </c>
      <c r="AB487" s="4">
        <f t="shared" si="486"/>
        <v>0</v>
      </c>
      <c r="AC487" s="4">
        <f t="shared" si="486"/>
        <v>0</v>
      </c>
      <c r="AD487" s="4">
        <f t="shared" si="486"/>
        <v>0</v>
      </c>
      <c r="AE487" s="4" t="str">
        <f>'Form responses 1'!AN489</f>
        <v/>
      </c>
      <c r="AF487" s="4" t="str">
        <f>'Form responses 1'!AO489</f>
        <v/>
      </c>
      <c r="AG487" s="4" t="str">
        <f>'Form responses 1'!AP489</f>
        <v/>
      </c>
      <c r="AH487" s="4" t="str">
        <f>'Form responses 1'!AQ489</f>
        <v/>
      </c>
      <c r="AI487" s="4" t="str">
        <f>'Form responses 1'!AR489</f>
        <v/>
      </c>
    </row>
    <row r="488">
      <c r="A488" s="26">
        <f>'Form responses 1'!B490</f>
        <v>46069</v>
      </c>
      <c r="B488" s="4" t="str">
        <f>'Form responses 1'!AZ490</f>
        <v>amit.kaler@capsdelivery.com</v>
      </c>
      <c r="C488" s="4" t="str">
        <f>'Form responses 1'!BR490</f>
        <v>Keventers</v>
      </c>
      <c r="D488" s="4" t="str">
        <f>'Form responses 1'!AT490</f>
        <v>Call Sri Nivas</v>
      </c>
      <c r="E488" s="4" t="str">
        <f>'Form responses 1'!AU490</f>
        <v>Yes</v>
      </c>
      <c r="F488" s="26">
        <f>'Form responses 1'!AX490</f>
        <v>46071</v>
      </c>
      <c r="G488" s="52">
        <f>'Form responses 1'!AY490</f>
        <v>0.5416666667</v>
      </c>
      <c r="H488" s="53" t="str">
        <f>'Form responses 1'!AW490</f>
        <v>Call Mr. Sri Nivas</v>
      </c>
      <c r="I488" s="4" t="str">
        <f>'Form responses 1'!AS490</f>
        <v/>
      </c>
      <c r="J488" s="4" t="str">
        <f>'Form responses 1'!J490</f>
        <v>Tier-2 (AOV &lt;400)</v>
      </c>
      <c r="K488" s="4">
        <f>'Form responses 1'!G490</f>
        <v>250</v>
      </c>
      <c r="L488" s="4">
        <f>'Form responses 1'!F490</f>
        <v>1</v>
      </c>
      <c r="M488" s="4" t="str">
        <f>'Form responses 1'!U490</f>
        <v>Sri Nivas (Area Manager)</v>
      </c>
      <c r="N488" s="4">
        <f>'Form responses 1'!V490</f>
        <v>9959615992</v>
      </c>
      <c r="O488" s="4" t="str">
        <f>'Form responses 1'!W490</f>
        <v>NA</v>
      </c>
      <c r="P488" s="4" t="str">
        <f>'Form responses 1'!X490</f>
        <v>Syed Fouzan</v>
      </c>
      <c r="Q488" s="4">
        <f>'Form responses 1'!Y490</f>
        <v>9515868969</v>
      </c>
      <c r="R488" s="4" t="str">
        <f>'Form responses 1'!Z490</f>
        <v>NA</v>
      </c>
      <c r="S488" s="4" t="str">
        <f>'Form responses 1'!AC490</f>
        <v/>
      </c>
      <c r="T488" s="4" t="str">
        <f>'Form responses 1'!AE490</f>
        <v/>
      </c>
      <c r="U488" s="4" t="str">
        <f>'Form responses 1'!AG490</f>
        <v/>
      </c>
      <c r="V488" s="4" t="str">
        <f>'Form responses 1'!AI490</f>
        <v/>
      </c>
      <c r="W488" s="4" t="str">
        <f>'Form responses 1'!AJ490</f>
        <v/>
      </c>
      <c r="X488" s="4" t="str">
        <f>'Form responses 1'!AK490</f>
        <v/>
      </c>
      <c r="Y488" s="4">
        <f t="shared" ref="Y488:AD488" si="487">if(S488&gt;0,1,0)</f>
        <v>0</v>
      </c>
      <c r="Z488" s="4">
        <f t="shared" si="487"/>
        <v>0</v>
      </c>
      <c r="AA488" s="4">
        <f t="shared" si="487"/>
        <v>0</v>
      </c>
      <c r="AB488" s="4">
        <f t="shared" si="487"/>
        <v>0</v>
      </c>
      <c r="AC488" s="4">
        <f t="shared" si="487"/>
        <v>0</v>
      </c>
      <c r="AD488" s="4">
        <f t="shared" si="487"/>
        <v>0</v>
      </c>
      <c r="AE488" s="4" t="str">
        <f>'Form responses 1'!AN490</f>
        <v/>
      </c>
      <c r="AF488" s="4" t="str">
        <f>'Form responses 1'!AO490</f>
        <v/>
      </c>
      <c r="AG488" s="4" t="str">
        <f>'Form responses 1'!AP490</f>
        <v/>
      </c>
      <c r="AH488" s="4" t="str">
        <f>'Form responses 1'!AQ490</f>
        <v/>
      </c>
      <c r="AI488" s="4" t="str">
        <f>'Form responses 1'!AR490</f>
        <v/>
      </c>
    </row>
    <row r="489">
      <c r="A489" s="26">
        <f>'Form responses 1'!B491</f>
        <v>46069</v>
      </c>
      <c r="B489" s="4" t="str">
        <f>'Form responses 1'!AZ491</f>
        <v>amit.kaler@capsdelivery.com</v>
      </c>
      <c r="C489" s="4" t="str">
        <f>'Form responses 1'!BR491</f>
        <v>California Burrito</v>
      </c>
      <c r="D489" s="4" t="str">
        <f>'Form responses 1'!AT491</f>
        <v>No food deliveries on Inorbit location due to high demand and small kitchen need to approach for different locations</v>
      </c>
      <c r="E489" s="4" t="str">
        <f>'Form responses 1'!AU491</f>
        <v>Yes</v>
      </c>
      <c r="F489" s="26">
        <f>'Form responses 1'!AX491</f>
        <v>46071</v>
      </c>
      <c r="G489" s="52">
        <f>'Form responses 1'!AY491</f>
        <v>0.5416666667</v>
      </c>
      <c r="H489" s="53" t="str">
        <f>'Form responses 1'!AW491</f>
        <v>Call Mr Amar</v>
      </c>
      <c r="I489" s="4" t="str">
        <f>'Form responses 1'!AS491</f>
        <v/>
      </c>
      <c r="J489" s="4" t="str">
        <f>'Form responses 1'!J491</f>
        <v>Tier-1(AOV&gt;400)</v>
      </c>
      <c r="K489" s="4">
        <f>'Form responses 1'!G491</f>
        <v>300</v>
      </c>
      <c r="L489" s="4">
        <f>'Form responses 1'!F491</f>
        <v>1</v>
      </c>
      <c r="M489" s="4" t="str">
        <f>'Form responses 1'!U491</f>
        <v>Mr. Amar (Area Manager)</v>
      </c>
      <c r="N489" s="4">
        <f>'Form responses 1'!V491</f>
        <v>7002773847</v>
      </c>
      <c r="O489" s="4" t="str">
        <f>'Form responses 1'!W491</f>
        <v>NA</v>
      </c>
      <c r="P489" s="4" t="str">
        <f>'Form responses 1'!X491</f>
        <v>Charanjit (Shift Manager)</v>
      </c>
      <c r="Q489" s="4" t="str">
        <f>'Form responses 1'!Y491</f>
        <v/>
      </c>
      <c r="R489" s="4" t="str">
        <f>'Form responses 1'!Z491</f>
        <v/>
      </c>
      <c r="S489" s="4" t="str">
        <f>'Form responses 1'!AC491</f>
        <v/>
      </c>
      <c r="T489" s="4" t="str">
        <f>'Form responses 1'!AE491</f>
        <v/>
      </c>
      <c r="U489" s="4" t="str">
        <f>'Form responses 1'!AG491</f>
        <v/>
      </c>
      <c r="V489" s="4" t="str">
        <f>'Form responses 1'!AI491</f>
        <v/>
      </c>
      <c r="W489" s="4" t="str">
        <f>'Form responses 1'!AJ491</f>
        <v/>
      </c>
      <c r="X489" s="4" t="str">
        <f>'Form responses 1'!AK491</f>
        <v/>
      </c>
      <c r="Y489" s="4">
        <f t="shared" ref="Y489:AD489" si="488">if(S489&gt;0,1,0)</f>
        <v>0</v>
      </c>
      <c r="Z489" s="4">
        <f t="shared" si="488"/>
        <v>0</v>
      </c>
      <c r="AA489" s="4">
        <f t="shared" si="488"/>
        <v>0</v>
      </c>
      <c r="AB489" s="4">
        <f t="shared" si="488"/>
        <v>0</v>
      </c>
      <c r="AC489" s="4">
        <f t="shared" si="488"/>
        <v>0</v>
      </c>
      <c r="AD489" s="4">
        <f t="shared" si="488"/>
        <v>0</v>
      </c>
      <c r="AE489" s="4" t="str">
        <f>'Form responses 1'!AN491</f>
        <v/>
      </c>
      <c r="AF489" s="4" t="str">
        <f>'Form responses 1'!AO491</f>
        <v/>
      </c>
      <c r="AG489" s="4" t="str">
        <f>'Form responses 1'!AP491</f>
        <v/>
      </c>
      <c r="AH489" s="4" t="str">
        <f>'Form responses 1'!AQ491</f>
        <v/>
      </c>
      <c r="AI489" s="4" t="str">
        <f>'Form responses 1'!AR491</f>
        <v/>
      </c>
    </row>
    <row r="490">
      <c r="A490" s="26">
        <f>'Form responses 1'!B492</f>
        <v>46069</v>
      </c>
      <c r="B490" s="4" t="str">
        <f>'Form responses 1'!AZ492</f>
        <v>amit.kaler@capsdelivery.com</v>
      </c>
      <c r="C490" s="4" t="str">
        <f>'Form responses 1'!BR492</f>
        <v>KFC Inorbit Mall</v>
      </c>
      <c r="D490" s="4" t="str">
        <f>'Form responses 1'!AT492</f>
        <v>KFC coming up with their own delivery app have own delivery partners and third party tie ups for peaks. Need to connect with delivery manager </v>
      </c>
      <c r="E490" s="4" t="str">
        <f>'Form responses 1'!AU492</f>
        <v>Yes</v>
      </c>
      <c r="F490" s="26">
        <f>'Form responses 1'!AX492</f>
        <v>46071</v>
      </c>
      <c r="G490" s="52">
        <f>'Form responses 1'!AY492</f>
        <v>0.5833333333</v>
      </c>
      <c r="H490" s="53" t="str">
        <f>'Form responses 1'!AW492</f>
        <v>Call Mr. KSN Murhi</v>
      </c>
      <c r="I490" s="4" t="str">
        <f>'Form responses 1'!AS492</f>
        <v/>
      </c>
      <c r="J490" s="4" t="str">
        <f>'Form responses 1'!J492</f>
        <v>Tier-1(AOV&gt;400)</v>
      </c>
      <c r="K490" s="4">
        <f>'Form responses 1'!G492</f>
        <v>500</v>
      </c>
      <c r="L490" s="4">
        <f>'Form responses 1'!F492</f>
        <v>1</v>
      </c>
      <c r="M490" s="4" t="str">
        <f>'Form responses 1'!U492</f>
        <v>KSN Murthi (Delivery Manager)</v>
      </c>
      <c r="N490" s="4">
        <f>'Form responses 1'!V492</f>
        <v>9398596919</v>
      </c>
      <c r="O490" s="4" t="str">
        <f>'Form responses 1'!W492</f>
        <v>NA</v>
      </c>
      <c r="P490" s="4" t="str">
        <f>'Form responses 1'!X492</f>
        <v>Ravi Teja (Area Manager)</v>
      </c>
      <c r="Q490" s="4">
        <f>'Form responses 1'!Y492</f>
        <v>7416690785</v>
      </c>
      <c r="R490" s="4" t="str">
        <f>'Form responses 1'!Z492</f>
        <v>NA</v>
      </c>
      <c r="S490" s="4" t="str">
        <f>'Form responses 1'!AC492</f>
        <v/>
      </c>
      <c r="T490" s="4" t="str">
        <f>'Form responses 1'!AE492</f>
        <v/>
      </c>
      <c r="U490" s="4" t="str">
        <f>'Form responses 1'!AG492</f>
        <v/>
      </c>
      <c r="V490" s="4" t="str">
        <f>'Form responses 1'!AI492</f>
        <v/>
      </c>
      <c r="W490" s="4" t="str">
        <f>'Form responses 1'!AJ492</f>
        <v/>
      </c>
      <c r="X490" s="4" t="str">
        <f>'Form responses 1'!AK492</f>
        <v/>
      </c>
      <c r="Y490" s="4">
        <f t="shared" ref="Y490:AD490" si="489">if(S490&gt;0,1,0)</f>
        <v>0</v>
      </c>
      <c r="Z490" s="4">
        <f t="shared" si="489"/>
        <v>0</v>
      </c>
      <c r="AA490" s="4">
        <f t="shared" si="489"/>
        <v>0</v>
      </c>
      <c r="AB490" s="4">
        <f t="shared" si="489"/>
        <v>0</v>
      </c>
      <c r="AC490" s="4">
        <f t="shared" si="489"/>
        <v>0</v>
      </c>
      <c r="AD490" s="4">
        <f t="shared" si="489"/>
        <v>0</v>
      </c>
      <c r="AE490" s="4" t="str">
        <f>'Form responses 1'!AN492</f>
        <v/>
      </c>
      <c r="AF490" s="4" t="str">
        <f>'Form responses 1'!AO492</f>
        <v/>
      </c>
      <c r="AG490" s="4" t="str">
        <f>'Form responses 1'!AP492</f>
        <v/>
      </c>
      <c r="AH490" s="4" t="str">
        <f>'Form responses 1'!AQ492</f>
        <v/>
      </c>
      <c r="AI490" s="4" t="str">
        <f>'Form responses 1'!AR492</f>
        <v/>
      </c>
    </row>
    <row r="491">
      <c r="A491" s="26">
        <f>'Form responses 1'!B493</f>
        <v>46069</v>
      </c>
      <c r="B491" s="4" t="str">
        <f>'Form responses 1'!AZ493</f>
        <v>amit.kaler@capsdelivery.com</v>
      </c>
      <c r="C491" s="4" t="str">
        <f>'Form responses 1'!BR493</f>
        <v>Gabru Di Chaap</v>
      </c>
      <c r="D491" s="4" t="str">
        <f>'Form responses 1'!AT493</f>
        <v>Call Mr. Umar</v>
      </c>
      <c r="E491" s="4" t="str">
        <f>'Form responses 1'!AU493</f>
        <v>Yes</v>
      </c>
      <c r="F491" s="26">
        <f>'Form responses 1'!AX493</f>
        <v>46071</v>
      </c>
      <c r="G491" s="52">
        <f>'Form responses 1'!AY493</f>
        <v>0.5833333333</v>
      </c>
      <c r="H491" s="53" t="str">
        <f>'Form responses 1'!AW493</f>
        <v>Call Mr. Umar</v>
      </c>
      <c r="I491" s="4" t="str">
        <f>'Form responses 1'!AS493</f>
        <v/>
      </c>
      <c r="J491" s="4" t="str">
        <f>'Form responses 1'!J493</f>
        <v>Tier-1(AOV&gt;400)</v>
      </c>
      <c r="K491" s="4">
        <f>'Form responses 1'!G493</f>
        <v>600</v>
      </c>
      <c r="L491" s="4">
        <f>'Form responses 1'!F493</f>
        <v>1</v>
      </c>
      <c r="M491" s="4" t="str">
        <f>'Form responses 1'!U493</f>
        <v>Umar (Area Manager) (Generally Available at Sarascity Mall)</v>
      </c>
      <c r="N491" s="4">
        <f>'Form responses 1'!V493</f>
        <v>8374972864</v>
      </c>
      <c r="O491" s="4" t="str">
        <f>'Form responses 1'!W493</f>
        <v>NA</v>
      </c>
      <c r="P491" s="4" t="str">
        <f>'Form responses 1'!X493</f>
        <v/>
      </c>
      <c r="Q491" s="4" t="str">
        <f>'Form responses 1'!Y493</f>
        <v/>
      </c>
      <c r="R491" s="4" t="str">
        <f>'Form responses 1'!Z493</f>
        <v/>
      </c>
      <c r="S491" s="4" t="str">
        <f>'Form responses 1'!AC493</f>
        <v/>
      </c>
      <c r="T491" s="4" t="str">
        <f>'Form responses 1'!AE493</f>
        <v/>
      </c>
      <c r="U491" s="4" t="str">
        <f>'Form responses 1'!AG493</f>
        <v/>
      </c>
      <c r="V491" s="4" t="str">
        <f>'Form responses 1'!AI493</f>
        <v/>
      </c>
      <c r="W491" s="4" t="str">
        <f>'Form responses 1'!AJ493</f>
        <v/>
      </c>
      <c r="X491" s="4" t="str">
        <f>'Form responses 1'!AK493</f>
        <v/>
      </c>
      <c r="Y491" s="4">
        <f t="shared" ref="Y491:AD491" si="490">if(S491&gt;0,1,0)</f>
        <v>0</v>
      </c>
      <c r="Z491" s="4">
        <f t="shared" si="490"/>
        <v>0</v>
      </c>
      <c r="AA491" s="4">
        <f t="shared" si="490"/>
        <v>0</v>
      </c>
      <c r="AB491" s="4">
        <f t="shared" si="490"/>
        <v>0</v>
      </c>
      <c r="AC491" s="4">
        <f t="shared" si="490"/>
        <v>0</v>
      </c>
      <c r="AD491" s="4">
        <f t="shared" si="490"/>
        <v>0</v>
      </c>
      <c r="AE491" s="4" t="str">
        <f>'Form responses 1'!AN493</f>
        <v/>
      </c>
      <c r="AF491" s="4" t="str">
        <f>'Form responses 1'!AO493</f>
        <v/>
      </c>
      <c r="AG491" s="4" t="str">
        <f>'Form responses 1'!AP493</f>
        <v/>
      </c>
      <c r="AH491" s="4" t="str">
        <f>'Form responses 1'!AQ493</f>
        <v/>
      </c>
      <c r="AI491" s="4" t="str">
        <f>'Form responses 1'!AR493</f>
        <v/>
      </c>
    </row>
    <row r="492">
      <c r="A492" s="26">
        <f>'Form responses 1'!B494</f>
        <v>46069</v>
      </c>
      <c r="B492" s="4" t="str">
        <f>'Form responses 1'!AZ494</f>
        <v>amit.kaler@capsdelivery.com</v>
      </c>
      <c r="C492" s="4" t="str">
        <f>'Form responses 1'!BR494</f>
        <v>Pluto (Soda)</v>
      </c>
      <c r="D492" s="4" t="str">
        <f>'Form responses 1'!AT494</f>
        <v>Call Mr. Vamsi share proposal on mail. He white labels soda for Swiggy's brand Noice now selling soda at there own counters 3 more counters planned</v>
      </c>
      <c r="E492" s="4" t="str">
        <f>'Form responses 1'!AU494</f>
        <v>Yes</v>
      </c>
      <c r="F492" s="26">
        <f>'Form responses 1'!AX494</f>
        <v>46071</v>
      </c>
      <c r="G492" s="52">
        <f>'Form responses 1'!AY494</f>
        <v>0.4736111111</v>
      </c>
      <c r="H492" s="53" t="str">
        <f>'Form responses 1'!AW494</f>
        <v>Call Mr. Vamsi and share proposal on mail</v>
      </c>
      <c r="I492" s="4" t="str">
        <f>'Form responses 1'!AS494</f>
        <v/>
      </c>
      <c r="J492" s="4" t="str">
        <f>'Form responses 1'!J494</f>
        <v>Tier-3 ( AOV&lt;200 )</v>
      </c>
      <c r="K492" s="4">
        <f>'Form responses 1'!G494</f>
        <v>150</v>
      </c>
      <c r="L492" s="4">
        <f>'Form responses 1'!F494</f>
        <v>1</v>
      </c>
      <c r="M492" s="4" t="str">
        <f>'Form responses 1'!U494</f>
        <v>Vamsi (Owner)</v>
      </c>
      <c r="N492" s="4">
        <f>'Form responses 1'!V494</f>
        <v>9494405373</v>
      </c>
      <c r="O492" s="4" t="str">
        <f>'Form responses 1'!W494</f>
        <v>vamsiprince94944@gmail.com</v>
      </c>
      <c r="P492" s="4" t="str">
        <f>'Form responses 1'!X494</f>
        <v/>
      </c>
      <c r="Q492" s="4" t="str">
        <f>'Form responses 1'!Y494</f>
        <v/>
      </c>
      <c r="R492" s="4" t="str">
        <f>'Form responses 1'!Z494</f>
        <v/>
      </c>
      <c r="S492" s="4" t="str">
        <f>'Form responses 1'!AC494</f>
        <v/>
      </c>
      <c r="T492" s="4" t="str">
        <f>'Form responses 1'!AE494</f>
        <v/>
      </c>
      <c r="U492" s="4" t="str">
        <f>'Form responses 1'!AG494</f>
        <v/>
      </c>
      <c r="V492" s="4" t="str">
        <f>'Form responses 1'!AI494</f>
        <v/>
      </c>
      <c r="W492" s="4" t="str">
        <f>'Form responses 1'!AJ494</f>
        <v/>
      </c>
      <c r="X492" s="4" t="str">
        <f>'Form responses 1'!AK494</f>
        <v/>
      </c>
      <c r="Y492" s="4">
        <f t="shared" ref="Y492:AD492" si="491">if(S492&gt;0,1,0)</f>
        <v>0</v>
      </c>
      <c r="Z492" s="4">
        <f t="shared" si="491"/>
        <v>0</v>
      </c>
      <c r="AA492" s="4">
        <f t="shared" si="491"/>
        <v>0</v>
      </c>
      <c r="AB492" s="4">
        <f t="shared" si="491"/>
        <v>0</v>
      </c>
      <c r="AC492" s="4">
        <f t="shared" si="491"/>
        <v>0</v>
      </c>
      <c r="AD492" s="4">
        <f t="shared" si="491"/>
        <v>0</v>
      </c>
      <c r="AE492" s="4" t="str">
        <f>'Form responses 1'!AN494</f>
        <v/>
      </c>
      <c r="AF492" s="4" t="str">
        <f>'Form responses 1'!AO494</f>
        <v/>
      </c>
      <c r="AG492" s="4" t="str">
        <f>'Form responses 1'!AP494</f>
        <v/>
      </c>
      <c r="AH492" s="4" t="str">
        <f>'Form responses 1'!AQ494</f>
        <v/>
      </c>
      <c r="AI492" s="4" t="str">
        <f>'Form responses 1'!AR494</f>
        <v/>
      </c>
    </row>
    <row r="493">
      <c r="A493" s="26">
        <f>'Form responses 1'!B495</f>
        <v>46069</v>
      </c>
      <c r="B493" s="4" t="str">
        <f>'Form responses 1'!AZ495</f>
        <v>amit.kaler@capsdelivery.com</v>
      </c>
      <c r="C493" s="4" t="str">
        <f>'Form responses 1'!BR495</f>
        <v>The Yellow Straw</v>
      </c>
      <c r="D493" s="4" t="str">
        <f>'Form responses 1'!AT495</f>
        <v>Call Mr. Ameer</v>
      </c>
      <c r="E493" s="4" t="str">
        <f>'Form responses 1'!AU495</f>
        <v>Yes</v>
      </c>
      <c r="F493" s="26">
        <f>'Form responses 1'!AX495</f>
        <v>46071</v>
      </c>
      <c r="G493" s="52">
        <f>'Form responses 1'!AY495</f>
        <v>0.5</v>
      </c>
      <c r="H493" s="53" t="str">
        <f>'Form responses 1'!AW495</f>
        <v>Call Mr. Ameer</v>
      </c>
      <c r="I493" s="4" t="str">
        <f>'Form responses 1'!AS495</f>
        <v/>
      </c>
      <c r="J493" s="4" t="str">
        <f>'Form responses 1'!J495</f>
        <v>Tier-2 (AOV &lt;400)</v>
      </c>
      <c r="K493" s="4">
        <f>'Form responses 1'!G495</f>
        <v>300</v>
      </c>
      <c r="L493" s="4">
        <f>'Form responses 1'!F495</f>
        <v>1</v>
      </c>
      <c r="M493" s="4" t="str">
        <f>'Form responses 1'!U495</f>
        <v>Ameer (Area Manager)</v>
      </c>
      <c r="N493" s="4">
        <f>'Form responses 1'!V495</f>
        <v>8639535389</v>
      </c>
      <c r="O493" s="4" t="str">
        <f>'Form responses 1'!W495</f>
        <v>Na</v>
      </c>
      <c r="P493" s="4" t="str">
        <f>'Form responses 1'!X495</f>
        <v>Brijesh Kumar</v>
      </c>
      <c r="Q493" s="4">
        <f>'Form responses 1'!Y495</f>
        <v>6290172851</v>
      </c>
      <c r="R493" s="4" t="str">
        <f>'Form responses 1'!Z495</f>
        <v/>
      </c>
      <c r="S493" s="4" t="str">
        <f>'Form responses 1'!AC495</f>
        <v/>
      </c>
      <c r="T493" s="4" t="str">
        <f>'Form responses 1'!AE495</f>
        <v/>
      </c>
      <c r="U493" s="4" t="str">
        <f>'Form responses 1'!AG495</f>
        <v/>
      </c>
      <c r="V493" s="4" t="str">
        <f>'Form responses 1'!AI495</f>
        <v/>
      </c>
      <c r="W493" s="4" t="str">
        <f>'Form responses 1'!AJ495</f>
        <v/>
      </c>
      <c r="X493" s="4" t="str">
        <f>'Form responses 1'!AK495</f>
        <v/>
      </c>
      <c r="Y493" s="4">
        <f t="shared" ref="Y493:AD493" si="492">if(S493&gt;0,1,0)</f>
        <v>0</v>
      </c>
      <c r="Z493" s="4">
        <f t="shared" si="492"/>
        <v>0</v>
      </c>
      <c r="AA493" s="4">
        <f t="shared" si="492"/>
        <v>0</v>
      </c>
      <c r="AB493" s="4">
        <f t="shared" si="492"/>
        <v>0</v>
      </c>
      <c r="AC493" s="4">
        <f t="shared" si="492"/>
        <v>0</v>
      </c>
      <c r="AD493" s="4">
        <f t="shared" si="492"/>
        <v>0</v>
      </c>
      <c r="AE493" s="4" t="str">
        <f>'Form responses 1'!AN495</f>
        <v/>
      </c>
      <c r="AF493" s="4" t="str">
        <f>'Form responses 1'!AO495</f>
        <v/>
      </c>
      <c r="AG493" s="4" t="str">
        <f>'Form responses 1'!AP495</f>
        <v/>
      </c>
      <c r="AH493" s="4" t="str">
        <f>'Form responses 1'!AQ495</f>
        <v/>
      </c>
      <c r="AI493" s="4" t="str">
        <f>'Form responses 1'!AR495</f>
        <v/>
      </c>
    </row>
    <row r="494">
      <c r="A494" s="26">
        <f>'Form responses 1'!B496</f>
        <v>46069</v>
      </c>
      <c r="B494" s="4" t="str">
        <f>'Form responses 1'!AZ496</f>
        <v>amit.kaler@capsdelivery.com</v>
      </c>
      <c r="C494" s="4" t="str">
        <f>'Form responses 1'!BR496</f>
        <v>AM AHA</v>
      </c>
      <c r="D494" s="4" t="str">
        <f>'Form responses 1'!AT496</f>
        <v>Call Mr. Laxman</v>
      </c>
      <c r="E494" s="4" t="str">
        <f>'Form responses 1'!AU496</f>
        <v>Yes</v>
      </c>
      <c r="F494" s="26">
        <f>'Form responses 1'!AX496</f>
        <v>46071</v>
      </c>
      <c r="G494" s="52">
        <f>'Form responses 1'!AY496</f>
        <v>0.5</v>
      </c>
      <c r="H494" s="53" t="str">
        <f>'Form responses 1'!AW496</f>
        <v>Call Mr. Laxman</v>
      </c>
      <c r="I494" s="4" t="str">
        <f>'Form responses 1'!AS496</f>
        <v/>
      </c>
      <c r="J494" s="4" t="str">
        <f>'Form responses 1'!J496</f>
        <v>Tier-1(AOV&gt;400)</v>
      </c>
      <c r="K494" s="4">
        <f>'Form responses 1'!G496</f>
        <v>1200</v>
      </c>
      <c r="L494" s="4">
        <f>'Form responses 1'!F496</f>
        <v>130</v>
      </c>
      <c r="M494" s="4" t="str">
        <f>'Form responses 1'!U496</f>
        <v>Mr. Laxman</v>
      </c>
      <c r="N494" s="4">
        <f>'Form responses 1'!V496</f>
        <v>7093369917</v>
      </c>
      <c r="O494" s="4" t="str">
        <f>'Form responses 1'!W496</f>
        <v>Na</v>
      </c>
      <c r="P494" s="4" t="str">
        <f>'Form responses 1'!X496</f>
        <v>reference given by Miss Sandhya</v>
      </c>
      <c r="Q494" s="4" t="str">
        <f>'Form responses 1'!Y496</f>
        <v/>
      </c>
      <c r="R494" s="4" t="str">
        <f>'Form responses 1'!Z496</f>
        <v/>
      </c>
      <c r="S494" s="4" t="str">
        <f>'Form responses 1'!AC496</f>
        <v/>
      </c>
      <c r="T494" s="4" t="str">
        <f>'Form responses 1'!AE496</f>
        <v/>
      </c>
      <c r="U494" s="4" t="str">
        <f>'Form responses 1'!AG496</f>
        <v/>
      </c>
      <c r="V494" s="4" t="str">
        <f>'Form responses 1'!AI496</f>
        <v/>
      </c>
      <c r="W494" s="4" t="str">
        <f>'Form responses 1'!AJ496</f>
        <v/>
      </c>
      <c r="X494" s="4" t="str">
        <f>'Form responses 1'!AK496</f>
        <v/>
      </c>
      <c r="Y494" s="4">
        <f t="shared" ref="Y494:AD494" si="493">if(S494&gt;0,1,0)</f>
        <v>0</v>
      </c>
      <c r="Z494" s="4">
        <f t="shared" si="493"/>
        <v>0</v>
      </c>
      <c r="AA494" s="4">
        <f t="shared" si="493"/>
        <v>0</v>
      </c>
      <c r="AB494" s="4">
        <f t="shared" si="493"/>
        <v>0</v>
      </c>
      <c r="AC494" s="4">
        <f t="shared" si="493"/>
        <v>0</v>
      </c>
      <c r="AD494" s="4">
        <f t="shared" si="493"/>
        <v>0</v>
      </c>
      <c r="AE494" s="4" t="str">
        <f>'Form responses 1'!AN496</f>
        <v/>
      </c>
      <c r="AF494" s="4" t="str">
        <f>'Form responses 1'!AO496</f>
        <v/>
      </c>
      <c r="AG494" s="4" t="str">
        <f>'Form responses 1'!AP496</f>
        <v/>
      </c>
      <c r="AH494" s="4" t="str">
        <f>'Form responses 1'!AQ496</f>
        <v/>
      </c>
      <c r="AI494" s="4" t="str">
        <f>'Form responses 1'!AR496</f>
        <v/>
      </c>
    </row>
    <row r="495">
      <c r="A495" s="26">
        <f>'Form responses 1'!B497</f>
        <v>46069</v>
      </c>
      <c r="B495" s="4" t="str">
        <f>'Form responses 1'!AZ497</f>
        <v>amit.kaler@capsdelivery.com</v>
      </c>
      <c r="C495" s="4" t="str">
        <f>'Form responses 1'!BR497</f>
        <v>Amnesia Sky Bar</v>
      </c>
      <c r="D495" s="4" t="str">
        <f>'Form responses 1'!AT497</f>
        <v>Meet after calling Mr. Pasha</v>
      </c>
      <c r="E495" s="4" t="str">
        <f>'Form responses 1'!AU497</f>
        <v>Yes</v>
      </c>
      <c r="F495" s="26">
        <f>'Form responses 1'!AX497</f>
        <v>46071</v>
      </c>
      <c r="G495" s="52">
        <f>'Form responses 1'!AY497</f>
        <v>0.6666666667</v>
      </c>
      <c r="H495" s="53" t="str">
        <f>'Form responses 1'!AW497</f>
        <v>Meet Mr, Pasha post 4 pm on Wednesday</v>
      </c>
      <c r="I495" s="4" t="str">
        <f>'Form responses 1'!AS497</f>
        <v/>
      </c>
      <c r="J495" s="4" t="str">
        <f>'Form responses 1'!J497</f>
        <v>Tier-1(AOV&gt;400)</v>
      </c>
      <c r="K495" s="4">
        <f>'Form responses 1'!G497</f>
        <v>550</v>
      </c>
      <c r="L495" s="4">
        <f>'Form responses 1'!F497</f>
        <v>700</v>
      </c>
      <c r="M495" s="4" t="str">
        <f>'Form responses 1'!U497</f>
        <v>Mr. Pasha</v>
      </c>
      <c r="N495" s="4">
        <f>'Form responses 1'!V497</f>
        <v>7731019977</v>
      </c>
      <c r="O495" s="4" t="str">
        <f>'Form responses 1'!W497</f>
        <v>NA</v>
      </c>
      <c r="P495" s="4" t="str">
        <f>'Form responses 1'!X497</f>
        <v>Mr. Sahoo</v>
      </c>
      <c r="Q495" s="4">
        <f>'Form responses 1'!Y497</f>
        <v>7731019988</v>
      </c>
      <c r="R495" s="4" t="str">
        <f>'Form responses 1'!Z497</f>
        <v/>
      </c>
      <c r="S495" s="4" t="str">
        <f>'Form responses 1'!AC497</f>
        <v/>
      </c>
      <c r="T495" s="4" t="str">
        <f>'Form responses 1'!AE497</f>
        <v/>
      </c>
      <c r="U495" s="4" t="str">
        <f>'Form responses 1'!AG497</f>
        <v/>
      </c>
      <c r="V495" s="4" t="str">
        <f>'Form responses 1'!AI497</f>
        <v/>
      </c>
      <c r="W495" s="4" t="str">
        <f>'Form responses 1'!AJ497</f>
        <v/>
      </c>
      <c r="X495" s="4" t="str">
        <f>'Form responses 1'!AK497</f>
        <v/>
      </c>
      <c r="Y495" s="4">
        <f t="shared" ref="Y495:AD495" si="494">if(S495&gt;0,1,0)</f>
        <v>0</v>
      </c>
      <c r="Z495" s="4">
        <f t="shared" si="494"/>
        <v>0</v>
      </c>
      <c r="AA495" s="4">
        <f t="shared" si="494"/>
        <v>0</v>
      </c>
      <c r="AB495" s="4">
        <f t="shared" si="494"/>
        <v>0</v>
      </c>
      <c r="AC495" s="4">
        <f t="shared" si="494"/>
        <v>0</v>
      </c>
      <c r="AD495" s="4">
        <f t="shared" si="494"/>
        <v>0</v>
      </c>
      <c r="AE495" s="4" t="str">
        <f>'Form responses 1'!AN497</f>
        <v/>
      </c>
      <c r="AF495" s="4" t="str">
        <f>'Form responses 1'!AO497</f>
        <v/>
      </c>
      <c r="AG495" s="4" t="str">
        <f>'Form responses 1'!AP497</f>
        <v/>
      </c>
      <c r="AH495" s="4" t="str">
        <f>'Form responses 1'!AQ497</f>
        <v/>
      </c>
      <c r="AI495" s="4" t="str">
        <f>'Form responses 1'!AR497</f>
        <v/>
      </c>
    </row>
    <row r="496">
      <c r="A496" s="26">
        <f>'Form responses 1'!B498</f>
        <v>46069</v>
      </c>
      <c r="B496" s="4" t="str">
        <f>'Form responses 1'!AZ498</f>
        <v>amit.kaler@capsdelivery.com</v>
      </c>
      <c r="C496" s="4" t="str">
        <f>'Form responses 1'!BR498</f>
        <v>Absolute Barbeque</v>
      </c>
      <c r="D496" s="4" t="str">
        <f>'Form responses 1'!AT498</f>
        <v>Doing 12-13 L daily revenue over all branches with Swiggy and Zomato. Maximum sale is of Combo Box : AOV 1200. Ala carte 500</v>
      </c>
      <c r="E496" s="4" t="str">
        <f>'Form responses 1'!AU498</f>
        <v>Yes</v>
      </c>
      <c r="F496" s="26">
        <f>'Form responses 1'!AX498</f>
        <v>46071</v>
      </c>
      <c r="G496" s="52">
        <f>'Form responses 1'!AY498</f>
        <v>0.5833333333</v>
      </c>
      <c r="H496" s="53" t="str">
        <f>'Form responses 1'!AW498</f>
        <v>Call Mr. Suraj</v>
      </c>
      <c r="I496" s="4" t="str">
        <f>'Form responses 1'!AS498</f>
        <v/>
      </c>
      <c r="J496" s="4" t="str">
        <f>'Form responses 1'!J498</f>
        <v>Tier-1(AOV&gt;400)</v>
      </c>
      <c r="K496" s="4">
        <f>'Form responses 1'!G498</f>
        <v>1200</v>
      </c>
      <c r="L496" s="4">
        <f>'Form responses 1'!F498</f>
        <v>150</v>
      </c>
      <c r="M496" s="4" t="str">
        <f>'Form responses 1'!U498</f>
        <v>Mr. Suraj (Territory Manager)</v>
      </c>
      <c r="N496" s="4">
        <f>'Form responses 1'!V498</f>
        <v>9907958581</v>
      </c>
      <c r="O496" s="4" t="str">
        <f>'Form responses 1'!W498</f>
        <v>NA</v>
      </c>
      <c r="P496" s="4" t="str">
        <f>'Form responses 1'!X498</f>
        <v>Kabir (Shift Manager)</v>
      </c>
      <c r="Q496" s="4">
        <f>'Form responses 1'!Y498</f>
        <v>9121165812</v>
      </c>
      <c r="R496" s="4" t="str">
        <f>'Form responses 1'!Z498</f>
        <v/>
      </c>
      <c r="S496" s="4" t="str">
        <f>'Form responses 1'!AC498</f>
        <v/>
      </c>
      <c r="T496" s="4" t="str">
        <f>'Form responses 1'!AE498</f>
        <v/>
      </c>
      <c r="U496" s="4" t="str">
        <f>'Form responses 1'!AG498</f>
        <v/>
      </c>
      <c r="V496" s="4" t="str">
        <f>'Form responses 1'!AI498</f>
        <v/>
      </c>
      <c r="W496" s="4" t="str">
        <f>'Form responses 1'!AJ498</f>
        <v/>
      </c>
      <c r="X496" s="4" t="str">
        <f>'Form responses 1'!AK498</f>
        <v/>
      </c>
      <c r="Y496" s="4">
        <f t="shared" ref="Y496:AD496" si="495">if(S496&gt;0,1,0)</f>
        <v>0</v>
      </c>
      <c r="Z496" s="4">
        <f t="shared" si="495"/>
        <v>0</v>
      </c>
      <c r="AA496" s="4">
        <f t="shared" si="495"/>
        <v>0</v>
      </c>
      <c r="AB496" s="4">
        <f t="shared" si="495"/>
        <v>0</v>
      </c>
      <c r="AC496" s="4">
        <f t="shared" si="495"/>
        <v>0</v>
      </c>
      <c r="AD496" s="4">
        <f t="shared" si="495"/>
        <v>0</v>
      </c>
      <c r="AE496" s="4" t="str">
        <f>'Form responses 1'!AN498</f>
        <v/>
      </c>
      <c r="AF496" s="4" t="str">
        <f>'Form responses 1'!AO498</f>
        <v/>
      </c>
      <c r="AG496" s="4" t="str">
        <f>'Form responses 1'!AP498</f>
        <v/>
      </c>
      <c r="AH496" s="4" t="str">
        <f>'Form responses 1'!AQ498</f>
        <v/>
      </c>
      <c r="AI496" s="4" t="str">
        <f>'Form responses 1'!AR498</f>
        <v/>
      </c>
    </row>
    <row r="497">
      <c r="A497" s="26">
        <f>'Form responses 1'!B499</f>
        <v>46069</v>
      </c>
      <c r="B497" s="4" t="str">
        <f>'Form responses 1'!AZ499</f>
        <v>amit.kaler@capsdelivery.com</v>
      </c>
      <c r="C497" s="4" t="str">
        <f>'Form responses 1'!BR499</f>
        <v>Game Palacio</v>
      </c>
      <c r="D497" s="4" t="str">
        <f>'Form responses 1'!AT499</f>
        <v>Not available on Swiggy and Zomato looking for onboarding on online delivery platform, 19 outlets Pan India . Mr. Reeshav is the Business Head handle lead with care</v>
      </c>
      <c r="E497" s="4" t="str">
        <f>'Form responses 1'!AU499</f>
        <v>Yes</v>
      </c>
      <c r="F497" s="26">
        <f>'Form responses 1'!AX499</f>
        <v>46071</v>
      </c>
      <c r="G497" s="52">
        <f>'Form responses 1'!AY499</f>
        <v>0.5833333333</v>
      </c>
      <c r="H497" s="53" t="str">
        <f>'Form responses 1'!AW499</f>
        <v>Message Mr. Reeshav get appointment, share proposal on Email</v>
      </c>
      <c r="I497" s="4" t="str">
        <f>'Form responses 1'!AS499</f>
        <v/>
      </c>
      <c r="J497" s="4" t="str">
        <f>'Form responses 1'!J499</f>
        <v>Tier-1(AOV&gt;400)</v>
      </c>
      <c r="K497" s="4">
        <f>'Form responses 1'!G499</f>
        <v>1500</v>
      </c>
      <c r="L497" s="4">
        <f>'Form responses 1'!F499</f>
        <v>230</v>
      </c>
      <c r="M497" s="4" t="str">
        <f>'Form responses 1'!U499</f>
        <v>Mr. Reeshav (Business Head)</v>
      </c>
      <c r="N497" s="4">
        <f>'Form responses 1'!V499</f>
        <v>9867122223</v>
      </c>
      <c r="O497" s="4" t="str">
        <f>'Form responses 1'!W499</f>
        <v>reeshav@pjhindia.com</v>
      </c>
      <c r="P497" s="4" t="str">
        <f>'Form responses 1'!X499</f>
        <v>Mr. Jeet</v>
      </c>
      <c r="Q497" s="4">
        <f>'Form responses 1'!Y499</f>
        <v>8099420329</v>
      </c>
      <c r="R497" s="4" t="str">
        <f>'Form responses 1'!Z499</f>
        <v/>
      </c>
      <c r="S497" s="4" t="str">
        <f>'Form responses 1'!AC499</f>
        <v/>
      </c>
      <c r="T497" s="4" t="str">
        <f>'Form responses 1'!AE499</f>
        <v/>
      </c>
      <c r="U497" s="4" t="str">
        <f>'Form responses 1'!AG499</f>
        <v/>
      </c>
      <c r="V497" s="4" t="str">
        <f>'Form responses 1'!AI499</f>
        <v/>
      </c>
      <c r="W497" s="4" t="str">
        <f>'Form responses 1'!AJ499</f>
        <v/>
      </c>
      <c r="X497" s="4" t="str">
        <f>'Form responses 1'!AK499</f>
        <v/>
      </c>
      <c r="Y497" s="4">
        <f t="shared" ref="Y497:AD497" si="496">if(S497&gt;0,1,0)</f>
        <v>0</v>
      </c>
      <c r="Z497" s="4">
        <f t="shared" si="496"/>
        <v>0</v>
      </c>
      <c r="AA497" s="4">
        <f t="shared" si="496"/>
        <v>0</v>
      </c>
      <c r="AB497" s="4">
        <f t="shared" si="496"/>
        <v>0</v>
      </c>
      <c r="AC497" s="4">
        <f t="shared" si="496"/>
        <v>0</v>
      </c>
      <c r="AD497" s="4">
        <f t="shared" si="496"/>
        <v>0</v>
      </c>
      <c r="AE497" s="4" t="str">
        <f>'Form responses 1'!AN499</f>
        <v/>
      </c>
      <c r="AF497" s="4" t="str">
        <f>'Form responses 1'!AO499</f>
        <v/>
      </c>
      <c r="AG497" s="4" t="str">
        <f>'Form responses 1'!AP499</f>
        <v/>
      </c>
      <c r="AH497" s="4" t="str">
        <f>'Form responses 1'!AQ499</f>
        <v/>
      </c>
      <c r="AI497" s="4" t="str">
        <f>'Form responses 1'!AR499</f>
        <v/>
      </c>
    </row>
    <row r="498">
      <c r="A498" s="26">
        <f>'Form responses 1'!B500</f>
        <v>46070</v>
      </c>
      <c r="B498" s="4" t="str">
        <f>'Form responses 1'!AZ500</f>
        <v>manisha.kumari@capsdelivery.com</v>
      </c>
      <c r="C498" s="4" t="str">
        <f>'Form responses 1'!BR500</f>
        <v>HaldiramsHaldirams</v>
      </c>
      <c r="D498" s="4" t="str">
        <f>'Form responses 1'!AT500</f>
        <v>Asked to share an email
AOV - 500
Seating capacity 60
Location- begumpet</v>
      </c>
      <c r="E498" s="4" t="str">
        <f>'Form responses 1'!AU500</f>
        <v>Yes</v>
      </c>
      <c r="F498" s="4" t="str">
        <f>'Form responses 1'!AX500</f>
        <v/>
      </c>
      <c r="G498" s="4" t="str">
        <f>'Form responses 1'!AY500</f>
        <v/>
      </c>
      <c r="H498" s="53" t="str">
        <f>'Form responses 1'!AW500</f>
        <v/>
      </c>
      <c r="I498" s="4" t="str">
        <f>'Form responses 1'!AS500</f>
        <v/>
      </c>
      <c r="J498" s="4" t="str">
        <f>'Form responses 1'!J500</f>
        <v>Tier-1(AOV&gt;400)</v>
      </c>
      <c r="K498" s="4">
        <f>'Form responses 1'!G500</f>
        <v>500</v>
      </c>
      <c r="L498" s="4">
        <f>'Form responses 1'!F500</f>
        <v>60</v>
      </c>
      <c r="M498" s="4" t="str">
        <f>'Form responses 1'!U500</f>
        <v>Sumit bajaj</v>
      </c>
      <c r="N498" s="4">
        <f>'Form responses 1'!V500</f>
        <v>8668045147</v>
      </c>
      <c r="O498" s="4" t="str">
        <f>'Form responses 1'!W500</f>
        <v>sumit.bajaj@haldirams.com</v>
      </c>
      <c r="P498" s="4" t="str">
        <f>'Form responses 1'!X500</f>
        <v/>
      </c>
      <c r="Q498" s="4" t="str">
        <f>'Form responses 1'!Y500</f>
        <v/>
      </c>
      <c r="R498" s="4" t="str">
        <f>'Form responses 1'!Z500</f>
        <v/>
      </c>
      <c r="S498" s="4" t="str">
        <f>'Form responses 1'!AC500</f>
        <v/>
      </c>
      <c r="T498" s="4" t="str">
        <f>'Form responses 1'!AE500</f>
        <v/>
      </c>
      <c r="U498" s="4" t="str">
        <f>'Form responses 1'!AG500</f>
        <v/>
      </c>
      <c r="V498" s="4" t="str">
        <f>'Form responses 1'!AI500</f>
        <v/>
      </c>
      <c r="W498" s="4" t="str">
        <f>'Form responses 1'!AJ500</f>
        <v/>
      </c>
      <c r="X498" s="4" t="str">
        <f>'Form responses 1'!AK500</f>
        <v/>
      </c>
      <c r="Y498" s="4">
        <f t="shared" ref="Y498:AD498" si="497">if(S498&gt;0,1,0)</f>
        <v>0</v>
      </c>
      <c r="Z498" s="4">
        <f t="shared" si="497"/>
        <v>0</v>
      </c>
      <c r="AA498" s="4">
        <f t="shared" si="497"/>
        <v>0</v>
      </c>
      <c r="AB498" s="4">
        <f t="shared" si="497"/>
        <v>0</v>
      </c>
      <c r="AC498" s="4">
        <f t="shared" si="497"/>
        <v>0</v>
      </c>
      <c r="AD498" s="4">
        <f t="shared" si="497"/>
        <v>0</v>
      </c>
      <c r="AE498" s="4" t="str">
        <f>'Form responses 1'!AN500</f>
        <v/>
      </c>
      <c r="AF498" s="4" t="str">
        <f>'Form responses 1'!AO500</f>
        <v/>
      </c>
      <c r="AG498" s="4" t="str">
        <f>'Form responses 1'!AP500</f>
        <v/>
      </c>
      <c r="AH498" s="4" t="str">
        <f>'Form responses 1'!AQ500</f>
        <v/>
      </c>
      <c r="AI498" s="4" t="str">
        <f>'Form responses 1'!AR500</f>
        <v/>
      </c>
    </row>
    <row r="499">
      <c r="A499" s="26">
        <f>'Form responses 1'!B501</f>
        <v>46070</v>
      </c>
      <c r="B499" s="4" t="str">
        <f>'Form responses 1'!AZ501</f>
        <v>manisha.kumari@capsdelivery.com</v>
      </c>
      <c r="C499" s="4" t="str">
        <f>'Form responses 1'!BR501</f>
        <v>Almond HouseAlmond House</v>
      </c>
      <c r="D499" s="4" t="str">
        <f>'Form responses 1'!AT501</f>
        <v>Dinesh 
Sits in Kukatpally branch
Asked to share the proposal on email. He will be sharing his email ID shortly</v>
      </c>
      <c r="E499" s="4" t="str">
        <f>'Form responses 1'!AU501</f>
        <v>Yes</v>
      </c>
      <c r="F499" s="4" t="str">
        <f>'Form responses 1'!AX501</f>
        <v/>
      </c>
      <c r="G499" s="4" t="str">
        <f>'Form responses 1'!AY501</f>
        <v/>
      </c>
      <c r="H499" s="53" t="str">
        <f>'Form responses 1'!AW501</f>
        <v/>
      </c>
      <c r="I499" s="4" t="str">
        <f>'Form responses 1'!AS501</f>
        <v/>
      </c>
      <c r="J499" s="4" t="str">
        <f>'Form responses 1'!J501</f>
        <v>Tier-1(AOV&gt;400)</v>
      </c>
      <c r="K499" s="4">
        <f>'Form responses 1'!G501</f>
        <v>450</v>
      </c>
      <c r="L499" s="4">
        <f>'Form responses 1'!F501</f>
        <v>40</v>
      </c>
      <c r="M499" s="4" t="str">
        <f>'Form responses 1'!U501</f>
        <v>Dinesh </v>
      </c>
      <c r="N499" s="4">
        <f>'Form responses 1'!V501</f>
        <v>9967535945</v>
      </c>
      <c r="O499" s="4" t="str">
        <f>'Form responses 1'!W501</f>
        <v>NA</v>
      </c>
      <c r="P499" s="4" t="str">
        <f>'Form responses 1'!X501</f>
        <v/>
      </c>
      <c r="Q499" s="4" t="str">
        <f>'Form responses 1'!Y501</f>
        <v/>
      </c>
      <c r="R499" s="4" t="str">
        <f>'Form responses 1'!Z501</f>
        <v/>
      </c>
      <c r="S499" s="4" t="str">
        <f>'Form responses 1'!AC501</f>
        <v/>
      </c>
      <c r="T499" s="4" t="str">
        <f>'Form responses 1'!AE501</f>
        <v/>
      </c>
      <c r="U499" s="4" t="str">
        <f>'Form responses 1'!AG501</f>
        <v/>
      </c>
      <c r="V499" s="4" t="str">
        <f>'Form responses 1'!AI501</f>
        <v/>
      </c>
      <c r="W499" s="4" t="str">
        <f>'Form responses 1'!AJ501</f>
        <v/>
      </c>
      <c r="X499" s="4" t="str">
        <f>'Form responses 1'!AK501</f>
        <v/>
      </c>
      <c r="Y499" s="4">
        <f t="shared" ref="Y499:AD499" si="498">if(S499&gt;0,1,0)</f>
        <v>0</v>
      </c>
      <c r="Z499" s="4">
        <f t="shared" si="498"/>
        <v>0</v>
      </c>
      <c r="AA499" s="4">
        <f t="shared" si="498"/>
        <v>0</v>
      </c>
      <c r="AB499" s="4">
        <f t="shared" si="498"/>
        <v>0</v>
      </c>
      <c r="AC499" s="4">
        <f t="shared" si="498"/>
        <v>0</v>
      </c>
      <c r="AD499" s="4">
        <f t="shared" si="498"/>
        <v>0</v>
      </c>
      <c r="AE499" s="4" t="str">
        <f>'Form responses 1'!AN501</f>
        <v/>
      </c>
      <c r="AF499" s="4" t="str">
        <f>'Form responses 1'!AO501</f>
        <v/>
      </c>
      <c r="AG499" s="4" t="str">
        <f>'Form responses 1'!AP501</f>
        <v/>
      </c>
      <c r="AH499" s="4" t="str">
        <f>'Form responses 1'!AQ501</f>
        <v/>
      </c>
      <c r="AI499" s="4" t="str">
        <f>'Form responses 1'!AR501</f>
        <v/>
      </c>
    </row>
    <row r="500">
      <c r="A500" s="26">
        <f>'Form responses 1'!B502</f>
        <v>46070</v>
      </c>
      <c r="B500" s="4" t="str">
        <f>'Form responses 1'!AZ502</f>
        <v>manisha.kumari@capsdelivery.com</v>
      </c>
      <c r="C500" s="4" t="str">
        <f>'Form responses 1'!BR502</f>
        <v>MezbaanMezbaan</v>
      </c>
      <c r="D500" s="4" t="str">
        <f>'Form responses 1'!AT502</f>
        <v>Owner not available today as he is busy in court case. POC will give me a call tomorrow once the owner comes</v>
      </c>
      <c r="E500" s="4" t="str">
        <f>'Form responses 1'!AU502</f>
        <v>Yes</v>
      </c>
      <c r="F500" s="4" t="str">
        <f>'Form responses 1'!AX502</f>
        <v/>
      </c>
      <c r="G500" s="4" t="str">
        <f>'Form responses 1'!AY502</f>
        <v/>
      </c>
      <c r="H500" s="53" t="str">
        <f>'Form responses 1'!AW502</f>
        <v/>
      </c>
      <c r="I500" s="4" t="str">
        <f>'Form responses 1'!AS502</f>
        <v/>
      </c>
      <c r="J500" s="4" t="str">
        <f>'Form responses 1'!J502</f>
        <v>Tier-1(AOV&gt;400)</v>
      </c>
      <c r="K500" s="4">
        <f>'Form responses 1'!G502</f>
        <v>500</v>
      </c>
      <c r="L500" s="4">
        <f>'Form responses 1'!F502</f>
        <v>40</v>
      </c>
      <c r="M500" s="4" t="str">
        <f>'Form responses 1'!U502</f>
        <v>gopal </v>
      </c>
      <c r="N500" s="4">
        <f>'Form responses 1'!V502</f>
        <v>9100009426</v>
      </c>
      <c r="O500" s="4" t="str">
        <f>'Form responses 1'!W502</f>
        <v>NA</v>
      </c>
      <c r="P500" s="4" t="str">
        <f>'Form responses 1'!X502</f>
        <v/>
      </c>
      <c r="Q500" s="4" t="str">
        <f>'Form responses 1'!Y502</f>
        <v/>
      </c>
      <c r="R500" s="4" t="str">
        <f>'Form responses 1'!Z502</f>
        <v/>
      </c>
      <c r="S500" s="4" t="str">
        <f>'Form responses 1'!AC502</f>
        <v/>
      </c>
      <c r="T500" s="4" t="str">
        <f>'Form responses 1'!AE502</f>
        <v/>
      </c>
      <c r="U500" s="4" t="str">
        <f>'Form responses 1'!AG502</f>
        <v/>
      </c>
      <c r="V500" s="4" t="str">
        <f>'Form responses 1'!AI502</f>
        <v/>
      </c>
      <c r="W500" s="4" t="str">
        <f>'Form responses 1'!AJ502</f>
        <v/>
      </c>
      <c r="X500" s="4" t="str">
        <f>'Form responses 1'!AK502</f>
        <v/>
      </c>
      <c r="Y500" s="4">
        <f t="shared" ref="Y500:AD500" si="499">if(S500&gt;0,1,0)</f>
        <v>0</v>
      </c>
      <c r="Z500" s="4">
        <f t="shared" si="499"/>
        <v>0</v>
      </c>
      <c r="AA500" s="4">
        <f t="shared" si="499"/>
        <v>0</v>
      </c>
      <c r="AB500" s="4">
        <f t="shared" si="499"/>
        <v>0</v>
      </c>
      <c r="AC500" s="4">
        <f t="shared" si="499"/>
        <v>0</v>
      </c>
      <c r="AD500" s="4">
        <f t="shared" si="499"/>
        <v>0</v>
      </c>
      <c r="AE500" s="4" t="str">
        <f>'Form responses 1'!AN502</f>
        <v/>
      </c>
      <c r="AF500" s="4" t="str">
        <f>'Form responses 1'!AO502</f>
        <v/>
      </c>
      <c r="AG500" s="4" t="str">
        <f>'Form responses 1'!AP502</f>
        <v/>
      </c>
      <c r="AH500" s="4" t="str">
        <f>'Form responses 1'!AQ502</f>
        <v/>
      </c>
      <c r="AI500" s="4" t="str">
        <f>'Form responses 1'!AR502</f>
        <v/>
      </c>
    </row>
    <row r="501">
      <c r="A501" s="26">
        <f>'Form responses 1'!B503</f>
        <v>46070</v>
      </c>
      <c r="B501" s="4" t="str">
        <f>'Form responses 1'!AZ503</f>
        <v>manisha.kumari@capsdelivery.com</v>
      </c>
      <c r="C501" s="4" t="str">
        <f>'Form responses 1'!BR503</f>
        <v>PeshawarPeshawar</v>
      </c>
      <c r="D501" s="4" t="str">
        <f>'Form responses 1'!AT503</f>
        <v>Seating capacity - 50
AOV - 300
Asked to share the proposal on WhatsApp after that he will connect us with the concerned person</v>
      </c>
      <c r="E501" s="4" t="str">
        <f>'Form responses 1'!AU503</f>
        <v>Yes</v>
      </c>
      <c r="F501" s="4" t="str">
        <f>'Form responses 1'!AX503</f>
        <v/>
      </c>
      <c r="G501" s="4" t="str">
        <f>'Form responses 1'!AY503</f>
        <v/>
      </c>
      <c r="H501" s="53" t="str">
        <f>'Form responses 1'!AW503</f>
        <v/>
      </c>
      <c r="I501" s="4" t="str">
        <f>'Form responses 1'!AS503</f>
        <v/>
      </c>
      <c r="J501" s="4" t="str">
        <f>'Form responses 1'!J503</f>
        <v>Tier-2 (AOV &lt;400)</v>
      </c>
      <c r="K501" s="4">
        <f>'Form responses 1'!G503</f>
        <v>300</v>
      </c>
      <c r="L501" s="4">
        <f>'Form responses 1'!F503</f>
        <v>50</v>
      </c>
      <c r="M501" s="4" t="str">
        <f>'Form responses 1'!U503</f>
        <v>zia</v>
      </c>
      <c r="N501" s="4" t="str">
        <f>'Form responses 1'!V503</f>
        <v>90143 87137</v>
      </c>
      <c r="O501" s="4" t="str">
        <f>'Form responses 1'!W503</f>
        <v>NA</v>
      </c>
      <c r="P501" s="4" t="str">
        <f>'Form responses 1'!X503</f>
        <v/>
      </c>
      <c r="Q501" s="4" t="str">
        <f>'Form responses 1'!Y503</f>
        <v/>
      </c>
      <c r="R501" s="4" t="str">
        <f>'Form responses 1'!Z503</f>
        <v/>
      </c>
      <c r="S501" s="4" t="str">
        <f>'Form responses 1'!AC503</f>
        <v/>
      </c>
      <c r="T501" s="4" t="str">
        <f>'Form responses 1'!AE503</f>
        <v/>
      </c>
      <c r="U501" s="4" t="str">
        <f>'Form responses 1'!AG503</f>
        <v/>
      </c>
      <c r="V501" s="4" t="str">
        <f>'Form responses 1'!AI503</f>
        <v/>
      </c>
      <c r="W501" s="4" t="str">
        <f>'Form responses 1'!AJ503</f>
        <v/>
      </c>
      <c r="X501" s="4" t="str">
        <f>'Form responses 1'!AK503</f>
        <v/>
      </c>
      <c r="Y501" s="4">
        <f t="shared" ref="Y501:AD501" si="500">if(S501&gt;0,1,0)</f>
        <v>0</v>
      </c>
      <c r="Z501" s="4">
        <f t="shared" si="500"/>
        <v>0</v>
      </c>
      <c r="AA501" s="4">
        <f t="shared" si="500"/>
        <v>0</v>
      </c>
      <c r="AB501" s="4">
        <f t="shared" si="500"/>
        <v>0</v>
      </c>
      <c r="AC501" s="4">
        <f t="shared" si="500"/>
        <v>0</v>
      </c>
      <c r="AD501" s="4">
        <f t="shared" si="500"/>
        <v>0</v>
      </c>
      <c r="AE501" s="4" t="str">
        <f>'Form responses 1'!AN503</f>
        <v/>
      </c>
      <c r="AF501" s="4" t="str">
        <f>'Form responses 1'!AO503</f>
        <v/>
      </c>
      <c r="AG501" s="4" t="str">
        <f>'Form responses 1'!AP503</f>
        <v/>
      </c>
      <c r="AH501" s="4" t="str">
        <f>'Form responses 1'!AQ503</f>
        <v/>
      </c>
      <c r="AI501" s="4" t="str">
        <f>'Form responses 1'!AR503</f>
        <v/>
      </c>
    </row>
    <row r="502">
      <c r="A502" s="26">
        <f>'Form responses 1'!B504</f>
        <v>46070</v>
      </c>
      <c r="B502" s="4" t="str">
        <f>'Form responses 1'!AZ504</f>
        <v>manisha.kumari@capsdelivery.com</v>
      </c>
      <c r="C502" s="4" t="str">
        <f>'Form responses 1'!BR504</f>
        <v>Organic creameryOrganic Creamery</v>
      </c>
      <c r="D502" s="4" t="str">
        <f>'Form responses 1'!AT504</f>
        <v>have 7 outlets in HYD and 2 in Vinaywada Asked call after 5pm as he in a night shift</v>
      </c>
      <c r="E502" s="4" t="str">
        <f>'Form responses 1'!AU504</f>
        <v>Yes</v>
      </c>
      <c r="F502" s="4" t="str">
        <f>'Form responses 1'!AX504</f>
        <v/>
      </c>
      <c r="G502" s="4" t="str">
        <f>'Form responses 1'!AY504</f>
        <v/>
      </c>
      <c r="H502" s="53" t="str">
        <f>'Form responses 1'!AW504</f>
        <v/>
      </c>
      <c r="I502" s="4" t="str">
        <f>'Form responses 1'!AS504</f>
        <v/>
      </c>
      <c r="J502" s="4" t="str">
        <f>'Form responses 1'!J504</f>
        <v>Tier-2 (AOV &lt;400)</v>
      </c>
      <c r="K502" s="4">
        <f>'Form responses 1'!G504</f>
        <v>350</v>
      </c>
      <c r="L502" s="4">
        <f>'Form responses 1'!F504</f>
        <v>12</v>
      </c>
      <c r="M502" s="4" t="str">
        <f>'Form responses 1'!U504</f>
        <v>Santosh </v>
      </c>
      <c r="N502" s="4">
        <f>'Form responses 1'!V504</f>
        <v>8074742850</v>
      </c>
      <c r="O502" s="4" t="str">
        <f>'Form responses 1'!W504</f>
        <v>NA</v>
      </c>
      <c r="P502" s="4" t="str">
        <f>'Form responses 1'!X504</f>
        <v/>
      </c>
      <c r="Q502" s="4" t="str">
        <f>'Form responses 1'!Y504</f>
        <v/>
      </c>
      <c r="R502" s="4" t="str">
        <f>'Form responses 1'!Z504</f>
        <v/>
      </c>
      <c r="S502" s="4" t="str">
        <f>'Form responses 1'!AC504</f>
        <v/>
      </c>
      <c r="T502" s="4" t="str">
        <f>'Form responses 1'!AE504</f>
        <v/>
      </c>
      <c r="U502" s="4" t="str">
        <f>'Form responses 1'!AG504</f>
        <v/>
      </c>
      <c r="V502" s="4" t="str">
        <f>'Form responses 1'!AI504</f>
        <v/>
      </c>
      <c r="W502" s="4" t="str">
        <f>'Form responses 1'!AJ504</f>
        <v/>
      </c>
      <c r="X502" s="4" t="str">
        <f>'Form responses 1'!AK504</f>
        <v/>
      </c>
      <c r="Y502" s="4">
        <f t="shared" ref="Y502:AD502" si="501">if(S502&gt;0,1,0)</f>
        <v>0</v>
      </c>
      <c r="Z502" s="4">
        <f t="shared" si="501"/>
        <v>0</v>
      </c>
      <c r="AA502" s="4">
        <f t="shared" si="501"/>
        <v>0</v>
      </c>
      <c r="AB502" s="4">
        <f t="shared" si="501"/>
        <v>0</v>
      </c>
      <c r="AC502" s="4">
        <f t="shared" si="501"/>
        <v>0</v>
      </c>
      <c r="AD502" s="4">
        <f t="shared" si="501"/>
        <v>0</v>
      </c>
      <c r="AE502" s="4" t="str">
        <f>'Form responses 1'!AN504</f>
        <v/>
      </c>
      <c r="AF502" s="4" t="str">
        <f>'Form responses 1'!AO504</f>
        <v/>
      </c>
      <c r="AG502" s="4" t="str">
        <f>'Form responses 1'!AP504</f>
        <v/>
      </c>
      <c r="AH502" s="4" t="str">
        <f>'Form responses 1'!AQ504</f>
        <v/>
      </c>
      <c r="AI502" s="4" t="str">
        <f>'Form responses 1'!AR504</f>
        <v/>
      </c>
    </row>
    <row r="503">
      <c r="A503" s="26">
        <f>'Form responses 1'!B505</f>
        <v>46070</v>
      </c>
      <c r="B503" s="4" t="str">
        <f>'Form responses 1'!AZ505</f>
        <v>ankitha.baske@capsdelivery.com</v>
      </c>
      <c r="C503" s="4" t="str">
        <f>'Form responses 1'!BR505</f>
        <v>Murugans Cofee</v>
      </c>
      <c r="D503" s="4" t="str">
        <f>'Form responses 1'!AT505</f>
        <v>1 day time </v>
      </c>
      <c r="E503" s="4" t="str">
        <f>'Form responses 1'!AU505</f>
        <v>Yes</v>
      </c>
      <c r="F503" s="4" t="str">
        <f>'Form responses 1'!AX505</f>
        <v/>
      </c>
      <c r="G503" s="4" t="str">
        <f>'Form responses 1'!AY505</f>
        <v/>
      </c>
      <c r="H503" s="53" t="str">
        <f>'Form responses 1'!AW505</f>
        <v>1 day time</v>
      </c>
      <c r="I503" s="4" t="str">
        <f>'Form responses 1'!AS505</f>
        <v/>
      </c>
      <c r="J503" s="4" t="str">
        <f>'Form responses 1'!J505</f>
        <v/>
      </c>
      <c r="K503" s="4" t="str">
        <f>'Form responses 1'!G505</f>
        <v/>
      </c>
      <c r="L503" s="4" t="str">
        <f>'Form responses 1'!F505</f>
        <v/>
      </c>
      <c r="M503" s="4" t="str">
        <f>'Form responses 1'!U505</f>
        <v>Sushmitha </v>
      </c>
      <c r="N503" s="4">
        <f>'Form responses 1'!V505</f>
        <v>8319637722</v>
      </c>
      <c r="O503" s="4" t="str">
        <f>'Form responses 1'!W505</f>
        <v>NA</v>
      </c>
      <c r="P503" s="4" t="str">
        <f>'Form responses 1'!X505</f>
        <v/>
      </c>
      <c r="Q503" s="4" t="str">
        <f>'Form responses 1'!Y505</f>
        <v/>
      </c>
      <c r="R503" s="4" t="str">
        <f>'Form responses 1'!Z505</f>
        <v/>
      </c>
      <c r="S503" s="4" t="str">
        <f>'Form responses 1'!AC505</f>
        <v/>
      </c>
      <c r="T503" s="4" t="str">
        <f>'Form responses 1'!AE505</f>
        <v/>
      </c>
      <c r="U503" s="4" t="str">
        <f>'Form responses 1'!AG505</f>
        <v/>
      </c>
      <c r="V503" s="4" t="str">
        <f>'Form responses 1'!AI505</f>
        <v/>
      </c>
      <c r="W503" s="4" t="str">
        <f>'Form responses 1'!AJ505</f>
        <v/>
      </c>
      <c r="X503" s="4" t="str">
        <f>'Form responses 1'!AK505</f>
        <v/>
      </c>
      <c r="Y503" s="4">
        <f t="shared" ref="Y503:AD503" si="502">if(S503&gt;0,1,0)</f>
        <v>0</v>
      </c>
      <c r="Z503" s="4">
        <f t="shared" si="502"/>
        <v>0</v>
      </c>
      <c r="AA503" s="4">
        <f t="shared" si="502"/>
        <v>0</v>
      </c>
      <c r="AB503" s="4">
        <f t="shared" si="502"/>
        <v>0</v>
      </c>
      <c r="AC503" s="4">
        <f t="shared" si="502"/>
        <v>0</v>
      </c>
      <c r="AD503" s="4">
        <f t="shared" si="502"/>
        <v>0</v>
      </c>
      <c r="AE503" s="4" t="str">
        <f>'Form responses 1'!AN505</f>
        <v/>
      </c>
      <c r="AF503" s="4" t="str">
        <f>'Form responses 1'!AO505</f>
        <v/>
      </c>
      <c r="AG503" s="4" t="str">
        <f>'Form responses 1'!AP505</f>
        <v/>
      </c>
      <c r="AH503" s="4" t="str">
        <f>'Form responses 1'!AQ505</f>
        <v/>
      </c>
      <c r="AI503" s="4" t="str">
        <f>'Form responses 1'!AR505</f>
        <v/>
      </c>
    </row>
    <row r="504">
      <c r="A504" s="26">
        <f>'Form responses 1'!B506</f>
        <v>46070</v>
      </c>
      <c r="B504" s="4" t="str">
        <f>'Form responses 1'!AZ506</f>
        <v>ankitha.baske@capsdelivery.com</v>
      </c>
      <c r="C504" s="4" t="str">
        <f>'Form responses 1'!BR506</f>
        <v>House of Taste</v>
      </c>
      <c r="D504" s="4" t="str">
        <f>'Form responses 1'!AT506</f>
        <v>Out of station </v>
      </c>
      <c r="E504" s="4" t="str">
        <f>'Form responses 1'!AU506</f>
        <v>Yes</v>
      </c>
      <c r="F504" s="4" t="str">
        <f>'Form responses 1'!AX506</f>
        <v/>
      </c>
      <c r="G504" s="4" t="str">
        <f>'Form responses 1'!AY506</f>
        <v/>
      </c>
      <c r="H504" s="53" t="str">
        <f>'Form responses 1'!AW506</f>
        <v/>
      </c>
      <c r="I504" s="4" t="str">
        <f>'Form responses 1'!AS506</f>
        <v/>
      </c>
      <c r="J504" s="4" t="str">
        <f>'Form responses 1'!J506</f>
        <v/>
      </c>
      <c r="K504" s="4" t="str">
        <f>'Form responses 1'!G506</f>
        <v/>
      </c>
      <c r="L504" s="4" t="str">
        <f>'Form responses 1'!F506</f>
        <v/>
      </c>
      <c r="M504" s="4" t="str">
        <f>'Form responses 1'!U506</f>
        <v>Arun</v>
      </c>
      <c r="N504" s="4">
        <f>'Form responses 1'!V506</f>
        <v>8919506757</v>
      </c>
      <c r="O504" s="4" t="str">
        <f>'Form responses 1'!W506</f>
        <v>NA</v>
      </c>
      <c r="P504" s="4" t="str">
        <f>'Form responses 1'!X506</f>
        <v/>
      </c>
      <c r="Q504" s="4" t="str">
        <f>'Form responses 1'!Y506</f>
        <v/>
      </c>
      <c r="R504" s="4" t="str">
        <f>'Form responses 1'!Z506</f>
        <v/>
      </c>
      <c r="S504" s="4" t="str">
        <f>'Form responses 1'!AC506</f>
        <v/>
      </c>
      <c r="T504" s="4" t="str">
        <f>'Form responses 1'!AE506</f>
        <v/>
      </c>
      <c r="U504" s="4" t="str">
        <f>'Form responses 1'!AG506</f>
        <v/>
      </c>
      <c r="V504" s="4" t="str">
        <f>'Form responses 1'!AI506</f>
        <v/>
      </c>
      <c r="W504" s="4" t="str">
        <f>'Form responses 1'!AJ506</f>
        <v/>
      </c>
      <c r="X504" s="4" t="str">
        <f>'Form responses 1'!AK506</f>
        <v/>
      </c>
      <c r="Y504" s="4">
        <f t="shared" ref="Y504:AD504" si="503">if(S504&gt;0,1,0)</f>
        <v>0</v>
      </c>
      <c r="Z504" s="4">
        <f t="shared" si="503"/>
        <v>0</v>
      </c>
      <c r="AA504" s="4">
        <f t="shared" si="503"/>
        <v>0</v>
      </c>
      <c r="AB504" s="4">
        <f t="shared" si="503"/>
        <v>0</v>
      </c>
      <c r="AC504" s="4">
        <f t="shared" si="503"/>
        <v>0</v>
      </c>
      <c r="AD504" s="4">
        <f t="shared" si="503"/>
        <v>0</v>
      </c>
      <c r="AE504" s="4" t="str">
        <f>'Form responses 1'!AN506</f>
        <v/>
      </c>
      <c r="AF504" s="4" t="str">
        <f>'Form responses 1'!AO506</f>
        <v/>
      </c>
      <c r="AG504" s="4" t="str">
        <f>'Form responses 1'!AP506</f>
        <v/>
      </c>
      <c r="AH504" s="4" t="str">
        <f>'Form responses 1'!AQ506</f>
        <v/>
      </c>
      <c r="AI504" s="4" t="str">
        <f>'Form responses 1'!AR506</f>
        <v/>
      </c>
    </row>
    <row r="505">
      <c r="A505" s="26">
        <f>'Form responses 1'!B507</f>
        <v>46070</v>
      </c>
      <c r="B505" s="4" t="str">
        <f>'Form responses 1'!AZ507</f>
        <v>manisha.kumari@capsdelivery.com</v>
      </c>
      <c r="C505" s="4" t="str">
        <f>'Form responses 1'!BR507</f>
        <v>Shanghai flavours of chinaShanghai Flavours of China</v>
      </c>
      <c r="D505" s="4" t="str">
        <f>'Form responses 1'!AT507</f>
        <v>Seating capacity - 48 head sits out of head office in Kolkata Tried calling him but no response will follow up more</v>
      </c>
      <c r="E505" s="4" t="str">
        <f>'Form responses 1'!AU507</f>
        <v>Yes</v>
      </c>
      <c r="F505" s="4" t="str">
        <f>'Form responses 1'!AX507</f>
        <v/>
      </c>
      <c r="G505" s="4" t="str">
        <f>'Form responses 1'!AY507</f>
        <v/>
      </c>
      <c r="H505" s="53" t="str">
        <f>'Form responses 1'!AW507</f>
        <v/>
      </c>
      <c r="I505" s="4" t="str">
        <f>'Form responses 1'!AS507</f>
        <v/>
      </c>
      <c r="J505" s="4" t="str">
        <f>'Form responses 1'!J507</f>
        <v>Tier-2 (AOV &lt;400)</v>
      </c>
      <c r="K505" s="4">
        <f>'Form responses 1'!G507</f>
        <v>300</v>
      </c>
      <c r="L505" s="4">
        <f>'Form responses 1'!F507</f>
        <v>48</v>
      </c>
      <c r="M505" s="4" t="str">
        <f>'Form responses 1'!U507</f>
        <v>Zinia </v>
      </c>
      <c r="N505" s="4">
        <f>'Form responses 1'!V507</f>
        <v>9147716232</v>
      </c>
      <c r="O505" s="4" t="str">
        <f>'Form responses 1'!W507</f>
        <v>NA</v>
      </c>
      <c r="P505" s="4" t="str">
        <f>'Form responses 1'!X507</f>
        <v/>
      </c>
      <c r="Q505" s="4" t="str">
        <f>'Form responses 1'!Y507</f>
        <v/>
      </c>
      <c r="R505" s="4" t="str">
        <f>'Form responses 1'!Z507</f>
        <v/>
      </c>
      <c r="S505" s="4" t="str">
        <f>'Form responses 1'!AC507</f>
        <v/>
      </c>
      <c r="T505" s="4" t="str">
        <f>'Form responses 1'!AE507</f>
        <v/>
      </c>
      <c r="U505" s="4" t="str">
        <f>'Form responses 1'!AG507</f>
        <v/>
      </c>
      <c r="V505" s="4" t="str">
        <f>'Form responses 1'!AI507</f>
        <v/>
      </c>
      <c r="W505" s="4" t="str">
        <f>'Form responses 1'!AJ507</f>
        <v/>
      </c>
      <c r="X505" s="4" t="str">
        <f>'Form responses 1'!AK507</f>
        <v/>
      </c>
      <c r="Y505" s="4">
        <f t="shared" ref="Y505:AD505" si="504">if(S505&gt;0,1,0)</f>
        <v>0</v>
      </c>
      <c r="Z505" s="4">
        <f t="shared" si="504"/>
        <v>0</v>
      </c>
      <c r="AA505" s="4">
        <f t="shared" si="504"/>
        <v>0</v>
      </c>
      <c r="AB505" s="4">
        <f t="shared" si="504"/>
        <v>0</v>
      </c>
      <c r="AC505" s="4">
        <f t="shared" si="504"/>
        <v>0</v>
      </c>
      <c r="AD505" s="4">
        <f t="shared" si="504"/>
        <v>0</v>
      </c>
      <c r="AE505" s="4" t="str">
        <f>'Form responses 1'!AN507</f>
        <v/>
      </c>
      <c r="AF505" s="4" t="str">
        <f>'Form responses 1'!AO507</f>
        <v/>
      </c>
      <c r="AG505" s="4" t="str">
        <f>'Form responses 1'!AP507</f>
        <v/>
      </c>
      <c r="AH505" s="4" t="str">
        <f>'Form responses 1'!AQ507</f>
        <v/>
      </c>
      <c r="AI505" s="4" t="str">
        <f>'Form responses 1'!AR507</f>
        <v/>
      </c>
    </row>
    <row r="506">
      <c r="A506" s="26">
        <f>'Form responses 1'!B508</f>
        <v>46070</v>
      </c>
      <c r="B506" s="4" t="str">
        <f>'Form responses 1'!AZ508</f>
        <v>ankitha.baske@capsdelivery.com</v>
      </c>
      <c r="C506" s="4" t="str">
        <f>'Form responses 1'!BR508</f>
        <v>VR Tiffins</v>
      </c>
      <c r="D506" s="4" t="str">
        <f>'Form responses 1'!AT508</f>
        <v>Owner will be available at 7 pm</v>
      </c>
      <c r="E506" s="4" t="str">
        <f>'Form responses 1'!AU508</f>
        <v>Yes</v>
      </c>
      <c r="F506" s="4" t="str">
        <f>'Form responses 1'!AX508</f>
        <v/>
      </c>
      <c r="G506" s="4" t="str">
        <f>'Form responses 1'!AY508</f>
        <v/>
      </c>
      <c r="H506" s="53" t="str">
        <f>'Form responses 1'!AW508</f>
        <v/>
      </c>
      <c r="I506" s="4" t="str">
        <f>'Form responses 1'!AS508</f>
        <v/>
      </c>
      <c r="J506" s="4" t="str">
        <f>'Form responses 1'!J508</f>
        <v/>
      </c>
      <c r="K506" s="4" t="str">
        <f>'Form responses 1'!G508</f>
        <v/>
      </c>
      <c r="L506" s="4" t="str">
        <f>'Form responses 1'!F508</f>
        <v/>
      </c>
      <c r="M506" s="4" t="str">
        <f>'Form responses 1'!U508</f>
        <v>Shiva</v>
      </c>
      <c r="N506" s="4">
        <f>'Form responses 1'!V508</f>
        <v>8297190571</v>
      </c>
      <c r="O506" s="4" t="str">
        <f>'Form responses 1'!W508</f>
        <v>NA</v>
      </c>
      <c r="P506" s="4" t="str">
        <f>'Form responses 1'!X508</f>
        <v/>
      </c>
      <c r="Q506" s="4" t="str">
        <f>'Form responses 1'!Y508</f>
        <v/>
      </c>
      <c r="R506" s="4" t="str">
        <f>'Form responses 1'!Z508</f>
        <v/>
      </c>
      <c r="S506" s="4" t="str">
        <f>'Form responses 1'!AC508</f>
        <v/>
      </c>
      <c r="T506" s="4" t="str">
        <f>'Form responses 1'!AE508</f>
        <v/>
      </c>
      <c r="U506" s="4" t="str">
        <f>'Form responses 1'!AG508</f>
        <v/>
      </c>
      <c r="V506" s="4" t="str">
        <f>'Form responses 1'!AI508</f>
        <v/>
      </c>
      <c r="W506" s="4" t="str">
        <f>'Form responses 1'!AJ508</f>
        <v/>
      </c>
      <c r="X506" s="4" t="str">
        <f>'Form responses 1'!AK508</f>
        <v/>
      </c>
      <c r="Y506" s="4">
        <f t="shared" ref="Y506:AD506" si="505">if(S506&gt;0,1,0)</f>
        <v>0</v>
      </c>
      <c r="Z506" s="4">
        <f t="shared" si="505"/>
        <v>0</v>
      </c>
      <c r="AA506" s="4">
        <f t="shared" si="505"/>
        <v>0</v>
      </c>
      <c r="AB506" s="4">
        <f t="shared" si="505"/>
        <v>0</v>
      </c>
      <c r="AC506" s="4">
        <f t="shared" si="505"/>
        <v>0</v>
      </c>
      <c r="AD506" s="4">
        <f t="shared" si="505"/>
        <v>0</v>
      </c>
      <c r="AE506" s="4" t="str">
        <f>'Form responses 1'!AN508</f>
        <v/>
      </c>
      <c r="AF506" s="4" t="str">
        <f>'Form responses 1'!AO508</f>
        <v/>
      </c>
      <c r="AG506" s="4" t="str">
        <f>'Form responses 1'!AP508</f>
        <v/>
      </c>
      <c r="AH506" s="4" t="str">
        <f>'Form responses 1'!AQ508</f>
        <v/>
      </c>
      <c r="AI506" s="4" t="str">
        <f>'Form responses 1'!AR508</f>
        <v/>
      </c>
    </row>
    <row r="507">
      <c r="A507" s="26">
        <f>'Form responses 1'!B509</f>
        <v>46070</v>
      </c>
      <c r="B507" s="4" t="str">
        <f>'Form responses 1'!AZ509</f>
        <v>ankitha.baske@capsdelivery.com</v>
      </c>
      <c r="C507" s="4" t="str">
        <f>'Form responses 1'!BR509</f>
        <v>Slice and Sauce </v>
      </c>
      <c r="D507" s="4" t="str">
        <f>'Form responses 1'!AT509</f>
        <v>Follow up</v>
      </c>
      <c r="E507" s="4" t="str">
        <f>'Form responses 1'!AU509</f>
        <v>Yes</v>
      </c>
      <c r="F507" s="4" t="str">
        <f>'Form responses 1'!AX509</f>
        <v/>
      </c>
      <c r="G507" s="4" t="str">
        <f>'Form responses 1'!AY509</f>
        <v/>
      </c>
      <c r="H507" s="53" t="str">
        <f>'Form responses 1'!AW509</f>
        <v/>
      </c>
      <c r="I507" s="4" t="str">
        <f>'Form responses 1'!AS509</f>
        <v/>
      </c>
      <c r="J507" s="4" t="str">
        <f>'Form responses 1'!J509</f>
        <v/>
      </c>
      <c r="K507" s="4" t="str">
        <f>'Form responses 1'!G509</f>
        <v/>
      </c>
      <c r="L507" s="4" t="str">
        <f>'Form responses 1'!F509</f>
        <v/>
      </c>
      <c r="M507" s="4" t="str">
        <f>'Form responses 1'!U509</f>
        <v>Bhanu Prakash</v>
      </c>
      <c r="N507" s="4">
        <f>'Form responses 1'!V509</f>
        <v>9615550066</v>
      </c>
      <c r="O507" s="4" t="str">
        <f>'Form responses 1'!W509</f>
        <v>NA</v>
      </c>
      <c r="P507" s="4" t="str">
        <f>'Form responses 1'!X509</f>
        <v/>
      </c>
      <c r="Q507" s="4" t="str">
        <f>'Form responses 1'!Y509</f>
        <v/>
      </c>
      <c r="R507" s="4" t="str">
        <f>'Form responses 1'!Z509</f>
        <v/>
      </c>
      <c r="S507" s="4" t="str">
        <f>'Form responses 1'!AC509</f>
        <v/>
      </c>
      <c r="T507" s="4" t="str">
        <f>'Form responses 1'!AE509</f>
        <v/>
      </c>
      <c r="U507" s="4" t="str">
        <f>'Form responses 1'!AG509</f>
        <v/>
      </c>
      <c r="V507" s="4" t="str">
        <f>'Form responses 1'!AI509</f>
        <v/>
      </c>
      <c r="W507" s="4" t="str">
        <f>'Form responses 1'!AJ509</f>
        <v/>
      </c>
      <c r="X507" s="4" t="str">
        <f>'Form responses 1'!AK509</f>
        <v/>
      </c>
      <c r="Y507" s="4">
        <f t="shared" ref="Y507:AD507" si="506">if(S507&gt;0,1,0)</f>
        <v>0</v>
      </c>
      <c r="Z507" s="4">
        <f t="shared" si="506"/>
        <v>0</v>
      </c>
      <c r="AA507" s="4">
        <f t="shared" si="506"/>
        <v>0</v>
      </c>
      <c r="AB507" s="4">
        <f t="shared" si="506"/>
        <v>0</v>
      </c>
      <c r="AC507" s="4">
        <f t="shared" si="506"/>
        <v>0</v>
      </c>
      <c r="AD507" s="4">
        <f t="shared" si="506"/>
        <v>0</v>
      </c>
      <c r="AE507" s="4" t="str">
        <f>'Form responses 1'!AN509</f>
        <v/>
      </c>
      <c r="AF507" s="4" t="str">
        <f>'Form responses 1'!AO509</f>
        <v/>
      </c>
      <c r="AG507" s="4" t="str">
        <f>'Form responses 1'!AP509</f>
        <v/>
      </c>
      <c r="AH507" s="4" t="str">
        <f>'Form responses 1'!AQ509</f>
        <v/>
      </c>
      <c r="AI507" s="4" t="str">
        <f>'Form responses 1'!AR509</f>
        <v/>
      </c>
    </row>
    <row r="508">
      <c r="A508" s="26">
        <f>'Form responses 1'!B510</f>
        <v>46070</v>
      </c>
      <c r="B508" s="4" t="str">
        <f>'Form responses 1'!AZ510</f>
        <v>manisha.kumari@capsdelivery.com</v>
      </c>
      <c r="C508" s="4" t="str">
        <f>'Form responses 1'!BR510</f>
        <v>Karachi BakeryKarachi Bakery</v>
      </c>
      <c r="D508" s="4" t="str">
        <f>'Form responses 1'!AT510</f>
        <v>Receptionist asked to visit banjara hills branch as the main POC will be available there</v>
      </c>
      <c r="E508" s="4" t="str">
        <f>'Form responses 1'!AU510</f>
        <v>Yes</v>
      </c>
      <c r="F508" s="4" t="str">
        <f>'Form responses 1'!AX510</f>
        <v/>
      </c>
      <c r="G508" s="4" t="str">
        <f>'Form responses 1'!AY510</f>
        <v/>
      </c>
      <c r="H508" s="53" t="str">
        <f>'Form responses 1'!AW510</f>
        <v/>
      </c>
      <c r="I508" s="4" t="str">
        <f>'Form responses 1'!AS510</f>
        <v/>
      </c>
      <c r="J508" s="4" t="str">
        <f>'Form responses 1'!J510</f>
        <v>Tier-1(AOV&gt;400)</v>
      </c>
      <c r="K508" s="4">
        <f>'Form responses 1'!G510</f>
        <v>500</v>
      </c>
      <c r="L508" s="4">
        <f>'Form responses 1'!F510</f>
        <v>1</v>
      </c>
      <c r="M508" s="4" t="str">
        <f>'Form responses 1'!U510</f>
        <v>Saif</v>
      </c>
      <c r="N508" s="4">
        <f>'Form responses 1'!V510</f>
        <v>7032888705</v>
      </c>
      <c r="O508" s="4" t="str">
        <f>'Form responses 1'!W510</f>
        <v>Online@karachibakery</v>
      </c>
      <c r="P508" s="4" t="str">
        <f>'Form responses 1'!X510</f>
        <v/>
      </c>
      <c r="Q508" s="4" t="str">
        <f>'Form responses 1'!Y510</f>
        <v/>
      </c>
      <c r="R508" s="4" t="str">
        <f>'Form responses 1'!Z510</f>
        <v/>
      </c>
      <c r="S508" s="4" t="str">
        <f>'Form responses 1'!AC510</f>
        <v/>
      </c>
      <c r="T508" s="4" t="str">
        <f>'Form responses 1'!AE510</f>
        <v/>
      </c>
      <c r="U508" s="4" t="str">
        <f>'Form responses 1'!AG510</f>
        <v/>
      </c>
      <c r="V508" s="4" t="str">
        <f>'Form responses 1'!AI510</f>
        <v/>
      </c>
      <c r="W508" s="4" t="str">
        <f>'Form responses 1'!AJ510</f>
        <v/>
      </c>
      <c r="X508" s="4" t="str">
        <f>'Form responses 1'!AK510</f>
        <v/>
      </c>
      <c r="Y508" s="4">
        <f t="shared" ref="Y508:AD508" si="507">if(S508&gt;0,1,0)</f>
        <v>0</v>
      </c>
      <c r="Z508" s="4">
        <f t="shared" si="507"/>
        <v>0</v>
      </c>
      <c r="AA508" s="4">
        <f t="shared" si="507"/>
        <v>0</v>
      </c>
      <c r="AB508" s="4">
        <f t="shared" si="507"/>
        <v>0</v>
      </c>
      <c r="AC508" s="4">
        <f t="shared" si="507"/>
        <v>0</v>
      </c>
      <c r="AD508" s="4">
        <f t="shared" si="507"/>
        <v>0</v>
      </c>
      <c r="AE508" s="4" t="str">
        <f>'Form responses 1'!AN510</f>
        <v/>
      </c>
      <c r="AF508" s="4" t="str">
        <f>'Form responses 1'!AO510</f>
        <v/>
      </c>
      <c r="AG508" s="4" t="str">
        <f>'Form responses 1'!AP510</f>
        <v/>
      </c>
      <c r="AH508" s="4" t="str">
        <f>'Form responses 1'!AQ510</f>
        <v/>
      </c>
      <c r="AI508" s="4" t="str">
        <f>'Form responses 1'!AR510</f>
        <v/>
      </c>
    </row>
    <row r="509">
      <c r="A509" s="26">
        <f>'Form responses 1'!B511</f>
        <v>46070</v>
      </c>
      <c r="B509" s="4" t="str">
        <f>'Form responses 1'!AZ511</f>
        <v>ankitha.baske@capsdelivery.com</v>
      </c>
      <c r="C509" s="4" t="str">
        <f>'Form responses 1'!BR511</f>
        <v>Laksmi Duga Andhra Ruchulu</v>
      </c>
      <c r="D509" s="4" t="str">
        <f>'Form responses 1'!AT511</f>
        <v>They need time to think</v>
      </c>
      <c r="E509" s="4" t="str">
        <f>'Form responses 1'!AU511</f>
        <v>No</v>
      </c>
      <c r="F509" s="4" t="str">
        <f>'Form responses 1'!AX511</f>
        <v/>
      </c>
      <c r="G509" s="4" t="str">
        <f>'Form responses 1'!AY511</f>
        <v/>
      </c>
      <c r="H509" s="53" t="str">
        <f>'Form responses 1'!AW511</f>
        <v/>
      </c>
      <c r="I509" s="4" t="str">
        <f>'Form responses 1'!AS511</f>
        <v/>
      </c>
      <c r="J509" s="4" t="str">
        <f>'Form responses 1'!J511</f>
        <v/>
      </c>
      <c r="K509" s="4" t="str">
        <f>'Form responses 1'!G511</f>
        <v/>
      </c>
      <c r="L509" s="4" t="str">
        <f>'Form responses 1'!F511</f>
        <v/>
      </c>
      <c r="M509" s="4" t="str">
        <f>'Form responses 1'!U511</f>
        <v>Devi sri</v>
      </c>
      <c r="N509" s="4">
        <f>'Form responses 1'!V511</f>
        <v>6303602919</v>
      </c>
      <c r="O509" s="4" t="str">
        <f>'Form responses 1'!W511</f>
        <v>NA</v>
      </c>
      <c r="P509" s="4" t="str">
        <f>'Form responses 1'!X511</f>
        <v/>
      </c>
      <c r="Q509" s="4" t="str">
        <f>'Form responses 1'!Y511</f>
        <v/>
      </c>
      <c r="R509" s="4" t="str">
        <f>'Form responses 1'!Z511</f>
        <v/>
      </c>
      <c r="S509" s="4" t="str">
        <f>'Form responses 1'!AC511</f>
        <v/>
      </c>
      <c r="T509" s="4" t="str">
        <f>'Form responses 1'!AE511</f>
        <v/>
      </c>
      <c r="U509" s="4" t="str">
        <f>'Form responses 1'!AG511</f>
        <v/>
      </c>
      <c r="V509" s="4" t="str">
        <f>'Form responses 1'!AI511</f>
        <v/>
      </c>
      <c r="W509" s="4" t="str">
        <f>'Form responses 1'!AJ511</f>
        <v/>
      </c>
      <c r="X509" s="4" t="str">
        <f>'Form responses 1'!AK511</f>
        <v/>
      </c>
      <c r="Y509" s="4">
        <f t="shared" ref="Y509:AD509" si="508">if(S509&gt;0,1,0)</f>
        <v>0</v>
      </c>
      <c r="Z509" s="4">
        <f t="shared" si="508"/>
        <v>0</v>
      </c>
      <c r="AA509" s="4">
        <f t="shared" si="508"/>
        <v>0</v>
      </c>
      <c r="AB509" s="4">
        <f t="shared" si="508"/>
        <v>0</v>
      </c>
      <c r="AC509" s="4">
        <f t="shared" si="508"/>
        <v>0</v>
      </c>
      <c r="AD509" s="4">
        <f t="shared" si="508"/>
        <v>0</v>
      </c>
      <c r="AE509" s="4" t="str">
        <f>'Form responses 1'!AN511</f>
        <v/>
      </c>
      <c r="AF509" s="4" t="str">
        <f>'Form responses 1'!AO511</f>
        <v/>
      </c>
      <c r="AG509" s="4" t="str">
        <f>'Form responses 1'!AP511</f>
        <v/>
      </c>
      <c r="AH509" s="4" t="str">
        <f>'Form responses 1'!AQ511</f>
        <v/>
      </c>
      <c r="AI509" s="4" t="str">
        <f>'Form responses 1'!AR511</f>
        <v/>
      </c>
    </row>
    <row r="510">
      <c r="A510" s="26">
        <f>'Form responses 1'!B512</f>
        <v>46070</v>
      </c>
      <c r="B510" s="4" t="str">
        <f>'Form responses 1'!AZ512</f>
        <v>ankitha.baske@capsdelivery.com</v>
      </c>
      <c r="C510" s="4" t="str">
        <f>'Form responses 1'!BR512</f>
        <v>Theme Cafe</v>
      </c>
      <c r="D510" s="4" t="str">
        <f>'Form responses 1'!AT512</f>
        <v>They are not interested</v>
      </c>
      <c r="E510" s="4" t="str">
        <f>'Form responses 1'!AU512</f>
        <v>No</v>
      </c>
      <c r="F510" s="4" t="str">
        <f>'Form responses 1'!AX512</f>
        <v/>
      </c>
      <c r="G510" s="4" t="str">
        <f>'Form responses 1'!AY512</f>
        <v/>
      </c>
      <c r="H510" s="53" t="str">
        <f>'Form responses 1'!AW512</f>
        <v/>
      </c>
      <c r="I510" s="4" t="str">
        <f>'Form responses 1'!AS512</f>
        <v/>
      </c>
      <c r="J510" s="4" t="str">
        <f>'Form responses 1'!J512</f>
        <v/>
      </c>
      <c r="K510" s="4" t="str">
        <f>'Form responses 1'!G512</f>
        <v/>
      </c>
      <c r="L510" s="4" t="str">
        <f>'Form responses 1'!F512</f>
        <v/>
      </c>
      <c r="M510" s="4" t="str">
        <f>'Form responses 1'!U512</f>
        <v>NA</v>
      </c>
      <c r="N510" s="4" t="str">
        <f>'Form responses 1'!V512</f>
        <v>Na</v>
      </c>
      <c r="O510" s="4" t="str">
        <f>'Form responses 1'!W512</f>
        <v>Na</v>
      </c>
      <c r="P510" s="4" t="str">
        <f>'Form responses 1'!X512</f>
        <v/>
      </c>
      <c r="Q510" s="4" t="str">
        <f>'Form responses 1'!Y512</f>
        <v/>
      </c>
      <c r="R510" s="4" t="str">
        <f>'Form responses 1'!Z512</f>
        <v/>
      </c>
      <c r="S510" s="4" t="str">
        <f>'Form responses 1'!AC512</f>
        <v/>
      </c>
      <c r="T510" s="4" t="str">
        <f>'Form responses 1'!AE512</f>
        <v/>
      </c>
      <c r="U510" s="4" t="str">
        <f>'Form responses 1'!AG512</f>
        <v/>
      </c>
      <c r="V510" s="4" t="str">
        <f>'Form responses 1'!AI512</f>
        <v/>
      </c>
      <c r="W510" s="4" t="str">
        <f>'Form responses 1'!AJ512</f>
        <v/>
      </c>
      <c r="X510" s="4" t="str">
        <f>'Form responses 1'!AK512</f>
        <v/>
      </c>
      <c r="Y510" s="4">
        <f t="shared" ref="Y510:AD510" si="509">if(S510&gt;0,1,0)</f>
        <v>0</v>
      </c>
      <c r="Z510" s="4">
        <f t="shared" si="509"/>
        <v>0</v>
      </c>
      <c r="AA510" s="4">
        <f t="shared" si="509"/>
        <v>0</v>
      </c>
      <c r="AB510" s="4">
        <f t="shared" si="509"/>
        <v>0</v>
      </c>
      <c r="AC510" s="4">
        <f t="shared" si="509"/>
        <v>0</v>
      </c>
      <c r="AD510" s="4">
        <f t="shared" si="509"/>
        <v>0</v>
      </c>
      <c r="AE510" s="4" t="str">
        <f>'Form responses 1'!AN512</f>
        <v/>
      </c>
      <c r="AF510" s="4" t="str">
        <f>'Form responses 1'!AO512</f>
        <v/>
      </c>
      <c r="AG510" s="4" t="str">
        <f>'Form responses 1'!AP512</f>
        <v/>
      </c>
      <c r="AH510" s="4" t="str">
        <f>'Form responses 1'!AQ512</f>
        <v/>
      </c>
      <c r="AI510" s="4" t="str">
        <f>'Form responses 1'!AR512</f>
        <v/>
      </c>
    </row>
    <row r="511">
      <c r="A511" s="26">
        <f>'Form responses 1'!B513</f>
        <v>46070</v>
      </c>
      <c r="B511" s="4" t="str">
        <f>'Form responses 1'!AZ513</f>
        <v>ankitha.baske@capsdelivery.com</v>
      </c>
      <c r="C511" s="4" t="str">
        <f>'Form responses 1'!BR513</f>
        <v>Baskin Robbins</v>
      </c>
      <c r="D511" s="4" t="str">
        <f>'Form responses 1'!AT513</f>
        <v>We need to call him</v>
      </c>
      <c r="E511" s="4" t="str">
        <f>'Form responses 1'!AU513</f>
        <v>Yes</v>
      </c>
      <c r="F511" s="4" t="str">
        <f>'Form responses 1'!AX513</f>
        <v/>
      </c>
      <c r="G511" s="4" t="str">
        <f>'Form responses 1'!AY513</f>
        <v/>
      </c>
      <c r="H511" s="53" t="str">
        <f>'Form responses 1'!AW513</f>
        <v/>
      </c>
      <c r="I511" s="4" t="str">
        <f>'Form responses 1'!AS513</f>
        <v/>
      </c>
      <c r="J511" s="4" t="str">
        <f>'Form responses 1'!J513</f>
        <v/>
      </c>
      <c r="K511" s="4" t="str">
        <f>'Form responses 1'!G513</f>
        <v/>
      </c>
      <c r="L511" s="4" t="str">
        <f>'Form responses 1'!F513</f>
        <v/>
      </c>
      <c r="M511" s="4" t="str">
        <f>'Form responses 1'!U513</f>
        <v>Venkat</v>
      </c>
      <c r="N511" s="4">
        <f>'Form responses 1'!V513</f>
        <v>9030066247</v>
      </c>
      <c r="O511" s="4" t="str">
        <f>'Form responses 1'!W513</f>
        <v>Na</v>
      </c>
      <c r="P511" s="4" t="str">
        <f>'Form responses 1'!X513</f>
        <v/>
      </c>
      <c r="Q511" s="4" t="str">
        <f>'Form responses 1'!Y513</f>
        <v/>
      </c>
      <c r="R511" s="4" t="str">
        <f>'Form responses 1'!Z513</f>
        <v/>
      </c>
      <c r="S511" s="4" t="str">
        <f>'Form responses 1'!AC513</f>
        <v/>
      </c>
      <c r="T511" s="4" t="str">
        <f>'Form responses 1'!AE513</f>
        <v/>
      </c>
      <c r="U511" s="4" t="str">
        <f>'Form responses 1'!AG513</f>
        <v/>
      </c>
      <c r="V511" s="4" t="str">
        <f>'Form responses 1'!AI513</f>
        <v/>
      </c>
      <c r="W511" s="4" t="str">
        <f>'Form responses 1'!AJ513</f>
        <v/>
      </c>
      <c r="X511" s="4" t="str">
        <f>'Form responses 1'!AK513</f>
        <v/>
      </c>
      <c r="Y511" s="4">
        <f t="shared" ref="Y511:AD511" si="510">if(S511&gt;0,1,0)</f>
        <v>0</v>
      </c>
      <c r="Z511" s="4">
        <f t="shared" si="510"/>
        <v>0</v>
      </c>
      <c r="AA511" s="4">
        <f t="shared" si="510"/>
        <v>0</v>
      </c>
      <c r="AB511" s="4">
        <f t="shared" si="510"/>
        <v>0</v>
      </c>
      <c r="AC511" s="4">
        <f t="shared" si="510"/>
        <v>0</v>
      </c>
      <c r="AD511" s="4">
        <f t="shared" si="510"/>
        <v>0</v>
      </c>
      <c r="AE511" s="4" t="str">
        <f>'Form responses 1'!AN513</f>
        <v/>
      </c>
      <c r="AF511" s="4" t="str">
        <f>'Form responses 1'!AO513</f>
        <v/>
      </c>
      <c r="AG511" s="4" t="str">
        <f>'Form responses 1'!AP513</f>
        <v/>
      </c>
      <c r="AH511" s="4" t="str">
        <f>'Form responses 1'!AQ513</f>
        <v/>
      </c>
      <c r="AI511" s="4" t="str">
        <f>'Form responses 1'!AR513</f>
        <v/>
      </c>
    </row>
    <row r="512">
      <c r="A512" s="26">
        <f>'Form responses 1'!B514</f>
        <v>46070</v>
      </c>
      <c r="B512" s="4" t="str">
        <f>'Form responses 1'!AZ514</f>
        <v>ankitha.baske@capsdelivery.com</v>
      </c>
      <c r="C512" s="4" t="str">
        <f>'Form responses 1'!BR514</f>
        <v>Pizza Mania</v>
      </c>
      <c r="D512" s="4" t="str">
        <f>'Form responses 1'!AT514</f>
        <v>Onboarding tomorrow </v>
      </c>
      <c r="E512" s="4" t="str">
        <f>'Form responses 1'!AU514</f>
        <v>Yes</v>
      </c>
      <c r="F512" s="26">
        <f>'Form responses 1'!AX514</f>
        <v>46071</v>
      </c>
      <c r="G512" s="4" t="str">
        <f>'Form responses 1'!AY514</f>
        <v/>
      </c>
      <c r="H512" s="53" t="str">
        <f>'Form responses 1'!AW514</f>
        <v/>
      </c>
      <c r="I512" s="4" t="str">
        <f>'Form responses 1'!AS514</f>
        <v/>
      </c>
      <c r="J512" s="4" t="str">
        <f>'Form responses 1'!J514</f>
        <v/>
      </c>
      <c r="K512" s="4" t="str">
        <f>'Form responses 1'!G514</f>
        <v/>
      </c>
      <c r="L512" s="4" t="str">
        <f>'Form responses 1'!F514</f>
        <v/>
      </c>
      <c r="M512" s="4" t="str">
        <f>'Form responses 1'!U514</f>
        <v>Narsimha</v>
      </c>
      <c r="N512" s="4">
        <f>'Form responses 1'!V514</f>
        <v>9381389840</v>
      </c>
      <c r="O512" s="4" t="str">
        <f>'Form responses 1'!W514</f>
        <v>NA</v>
      </c>
      <c r="P512" s="4" t="str">
        <f>'Form responses 1'!X514</f>
        <v/>
      </c>
      <c r="Q512" s="4" t="str">
        <f>'Form responses 1'!Y514</f>
        <v/>
      </c>
      <c r="R512" s="4" t="str">
        <f>'Form responses 1'!Z514</f>
        <v/>
      </c>
      <c r="S512" s="4" t="str">
        <f>'Form responses 1'!AC514</f>
        <v/>
      </c>
      <c r="T512" s="4" t="str">
        <f>'Form responses 1'!AE514</f>
        <v/>
      </c>
      <c r="U512" s="4" t="str">
        <f>'Form responses 1'!AG514</f>
        <v/>
      </c>
      <c r="V512" s="4" t="str">
        <f>'Form responses 1'!AI514</f>
        <v/>
      </c>
      <c r="W512" s="4" t="str">
        <f>'Form responses 1'!AJ514</f>
        <v/>
      </c>
      <c r="X512" s="4" t="str">
        <f>'Form responses 1'!AK514</f>
        <v/>
      </c>
      <c r="Y512" s="4">
        <f t="shared" ref="Y512:AD512" si="511">if(S512&gt;0,1,0)</f>
        <v>0</v>
      </c>
      <c r="Z512" s="4">
        <f t="shared" si="511"/>
        <v>0</v>
      </c>
      <c r="AA512" s="4">
        <f t="shared" si="511"/>
        <v>0</v>
      </c>
      <c r="AB512" s="4">
        <f t="shared" si="511"/>
        <v>0</v>
      </c>
      <c r="AC512" s="4">
        <f t="shared" si="511"/>
        <v>0</v>
      </c>
      <c r="AD512" s="4">
        <f t="shared" si="511"/>
        <v>0</v>
      </c>
      <c r="AE512" s="4" t="str">
        <f>'Form responses 1'!AN514</f>
        <v/>
      </c>
      <c r="AF512" s="4" t="str">
        <f>'Form responses 1'!AO514</f>
        <v/>
      </c>
      <c r="AG512" s="4" t="str">
        <f>'Form responses 1'!AP514</f>
        <v/>
      </c>
      <c r="AH512" s="4" t="str">
        <f>'Form responses 1'!AQ514</f>
        <v/>
      </c>
      <c r="AI512" s="4" t="str">
        <f>'Form responses 1'!AR514</f>
        <v/>
      </c>
    </row>
    <row r="513">
      <c r="A513" s="26">
        <f>'Form responses 1'!B515</f>
        <v>46070</v>
      </c>
      <c r="B513" s="4" t="str">
        <f>'Form responses 1'!AZ515</f>
        <v>ankitha.baske@capsdelivery.com</v>
      </c>
      <c r="C513" s="4" t="str">
        <f>'Form responses 1'!BR515</f>
        <v>Andhra House</v>
      </c>
      <c r="D513" s="4" t="str">
        <f>'Form responses 1'!AT515</f>
        <v>He need 2 months time</v>
      </c>
      <c r="E513" s="4" t="str">
        <f>'Form responses 1'!AU515</f>
        <v>No</v>
      </c>
      <c r="F513" s="4" t="str">
        <f>'Form responses 1'!AX515</f>
        <v/>
      </c>
      <c r="G513" s="4" t="str">
        <f>'Form responses 1'!AY515</f>
        <v/>
      </c>
      <c r="H513" s="53" t="str">
        <f>'Form responses 1'!AW515</f>
        <v/>
      </c>
      <c r="I513" s="4" t="str">
        <f>'Form responses 1'!AS515</f>
        <v/>
      </c>
      <c r="J513" s="4" t="str">
        <f>'Form responses 1'!J515</f>
        <v/>
      </c>
      <c r="K513" s="4" t="str">
        <f>'Form responses 1'!G515</f>
        <v/>
      </c>
      <c r="L513" s="4" t="str">
        <f>'Form responses 1'!F515</f>
        <v/>
      </c>
      <c r="M513" s="4" t="str">
        <f>'Form responses 1'!U515</f>
        <v>Shiva</v>
      </c>
      <c r="N513" s="4">
        <f>'Form responses 1'!V515</f>
        <v>959359399</v>
      </c>
      <c r="O513" s="4" t="str">
        <f>'Form responses 1'!W515</f>
        <v>Na</v>
      </c>
      <c r="P513" s="4" t="str">
        <f>'Form responses 1'!X515</f>
        <v/>
      </c>
      <c r="Q513" s="4" t="str">
        <f>'Form responses 1'!Y515</f>
        <v/>
      </c>
      <c r="R513" s="4" t="str">
        <f>'Form responses 1'!Z515</f>
        <v/>
      </c>
      <c r="S513" s="4" t="str">
        <f>'Form responses 1'!AC515</f>
        <v/>
      </c>
      <c r="T513" s="4" t="str">
        <f>'Form responses 1'!AE515</f>
        <v/>
      </c>
      <c r="U513" s="4" t="str">
        <f>'Form responses 1'!AG515</f>
        <v/>
      </c>
      <c r="V513" s="4" t="str">
        <f>'Form responses 1'!AI515</f>
        <v/>
      </c>
      <c r="W513" s="4" t="str">
        <f>'Form responses 1'!AJ515</f>
        <v/>
      </c>
      <c r="X513" s="4" t="str">
        <f>'Form responses 1'!AK515</f>
        <v/>
      </c>
      <c r="Y513" s="4">
        <f t="shared" ref="Y513:AD513" si="512">if(S513&gt;0,1,0)</f>
        <v>0</v>
      </c>
      <c r="Z513" s="4">
        <f t="shared" si="512"/>
        <v>0</v>
      </c>
      <c r="AA513" s="4">
        <f t="shared" si="512"/>
        <v>0</v>
      </c>
      <c r="AB513" s="4">
        <f t="shared" si="512"/>
        <v>0</v>
      </c>
      <c r="AC513" s="4">
        <f t="shared" si="512"/>
        <v>0</v>
      </c>
      <c r="AD513" s="4">
        <f t="shared" si="512"/>
        <v>0</v>
      </c>
      <c r="AE513" s="4" t="str">
        <f>'Form responses 1'!AN515</f>
        <v/>
      </c>
      <c r="AF513" s="4" t="str">
        <f>'Form responses 1'!AO515</f>
        <v/>
      </c>
      <c r="AG513" s="4" t="str">
        <f>'Form responses 1'!AP515</f>
        <v/>
      </c>
      <c r="AH513" s="4" t="str">
        <f>'Form responses 1'!AQ515</f>
        <v/>
      </c>
      <c r="AI513" s="4" t="str">
        <f>'Form responses 1'!AR515</f>
        <v/>
      </c>
    </row>
    <row r="514">
      <c r="A514" s="26">
        <f>'Form responses 1'!B516</f>
        <v>46070</v>
      </c>
      <c r="B514" s="4" t="str">
        <f>'Form responses 1'!AZ516</f>
        <v>ankitha.baske@capsdelivery.com</v>
      </c>
      <c r="C514" s="4" t="str">
        <f>'Form responses 1'!BR516</f>
        <v>Maska Chaska</v>
      </c>
      <c r="D514" s="4" t="str">
        <f>'Form responses 1'!AT516</f>
        <v>Owner is not available </v>
      </c>
      <c r="E514" s="4" t="str">
        <f>'Form responses 1'!AU516</f>
        <v>Yes</v>
      </c>
      <c r="F514" s="4" t="str">
        <f>'Form responses 1'!AX516</f>
        <v/>
      </c>
      <c r="G514" s="4" t="str">
        <f>'Form responses 1'!AY516</f>
        <v/>
      </c>
      <c r="H514" s="53" t="str">
        <f>'Form responses 1'!AW516</f>
        <v/>
      </c>
      <c r="I514" s="4" t="str">
        <f>'Form responses 1'!AS516</f>
        <v/>
      </c>
      <c r="J514" s="4" t="str">
        <f>'Form responses 1'!J516</f>
        <v/>
      </c>
      <c r="K514" s="4" t="str">
        <f>'Form responses 1'!G516</f>
        <v/>
      </c>
      <c r="L514" s="4" t="str">
        <f>'Form responses 1'!F516</f>
        <v/>
      </c>
      <c r="M514" s="4" t="str">
        <f>'Form responses 1'!U516</f>
        <v>Na</v>
      </c>
      <c r="N514" s="4" t="str">
        <f>'Form responses 1'!V516</f>
        <v>Na</v>
      </c>
      <c r="O514" s="4" t="str">
        <f>'Form responses 1'!W516</f>
        <v>Na</v>
      </c>
      <c r="P514" s="4" t="str">
        <f>'Form responses 1'!X516</f>
        <v/>
      </c>
      <c r="Q514" s="4" t="str">
        <f>'Form responses 1'!Y516</f>
        <v/>
      </c>
      <c r="R514" s="4" t="str">
        <f>'Form responses 1'!Z516</f>
        <v/>
      </c>
      <c r="S514" s="4" t="str">
        <f>'Form responses 1'!AC516</f>
        <v/>
      </c>
      <c r="T514" s="4" t="str">
        <f>'Form responses 1'!AE516</f>
        <v/>
      </c>
      <c r="U514" s="4" t="str">
        <f>'Form responses 1'!AG516</f>
        <v/>
      </c>
      <c r="V514" s="4" t="str">
        <f>'Form responses 1'!AI516</f>
        <v/>
      </c>
      <c r="W514" s="4" t="str">
        <f>'Form responses 1'!AJ516</f>
        <v/>
      </c>
      <c r="X514" s="4" t="str">
        <f>'Form responses 1'!AK516</f>
        <v/>
      </c>
      <c r="Y514" s="4">
        <f t="shared" ref="Y514:AD514" si="513">if(S514&gt;0,1,0)</f>
        <v>0</v>
      </c>
      <c r="Z514" s="4">
        <f t="shared" si="513"/>
        <v>0</v>
      </c>
      <c r="AA514" s="4">
        <f t="shared" si="513"/>
        <v>0</v>
      </c>
      <c r="AB514" s="4">
        <f t="shared" si="513"/>
        <v>0</v>
      </c>
      <c r="AC514" s="4">
        <f t="shared" si="513"/>
        <v>0</v>
      </c>
      <c r="AD514" s="4">
        <f t="shared" si="513"/>
        <v>0</v>
      </c>
      <c r="AE514" s="4" t="str">
        <f>'Form responses 1'!AN516</f>
        <v/>
      </c>
      <c r="AF514" s="4" t="str">
        <f>'Form responses 1'!AO516</f>
        <v/>
      </c>
      <c r="AG514" s="4" t="str">
        <f>'Form responses 1'!AP516</f>
        <v/>
      </c>
      <c r="AH514" s="4" t="str">
        <f>'Form responses 1'!AQ516</f>
        <v/>
      </c>
      <c r="AI514" s="4" t="str">
        <f>'Form responses 1'!AR516</f>
        <v/>
      </c>
    </row>
    <row r="515">
      <c r="A515" s="26">
        <f>'Form responses 1'!B517</f>
        <v>46070</v>
      </c>
      <c r="B515" s="4" t="str">
        <f>'Form responses 1'!AZ517</f>
        <v>ankitha.baske@capsdelivery.com</v>
      </c>
      <c r="C515" s="4" t="str">
        <f>'Form responses 1'!BR517</f>
        <v>Bimvaram Bulodu</v>
      </c>
      <c r="D515" s="4" t="str">
        <f>'Form responses 1'!AT517</f>
        <v>Owner is nit available </v>
      </c>
      <c r="E515" s="4" t="str">
        <f>'Form responses 1'!AU517</f>
        <v>Yes</v>
      </c>
      <c r="F515" s="4" t="str">
        <f>'Form responses 1'!AX517</f>
        <v/>
      </c>
      <c r="G515" s="4" t="str">
        <f>'Form responses 1'!AY517</f>
        <v/>
      </c>
      <c r="H515" s="53" t="str">
        <f>'Form responses 1'!AW517</f>
        <v/>
      </c>
      <c r="I515" s="4" t="str">
        <f>'Form responses 1'!AS517</f>
        <v/>
      </c>
      <c r="J515" s="4" t="str">
        <f>'Form responses 1'!J517</f>
        <v/>
      </c>
      <c r="K515" s="4" t="str">
        <f>'Form responses 1'!G517</f>
        <v/>
      </c>
      <c r="L515" s="4" t="str">
        <f>'Form responses 1'!F517</f>
        <v/>
      </c>
      <c r="M515" s="4" t="str">
        <f>'Form responses 1'!U517</f>
        <v>Nikhil</v>
      </c>
      <c r="N515" s="4">
        <f>'Form responses 1'!V517</f>
        <v>8247047507</v>
      </c>
      <c r="O515" s="4" t="str">
        <f>'Form responses 1'!W517</f>
        <v>Na</v>
      </c>
      <c r="P515" s="4" t="str">
        <f>'Form responses 1'!X517</f>
        <v/>
      </c>
      <c r="Q515" s="4" t="str">
        <f>'Form responses 1'!Y517</f>
        <v/>
      </c>
      <c r="R515" s="4" t="str">
        <f>'Form responses 1'!Z517</f>
        <v/>
      </c>
      <c r="S515" s="4" t="str">
        <f>'Form responses 1'!AC517</f>
        <v/>
      </c>
      <c r="T515" s="4" t="str">
        <f>'Form responses 1'!AE517</f>
        <v/>
      </c>
      <c r="U515" s="4" t="str">
        <f>'Form responses 1'!AG517</f>
        <v/>
      </c>
      <c r="V515" s="4" t="str">
        <f>'Form responses 1'!AI517</f>
        <v/>
      </c>
      <c r="W515" s="4" t="str">
        <f>'Form responses 1'!AJ517</f>
        <v/>
      </c>
      <c r="X515" s="4" t="str">
        <f>'Form responses 1'!AK517</f>
        <v/>
      </c>
      <c r="Y515" s="4">
        <f t="shared" ref="Y515:AD515" si="514">if(S515&gt;0,1,0)</f>
        <v>0</v>
      </c>
      <c r="Z515" s="4">
        <f t="shared" si="514"/>
        <v>0</v>
      </c>
      <c r="AA515" s="4">
        <f t="shared" si="514"/>
        <v>0</v>
      </c>
      <c r="AB515" s="4">
        <f t="shared" si="514"/>
        <v>0</v>
      </c>
      <c r="AC515" s="4">
        <f t="shared" si="514"/>
        <v>0</v>
      </c>
      <c r="AD515" s="4">
        <f t="shared" si="514"/>
        <v>0</v>
      </c>
      <c r="AE515" s="4" t="str">
        <f>'Form responses 1'!AN517</f>
        <v/>
      </c>
      <c r="AF515" s="4" t="str">
        <f>'Form responses 1'!AO517</f>
        <v/>
      </c>
      <c r="AG515" s="4" t="str">
        <f>'Form responses 1'!AP517</f>
        <v/>
      </c>
      <c r="AH515" s="4" t="str">
        <f>'Form responses 1'!AQ517</f>
        <v/>
      </c>
      <c r="AI515" s="4" t="str">
        <f>'Form responses 1'!AR517</f>
        <v/>
      </c>
    </row>
    <row r="516">
      <c r="A516" s="26">
        <f>'Form responses 1'!B518</f>
        <v>46070</v>
      </c>
      <c r="B516" s="4" t="str">
        <f>'Form responses 1'!AZ518</f>
        <v>ankitha.baske@capsdelivery.com</v>
      </c>
      <c r="C516" s="4" t="str">
        <f>'Form responses 1'!BR518</f>
        <v>Ahara Avaham</v>
      </c>
      <c r="D516" s="4" t="str">
        <f>'Form responses 1'!AT518</f>
        <v>Onboarding tomorrow </v>
      </c>
      <c r="E516" s="4" t="str">
        <f>'Form responses 1'!AU518</f>
        <v>Yes</v>
      </c>
      <c r="F516" s="26">
        <f>'Form responses 1'!AX518</f>
        <v>46071</v>
      </c>
      <c r="G516" s="52">
        <f>'Form responses 1'!AY518</f>
        <v>0.7083333333</v>
      </c>
      <c r="H516" s="53" t="str">
        <f>'Form responses 1'!AW518</f>
        <v/>
      </c>
      <c r="I516" s="4" t="str">
        <f>'Form responses 1'!AS518</f>
        <v/>
      </c>
      <c r="J516" s="4" t="str">
        <f>'Form responses 1'!J518</f>
        <v/>
      </c>
      <c r="K516" s="4" t="str">
        <f>'Form responses 1'!G518</f>
        <v/>
      </c>
      <c r="L516" s="4" t="str">
        <f>'Form responses 1'!F518</f>
        <v/>
      </c>
      <c r="M516" s="4" t="str">
        <f>'Form responses 1'!U518</f>
        <v>Sai kumar</v>
      </c>
      <c r="N516" s="4">
        <f>'Form responses 1'!V518</f>
        <v>9700119173</v>
      </c>
      <c r="O516" s="4" t="str">
        <f>'Form responses 1'!W518</f>
        <v>Na</v>
      </c>
      <c r="P516" s="4" t="str">
        <f>'Form responses 1'!X518</f>
        <v/>
      </c>
      <c r="Q516" s="4" t="str">
        <f>'Form responses 1'!Y518</f>
        <v/>
      </c>
      <c r="R516" s="4" t="str">
        <f>'Form responses 1'!Z518</f>
        <v/>
      </c>
      <c r="S516" s="4" t="str">
        <f>'Form responses 1'!AC518</f>
        <v/>
      </c>
      <c r="T516" s="4" t="str">
        <f>'Form responses 1'!AE518</f>
        <v/>
      </c>
      <c r="U516" s="4" t="str">
        <f>'Form responses 1'!AG518</f>
        <v/>
      </c>
      <c r="V516" s="4" t="str">
        <f>'Form responses 1'!AI518</f>
        <v/>
      </c>
      <c r="W516" s="4" t="str">
        <f>'Form responses 1'!AJ518</f>
        <v/>
      </c>
      <c r="X516" s="4" t="str">
        <f>'Form responses 1'!AK518</f>
        <v/>
      </c>
      <c r="Y516" s="4">
        <f t="shared" ref="Y516:AD516" si="515">if(S516&gt;0,1,0)</f>
        <v>0</v>
      </c>
      <c r="Z516" s="4">
        <f t="shared" si="515"/>
        <v>0</v>
      </c>
      <c r="AA516" s="4">
        <f t="shared" si="515"/>
        <v>0</v>
      </c>
      <c r="AB516" s="4">
        <f t="shared" si="515"/>
        <v>0</v>
      </c>
      <c r="AC516" s="4">
        <f t="shared" si="515"/>
        <v>0</v>
      </c>
      <c r="AD516" s="4">
        <f t="shared" si="515"/>
        <v>0</v>
      </c>
      <c r="AE516" s="4" t="str">
        <f>'Form responses 1'!AN518</f>
        <v/>
      </c>
      <c r="AF516" s="4" t="str">
        <f>'Form responses 1'!AO518</f>
        <v/>
      </c>
      <c r="AG516" s="4" t="str">
        <f>'Form responses 1'!AP518</f>
        <v/>
      </c>
      <c r="AH516" s="4" t="str">
        <f>'Form responses 1'!AQ518</f>
        <v/>
      </c>
      <c r="AI516" s="4" t="str">
        <f>'Form responses 1'!AR518</f>
        <v/>
      </c>
    </row>
    <row r="517">
      <c r="A517" s="26">
        <f>'Form responses 1'!B519</f>
        <v>46070</v>
      </c>
      <c r="B517" s="4" t="str">
        <f>'Form responses 1'!AZ519</f>
        <v>anisha.poddar@capsdelivery.com</v>
      </c>
      <c r="C517" s="4" t="str">
        <f>'Form responses 1'!BR519</f>
        <v>Burfighar</v>
      </c>
      <c r="D517" s="4" t="str">
        <f>'Form responses 1'!AT519</f>
        <v>Have to meet with the owner</v>
      </c>
      <c r="E517" s="4" t="str">
        <f>'Form responses 1'!AU519</f>
        <v>Yes</v>
      </c>
      <c r="F517" s="4" t="str">
        <f>'Form responses 1'!AX519</f>
        <v/>
      </c>
      <c r="G517" s="4" t="str">
        <f>'Form responses 1'!AY519</f>
        <v/>
      </c>
      <c r="H517" s="53" t="str">
        <f>'Form responses 1'!AW519</f>
        <v/>
      </c>
      <c r="I517" s="4" t="str">
        <f>'Form responses 1'!AS519</f>
        <v/>
      </c>
      <c r="J517" s="4" t="str">
        <f>'Form responses 1'!J519</f>
        <v>Tier-2 (AOV &lt;400)</v>
      </c>
      <c r="K517" s="4">
        <f>'Form responses 1'!G519</f>
        <v>250</v>
      </c>
      <c r="L517" s="4">
        <f>'Form responses 1'!F519</f>
        <v>30</v>
      </c>
      <c r="M517" s="4" t="str">
        <f>'Form responses 1'!U519</f>
        <v>Naveen</v>
      </c>
      <c r="N517" s="4">
        <f>'Form responses 1'!V519</f>
        <v>9704551666</v>
      </c>
      <c r="O517" s="4" t="str">
        <f>'Form responses 1'!W519</f>
        <v>NA</v>
      </c>
      <c r="P517" s="4" t="str">
        <f>'Form responses 1'!X519</f>
        <v/>
      </c>
      <c r="Q517" s="4" t="str">
        <f>'Form responses 1'!Y519</f>
        <v/>
      </c>
      <c r="R517" s="4" t="str">
        <f>'Form responses 1'!Z519</f>
        <v/>
      </c>
      <c r="S517" s="4" t="str">
        <f>'Form responses 1'!AC519</f>
        <v/>
      </c>
      <c r="T517" s="4" t="str">
        <f>'Form responses 1'!AE519</f>
        <v/>
      </c>
      <c r="U517" s="4" t="str">
        <f>'Form responses 1'!AG519</f>
        <v/>
      </c>
      <c r="V517" s="4" t="str">
        <f>'Form responses 1'!AI519</f>
        <v/>
      </c>
      <c r="W517" s="4" t="str">
        <f>'Form responses 1'!AJ519</f>
        <v/>
      </c>
      <c r="X517" s="4" t="str">
        <f>'Form responses 1'!AK519</f>
        <v/>
      </c>
      <c r="Y517" s="4">
        <f t="shared" ref="Y517:AD517" si="516">if(S517&gt;0,1,0)</f>
        <v>0</v>
      </c>
      <c r="Z517" s="4">
        <f t="shared" si="516"/>
        <v>0</v>
      </c>
      <c r="AA517" s="4">
        <f t="shared" si="516"/>
        <v>0</v>
      </c>
      <c r="AB517" s="4">
        <f t="shared" si="516"/>
        <v>0</v>
      </c>
      <c r="AC517" s="4">
        <f t="shared" si="516"/>
        <v>0</v>
      </c>
      <c r="AD517" s="4">
        <f t="shared" si="516"/>
        <v>0</v>
      </c>
      <c r="AE517" s="4" t="str">
        <f>'Form responses 1'!AN519</f>
        <v/>
      </c>
      <c r="AF517" s="4" t="str">
        <f>'Form responses 1'!AO519</f>
        <v/>
      </c>
      <c r="AG517" s="4" t="str">
        <f>'Form responses 1'!AP519</f>
        <v/>
      </c>
      <c r="AH517" s="4" t="str">
        <f>'Form responses 1'!AQ519</f>
        <v/>
      </c>
      <c r="AI517" s="4" t="str">
        <f>'Form responses 1'!AR519</f>
        <v/>
      </c>
    </row>
    <row r="518">
      <c r="A518" s="26">
        <f>'Form responses 1'!B520</f>
        <v>46070</v>
      </c>
      <c r="B518" s="4" t="str">
        <f>'Form responses 1'!AZ520</f>
        <v>chanakya.inugala@capsdelivery.com</v>
      </c>
      <c r="C518" s="4" t="str">
        <f>'Form responses 1'!BR520</f>
        <v>Punjabi paratha House </v>
      </c>
      <c r="D518" s="4" t="str">
        <f>'Form responses 1'!AT520</f>
        <v>Na</v>
      </c>
      <c r="E518" s="4" t="str">
        <f>'Form responses 1'!AU520</f>
        <v>Yes</v>
      </c>
      <c r="F518" s="4" t="str">
        <f>'Form responses 1'!AX520</f>
        <v/>
      </c>
      <c r="G518" s="4" t="str">
        <f>'Form responses 1'!AY520</f>
        <v/>
      </c>
      <c r="H518" s="53" t="str">
        <f>'Form responses 1'!AW520</f>
        <v/>
      </c>
      <c r="I518" s="4" t="str">
        <f>'Form responses 1'!AS520</f>
        <v/>
      </c>
      <c r="J518" s="4" t="str">
        <f>'Form responses 1'!J520</f>
        <v>Tier-3 ( AOV&lt;200 )</v>
      </c>
      <c r="K518" s="4">
        <f>'Form responses 1'!G520</f>
        <v>200</v>
      </c>
      <c r="L518" s="4">
        <f>'Form responses 1'!F520</f>
        <v>10</v>
      </c>
      <c r="M518" s="4" t="str">
        <f>'Form responses 1'!U520</f>
        <v>Manu</v>
      </c>
      <c r="N518" s="4">
        <f>'Form responses 1'!V520</f>
        <v>8125210000</v>
      </c>
      <c r="O518" s="4" t="str">
        <f>'Form responses 1'!W520</f>
        <v>Na</v>
      </c>
      <c r="P518" s="4" t="str">
        <f>'Form responses 1'!X520</f>
        <v/>
      </c>
      <c r="Q518" s="4" t="str">
        <f>'Form responses 1'!Y520</f>
        <v/>
      </c>
      <c r="R518" s="4" t="str">
        <f>'Form responses 1'!Z520</f>
        <v/>
      </c>
      <c r="S518" s="4" t="str">
        <f>'Form responses 1'!AC520</f>
        <v/>
      </c>
      <c r="T518" s="4" t="str">
        <f>'Form responses 1'!AE520</f>
        <v/>
      </c>
      <c r="U518" s="4" t="str">
        <f>'Form responses 1'!AG520</f>
        <v/>
      </c>
      <c r="V518" s="4" t="str">
        <f>'Form responses 1'!AI520</f>
        <v/>
      </c>
      <c r="W518" s="4" t="str">
        <f>'Form responses 1'!AJ520</f>
        <v/>
      </c>
      <c r="X518" s="4" t="str">
        <f>'Form responses 1'!AK520</f>
        <v/>
      </c>
      <c r="Y518" s="4">
        <f t="shared" ref="Y518:AD518" si="517">if(S518&gt;0,1,0)</f>
        <v>0</v>
      </c>
      <c r="Z518" s="4">
        <f t="shared" si="517"/>
        <v>0</v>
      </c>
      <c r="AA518" s="4">
        <f t="shared" si="517"/>
        <v>0</v>
      </c>
      <c r="AB518" s="4">
        <f t="shared" si="517"/>
        <v>0</v>
      </c>
      <c r="AC518" s="4">
        <f t="shared" si="517"/>
        <v>0</v>
      </c>
      <c r="AD518" s="4">
        <f t="shared" si="517"/>
        <v>0</v>
      </c>
      <c r="AE518" s="4" t="str">
        <f>'Form responses 1'!AN520</f>
        <v/>
      </c>
      <c r="AF518" s="4" t="str">
        <f>'Form responses 1'!AO520</f>
        <v/>
      </c>
      <c r="AG518" s="4" t="str">
        <f>'Form responses 1'!AP520</f>
        <v/>
      </c>
      <c r="AH518" s="4" t="str">
        <f>'Form responses 1'!AQ520</f>
        <v/>
      </c>
      <c r="AI518" s="4" t="str">
        <f>'Form responses 1'!AR520</f>
        <v/>
      </c>
    </row>
    <row r="519">
      <c r="A519" s="26">
        <f>'Form responses 1'!B521</f>
        <v>46070</v>
      </c>
      <c r="B519" s="4" t="str">
        <f>'Form responses 1'!AZ521</f>
        <v>chanakya.inugala@capsdelivery.com</v>
      </c>
      <c r="C519" s="4" t="str">
        <f>'Form responses 1'!BR521</f>
        <v>Cherrys Restaurant </v>
      </c>
      <c r="D519" s="4" t="str">
        <f>'Form responses 1'!AT521</f>
        <v>Na</v>
      </c>
      <c r="E519" s="4" t="str">
        <f>'Form responses 1'!AU521</f>
        <v>Yes</v>
      </c>
      <c r="F519" s="4" t="str">
        <f>'Form responses 1'!AX521</f>
        <v/>
      </c>
      <c r="G519" s="4" t="str">
        <f>'Form responses 1'!AY521</f>
        <v/>
      </c>
      <c r="H519" s="53" t="str">
        <f>'Form responses 1'!AW521</f>
        <v/>
      </c>
      <c r="I519" s="4" t="str">
        <f>'Form responses 1'!AS521</f>
        <v/>
      </c>
      <c r="J519" s="4" t="str">
        <f>'Form responses 1'!J521</f>
        <v>Tier-3 ( AOV&lt;200 )</v>
      </c>
      <c r="K519" s="4">
        <f>'Form responses 1'!G521</f>
        <v>200</v>
      </c>
      <c r="L519" s="4">
        <f>'Form responses 1'!F521</f>
        <v>30</v>
      </c>
      <c r="M519" s="4" t="str">
        <f>'Form responses 1'!U521</f>
        <v>Na</v>
      </c>
      <c r="N519" s="4">
        <f>'Form responses 1'!V521</f>
        <v>9494567064</v>
      </c>
      <c r="O519" s="4" t="str">
        <f>'Form responses 1'!W521</f>
        <v>Na</v>
      </c>
      <c r="P519" s="4" t="str">
        <f>'Form responses 1'!X521</f>
        <v/>
      </c>
      <c r="Q519" s="4" t="str">
        <f>'Form responses 1'!Y521</f>
        <v/>
      </c>
      <c r="R519" s="4" t="str">
        <f>'Form responses 1'!Z521</f>
        <v/>
      </c>
      <c r="S519" s="4" t="str">
        <f>'Form responses 1'!AC521</f>
        <v/>
      </c>
      <c r="T519" s="4" t="str">
        <f>'Form responses 1'!AE521</f>
        <v/>
      </c>
      <c r="U519" s="4" t="str">
        <f>'Form responses 1'!AG521</f>
        <v/>
      </c>
      <c r="V519" s="4" t="str">
        <f>'Form responses 1'!AI521</f>
        <v/>
      </c>
      <c r="W519" s="4" t="str">
        <f>'Form responses 1'!AJ521</f>
        <v/>
      </c>
      <c r="X519" s="4" t="str">
        <f>'Form responses 1'!AK521</f>
        <v/>
      </c>
      <c r="Y519" s="4">
        <f t="shared" ref="Y519:AD519" si="518">if(S519&gt;0,1,0)</f>
        <v>0</v>
      </c>
      <c r="Z519" s="4">
        <f t="shared" si="518"/>
        <v>0</v>
      </c>
      <c r="AA519" s="4">
        <f t="shared" si="518"/>
        <v>0</v>
      </c>
      <c r="AB519" s="4">
        <f t="shared" si="518"/>
        <v>0</v>
      </c>
      <c r="AC519" s="4">
        <f t="shared" si="518"/>
        <v>0</v>
      </c>
      <c r="AD519" s="4">
        <f t="shared" si="518"/>
        <v>0</v>
      </c>
      <c r="AE519" s="4" t="str">
        <f>'Form responses 1'!AN521</f>
        <v/>
      </c>
      <c r="AF519" s="4" t="str">
        <f>'Form responses 1'!AO521</f>
        <v/>
      </c>
      <c r="AG519" s="4" t="str">
        <f>'Form responses 1'!AP521</f>
        <v/>
      </c>
      <c r="AH519" s="4" t="str">
        <f>'Form responses 1'!AQ521</f>
        <v/>
      </c>
      <c r="AI519" s="4" t="str">
        <f>'Form responses 1'!AR521</f>
        <v/>
      </c>
    </row>
    <row r="520">
      <c r="A520" s="26">
        <f>'Form responses 1'!B522</f>
        <v>46070</v>
      </c>
      <c r="B520" s="4" t="str">
        <f>'Form responses 1'!AZ522</f>
        <v>anisha.poddar@capsdelivery.com</v>
      </c>
      <c r="C520" s="4" t="str">
        <f>'Form responses 1'!BR522</f>
        <v>IFC- Indian favourite Chef</v>
      </c>
      <c r="D520" s="4" t="str">
        <f>'Form responses 1'!AT522</f>
        <v>Will be onboarded by 18th of Feb</v>
      </c>
      <c r="E520" s="4" t="str">
        <f>'Form responses 1'!AU522</f>
        <v>Yes</v>
      </c>
      <c r="F520" s="4" t="str">
        <f>'Form responses 1'!AX522</f>
        <v/>
      </c>
      <c r="G520" s="4" t="str">
        <f>'Form responses 1'!AY522</f>
        <v/>
      </c>
      <c r="H520" s="53" t="str">
        <f>'Form responses 1'!AW522</f>
        <v/>
      </c>
      <c r="I520" s="4" t="str">
        <f>'Form responses 1'!AS522</f>
        <v/>
      </c>
      <c r="J520" s="4" t="str">
        <f>'Form responses 1'!J522</f>
        <v>Tier-2 (AOV &lt;400)</v>
      </c>
      <c r="K520" s="4">
        <f>'Form responses 1'!G522</f>
        <v>250</v>
      </c>
      <c r="L520" s="4">
        <f>'Form responses 1'!F522</f>
        <v>5</v>
      </c>
      <c r="M520" s="4" t="str">
        <f>'Form responses 1'!U522</f>
        <v>Rohit</v>
      </c>
      <c r="N520" s="4">
        <f>'Form responses 1'!V522</f>
        <v>7004240970</v>
      </c>
      <c r="O520" s="4" t="str">
        <f>'Form responses 1'!W522</f>
        <v>NA</v>
      </c>
      <c r="P520" s="4" t="str">
        <f>'Form responses 1'!X522</f>
        <v/>
      </c>
      <c r="Q520" s="4" t="str">
        <f>'Form responses 1'!Y522</f>
        <v/>
      </c>
      <c r="R520" s="4" t="str">
        <f>'Form responses 1'!Z522</f>
        <v/>
      </c>
      <c r="S520" s="4" t="str">
        <f>'Form responses 1'!AC522</f>
        <v/>
      </c>
      <c r="T520" s="4" t="str">
        <f>'Form responses 1'!AE522</f>
        <v/>
      </c>
      <c r="U520" s="4" t="str">
        <f>'Form responses 1'!AG522</f>
        <v/>
      </c>
      <c r="V520" s="4" t="str">
        <f>'Form responses 1'!AI522</f>
        <v/>
      </c>
      <c r="W520" s="4" t="str">
        <f>'Form responses 1'!AJ522</f>
        <v/>
      </c>
      <c r="X520" s="4" t="str">
        <f>'Form responses 1'!AK522</f>
        <v/>
      </c>
      <c r="Y520" s="4">
        <f t="shared" ref="Y520:AD520" si="519">if(S520&gt;0,1,0)</f>
        <v>0</v>
      </c>
      <c r="Z520" s="4">
        <f t="shared" si="519"/>
        <v>0</v>
      </c>
      <c r="AA520" s="4">
        <f t="shared" si="519"/>
        <v>0</v>
      </c>
      <c r="AB520" s="4">
        <f t="shared" si="519"/>
        <v>0</v>
      </c>
      <c r="AC520" s="4">
        <f t="shared" si="519"/>
        <v>0</v>
      </c>
      <c r="AD520" s="4">
        <f t="shared" si="519"/>
        <v>0</v>
      </c>
      <c r="AE520" s="4" t="str">
        <f>'Form responses 1'!AN522</f>
        <v/>
      </c>
      <c r="AF520" s="4" t="str">
        <f>'Form responses 1'!AO522</f>
        <v/>
      </c>
      <c r="AG520" s="4" t="str">
        <f>'Form responses 1'!AP522</f>
        <v/>
      </c>
      <c r="AH520" s="4" t="str">
        <f>'Form responses 1'!AQ522</f>
        <v/>
      </c>
      <c r="AI520" s="4" t="str">
        <f>'Form responses 1'!AR522</f>
        <v/>
      </c>
    </row>
    <row r="521">
      <c r="A521" s="26">
        <f>'Form responses 1'!B523</f>
        <v>46070</v>
      </c>
      <c r="B521" s="4" t="str">
        <f>'Form responses 1'!AZ523</f>
        <v>chanakya.inugala@capsdelivery.com</v>
      </c>
      <c r="C521" s="4" t="str">
        <f>'Form responses 1'!BR523</f>
        <v>My Biriyani </v>
      </c>
      <c r="D521" s="4" t="str">
        <f>'Form responses 1'!AT523</f>
        <v>Onboarded </v>
      </c>
      <c r="E521" s="4" t="str">
        <f>'Form responses 1'!AU523</f>
        <v>No</v>
      </c>
      <c r="F521" s="4" t="str">
        <f>'Form responses 1'!AX523</f>
        <v/>
      </c>
      <c r="G521" s="4" t="str">
        <f>'Form responses 1'!AY523</f>
        <v/>
      </c>
      <c r="H521" s="53" t="str">
        <f>'Form responses 1'!AW523</f>
        <v/>
      </c>
      <c r="I521" s="4" t="str">
        <f>'Form responses 1'!AS523</f>
        <v/>
      </c>
      <c r="J521" s="4" t="str">
        <f>'Form responses 1'!J523</f>
        <v>Tier-3 ( AOV&lt;200 )</v>
      </c>
      <c r="K521" s="4">
        <f>'Form responses 1'!G523</f>
        <v>200</v>
      </c>
      <c r="L521" s="4">
        <f>'Form responses 1'!F523</f>
        <v>30</v>
      </c>
      <c r="M521" s="4" t="str">
        <f>'Form responses 1'!U523</f>
        <v>Sudhakar </v>
      </c>
      <c r="N521" s="4">
        <f>'Form responses 1'!V523</f>
        <v>8801297760</v>
      </c>
      <c r="O521" s="4" t="str">
        <f>'Form responses 1'!W523</f>
        <v>Na</v>
      </c>
      <c r="P521" s="4" t="str">
        <f>'Form responses 1'!X523</f>
        <v/>
      </c>
      <c r="Q521" s="4" t="str">
        <f>'Form responses 1'!Y523</f>
        <v/>
      </c>
      <c r="R521" s="4" t="str">
        <f>'Form responses 1'!Z523</f>
        <v/>
      </c>
      <c r="S521" s="4" t="str">
        <f>'Form responses 1'!AC523</f>
        <v/>
      </c>
      <c r="T521" s="4" t="str">
        <f>'Form responses 1'!AE523</f>
        <v/>
      </c>
      <c r="U521" s="4" t="str">
        <f>'Form responses 1'!AG523</f>
        <v/>
      </c>
      <c r="V521" s="4" t="str">
        <f>'Form responses 1'!AI523</f>
        <v/>
      </c>
      <c r="W521" s="4" t="str">
        <f>'Form responses 1'!AJ523</f>
        <v/>
      </c>
      <c r="X521" s="4" t="str">
        <f>'Form responses 1'!AK523</f>
        <v/>
      </c>
      <c r="Y521" s="4">
        <f t="shared" ref="Y521:AD521" si="520">if(S521&gt;0,1,0)</f>
        <v>0</v>
      </c>
      <c r="Z521" s="4">
        <f t="shared" si="520"/>
        <v>0</v>
      </c>
      <c r="AA521" s="4">
        <f t="shared" si="520"/>
        <v>0</v>
      </c>
      <c r="AB521" s="4">
        <f t="shared" si="520"/>
        <v>0</v>
      </c>
      <c r="AC521" s="4">
        <f t="shared" si="520"/>
        <v>0</v>
      </c>
      <c r="AD521" s="4">
        <f t="shared" si="520"/>
        <v>0</v>
      </c>
      <c r="AE521" s="4" t="str">
        <f>'Form responses 1'!AN523</f>
        <v/>
      </c>
      <c r="AF521" s="4" t="str">
        <f>'Form responses 1'!AO523</f>
        <v/>
      </c>
      <c r="AG521" s="4" t="str">
        <f>'Form responses 1'!AP523</f>
        <v/>
      </c>
      <c r="AH521" s="4" t="str">
        <f>'Form responses 1'!AQ523</f>
        <v/>
      </c>
      <c r="AI521" s="4" t="str">
        <f>'Form responses 1'!AR523</f>
        <v/>
      </c>
    </row>
    <row r="522">
      <c r="A522" s="26">
        <f>'Form responses 1'!B524</f>
        <v>46070</v>
      </c>
      <c r="B522" s="4" t="str">
        <f>'Form responses 1'!AZ524</f>
        <v>chanakya.inugala@capsdelivery.com</v>
      </c>
      <c r="C522" s="4" t="str">
        <f>'Form responses 1'!BR524</f>
        <v>Babai Hotel </v>
      </c>
      <c r="D522" s="4" t="str">
        <f>'Form responses 1'!AT524</f>
        <v>Na</v>
      </c>
      <c r="E522" s="4" t="str">
        <f>'Form responses 1'!AU524</f>
        <v>Yes</v>
      </c>
      <c r="F522" s="4" t="str">
        <f>'Form responses 1'!AX524</f>
        <v/>
      </c>
      <c r="G522" s="4" t="str">
        <f>'Form responses 1'!AY524</f>
        <v/>
      </c>
      <c r="H522" s="53" t="str">
        <f>'Form responses 1'!AW524</f>
        <v/>
      </c>
      <c r="I522" s="4" t="str">
        <f>'Form responses 1'!AS524</f>
        <v/>
      </c>
      <c r="J522" s="4" t="str">
        <f>'Form responses 1'!J524</f>
        <v>Tier-2 (AOV &lt;400)</v>
      </c>
      <c r="K522" s="4">
        <f>'Form responses 1'!G524</f>
        <v>200</v>
      </c>
      <c r="L522" s="4">
        <f>'Form responses 1'!F524</f>
        <v>40</v>
      </c>
      <c r="M522" s="4" t="str">
        <f>'Form responses 1'!U524</f>
        <v>Chandrashekhar </v>
      </c>
      <c r="N522" s="4">
        <f>'Form responses 1'!V524</f>
        <v>9642114111</v>
      </c>
      <c r="O522" s="4" t="str">
        <f>'Form responses 1'!W524</f>
        <v>Na</v>
      </c>
      <c r="P522" s="4" t="str">
        <f>'Form responses 1'!X524</f>
        <v/>
      </c>
      <c r="Q522" s="4" t="str">
        <f>'Form responses 1'!Y524</f>
        <v/>
      </c>
      <c r="R522" s="4" t="str">
        <f>'Form responses 1'!Z524</f>
        <v/>
      </c>
      <c r="S522" s="4" t="str">
        <f>'Form responses 1'!AC524</f>
        <v/>
      </c>
      <c r="T522" s="4" t="str">
        <f>'Form responses 1'!AE524</f>
        <v/>
      </c>
      <c r="U522" s="4" t="str">
        <f>'Form responses 1'!AG524</f>
        <v/>
      </c>
      <c r="V522" s="4" t="str">
        <f>'Form responses 1'!AI524</f>
        <v/>
      </c>
      <c r="W522" s="4" t="str">
        <f>'Form responses 1'!AJ524</f>
        <v/>
      </c>
      <c r="X522" s="4" t="str">
        <f>'Form responses 1'!AK524</f>
        <v/>
      </c>
      <c r="Y522" s="4">
        <f t="shared" ref="Y522:AD522" si="521">if(S522&gt;0,1,0)</f>
        <v>0</v>
      </c>
      <c r="Z522" s="4">
        <f t="shared" si="521"/>
        <v>0</v>
      </c>
      <c r="AA522" s="4">
        <f t="shared" si="521"/>
        <v>0</v>
      </c>
      <c r="AB522" s="4">
        <f t="shared" si="521"/>
        <v>0</v>
      </c>
      <c r="AC522" s="4">
        <f t="shared" si="521"/>
        <v>0</v>
      </c>
      <c r="AD522" s="4">
        <f t="shared" si="521"/>
        <v>0</v>
      </c>
      <c r="AE522" s="4" t="str">
        <f>'Form responses 1'!AN524</f>
        <v/>
      </c>
      <c r="AF522" s="4" t="str">
        <f>'Form responses 1'!AO524</f>
        <v/>
      </c>
      <c r="AG522" s="4" t="str">
        <f>'Form responses 1'!AP524</f>
        <v/>
      </c>
      <c r="AH522" s="4" t="str">
        <f>'Form responses 1'!AQ524</f>
        <v/>
      </c>
      <c r="AI522" s="4" t="str">
        <f>'Form responses 1'!AR524</f>
        <v/>
      </c>
    </row>
    <row r="523">
      <c r="A523" s="26">
        <f>'Form responses 1'!B550</f>
        <v>46070</v>
      </c>
      <c r="B523" s="4" t="str">
        <f>'Form responses 1'!AZ550</f>
        <v>greeshma.vanneldas@capsdelivery.com</v>
      </c>
      <c r="C523" s="4" t="str">
        <f>'Form responses 1'!BR550</f>
        <v>Livora cafe nd kitchen</v>
      </c>
      <c r="D523" s="4" t="str">
        <f>'Form responses 1'!AT550</f>
        <v>following up to get meeting with manager</v>
      </c>
      <c r="E523" s="4" t="str">
        <f>'Form responses 1'!AU550</f>
        <v>Yes</v>
      </c>
      <c r="F523" s="4" t="str">
        <f>'Form responses 1'!AX550</f>
        <v/>
      </c>
      <c r="G523" s="4" t="str">
        <f>'Form responses 1'!AY550</f>
        <v/>
      </c>
      <c r="H523" s="53" t="str">
        <f>'Form responses 1'!AW550</f>
        <v/>
      </c>
      <c r="I523" s="4" t="str">
        <f>'Form responses 1'!AS550</f>
        <v/>
      </c>
      <c r="J523" s="4" t="str">
        <f>'Form responses 1'!J550</f>
        <v/>
      </c>
      <c r="K523" s="4" t="str">
        <f>'Form responses 1'!G550</f>
        <v/>
      </c>
      <c r="L523" s="4" t="str">
        <f>'Form responses 1'!F550</f>
        <v/>
      </c>
      <c r="M523" s="4" t="str">
        <f>'Form responses 1'!U550</f>
        <v>suraj</v>
      </c>
      <c r="N523" s="4">
        <f>'Form responses 1'!V550</f>
        <v>8106842929</v>
      </c>
      <c r="O523" s="4" t="str">
        <f>'Form responses 1'!W550</f>
        <v>na</v>
      </c>
      <c r="P523" s="4" t="str">
        <f>'Form responses 1'!X550</f>
        <v/>
      </c>
      <c r="Q523" s="4" t="str">
        <f>'Form responses 1'!Y550</f>
        <v/>
      </c>
      <c r="R523" s="4" t="str">
        <f>'Form responses 1'!Z550</f>
        <v/>
      </c>
      <c r="S523" s="4" t="str">
        <f>'Form responses 1'!AC550</f>
        <v/>
      </c>
      <c r="T523" s="4" t="str">
        <f>'Form responses 1'!AE550</f>
        <v/>
      </c>
      <c r="U523" s="4" t="str">
        <f>'Form responses 1'!AG550</f>
        <v/>
      </c>
      <c r="V523" s="4" t="str">
        <f>'Form responses 1'!AI550</f>
        <v/>
      </c>
      <c r="W523" s="4" t="str">
        <f>'Form responses 1'!AJ550</f>
        <v/>
      </c>
      <c r="X523" s="4" t="str">
        <f>'Form responses 1'!AK550</f>
        <v/>
      </c>
      <c r="Y523" s="4">
        <f t="shared" ref="Y523:AD523" si="522">if(S523&gt;0,1,0)</f>
        <v>0</v>
      </c>
      <c r="Z523" s="4">
        <f t="shared" si="522"/>
        <v>0</v>
      </c>
      <c r="AA523" s="4">
        <f t="shared" si="522"/>
        <v>0</v>
      </c>
      <c r="AB523" s="4">
        <f t="shared" si="522"/>
        <v>0</v>
      </c>
      <c r="AC523" s="4">
        <f t="shared" si="522"/>
        <v>0</v>
      </c>
      <c r="AD523" s="4">
        <f t="shared" si="522"/>
        <v>0</v>
      </c>
      <c r="AE523" s="4" t="str">
        <f>'Form responses 1'!AN550</f>
        <v/>
      </c>
      <c r="AF523" s="4" t="str">
        <f>'Form responses 1'!AO550</f>
        <v/>
      </c>
      <c r="AG523" s="4" t="str">
        <f>'Form responses 1'!AP550</f>
        <v/>
      </c>
      <c r="AH523" s="4" t="str">
        <f>'Form responses 1'!AQ550</f>
        <v/>
      </c>
      <c r="AI523" s="4" t="str">
        <f>'Form responses 1'!AR550</f>
        <v/>
      </c>
    </row>
    <row r="524">
      <c r="A524" s="26">
        <f>'Form responses 1'!B526</f>
        <v>46070</v>
      </c>
      <c r="B524" s="4" t="str">
        <f>'Form responses 1'!AZ526</f>
        <v>anisha.poddar@capsdelivery.com</v>
      </c>
      <c r="C524" s="4" t="str">
        <f>'Form responses 1'!BR526</f>
        <v>Southern Fusion</v>
      </c>
      <c r="D524" s="4" t="str">
        <f>'Form responses 1'!AT526</f>
        <v>Will be onboarded by 18th February</v>
      </c>
      <c r="E524" s="4" t="str">
        <f>'Form responses 1'!AU526</f>
        <v>Yes</v>
      </c>
      <c r="F524" s="4" t="str">
        <f>'Form responses 1'!AX526</f>
        <v/>
      </c>
      <c r="G524" s="4" t="str">
        <f>'Form responses 1'!AY526</f>
        <v/>
      </c>
      <c r="H524" s="53" t="str">
        <f>'Form responses 1'!AW526</f>
        <v/>
      </c>
      <c r="I524" s="4" t="str">
        <f>'Form responses 1'!AS526</f>
        <v/>
      </c>
      <c r="J524" s="4" t="str">
        <f>'Form responses 1'!J526</f>
        <v>Tier-2 (AOV &lt;400)</v>
      </c>
      <c r="K524" s="4">
        <f>'Form responses 1'!G526</f>
        <v>300</v>
      </c>
      <c r="L524" s="4">
        <f>'Form responses 1'!F526</f>
        <v>30</v>
      </c>
      <c r="M524" s="4" t="str">
        <f>'Form responses 1'!U526</f>
        <v>Naveen</v>
      </c>
      <c r="N524" s="4" t="str">
        <f>'Form responses 1'!V526</f>
        <v>6302-303453</v>
      </c>
      <c r="O524" s="4" t="str">
        <f>'Form responses 1'!W526</f>
        <v>NA</v>
      </c>
      <c r="P524" s="4" t="str">
        <f>'Form responses 1'!X526</f>
        <v/>
      </c>
      <c r="Q524" s="4" t="str">
        <f>'Form responses 1'!Y526</f>
        <v/>
      </c>
      <c r="R524" s="4" t="str">
        <f>'Form responses 1'!Z526</f>
        <v/>
      </c>
      <c r="S524" s="4" t="str">
        <f>'Form responses 1'!AC526</f>
        <v/>
      </c>
      <c r="T524" s="4" t="str">
        <f>'Form responses 1'!AE526</f>
        <v/>
      </c>
      <c r="U524" s="4" t="str">
        <f>'Form responses 1'!AG526</f>
        <v/>
      </c>
      <c r="V524" s="4" t="str">
        <f>'Form responses 1'!AI526</f>
        <v/>
      </c>
      <c r="W524" s="4" t="str">
        <f>'Form responses 1'!AJ526</f>
        <v/>
      </c>
      <c r="X524" s="4" t="str">
        <f>'Form responses 1'!AK526</f>
        <v/>
      </c>
      <c r="Y524" s="4">
        <f t="shared" ref="Y524:AD524" si="523">if(S524&gt;0,1,0)</f>
        <v>0</v>
      </c>
      <c r="Z524" s="4">
        <f t="shared" si="523"/>
        <v>0</v>
      </c>
      <c r="AA524" s="4">
        <f t="shared" si="523"/>
        <v>0</v>
      </c>
      <c r="AB524" s="4">
        <f t="shared" si="523"/>
        <v>0</v>
      </c>
      <c r="AC524" s="4">
        <f t="shared" si="523"/>
        <v>0</v>
      </c>
      <c r="AD524" s="4">
        <f t="shared" si="523"/>
        <v>0</v>
      </c>
      <c r="AE524" s="4" t="str">
        <f>'Form responses 1'!AN526</f>
        <v/>
      </c>
      <c r="AF524" s="4" t="str">
        <f>'Form responses 1'!AO526</f>
        <v/>
      </c>
      <c r="AG524" s="4" t="str">
        <f>'Form responses 1'!AP526</f>
        <v/>
      </c>
      <c r="AH524" s="4" t="str">
        <f>'Form responses 1'!AQ526</f>
        <v/>
      </c>
      <c r="AI524" s="4" t="str">
        <f>'Form responses 1'!AR526</f>
        <v/>
      </c>
    </row>
    <row r="525">
      <c r="A525" s="26">
        <f>'Form responses 1'!B531</f>
        <v>46070</v>
      </c>
      <c r="B525" s="4" t="str">
        <f>'Form responses 1'!AZ531</f>
        <v>greeshma.vanneldas@capsdelivery.com</v>
      </c>
      <c r="C525" s="4" t="str">
        <f>'Form responses 1'!BR531</f>
        <v>Maheswari balaji family dhabha </v>
      </c>
      <c r="D525" s="4" t="str">
        <f>'Form responses 1'!AT531</f>
        <v>manager was not available</v>
      </c>
      <c r="E525" s="4" t="str">
        <f>'Form responses 1'!AU531</f>
        <v>Yes</v>
      </c>
      <c r="F525" s="4" t="str">
        <f>'Form responses 1'!AX531</f>
        <v/>
      </c>
      <c r="G525" s="4" t="str">
        <f>'Form responses 1'!AY531</f>
        <v/>
      </c>
      <c r="H525" s="53" t="str">
        <f>'Form responses 1'!AW531</f>
        <v/>
      </c>
      <c r="I525" s="4" t="str">
        <f>'Form responses 1'!AS531</f>
        <v/>
      </c>
      <c r="J525" s="4" t="str">
        <f>'Form responses 1'!J531</f>
        <v/>
      </c>
      <c r="K525" s="4" t="str">
        <f>'Form responses 1'!G531</f>
        <v/>
      </c>
      <c r="L525" s="4" t="str">
        <f>'Form responses 1'!F531</f>
        <v/>
      </c>
      <c r="M525" s="4" t="str">
        <f>'Form responses 1'!U531</f>
        <v>Pradeep</v>
      </c>
      <c r="N525" s="4">
        <f>'Form responses 1'!V531</f>
        <v>9393895558</v>
      </c>
      <c r="O525" s="4" t="str">
        <f>'Form responses 1'!W531</f>
        <v>na</v>
      </c>
      <c r="P525" s="4" t="str">
        <f>'Form responses 1'!X531</f>
        <v/>
      </c>
      <c r="Q525" s="4" t="str">
        <f>'Form responses 1'!Y531</f>
        <v/>
      </c>
      <c r="R525" s="4" t="str">
        <f>'Form responses 1'!Z531</f>
        <v/>
      </c>
      <c r="S525" s="4" t="str">
        <f>'Form responses 1'!AC531</f>
        <v/>
      </c>
      <c r="T525" s="4" t="str">
        <f>'Form responses 1'!AE531</f>
        <v/>
      </c>
      <c r="U525" s="4" t="str">
        <f>'Form responses 1'!AG531</f>
        <v/>
      </c>
      <c r="V525" s="4" t="str">
        <f>'Form responses 1'!AI531</f>
        <v/>
      </c>
      <c r="W525" s="4" t="str">
        <f>'Form responses 1'!AJ531</f>
        <v/>
      </c>
      <c r="X525" s="4" t="str">
        <f>'Form responses 1'!AK531</f>
        <v/>
      </c>
      <c r="Y525" s="4">
        <f t="shared" ref="Y525:AD525" si="524">if(S525&gt;0,1,0)</f>
        <v>0</v>
      </c>
      <c r="Z525" s="4">
        <f t="shared" si="524"/>
        <v>0</v>
      </c>
      <c r="AA525" s="4">
        <f t="shared" si="524"/>
        <v>0</v>
      </c>
      <c r="AB525" s="4">
        <f t="shared" si="524"/>
        <v>0</v>
      </c>
      <c r="AC525" s="4">
        <f t="shared" si="524"/>
        <v>0</v>
      </c>
      <c r="AD525" s="4">
        <f t="shared" si="524"/>
        <v>0</v>
      </c>
      <c r="AE525" s="4" t="str">
        <f>'Form responses 1'!AN531</f>
        <v/>
      </c>
      <c r="AF525" s="4" t="str">
        <f>'Form responses 1'!AO531</f>
        <v/>
      </c>
      <c r="AG525" s="4" t="str">
        <f>'Form responses 1'!AP531</f>
        <v/>
      </c>
      <c r="AH525" s="4" t="str">
        <f>'Form responses 1'!AQ531</f>
        <v/>
      </c>
      <c r="AI525" s="4" t="str">
        <f>'Form responses 1'!AR531</f>
        <v/>
      </c>
    </row>
    <row r="526">
      <c r="A526" s="26">
        <f>'Form responses 1'!B528</f>
        <v>46070</v>
      </c>
      <c r="B526" s="4" t="str">
        <f>'Form responses 1'!AZ528</f>
        <v>ankitha.baske@capsdelivery.com</v>
      </c>
      <c r="C526" s="4" t="str">
        <f>'Form responses 1'!BR528</f>
        <v>SS Live Kitchen</v>
      </c>
      <c r="D526" s="4" t="str">
        <f>'Form responses 1'!AT528</f>
        <v>Onboarded</v>
      </c>
      <c r="E526" s="4" t="str">
        <f>'Form responses 1'!AU528</f>
        <v>No</v>
      </c>
      <c r="F526" s="4" t="str">
        <f>'Form responses 1'!AX528</f>
        <v/>
      </c>
      <c r="G526" s="4" t="str">
        <f>'Form responses 1'!AY528</f>
        <v/>
      </c>
      <c r="H526" s="53" t="str">
        <f>'Form responses 1'!AW528</f>
        <v/>
      </c>
      <c r="I526" s="4" t="str">
        <f>'Form responses 1'!AS528</f>
        <v>Yes</v>
      </c>
      <c r="J526" s="4" t="str">
        <f>'Form responses 1'!J528</f>
        <v>Tier-2 (AOV &lt;400)</v>
      </c>
      <c r="K526" s="4">
        <f>'Form responses 1'!G528</f>
        <v>250</v>
      </c>
      <c r="L526" s="4">
        <f>'Form responses 1'!F528</f>
        <v>80</v>
      </c>
      <c r="M526" s="4" t="str">
        <f>'Form responses 1'!U528</f>
        <v>Sapan Kumar Jena</v>
      </c>
      <c r="N526" s="4">
        <f>'Form responses 1'!V528</f>
        <v>6281737216</v>
      </c>
      <c r="O526" s="4" t="str">
        <f>'Form responses 1'!W528</f>
        <v>NA</v>
      </c>
      <c r="P526" s="4" t="str">
        <f>'Form responses 1'!X528</f>
        <v/>
      </c>
      <c r="Q526" s="4" t="str">
        <f>'Form responses 1'!Y528</f>
        <v/>
      </c>
      <c r="R526" s="4" t="str">
        <f>'Form responses 1'!Z528</f>
        <v/>
      </c>
      <c r="S526" s="54" t="str">
        <f>'Form responses 1'!AC528</f>
        <v>https://drive.google.com/open?id=1xK1wKlI15IktTyXKw_xMHwAZmL8l0hv2</v>
      </c>
      <c r="T526" s="4" t="str">
        <f>'Form responses 1'!AE528</f>
        <v/>
      </c>
      <c r="U526" s="54" t="str">
        <f>'Form responses 1'!AG528</f>
        <v>https://drive.google.com/open?id=1o18SdyJdHxK1ivAa17eVfBuiGzaeuCpU</v>
      </c>
      <c r="V526" s="4" t="str">
        <f>'Form responses 1'!AI528</f>
        <v/>
      </c>
      <c r="W526" s="4" t="str">
        <f>'Form responses 1'!AJ528</f>
        <v/>
      </c>
      <c r="X526" s="4" t="str">
        <f>'Form responses 1'!AK528</f>
        <v/>
      </c>
      <c r="Y526" s="4">
        <f t="shared" ref="Y526:AD526" si="525">if(S526&gt;0,1,0)</f>
        <v>1</v>
      </c>
      <c r="Z526" s="4">
        <f t="shared" si="525"/>
        <v>0</v>
      </c>
      <c r="AA526" s="4">
        <f t="shared" si="525"/>
        <v>1</v>
      </c>
      <c r="AB526" s="4">
        <f t="shared" si="525"/>
        <v>0</v>
      </c>
      <c r="AC526" s="4">
        <f t="shared" si="525"/>
        <v>0</v>
      </c>
      <c r="AD526" s="4">
        <f t="shared" si="525"/>
        <v>0</v>
      </c>
      <c r="AE526" s="4" t="str">
        <f>'Form responses 1'!AN528</f>
        <v/>
      </c>
      <c r="AF526" s="4" t="str">
        <f>'Form responses 1'!AO528</f>
        <v/>
      </c>
      <c r="AG526" s="4" t="str">
        <f>'Form responses 1'!AP528</f>
        <v/>
      </c>
      <c r="AH526" s="4" t="str">
        <f>'Form responses 1'!AQ528</f>
        <v/>
      </c>
      <c r="AI526" s="4" t="str">
        <f>'Form responses 1'!AR528</f>
        <v/>
      </c>
    </row>
    <row r="527">
      <c r="A527" s="26">
        <f>'Form responses 1'!B529</f>
        <v>46070</v>
      </c>
      <c r="B527" s="4" t="str">
        <f>'Form responses 1'!AZ529</f>
        <v>greeshma.vanneldas@capsdelivery.com</v>
      </c>
      <c r="C527" s="4" t="str">
        <f>'Form responses 1'!BR529</f>
        <v>The bake factory</v>
      </c>
      <c r="D527" s="4" t="str">
        <f>'Form responses 1'!AT529</f>
        <v>They dont do any online platform</v>
      </c>
      <c r="E527" s="4" t="str">
        <f>'Form responses 1'!AU529</f>
        <v>No</v>
      </c>
      <c r="F527" s="4" t="str">
        <f>'Form responses 1'!AX529</f>
        <v/>
      </c>
      <c r="G527" s="4" t="str">
        <f>'Form responses 1'!AY529</f>
        <v/>
      </c>
      <c r="H527" s="53" t="str">
        <f>'Form responses 1'!AW529</f>
        <v/>
      </c>
      <c r="I527" s="4" t="str">
        <f>'Form responses 1'!AS529</f>
        <v/>
      </c>
      <c r="J527" s="4" t="str">
        <f>'Form responses 1'!J529</f>
        <v/>
      </c>
      <c r="K527" s="4" t="str">
        <f>'Form responses 1'!G529</f>
        <v/>
      </c>
      <c r="L527" s="4" t="str">
        <f>'Form responses 1'!F529</f>
        <v/>
      </c>
      <c r="M527" s="4" t="str">
        <f>'Form responses 1'!U529</f>
        <v>na</v>
      </c>
      <c r="N527" s="4" t="str">
        <f>'Form responses 1'!V529</f>
        <v>na</v>
      </c>
      <c r="O527" s="4" t="str">
        <f>'Form responses 1'!W529</f>
        <v>na</v>
      </c>
      <c r="P527" s="4" t="str">
        <f>'Form responses 1'!X529</f>
        <v/>
      </c>
      <c r="Q527" s="4" t="str">
        <f>'Form responses 1'!Y529</f>
        <v/>
      </c>
      <c r="R527" s="4" t="str">
        <f>'Form responses 1'!Z529</f>
        <v/>
      </c>
      <c r="S527" s="4" t="str">
        <f>'Form responses 1'!AC529</f>
        <v/>
      </c>
      <c r="T527" s="4" t="str">
        <f>'Form responses 1'!AE529</f>
        <v/>
      </c>
      <c r="U527" s="4" t="str">
        <f>'Form responses 1'!AG529</f>
        <v/>
      </c>
      <c r="V527" s="4" t="str">
        <f>'Form responses 1'!AI529</f>
        <v/>
      </c>
      <c r="W527" s="4" t="str">
        <f>'Form responses 1'!AJ529</f>
        <v/>
      </c>
      <c r="X527" s="4" t="str">
        <f>'Form responses 1'!AK529</f>
        <v/>
      </c>
      <c r="Y527" s="4">
        <f t="shared" ref="Y527:AD527" si="526">if(S527&gt;0,1,0)</f>
        <v>0</v>
      </c>
      <c r="Z527" s="4">
        <f t="shared" si="526"/>
        <v>0</v>
      </c>
      <c r="AA527" s="4">
        <f t="shared" si="526"/>
        <v>0</v>
      </c>
      <c r="AB527" s="4">
        <f t="shared" si="526"/>
        <v>0</v>
      </c>
      <c r="AC527" s="4">
        <f t="shared" si="526"/>
        <v>0</v>
      </c>
      <c r="AD527" s="4">
        <f t="shared" si="526"/>
        <v>0</v>
      </c>
      <c r="AE527" s="4" t="str">
        <f>'Form responses 1'!AN529</f>
        <v/>
      </c>
      <c r="AF527" s="4" t="str">
        <f>'Form responses 1'!AO529</f>
        <v/>
      </c>
      <c r="AG527" s="4" t="str">
        <f>'Form responses 1'!AP529</f>
        <v/>
      </c>
      <c r="AH527" s="4" t="str">
        <f>'Form responses 1'!AQ529</f>
        <v/>
      </c>
      <c r="AI527" s="4" t="str">
        <f>'Form responses 1'!AR529</f>
        <v/>
      </c>
    </row>
    <row r="528">
      <c r="A528" s="26">
        <f>'Form responses 1'!B600</f>
        <v>46072</v>
      </c>
      <c r="B528" s="4" t="str">
        <f>'Form responses 1'!AZ600</f>
        <v>greeshma.vanneldas@capsdelivery.com</v>
      </c>
      <c r="C528" s="4" t="str">
        <f>'Form responses 1'!BR600</f>
        <v>Malabaris</v>
      </c>
      <c r="D528" s="4" t="str">
        <f>'Form responses 1'!AT600</f>
        <v>She was not available,I need to follow up for meeting </v>
      </c>
      <c r="E528" s="4" t="str">
        <f>'Form responses 1'!AU600</f>
        <v>Yes</v>
      </c>
      <c r="F528" s="4" t="str">
        <f>'Form responses 1'!AX600</f>
        <v/>
      </c>
      <c r="G528" s="4" t="str">
        <f>'Form responses 1'!AY600</f>
        <v/>
      </c>
      <c r="H528" s="53" t="str">
        <f>'Form responses 1'!AW600</f>
        <v/>
      </c>
      <c r="I528" s="4" t="str">
        <f>'Form responses 1'!AS600</f>
        <v/>
      </c>
      <c r="J528" s="4" t="str">
        <f>'Form responses 1'!J600</f>
        <v/>
      </c>
      <c r="K528" s="4" t="str">
        <f>'Form responses 1'!G600</f>
        <v/>
      </c>
      <c r="L528" s="4" t="str">
        <f>'Form responses 1'!F600</f>
        <v/>
      </c>
      <c r="M528" s="4" t="str">
        <f>'Form responses 1'!U600</f>
        <v>Srija</v>
      </c>
      <c r="N528" s="4">
        <f>'Form responses 1'!V600</f>
        <v>8317528467</v>
      </c>
      <c r="O528" s="4" t="str">
        <f>'Form responses 1'!W600</f>
        <v>na</v>
      </c>
      <c r="P528" s="4" t="str">
        <f>'Form responses 1'!X600</f>
        <v/>
      </c>
      <c r="Q528" s="4" t="str">
        <f>'Form responses 1'!Y600</f>
        <v/>
      </c>
      <c r="R528" s="4" t="str">
        <f>'Form responses 1'!Z600</f>
        <v/>
      </c>
      <c r="S528" s="4" t="str">
        <f>'Form responses 1'!AC600</f>
        <v/>
      </c>
      <c r="T528" s="4" t="str">
        <f>'Form responses 1'!AE600</f>
        <v/>
      </c>
      <c r="U528" s="4" t="str">
        <f>'Form responses 1'!AG600</f>
        <v/>
      </c>
      <c r="V528" s="4" t="str">
        <f>'Form responses 1'!AI600</f>
        <v/>
      </c>
      <c r="W528" s="4" t="str">
        <f>'Form responses 1'!AJ600</f>
        <v/>
      </c>
      <c r="X528" s="4" t="str">
        <f>'Form responses 1'!AK600</f>
        <v/>
      </c>
      <c r="Y528" s="4">
        <f t="shared" ref="Y528:AD528" si="527">if(S528&gt;0,1,0)</f>
        <v>0</v>
      </c>
      <c r="Z528" s="4">
        <f t="shared" si="527"/>
        <v>0</v>
      </c>
      <c r="AA528" s="4">
        <f t="shared" si="527"/>
        <v>0</v>
      </c>
      <c r="AB528" s="4">
        <f t="shared" si="527"/>
        <v>0</v>
      </c>
      <c r="AC528" s="4">
        <f t="shared" si="527"/>
        <v>0</v>
      </c>
      <c r="AD528" s="4">
        <f t="shared" si="527"/>
        <v>0</v>
      </c>
      <c r="AE528" s="4" t="str">
        <f>'Form responses 1'!AN600</f>
        <v/>
      </c>
      <c r="AF528" s="4" t="str">
        <f>'Form responses 1'!AO1719</f>
        <v/>
      </c>
      <c r="AG528" s="4" t="str">
        <f>'Form responses 1'!AP1719</f>
        <v/>
      </c>
      <c r="AH528" s="4" t="str">
        <f>'Form responses 1'!AQ1719</f>
        <v/>
      </c>
      <c r="AI528" s="4" t="str">
        <f>'Form responses 1'!AR1719</f>
        <v/>
      </c>
    </row>
    <row r="529">
      <c r="A529" s="26">
        <f>'Form responses 1'!B530</f>
        <v>46070</v>
      </c>
      <c r="B529" s="4" t="str">
        <f>'Form responses 1'!AZ530</f>
        <v>greeshma.vanneldas@capsdelivery.com</v>
      </c>
      <c r="C529" s="4" t="str">
        <f>'Form responses 1'!BR530</f>
        <v>Mayabazar</v>
      </c>
      <c r="D529" s="4" t="str">
        <f>'Form responses 1'!AT530</f>
        <v>Discussion done with manager,appointment fixed Md tomorrow</v>
      </c>
      <c r="E529" s="4" t="str">
        <f>'Form responses 1'!AU530</f>
        <v>Yes</v>
      </c>
      <c r="F529" s="4" t="str">
        <f>'Form responses 1'!AX530</f>
        <v/>
      </c>
      <c r="G529" s="4" t="str">
        <f>'Form responses 1'!AY530</f>
        <v/>
      </c>
      <c r="H529" s="53" t="str">
        <f>'Form responses 1'!AW530</f>
        <v/>
      </c>
      <c r="I529" s="4" t="str">
        <f>'Form responses 1'!AS530</f>
        <v/>
      </c>
      <c r="J529" s="4" t="str">
        <f>'Form responses 1'!J530</f>
        <v>Tier-1(AOV&gt;400)</v>
      </c>
      <c r="K529" s="4">
        <f>'Form responses 1'!G530</f>
        <v>400</v>
      </c>
      <c r="L529" s="4">
        <f>'Form responses 1'!F530</f>
        <v>50</v>
      </c>
      <c r="M529" s="4" t="str">
        <f>'Form responses 1'!U530</f>
        <v>Triven</v>
      </c>
      <c r="N529" s="4">
        <f>'Form responses 1'!V530</f>
        <v>7330991470</v>
      </c>
      <c r="O529" s="4" t="str">
        <f>'Form responses 1'!W530</f>
        <v>na</v>
      </c>
      <c r="P529" s="4" t="str">
        <f>'Form responses 1'!X530</f>
        <v/>
      </c>
      <c r="Q529" s="4" t="str">
        <f>'Form responses 1'!Y530</f>
        <v/>
      </c>
      <c r="R529" s="4" t="str">
        <f>'Form responses 1'!Z530</f>
        <v/>
      </c>
      <c r="S529" s="4" t="str">
        <f>'Form responses 1'!AC530</f>
        <v/>
      </c>
      <c r="T529" s="4" t="str">
        <f>'Form responses 1'!AE530</f>
        <v/>
      </c>
      <c r="U529" s="4" t="str">
        <f>'Form responses 1'!AG530</f>
        <v/>
      </c>
      <c r="V529" s="4" t="str">
        <f>'Form responses 1'!AI530</f>
        <v/>
      </c>
      <c r="W529" s="4" t="str">
        <f>'Form responses 1'!AJ530</f>
        <v/>
      </c>
      <c r="X529" s="4" t="str">
        <f>'Form responses 1'!AK530</f>
        <v/>
      </c>
      <c r="Y529" s="4">
        <f t="shared" ref="Y529:AD529" si="528">if(S529&gt;0,1,0)</f>
        <v>0</v>
      </c>
      <c r="Z529" s="4">
        <f t="shared" si="528"/>
        <v>0</v>
      </c>
      <c r="AA529" s="4">
        <f t="shared" si="528"/>
        <v>0</v>
      </c>
      <c r="AB529" s="4">
        <f t="shared" si="528"/>
        <v>0</v>
      </c>
      <c r="AC529" s="4">
        <f t="shared" si="528"/>
        <v>0</v>
      </c>
      <c r="AD529" s="4">
        <f t="shared" si="528"/>
        <v>0</v>
      </c>
      <c r="AE529" s="4" t="str">
        <f>'Form responses 1'!AN530</f>
        <v/>
      </c>
      <c r="AF529" s="4" t="str">
        <f>'Form responses 1'!AO530</f>
        <v/>
      </c>
      <c r="AG529" s="4" t="str">
        <f>'Form responses 1'!AP530</f>
        <v/>
      </c>
      <c r="AH529" s="4" t="str">
        <f>'Form responses 1'!AQ530</f>
        <v/>
      </c>
      <c r="AI529" s="4" t="str">
        <f>'Form responses 1'!AR530</f>
        <v/>
      </c>
    </row>
    <row r="530">
      <c r="A530" s="26">
        <f>'Form responses 1'!B606</f>
        <v>46072</v>
      </c>
      <c r="B530" s="4" t="str">
        <f>'Form responses 1'!AZ606</f>
        <v>greeshma.vanneldas@capsdelivery.com</v>
      </c>
      <c r="C530" s="4" t="str">
        <f>'Form responses 1'!BR606</f>
        <v>Midhunam</v>
      </c>
      <c r="D530" s="4" t="str">
        <f>'Form responses 1'!AT606</f>
        <v>Manager and owner was not available took number from front team</v>
      </c>
      <c r="E530" s="4" t="str">
        <f>'Form responses 1'!AU606</f>
        <v>Yes</v>
      </c>
      <c r="F530" s="4" t="str">
        <f>'Form responses 1'!AX606</f>
        <v/>
      </c>
      <c r="G530" s="4" t="str">
        <f>'Form responses 1'!AY606</f>
        <v/>
      </c>
      <c r="H530" s="53" t="str">
        <f>'Form responses 1'!AW606</f>
        <v/>
      </c>
      <c r="I530" s="4" t="str">
        <f>'Form responses 1'!AS606</f>
        <v/>
      </c>
      <c r="J530" s="4" t="str">
        <f>'Form responses 1'!J606</f>
        <v/>
      </c>
      <c r="K530" s="4" t="str">
        <f>'Form responses 1'!G606</f>
        <v/>
      </c>
      <c r="L530" s="4" t="str">
        <f>'Form responses 1'!F606</f>
        <v/>
      </c>
      <c r="M530" s="4" t="str">
        <f>'Form responses 1'!U606</f>
        <v>na</v>
      </c>
      <c r="N530" s="4">
        <f>'Form responses 1'!V606</f>
        <v>9154051768</v>
      </c>
      <c r="O530" s="4" t="str">
        <f>'Form responses 1'!W606</f>
        <v>na</v>
      </c>
      <c r="P530" s="4" t="str">
        <f>'Form responses 1'!X606</f>
        <v/>
      </c>
      <c r="Q530" s="4" t="str">
        <f>'Form responses 1'!Y606</f>
        <v/>
      </c>
      <c r="R530" s="4" t="str">
        <f>'Form responses 1'!Z606</f>
        <v/>
      </c>
      <c r="S530" s="4" t="str">
        <f>'Form responses 1'!AC606</f>
        <v/>
      </c>
      <c r="T530" s="4" t="str">
        <f>'Form responses 1'!AE606</f>
        <v/>
      </c>
      <c r="U530" s="4" t="str">
        <f>'Form responses 1'!AG606</f>
        <v/>
      </c>
      <c r="V530" s="4" t="str">
        <f>'Form responses 1'!AI606</f>
        <v/>
      </c>
      <c r="W530" s="4" t="str">
        <f>'Form responses 1'!AJ606</f>
        <v/>
      </c>
      <c r="X530" s="4" t="str">
        <f>'Form responses 1'!AK606</f>
        <v/>
      </c>
      <c r="Y530" s="4">
        <f t="shared" ref="Y530:AD530" si="529">if(S530&gt;0,1,0)</f>
        <v>0</v>
      </c>
      <c r="Z530" s="4">
        <f t="shared" si="529"/>
        <v>0</v>
      </c>
      <c r="AA530" s="4">
        <f t="shared" si="529"/>
        <v>0</v>
      </c>
      <c r="AB530" s="4">
        <f t="shared" si="529"/>
        <v>0</v>
      </c>
      <c r="AC530" s="4">
        <f t="shared" si="529"/>
        <v>0</v>
      </c>
      <c r="AD530" s="4">
        <f t="shared" si="529"/>
        <v>0</v>
      </c>
      <c r="AE530" s="4" t="str">
        <f>'Form responses 1'!AN606</f>
        <v/>
      </c>
      <c r="AF530" s="4" t="str">
        <f>'Form responses 1'!AO1725</f>
        <v/>
      </c>
      <c r="AG530" s="4" t="str">
        <f>'Form responses 1'!AP1725</f>
        <v/>
      </c>
      <c r="AH530" s="4" t="str">
        <f>'Form responses 1'!AQ1725</f>
        <v/>
      </c>
      <c r="AI530" s="4" t="str">
        <f>'Form responses 1'!AR1725</f>
        <v/>
      </c>
    </row>
    <row r="531">
      <c r="A531" s="26">
        <f>'Form responses 1'!B533</f>
        <v>46070</v>
      </c>
      <c r="B531" s="4" t="str">
        <f>'Form responses 1'!AZ533</f>
        <v>ankitha.baske@capsdelivery.com</v>
      </c>
      <c r="C531" s="4" t="str">
        <f>'Form responses 1'!BR533</f>
        <v>RR Food Court</v>
      </c>
      <c r="D531" s="4" t="str">
        <f>'Form responses 1'!AT533</f>
        <v>Pan Card and Bank Details are pending</v>
      </c>
      <c r="E531" s="4" t="str">
        <f>'Form responses 1'!AU533</f>
        <v>Yes</v>
      </c>
      <c r="F531" s="4" t="str">
        <f>'Form responses 1'!AX533</f>
        <v/>
      </c>
      <c r="G531" s="4" t="str">
        <f>'Form responses 1'!AY533</f>
        <v/>
      </c>
      <c r="H531" s="53" t="str">
        <f>'Form responses 1'!AW533</f>
        <v/>
      </c>
      <c r="I531" s="4" t="str">
        <f>'Form responses 1'!AS533</f>
        <v>Yes</v>
      </c>
      <c r="J531" s="4" t="str">
        <f>'Form responses 1'!J533</f>
        <v>Tier-3 ( AOV&lt;200 )</v>
      </c>
      <c r="K531" s="4">
        <f>'Form responses 1'!G533</f>
        <v>150</v>
      </c>
      <c r="L531" s="4">
        <f>'Form responses 1'!F533</f>
        <v>30</v>
      </c>
      <c r="M531" s="4" t="str">
        <f>'Form responses 1'!U533</f>
        <v>Kalyan</v>
      </c>
      <c r="N531" s="4">
        <f>'Form responses 1'!V533</f>
        <v>837475950</v>
      </c>
      <c r="O531" s="4" t="str">
        <f>'Form responses 1'!W533</f>
        <v>nA</v>
      </c>
      <c r="P531" s="4" t="str">
        <f>'Form responses 1'!X533</f>
        <v/>
      </c>
      <c r="Q531" s="4" t="str">
        <f>'Form responses 1'!Y533</f>
        <v/>
      </c>
      <c r="R531" s="4" t="str">
        <f>'Form responses 1'!Z533</f>
        <v/>
      </c>
      <c r="S531" s="54" t="str">
        <f>'Form responses 1'!AC533</f>
        <v>https://drive.google.com/open?id=1PmaUkgNxXz5G-6LFNQQU3Aw1hn4ZzMGv</v>
      </c>
      <c r="T531" s="4" t="str">
        <f>'Form responses 1'!AE533</f>
        <v/>
      </c>
      <c r="U531" s="4" t="str">
        <f>'Form responses 1'!AG533</f>
        <v/>
      </c>
      <c r="V531" s="4" t="str">
        <f>'Form responses 1'!AI533</f>
        <v/>
      </c>
      <c r="W531" s="4" t="str">
        <f>'Form responses 1'!AJ533</f>
        <v/>
      </c>
      <c r="X531" s="4" t="str">
        <f>'Form responses 1'!AK533</f>
        <v/>
      </c>
      <c r="Y531" s="4">
        <f t="shared" ref="Y531:AD531" si="530">if(S531&gt;0,1,0)</f>
        <v>1</v>
      </c>
      <c r="Z531" s="4">
        <f t="shared" si="530"/>
        <v>0</v>
      </c>
      <c r="AA531" s="4">
        <f t="shared" si="530"/>
        <v>0</v>
      </c>
      <c r="AB531" s="4">
        <f t="shared" si="530"/>
        <v>0</v>
      </c>
      <c r="AC531" s="4">
        <f t="shared" si="530"/>
        <v>0</v>
      </c>
      <c r="AD531" s="4">
        <f t="shared" si="530"/>
        <v>0</v>
      </c>
      <c r="AE531" s="4" t="str">
        <f>'Form responses 1'!AN533</f>
        <v/>
      </c>
      <c r="AF531" s="4" t="str">
        <f>'Form responses 1'!AO533</f>
        <v/>
      </c>
      <c r="AG531" s="4" t="str">
        <f>'Form responses 1'!AP533</f>
        <v/>
      </c>
      <c r="AH531" s="4" t="str">
        <f>'Form responses 1'!AQ533</f>
        <v/>
      </c>
      <c r="AI531" s="4" t="str">
        <f>'Form responses 1'!AR533</f>
        <v/>
      </c>
    </row>
    <row r="532">
      <c r="A532" s="26">
        <f>'Form responses 1'!B543</f>
        <v>46070</v>
      </c>
      <c r="B532" s="4" t="str">
        <f>'Form responses 1'!AZ543</f>
        <v>greeshma.vanneldas@capsdelivery.com</v>
      </c>
      <c r="C532" s="4" t="str">
        <f>'Form responses 1'!BR543</f>
        <v>Mojo Pizza</v>
      </c>
      <c r="D532" s="4" t="str">
        <f>'Form responses 1'!AT543</f>
        <v>following up to get the area manager ka number</v>
      </c>
      <c r="E532" s="4" t="str">
        <f>'Form responses 1'!AU543</f>
        <v>Yes</v>
      </c>
      <c r="F532" s="4" t="str">
        <f>'Form responses 1'!AX543</f>
        <v/>
      </c>
      <c r="G532" s="4" t="str">
        <f>'Form responses 1'!AY543</f>
        <v/>
      </c>
      <c r="H532" s="53" t="str">
        <f>'Form responses 1'!AW543</f>
        <v/>
      </c>
      <c r="I532" s="4" t="str">
        <f>'Form responses 1'!AS543</f>
        <v/>
      </c>
      <c r="J532" s="4" t="str">
        <f>'Form responses 1'!J543</f>
        <v/>
      </c>
      <c r="K532" s="4" t="str">
        <f>'Form responses 1'!G543</f>
        <v/>
      </c>
      <c r="L532" s="4" t="str">
        <f>'Form responses 1'!F543</f>
        <v/>
      </c>
      <c r="M532" s="4" t="str">
        <f>'Form responses 1'!U543</f>
        <v>Sathyam</v>
      </c>
      <c r="N532" s="4">
        <f>'Form responses 1'!V543</f>
        <v>8858725032</v>
      </c>
      <c r="O532" s="4" t="str">
        <f>'Form responses 1'!W543</f>
        <v>na</v>
      </c>
      <c r="P532" s="4" t="str">
        <f>'Form responses 1'!X543</f>
        <v/>
      </c>
      <c r="Q532" s="4" t="str">
        <f>'Form responses 1'!Y543</f>
        <v/>
      </c>
      <c r="R532" s="4" t="str">
        <f>'Form responses 1'!Z543</f>
        <v/>
      </c>
      <c r="S532" s="4" t="str">
        <f>'Form responses 1'!AC543</f>
        <v/>
      </c>
      <c r="T532" s="4" t="str">
        <f>'Form responses 1'!AE543</f>
        <v/>
      </c>
      <c r="U532" s="4" t="str">
        <f>'Form responses 1'!AG543</f>
        <v/>
      </c>
      <c r="V532" s="4" t="str">
        <f>'Form responses 1'!AI543</f>
        <v/>
      </c>
      <c r="W532" s="4" t="str">
        <f>'Form responses 1'!AJ543</f>
        <v/>
      </c>
      <c r="X532" s="4" t="str">
        <f>'Form responses 1'!AK543</f>
        <v/>
      </c>
      <c r="Y532" s="4">
        <f t="shared" ref="Y532:AD532" si="531">if(S532&gt;0,1,0)</f>
        <v>0</v>
      </c>
      <c r="Z532" s="4">
        <f t="shared" si="531"/>
        <v>0</v>
      </c>
      <c r="AA532" s="4">
        <f t="shared" si="531"/>
        <v>0</v>
      </c>
      <c r="AB532" s="4">
        <f t="shared" si="531"/>
        <v>0</v>
      </c>
      <c r="AC532" s="4">
        <f t="shared" si="531"/>
        <v>0</v>
      </c>
      <c r="AD532" s="4">
        <f t="shared" si="531"/>
        <v>0</v>
      </c>
      <c r="AE532" s="4" t="str">
        <f>'Form responses 1'!AN543</f>
        <v/>
      </c>
      <c r="AF532" s="4" t="str">
        <f>'Form responses 1'!AO543</f>
        <v/>
      </c>
      <c r="AG532" s="4" t="str">
        <f>'Form responses 1'!AP543</f>
        <v/>
      </c>
      <c r="AH532" s="4" t="str">
        <f>'Form responses 1'!AQ543</f>
        <v/>
      </c>
      <c r="AI532" s="4" t="str">
        <f>'Form responses 1'!AR543</f>
        <v/>
      </c>
    </row>
    <row r="533">
      <c r="A533" s="26">
        <f>'Form responses 1'!B728</f>
        <v>46073</v>
      </c>
      <c r="B533" s="4" t="str">
        <f>'Form responses 1'!AZ728</f>
        <v>greeshma.vanneldas@capsdelivery.com</v>
      </c>
      <c r="C533" s="4" t="str">
        <f>'Form responses 1'!BR728</f>
        <v>Moms kitchen</v>
      </c>
      <c r="D533" s="4" t="str">
        <f>'Form responses 1'!AT728</f>
        <v>need to follow up to schedule into meeting</v>
      </c>
      <c r="E533" s="4" t="str">
        <f>'Form responses 1'!AU728</f>
        <v>Yes</v>
      </c>
      <c r="F533" s="4" t="str">
        <f>'Form responses 1'!AX728</f>
        <v/>
      </c>
      <c r="G533" s="4" t="str">
        <f>'Form responses 1'!AY728</f>
        <v/>
      </c>
      <c r="H533" s="53" t="str">
        <f>'Form responses 1'!AW728</f>
        <v/>
      </c>
      <c r="I533" s="4" t="str">
        <f>'Form responses 1'!AS728</f>
        <v/>
      </c>
      <c r="J533" s="4" t="str">
        <f>'Form responses 1'!J728</f>
        <v/>
      </c>
      <c r="K533" s="4" t="str">
        <f>'Form responses 1'!G728</f>
        <v/>
      </c>
      <c r="L533" s="4" t="str">
        <f>'Form responses 1'!F728</f>
        <v/>
      </c>
      <c r="M533" s="4" t="str">
        <f>'Form responses 1'!U728</f>
        <v>na</v>
      </c>
      <c r="N533" s="4">
        <f>'Form responses 1'!V728</f>
        <v>6300044131</v>
      </c>
      <c r="O533" s="4" t="str">
        <f>'Form responses 1'!W728</f>
        <v>na</v>
      </c>
      <c r="P533" s="4" t="str">
        <f>'Form responses 1'!X728</f>
        <v/>
      </c>
      <c r="Q533" s="4" t="str">
        <f>'Form responses 1'!Y728</f>
        <v/>
      </c>
      <c r="R533" s="4" t="str">
        <f>'Form responses 1'!Z728</f>
        <v/>
      </c>
      <c r="S533" s="4" t="str">
        <f>'Form responses 1'!AC728</f>
        <v/>
      </c>
      <c r="T533" s="4" t="str">
        <f>'Form responses 1'!AE728</f>
        <v/>
      </c>
      <c r="U533" s="4" t="str">
        <f>'Form responses 1'!AG728</f>
        <v/>
      </c>
      <c r="V533" s="4" t="str">
        <f>'Form responses 1'!AI728</f>
        <v/>
      </c>
      <c r="W533" s="4" t="str">
        <f>'Form responses 1'!AJ728</f>
        <v/>
      </c>
      <c r="X533" s="4" t="str">
        <f>'Form responses 1'!AK728</f>
        <v/>
      </c>
      <c r="Y533" s="4">
        <f t="shared" ref="Y533:AD533" si="532">if(S533&gt;0,1,0)</f>
        <v>0</v>
      </c>
      <c r="Z533" s="4">
        <f t="shared" si="532"/>
        <v>0</v>
      </c>
      <c r="AA533" s="4">
        <f t="shared" si="532"/>
        <v>0</v>
      </c>
      <c r="AB533" s="4">
        <f t="shared" si="532"/>
        <v>0</v>
      </c>
      <c r="AC533" s="4">
        <f t="shared" si="532"/>
        <v>0</v>
      </c>
      <c r="AD533" s="4">
        <f t="shared" si="532"/>
        <v>0</v>
      </c>
      <c r="AE533" s="4" t="str">
        <f>'Form responses 1'!AN728</f>
        <v/>
      </c>
      <c r="AF533" s="4" t="str">
        <f>'Form responses 1'!AO1847</f>
        <v/>
      </c>
      <c r="AG533" s="4" t="str">
        <f>'Form responses 1'!AP1847</f>
        <v/>
      </c>
      <c r="AH533" s="4" t="str">
        <f>'Form responses 1'!AQ1847</f>
        <v/>
      </c>
      <c r="AI533" s="4" t="str">
        <f>'Form responses 1'!AR1847</f>
        <v/>
      </c>
    </row>
    <row r="534">
      <c r="A534" s="26">
        <f>'Form responses 1'!B536</f>
        <v>46070</v>
      </c>
      <c r="B534" s="4" t="str">
        <f>'Form responses 1'!AZ536</f>
        <v>ankitha.baske@capsdelivery.com</v>
      </c>
      <c r="C534" s="4" t="str">
        <f>'Form responses 1'!BR536</f>
        <v>Tulja Bhavani Hotel</v>
      </c>
      <c r="D534" s="4" t="str">
        <f>'Form responses 1'!AT536</f>
        <v>Onboarded</v>
      </c>
      <c r="E534" s="4" t="str">
        <f>'Form responses 1'!AU536</f>
        <v>No</v>
      </c>
      <c r="F534" s="4" t="str">
        <f>'Form responses 1'!AX536</f>
        <v/>
      </c>
      <c r="G534" s="4" t="str">
        <f>'Form responses 1'!AY536</f>
        <v/>
      </c>
      <c r="H534" s="53" t="str">
        <f>'Form responses 1'!AW536</f>
        <v/>
      </c>
      <c r="I534" s="4" t="str">
        <f>'Form responses 1'!AS536</f>
        <v>Yes</v>
      </c>
      <c r="J534" s="4" t="str">
        <f>'Form responses 1'!J536</f>
        <v>Tier-2 (AOV &lt;400)</v>
      </c>
      <c r="K534" s="4">
        <f>'Form responses 1'!G536</f>
        <v>250</v>
      </c>
      <c r="L534" s="4">
        <f>'Form responses 1'!F536</f>
        <v>30</v>
      </c>
      <c r="M534" s="4" t="str">
        <f>'Form responses 1'!U536</f>
        <v>Kailash</v>
      </c>
      <c r="N534" s="4">
        <f>'Form responses 1'!V536</f>
        <v>9000027744</v>
      </c>
      <c r="O534" s="4" t="str">
        <f>'Form responses 1'!W536</f>
        <v>na</v>
      </c>
      <c r="P534" s="4" t="str">
        <f>'Form responses 1'!X536</f>
        <v/>
      </c>
      <c r="Q534" s="4" t="str">
        <f>'Form responses 1'!Y536</f>
        <v/>
      </c>
      <c r="R534" s="4" t="str">
        <f>'Form responses 1'!Z536</f>
        <v/>
      </c>
      <c r="S534" s="54" t="str">
        <f>'Form responses 1'!AC536</f>
        <v>https://drive.google.com/open?id=19bhmAYOCFdCddBwZl3Wau73LQMozPDuZ</v>
      </c>
      <c r="T534" s="4" t="str">
        <f>'Form responses 1'!AE536</f>
        <v/>
      </c>
      <c r="U534" s="54" t="str">
        <f>'Form responses 1'!AG536</f>
        <v>https://drive.google.com/open?id=12K4b8vhs3pAxMC0tiMtzobsXR3Sz9XyS</v>
      </c>
      <c r="V534" s="4" t="str">
        <f>'Form responses 1'!AI536</f>
        <v/>
      </c>
      <c r="W534" s="4" t="str">
        <f>'Form responses 1'!AJ536</f>
        <v/>
      </c>
      <c r="X534" s="54" t="str">
        <f>'Form responses 1'!AK536</f>
        <v>https://drive.google.com/open?id=1XqfSCML6SoFCVD8TCEqvqtCDTAEjdvUa</v>
      </c>
      <c r="Y534" s="4">
        <f t="shared" ref="Y534:AD534" si="533">if(S534&gt;0,1,0)</f>
        <v>1</v>
      </c>
      <c r="Z534" s="4">
        <f t="shared" si="533"/>
        <v>0</v>
      </c>
      <c r="AA534" s="4">
        <f t="shared" si="533"/>
        <v>1</v>
      </c>
      <c r="AB534" s="4">
        <f t="shared" si="533"/>
        <v>0</v>
      </c>
      <c r="AC534" s="4">
        <f t="shared" si="533"/>
        <v>0</v>
      </c>
      <c r="AD534" s="4">
        <f t="shared" si="533"/>
        <v>1</v>
      </c>
      <c r="AE534" s="4" t="str">
        <f>'Form responses 1'!AN536</f>
        <v/>
      </c>
      <c r="AF534" s="4" t="str">
        <f>'Form responses 1'!AO536</f>
        <v/>
      </c>
      <c r="AG534" s="4" t="str">
        <f>'Form responses 1'!AP536</f>
        <v/>
      </c>
      <c r="AH534" s="4" t="str">
        <f>'Form responses 1'!AQ536</f>
        <v/>
      </c>
      <c r="AI534" s="4" t="str">
        <f>'Form responses 1'!AR536</f>
        <v/>
      </c>
    </row>
    <row r="535">
      <c r="A535" s="26">
        <f>'Form responses 1'!B469</f>
        <v>46069</v>
      </c>
      <c r="B535" s="4" t="str">
        <f>'Form responses 1'!AZ469</f>
        <v>greeshma.vanneldas@capsdelivery.com</v>
      </c>
      <c r="C535" s="4" t="str">
        <f>'Form responses 1'!BR469</f>
        <v>My bowl</v>
      </c>
      <c r="D535" s="4" t="str">
        <f>'Form responses 1'!AT469</f>
        <v>Manager was not available,following to connect him</v>
      </c>
      <c r="E535" s="4" t="str">
        <f>'Form responses 1'!AU469</f>
        <v>Yes</v>
      </c>
      <c r="F535" s="4" t="str">
        <f>'Form responses 1'!AX469</f>
        <v/>
      </c>
      <c r="G535" s="4" t="str">
        <f>'Form responses 1'!AY469</f>
        <v/>
      </c>
      <c r="H535" s="53" t="str">
        <f>'Form responses 1'!AW469</f>
        <v/>
      </c>
      <c r="I535" s="4" t="str">
        <f>'Form responses 1'!AS469</f>
        <v/>
      </c>
      <c r="J535" s="4" t="str">
        <f>'Form responses 1'!J469</f>
        <v/>
      </c>
      <c r="K535" s="4" t="str">
        <f>'Form responses 1'!G469</f>
        <v/>
      </c>
      <c r="L535" s="4" t="str">
        <f>'Form responses 1'!F469</f>
        <v/>
      </c>
      <c r="M535" s="4" t="str">
        <f>'Form responses 1'!U469</f>
        <v>na</v>
      </c>
      <c r="N535" s="4">
        <f>'Form responses 1'!V469</f>
        <v>9182628576</v>
      </c>
      <c r="O535" s="4" t="str">
        <f>'Form responses 1'!W469</f>
        <v>na</v>
      </c>
      <c r="P535" s="4" t="str">
        <f>'Form responses 1'!X469</f>
        <v/>
      </c>
      <c r="Q535" s="4" t="str">
        <f>'Form responses 1'!Y469</f>
        <v/>
      </c>
      <c r="R535" s="4" t="str">
        <f>'Form responses 1'!Z469</f>
        <v/>
      </c>
      <c r="S535" s="4" t="str">
        <f>'Form responses 1'!AC469</f>
        <v/>
      </c>
      <c r="T535" s="4" t="str">
        <f>'Form responses 1'!AE469</f>
        <v/>
      </c>
      <c r="U535" s="4" t="str">
        <f>'Form responses 1'!AG469</f>
        <v/>
      </c>
      <c r="V535" s="4" t="str">
        <f>'Form responses 1'!AI469</f>
        <v/>
      </c>
      <c r="W535" s="4" t="str">
        <f>'Form responses 1'!AJ469</f>
        <v/>
      </c>
      <c r="X535" s="4" t="str">
        <f>'Form responses 1'!AK469</f>
        <v/>
      </c>
      <c r="Y535" s="4">
        <f t="shared" ref="Y535:AD535" si="534">if(S535&gt;0,1,0)</f>
        <v>0</v>
      </c>
      <c r="Z535" s="4">
        <f t="shared" si="534"/>
        <v>0</v>
      </c>
      <c r="AA535" s="4">
        <f t="shared" si="534"/>
        <v>0</v>
      </c>
      <c r="AB535" s="4">
        <f t="shared" si="534"/>
        <v>0</v>
      </c>
      <c r="AC535" s="4">
        <f t="shared" si="534"/>
        <v>0</v>
      </c>
      <c r="AD535" s="4">
        <f t="shared" si="534"/>
        <v>0</v>
      </c>
      <c r="AE535" s="4" t="str">
        <f>'Form responses 1'!AN469</f>
        <v/>
      </c>
      <c r="AF535" s="4" t="str">
        <f>'Form responses 1'!AO469</f>
        <v/>
      </c>
      <c r="AG535" s="4" t="str">
        <f>'Form responses 1'!AP469</f>
        <v/>
      </c>
      <c r="AH535" s="4" t="str">
        <f>'Form responses 1'!AQ469</f>
        <v/>
      </c>
      <c r="AI535" s="4" t="str">
        <f>'Form responses 1'!AR469</f>
        <v/>
      </c>
    </row>
    <row r="536">
      <c r="A536" s="26">
        <f>'Form responses 1'!B525</f>
        <v>46069</v>
      </c>
      <c r="B536" s="4" t="str">
        <f>'Form responses 1'!AZ525</f>
        <v>greeshma.vanneldas@capsdelivery.com</v>
      </c>
      <c r="C536" s="4" t="str">
        <f>'Form responses 1'!BR525</f>
        <v>NarthanashalaNarthanashala</v>
      </c>
      <c r="D536" s="4" t="str">
        <f>'Form responses 1'!AT525</f>
        <v>follow back</v>
      </c>
      <c r="E536" s="4" t="str">
        <f>'Form responses 1'!AU525</f>
        <v>Yes</v>
      </c>
      <c r="F536" s="4" t="str">
        <f>'Form responses 1'!AX525</f>
        <v/>
      </c>
      <c r="G536" s="4" t="str">
        <f>'Form responses 1'!AY525</f>
        <v/>
      </c>
      <c r="H536" s="53" t="str">
        <f>'Form responses 1'!AW525</f>
        <v/>
      </c>
      <c r="I536" s="4" t="str">
        <f>'Form responses 1'!AS525</f>
        <v/>
      </c>
      <c r="J536" s="4" t="str">
        <f>'Form responses 1'!J525</f>
        <v/>
      </c>
      <c r="K536" s="4" t="str">
        <f>'Form responses 1'!G525</f>
        <v/>
      </c>
      <c r="L536" s="4" t="str">
        <f>'Form responses 1'!F525</f>
        <v/>
      </c>
      <c r="M536" s="4" t="str">
        <f>'Form responses 1'!U525</f>
        <v>Raj</v>
      </c>
      <c r="N536" s="4">
        <f>'Form responses 1'!V525</f>
        <v>8309163739</v>
      </c>
      <c r="O536" s="4" t="str">
        <f>'Form responses 1'!W525</f>
        <v>na</v>
      </c>
      <c r="P536" s="4" t="str">
        <f>'Form responses 1'!X525</f>
        <v/>
      </c>
      <c r="Q536" s="4" t="str">
        <f>'Form responses 1'!Y525</f>
        <v/>
      </c>
      <c r="R536" s="4" t="str">
        <f>'Form responses 1'!Z525</f>
        <v/>
      </c>
      <c r="S536" s="4" t="str">
        <f>'Form responses 1'!AC525</f>
        <v/>
      </c>
      <c r="T536" s="4" t="str">
        <f>'Form responses 1'!AE525</f>
        <v/>
      </c>
      <c r="U536" s="4" t="str">
        <f>'Form responses 1'!AG525</f>
        <v/>
      </c>
      <c r="V536" s="4" t="str">
        <f>'Form responses 1'!AI525</f>
        <v/>
      </c>
      <c r="W536" s="4" t="str">
        <f>'Form responses 1'!AJ525</f>
        <v/>
      </c>
      <c r="X536" s="4" t="str">
        <f>'Form responses 1'!AK525</f>
        <v/>
      </c>
      <c r="Y536" s="4">
        <f t="shared" ref="Y536:AD536" si="535">if(S536&gt;0,1,0)</f>
        <v>0</v>
      </c>
      <c r="Z536" s="4">
        <f t="shared" si="535"/>
        <v>0</v>
      </c>
      <c r="AA536" s="4">
        <f t="shared" si="535"/>
        <v>0</v>
      </c>
      <c r="AB536" s="4">
        <f t="shared" si="535"/>
        <v>0</v>
      </c>
      <c r="AC536" s="4">
        <f t="shared" si="535"/>
        <v>0</v>
      </c>
      <c r="AD536" s="4">
        <f t="shared" si="535"/>
        <v>0</v>
      </c>
      <c r="AE536" s="4" t="str">
        <f>'Form responses 1'!AN525</f>
        <v/>
      </c>
      <c r="AF536" s="4" t="str">
        <f>'Form responses 1'!AO525</f>
        <v/>
      </c>
      <c r="AG536" s="4" t="str">
        <f>'Form responses 1'!AP525</f>
        <v/>
      </c>
      <c r="AH536" s="4" t="str">
        <f>'Form responses 1'!AQ525</f>
        <v/>
      </c>
      <c r="AI536" s="4" t="str">
        <f>'Form responses 1'!AR525</f>
        <v/>
      </c>
    </row>
    <row r="537">
      <c r="A537" s="26">
        <f>'Form responses 1'!B22</f>
        <v>46058</v>
      </c>
      <c r="B537" s="4" t="str">
        <f>'Form responses 1'!AZ22</f>
        <v>greeshma.vanneldas@capsdelivery.com</v>
      </c>
      <c r="C537" s="4" t="str">
        <f>'Form responses 1'!BR22</f>
        <v>Palapitta Ruchulu</v>
      </c>
      <c r="D537" s="4" t="str">
        <f>'Form responses 1'!AT22</f>
        <v/>
      </c>
      <c r="E537" s="4" t="str">
        <f>'Form responses 1'!AU22</f>
        <v>Yes</v>
      </c>
      <c r="F537" s="4" t="str">
        <f>'Form responses 1'!AX22</f>
        <v/>
      </c>
      <c r="G537" s="4" t="str">
        <f>'Form responses 1'!AY22</f>
        <v/>
      </c>
      <c r="H537" s="53" t="str">
        <f>'Form responses 1'!AW22</f>
        <v/>
      </c>
      <c r="I537" s="4" t="str">
        <f>'Form responses 1'!AS22</f>
        <v/>
      </c>
      <c r="J537" s="4" t="str">
        <f>'Form responses 1'!J22</f>
        <v/>
      </c>
      <c r="K537" s="4" t="str">
        <f>'Form responses 1'!G22</f>
        <v/>
      </c>
      <c r="L537" s="4" t="str">
        <f>'Form responses 1'!F22</f>
        <v/>
      </c>
      <c r="M537" s="4" t="str">
        <f>'Form responses 1'!U22</f>
        <v>didnt mention</v>
      </c>
      <c r="N537" s="4">
        <f>'Form responses 1'!V22</f>
        <v>7032682089</v>
      </c>
      <c r="O537" s="4" t="str">
        <f>'Form responses 1'!W22</f>
        <v>didnt got mail</v>
      </c>
      <c r="P537" s="4" t="str">
        <f>'Form responses 1'!X22</f>
        <v/>
      </c>
      <c r="Q537" s="4" t="str">
        <f>'Form responses 1'!Y22</f>
        <v/>
      </c>
      <c r="R537" s="4" t="str">
        <f>'Form responses 1'!Z22</f>
        <v/>
      </c>
      <c r="S537" s="4" t="str">
        <f>'Form responses 1'!AC22</f>
        <v/>
      </c>
      <c r="T537" s="4" t="str">
        <f>'Form responses 1'!AE22</f>
        <v/>
      </c>
      <c r="U537" s="4" t="str">
        <f>'Form responses 1'!AG22</f>
        <v/>
      </c>
      <c r="V537" s="4" t="str">
        <f>'Form responses 1'!AI22</f>
        <v/>
      </c>
      <c r="W537" s="4" t="str">
        <f>'Form responses 1'!AJ22</f>
        <v/>
      </c>
      <c r="X537" s="4" t="str">
        <f>'Form responses 1'!AK22</f>
        <v/>
      </c>
      <c r="Y537" s="4">
        <f t="shared" ref="Y537:AD537" si="536">if(S537&gt;0,1,0)</f>
        <v>0</v>
      </c>
      <c r="Z537" s="4">
        <f t="shared" si="536"/>
        <v>0</v>
      </c>
      <c r="AA537" s="4">
        <f t="shared" si="536"/>
        <v>0</v>
      </c>
      <c r="AB537" s="4">
        <f t="shared" si="536"/>
        <v>0</v>
      </c>
      <c r="AC537" s="4">
        <f t="shared" si="536"/>
        <v>0</v>
      </c>
      <c r="AD537" s="4">
        <f t="shared" si="536"/>
        <v>0</v>
      </c>
      <c r="AE537" s="4" t="str">
        <f>'Form responses 1'!AN22</f>
        <v/>
      </c>
      <c r="AF537" s="4" t="str">
        <f>'Form responses 1'!AO22</f>
        <v/>
      </c>
      <c r="AG537" s="4" t="str">
        <f>'Form responses 1'!AP22</f>
        <v/>
      </c>
      <c r="AH537" s="4" t="str">
        <f>'Form responses 1'!AQ22</f>
        <v/>
      </c>
      <c r="AI537" s="4" t="str">
        <f>'Form responses 1'!AR22</f>
        <v/>
      </c>
    </row>
    <row r="538">
      <c r="A538" s="26">
        <f>'Form responses 1'!B599</f>
        <v>46072</v>
      </c>
      <c r="B538" s="4" t="str">
        <f>'Form responses 1'!AZ599</f>
        <v>greeshma.vanneldas@capsdelivery.com</v>
      </c>
      <c r="C538" s="4" t="str">
        <f>'Form responses 1'!BR599</f>
        <v>Palle vindhu</v>
      </c>
      <c r="D538" s="4" t="str">
        <f>'Form responses 1'!AT599</f>
        <v>Need to speak with other partner for final discussion</v>
      </c>
      <c r="E538" s="4" t="str">
        <f>'Form responses 1'!AU599</f>
        <v>Yes</v>
      </c>
      <c r="F538" s="4" t="str">
        <f>'Form responses 1'!AX599</f>
        <v/>
      </c>
      <c r="G538" s="4" t="str">
        <f>'Form responses 1'!AY599</f>
        <v/>
      </c>
      <c r="H538" s="53" t="str">
        <f>'Form responses 1'!AW599</f>
        <v/>
      </c>
      <c r="I538" s="4" t="str">
        <f>'Form responses 1'!AS599</f>
        <v/>
      </c>
      <c r="J538" s="4" t="str">
        <f>'Form responses 1'!J599</f>
        <v>Tier-1(AOV&gt;400)</v>
      </c>
      <c r="K538" s="4">
        <f>'Form responses 1'!G599</f>
        <v>1000</v>
      </c>
      <c r="L538" s="4">
        <f>'Form responses 1'!F599</f>
        <v>50</v>
      </c>
      <c r="M538" s="4" t="str">
        <f>'Form responses 1'!U599</f>
        <v>Vishnu</v>
      </c>
      <c r="N538" s="4">
        <f>'Form responses 1'!V599</f>
        <v>9133711711</v>
      </c>
      <c r="O538" s="4" t="str">
        <f>'Form responses 1'!W599</f>
        <v>na</v>
      </c>
      <c r="P538" s="4" t="str">
        <f>'Form responses 1'!X599</f>
        <v/>
      </c>
      <c r="Q538" s="4" t="str">
        <f>'Form responses 1'!Y599</f>
        <v/>
      </c>
      <c r="R538" s="4" t="str">
        <f>'Form responses 1'!Z599</f>
        <v/>
      </c>
      <c r="S538" s="4" t="str">
        <f>'Form responses 1'!AC599</f>
        <v/>
      </c>
      <c r="T538" s="4" t="str">
        <f>'Form responses 1'!AE599</f>
        <v/>
      </c>
      <c r="U538" s="4" t="str">
        <f>'Form responses 1'!AG599</f>
        <v/>
      </c>
      <c r="V538" s="4" t="str">
        <f>'Form responses 1'!AI599</f>
        <v/>
      </c>
      <c r="W538" s="4" t="str">
        <f>'Form responses 1'!AJ599</f>
        <v/>
      </c>
      <c r="X538" s="4" t="str">
        <f>'Form responses 1'!AK599</f>
        <v/>
      </c>
      <c r="Y538" s="4">
        <f t="shared" ref="Y538:AD538" si="537">if(S538&gt;0,1,0)</f>
        <v>0</v>
      </c>
      <c r="Z538" s="4">
        <f t="shared" si="537"/>
        <v>0</v>
      </c>
      <c r="AA538" s="4">
        <f t="shared" si="537"/>
        <v>0</v>
      </c>
      <c r="AB538" s="4">
        <f t="shared" si="537"/>
        <v>0</v>
      </c>
      <c r="AC538" s="4">
        <f t="shared" si="537"/>
        <v>0</v>
      </c>
      <c r="AD538" s="4">
        <f t="shared" si="537"/>
        <v>0</v>
      </c>
      <c r="AE538" s="4" t="str">
        <f>'Form responses 1'!AN599</f>
        <v/>
      </c>
      <c r="AF538" s="4" t="str">
        <f>'Form responses 1'!AO1718</f>
        <v/>
      </c>
      <c r="AG538" s="4" t="str">
        <f>'Form responses 1'!AP1718</f>
        <v/>
      </c>
      <c r="AH538" s="4" t="str">
        <f>'Form responses 1'!AQ1718</f>
        <v/>
      </c>
      <c r="AI538" s="4" t="str">
        <f>'Form responses 1'!AR1718</f>
        <v/>
      </c>
    </row>
    <row r="539">
      <c r="A539" s="26">
        <f>'Form responses 1'!B237</f>
        <v>46064</v>
      </c>
      <c r="B539" s="4" t="str">
        <f>'Form responses 1'!AZ237</f>
        <v>greeshma.vanneldas@capsdelivery.com</v>
      </c>
      <c r="C539" s="4" t="str">
        <f>'Form responses 1'!BR237</f>
        <v>Palle vindu</v>
      </c>
      <c r="D539" s="4" t="str">
        <f>'Form responses 1'!AT237</f>
        <v/>
      </c>
      <c r="E539" s="4" t="str">
        <f>'Form responses 1'!AU237</f>
        <v>Yes</v>
      </c>
      <c r="F539" s="4" t="str">
        <f>'Form responses 1'!AX237</f>
        <v/>
      </c>
      <c r="G539" s="4" t="str">
        <f>'Form responses 1'!AY237</f>
        <v/>
      </c>
      <c r="H539" s="53" t="str">
        <f>'Form responses 1'!AW237</f>
        <v>Manager is not available got the contact details from the supervisor </v>
      </c>
      <c r="I539" s="4" t="str">
        <f>'Form responses 1'!AS237</f>
        <v/>
      </c>
      <c r="J539" s="4" t="str">
        <f>'Form responses 1'!J237</f>
        <v>Tier-2 (AOV &lt;400)</v>
      </c>
      <c r="K539" s="4">
        <f>'Form responses 1'!G237</f>
        <v>400</v>
      </c>
      <c r="L539" s="4">
        <f>'Form responses 1'!F237</f>
        <v>50</v>
      </c>
      <c r="M539" s="4" t="str">
        <f>'Form responses 1'!U237</f>
        <v>Shanker</v>
      </c>
      <c r="N539" s="4">
        <f>'Form responses 1'!V237</f>
        <v>7396769261</v>
      </c>
      <c r="O539" s="4" t="str">
        <f>'Form responses 1'!W237</f>
        <v>na</v>
      </c>
      <c r="P539" s="4" t="str">
        <f>'Form responses 1'!X237</f>
        <v/>
      </c>
      <c r="Q539" s="4" t="str">
        <f>'Form responses 1'!Y237</f>
        <v/>
      </c>
      <c r="R539" s="4" t="str">
        <f>'Form responses 1'!Z237</f>
        <v/>
      </c>
      <c r="S539" s="4" t="str">
        <f>'Form responses 1'!AC237</f>
        <v/>
      </c>
      <c r="T539" s="4" t="str">
        <f>'Form responses 1'!AE237</f>
        <v/>
      </c>
      <c r="U539" s="4" t="str">
        <f>'Form responses 1'!AG237</f>
        <v/>
      </c>
      <c r="V539" s="4" t="str">
        <f>'Form responses 1'!AI237</f>
        <v/>
      </c>
      <c r="W539" s="4" t="str">
        <f>'Form responses 1'!AJ237</f>
        <v/>
      </c>
      <c r="X539" s="4" t="str">
        <f>'Form responses 1'!AK237</f>
        <v/>
      </c>
      <c r="Y539" s="4">
        <f t="shared" ref="Y539:AD539" si="538">if(S539&gt;0,1,0)</f>
        <v>0</v>
      </c>
      <c r="Z539" s="4">
        <f t="shared" si="538"/>
        <v>0</v>
      </c>
      <c r="AA539" s="4">
        <f t="shared" si="538"/>
        <v>0</v>
      </c>
      <c r="AB539" s="4">
        <f t="shared" si="538"/>
        <v>0</v>
      </c>
      <c r="AC539" s="4">
        <f t="shared" si="538"/>
        <v>0</v>
      </c>
      <c r="AD539" s="4">
        <f t="shared" si="538"/>
        <v>0</v>
      </c>
      <c r="AE539" s="4" t="str">
        <f>'Form responses 1'!AN237</f>
        <v/>
      </c>
      <c r="AF539" s="4" t="str">
        <f>'Form responses 1'!AO237</f>
        <v/>
      </c>
      <c r="AG539" s="4" t="str">
        <f>'Form responses 1'!AP237</f>
        <v/>
      </c>
      <c r="AH539" s="4" t="str">
        <f>'Form responses 1'!AQ237</f>
        <v/>
      </c>
      <c r="AI539" s="4" t="str">
        <f>'Form responses 1'!AR237</f>
        <v/>
      </c>
    </row>
    <row r="540">
      <c r="A540" s="26">
        <f>'Form responses 1'!B249</f>
        <v>46065</v>
      </c>
      <c r="B540" s="4" t="str">
        <f>'Form responses 1'!AZ249</f>
        <v>greeshma.vanneldas@capsdelivery.com</v>
      </c>
      <c r="C540" s="4" t="str">
        <f>'Form responses 1'!BR249</f>
        <v>Palleturi dosa</v>
      </c>
      <c r="D540" s="4" t="str">
        <f>'Form responses 1'!AT249</f>
        <v/>
      </c>
      <c r="E540" s="4" t="str">
        <f>'Form responses 1'!AU249</f>
        <v>Yes</v>
      </c>
      <c r="F540" s="4" t="str">
        <f>'Form responses 1'!AX249</f>
        <v/>
      </c>
      <c r="G540" s="4" t="str">
        <f>'Form responses 1'!AY249</f>
        <v/>
      </c>
      <c r="H540" s="53" t="str">
        <f>'Form responses 1'!AW249</f>
        <v>Manager will be available after 5 in the restaurant </v>
      </c>
      <c r="I540" s="4" t="str">
        <f>'Form responses 1'!AS249</f>
        <v/>
      </c>
      <c r="J540" s="4" t="str">
        <f>'Form responses 1'!J249</f>
        <v/>
      </c>
      <c r="K540" s="4" t="str">
        <f>'Form responses 1'!G249</f>
        <v/>
      </c>
      <c r="L540" s="4" t="str">
        <f>'Form responses 1'!F249</f>
        <v/>
      </c>
      <c r="M540" s="4" t="str">
        <f>'Form responses 1'!U249</f>
        <v>Praveen</v>
      </c>
      <c r="N540" s="4">
        <f>'Form responses 1'!V249</f>
        <v>9010776408</v>
      </c>
      <c r="O540" s="4" t="str">
        <f>'Form responses 1'!W249</f>
        <v>Na</v>
      </c>
      <c r="P540" s="4" t="str">
        <f>'Form responses 1'!X249</f>
        <v/>
      </c>
      <c r="Q540" s="4" t="str">
        <f>'Form responses 1'!Y249</f>
        <v/>
      </c>
      <c r="R540" s="4" t="str">
        <f>'Form responses 1'!Z249</f>
        <v/>
      </c>
      <c r="S540" s="4" t="str">
        <f>'Form responses 1'!AC249</f>
        <v/>
      </c>
      <c r="T540" s="4" t="str">
        <f>'Form responses 1'!AE249</f>
        <v/>
      </c>
      <c r="U540" s="4" t="str">
        <f>'Form responses 1'!AG249</f>
        <v/>
      </c>
      <c r="V540" s="4" t="str">
        <f>'Form responses 1'!AI249</f>
        <v/>
      </c>
      <c r="W540" s="4" t="str">
        <f>'Form responses 1'!AJ249</f>
        <v/>
      </c>
      <c r="X540" s="4" t="str">
        <f>'Form responses 1'!AK249</f>
        <v/>
      </c>
      <c r="Y540" s="4">
        <f t="shared" ref="Y540:AD540" si="539">if(S540&gt;0,1,0)</f>
        <v>0</v>
      </c>
      <c r="Z540" s="4">
        <f t="shared" si="539"/>
        <v>0</v>
      </c>
      <c r="AA540" s="4">
        <f t="shared" si="539"/>
        <v>0</v>
      </c>
      <c r="AB540" s="4">
        <f t="shared" si="539"/>
        <v>0</v>
      </c>
      <c r="AC540" s="4">
        <f t="shared" si="539"/>
        <v>0</v>
      </c>
      <c r="AD540" s="4">
        <f t="shared" si="539"/>
        <v>0</v>
      </c>
      <c r="AE540" s="4" t="str">
        <f>'Form responses 1'!AN249</f>
        <v/>
      </c>
      <c r="AF540" s="4" t="str">
        <f>'Form responses 1'!AO249</f>
        <v/>
      </c>
      <c r="AG540" s="4" t="str">
        <f>'Form responses 1'!AP249</f>
        <v/>
      </c>
      <c r="AH540" s="4" t="str">
        <f>'Form responses 1'!AQ249</f>
        <v/>
      </c>
      <c r="AI540" s="4" t="str">
        <f>'Form responses 1'!AR249</f>
        <v/>
      </c>
    </row>
    <row r="541">
      <c r="A541" s="26">
        <f>'Form responses 1'!B263</f>
        <v>46065</v>
      </c>
      <c r="B541" s="4" t="str">
        <f>'Form responses 1'!AZ263</f>
        <v>greeshma.vanneldas@capsdelivery.com</v>
      </c>
      <c r="C541" s="4" t="str">
        <f>'Form responses 1'!BR263</f>
        <v>Palleturi dosa</v>
      </c>
      <c r="D541" s="4" t="str">
        <f>'Form responses 1'!AT263</f>
        <v/>
      </c>
      <c r="E541" s="4" t="str">
        <f>'Form responses 1'!AU263</f>
        <v>Yes</v>
      </c>
      <c r="F541" s="4" t="str">
        <f>'Form responses 1'!AX263</f>
        <v/>
      </c>
      <c r="G541" s="4" t="str">
        <f>'Form responses 1'!AY263</f>
        <v/>
      </c>
      <c r="H541" s="53" t="str">
        <f>'Form responses 1'!AW263</f>
        <v>Manager is not available,will be available after 18:00pm</v>
      </c>
      <c r="I541" s="4" t="str">
        <f>'Form responses 1'!AS263</f>
        <v/>
      </c>
      <c r="J541" s="4" t="str">
        <f>'Form responses 1'!J263</f>
        <v/>
      </c>
      <c r="K541" s="4" t="str">
        <f>'Form responses 1'!G263</f>
        <v/>
      </c>
      <c r="L541" s="4" t="str">
        <f>'Form responses 1'!F263</f>
        <v/>
      </c>
      <c r="M541" s="4" t="str">
        <f>'Form responses 1'!U263</f>
        <v>Praveen</v>
      </c>
      <c r="N541" s="4">
        <f>'Form responses 1'!V263</f>
        <v>9010776408</v>
      </c>
      <c r="O541" s="4" t="str">
        <f>'Form responses 1'!W263</f>
        <v>na</v>
      </c>
      <c r="P541" s="4" t="str">
        <f>'Form responses 1'!X263</f>
        <v/>
      </c>
      <c r="Q541" s="4" t="str">
        <f>'Form responses 1'!Y263</f>
        <v/>
      </c>
      <c r="R541" s="4" t="str">
        <f>'Form responses 1'!Z263</f>
        <v/>
      </c>
      <c r="S541" s="4" t="str">
        <f>'Form responses 1'!AC263</f>
        <v/>
      </c>
      <c r="T541" s="4" t="str">
        <f>'Form responses 1'!AE263</f>
        <v/>
      </c>
      <c r="U541" s="4" t="str">
        <f>'Form responses 1'!AG263</f>
        <v/>
      </c>
      <c r="V541" s="4" t="str">
        <f>'Form responses 1'!AI263</f>
        <v/>
      </c>
      <c r="W541" s="4" t="str">
        <f>'Form responses 1'!AJ263</f>
        <v/>
      </c>
      <c r="X541" s="4" t="str">
        <f>'Form responses 1'!AK263</f>
        <v/>
      </c>
      <c r="Y541" s="4">
        <f t="shared" ref="Y541:AD541" si="540">if(S541&gt;0,1,0)</f>
        <v>0</v>
      </c>
      <c r="Z541" s="4">
        <f t="shared" si="540"/>
        <v>0</v>
      </c>
      <c r="AA541" s="4">
        <f t="shared" si="540"/>
        <v>0</v>
      </c>
      <c r="AB541" s="4">
        <f t="shared" si="540"/>
        <v>0</v>
      </c>
      <c r="AC541" s="4">
        <f t="shared" si="540"/>
        <v>0</v>
      </c>
      <c r="AD541" s="4">
        <f t="shared" si="540"/>
        <v>0</v>
      </c>
      <c r="AE541" s="4" t="str">
        <f>'Form responses 1'!AN263</f>
        <v/>
      </c>
      <c r="AF541" s="4" t="str">
        <f>'Form responses 1'!AO263</f>
        <v/>
      </c>
      <c r="AG541" s="4" t="str">
        <f>'Form responses 1'!AP263</f>
        <v/>
      </c>
      <c r="AH541" s="4" t="str">
        <f>'Form responses 1'!AQ263</f>
        <v/>
      </c>
      <c r="AI541" s="4" t="str">
        <f>'Form responses 1'!AR263</f>
        <v/>
      </c>
    </row>
    <row r="542">
      <c r="A542" s="26">
        <f>'Form responses 1'!B480</f>
        <v>46069</v>
      </c>
      <c r="B542" s="4" t="str">
        <f>'Form responses 1'!AZ480</f>
        <v>greeshma.vanneldas@capsdelivery.com</v>
      </c>
      <c r="C542" s="4" t="str">
        <f>'Form responses 1'!BR480</f>
        <v>PandagaPandaga</v>
      </c>
      <c r="D542" s="4" t="str">
        <f>'Form responses 1'!AT480</f>
        <v>Need to send proposal</v>
      </c>
      <c r="E542" s="4" t="str">
        <f>'Form responses 1'!AU480</f>
        <v>Yes</v>
      </c>
      <c r="F542" s="4" t="str">
        <f>'Form responses 1'!AX480</f>
        <v/>
      </c>
      <c r="G542" s="4" t="str">
        <f>'Form responses 1'!AY480</f>
        <v/>
      </c>
      <c r="H542" s="53" t="str">
        <f>'Form responses 1'!AW480</f>
        <v/>
      </c>
      <c r="I542" s="4" t="str">
        <f>'Form responses 1'!AS480</f>
        <v/>
      </c>
      <c r="J542" s="4" t="str">
        <f>'Form responses 1'!J480</f>
        <v/>
      </c>
      <c r="K542" s="4" t="str">
        <f>'Form responses 1'!G480</f>
        <v/>
      </c>
      <c r="L542" s="4" t="str">
        <f>'Form responses 1'!F480</f>
        <v/>
      </c>
      <c r="M542" s="4" t="str">
        <f>'Form responses 1'!U480</f>
        <v>sai</v>
      </c>
      <c r="N542" s="4">
        <f>'Form responses 1'!V480</f>
        <v>7680947465</v>
      </c>
      <c r="O542" s="4" t="str">
        <f>'Form responses 1'!W480</f>
        <v>na</v>
      </c>
      <c r="P542" s="4" t="str">
        <f>'Form responses 1'!X480</f>
        <v/>
      </c>
      <c r="Q542" s="4" t="str">
        <f>'Form responses 1'!Y480</f>
        <v/>
      </c>
      <c r="R542" s="4" t="str">
        <f>'Form responses 1'!Z480</f>
        <v/>
      </c>
      <c r="S542" s="4" t="str">
        <f>'Form responses 1'!AC480</f>
        <v/>
      </c>
      <c r="T542" s="4" t="str">
        <f>'Form responses 1'!AE480</f>
        <v/>
      </c>
      <c r="U542" s="4" t="str">
        <f>'Form responses 1'!AG480</f>
        <v/>
      </c>
      <c r="V542" s="4" t="str">
        <f>'Form responses 1'!AI480</f>
        <v/>
      </c>
      <c r="W542" s="4" t="str">
        <f>'Form responses 1'!AJ480</f>
        <v/>
      </c>
      <c r="X542" s="4" t="str">
        <f>'Form responses 1'!AK480</f>
        <v/>
      </c>
      <c r="Y542" s="4">
        <f t="shared" ref="Y542:AD542" si="541">if(S542&gt;0,1,0)</f>
        <v>0</v>
      </c>
      <c r="Z542" s="4">
        <f t="shared" si="541"/>
        <v>0</v>
      </c>
      <c r="AA542" s="4">
        <f t="shared" si="541"/>
        <v>0</v>
      </c>
      <c r="AB542" s="4">
        <f t="shared" si="541"/>
        <v>0</v>
      </c>
      <c r="AC542" s="4">
        <f t="shared" si="541"/>
        <v>0</v>
      </c>
      <c r="AD542" s="4">
        <f t="shared" si="541"/>
        <v>0</v>
      </c>
      <c r="AE542" s="4" t="str">
        <f>'Form responses 1'!AN480</f>
        <v/>
      </c>
      <c r="AF542" s="4" t="str">
        <f>'Form responses 1'!AO480</f>
        <v/>
      </c>
      <c r="AG542" s="4" t="str">
        <f>'Form responses 1'!AP480</f>
        <v/>
      </c>
      <c r="AH542" s="4" t="str">
        <f>'Form responses 1'!AQ480</f>
        <v/>
      </c>
      <c r="AI542" s="4" t="str">
        <f>'Form responses 1'!AR480</f>
        <v/>
      </c>
    </row>
    <row r="543">
      <c r="A543" s="26">
        <f>'Form responses 1'!B321</f>
        <v>46066</v>
      </c>
      <c r="B543" s="4" t="str">
        <f>'Form responses 1'!AZ321</f>
        <v>greeshma.vanneldas@capsdelivery.com</v>
      </c>
      <c r="C543" s="4" t="str">
        <f>'Form responses 1'!BR321</f>
        <v>Patiala plate </v>
      </c>
      <c r="D543" s="4" t="str">
        <f>'Form responses 1'!AT321</f>
        <v/>
      </c>
      <c r="E543" s="4" t="str">
        <f>'Form responses 1'!AU321</f>
        <v>Yes</v>
      </c>
      <c r="F543" s="4" t="str">
        <f>'Form responses 1'!AX321</f>
        <v/>
      </c>
      <c r="G543" s="4" t="str">
        <f>'Form responses 1'!AY321</f>
        <v/>
      </c>
      <c r="H543" s="53" t="str">
        <f>'Form responses 1'!AW321</f>
        <v>Manager need to discuss with owner </v>
      </c>
      <c r="I543" s="4" t="str">
        <f>'Form responses 1'!AS321</f>
        <v/>
      </c>
      <c r="J543" s="4" t="str">
        <f>'Form responses 1'!J321</f>
        <v>Tier-1(AOV&gt;400)</v>
      </c>
      <c r="K543" s="4">
        <f>'Form responses 1'!G321</f>
        <v>500</v>
      </c>
      <c r="L543" s="4">
        <f>'Form responses 1'!F321</f>
        <v>60</v>
      </c>
      <c r="M543" s="4" t="str">
        <f>'Form responses 1'!U321</f>
        <v>Jaffar</v>
      </c>
      <c r="N543" s="4">
        <f>'Form responses 1'!V321</f>
        <v>8319942382</v>
      </c>
      <c r="O543" s="4" t="str">
        <f>'Form responses 1'!W321</f>
        <v>Na</v>
      </c>
      <c r="P543" s="4" t="str">
        <f>'Form responses 1'!X321</f>
        <v/>
      </c>
      <c r="Q543" s="4" t="str">
        <f>'Form responses 1'!Y321</f>
        <v/>
      </c>
      <c r="R543" s="4" t="str">
        <f>'Form responses 1'!Z321</f>
        <v/>
      </c>
      <c r="S543" s="4" t="str">
        <f>'Form responses 1'!AC321</f>
        <v/>
      </c>
      <c r="T543" s="4" t="str">
        <f>'Form responses 1'!AE321</f>
        <v/>
      </c>
      <c r="U543" s="4" t="str">
        <f>'Form responses 1'!AG321</f>
        <v/>
      </c>
      <c r="V543" s="4" t="str">
        <f>'Form responses 1'!AI321</f>
        <v/>
      </c>
      <c r="W543" s="4" t="str">
        <f>'Form responses 1'!AJ321</f>
        <v/>
      </c>
      <c r="X543" s="4" t="str">
        <f>'Form responses 1'!AK321</f>
        <v/>
      </c>
      <c r="Y543" s="4">
        <f t="shared" ref="Y543:AD543" si="542">if(S543&gt;0,1,0)</f>
        <v>0</v>
      </c>
      <c r="Z543" s="4">
        <f t="shared" si="542"/>
        <v>0</v>
      </c>
      <c r="AA543" s="4">
        <f t="shared" si="542"/>
        <v>0</v>
      </c>
      <c r="AB543" s="4">
        <f t="shared" si="542"/>
        <v>0</v>
      </c>
      <c r="AC543" s="4">
        <f t="shared" si="542"/>
        <v>0</v>
      </c>
      <c r="AD543" s="4">
        <f t="shared" si="542"/>
        <v>0</v>
      </c>
      <c r="AE543" s="4" t="str">
        <f>'Form responses 1'!AN321</f>
        <v/>
      </c>
      <c r="AF543" s="4" t="str">
        <f>'Form responses 1'!AO321</f>
        <v/>
      </c>
      <c r="AG543" s="4" t="str">
        <f>'Form responses 1'!AP321</f>
        <v/>
      </c>
      <c r="AH543" s="4" t="str">
        <f>'Form responses 1'!AQ321</f>
        <v/>
      </c>
      <c r="AI543" s="4" t="str">
        <f>'Form responses 1'!AR321</f>
        <v/>
      </c>
    </row>
    <row r="544">
      <c r="A544" s="26">
        <f>'Form responses 1'!B540</f>
        <v>46070</v>
      </c>
      <c r="B544" s="4" t="str">
        <f>'Form responses 1'!AZ540</f>
        <v>greeshma.vanneldas@capsdelivery.com</v>
      </c>
      <c r="C544" s="4" t="str">
        <f>'Form responses 1'!BR540</f>
        <v>Peni icecandy</v>
      </c>
      <c r="D544" s="4" t="str">
        <f>'Form responses 1'!AT540</f>
        <v>Tomorrow meeting scheduled with manager</v>
      </c>
      <c r="E544" s="4" t="str">
        <f>'Form responses 1'!AU540</f>
        <v>Yes</v>
      </c>
      <c r="F544" s="4" t="str">
        <f>'Form responses 1'!AX540</f>
        <v/>
      </c>
      <c r="G544" s="4" t="str">
        <f>'Form responses 1'!AY540</f>
        <v/>
      </c>
      <c r="H544" s="53" t="str">
        <f>'Form responses 1'!AW540</f>
        <v/>
      </c>
      <c r="I544" s="4" t="str">
        <f>'Form responses 1'!AS540</f>
        <v/>
      </c>
      <c r="J544" s="4" t="str">
        <f>'Form responses 1'!J540</f>
        <v/>
      </c>
      <c r="K544" s="4" t="str">
        <f>'Form responses 1'!G540</f>
        <v/>
      </c>
      <c r="L544" s="4" t="str">
        <f>'Form responses 1'!F540</f>
        <v/>
      </c>
      <c r="M544" s="4" t="str">
        <f>'Form responses 1'!U540</f>
        <v>Naveen</v>
      </c>
      <c r="N544" s="4">
        <f>'Form responses 1'!V540</f>
        <v>908338532</v>
      </c>
      <c r="O544" s="4" t="str">
        <f>'Form responses 1'!W540</f>
        <v>na</v>
      </c>
      <c r="P544" s="4" t="str">
        <f>'Form responses 1'!X540</f>
        <v/>
      </c>
      <c r="Q544" s="4" t="str">
        <f>'Form responses 1'!Y540</f>
        <v/>
      </c>
      <c r="R544" s="4" t="str">
        <f>'Form responses 1'!Z540</f>
        <v/>
      </c>
      <c r="S544" s="4" t="str">
        <f>'Form responses 1'!AC540</f>
        <v/>
      </c>
      <c r="T544" s="4" t="str">
        <f>'Form responses 1'!AE540</f>
        <v/>
      </c>
      <c r="U544" s="4" t="str">
        <f>'Form responses 1'!AG540</f>
        <v/>
      </c>
      <c r="V544" s="4" t="str">
        <f>'Form responses 1'!AI540</f>
        <v/>
      </c>
      <c r="W544" s="4" t="str">
        <f>'Form responses 1'!AJ540</f>
        <v/>
      </c>
      <c r="X544" s="4" t="str">
        <f>'Form responses 1'!AK540</f>
        <v/>
      </c>
      <c r="Y544" s="4">
        <f t="shared" ref="Y544:AD544" si="543">if(S544&gt;0,1,0)</f>
        <v>0</v>
      </c>
      <c r="Z544" s="4">
        <f t="shared" si="543"/>
        <v>0</v>
      </c>
      <c r="AA544" s="4">
        <f t="shared" si="543"/>
        <v>0</v>
      </c>
      <c r="AB544" s="4">
        <f t="shared" si="543"/>
        <v>0</v>
      </c>
      <c r="AC544" s="4">
        <f t="shared" si="543"/>
        <v>0</v>
      </c>
      <c r="AD544" s="4">
        <f t="shared" si="543"/>
        <v>0</v>
      </c>
      <c r="AE544" s="4" t="str">
        <f>'Form responses 1'!AN540</f>
        <v/>
      </c>
      <c r="AF544" s="4" t="str">
        <f>'Form responses 1'!AO540</f>
        <v/>
      </c>
      <c r="AG544" s="4" t="str">
        <f>'Form responses 1'!AP540</f>
        <v/>
      </c>
      <c r="AH544" s="4" t="str">
        <f>'Form responses 1'!AQ540</f>
        <v/>
      </c>
      <c r="AI544" s="4" t="str">
        <f>'Form responses 1'!AR540</f>
        <v/>
      </c>
    </row>
    <row r="545">
      <c r="A545" s="26">
        <f>'Form responses 1'!B316</f>
        <v>46066</v>
      </c>
      <c r="B545" s="4" t="str">
        <f>'Form responses 1'!AZ316</f>
        <v>greeshma.vanneldas@capsdelivery.com</v>
      </c>
      <c r="C545" s="4" t="str">
        <f>'Form responses 1'!BR316</f>
        <v>Polar bear the ice cream sundae zone </v>
      </c>
      <c r="D545" s="4" t="str">
        <f>'Form responses 1'!AT316</f>
        <v/>
      </c>
      <c r="E545" s="4" t="str">
        <f>'Form responses 1'!AU316</f>
        <v>Yes</v>
      </c>
      <c r="F545" s="4" t="str">
        <f>'Form responses 1'!AX316</f>
        <v/>
      </c>
      <c r="G545" s="4" t="str">
        <f>'Form responses 1'!AY316</f>
        <v/>
      </c>
      <c r="H545" s="53" t="str">
        <f>'Form responses 1'!AW316</f>
        <v>Area head is responsible for descion making,she said she will pass the info I will follow up her </v>
      </c>
      <c r="I545" s="4" t="str">
        <f>'Form responses 1'!AS316</f>
        <v/>
      </c>
      <c r="J545" s="4" t="str">
        <f>'Form responses 1'!J316</f>
        <v/>
      </c>
      <c r="K545" s="4" t="str">
        <f>'Form responses 1'!G316</f>
        <v/>
      </c>
      <c r="L545" s="4" t="str">
        <f>'Form responses 1'!F316</f>
        <v/>
      </c>
      <c r="M545" s="4" t="str">
        <f>'Form responses 1'!U316</f>
        <v>Haritha</v>
      </c>
      <c r="N545" s="4">
        <f>'Form responses 1'!V316</f>
        <v>8374167037</v>
      </c>
      <c r="O545" s="4" t="str">
        <f>'Form responses 1'!W316</f>
        <v>Na</v>
      </c>
      <c r="P545" s="4" t="str">
        <f>'Form responses 1'!X316</f>
        <v/>
      </c>
      <c r="Q545" s="4" t="str">
        <f>'Form responses 1'!Y316</f>
        <v/>
      </c>
      <c r="R545" s="4" t="str">
        <f>'Form responses 1'!Z316</f>
        <v/>
      </c>
      <c r="S545" s="4" t="str">
        <f>'Form responses 1'!AC316</f>
        <v/>
      </c>
      <c r="T545" s="4" t="str">
        <f>'Form responses 1'!AE316</f>
        <v/>
      </c>
      <c r="U545" s="4" t="str">
        <f>'Form responses 1'!AG316</f>
        <v/>
      </c>
      <c r="V545" s="4" t="str">
        <f>'Form responses 1'!AI316</f>
        <v/>
      </c>
      <c r="W545" s="4" t="str">
        <f>'Form responses 1'!AJ316</f>
        <v/>
      </c>
      <c r="X545" s="4" t="str">
        <f>'Form responses 1'!AK316</f>
        <v/>
      </c>
      <c r="Y545" s="4">
        <f t="shared" ref="Y545:AD545" si="544">if(S545&gt;0,1,0)</f>
        <v>0</v>
      </c>
      <c r="Z545" s="4">
        <f t="shared" si="544"/>
        <v>0</v>
      </c>
      <c r="AA545" s="4">
        <f t="shared" si="544"/>
        <v>0</v>
      </c>
      <c r="AB545" s="4">
        <f t="shared" si="544"/>
        <v>0</v>
      </c>
      <c r="AC545" s="4">
        <f t="shared" si="544"/>
        <v>0</v>
      </c>
      <c r="AD545" s="4">
        <f t="shared" si="544"/>
        <v>0</v>
      </c>
      <c r="AE545" s="4" t="str">
        <f>'Form responses 1'!AN316</f>
        <v/>
      </c>
      <c r="AF545" s="4" t="str">
        <f>'Form responses 1'!AO316</f>
        <v/>
      </c>
      <c r="AG545" s="4" t="str">
        <f>'Form responses 1'!AP316</f>
        <v/>
      </c>
      <c r="AH545" s="4" t="str">
        <f>'Form responses 1'!AQ316</f>
        <v/>
      </c>
      <c r="AI545" s="4" t="str">
        <f>'Form responses 1'!AR316</f>
        <v/>
      </c>
    </row>
    <row r="546">
      <c r="A546" s="26">
        <f>'Form responses 1'!B19</f>
        <v>46058</v>
      </c>
      <c r="B546" s="4" t="str">
        <f>'Form responses 1'!AZ19</f>
        <v>greeshma.vanneldas@capsdelivery.com</v>
      </c>
      <c r="C546" s="4" t="str">
        <f>'Form responses 1'!BR19</f>
        <v>Rameshwaram cafe</v>
      </c>
      <c r="D546" s="4" t="str">
        <f>'Form responses 1'!AT19</f>
        <v/>
      </c>
      <c r="E546" s="4" t="str">
        <f>'Form responses 1'!AU19</f>
        <v>Yes</v>
      </c>
      <c r="F546" s="4" t="str">
        <f>'Form responses 1'!AX19</f>
        <v/>
      </c>
      <c r="G546" s="4" t="str">
        <f>'Form responses 1'!AY19</f>
        <v/>
      </c>
      <c r="H546" s="53" t="str">
        <f>'Form responses 1'!AW19</f>
        <v/>
      </c>
      <c r="I546" s="4" t="str">
        <f>'Form responses 1'!AS19</f>
        <v/>
      </c>
      <c r="J546" s="4" t="str">
        <f>'Form responses 1'!J19</f>
        <v>Tier-2 (AOV &lt;400)</v>
      </c>
      <c r="K546" s="4">
        <f>'Form responses 1'!G19</f>
        <v>1</v>
      </c>
      <c r="L546" s="4">
        <f>'Form responses 1'!F19</f>
        <v>80</v>
      </c>
      <c r="M546" s="4" t="str">
        <f>'Form responses 1'!U19</f>
        <v>no details</v>
      </c>
      <c r="N546" s="4" t="str">
        <f>'Form responses 1'!V19</f>
        <v>no details</v>
      </c>
      <c r="O546" s="4" t="str">
        <f>'Form responses 1'!W19</f>
        <v>no details</v>
      </c>
      <c r="P546" s="4" t="str">
        <f>'Form responses 1'!X19</f>
        <v/>
      </c>
      <c r="Q546" s="4" t="str">
        <f>'Form responses 1'!Y19</f>
        <v/>
      </c>
      <c r="R546" s="4" t="str">
        <f>'Form responses 1'!Z19</f>
        <v/>
      </c>
      <c r="S546" s="4" t="str">
        <f>'Form responses 1'!AC19</f>
        <v/>
      </c>
      <c r="T546" s="4" t="str">
        <f>'Form responses 1'!AE19</f>
        <v/>
      </c>
      <c r="U546" s="4" t="str">
        <f>'Form responses 1'!AG19</f>
        <v/>
      </c>
      <c r="V546" s="4" t="str">
        <f>'Form responses 1'!AI19</f>
        <v/>
      </c>
      <c r="W546" s="4" t="str">
        <f>'Form responses 1'!AJ19</f>
        <v/>
      </c>
      <c r="X546" s="4" t="str">
        <f>'Form responses 1'!AK19</f>
        <v/>
      </c>
      <c r="Y546" s="4">
        <f t="shared" ref="Y546:AD546" si="545">if(S546&gt;0,1,0)</f>
        <v>0</v>
      </c>
      <c r="Z546" s="4">
        <f t="shared" si="545"/>
        <v>0</v>
      </c>
      <c r="AA546" s="4">
        <f t="shared" si="545"/>
        <v>0</v>
      </c>
      <c r="AB546" s="4">
        <f t="shared" si="545"/>
        <v>0</v>
      </c>
      <c r="AC546" s="4">
        <f t="shared" si="545"/>
        <v>0</v>
      </c>
      <c r="AD546" s="4">
        <f t="shared" si="545"/>
        <v>0</v>
      </c>
      <c r="AE546" s="4" t="str">
        <f>'Form responses 1'!AN19</f>
        <v/>
      </c>
      <c r="AF546" s="4" t="str">
        <f>'Form responses 1'!AO19</f>
        <v/>
      </c>
      <c r="AG546" s="4" t="str">
        <f>'Form responses 1'!AP19</f>
        <v/>
      </c>
      <c r="AH546" s="4" t="str">
        <f>'Form responses 1'!AQ19</f>
        <v/>
      </c>
      <c r="AI546" s="4" t="str">
        <f>'Form responses 1'!AR19</f>
        <v/>
      </c>
    </row>
    <row r="547">
      <c r="A547" s="26">
        <f>'Form responses 1'!B171</f>
        <v>46064</v>
      </c>
      <c r="B547" s="4" t="str">
        <f>'Form responses 1'!AZ171</f>
        <v>greeshma.vanneldas@capsdelivery.com</v>
      </c>
      <c r="C547" s="4" t="str">
        <f>'Form responses 1'!BR171</f>
        <v>Raw bakers</v>
      </c>
      <c r="D547" s="4" t="str">
        <f>'Form responses 1'!AT171</f>
        <v/>
      </c>
      <c r="E547" s="4" t="str">
        <f>'Form responses 1'!AU171</f>
        <v>Yes</v>
      </c>
      <c r="F547" s="4" t="str">
        <f>'Form responses 1'!AX171</f>
        <v/>
      </c>
      <c r="G547" s="4" t="str">
        <f>'Form responses 1'!AY171</f>
        <v/>
      </c>
      <c r="H547" s="53" t="str">
        <f>'Form responses 1'!AW171</f>
        <v>owner want to discuss with his brother,I will follow up</v>
      </c>
      <c r="I547" s="4" t="str">
        <f>'Form responses 1'!AS171</f>
        <v/>
      </c>
      <c r="J547" s="4" t="str">
        <f>'Form responses 1'!J171</f>
        <v/>
      </c>
      <c r="K547" s="4" t="str">
        <f>'Form responses 1'!G171</f>
        <v/>
      </c>
      <c r="L547" s="4" t="str">
        <f>'Form responses 1'!F171</f>
        <v/>
      </c>
      <c r="M547" s="4" t="str">
        <f>'Form responses 1'!U171</f>
        <v>Praney</v>
      </c>
      <c r="N547" s="4">
        <f>'Form responses 1'!V171</f>
        <v>9493041116</v>
      </c>
      <c r="O547" s="4" t="str">
        <f>'Form responses 1'!W171</f>
        <v>na</v>
      </c>
      <c r="P547" s="4" t="str">
        <f>'Form responses 1'!X171</f>
        <v/>
      </c>
      <c r="Q547" s="4" t="str">
        <f>'Form responses 1'!Y171</f>
        <v/>
      </c>
      <c r="R547" s="4" t="str">
        <f>'Form responses 1'!Z171</f>
        <v/>
      </c>
      <c r="S547" s="4" t="str">
        <f>'Form responses 1'!AC171</f>
        <v/>
      </c>
      <c r="T547" s="4" t="str">
        <f>'Form responses 1'!AE171</f>
        <v/>
      </c>
      <c r="U547" s="4" t="str">
        <f>'Form responses 1'!AG171</f>
        <v/>
      </c>
      <c r="V547" s="4" t="str">
        <f>'Form responses 1'!AI171</f>
        <v/>
      </c>
      <c r="W547" s="4" t="str">
        <f>'Form responses 1'!AJ171</f>
        <v/>
      </c>
      <c r="X547" s="4" t="str">
        <f>'Form responses 1'!AK171</f>
        <v/>
      </c>
      <c r="Y547" s="4">
        <f t="shared" ref="Y547:AD547" si="546">if(S547&gt;0,1,0)</f>
        <v>0</v>
      </c>
      <c r="Z547" s="4">
        <f t="shared" si="546"/>
        <v>0</v>
      </c>
      <c r="AA547" s="4">
        <f t="shared" si="546"/>
        <v>0</v>
      </c>
      <c r="AB547" s="4">
        <f t="shared" si="546"/>
        <v>0</v>
      </c>
      <c r="AC547" s="4">
        <f t="shared" si="546"/>
        <v>0</v>
      </c>
      <c r="AD547" s="4">
        <f t="shared" si="546"/>
        <v>0</v>
      </c>
      <c r="AE547" s="4" t="str">
        <f>'Form responses 1'!AN171</f>
        <v/>
      </c>
      <c r="AF547" s="4" t="str">
        <f>'Form responses 1'!AO171</f>
        <v/>
      </c>
      <c r="AG547" s="4" t="str">
        <f>'Form responses 1'!AP171</f>
        <v/>
      </c>
      <c r="AH547" s="4" t="str">
        <f>'Form responses 1'!AQ171</f>
        <v/>
      </c>
      <c r="AI547" s="4" t="str">
        <f>'Form responses 1'!AR171</f>
        <v/>
      </c>
    </row>
    <row r="548">
      <c r="A548" s="26">
        <f>'Form responses 1'!B607</f>
        <v>46072</v>
      </c>
      <c r="B548" s="4" t="str">
        <f>'Form responses 1'!AZ607</f>
        <v>greeshma.vanneldas@capsdelivery.com</v>
      </c>
      <c r="C548" s="4" t="str">
        <f>'Form responses 1'!BR607</f>
        <v>Rayalaseema spiceRayalaseema spice</v>
      </c>
      <c r="D548" s="4" t="str">
        <f>'Form responses 1'!AT607</f>
        <v>Discussion done,They are intrested but owner was busy to schedule</v>
      </c>
      <c r="E548" s="4" t="str">
        <f>'Form responses 1'!AU607</f>
        <v>Yes</v>
      </c>
      <c r="F548" s="4" t="str">
        <f>'Form responses 1'!AX607</f>
        <v/>
      </c>
      <c r="G548" s="4" t="str">
        <f>'Form responses 1'!AY607</f>
        <v/>
      </c>
      <c r="H548" s="53" t="str">
        <f>'Form responses 1'!AW607</f>
        <v/>
      </c>
      <c r="I548" s="4" t="str">
        <f>'Form responses 1'!AS607</f>
        <v/>
      </c>
      <c r="J548" s="4" t="str">
        <f>'Form responses 1'!J607</f>
        <v/>
      </c>
      <c r="K548" s="4" t="str">
        <f>'Form responses 1'!G607</f>
        <v/>
      </c>
      <c r="L548" s="4" t="str">
        <f>'Form responses 1'!F607</f>
        <v/>
      </c>
      <c r="M548" s="4" t="str">
        <f>'Form responses 1'!U607</f>
        <v>Rayalaseema spice</v>
      </c>
      <c r="N548" s="4">
        <f>'Form responses 1'!V607</f>
        <v>7075777491</v>
      </c>
      <c r="O548" s="4" t="str">
        <f>'Form responses 1'!W607</f>
        <v>na</v>
      </c>
      <c r="P548" s="4" t="str">
        <f>'Form responses 1'!X607</f>
        <v/>
      </c>
      <c r="Q548" s="4" t="str">
        <f>'Form responses 1'!Y607</f>
        <v/>
      </c>
      <c r="R548" s="4" t="str">
        <f>'Form responses 1'!Z607</f>
        <v/>
      </c>
      <c r="S548" s="4" t="str">
        <f>'Form responses 1'!AC607</f>
        <v/>
      </c>
      <c r="T548" s="4" t="str">
        <f>'Form responses 1'!AE607</f>
        <v/>
      </c>
      <c r="U548" s="4" t="str">
        <f>'Form responses 1'!AG607</f>
        <v/>
      </c>
      <c r="V548" s="4" t="str">
        <f>'Form responses 1'!AI607</f>
        <v/>
      </c>
      <c r="W548" s="4" t="str">
        <f>'Form responses 1'!AJ607</f>
        <v/>
      </c>
      <c r="X548" s="4" t="str">
        <f>'Form responses 1'!AK607</f>
        <v/>
      </c>
      <c r="Y548" s="4">
        <f t="shared" ref="Y548:AD548" si="547">if(S548&gt;0,1,0)</f>
        <v>0</v>
      </c>
      <c r="Z548" s="4">
        <f t="shared" si="547"/>
        <v>0</v>
      </c>
      <c r="AA548" s="4">
        <f t="shared" si="547"/>
        <v>0</v>
      </c>
      <c r="AB548" s="4">
        <f t="shared" si="547"/>
        <v>0</v>
      </c>
      <c r="AC548" s="4">
        <f t="shared" si="547"/>
        <v>0</v>
      </c>
      <c r="AD548" s="4">
        <f t="shared" si="547"/>
        <v>0</v>
      </c>
      <c r="AE548" s="4" t="str">
        <f>'Form responses 1'!AN607</f>
        <v/>
      </c>
      <c r="AF548" s="4" t="str">
        <f>'Form responses 1'!AO1726</f>
        <v/>
      </c>
      <c r="AG548" s="4" t="str">
        <f>'Form responses 1'!AP1726</f>
        <v/>
      </c>
      <c r="AH548" s="4" t="str">
        <f>'Form responses 1'!AQ1726</f>
        <v/>
      </c>
      <c r="AI548" s="4" t="str">
        <f>'Form responses 1'!AR1726</f>
        <v/>
      </c>
    </row>
    <row r="549">
      <c r="A549" s="26">
        <f>'Form responses 1'!B468</f>
        <v>46069</v>
      </c>
      <c r="B549" s="4" t="str">
        <f>'Form responses 1'!AZ468</f>
        <v>greeshma.vanneldas@capsdelivery.com</v>
      </c>
      <c r="C549" s="4" t="str">
        <f>'Form responses 1'!BR468</f>
        <v>Saharsh udipi</v>
      </c>
      <c r="D549" s="4" t="str">
        <f>'Form responses 1'!AT468</f>
        <v>Manager was not available</v>
      </c>
      <c r="E549" s="4" t="str">
        <f>'Form responses 1'!AU468</f>
        <v>Yes</v>
      </c>
      <c r="F549" s="4" t="str">
        <f>'Form responses 1'!AX468</f>
        <v/>
      </c>
      <c r="G549" s="4" t="str">
        <f>'Form responses 1'!AY468</f>
        <v/>
      </c>
      <c r="H549" s="53" t="str">
        <f>'Form responses 1'!AW468</f>
        <v/>
      </c>
      <c r="I549" s="4" t="str">
        <f>'Form responses 1'!AS468</f>
        <v/>
      </c>
      <c r="J549" s="4" t="str">
        <f>'Form responses 1'!J468</f>
        <v/>
      </c>
      <c r="K549" s="4" t="str">
        <f>'Form responses 1'!G468</f>
        <v/>
      </c>
      <c r="L549" s="4" t="str">
        <f>'Form responses 1'!F468</f>
        <v/>
      </c>
      <c r="M549" s="4" t="str">
        <f>'Form responses 1'!U468</f>
        <v>na</v>
      </c>
      <c r="N549" s="4" t="str">
        <f>'Form responses 1'!V468</f>
        <v>Saharsh udipi</v>
      </c>
      <c r="O549" s="4" t="str">
        <f>'Form responses 1'!W468</f>
        <v>na</v>
      </c>
      <c r="P549" s="4" t="str">
        <f>'Form responses 1'!X468</f>
        <v/>
      </c>
      <c r="Q549" s="4" t="str">
        <f>'Form responses 1'!Y468</f>
        <v/>
      </c>
      <c r="R549" s="4" t="str">
        <f>'Form responses 1'!Z468</f>
        <v/>
      </c>
      <c r="S549" s="4" t="str">
        <f>'Form responses 1'!AC468</f>
        <v/>
      </c>
      <c r="T549" s="4" t="str">
        <f>'Form responses 1'!AE468</f>
        <v/>
      </c>
      <c r="U549" s="4" t="str">
        <f>'Form responses 1'!AG468</f>
        <v/>
      </c>
      <c r="V549" s="4" t="str">
        <f>'Form responses 1'!AI468</f>
        <v/>
      </c>
      <c r="W549" s="4" t="str">
        <f>'Form responses 1'!AJ468</f>
        <v/>
      </c>
      <c r="X549" s="4" t="str">
        <f>'Form responses 1'!AK468</f>
        <v/>
      </c>
      <c r="Y549" s="4">
        <f t="shared" ref="Y549:AD549" si="548">if(S549&gt;0,1,0)</f>
        <v>0</v>
      </c>
      <c r="Z549" s="4">
        <f t="shared" si="548"/>
        <v>0</v>
      </c>
      <c r="AA549" s="4">
        <f t="shared" si="548"/>
        <v>0</v>
      </c>
      <c r="AB549" s="4">
        <f t="shared" si="548"/>
        <v>0</v>
      </c>
      <c r="AC549" s="4">
        <f t="shared" si="548"/>
        <v>0</v>
      </c>
      <c r="AD549" s="4">
        <f t="shared" si="548"/>
        <v>0</v>
      </c>
      <c r="AE549" s="4" t="str">
        <f>'Form responses 1'!AN468</f>
        <v/>
      </c>
      <c r="AF549" s="4" t="str">
        <f>'Form responses 1'!AO468</f>
        <v/>
      </c>
      <c r="AG549" s="4" t="str">
        <f>'Form responses 1'!AP468</f>
        <v/>
      </c>
      <c r="AH549" s="4" t="str">
        <f>'Form responses 1'!AQ468</f>
        <v/>
      </c>
      <c r="AI549" s="4" t="str">
        <f>'Form responses 1'!AR468</f>
        <v/>
      </c>
    </row>
    <row r="550">
      <c r="A550" s="26">
        <f>'Form responses 1'!B542</f>
        <v>46070</v>
      </c>
      <c r="B550" s="4" t="str">
        <f>'Form responses 1'!AZ542</f>
        <v>greeshma.vanneldas@capsdelivery.com</v>
      </c>
      <c r="C550" s="4" t="str">
        <f>'Form responses 1'!BR542</f>
        <v>Sandwichsquare </v>
      </c>
      <c r="D550" s="4" t="str">
        <f>'Form responses 1'!AT542</f>
        <v>following up for next meeting</v>
      </c>
      <c r="E550" s="4" t="str">
        <f>'Form responses 1'!AU542</f>
        <v>Yes</v>
      </c>
      <c r="F550" s="4" t="str">
        <f>'Form responses 1'!AX542</f>
        <v/>
      </c>
      <c r="G550" s="4" t="str">
        <f>'Form responses 1'!AY542</f>
        <v/>
      </c>
      <c r="H550" s="53" t="str">
        <f>'Form responses 1'!AW542</f>
        <v/>
      </c>
      <c r="I550" s="4" t="str">
        <f>'Form responses 1'!AS542</f>
        <v/>
      </c>
      <c r="J550" s="4" t="str">
        <f>'Form responses 1'!J542</f>
        <v/>
      </c>
      <c r="K550" s="4" t="str">
        <f>'Form responses 1'!G542</f>
        <v/>
      </c>
      <c r="L550" s="4" t="str">
        <f>'Form responses 1'!F542</f>
        <v/>
      </c>
      <c r="M550" s="4" t="str">
        <f>'Form responses 1'!U542</f>
        <v>Kalyan</v>
      </c>
      <c r="N550" s="4">
        <f>'Form responses 1'!V542</f>
        <v>9553399599</v>
      </c>
      <c r="O550" s="4" t="str">
        <f>'Form responses 1'!W542</f>
        <v>na</v>
      </c>
      <c r="P550" s="4" t="str">
        <f>'Form responses 1'!X542</f>
        <v/>
      </c>
      <c r="Q550" s="4" t="str">
        <f>'Form responses 1'!Y542</f>
        <v/>
      </c>
      <c r="R550" s="4" t="str">
        <f>'Form responses 1'!Z542</f>
        <v/>
      </c>
      <c r="S550" s="4" t="str">
        <f>'Form responses 1'!AC542</f>
        <v/>
      </c>
      <c r="T550" s="4" t="str">
        <f>'Form responses 1'!AE542</f>
        <v/>
      </c>
      <c r="U550" s="4" t="str">
        <f>'Form responses 1'!AG542</f>
        <v/>
      </c>
      <c r="V550" s="4" t="str">
        <f>'Form responses 1'!AI542</f>
        <v/>
      </c>
      <c r="W550" s="4" t="str">
        <f>'Form responses 1'!AJ542</f>
        <v/>
      </c>
      <c r="X550" s="4" t="str">
        <f>'Form responses 1'!AK542</f>
        <v/>
      </c>
      <c r="Y550" s="4">
        <f t="shared" ref="Y550:AD550" si="549">if(S550&gt;0,1,0)</f>
        <v>0</v>
      </c>
      <c r="Z550" s="4">
        <f t="shared" si="549"/>
        <v>0</v>
      </c>
      <c r="AA550" s="4">
        <f t="shared" si="549"/>
        <v>0</v>
      </c>
      <c r="AB550" s="4">
        <f t="shared" si="549"/>
        <v>0</v>
      </c>
      <c r="AC550" s="4">
        <f t="shared" si="549"/>
        <v>0</v>
      </c>
      <c r="AD550" s="4">
        <f t="shared" si="549"/>
        <v>0</v>
      </c>
      <c r="AE550" s="4" t="str">
        <f>'Form responses 1'!AN542</f>
        <v/>
      </c>
      <c r="AF550" s="4" t="str">
        <f>'Form responses 1'!AO542</f>
        <v/>
      </c>
      <c r="AG550" s="4" t="str">
        <f>'Form responses 1'!AP542</f>
        <v/>
      </c>
      <c r="AH550" s="4" t="str">
        <f>'Form responses 1'!AQ542</f>
        <v/>
      </c>
      <c r="AI550" s="4" t="str">
        <f>'Form responses 1'!AR542</f>
        <v/>
      </c>
    </row>
    <row r="551">
      <c r="A551" s="26">
        <f>'Form responses 1'!B553</f>
        <v>46066</v>
      </c>
      <c r="B551" s="4" t="str">
        <f>'Form responses 1'!AZ553</f>
        <v>parthive.maganti@capsdelivery.com</v>
      </c>
      <c r="C551" s="4" t="str">
        <f>'Form responses 1'!BR553</f>
        <v>Bulli abbai kodi palau</v>
      </c>
      <c r="D551" s="4" t="str">
        <f>'Form responses 1'!AT553</f>
        <v>Na</v>
      </c>
      <c r="E551" s="4" t="str">
        <f>'Form responses 1'!AU553</f>
        <v>No</v>
      </c>
      <c r="F551" s="4" t="str">
        <f>'Form responses 1'!AX553</f>
        <v/>
      </c>
      <c r="G551" s="4" t="str">
        <f>'Form responses 1'!AY553</f>
        <v/>
      </c>
      <c r="H551" s="53" t="str">
        <f>'Form responses 1'!AW553</f>
        <v/>
      </c>
      <c r="I551" s="4" t="str">
        <f>'Form responses 1'!AS553</f>
        <v>Yes</v>
      </c>
      <c r="J551" s="4" t="str">
        <f>'Form responses 1'!J553</f>
        <v/>
      </c>
      <c r="K551" s="4" t="str">
        <f>'Form responses 1'!G553</f>
        <v/>
      </c>
      <c r="L551" s="4" t="str">
        <f>'Form responses 1'!F553</f>
        <v/>
      </c>
      <c r="M551" s="4" t="str">
        <f>'Form responses 1'!U553</f>
        <v>Venkat reddy</v>
      </c>
      <c r="N551" s="4">
        <f>'Form responses 1'!V553</f>
        <v>9493989362</v>
      </c>
      <c r="O551" s="4" t="str">
        <f>'Form responses 1'!W553</f>
        <v>Bulliabbai@gmail.com</v>
      </c>
      <c r="P551" s="4" t="str">
        <f>'Form responses 1'!X553</f>
        <v/>
      </c>
      <c r="Q551" s="4" t="str">
        <f>'Form responses 1'!Y553</f>
        <v/>
      </c>
      <c r="R551" s="4" t="str">
        <f>'Form responses 1'!Z553</f>
        <v/>
      </c>
      <c r="S551" s="54" t="str">
        <f>'Form responses 1'!AC553</f>
        <v>https://drive.google.com/open?id=1dAEDqfgo5WXJ-OTH7YaLBgpqRr8Vw7T9</v>
      </c>
      <c r="T551" s="4" t="str">
        <f>'Form responses 1'!AE553</f>
        <v/>
      </c>
      <c r="U551" s="4" t="str">
        <f>'Form responses 1'!AG553</f>
        <v/>
      </c>
      <c r="V551" s="4" t="str">
        <f>'Form responses 1'!AI553</f>
        <v/>
      </c>
      <c r="W551" s="4" t="str">
        <f>'Form responses 1'!AJ553</f>
        <v/>
      </c>
      <c r="X551" s="4" t="str">
        <f>'Form responses 1'!AK553</f>
        <v/>
      </c>
      <c r="Y551" s="4">
        <f t="shared" ref="Y551:AD551" si="550">if(S551&gt;0,1,0)</f>
        <v>1</v>
      </c>
      <c r="Z551" s="4">
        <f t="shared" si="550"/>
        <v>0</v>
      </c>
      <c r="AA551" s="4">
        <f t="shared" si="550"/>
        <v>0</v>
      </c>
      <c r="AB551" s="4">
        <f t="shared" si="550"/>
        <v>0</v>
      </c>
      <c r="AC551" s="4">
        <f t="shared" si="550"/>
        <v>0</v>
      </c>
      <c r="AD551" s="4">
        <f t="shared" si="550"/>
        <v>0</v>
      </c>
      <c r="AE551" s="4" t="str">
        <f>'Form responses 1'!AN553</f>
        <v>Bullet abbai Kodi palav </v>
      </c>
      <c r="AF551" s="4" t="str">
        <f>'Form responses 1'!AO553</f>
        <v>Venkat Reddy</v>
      </c>
      <c r="AG551" s="4" t="str">
        <f>'Form responses 1'!AP553</f>
        <v/>
      </c>
      <c r="AH551" s="4" t="str">
        <f>'Form responses 1'!AQ553</f>
        <v/>
      </c>
      <c r="AI551" s="4" t="str">
        <f>'Form responses 1'!AR553</f>
        <v/>
      </c>
    </row>
    <row r="552">
      <c r="A552" s="26">
        <f>'Form responses 1'!B554</f>
        <v>46067</v>
      </c>
      <c r="B552" s="4" t="str">
        <f>'Form responses 1'!AZ554</f>
        <v>parthive.maganti@capsdelivery.com</v>
      </c>
      <c r="C552" s="4" t="str">
        <f>'Form responses 1'!BR554</f>
        <v>Brands of Bhimavaram (bob)Na</v>
      </c>
      <c r="D552" s="4" t="str">
        <f>'Form responses 1'!AT554</f>
        <v>Na</v>
      </c>
      <c r="E552" s="4" t="str">
        <f>'Form responses 1'!AU554</f>
        <v>No</v>
      </c>
      <c r="F552" s="4" t="str">
        <f>'Form responses 1'!AX554</f>
        <v/>
      </c>
      <c r="G552" s="4" t="str">
        <f>'Form responses 1'!AY554</f>
        <v/>
      </c>
      <c r="H552" s="53" t="str">
        <f>'Form responses 1'!AW554</f>
        <v/>
      </c>
      <c r="I552" s="4" t="str">
        <f>'Form responses 1'!AS554</f>
        <v>Yes</v>
      </c>
      <c r="J552" s="4" t="str">
        <f>'Form responses 1'!J554</f>
        <v/>
      </c>
      <c r="K552" s="4" t="str">
        <f>'Form responses 1'!G554</f>
        <v/>
      </c>
      <c r="L552" s="4" t="str">
        <f>'Form responses 1'!F554</f>
        <v/>
      </c>
      <c r="M552" s="4" t="str">
        <f>'Form responses 1'!U554</f>
        <v>Balaji</v>
      </c>
      <c r="N552" s="4">
        <f>'Form responses 1'!V554</f>
        <v>9700553599</v>
      </c>
      <c r="O552" s="4" t="str">
        <f>'Form responses 1'!W554</f>
        <v>Balu.evana396@gmail.com</v>
      </c>
      <c r="P552" s="4" t="str">
        <f>'Form responses 1'!X554</f>
        <v/>
      </c>
      <c r="Q552" s="4" t="str">
        <f>'Form responses 1'!Y554</f>
        <v/>
      </c>
      <c r="R552" s="4" t="str">
        <f>'Form responses 1'!Z554</f>
        <v/>
      </c>
      <c r="S552" s="54" t="str">
        <f>'Form responses 1'!AC554</f>
        <v>https://drive.google.com/open?id=1z2n-KhU_rLTCL1gYXHa3gKHQePwZpwM1</v>
      </c>
      <c r="T552" s="4" t="str">
        <f>'Form responses 1'!AE554</f>
        <v/>
      </c>
      <c r="U552" s="4" t="str">
        <f>'Form responses 1'!AG554</f>
        <v/>
      </c>
      <c r="V552" s="4" t="str">
        <f>'Form responses 1'!AI554</f>
        <v/>
      </c>
      <c r="W552" s="4" t="str">
        <f>'Form responses 1'!AJ554</f>
        <v/>
      </c>
      <c r="X552" s="4" t="str">
        <f>'Form responses 1'!AK554</f>
        <v/>
      </c>
      <c r="Y552" s="4">
        <f t="shared" ref="Y552:AD552" si="551">if(S552&gt;0,1,0)</f>
        <v>1</v>
      </c>
      <c r="Z552" s="4">
        <f t="shared" si="551"/>
        <v>0</v>
      </c>
      <c r="AA552" s="4">
        <f t="shared" si="551"/>
        <v>0</v>
      </c>
      <c r="AB552" s="4">
        <f t="shared" si="551"/>
        <v>0</v>
      </c>
      <c r="AC552" s="4">
        <f t="shared" si="551"/>
        <v>0</v>
      </c>
      <c r="AD552" s="4">
        <f t="shared" si="551"/>
        <v>0</v>
      </c>
      <c r="AE552" s="4" t="str">
        <f>'Form responses 1'!AN554</f>
        <v>Padavala ramalakshmi</v>
      </c>
      <c r="AF552" s="4" t="str">
        <f>'Form responses 1'!AO554</f>
        <v/>
      </c>
      <c r="AG552" s="4" t="str">
        <f>'Form responses 1'!AP554</f>
        <v/>
      </c>
      <c r="AH552" s="4" t="str">
        <f>'Form responses 1'!AQ554</f>
        <v/>
      </c>
      <c r="AI552" s="4" t="str">
        <f>'Form responses 1'!AR554</f>
        <v/>
      </c>
    </row>
    <row r="553">
      <c r="A553" s="26">
        <f>'Form responses 1'!B555</f>
        <v>46067</v>
      </c>
      <c r="B553" s="4" t="str">
        <f>'Form responses 1'!AZ555</f>
        <v>parthive.maganti@capsdelivery.com</v>
      </c>
      <c r="C553" s="4" t="str">
        <f>'Form responses 1'!BR555</f>
        <v>Ahara KitchensNa</v>
      </c>
      <c r="D553" s="4" t="str">
        <f>'Form responses 1'!AT555</f>
        <v>Na</v>
      </c>
      <c r="E553" s="4" t="str">
        <f>'Form responses 1'!AU555</f>
        <v>No</v>
      </c>
      <c r="F553" s="4" t="str">
        <f>'Form responses 1'!AX555</f>
        <v/>
      </c>
      <c r="G553" s="4" t="str">
        <f>'Form responses 1'!AY555</f>
        <v/>
      </c>
      <c r="H553" s="53" t="str">
        <f>'Form responses 1'!AW555</f>
        <v/>
      </c>
      <c r="I553" s="4" t="str">
        <f>'Form responses 1'!AS555</f>
        <v>Yes</v>
      </c>
      <c r="J553" s="4" t="str">
        <f>'Form responses 1'!J555</f>
        <v/>
      </c>
      <c r="K553" s="4" t="str">
        <f>'Form responses 1'!G555</f>
        <v/>
      </c>
      <c r="L553" s="4" t="str">
        <f>'Form responses 1'!F555</f>
        <v/>
      </c>
      <c r="M553" s="4" t="str">
        <f>'Form responses 1'!U555</f>
        <v>Venu</v>
      </c>
      <c r="N553" s="4" t="str">
        <f>'Form responses 1'!V555</f>
        <v>949310 6693</v>
      </c>
      <c r="O553" s="4" t="str">
        <f>'Form responses 1'!W555</f>
        <v>Gundavenuprakash74@gmail.com</v>
      </c>
      <c r="P553" s="4" t="str">
        <f>'Form responses 1'!X555</f>
        <v/>
      </c>
      <c r="Q553" s="4" t="str">
        <f>'Form responses 1'!Y555</f>
        <v/>
      </c>
      <c r="R553" s="4" t="str">
        <f>'Form responses 1'!Z555</f>
        <v/>
      </c>
      <c r="S553" s="4" t="str">
        <f>'Form responses 1'!AC555</f>
        <v/>
      </c>
      <c r="T553" s="4" t="str">
        <f>'Form responses 1'!AE555</f>
        <v/>
      </c>
      <c r="U553" s="4" t="str">
        <f>'Form responses 1'!AG555</f>
        <v/>
      </c>
      <c r="V553" s="4" t="str">
        <f>'Form responses 1'!AI555</f>
        <v/>
      </c>
      <c r="W553" s="4" t="str">
        <f>'Form responses 1'!AJ555</f>
        <v/>
      </c>
      <c r="X553" s="4" t="str">
        <f>'Form responses 1'!AK555</f>
        <v/>
      </c>
      <c r="Y553" s="4">
        <f t="shared" ref="Y553:AD553" si="552">if(S553&gt;0,1,0)</f>
        <v>0</v>
      </c>
      <c r="Z553" s="4">
        <f t="shared" si="552"/>
        <v>0</v>
      </c>
      <c r="AA553" s="4">
        <f t="shared" si="552"/>
        <v>0</v>
      </c>
      <c r="AB553" s="4">
        <f t="shared" si="552"/>
        <v>0</v>
      </c>
      <c r="AC553" s="4">
        <f t="shared" si="552"/>
        <v>0</v>
      </c>
      <c r="AD553" s="4">
        <f t="shared" si="552"/>
        <v>0</v>
      </c>
      <c r="AE553" s="4" t="str">
        <f>'Form responses 1'!AN555</f>
        <v>Venu Prakash Gunda</v>
      </c>
      <c r="AF553" s="4" t="str">
        <f>'Form responses 1'!AO555</f>
        <v/>
      </c>
      <c r="AG553" s="4" t="str">
        <f>'Form responses 1'!AP555</f>
        <v/>
      </c>
      <c r="AH553" s="4" t="str">
        <f>'Form responses 1'!AQ555</f>
        <v/>
      </c>
      <c r="AI553" s="4" t="str">
        <f>'Form responses 1'!AR555</f>
        <v/>
      </c>
    </row>
    <row r="554">
      <c r="A554" s="26">
        <f>'Form responses 1'!B556</f>
        <v>46071</v>
      </c>
      <c r="B554" s="4" t="str">
        <f>'Form responses 1'!AZ556</f>
        <v>manisha.kumari@capsdelivery.com</v>
      </c>
      <c r="C554" s="4" t="str">
        <f>'Form responses 1'!BR556</f>
        <v>Le Meridien HyderabadLe Meridian</v>
      </c>
      <c r="D554" s="4" t="str">
        <f>'Form responses 1'!AT556</f>
        <v>Asked to share the proposal over the email</v>
      </c>
      <c r="E554" s="4" t="str">
        <f>'Form responses 1'!AU556</f>
        <v>Yes</v>
      </c>
      <c r="F554" s="4" t="str">
        <f>'Form responses 1'!AX556</f>
        <v/>
      </c>
      <c r="G554" s="4" t="str">
        <f>'Form responses 1'!AY556</f>
        <v/>
      </c>
      <c r="H554" s="53" t="str">
        <f>'Form responses 1'!AW556</f>
        <v/>
      </c>
      <c r="I554" s="4" t="str">
        <f>'Form responses 1'!AS556</f>
        <v/>
      </c>
      <c r="J554" s="4" t="str">
        <f>'Form responses 1'!J556</f>
        <v>Tier-1(AOV&gt;400)</v>
      </c>
      <c r="K554" s="4">
        <f>'Form responses 1'!G556</f>
        <v>1200</v>
      </c>
      <c r="L554" s="4">
        <f>'Form responses 1'!F556</f>
        <v>120</v>
      </c>
      <c r="M554" s="4" t="str">
        <f>'Form responses 1'!U556</f>
        <v>Sanjeev Mandal</v>
      </c>
      <c r="N554" s="4" t="str">
        <f>'Form responses 1'!V556</f>
        <v>733 883 6300</v>
      </c>
      <c r="O554" s="4" t="str">
        <f>'Form responses 1'!W556</f>
        <v>sanjeev.mandal@marriott.com</v>
      </c>
      <c r="P554" s="4" t="str">
        <f>'Form responses 1'!X556</f>
        <v/>
      </c>
      <c r="Q554" s="4" t="str">
        <f>'Form responses 1'!Y556</f>
        <v/>
      </c>
      <c r="R554" s="4" t="str">
        <f>'Form responses 1'!Z556</f>
        <v/>
      </c>
      <c r="S554" s="4" t="str">
        <f>'Form responses 1'!AC556</f>
        <v/>
      </c>
      <c r="T554" s="4" t="str">
        <f>'Form responses 1'!AE556</f>
        <v/>
      </c>
      <c r="U554" s="4" t="str">
        <f>'Form responses 1'!AG556</f>
        <v/>
      </c>
      <c r="V554" s="4" t="str">
        <f>'Form responses 1'!AI556</f>
        <v/>
      </c>
      <c r="W554" s="4" t="str">
        <f>'Form responses 1'!AJ556</f>
        <v/>
      </c>
      <c r="X554" s="4" t="str">
        <f>'Form responses 1'!AK556</f>
        <v/>
      </c>
      <c r="Y554" s="4">
        <f t="shared" ref="Y554:AD554" si="553">if(S554&gt;0,1,0)</f>
        <v>0</v>
      </c>
      <c r="Z554" s="4">
        <f t="shared" si="553"/>
        <v>0</v>
      </c>
      <c r="AA554" s="4">
        <f t="shared" si="553"/>
        <v>0</v>
      </c>
      <c r="AB554" s="4">
        <f t="shared" si="553"/>
        <v>0</v>
      </c>
      <c r="AC554" s="4">
        <f t="shared" si="553"/>
        <v>0</v>
      </c>
      <c r="AD554" s="4">
        <f t="shared" si="553"/>
        <v>0</v>
      </c>
      <c r="AE554" s="4" t="str">
        <f>'Form responses 1'!AN556</f>
        <v/>
      </c>
      <c r="AF554" s="4" t="str">
        <f>'Form responses 1'!AO837</f>
        <v/>
      </c>
      <c r="AG554" s="4" t="str">
        <f>'Form responses 1'!AP837</f>
        <v/>
      </c>
      <c r="AH554" s="4" t="str">
        <f>'Form responses 1'!AQ837</f>
        <v/>
      </c>
      <c r="AI554" s="4" t="str">
        <f>'Form responses 1'!AR837</f>
        <v/>
      </c>
    </row>
    <row r="555">
      <c r="A555" s="26">
        <f>'Form responses 1'!B557</f>
        <v>46071</v>
      </c>
      <c r="B555" s="4" t="str">
        <f>'Form responses 1'!AZ557</f>
        <v>manisha.kumari@capsdelivery.com</v>
      </c>
      <c r="C555" s="4" t="str">
        <f>'Form responses 1'!BR557</f>
        <v>Karachi BakeryKarachi Bakery</v>
      </c>
      <c r="D555" s="4" t="str">
        <f>'Form responses 1'!AT557</f>
        <v>Did a follow up call, waiting for the email where proposal can be shared</v>
      </c>
      <c r="E555" s="4" t="str">
        <f>'Form responses 1'!AU557</f>
        <v>Yes</v>
      </c>
      <c r="F555" s="4" t="str">
        <f>'Form responses 1'!AX557</f>
        <v/>
      </c>
      <c r="G555" s="4" t="str">
        <f>'Form responses 1'!AY557</f>
        <v/>
      </c>
      <c r="H555" s="53" t="str">
        <f>'Form responses 1'!AW557</f>
        <v/>
      </c>
      <c r="I555" s="4" t="str">
        <f>'Form responses 1'!AS557</f>
        <v/>
      </c>
      <c r="J555" s="4" t="str">
        <f>'Form responses 1'!J557</f>
        <v/>
      </c>
      <c r="K555" s="4" t="str">
        <f>'Form responses 1'!G557</f>
        <v/>
      </c>
      <c r="L555" s="4" t="str">
        <f>'Form responses 1'!F557</f>
        <v/>
      </c>
      <c r="M555" s="4" t="str">
        <f>'Form responses 1'!U557</f>
        <v>Saif</v>
      </c>
      <c r="N555" s="4" t="str">
        <f>'Form responses 1'!V557</f>
        <v>70328 88705</v>
      </c>
      <c r="O555" s="4" t="str">
        <f>'Form responses 1'!W557</f>
        <v>Requested</v>
      </c>
      <c r="P555" s="4" t="str">
        <f>'Form responses 1'!X557</f>
        <v/>
      </c>
      <c r="Q555" s="4" t="str">
        <f>'Form responses 1'!Y557</f>
        <v/>
      </c>
      <c r="R555" s="4" t="str">
        <f>'Form responses 1'!Z557</f>
        <v/>
      </c>
      <c r="S555" s="4" t="str">
        <f>'Form responses 1'!AC557</f>
        <v/>
      </c>
      <c r="T555" s="4" t="str">
        <f>'Form responses 1'!AE557</f>
        <v/>
      </c>
      <c r="U555" s="4" t="str">
        <f>'Form responses 1'!AG557</f>
        <v/>
      </c>
      <c r="V555" s="4" t="str">
        <f>'Form responses 1'!AI557</f>
        <v/>
      </c>
      <c r="W555" s="4" t="str">
        <f>'Form responses 1'!AJ557</f>
        <v/>
      </c>
      <c r="X555" s="4" t="str">
        <f>'Form responses 1'!AK557</f>
        <v/>
      </c>
      <c r="Y555" s="4">
        <f t="shared" ref="Y555:AD555" si="554">if(S555&gt;0,1,0)</f>
        <v>0</v>
      </c>
      <c r="Z555" s="4">
        <f t="shared" si="554"/>
        <v>0</v>
      </c>
      <c r="AA555" s="4">
        <f t="shared" si="554"/>
        <v>0</v>
      </c>
      <c r="AB555" s="4">
        <f t="shared" si="554"/>
        <v>0</v>
      </c>
      <c r="AC555" s="4">
        <f t="shared" si="554"/>
        <v>0</v>
      </c>
      <c r="AD555" s="4">
        <f t="shared" si="554"/>
        <v>0</v>
      </c>
      <c r="AE555" s="4" t="str">
        <f>'Form responses 1'!AN557</f>
        <v/>
      </c>
      <c r="AF555" s="4" t="str">
        <f>'Form responses 1'!AO838</f>
        <v/>
      </c>
      <c r="AG555" s="4" t="str">
        <f>'Form responses 1'!AP838</f>
        <v/>
      </c>
      <c r="AH555" s="4" t="str">
        <f>'Form responses 1'!AQ838</f>
        <v/>
      </c>
      <c r="AI555" s="4" t="str">
        <f>'Form responses 1'!AR838</f>
        <v/>
      </c>
    </row>
    <row r="556">
      <c r="A556" s="26">
        <f>'Form responses 1'!B558</f>
        <v>46071</v>
      </c>
      <c r="B556" s="4" t="str">
        <f>'Form responses 1'!AZ558</f>
        <v>manisha.kumari@capsdelivery.com</v>
      </c>
      <c r="C556" s="4" t="str">
        <f>'Form responses 1'!BR558</f>
        <v>Burger KingBurger King</v>
      </c>
      <c r="D556" s="4" t="str">
        <f>'Form responses 1'!AT558</f>
        <v>Proposal shared over the email</v>
      </c>
      <c r="E556" s="4" t="str">
        <f>'Form responses 1'!AU558</f>
        <v>Yes</v>
      </c>
      <c r="F556" s="4" t="str">
        <f>'Form responses 1'!AX558</f>
        <v/>
      </c>
      <c r="G556" s="4" t="str">
        <f>'Form responses 1'!AY558</f>
        <v/>
      </c>
      <c r="H556" s="53" t="str">
        <f>'Form responses 1'!AW558</f>
        <v>Proposal Disucssion</v>
      </c>
      <c r="I556" s="4" t="str">
        <f>'Form responses 1'!AS558</f>
        <v/>
      </c>
      <c r="J556" s="4" t="str">
        <f>'Form responses 1'!J558</f>
        <v/>
      </c>
      <c r="K556" s="4" t="str">
        <f>'Form responses 1'!G558</f>
        <v/>
      </c>
      <c r="L556" s="4" t="str">
        <f>'Form responses 1'!F558</f>
        <v/>
      </c>
      <c r="M556" s="4" t="str">
        <f>'Form responses 1'!U558</f>
        <v>Dheeraj</v>
      </c>
      <c r="N556" s="4" t="str">
        <f>'Form responses 1'!V558</f>
        <v>81234 01137</v>
      </c>
      <c r="O556" s="4" t="str">
        <f>'Form responses 1'!W558</f>
        <v>dheeraj.prabhu@rbrandsasia.com</v>
      </c>
      <c r="P556" s="4" t="str">
        <f>'Form responses 1'!X558</f>
        <v/>
      </c>
      <c r="Q556" s="4" t="str">
        <f>'Form responses 1'!Y558</f>
        <v/>
      </c>
      <c r="R556" s="4" t="str">
        <f>'Form responses 1'!Z558</f>
        <v/>
      </c>
      <c r="S556" s="4" t="str">
        <f>'Form responses 1'!AC558</f>
        <v/>
      </c>
      <c r="T556" s="4" t="str">
        <f>'Form responses 1'!AE558</f>
        <v/>
      </c>
      <c r="U556" s="4" t="str">
        <f>'Form responses 1'!AG558</f>
        <v/>
      </c>
      <c r="V556" s="4" t="str">
        <f>'Form responses 1'!AI558</f>
        <v/>
      </c>
      <c r="W556" s="4" t="str">
        <f>'Form responses 1'!AJ558</f>
        <v/>
      </c>
      <c r="X556" s="4" t="str">
        <f>'Form responses 1'!AK558</f>
        <v/>
      </c>
      <c r="Y556" s="4">
        <f t="shared" ref="Y556:AD556" si="555">if(S556&gt;0,1,0)</f>
        <v>0</v>
      </c>
      <c r="Z556" s="4">
        <f t="shared" si="555"/>
        <v>0</v>
      </c>
      <c r="AA556" s="4">
        <f t="shared" si="555"/>
        <v>0</v>
      </c>
      <c r="AB556" s="4">
        <f t="shared" si="555"/>
        <v>0</v>
      </c>
      <c r="AC556" s="4">
        <f t="shared" si="555"/>
        <v>0</v>
      </c>
      <c r="AD556" s="4">
        <f t="shared" si="555"/>
        <v>0</v>
      </c>
      <c r="AE556" s="4" t="str">
        <f>'Form responses 1'!AN558</f>
        <v/>
      </c>
      <c r="AF556" s="4" t="str">
        <f>'Form responses 1'!AO839</f>
        <v/>
      </c>
      <c r="AG556" s="4" t="str">
        <f>'Form responses 1'!AP839</f>
        <v/>
      </c>
      <c r="AH556" s="4" t="str">
        <f>'Form responses 1'!AQ839</f>
        <v/>
      </c>
      <c r="AI556" s="4" t="str">
        <f>'Form responses 1'!AR839</f>
        <v/>
      </c>
    </row>
    <row r="557">
      <c r="A557" s="26">
        <f>'Form responses 1'!B559</f>
        <v>46071</v>
      </c>
      <c r="B557" s="4" t="str">
        <f>'Form responses 1'!AZ559</f>
        <v>manisha.kumari@capsdelivery.com</v>
      </c>
      <c r="C557" s="4" t="str">
        <f>'Form responses 1'!BR559</f>
        <v>Sweets DudeSweets Dude</v>
      </c>
      <c r="D557" s="4" t="str">
        <f>'Form responses 1'!AT559</f>
        <v>Asked to share the proposal</v>
      </c>
      <c r="E557" s="4" t="str">
        <f>'Form responses 1'!AU559</f>
        <v>Yes</v>
      </c>
      <c r="F557" s="4" t="str">
        <f>'Form responses 1'!AX559</f>
        <v/>
      </c>
      <c r="G557" s="4" t="str">
        <f>'Form responses 1'!AY559</f>
        <v/>
      </c>
      <c r="H557" s="53" t="str">
        <f>'Form responses 1'!AW559</f>
        <v>Proposal</v>
      </c>
      <c r="I557" s="4" t="str">
        <f>'Form responses 1'!AS559</f>
        <v/>
      </c>
      <c r="J557" s="4" t="str">
        <f>'Form responses 1'!J559</f>
        <v>Tier-2 (AOV &lt;400)</v>
      </c>
      <c r="K557" s="4">
        <f>'Form responses 1'!G559</f>
        <v>350</v>
      </c>
      <c r="L557" s="4">
        <f>'Form responses 1'!F559</f>
        <v>10</v>
      </c>
      <c r="M557" s="4" t="str">
        <f>'Form responses 1'!U559</f>
        <v>Naveen Kumar Gadhamsetty</v>
      </c>
      <c r="N557" s="4">
        <f>'Form responses 1'!V559</f>
        <v>7416022022</v>
      </c>
      <c r="O557" s="4" t="str">
        <f>'Form responses 1'!W559</f>
        <v>naveen@sweetsdude.in</v>
      </c>
      <c r="P557" s="4" t="str">
        <f>'Form responses 1'!X559</f>
        <v/>
      </c>
      <c r="Q557" s="4" t="str">
        <f>'Form responses 1'!Y559</f>
        <v/>
      </c>
      <c r="R557" s="4" t="str">
        <f>'Form responses 1'!Z559</f>
        <v/>
      </c>
      <c r="S557" s="4" t="str">
        <f>'Form responses 1'!AC559</f>
        <v/>
      </c>
      <c r="T557" s="4" t="str">
        <f>'Form responses 1'!AE559</f>
        <v/>
      </c>
      <c r="U557" s="4" t="str">
        <f>'Form responses 1'!AG559</f>
        <v/>
      </c>
      <c r="V557" s="4" t="str">
        <f>'Form responses 1'!AI559</f>
        <v/>
      </c>
      <c r="W557" s="4" t="str">
        <f>'Form responses 1'!AJ559</f>
        <v/>
      </c>
      <c r="X557" s="4" t="str">
        <f>'Form responses 1'!AK559</f>
        <v/>
      </c>
      <c r="Y557" s="4">
        <f t="shared" ref="Y557:AD557" si="556">if(S557&gt;0,1,0)</f>
        <v>0</v>
      </c>
      <c r="Z557" s="4">
        <f t="shared" si="556"/>
        <v>0</v>
      </c>
      <c r="AA557" s="4">
        <f t="shared" si="556"/>
        <v>0</v>
      </c>
      <c r="AB557" s="4">
        <f t="shared" si="556"/>
        <v>0</v>
      </c>
      <c r="AC557" s="4">
        <f t="shared" si="556"/>
        <v>0</v>
      </c>
      <c r="AD557" s="4">
        <f t="shared" si="556"/>
        <v>0</v>
      </c>
      <c r="AE557" s="4" t="str">
        <f>'Form responses 1'!AN559</f>
        <v/>
      </c>
      <c r="AF557" s="4" t="str">
        <f>'Form responses 1'!AO1678</f>
        <v/>
      </c>
      <c r="AG557" s="4" t="str">
        <f>'Form responses 1'!AP1678</f>
        <v/>
      </c>
      <c r="AH557" s="4" t="str">
        <f>'Form responses 1'!AQ1678</f>
        <v/>
      </c>
      <c r="AI557" s="4" t="str">
        <f>'Form responses 1'!AR1678</f>
        <v/>
      </c>
    </row>
    <row r="558">
      <c r="A558" s="26">
        <f>'Form responses 1'!B560</f>
        <v>46071</v>
      </c>
      <c r="B558" s="4" t="str">
        <f>'Form responses 1'!AZ560</f>
        <v>manisha.kumari@capsdelivery.com</v>
      </c>
      <c r="C558" s="4" t="str">
        <f>'Form responses 1'!BR560</f>
        <v>ACCORAccor</v>
      </c>
      <c r="D558" s="4" t="str">
        <f>'Form responses 1'!AT560</f>
        <v>Asked to share the proposal</v>
      </c>
      <c r="E558" s="4" t="str">
        <f>'Form responses 1'!AU560</f>
        <v>Yes</v>
      </c>
      <c r="F558" s="4" t="str">
        <f>'Form responses 1'!AX560</f>
        <v/>
      </c>
      <c r="G558" s="4" t="str">
        <f>'Form responses 1'!AY560</f>
        <v/>
      </c>
      <c r="H558" s="53" t="str">
        <f>'Form responses 1'!AW560</f>
        <v>Proposal</v>
      </c>
      <c r="I558" s="4" t="str">
        <f>'Form responses 1'!AS560</f>
        <v/>
      </c>
      <c r="J558" s="4" t="str">
        <f>'Form responses 1'!J560</f>
        <v>Tier-1(AOV&gt;400)</v>
      </c>
      <c r="K558" s="4">
        <f>'Form responses 1'!G560</f>
        <v>3000</v>
      </c>
      <c r="L558" s="4">
        <f>'Form responses 1'!F560</f>
        <v>200</v>
      </c>
      <c r="M558" s="4" t="str">
        <f>'Form responses 1'!U560</f>
        <v>Gyandeep Singh</v>
      </c>
      <c r="N558" s="4" t="str">
        <f>'Form responses 1'!V560</f>
        <v>88863 31102</v>
      </c>
      <c r="O558" s="4" t="str">
        <f>'Form responses 1'!W560</f>
        <v>gyandeep.singh@accor.com</v>
      </c>
      <c r="P558" s="4" t="str">
        <f>'Form responses 1'!X560</f>
        <v/>
      </c>
      <c r="Q558" s="4" t="str">
        <f>'Form responses 1'!Y560</f>
        <v/>
      </c>
      <c r="R558" s="4" t="str">
        <f>'Form responses 1'!Z560</f>
        <v/>
      </c>
      <c r="S558" s="4" t="str">
        <f>'Form responses 1'!AC560</f>
        <v/>
      </c>
      <c r="T558" s="4" t="str">
        <f>'Form responses 1'!AE560</f>
        <v/>
      </c>
      <c r="U558" s="4" t="str">
        <f>'Form responses 1'!AG560</f>
        <v/>
      </c>
      <c r="V558" s="4" t="str">
        <f>'Form responses 1'!AI560</f>
        <v/>
      </c>
      <c r="W558" s="4" t="str">
        <f>'Form responses 1'!AJ560</f>
        <v/>
      </c>
      <c r="X558" s="4" t="str">
        <f>'Form responses 1'!AK560</f>
        <v/>
      </c>
      <c r="Y558" s="4">
        <f t="shared" ref="Y558:AD558" si="557">if(S558&gt;0,1,0)</f>
        <v>0</v>
      </c>
      <c r="Z558" s="4">
        <f t="shared" si="557"/>
        <v>0</v>
      </c>
      <c r="AA558" s="4">
        <f t="shared" si="557"/>
        <v>0</v>
      </c>
      <c r="AB558" s="4">
        <f t="shared" si="557"/>
        <v>0</v>
      </c>
      <c r="AC558" s="4">
        <f t="shared" si="557"/>
        <v>0</v>
      </c>
      <c r="AD558" s="4">
        <f t="shared" si="557"/>
        <v>0</v>
      </c>
      <c r="AE558" s="4" t="str">
        <f>'Form responses 1'!AN560</f>
        <v/>
      </c>
      <c r="AF558" s="4" t="str">
        <f>'Form responses 1'!AO1679</f>
        <v/>
      </c>
      <c r="AG558" s="4" t="str">
        <f>'Form responses 1'!AP1679</f>
        <v/>
      </c>
      <c r="AH558" s="4" t="str">
        <f>'Form responses 1'!AQ1679</f>
        <v/>
      </c>
      <c r="AI558" s="4" t="str">
        <f>'Form responses 1'!AR1679</f>
        <v/>
      </c>
    </row>
    <row r="559">
      <c r="A559" s="26">
        <f>'Form responses 1'!B561</f>
        <v>46071</v>
      </c>
      <c r="B559" s="4" t="str">
        <f>'Form responses 1'!AZ561</f>
        <v>manisha.kumari@capsdelivery.com</v>
      </c>
      <c r="C559" s="4" t="str">
        <f>'Form responses 1'!BR561</f>
        <v>Almond HouseAlmond House</v>
      </c>
      <c r="D559" s="4" t="str">
        <f>'Form responses 1'!AT561</f>
        <v>Shared the email ID and asked to share the proposal</v>
      </c>
      <c r="E559" s="4" t="str">
        <f>'Form responses 1'!AU561</f>
        <v>Yes</v>
      </c>
      <c r="F559" s="4" t="str">
        <f>'Form responses 1'!AX561</f>
        <v/>
      </c>
      <c r="G559" s="4" t="str">
        <f>'Form responses 1'!AY561</f>
        <v/>
      </c>
      <c r="H559" s="53" t="str">
        <f>'Form responses 1'!AW561</f>
        <v/>
      </c>
      <c r="I559" s="4" t="str">
        <f>'Form responses 1'!AS561</f>
        <v/>
      </c>
      <c r="J559" s="4" t="str">
        <f>'Form responses 1'!J561</f>
        <v/>
      </c>
      <c r="K559" s="4" t="str">
        <f>'Form responses 1'!G561</f>
        <v/>
      </c>
      <c r="L559" s="4" t="str">
        <f>'Form responses 1'!F561</f>
        <v/>
      </c>
      <c r="M559" s="4" t="str">
        <f>'Form responses 1'!U561</f>
        <v>Dinesh Naidu</v>
      </c>
      <c r="N559" s="4">
        <f>'Form responses 1'!V561</f>
        <v>9967535945</v>
      </c>
      <c r="O559" s="4" t="str">
        <f>'Form responses 1'!W561</f>
        <v>dinesh.naidu@almondhouse.com</v>
      </c>
      <c r="P559" s="4" t="str">
        <f>'Form responses 1'!X561</f>
        <v/>
      </c>
      <c r="Q559" s="4" t="str">
        <f>'Form responses 1'!Y561</f>
        <v/>
      </c>
      <c r="R559" s="4" t="str">
        <f>'Form responses 1'!Z561</f>
        <v/>
      </c>
      <c r="S559" s="4" t="str">
        <f>'Form responses 1'!AC561</f>
        <v/>
      </c>
      <c r="T559" s="4" t="str">
        <f>'Form responses 1'!AE561</f>
        <v/>
      </c>
      <c r="U559" s="4" t="str">
        <f>'Form responses 1'!AG561</f>
        <v/>
      </c>
      <c r="V559" s="4" t="str">
        <f>'Form responses 1'!AI561</f>
        <v/>
      </c>
      <c r="W559" s="4" t="str">
        <f>'Form responses 1'!AJ561</f>
        <v/>
      </c>
      <c r="X559" s="4" t="str">
        <f>'Form responses 1'!AK561</f>
        <v/>
      </c>
      <c r="Y559" s="4">
        <f t="shared" ref="Y559:AD559" si="558">if(S559&gt;0,1,0)</f>
        <v>0</v>
      </c>
      <c r="Z559" s="4">
        <f t="shared" si="558"/>
        <v>0</v>
      </c>
      <c r="AA559" s="4">
        <f t="shared" si="558"/>
        <v>0</v>
      </c>
      <c r="AB559" s="4">
        <f t="shared" si="558"/>
        <v>0</v>
      </c>
      <c r="AC559" s="4">
        <f t="shared" si="558"/>
        <v>0</v>
      </c>
      <c r="AD559" s="4">
        <f t="shared" si="558"/>
        <v>0</v>
      </c>
      <c r="AE559" s="4" t="str">
        <f>'Form responses 1'!AN561</f>
        <v/>
      </c>
      <c r="AF559" s="4" t="str">
        <f>'Form responses 1'!AO1680</f>
        <v/>
      </c>
      <c r="AG559" s="4" t="str">
        <f>'Form responses 1'!AP1680</f>
        <v/>
      </c>
      <c r="AH559" s="4" t="str">
        <f>'Form responses 1'!AQ1680</f>
        <v/>
      </c>
      <c r="AI559" s="4" t="str">
        <f>'Form responses 1'!AR1680</f>
        <v/>
      </c>
    </row>
    <row r="560">
      <c r="A560" s="26">
        <f>'Form responses 1'!B562</f>
        <v>46067</v>
      </c>
      <c r="B560" s="4" t="str">
        <f>'Form responses 1'!AZ562</f>
        <v>parthive.maganti@capsdelivery.com</v>
      </c>
      <c r="C560" s="4" t="str">
        <f>'Form responses 1'!BR562</f>
        <v>Sri Sai Rama tiffins</v>
      </c>
      <c r="D560" s="4" t="str">
        <f>'Form responses 1'!AT562</f>
        <v>Na</v>
      </c>
      <c r="E560" s="4" t="str">
        <f>'Form responses 1'!AU562</f>
        <v>No</v>
      </c>
      <c r="F560" s="4" t="str">
        <f>'Form responses 1'!AX562</f>
        <v/>
      </c>
      <c r="G560" s="4" t="str">
        <f>'Form responses 1'!AY562</f>
        <v/>
      </c>
      <c r="H560" s="53" t="str">
        <f>'Form responses 1'!AW562</f>
        <v/>
      </c>
      <c r="I560" s="4" t="str">
        <f>'Form responses 1'!AS562</f>
        <v>Yes</v>
      </c>
      <c r="J560" s="4" t="str">
        <f>'Form responses 1'!J562</f>
        <v>Tier-3 ( AOV&lt;200 )</v>
      </c>
      <c r="K560" s="4">
        <f>'Form responses 1'!G562</f>
        <v>200</v>
      </c>
      <c r="L560" s="4">
        <f>'Form responses 1'!F562</f>
        <v>50</v>
      </c>
      <c r="M560" s="4" t="str">
        <f>'Form responses 1'!U562</f>
        <v>Vijay kumar</v>
      </c>
      <c r="N560" s="4">
        <f>'Form responses 1'!V562</f>
        <v>7799208404</v>
      </c>
      <c r="O560" s="4" t="str">
        <f>'Form responses 1'!W562</f>
        <v>Vijjivo52@gmail.com</v>
      </c>
      <c r="P560" s="4" t="str">
        <f>'Form responses 1'!X562</f>
        <v/>
      </c>
      <c r="Q560" s="4" t="str">
        <f>'Form responses 1'!Y562</f>
        <v/>
      </c>
      <c r="R560" s="4" t="str">
        <f>'Form responses 1'!Z562</f>
        <v/>
      </c>
      <c r="S560" s="4" t="str">
        <f>'Form responses 1'!AC562</f>
        <v/>
      </c>
      <c r="T560" s="4" t="str">
        <f>'Form responses 1'!AE562</f>
        <v/>
      </c>
      <c r="U560" s="4" t="str">
        <f>'Form responses 1'!AG562</f>
        <v/>
      </c>
      <c r="V560" s="4" t="str">
        <f>'Form responses 1'!AI562</f>
        <v/>
      </c>
      <c r="W560" s="4" t="str">
        <f>'Form responses 1'!AJ562</f>
        <v/>
      </c>
      <c r="X560" s="4" t="str">
        <f>'Form responses 1'!AK562</f>
        <v/>
      </c>
      <c r="Y560" s="4">
        <f t="shared" ref="Y560:AD560" si="559">if(S560&gt;0,1,0)</f>
        <v>0</v>
      </c>
      <c r="Z560" s="4">
        <f t="shared" si="559"/>
        <v>0</v>
      </c>
      <c r="AA560" s="4">
        <f t="shared" si="559"/>
        <v>0</v>
      </c>
      <c r="AB560" s="4">
        <f t="shared" si="559"/>
        <v>0</v>
      </c>
      <c r="AC560" s="4">
        <f t="shared" si="559"/>
        <v>0</v>
      </c>
      <c r="AD560" s="4">
        <f t="shared" si="559"/>
        <v>0</v>
      </c>
      <c r="AE560" s="4" t="str">
        <f>'Form responses 1'!AN562</f>
        <v>Sri Sai Rama tiffins</v>
      </c>
      <c r="AF560" s="4" t="str">
        <f>'Form responses 1'!AO1681</f>
        <v/>
      </c>
      <c r="AG560" s="4" t="str">
        <f>'Form responses 1'!AP1681</f>
        <v/>
      </c>
      <c r="AH560" s="4" t="str">
        <f>'Form responses 1'!AQ1681</f>
        <v/>
      </c>
      <c r="AI560" s="4" t="str">
        <f>'Form responses 1'!AR1681</f>
        <v/>
      </c>
    </row>
    <row r="561">
      <c r="A561" s="26">
        <f>'Form responses 1'!B563</f>
        <v>46067</v>
      </c>
      <c r="B561" s="4" t="str">
        <f>'Form responses 1'!AZ563</f>
        <v>parthive.maganti@capsdelivery.com</v>
      </c>
      <c r="C561" s="4" t="str">
        <f>'Form responses 1'!BR563</f>
        <v>Sri varahi sampradaya vindhu </v>
      </c>
      <c r="D561" s="4" t="str">
        <f>'Form responses 1'!AT563</f>
        <v>Na</v>
      </c>
      <c r="E561" s="4" t="str">
        <f>'Form responses 1'!AU563</f>
        <v>No</v>
      </c>
      <c r="F561" s="4" t="str">
        <f>'Form responses 1'!AX563</f>
        <v/>
      </c>
      <c r="G561" s="4" t="str">
        <f>'Form responses 1'!AY563</f>
        <v/>
      </c>
      <c r="H561" s="53" t="str">
        <f>'Form responses 1'!AW563</f>
        <v/>
      </c>
      <c r="I561" s="4" t="str">
        <f>'Form responses 1'!AS563</f>
        <v>Yes</v>
      </c>
      <c r="J561" s="4" t="str">
        <f>'Form responses 1'!J563</f>
        <v>Tier-3 ( AOV&lt;200 )</v>
      </c>
      <c r="K561" s="4">
        <f>'Form responses 1'!G563</f>
        <v>180</v>
      </c>
      <c r="L561" s="4">
        <f>'Form responses 1'!F563</f>
        <v>25</v>
      </c>
      <c r="M561" s="4" t="str">
        <f>'Form responses 1'!U563</f>
        <v>Sujeeth</v>
      </c>
      <c r="N561" s="4" t="str">
        <f>'Form responses 1'!V563</f>
        <v>832 837 8624</v>
      </c>
      <c r="O561" s="4" t="str">
        <f>'Form responses 1'!W563</f>
        <v>Sujit.atric@gmail.com</v>
      </c>
      <c r="P561" s="4" t="str">
        <f>'Form responses 1'!X563</f>
        <v/>
      </c>
      <c r="Q561" s="4" t="str">
        <f>'Form responses 1'!Y563</f>
        <v/>
      </c>
      <c r="R561" s="4" t="str">
        <f>'Form responses 1'!Z563</f>
        <v/>
      </c>
      <c r="S561" s="54" t="str">
        <f>'Form responses 1'!AC563</f>
        <v>https://drive.google.com/open?id=15w-41KfK4yuAaZbxJPFH_B99m-hbwa4F</v>
      </c>
      <c r="T561" s="4" t="str">
        <f>'Form responses 1'!AE563</f>
        <v/>
      </c>
      <c r="U561" s="54" t="str">
        <f>'Form responses 1'!AG563</f>
        <v>https://drive.google.com/open?id=16r6DJTjOKtSG2yn0_TX4bS1xeLipnrUa</v>
      </c>
      <c r="V561" s="4" t="str">
        <f>'Form responses 1'!AI563</f>
        <v/>
      </c>
      <c r="W561" s="4" t="str">
        <f>'Form responses 1'!AJ563</f>
        <v/>
      </c>
      <c r="X561" s="54" t="str">
        <f>'Form responses 1'!AK563</f>
        <v>https://drive.google.com/open?id=1gaojrQDsRKOnMGTffrg7CRd7nH8P-4wY</v>
      </c>
      <c r="Y561" s="4">
        <f t="shared" ref="Y561:AD561" si="560">if(S561&gt;0,1,0)</f>
        <v>1</v>
      </c>
      <c r="Z561" s="4">
        <f t="shared" si="560"/>
        <v>0</v>
      </c>
      <c r="AA561" s="4">
        <f t="shared" si="560"/>
        <v>1</v>
      </c>
      <c r="AB561" s="4">
        <f t="shared" si="560"/>
        <v>0</v>
      </c>
      <c r="AC561" s="4">
        <f t="shared" si="560"/>
        <v>0</v>
      </c>
      <c r="AD561" s="4">
        <f t="shared" si="560"/>
        <v>1</v>
      </c>
      <c r="AE561" s="4" t="str">
        <f>'Form responses 1'!AN563</f>
        <v>Kanchu muthyam</v>
      </c>
      <c r="AF561" s="4" t="str">
        <f>'Form responses 1'!AO1682</f>
        <v/>
      </c>
      <c r="AG561" s="4" t="str">
        <f>'Form responses 1'!AP1682</f>
        <v/>
      </c>
      <c r="AH561" s="4" t="str">
        <f>'Form responses 1'!AQ1682</f>
        <v/>
      </c>
      <c r="AI561" s="4" t="str">
        <f>'Form responses 1'!AR1682</f>
        <v/>
      </c>
    </row>
    <row r="562">
      <c r="A562" s="26">
        <f>'Form responses 1'!B564</f>
        <v>46071</v>
      </c>
      <c r="B562" s="4" t="str">
        <f>'Form responses 1'!AZ564</f>
        <v>manisha.kumari@capsdelivery.com</v>
      </c>
      <c r="C562" s="4" t="str">
        <f>'Form responses 1'!BR564</f>
        <v>WOW ChinaWOW China</v>
      </c>
      <c r="D562" s="4" t="str">
        <f>'Form responses 1'!AT564</f>
        <v>Proposal shared on whatsapp and asked to come on Monday to meet Faizan area manager. He will let me know time on Monday.</v>
      </c>
      <c r="E562" s="4" t="str">
        <f>'Form responses 1'!AU564</f>
        <v>Yes</v>
      </c>
      <c r="F562" s="26">
        <f>'Form responses 1'!AX564</f>
        <v>46076</v>
      </c>
      <c r="G562" s="4" t="str">
        <f>'Form responses 1'!AY564</f>
        <v/>
      </c>
      <c r="H562" s="53" t="str">
        <f>'Form responses 1'!AW564</f>
        <v>Proposal Discussion</v>
      </c>
      <c r="I562" s="4" t="str">
        <f>'Form responses 1'!AS564</f>
        <v/>
      </c>
      <c r="J562" s="4" t="str">
        <f>'Form responses 1'!J564</f>
        <v/>
      </c>
      <c r="K562" s="4" t="str">
        <f>'Form responses 1'!G564</f>
        <v/>
      </c>
      <c r="L562" s="4" t="str">
        <f>'Form responses 1'!F564</f>
        <v/>
      </c>
      <c r="M562" s="4" t="str">
        <f>'Form responses 1'!U564</f>
        <v>Sudhanshu </v>
      </c>
      <c r="N562" s="4" t="str">
        <f>'Form responses 1'!V564</f>
        <v>7848-873441 </v>
      </c>
      <c r="O562" s="4" t="str">
        <f>'Form responses 1'!W564</f>
        <v>NA</v>
      </c>
      <c r="P562" s="4" t="str">
        <f>'Form responses 1'!X564</f>
        <v/>
      </c>
      <c r="Q562" s="4" t="str">
        <f>'Form responses 1'!Y564</f>
        <v/>
      </c>
      <c r="R562" s="4" t="str">
        <f>'Form responses 1'!Z564</f>
        <v/>
      </c>
      <c r="S562" s="4" t="str">
        <f>'Form responses 1'!AC564</f>
        <v/>
      </c>
      <c r="T562" s="4" t="str">
        <f>'Form responses 1'!AE564</f>
        <v/>
      </c>
      <c r="U562" s="4" t="str">
        <f>'Form responses 1'!AG564</f>
        <v/>
      </c>
      <c r="V562" s="4" t="str">
        <f>'Form responses 1'!AI564</f>
        <v/>
      </c>
      <c r="W562" s="4" t="str">
        <f>'Form responses 1'!AJ564</f>
        <v/>
      </c>
      <c r="X562" s="4" t="str">
        <f>'Form responses 1'!AK564</f>
        <v/>
      </c>
      <c r="Y562" s="4">
        <f t="shared" ref="Y562:AD562" si="561">if(S562&gt;0,1,0)</f>
        <v>0</v>
      </c>
      <c r="Z562" s="4">
        <f t="shared" si="561"/>
        <v>0</v>
      </c>
      <c r="AA562" s="4">
        <f t="shared" si="561"/>
        <v>0</v>
      </c>
      <c r="AB562" s="4">
        <f t="shared" si="561"/>
        <v>0</v>
      </c>
      <c r="AC562" s="4">
        <f t="shared" si="561"/>
        <v>0</v>
      </c>
      <c r="AD562" s="4">
        <f t="shared" si="561"/>
        <v>0</v>
      </c>
      <c r="AE562" s="4" t="str">
        <f>'Form responses 1'!AN564</f>
        <v/>
      </c>
      <c r="AF562" s="4" t="str">
        <f>'Form responses 1'!AO1683</f>
        <v/>
      </c>
      <c r="AG562" s="4" t="str">
        <f>'Form responses 1'!AP1683</f>
        <v/>
      </c>
      <c r="AH562" s="4" t="str">
        <f>'Form responses 1'!AQ1683</f>
        <v/>
      </c>
      <c r="AI562" s="4" t="str">
        <f>'Form responses 1'!AR1683</f>
        <v/>
      </c>
    </row>
    <row r="563">
      <c r="A563" s="26">
        <f>'Form responses 1'!B565</f>
        <v>46071</v>
      </c>
      <c r="B563" s="4" t="str">
        <f>'Form responses 1'!AZ565</f>
        <v>manisha.kumari@capsdelivery.com</v>
      </c>
      <c r="C563" s="4" t="str">
        <f>'Form responses 1'!BR565</f>
        <v>Kunafa BakeKunafa Bake</v>
      </c>
      <c r="D563" s="4" t="str">
        <f>'Form responses 1'!AT565</f>
        <v>Proposal shared over the email</v>
      </c>
      <c r="E563" s="4" t="str">
        <f>'Form responses 1'!AU565</f>
        <v>Yes</v>
      </c>
      <c r="F563" s="4" t="str">
        <f>'Form responses 1'!AX565</f>
        <v/>
      </c>
      <c r="G563" s="4" t="str">
        <f>'Form responses 1'!AY565</f>
        <v/>
      </c>
      <c r="H563" s="53" t="str">
        <f>'Form responses 1'!AW565</f>
        <v/>
      </c>
      <c r="I563" s="4" t="str">
        <f>'Form responses 1'!AS565</f>
        <v/>
      </c>
      <c r="J563" s="4" t="str">
        <f>'Form responses 1'!J565</f>
        <v>Tier-2 (AOV &lt;400)</v>
      </c>
      <c r="K563" s="4">
        <f>'Form responses 1'!G565</f>
        <v>300</v>
      </c>
      <c r="L563" s="4">
        <f>'Form responses 1'!F565</f>
        <v>1</v>
      </c>
      <c r="M563" s="4" t="str">
        <f>'Form responses 1'!U565</f>
        <v>Rasheed</v>
      </c>
      <c r="N563" s="4">
        <f>'Form responses 1'!V565</f>
        <v>9400053063</v>
      </c>
      <c r="O563" s="4" t="str">
        <f>'Form responses 1'!W565</f>
        <v>rfcoproductions@gmail.com</v>
      </c>
      <c r="P563" s="4" t="str">
        <f>'Form responses 1'!X565</f>
        <v/>
      </c>
      <c r="Q563" s="4" t="str">
        <f>'Form responses 1'!Y565</f>
        <v/>
      </c>
      <c r="R563" s="4" t="str">
        <f>'Form responses 1'!Z565</f>
        <v/>
      </c>
      <c r="S563" s="4" t="str">
        <f>'Form responses 1'!AC565</f>
        <v/>
      </c>
      <c r="T563" s="4" t="str">
        <f>'Form responses 1'!AE565</f>
        <v/>
      </c>
      <c r="U563" s="4" t="str">
        <f>'Form responses 1'!AG565</f>
        <v/>
      </c>
      <c r="V563" s="4" t="str">
        <f>'Form responses 1'!AI565</f>
        <v/>
      </c>
      <c r="W563" s="4" t="str">
        <f>'Form responses 1'!AJ565</f>
        <v/>
      </c>
      <c r="X563" s="4" t="str">
        <f>'Form responses 1'!AK565</f>
        <v/>
      </c>
      <c r="Y563" s="4">
        <f t="shared" ref="Y563:AD563" si="562">if(S563&gt;0,1,0)</f>
        <v>0</v>
      </c>
      <c r="Z563" s="4">
        <f t="shared" si="562"/>
        <v>0</v>
      </c>
      <c r="AA563" s="4">
        <f t="shared" si="562"/>
        <v>0</v>
      </c>
      <c r="AB563" s="4">
        <f t="shared" si="562"/>
        <v>0</v>
      </c>
      <c r="AC563" s="4">
        <f t="shared" si="562"/>
        <v>0</v>
      </c>
      <c r="AD563" s="4">
        <f t="shared" si="562"/>
        <v>0</v>
      </c>
      <c r="AE563" s="4" t="str">
        <f>'Form responses 1'!AN565</f>
        <v/>
      </c>
      <c r="AF563" s="4" t="str">
        <f>'Form responses 1'!AO1684</f>
        <v/>
      </c>
      <c r="AG563" s="4" t="str">
        <f>'Form responses 1'!AP1684</f>
        <v/>
      </c>
      <c r="AH563" s="4" t="str">
        <f>'Form responses 1'!AQ1684</f>
        <v/>
      </c>
      <c r="AI563" s="4" t="str">
        <f>'Form responses 1'!AR1684</f>
        <v/>
      </c>
    </row>
    <row r="564">
      <c r="A564" s="26">
        <f>'Form responses 1'!B566</f>
        <v>46071</v>
      </c>
      <c r="B564" s="4" t="str">
        <f>'Form responses 1'!AZ566</f>
        <v>manisha.kumari@capsdelivery.com</v>
      </c>
      <c r="C564" s="4" t="str">
        <f>'Form responses 1'!BR566</f>
        <v>FrankieFrankie</v>
      </c>
      <c r="D564" s="4" t="str">
        <f>'Form responses 1'!AT566</f>
        <v>Proposal shared on whatsapp as requested.</v>
      </c>
      <c r="E564" s="4" t="str">
        <f>'Form responses 1'!AU566</f>
        <v>Yes</v>
      </c>
      <c r="F564" s="4" t="str">
        <f>'Form responses 1'!AX566</f>
        <v/>
      </c>
      <c r="G564" s="4" t="str">
        <f>'Form responses 1'!AY566</f>
        <v/>
      </c>
      <c r="H564" s="53" t="str">
        <f>'Form responses 1'!AW566</f>
        <v/>
      </c>
      <c r="I564" s="4" t="str">
        <f>'Form responses 1'!AS566</f>
        <v/>
      </c>
      <c r="J564" s="4" t="str">
        <f>'Form responses 1'!J566</f>
        <v/>
      </c>
      <c r="K564" s="4" t="str">
        <f>'Form responses 1'!G566</f>
        <v/>
      </c>
      <c r="L564" s="4" t="str">
        <f>'Form responses 1'!F566</f>
        <v/>
      </c>
      <c r="M564" s="4" t="str">
        <f>'Form responses 1'!U566</f>
        <v>Mohan SIngh</v>
      </c>
      <c r="N564" s="4" t="str">
        <f>'Form responses 1'!V566</f>
        <v>92468 78121</v>
      </c>
      <c r="O564" s="4" t="str">
        <f>'Form responses 1'!W566</f>
        <v>NA</v>
      </c>
      <c r="P564" s="4" t="str">
        <f>'Form responses 1'!X566</f>
        <v/>
      </c>
      <c r="Q564" s="4" t="str">
        <f>'Form responses 1'!Y566</f>
        <v/>
      </c>
      <c r="R564" s="4" t="str">
        <f>'Form responses 1'!Z566</f>
        <v/>
      </c>
      <c r="S564" s="4" t="str">
        <f>'Form responses 1'!AC566</f>
        <v/>
      </c>
      <c r="T564" s="4" t="str">
        <f>'Form responses 1'!AE566</f>
        <v/>
      </c>
      <c r="U564" s="4" t="str">
        <f>'Form responses 1'!AG566</f>
        <v/>
      </c>
      <c r="V564" s="4" t="str">
        <f>'Form responses 1'!AI566</f>
        <v/>
      </c>
      <c r="W564" s="4" t="str">
        <f>'Form responses 1'!AJ566</f>
        <v/>
      </c>
      <c r="X564" s="4" t="str">
        <f>'Form responses 1'!AK566</f>
        <v/>
      </c>
      <c r="Y564" s="4">
        <f t="shared" ref="Y564:AD564" si="563">if(S564&gt;0,1,0)</f>
        <v>0</v>
      </c>
      <c r="Z564" s="4">
        <f t="shared" si="563"/>
        <v>0</v>
      </c>
      <c r="AA564" s="4">
        <f t="shared" si="563"/>
        <v>0</v>
      </c>
      <c r="AB564" s="4">
        <f t="shared" si="563"/>
        <v>0</v>
      </c>
      <c r="AC564" s="4">
        <f t="shared" si="563"/>
        <v>0</v>
      </c>
      <c r="AD564" s="4">
        <f t="shared" si="563"/>
        <v>0</v>
      </c>
      <c r="AE564" s="4" t="str">
        <f>'Form responses 1'!AN566</f>
        <v/>
      </c>
      <c r="AF564" s="4" t="str">
        <f>'Form responses 1'!AO1685</f>
        <v/>
      </c>
      <c r="AG564" s="4" t="str">
        <f>'Form responses 1'!AP1685</f>
        <v/>
      </c>
      <c r="AH564" s="4" t="str">
        <f>'Form responses 1'!AQ1685</f>
        <v/>
      </c>
      <c r="AI564" s="4" t="str">
        <f>'Form responses 1'!AR1685</f>
        <v/>
      </c>
    </row>
    <row r="565">
      <c r="A565" s="26">
        <f>'Form responses 1'!B567</f>
        <v>46071</v>
      </c>
      <c r="B565" s="4" t="str">
        <f>'Form responses 1'!AZ567</f>
        <v>manisha.kumari@capsdelivery.com</v>
      </c>
      <c r="C565" s="4" t="str">
        <f>'Form responses 1'!BR567</f>
        <v>Chai PointChai Point</v>
      </c>
      <c r="D565" s="4" t="str">
        <f>'Form responses 1'!AT567</f>
        <v>Asked to call tomorrow (19/02/2026)</v>
      </c>
      <c r="E565" s="4" t="str">
        <f>'Form responses 1'!AU567</f>
        <v>Yes</v>
      </c>
      <c r="F565" s="26">
        <f>'Form responses 1'!AX567</f>
        <v>46072</v>
      </c>
      <c r="G565" s="4" t="str">
        <f>'Form responses 1'!AY567</f>
        <v/>
      </c>
      <c r="H565" s="53" t="str">
        <f>'Form responses 1'!AW567</f>
        <v/>
      </c>
      <c r="I565" s="4" t="str">
        <f>'Form responses 1'!AS567</f>
        <v/>
      </c>
      <c r="J565" s="4" t="str">
        <f>'Form responses 1'!J567</f>
        <v/>
      </c>
      <c r="K565" s="4" t="str">
        <f>'Form responses 1'!G567</f>
        <v/>
      </c>
      <c r="L565" s="4" t="str">
        <f>'Form responses 1'!F567</f>
        <v/>
      </c>
      <c r="M565" s="4" t="str">
        <f>'Form responses 1'!U567</f>
        <v>Varun</v>
      </c>
      <c r="N565" s="4" t="str">
        <f>'Form responses 1'!V567</f>
        <v>95382 15301</v>
      </c>
      <c r="O565" s="4" t="str">
        <f>'Form responses 1'!W567</f>
        <v>NA</v>
      </c>
      <c r="P565" s="4" t="str">
        <f>'Form responses 1'!X567</f>
        <v/>
      </c>
      <c r="Q565" s="4" t="str">
        <f>'Form responses 1'!Y567</f>
        <v/>
      </c>
      <c r="R565" s="4" t="str">
        <f>'Form responses 1'!Z567</f>
        <v/>
      </c>
      <c r="S565" s="4" t="str">
        <f>'Form responses 1'!AC567</f>
        <v/>
      </c>
      <c r="T565" s="4" t="str">
        <f>'Form responses 1'!AE567</f>
        <v/>
      </c>
      <c r="U565" s="4" t="str">
        <f>'Form responses 1'!AG567</f>
        <v/>
      </c>
      <c r="V565" s="4" t="str">
        <f>'Form responses 1'!AI567</f>
        <v/>
      </c>
      <c r="W565" s="4" t="str">
        <f>'Form responses 1'!AJ567</f>
        <v/>
      </c>
      <c r="X565" s="4" t="str">
        <f>'Form responses 1'!AK567</f>
        <v/>
      </c>
      <c r="Y565" s="4">
        <f t="shared" ref="Y565:AD565" si="564">if(S565&gt;0,1,0)</f>
        <v>0</v>
      </c>
      <c r="Z565" s="4">
        <f t="shared" si="564"/>
        <v>0</v>
      </c>
      <c r="AA565" s="4">
        <f t="shared" si="564"/>
        <v>0</v>
      </c>
      <c r="AB565" s="4">
        <f t="shared" si="564"/>
        <v>0</v>
      </c>
      <c r="AC565" s="4">
        <f t="shared" si="564"/>
        <v>0</v>
      </c>
      <c r="AD565" s="4">
        <f t="shared" si="564"/>
        <v>0</v>
      </c>
      <c r="AE565" s="4" t="str">
        <f>'Form responses 1'!AN567</f>
        <v/>
      </c>
      <c r="AF565" s="4" t="str">
        <f>'Form responses 1'!AO1686</f>
        <v/>
      </c>
      <c r="AG565" s="4" t="str">
        <f>'Form responses 1'!AP1686</f>
        <v/>
      </c>
      <c r="AH565" s="4" t="str">
        <f>'Form responses 1'!AQ1686</f>
        <v/>
      </c>
      <c r="AI565" s="4" t="str">
        <f>'Form responses 1'!AR1686</f>
        <v/>
      </c>
    </row>
    <row r="566">
      <c r="A566" s="26">
        <f>'Form responses 1'!B568</f>
        <v>46071</v>
      </c>
      <c r="B566" s="4" t="str">
        <f>'Form responses 1'!AZ568</f>
        <v>manisha.kumari@capsdelivery.com</v>
      </c>
      <c r="C566" s="4" t="str">
        <f>'Form responses 1'!BR568</f>
        <v>7th Heaven &amp; white hart7th Heaven &amp; white hart</v>
      </c>
      <c r="D566" s="4" t="str">
        <f>'Form responses 1'!AT568</f>
        <v>Proposal Shared on whatsapp</v>
      </c>
      <c r="E566" s="4" t="str">
        <f>'Form responses 1'!AU568</f>
        <v>Yes</v>
      </c>
      <c r="F566" s="4" t="str">
        <f>'Form responses 1'!AX568</f>
        <v/>
      </c>
      <c r="G566" s="4" t="str">
        <f>'Form responses 1'!AY568</f>
        <v/>
      </c>
      <c r="H566" s="53" t="str">
        <f>'Form responses 1'!AW568</f>
        <v/>
      </c>
      <c r="I566" s="4" t="str">
        <f>'Form responses 1'!AS568</f>
        <v/>
      </c>
      <c r="J566" s="4" t="str">
        <f>'Form responses 1'!J568</f>
        <v/>
      </c>
      <c r="K566" s="4" t="str">
        <f>'Form responses 1'!G568</f>
        <v/>
      </c>
      <c r="L566" s="4" t="str">
        <f>'Form responses 1'!F568</f>
        <v/>
      </c>
      <c r="M566" s="4" t="str">
        <f>'Form responses 1'!U568</f>
        <v>Srikant Reddy</v>
      </c>
      <c r="N566" s="4" t="str">
        <f>'Form responses 1'!V568</f>
        <v>70705 67056</v>
      </c>
      <c r="O566" s="4" t="str">
        <f>'Form responses 1'!W568</f>
        <v>seventhheavenrestaurant1998@gmail.com</v>
      </c>
      <c r="P566" s="4" t="str">
        <f>'Form responses 1'!X568</f>
        <v/>
      </c>
      <c r="Q566" s="4" t="str">
        <f>'Form responses 1'!Y568</f>
        <v/>
      </c>
      <c r="R566" s="4" t="str">
        <f>'Form responses 1'!Z568</f>
        <v/>
      </c>
      <c r="S566" s="4" t="str">
        <f>'Form responses 1'!AC568</f>
        <v/>
      </c>
      <c r="T566" s="4" t="str">
        <f>'Form responses 1'!AE568</f>
        <v/>
      </c>
      <c r="U566" s="4" t="str">
        <f>'Form responses 1'!AG568</f>
        <v/>
      </c>
      <c r="V566" s="4" t="str">
        <f>'Form responses 1'!AI568</f>
        <v/>
      </c>
      <c r="W566" s="4" t="str">
        <f>'Form responses 1'!AJ568</f>
        <v/>
      </c>
      <c r="X566" s="4" t="str">
        <f>'Form responses 1'!AK568</f>
        <v/>
      </c>
      <c r="Y566" s="4">
        <f t="shared" ref="Y566:AD566" si="565">if(S566&gt;0,1,0)</f>
        <v>0</v>
      </c>
      <c r="Z566" s="4">
        <f t="shared" si="565"/>
        <v>0</v>
      </c>
      <c r="AA566" s="4">
        <f t="shared" si="565"/>
        <v>0</v>
      </c>
      <c r="AB566" s="4">
        <f t="shared" si="565"/>
        <v>0</v>
      </c>
      <c r="AC566" s="4">
        <f t="shared" si="565"/>
        <v>0</v>
      </c>
      <c r="AD566" s="4">
        <f t="shared" si="565"/>
        <v>0</v>
      </c>
      <c r="AE566" s="4" t="str">
        <f>'Form responses 1'!AN568</f>
        <v/>
      </c>
      <c r="AF566" s="4" t="str">
        <f>'Form responses 1'!AO1687</f>
        <v/>
      </c>
      <c r="AG566" s="4" t="str">
        <f>'Form responses 1'!AP1687</f>
        <v/>
      </c>
      <c r="AH566" s="4" t="str">
        <f>'Form responses 1'!AQ1687</f>
        <v/>
      </c>
      <c r="AI566" s="4" t="str">
        <f>'Form responses 1'!AR1687</f>
        <v/>
      </c>
    </row>
    <row r="567">
      <c r="A567" s="26">
        <f>'Form responses 1'!B569</f>
        <v>46071</v>
      </c>
      <c r="B567" s="4" t="str">
        <f>'Form responses 1'!AZ569</f>
        <v>manisha.kumari@capsdelivery.com</v>
      </c>
      <c r="C567" s="4" t="str">
        <f>'Form responses 1'!BR569</f>
        <v>Hard Rock CafeHard Rock Cafe</v>
      </c>
      <c r="D567" s="4" t="str">
        <f>'Form responses 1'!AT569</f>
        <v>Proposal shared over the email.</v>
      </c>
      <c r="E567" s="4" t="str">
        <f>'Form responses 1'!AU569</f>
        <v>Yes</v>
      </c>
      <c r="F567" s="4" t="str">
        <f>'Form responses 1'!AX569</f>
        <v/>
      </c>
      <c r="G567" s="4" t="str">
        <f>'Form responses 1'!AY569</f>
        <v/>
      </c>
      <c r="H567" s="53" t="str">
        <f>'Form responses 1'!AW569</f>
        <v/>
      </c>
      <c r="I567" s="4" t="str">
        <f>'Form responses 1'!AS569</f>
        <v/>
      </c>
      <c r="J567" s="4" t="str">
        <f>'Form responses 1'!J569</f>
        <v/>
      </c>
      <c r="K567" s="4" t="str">
        <f>'Form responses 1'!G569</f>
        <v/>
      </c>
      <c r="L567" s="4" t="str">
        <f>'Form responses 1'!F569</f>
        <v/>
      </c>
      <c r="M567" s="4" t="str">
        <f>'Form responses 1'!U569</f>
        <v>T Naveen Kumar</v>
      </c>
      <c r="N567" s="4">
        <f>'Form responses 1'!V569</f>
        <v>9985287122</v>
      </c>
      <c r="O567" s="4" t="str">
        <f>'Form responses 1'!W569</f>
        <v>om.hrchyd@jsmcorp.in</v>
      </c>
      <c r="P567" s="4" t="str">
        <f>'Form responses 1'!X569</f>
        <v/>
      </c>
      <c r="Q567" s="4" t="str">
        <f>'Form responses 1'!Y569</f>
        <v/>
      </c>
      <c r="R567" s="4" t="str">
        <f>'Form responses 1'!Z569</f>
        <v/>
      </c>
      <c r="S567" s="4" t="str">
        <f>'Form responses 1'!AC569</f>
        <v/>
      </c>
      <c r="T567" s="4" t="str">
        <f>'Form responses 1'!AE569</f>
        <v/>
      </c>
      <c r="U567" s="4" t="str">
        <f>'Form responses 1'!AG569</f>
        <v/>
      </c>
      <c r="V567" s="4" t="str">
        <f>'Form responses 1'!AI569</f>
        <v/>
      </c>
      <c r="W567" s="4" t="str">
        <f>'Form responses 1'!AJ569</f>
        <v/>
      </c>
      <c r="X567" s="4" t="str">
        <f>'Form responses 1'!AK569</f>
        <v/>
      </c>
      <c r="Y567" s="4">
        <f t="shared" ref="Y567:AD567" si="566">if(S567&gt;0,1,0)</f>
        <v>0</v>
      </c>
      <c r="Z567" s="4">
        <f t="shared" si="566"/>
        <v>0</v>
      </c>
      <c r="AA567" s="4">
        <f t="shared" si="566"/>
        <v>0</v>
      </c>
      <c r="AB567" s="4">
        <f t="shared" si="566"/>
        <v>0</v>
      </c>
      <c r="AC567" s="4">
        <f t="shared" si="566"/>
        <v>0</v>
      </c>
      <c r="AD567" s="4">
        <f t="shared" si="566"/>
        <v>0</v>
      </c>
      <c r="AE567" s="4" t="str">
        <f>'Form responses 1'!AN569</f>
        <v/>
      </c>
      <c r="AF567" s="4" t="str">
        <f>'Form responses 1'!AO1688</f>
        <v/>
      </c>
      <c r="AG567" s="4" t="str">
        <f>'Form responses 1'!AP1688</f>
        <v/>
      </c>
      <c r="AH567" s="4" t="str">
        <f>'Form responses 1'!AQ1688</f>
        <v/>
      </c>
      <c r="AI567" s="4" t="str">
        <f>'Form responses 1'!AR1688</f>
        <v/>
      </c>
    </row>
    <row r="568">
      <c r="A568" s="26">
        <f>'Form responses 1'!B570</f>
        <v>46071</v>
      </c>
      <c r="B568" s="4" t="str">
        <f>'Form responses 1'!AZ570</f>
        <v>manisha.kumari@capsdelivery.com</v>
      </c>
      <c r="C568" s="4" t="str">
        <f>'Form responses 1'!BR570</f>
        <v>HaldiramHaldiram</v>
      </c>
      <c r="D568" s="4" t="str">
        <f>'Form responses 1'!AT570</f>
        <v>Proposal shared over the email ID</v>
      </c>
      <c r="E568" s="4" t="str">
        <f>'Form responses 1'!AU570</f>
        <v>Yes</v>
      </c>
      <c r="F568" s="4" t="str">
        <f>'Form responses 1'!AX570</f>
        <v/>
      </c>
      <c r="G568" s="4" t="str">
        <f>'Form responses 1'!AY570</f>
        <v/>
      </c>
      <c r="H568" s="53" t="str">
        <f>'Form responses 1'!AW570</f>
        <v/>
      </c>
      <c r="I568" s="4" t="str">
        <f>'Form responses 1'!AS570</f>
        <v/>
      </c>
      <c r="J568" s="4" t="str">
        <f>'Form responses 1'!J570</f>
        <v/>
      </c>
      <c r="K568" s="4" t="str">
        <f>'Form responses 1'!G570</f>
        <v/>
      </c>
      <c r="L568" s="4" t="str">
        <f>'Form responses 1'!F570</f>
        <v/>
      </c>
      <c r="M568" s="4" t="str">
        <f>'Form responses 1'!U570</f>
        <v>Sumit bajaj</v>
      </c>
      <c r="N568" s="4">
        <f>'Form responses 1'!V570</f>
        <v>8668045147</v>
      </c>
      <c r="O568" s="4" t="str">
        <f>'Form responses 1'!W570</f>
        <v>sumit.bajaj@haldirams.com</v>
      </c>
      <c r="P568" s="4" t="str">
        <f>'Form responses 1'!X570</f>
        <v/>
      </c>
      <c r="Q568" s="4" t="str">
        <f>'Form responses 1'!Y570</f>
        <v/>
      </c>
      <c r="R568" s="4" t="str">
        <f>'Form responses 1'!Z570</f>
        <v/>
      </c>
      <c r="S568" s="4" t="str">
        <f>'Form responses 1'!AC570</f>
        <v/>
      </c>
      <c r="T568" s="4" t="str">
        <f>'Form responses 1'!AE570</f>
        <v/>
      </c>
      <c r="U568" s="4" t="str">
        <f>'Form responses 1'!AG570</f>
        <v/>
      </c>
      <c r="V568" s="4" t="str">
        <f>'Form responses 1'!AI570</f>
        <v/>
      </c>
      <c r="W568" s="4" t="str">
        <f>'Form responses 1'!AJ570</f>
        <v/>
      </c>
      <c r="X568" s="4" t="str">
        <f>'Form responses 1'!AK570</f>
        <v/>
      </c>
      <c r="Y568" s="4">
        <f t="shared" ref="Y568:AD568" si="567">if(S568&gt;0,1,0)</f>
        <v>0</v>
      </c>
      <c r="Z568" s="4">
        <f t="shared" si="567"/>
        <v>0</v>
      </c>
      <c r="AA568" s="4">
        <f t="shared" si="567"/>
        <v>0</v>
      </c>
      <c r="AB568" s="4">
        <f t="shared" si="567"/>
        <v>0</v>
      </c>
      <c r="AC568" s="4">
        <f t="shared" si="567"/>
        <v>0</v>
      </c>
      <c r="AD568" s="4">
        <f t="shared" si="567"/>
        <v>0</v>
      </c>
      <c r="AE568" s="4" t="str">
        <f>'Form responses 1'!AN570</f>
        <v/>
      </c>
      <c r="AF568" s="4" t="str">
        <f>'Form responses 1'!AO1689</f>
        <v/>
      </c>
      <c r="AG568" s="4" t="str">
        <f>'Form responses 1'!AP1689</f>
        <v/>
      </c>
      <c r="AH568" s="4" t="str">
        <f>'Form responses 1'!AQ1689</f>
        <v/>
      </c>
      <c r="AI568" s="4" t="str">
        <f>'Form responses 1'!AR1689</f>
        <v/>
      </c>
    </row>
    <row r="569">
      <c r="A569" s="26">
        <f>'Form responses 1'!B571</f>
        <v>46071</v>
      </c>
      <c r="B569" s="4" t="str">
        <f>'Form responses 1'!AZ571</f>
        <v>manisha.kumari@capsdelivery.com</v>
      </c>
      <c r="C569" s="4" t="str">
        <f>'Form responses 1'!BR571</f>
        <v>PeshawarPeshawar</v>
      </c>
      <c r="D569" s="4" t="str">
        <f>'Form responses 1'!AT571</f>
        <v>Proposal shared over the email</v>
      </c>
      <c r="E569" s="4" t="str">
        <f>'Form responses 1'!AU571</f>
        <v>Yes</v>
      </c>
      <c r="F569" s="4" t="str">
        <f>'Form responses 1'!AX571</f>
        <v/>
      </c>
      <c r="G569" s="4" t="str">
        <f>'Form responses 1'!AY571</f>
        <v/>
      </c>
      <c r="H569" s="53" t="str">
        <f>'Form responses 1'!AW571</f>
        <v/>
      </c>
      <c r="I569" s="4" t="str">
        <f>'Form responses 1'!AS571</f>
        <v/>
      </c>
      <c r="J569" s="4" t="str">
        <f>'Form responses 1'!J571</f>
        <v/>
      </c>
      <c r="K569" s="4" t="str">
        <f>'Form responses 1'!G571</f>
        <v/>
      </c>
      <c r="L569" s="4" t="str">
        <f>'Form responses 1'!F571</f>
        <v/>
      </c>
      <c r="M569" s="4" t="str">
        <f>'Form responses 1'!U571</f>
        <v>zia</v>
      </c>
      <c r="N569" s="4" t="str">
        <f>'Form responses 1'!V571</f>
        <v>90143 87137</v>
      </c>
      <c r="O569" s="4" t="str">
        <f>'Form responses 1'!W571</f>
        <v>NA</v>
      </c>
      <c r="P569" s="4" t="str">
        <f>'Form responses 1'!X571</f>
        <v/>
      </c>
      <c r="Q569" s="4" t="str">
        <f>'Form responses 1'!Y571</f>
        <v/>
      </c>
      <c r="R569" s="4" t="str">
        <f>'Form responses 1'!Z571</f>
        <v/>
      </c>
      <c r="S569" s="4" t="str">
        <f>'Form responses 1'!AC571</f>
        <v/>
      </c>
      <c r="T569" s="4" t="str">
        <f>'Form responses 1'!AE571</f>
        <v/>
      </c>
      <c r="U569" s="4" t="str">
        <f>'Form responses 1'!AG571</f>
        <v/>
      </c>
      <c r="V569" s="4" t="str">
        <f>'Form responses 1'!AI571</f>
        <v/>
      </c>
      <c r="W569" s="4" t="str">
        <f>'Form responses 1'!AJ571</f>
        <v/>
      </c>
      <c r="X569" s="4" t="str">
        <f>'Form responses 1'!AK571</f>
        <v/>
      </c>
      <c r="Y569" s="4">
        <f t="shared" ref="Y569:AD569" si="568">if(S569&gt;0,1,0)</f>
        <v>0</v>
      </c>
      <c r="Z569" s="4">
        <f t="shared" si="568"/>
        <v>0</v>
      </c>
      <c r="AA569" s="4">
        <f t="shared" si="568"/>
        <v>0</v>
      </c>
      <c r="AB569" s="4">
        <f t="shared" si="568"/>
        <v>0</v>
      </c>
      <c r="AC569" s="4">
        <f t="shared" si="568"/>
        <v>0</v>
      </c>
      <c r="AD569" s="4">
        <f t="shared" si="568"/>
        <v>0</v>
      </c>
      <c r="AE569" s="4" t="str">
        <f>'Form responses 1'!AN571</f>
        <v/>
      </c>
      <c r="AF569" s="4" t="str">
        <f>'Form responses 1'!AO1690</f>
        <v/>
      </c>
      <c r="AG569" s="4" t="str">
        <f>'Form responses 1'!AP1690</f>
        <v/>
      </c>
      <c r="AH569" s="4" t="str">
        <f>'Form responses 1'!AQ1690</f>
        <v/>
      </c>
      <c r="AI569" s="4" t="str">
        <f>'Form responses 1'!AR1690</f>
        <v/>
      </c>
    </row>
    <row r="570">
      <c r="A570" s="26">
        <f>'Form responses 1'!B572</f>
        <v>46071</v>
      </c>
      <c r="B570" s="4" t="str">
        <f>'Form responses 1'!AZ572</f>
        <v>manisha.kumari@capsdelivery.com</v>
      </c>
      <c r="C570" s="4" t="str">
        <f>'Form responses 1'!BR572</f>
        <v>Organic CreameryOrganic Creamery</v>
      </c>
      <c r="D570" s="4" t="str">
        <f>'Form responses 1'!AT572</f>
        <v>Proposal shared on whatsapp (He will call me back tomorrow 19/02/2026 for the further discussion)</v>
      </c>
      <c r="E570" s="4" t="str">
        <f>'Form responses 1'!AU572</f>
        <v>Yes</v>
      </c>
      <c r="F570" s="26">
        <f>'Form responses 1'!AX572</f>
        <v>46072</v>
      </c>
      <c r="G570" s="4" t="str">
        <f>'Form responses 1'!AY572</f>
        <v/>
      </c>
      <c r="H570" s="53" t="str">
        <f>'Form responses 1'!AW572</f>
        <v/>
      </c>
      <c r="I570" s="4" t="str">
        <f>'Form responses 1'!AS572</f>
        <v/>
      </c>
      <c r="J570" s="4" t="str">
        <f>'Form responses 1'!J572</f>
        <v/>
      </c>
      <c r="K570" s="4" t="str">
        <f>'Form responses 1'!G572</f>
        <v/>
      </c>
      <c r="L570" s="4" t="str">
        <f>'Form responses 1'!F572</f>
        <v/>
      </c>
      <c r="M570" s="4" t="str">
        <f>'Form responses 1'!U572</f>
        <v>Santosh (Regional Manager)</v>
      </c>
      <c r="N570" s="4">
        <f>'Form responses 1'!V572</f>
        <v>8074742850</v>
      </c>
      <c r="O570" s="4" t="str">
        <f>'Form responses 1'!W572</f>
        <v>NA</v>
      </c>
      <c r="P570" s="4" t="str">
        <f>'Form responses 1'!X572</f>
        <v/>
      </c>
      <c r="Q570" s="4" t="str">
        <f>'Form responses 1'!Y572</f>
        <v/>
      </c>
      <c r="R570" s="4" t="str">
        <f>'Form responses 1'!Z572</f>
        <v/>
      </c>
      <c r="S570" s="4" t="str">
        <f>'Form responses 1'!AC572</f>
        <v/>
      </c>
      <c r="T570" s="4" t="str">
        <f>'Form responses 1'!AE572</f>
        <v/>
      </c>
      <c r="U570" s="4" t="str">
        <f>'Form responses 1'!AG572</f>
        <v/>
      </c>
      <c r="V570" s="4" t="str">
        <f>'Form responses 1'!AI572</f>
        <v/>
      </c>
      <c r="W570" s="4" t="str">
        <f>'Form responses 1'!AJ572</f>
        <v/>
      </c>
      <c r="X570" s="4" t="str">
        <f>'Form responses 1'!AK572</f>
        <v/>
      </c>
      <c r="Y570" s="4">
        <f t="shared" ref="Y570:AD570" si="569">if(S570&gt;0,1,0)</f>
        <v>0</v>
      </c>
      <c r="Z570" s="4">
        <f t="shared" si="569"/>
        <v>0</v>
      </c>
      <c r="AA570" s="4">
        <f t="shared" si="569"/>
        <v>0</v>
      </c>
      <c r="AB570" s="4">
        <f t="shared" si="569"/>
        <v>0</v>
      </c>
      <c r="AC570" s="4">
        <f t="shared" si="569"/>
        <v>0</v>
      </c>
      <c r="AD570" s="4">
        <f t="shared" si="569"/>
        <v>0</v>
      </c>
      <c r="AE570" s="4" t="str">
        <f>'Form responses 1'!AN572</f>
        <v/>
      </c>
      <c r="AF570" s="4" t="str">
        <f>'Form responses 1'!AO1691</f>
        <v/>
      </c>
      <c r="AG570" s="4" t="str">
        <f>'Form responses 1'!AP1691</f>
        <v/>
      </c>
      <c r="AH570" s="4" t="str">
        <f>'Form responses 1'!AQ1691</f>
        <v/>
      </c>
      <c r="AI570" s="4" t="str">
        <f>'Form responses 1'!AR1691</f>
        <v/>
      </c>
    </row>
    <row r="571">
      <c r="A571" s="26">
        <f>'Form responses 1'!B573</f>
        <v>46071</v>
      </c>
      <c r="B571" s="4" t="str">
        <f>'Form responses 1'!AZ573</f>
        <v>amit.kaler@capsdelivery.com</v>
      </c>
      <c r="C571" s="4" t="str">
        <f>'Form responses 1'!BR573</f>
        <v>Hakka Station</v>
      </c>
      <c r="D571" s="4" t="str">
        <f>'Form responses 1'!AT573</f>
        <v>Very low orders on swiggy and zomato. Entire food court runs on an internal app called hunger box. (sattva.hungerbox.com) </v>
      </c>
      <c r="E571" s="4" t="str">
        <f>'Form responses 1'!AU573</f>
        <v>Yes</v>
      </c>
      <c r="F571" s="26">
        <f>'Form responses 1'!AX573</f>
        <v>46071</v>
      </c>
      <c r="G571" s="52">
        <f>'Form responses 1'!AY573</f>
        <v>0.5</v>
      </c>
      <c r="H571" s="53" t="str">
        <f>'Form responses 1'!AW573</f>
        <v>Interested in delivery, not getting orders from Swiggy</v>
      </c>
      <c r="I571" s="4" t="str">
        <f>'Form responses 1'!AS573</f>
        <v/>
      </c>
      <c r="J571" s="4" t="str">
        <f>'Form responses 1'!J573</f>
        <v>Tier-2 (AOV &lt;400)</v>
      </c>
      <c r="K571" s="4">
        <f>'Form responses 1'!G573</f>
        <v>300</v>
      </c>
      <c r="L571" s="4">
        <f>'Form responses 1'!F573</f>
        <v>1</v>
      </c>
      <c r="M571" s="4" t="str">
        <f>'Form responses 1'!U573</f>
        <v>Raju</v>
      </c>
      <c r="N571" s="4">
        <f>'Form responses 1'!V573</f>
        <v>9500619904</v>
      </c>
      <c r="O571" s="4" t="str">
        <f>'Form responses 1'!W573</f>
        <v>Na</v>
      </c>
      <c r="P571" s="4" t="str">
        <f>'Form responses 1'!X573</f>
        <v/>
      </c>
      <c r="Q571" s="4" t="str">
        <f>'Form responses 1'!Y573</f>
        <v/>
      </c>
      <c r="R571" s="4" t="str">
        <f>'Form responses 1'!Z573</f>
        <v/>
      </c>
      <c r="S571" s="4" t="str">
        <f>'Form responses 1'!AC573</f>
        <v/>
      </c>
      <c r="T571" s="4" t="str">
        <f>'Form responses 1'!AE573</f>
        <v/>
      </c>
      <c r="U571" s="4" t="str">
        <f>'Form responses 1'!AG573</f>
        <v/>
      </c>
      <c r="V571" s="4" t="str">
        <f>'Form responses 1'!AI573</f>
        <v/>
      </c>
      <c r="W571" s="4" t="str">
        <f>'Form responses 1'!AJ573</f>
        <v/>
      </c>
      <c r="X571" s="4" t="str">
        <f>'Form responses 1'!AK573</f>
        <v/>
      </c>
      <c r="Y571" s="4">
        <f t="shared" ref="Y571:AD571" si="570">if(S571&gt;0,1,0)</f>
        <v>0</v>
      </c>
      <c r="Z571" s="4">
        <f t="shared" si="570"/>
        <v>0</v>
      </c>
      <c r="AA571" s="4">
        <f t="shared" si="570"/>
        <v>0</v>
      </c>
      <c r="AB571" s="4">
        <f t="shared" si="570"/>
        <v>0</v>
      </c>
      <c r="AC571" s="4">
        <f t="shared" si="570"/>
        <v>0</v>
      </c>
      <c r="AD571" s="4">
        <f t="shared" si="570"/>
        <v>0</v>
      </c>
      <c r="AE571" s="4" t="str">
        <f>'Form responses 1'!AN573</f>
        <v/>
      </c>
      <c r="AF571" s="4" t="str">
        <f>'Form responses 1'!AO1692</f>
        <v/>
      </c>
      <c r="AG571" s="4" t="str">
        <f>'Form responses 1'!AP1692</f>
        <v/>
      </c>
      <c r="AH571" s="4" t="str">
        <f>'Form responses 1'!AQ1692</f>
        <v/>
      </c>
      <c r="AI571" s="4" t="str">
        <f>'Form responses 1'!AR1692</f>
        <v/>
      </c>
    </row>
    <row r="572">
      <c r="A572" s="26">
        <f>'Form responses 1'!B574</f>
        <v>46071</v>
      </c>
      <c r="B572" s="4" t="str">
        <f>'Form responses 1'!AZ574</f>
        <v>amit.kaler@capsdelivery.com</v>
      </c>
      <c r="C572" s="4" t="str">
        <f>'Form responses 1'!BR574</f>
        <v>Sattva Food Court</v>
      </c>
      <c r="D572" s="4" t="str">
        <f>'Form responses 1'!AT574</f>
        <v>A part of marketing team for Sattva foodcourt asked to come again on Tuesday or Wednesday next week. Hungerbox is internal app and website used to preorder and book food from food court. the app can tell about the KPT and the billing and payment is done through the app only</v>
      </c>
      <c r="E572" s="4" t="str">
        <f>'Form responses 1'!AU574</f>
        <v>Yes</v>
      </c>
      <c r="F572" s="26">
        <f>'Form responses 1'!AX574</f>
        <v>46077</v>
      </c>
      <c r="G572" s="52">
        <f>'Form responses 1'!AY574</f>
        <v>0.5</v>
      </c>
      <c r="H572" s="53" t="str">
        <f>'Form responses 1'!AW574</f>
        <v>Research about the hungerbox app (call before meeting)</v>
      </c>
      <c r="I572" s="4" t="str">
        <f>'Form responses 1'!AS574</f>
        <v/>
      </c>
      <c r="J572" s="4" t="str">
        <f>'Form responses 1'!J574</f>
        <v>Food Court</v>
      </c>
      <c r="K572" s="4">
        <f>'Form responses 1'!G574</f>
        <v>1</v>
      </c>
      <c r="L572" s="4">
        <f>'Form responses 1'!F574</f>
        <v>1</v>
      </c>
      <c r="M572" s="4" t="str">
        <f>'Form responses 1'!U574</f>
        <v>Nizzamuddin (Marketing Lead)</v>
      </c>
      <c r="N572" s="4">
        <f>'Form responses 1'!V574</f>
        <v>9247100786</v>
      </c>
      <c r="O572" s="4" t="str">
        <f>'Form responses 1'!W574</f>
        <v>NA</v>
      </c>
      <c r="P572" s="4" t="str">
        <f>'Form responses 1'!X574</f>
        <v/>
      </c>
      <c r="Q572" s="4" t="str">
        <f>'Form responses 1'!Y574</f>
        <v/>
      </c>
      <c r="R572" s="4" t="str">
        <f>'Form responses 1'!Z574</f>
        <v/>
      </c>
      <c r="S572" s="4" t="str">
        <f>'Form responses 1'!AC574</f>
        <v/>
      </c>
      <c r="T572" s="4" t="str">
        <f>'Form responses 1'!AE574</f>
        <v/>
      </c>
      <c r="U572" s="4" t="str">
        <f>'Form responses 1'!AG574</f>
        <v/>
      </c>
      <c r="V572" s="4" t="str">
        <f>'Form responses 1'!AI574</f>
        <v/>
      </c>
      <c r="W572" s="4" t="str">
        <f>'Form responses 1'!AJ574</f>
        <v/>
      </c>
      <c r="X572" s="4" t="str">
        <f>'Form responses 1'!AK574</f>
        <v/>
      </c>
      <c r="Y572" s="4">
        <f t="shared" ref="Y572:AD572" si="571">if(S572&gt;0,1,0)</f>
        <v>0</v>
      </c>
      <c r="Z572" s="4">
        <f t="shared" si="571"/>
        <v>0</v>
      </c>
      <c r="AA572" s="4">
        <f t="shared" si="571"/>
        <v>0</v>
      </c>
      <c r="AB572" s="4">
        <f t="shared" si="571"/>
        <v>0</v>
      </c>
      <c r="AC572" s="4">
        <f t="shared" si="571"/>
        <v>0</v>
      </c>
      <c r="AD572" s="4">
        <f t="shared" si="571"/>
        <v>0</v>
      </c>
      <c r="AE572" s="4" t="str">
        <f>'Form responses 1'!AN574</f>
        <v/>
      </c>
      <c r="AF572" s="4" t="str">
        <f>'Form responses 1'!AO1693</f>
        <v/>
      </c>
      <c r="AG572" s="4" t="str">
        <f>'Form responses 1'!AP1693</f>
        <v/>
      </c>
      <c r="AH572" s="4" t="str">
        <f>'Form responses 1'!AQ1693</f>
        <v/>
      </c>
      <c r="AI572" s="4" t="str">
        <f>'Form responses 1'!AR1693</f>
        <v/>
      </c>
    </row>
    <row r="573">
      <c r="A573" s="26">
        <f>'Form responses 1'!B575</f>
        <v>46071</v>
      </c>
      <c r="B573" s="4" t="str">
        <f>'Form responses 1'!AZ575</f>
        <v>amit.kaler@capsdelivery.com</v>
      </c>
      <c r="C573" s="4" t="str">
        <f>'Form responses 1'!BR575</f>
        <v>Raasta</v>
      </c>
      <c r="D573" s="4" t="str">
        <f>'Form responses 1'!AT575</f>
        <v>Mr. Predeep will be back by Saturday. He will be available in between Lunch and Dinner </v>
      </c>
      <c r="E573" s="4" t="str">
        <f>'Form responses 1'!AU575</f>
        <v>Yes</v>
      </c>
      <c r="F573" s="26">
        <f>'Form responses 1'!AX575</f>
        <v>46074</v>
      </c>
      <c r="G573" s="52">
        <f>'Form responses 1'!AY575</f>
        <v>0.7083333333</v>
      </c>
      <c r="H573" s="53" t="str">
        <f>'Form responses 1'!AW575</f>
        <v>NA</v>
      </c>
      <c r="I573" s="4" t="str">
        <f>'Form responses 1'!AS575</f>
        <v/>
      </c>
      <c r="J573" s="4" t="str">
        <f>'Form responses 1'!J575</f>
        <v>Tier-1(AOV&gt;400)</v>
      </c>
      <c r="K573" s="4">
        <f>'Form responses 1'!G575</f>
        <v>500</v>
      </c>
      <c r="L573" s="4">
        <f>'Form responses 1'!F575</f>
        <v>273</v>
      </c>
      <c r="M573" s="4" t="str">
        <f>'Form responses 1'!U575</f>
        <v>Pradeep (GM)</v>
      </c>
      <c r="N573" s="4">
        <f>'Form responses 1'!V575</f>
        <v>9493304525</v>
      </c>
      <c r="O573" s="4" t="str">
        <f>'Form responses 1'!W575</f>
        <v>NA</v>
      </c>
      <c r="P573" s="4" t="str">
        <f>'Form responses 1'!X575</f>
        <v>Mukul (Shift Manager)</v>
      </c>
      <c r="Q573" s="4">
        <f>'Form responses 1'!Y575</f>
        <v>9010023567</v>
      </c>
      <c r="R573" s="4" t="str">
        <f>'Form responses 1'!Z575</f>
        <v/>
      </c>
      <c r="S573" s="4" t="str">
        <f>'Form responses 1'!AC575</f>
        <v/>
      </c>
      <c r="T573" s="4" t="str">
        <f>'Form responses 1'!AE575</f>
        <v/>
      </c>
      <c r="U573" s="4" t="str">
        <f>'Form responses 1'!AG575</f>
        <v/>
      </c>
      <c r="V573" s="4" t="str">
        <f>'Form responses 1'!AI575</f>
        <v/>
      </c>
      <c r="W573" s="4" t="str">
        <f>'Form responses 1'!AJ575</f>
        <v/>
      </c>
      <c r="X573" s="4" t="str">
        <f>'Form responses 1'!AK575</f>
        <v/>
      </c>
      <c r="Y573" s="4">
        <f t="shared" ref="Y573:AD573" si="572">if(S573&gt;0,1,0)</f>
        <v>0</v>
      </c>
      <c r="Z573" s="4">
        <f t="shared" si="572"/>
        <v>0</v>
      </c>
      <c r="AA573" s="4">
        <f t="shared" si="572"/>
        <v>0</v>
      </c>
      <c r="AB573" s="4">
        <f t="shared" si="572"/>
        <v>0</v>
      </c>
      <c r="AC573" s="4">
        <f t="shared" si="572"/>
        <v>0</v>
      </c>
      <c r="AD573" s="4">
        <f t="shared" si="572"/>
        <v>0</v>
      </c>
      <c r="AE573" s="4" t="str">
        <f>'Form responses 1'!AN575</f>
        <v/>
      </c>
      <c r="AF573" s="4" t="str">
        <f>'Form responses 1'!AO1694</f>
        <v/>
      </c>
      <c r="AG573" s="4" t="str">
        <f>'Form responses 1'!AP1694</f>
        <v/>
      </c>
      <c r="AH573" s="4" t="str">
        <f>'Form responses 1'!AQ1694</f>
        <v/>
      </c>
      <c r="AI573" s="4" t="str">
        <f>'Form responses 1'!AR1694</f>
        <v/>
      </c>
    </row>
    <row r="574">
      <c r="A574" s="26">
        <f>'Form responses 1'!B576</f>
        <v>46071</v>
      </c>
      <c r="B574" s="4" t="str">
        <f>'Form responses 1'!AZ576</f>
        <v>amit.kaler@capsdelivery.com</v>
      </c>
      <c r="C574" s="4" t="str">
        <f>'Form responses 1'!BR576</f>
        <v>Flurry</v>
      </c>
      <c r="D574" s="4" t="str">
        <f>'Form responses 1'!AT576</f>
        <v>Follow Up with Mr. Santosh Reqd</v>
      </c>
      <c r="E574" s="4" t="str">
        <f>'Form responses 1'!AU576</f>
        <v>Yes</v>
      </c>
      <c r="F574" s="26">
        <f>'Form responses 1'!AX576</f>
        <v>46072</v>
      </c>
      <c r="G574" s="52">
        <f>'Form responses 1'!AY576</f>
        <v>0.5</v>
      </c>
      <c r="H574" s="53" t="str">
        <f>'Form responses 1'!AW576</f>
        <v/>
      </c>
      <c r="I574" s="4" t="str">
        <f>'Form responses 1'!AS576</f>
        <v/>
      </c>
      <c r="J574" s="4" t="str">
        <f>'Form responses 1'!J576</f>
        <v>Tier-1(AOV&gt;400)</v>
      </c>
      <c r="K574" s="4">
        <f>'Form responses 1'!G576</f>
        <v>800</v>
      </c>
      <c r="L574" s="4">
        <f>'Form responses 1'!F576</f>
        <v>34</v>
      </c>
      <c r="M574" s="4" t="str">
        <f>'Form responses 1'!U576</f>
        <v>Santosh (South Head)</v>
      </c>
      <c r="N574" s="4">
        <f>'Form responses 1'!V576</f>
        <v>9840561868</v>
      </c>
      <c r="O574" s="4" t="str">
        <f>'Form responses 1'!W576</f>
        <v>NA</v>
      </c>
      <c r="P574" s="4" t="str">
        <f>'Form responses 1'!X576</f>
        <v>Ranjit (Shift Manager)</v>
      </c>
      <c r="Q574" s="4">
        <f>'Form responses 1'!Y576</f>
        <v>9573345190</v>
      </c>
      <c r="R574" s="4" t="str">
        <f>'Form responses 1'!Z576</f>
        <v>NA</v>
      </c>
      <c r="S574" s="4" t="str">
        <f>'Form responses 1'!AC576</f>
        <v/>
      </c>
      <c r="T574" s="4" t="str">
        <f>'Form responses 1'!AE576</f>
        <v/>
      </c>
      <c r="U574" s="4" t="str">
        <f>'Form responses 1'!AG576</f>
        <v/>
      </c>
      <c r="V574" s="4" t="str">
        <f>'Form responses 1'!AI576</f>
        <v/>
      </c>
      <c r="W574" s="4" t="str">
        <f>'Form responses 1'!AJ576</f>
        <v/>
      </c>
      <c r="X574" s="4" t="str">
        <f>'Form responses 1'!AK576</f>
        <v/>
      </c>
      <c r="Y574" s="4">
        <f t="shared" ref="Y574:AD574" si="573">if(S574&gt;0,1,0)</f>
        <v>0</v>
      </c>
      <c r="Z574" s="4">
        <f t="shared" si="573"/>
        <v>0</v>
      </c>
      <c r="AA574" s="4">
        <f t="shared" si="573"/>
        <v>0</v>
      </c>
      <c r="AB574" s="4">
        <f t="shared" si="573"/>
        <v>0</v>
      </c>
      <c r="AC574" s="4">
        <f t="shared" si="573"/>
        <v>0</v>
      </c>
      <c r="AD574" s="4">
        <f t="shared" si="573"/>
        <v>0</v>
      </c>
      <c r="AE574" s="4" t="str">
        <f>'Form responses 1'!AN576</f>
        <v/>
      </c>
      <c r="AF574" s="4" t="str">
        <f>'Form responses 1'!AO1695</f>
        <v/>
      </c>
      <c r="AG574" s="4" t="str">
        <f>'Form responses 1'!AP1695</f>
        <v/>
      </c>
      <c r="AH574" s="4" t="str">
        <f>'Form responses 1'!AQ1695</f>
        <v/>
      </c>
      <c r="AI574" s="4" t="str">
        <f>'Form responses 1'!AR1695</f>
        <v/>
      </c>
    </row>
    <row r="575">
      <c r="A575" s="26">
        <f>'Form responses 1'!B577</f>
        <v>46071</v>
      </c>
      <c r="B575" s="4" t="str">
        <f>'Form responses 1'!AZ577</f>
        <v>amit.kaler@capsdelivery.com</v>
      </c>
      <c r="C575" s="4" t="str">
        <f>'Form responses 1'!BR577</f>
        <v>Cream Centre</v>
      </c>
      <c r="D575" s="4" t="str">
        <f>'Form responses 1'!AT577</f>
        <v>Walkin required at Begumpet branch as General Manager not available due to his wedding </v>
      </c>
      <c r="E575" s="4" t="str">
        <f>'Form responses 1'!AU577</f>
        <v>Yes</v>
      </c>
      <c r="F575" s="26">
        <f>'Form responses 1'!AX577</f>
        <v>46073</v>
      </c>
      <c r="G575" s="52">
        <f>'Form responses 1'!AY577</f>
        <v>0.5</v>
      </c>
      <c r="H575" s="53" t="str">
        <f>'Form responses 1'!AW577</f>
        <v>Need to follow up at Begumpet branch</v>
      </c>
      <c r="I575" s="4" t="str">
        <f>'Form responses 1'!AS577</f>
        <v/>
      </c>
      <c r="J575" s="4" t="str">
        <f>'Form responses 1'!J577</f>
        <v>Tier-1(AOV&gt;400)</v>
      </c>
      <c r="K575" s="4">
        <f>'Form responses 1'!G577</f>
        <v>800</v>
      </c>
      <c r="L575" s="4">
        <f>'Form responses 1'!F577</f>
        <v>112</v>
      </c>
      <c r="M575" s="4" t="str">
        <f>'Form responses 1'!U577</f>
        <v>Mohd Ali (Shift Manger)</v>
      </c>
      <c r="N575" s="4">
        <f>'Form responses 1'!V577</f>
        <v>9637475780</v>
      </c>
      <c r="O575" s="4" t="str">
        <f>'Form responses 1'!W577</f>
        <v>NA</v>
      </c>
      <c r="P575" s="4" t="str">
        <f>'Form responses 1'!X577</f>
        <v/>
      </c>
      <c r="Q575" s="4" t="str">
        <f>'Form responses 1'!Y577</f>
        <v/>
      </c>
      <c r="R575" s="4" t="str">
        <f>'Form responses 1'!Z577</f>
        <v/>
      </c>
      <c r="S575" s="4" t="str">
        <f>'Form responses 1'!AC577</f>
        <v/>
      </c>
      <c r="T575" s="4" t="str">
        <f>'Form responses 1'!AE577</f>
        <v/>
      </c>
      <c r="U575" s="4" t="str">
        <f>'Form responses 1'!AG577</f>
        <v/>
      </c>
      <c r="V575" s="4" t="str">
        <f>'Form responses 1'!AI577</f>
        <v/>
      </c>
      <c r="W575" s="4" t="str">
        <f>'Form responses 1'!AJ577</f>
        <v/>
      </c>
      <c r="X575" s="4" t="str">
        <f>'Form responses 1'!AK577</f>
        <v/>
      </c>
      <c r="Y575" s="4">
        <f t="shared" ref="Y575:AD575" si="574">if(S575&gt;0,1,0)</f>
        <v>0</v>
      </c>
      <c r="Z575" s="4">
        <f t="shared" si="574"/>
        <v>0</v>
      </c>
      <c r="AA575" s="4">
        <f t="shared" si="574"/>
        <v>0</v>
      </c>
      <c r="AB575" s="4">
        <f t="shared" si="574"/>
        <v>0</v>
      </c>
      <c r="AC575" s="4">
        <f t="shared" si="574"/>
        <v>0</v>
      </c>
      <c r="AD575" s="4">
        <f t="shared" si="574"/>
        <v>0</v>
      </c>
      <c r="AE575" s="4" t="str">
        <f>'Form responses 1'!AN577</f>
        <v/>
      </c>
      <c r="AF575" s="4" t="str">
        <f>'Form responses 1'!AO1696</f>
        <v/>
      </c>
      <c r="AG575" s="4" t="str">
        <f>'Form responses 1'!AP1696</f>
        <v/>
      </c>
      <c r="AH575" s="4" t="str">
        <f>'Form responses 1'!AQ1696</f>
        <v/>
      </c>
      <c r="AI575" s="4" t="str">
        <f>'Form responses 1'!AR1696</f>
        <v/>
      </c>
    </row>
    <row r="576">
      <c r="A576" s="26">
        <f>'Form responses 1'!B578</f>
        <v>46071</v>
      </c>
      <c r="B576" s="4" t="str">
        <f>'Form responses 1'!AZ578</f>
        <v>amit.kaler@capsdelivery.com</v>
      </c>
      <c r="C576" s="4" t="str">
        <f>'Form responses 1'!BR578</f>
        <v>Toscano</v>
      </c>
      <c r="D576" s="4" t="str">
        <f>'Form responses 1'!AT578</f>
        <v>Same</v>
      </c>
      <c r="E576" s="4" t="str">
        <f>'Form responses 1'!AU578</f>
        <v>Yes</v>
      </c>
      <c r="F576" s="26">
        <f>'Form responses 1'!AX578</f>
        <v>46072</v>
      </c>
      <c r="G576" s="52">
        <f>'Form responses 1'!AY578</f>
        <v>0.5</v>
      </c>
      <c r="H576" s="53" t="str">
        <f>'Form responses 1'!AW578</f>
        <v>Need to meet Mr. Bala contact details not shared by Sai Ram</v>
      </c>
      <c r="I576" s="4" t="str">
        <f>'Form responses 1'!AS578</f>
        <v/>
      </c>
      <c r="J576" s="4" t="str">
        <f>'Form responses 1'!J578</f>
        <v/>
      </c>
      <c r="K576" s="4" t="str">
        <f>'Form responses 1'!G578</f>
        <v/>
      </c>
      <c r="L576" s="4" t="str">
        <f>'Form responses 1'!F578</f>
        <v/>
      </c>
      <c r="M576" s="4" t="str">
        <f>'Form responses 1'!U578</f>
        <v>Sai Ram (Shift Manager)</v>
      </c>
      <c r="N576" s="4">
        <f>'Form responses 1'!V578</f>
        <v>8712248966</v>
      </c>
      <c r="O576" s="4" t="str">
        <f>'Form responses 1'!W578</f>
        <v>NA</v>
      </c>
      <c r="P576" s="4" t="str">
        <f>'Form responses 1'!X578</f>
        <v>Mr Bala (Area Manager)</v>
      </c>
      <c r="Q576" s="4" t="str">
        <f>'Form responses 1'!Y578</f>
        <v/>
      </c>
      <c r="R576" s="4" t="str">
        <f>'Form responses 1'!Z578</f>
        <v/>
      </c>
      <c r="S576" s="4" t="str">
        <f>'Form responses 1'!AC578</f>
        <v/>
      </c>
      <c r="T576" s="4" t="str">
        <f>'Form responses 1'!AE578</f>
        <v/>
      </c>
      <c r="U576" s="4" t="str">
        <f>'Form responses 1'!AG578</f>
        <v/>
      </c>
      <c r="V576" s="4" t="str">
        <f>'Form responses 1'!AI578</f>
        <v/>
      </c>
      <c r="W576" s="4" t="str">
        <f>'Form responses 1'!AJ578</f>
        <v/>
      </c>
      <c r="X576" s="4" t="str">
        <f>'Form responses 1'!AK578</f>
        <v/>
      </c>
      <c r="Y576" s="4">
        <f t="shared" ref="Y576:AD576" si="575">if(S576&gt;0,1,0)</f>
        <v>0</v>
      </c>
      <c r="Z576" s="4">
        <f t="shared" si="575"/>
        <v>0</v>
      </c>
      <c r="AA576" s="4">
        <f t="shared" si="575"/>
        <v>0</v>
      </c>
      <c r="AB576" s="4">
        <f t="shared" si="575"/>
        <v>0</v>
      </c>
      <c r="AC576" s="4">
        <f t="shared" si="575"/>
        <v>0</v>
      </c>
      <c r="AD576" s="4">
        <f t="shared" si="575"/>
        <v>0</v>
      </c>
      <c r="AE576" s="4" t="str">
        <f>'Form responses 1'!AN578</f>
        <v/>
      </c>
      <c r="AF576" s="4" t="str">
        <f>'Form responses 1'!AO1697</f>
        <v/>
      </c>
      <c r="AG576" s="4" t="str">
        <f>'Form responses 1'!AP1697</f>
        <v/>
      </c>
      <c r="AH576" s="4" t="str">
        <f>'Form responses 1'!AQ1697</f>
        <v/>
      </c>
      <c r="AI576" s="4" t="str">
        <f>'Form responses 1'!AR1697</f>
        <v/>
      </c>
    </row>
    <row r="577">
      <c r="A577" s="26">
        <f>'Form responses 1'!B579</f>
        <v>46071</v>
      </c>
      <c r="B577" s="4" t="str">
        <f>'Form responses 1'!AZ579</f>
        <v>amit.kaler@capsdelivery.com</v>
      </c>
      <c r="C577" s="4" t="str">
        <f>'Form responses 1'!BR579</f>
        <v>Whisky Samba</v>
      </c>
      <c r="D577" s="4" t="str">
        <f>'Form responses 1'!AT579</f>
        <v>Not in favour of Delivery, customer experience will get hampered. Said will create a smaller menu for delivery option in future. </v>
      </c>
      <c r="E577" s="4" t="str">
        <f>'Form responses 1'!AU579</f>
        <v>No</v>
      </c>
      <c r="F577" s="4" t="str">
        <f>'Form responses 1'!AX579</f>
        <v/>
      </c>
      <c r="G577" s="4" t="str">
        <f>'Form responses 1'!AY579</f>
        <v/>
      </c>
      <c r="H577" s="53" t="str">
        <f>'Form responses 1'!AW579</f>
        <v>Send Proposal</v>
      </c>
      <c r="I577" s="4" t="str">
        <f>'Form responses 1'!AS579</f>
        <v/>
      </c>
      <c r="J577" s="4" t="str">
        <f>'Form responses 1'!J579</f>
        <v>Tier-1(AOV&gt;400)</v>
      </c>
      <c r="K577" s="4">
        <f>'Form responses 1'!G579</f>
        <v>800</v>
      </c>
      <c r="L577" s="4">
        <f>'Form responses 1'!F579</f>
        <v>200</v>
      </c>
      <c r="M577" s="4" t="str">
        <f>'Form responses 1'!U579</f>
        <v>Kapil Bishnoi</v>
      </c>
      <c r="N577" s="4">
        <f>'Form responses 1'!V579</f>
        <v>9053247967</v>
      </c>
      <c r="O577" s="4" t="str">
        <f>'Form responses 1'!W579</f>
        <v>gm@whiskysambahyd.in</v>
      </c>
      <c r="P577" s="4" t="str">
        <f>'Form responses 1'!X579</f>
        <v/>
      </c>
      <c r="Q577" s="4" t="str">
        <f>'Form responses 1'!Y579</f>
        <v/>
      </c>
      <c r="R577" s="4" t="str">
        <f>'Form responses 1'!Z579</f>
        <v/>
      </c>
      <c r="S577" s="4" t="str">
        <f>'Form responses 1'!AC579</f>
        <v/>
      </c>
      <c r="T577" s="4" t="str">
        <f>'Form responses 1'!AE579</f>
        <v/>
      </c>
      <c r="U577" s="4" t="str">
        <f>'Form responses 1'!AG579</f>
        <v/>
      </c>
      <c r="V577" s="4" t="str">
        <f>'Form responses 1'!AI579</f>
        <v/>
      </c>
      <c r="W577" s="4" t="str">
        <f>'Form responses 1'!AJ579</f>
        <v/>
      </c>
      <c r="X577" s="4" t="str">
        <f>'Form responses 1'!AK579</f>
        <v/>
      </c>
      <c r="Y577" s="4">
        <f t="shared" ref="Y577:AD577" si="576">if(S577&gt;0,1,0)</f>
        <v>0</v>
      </c>
      <c r="Z577" s="4">
        <f t="shared" si="576"/>
        <v>0</v>
      </c>
      <c r="AA577" s="4">
        <f t="shared" si="576"/>
        <v>0</v>
      </c>
      <c r="AB577" s="4">
        <f t="shared" si="576"/>
        <v>0</v>
      </c>
      <c r="AC577" s="4">
        <f t="shared" si="576"/>
        <v>0</v>
      </c>
      <c r="AD577" s="4">
        <f t="shared" si="576"/>
        <v>0</v>
      </c>
      <c r="AE577" s="4" t="str">
        <f>'Form responses 1'!AN579</f>
        <v/>
      </c>
      <c r="AF577" s="4" t="str">
        <f>'Form responses 1'!AO1698</f>
        <v/>
      </c>
      <c r="AG577" s="4" t="str">
        <f>'Form responses 1'!AP1698</f>
        <v/>
      </c>
      <c r="AH577" s="4" t="str">
        <f>'Form responses 1'!AQ1698</f>
        <v/>
      </c>
      <c r="AI577" s="4" t="str">
        <f>'Form responses 1'!AR1698</f>
        <v/>
      </c>
    </row>
    <row r="578">
      <c r="A578" s="26">
        <f>'Form responses 1'!B580</f>
        <v>46069</v>
      </c>
      <c r="B578" s="4" t="str">
        <f>'Form responses 1'!AZ580</f>
        <v>parthive.maganti@capsdelivery.com</v>
      </c>
      <c r="C578" s="4" t="str">
        <f>'Form responses 1'!BR580</f>
        <v>Moms recipe </v>
      </c>
      <c r="D578" s="4" t="str">
        <f>'Form responses 1'!AT580</f>
        <v>Na</v>
      </c>
      <c r="E578" s="4" t="str">
        <f>'Form responses 1'!AU580</f>
        <v>No</v>
      </c>
      <c r="F578" s="4" t="str">
        <f>'Form responses 1'!AX580</f>
        <v/>
      </c>
      <c r="G578" s="4" t="str">
        <f>'Form responses 1'!AY580</f>
        <v/>
      </c>
      <c r="H578" s="53" t="str">
        <f>'Form responses 1'!AW580</f>
        <v/>
      </c>
      <c r="I578" s="4" t="str">
        <f>'Form responses 1'!AS580</f>
        <v>Yes</v>
      </c>
      <c r="J578" s="4" t="str">
        <f>'Form responses 1'!J580</f>
        <v>Tier-3 ( AOV&lt;200 )</v>
      </c>
      <c r="K578" s="4">
        <f>'Form responses 1'!G580</f>
        <v>200</v>
      </c>
      <c r="L578" s="4">
        <f>'Form responses 1'!F580</f>
        <v>100</v>
      </c>
      <c r="M578" s="4" t="str">
        <f>'Form responses 1'!U580</f>
        <v>Monica </v>
      </c>
      <c r="N578" s="4">
        <f>'Form responses 1'!V580</f>
        <v>8897928087</v>
      </c>
      <c r="O578" s="4" t="str">
        <f>'Form responses 1'!W580</f>
        <v>Msurana.ktm@gmail.com</v>
      </c>
      <c r="P578" s="4" t="str">
        <f>'Form responses 1'!X580</f>
        <v/>
      </c>
      <c r="Q578" s="4" t="str">
        <f>'Form responses 1'!Y580</f>
        <v/>
      </c>
      <c r="R578" s="4" t="str">
        <f>'Form responses 1'!Z580</f>
        <v/>
      </c>
      <c r="S578" s="54" t="str">
        <f>'Form responses 1'!AC580</f>
        <v>https://drive.google.com/open?id=1CPG3HtOWnpLMHqHuEIjVRE95CmobxkfV</v>
      </c>
      <c r="T578" s="4" t="str">
        <f>'Form responses 1'!AE580</f>
        <v/>
      </c>
      <c r="U578" s="54" t="str">
        <f>'Form responses 1'!AG580</f>
        <v>https://drive.google.com/open?id=1qC8zQOc9yxc7yoFkX8JM-IzFatcOjmzh</v>
      </c>
      <c r="V578" s="4" t="str">
        <f>'Form responses 1'!AI580</f>
        <v/>
      </c>
      <c r="W578" s="4" t="str">
        <f>'Form responses 1'!AJ580</f>
        <v/>
      </c>
      <c r="X578" s="4" t="str">
        <f>'Form responses 1'!AK580</f>
        <v/>
      </c>
      <c r="Y578" s="4">
        <f t="shared" ref="Y578:AD578" si="577">if(S578&gt;0,1,0)</f>
        <v>1</v>
      </c>
      <c r="Z578" s="4">
        <f t="shared" si="577"/>
        <v>0</v>
      </c>
      <c r="AA578" s="4">
        <f t="shared" si="577"/>
        <v>1</v>
      </c>
      <c r="AB578" s="4">
        <f t="shared" si="577"/>
        <v>0</v>
      </c>
      <c r="AC578" s="4">
        <f t="shared" si="577"/>
        <v>0</v>
      </c>
      <c r="AD578" s="4">
        <f t="shared" si="577"/>
        <v>0</v>
      </c>
      <c r="AE578" s="4" t="str">
        <f>'Form responses 1'!AN580</f>
        <v>Monica surana</v>
      </c>
      <c r="AF578" s="4" t="str">
        <f>'Form responses 1'!AO1699</f>
        <v/>
      </c>
      <c r="AG578" s="4" t="str">
        <f>'Form responses 1'!AP1699</f>
        <v/>
      </c>
      <c r="AH578" s="4" t="str">
        <f>'Form responses 1'!AQ1699</f>
        <v/>
      </c>
      <c r="AI578" s="4" t="str">
        <f>'Form responses 1'!AR1699</f>
        <v/>
      </c>
    </row>
    <row r="579">
      <c r="A579" s="26">
        <f>'Form responses 1'!B581</f>
        <v>46069</v>
      </c>
      <c r="B579" s="4" t="str">
        <f>'Form responses 1'!AZ581</f>
        <v>parthive.maganti@capsdelivery.com</v>
      </c>
      <c r="C579" s="4" t="str">
        <f>'Form responses 1'!BR581</f>
        <v>Samastha Tiffins</v>
      </c>
      <c r="D579" s="4" t="str">
        <f>'Form responses 1'!AT581</f>
        <v>Na</v>
      </c>
      <c r="E579" s="4" t="str">
        <f>'Form responses 1'!AU581</f>
        <v>No</v>
      </c>
      <c r="F579" s="4" t="str">
        <f>'Form responses 1'!AX581</f>
        <v/>
      </c>
      <c r="G579" s="4" t="str">
        <f>'Form responses 1'!AY581</f>
        <v/>
      </c>
      <c r="H579" s="53" t="str">
        <f>'Form responses 1'!AW581</f>
        <v/>
      </c>
      <c r="I579" s="4" t="str">
        <f>'Form responses 1'!AS581</f>
        <v>Yes</v>
      </c>
      <c r="J579" s="4" t="str">
        <f>'Form responses 1'!J581</f>
        <v>Tier-3 ( AOV&lt;200 )</v>
      </c>
      <c r="K579" s="4">
        <f>'Form responses 1'!G581</f>
        <v>250</v>
      </c>
      <c r="L579" s="4">
        <f>'Form responses 1'!F581</f>
        <v>100</v>
      </c>
      <c r="M579" s="4" t="str">
        <f>'Form responses 1'!U581</f>
        <v>Harshavardhan </v>
      </c>
      <c r="N579" s="4" t="str">
        <f>'Form responses 1'!V581</f>
        <v>970420 4592</v>
      </c>
      <c r="O579" s="4" t="str">
        <f>'Form responses 1'!W581</f>
        <v>Vardhan 2563@gmail.com</v>
      </c>
      <c r="P579" s="4" t="str">
        <f>'Form responses 1'!X581</f>
        <v/>
      </c>
      <c r="Q579" s="4" t="str">
        <f>'Form responses 1'!Y581</f>
        <v/>
      </c>
      <c r="R579" s="4" t="str">
        <f>'Form responses 1'!Z581</f>
        <v/>
      </c>
      <c r="S579" s="54" t="str">
        <f>'Form responses 1'!AC581</f>
        <v>https://drive.google.com/open?id=1GMZ4NH82b3mgZS90MqbElPLVhwFtsXrH</v>
      </c>
      <c r="T579" s="4" t="str">
        <f>'Form responses 1'!AE581</f>
        <v/>
      </c>
      <c r="U579" s="54" t="str">
        <f>'Form responses 1'!AG581</f>
        <v>https://drive.google.com/open?id=1tRWmDpkyPg_hKBpEZFmJ5ONSHZi68ZRk</v>
      </c>
      <c r="V579" s="4" t="str">
        <f>'Form responses 1'!AI581</f>
        <v/>
      </c>
      <c r="W579" s="4" t="str">
        <f>'Form responses 1'!AJ581</f>
        <v/>
      </c>
      <c r="X579" s="54" t="str">
        <f>'Form responses 1'!AK581</f>
        <v>https://drive.google.com/open?id=1XZ9ZsEViH7b8kP1ukMLroSjXiL-dq7y_</v>
      </c>
      <c r="Y579" s="4">
        <f t="shared" ref="Y579:AD579" si="578">if(S579&gt;0,1,0)</f>
        <v>1</v>
      </c>
      <c r="Z579" s="4">
        <f t="shared" si="578"/>
        <v>0</v>
      </c>
      <c r="AA579" s="4">
        <f t="shared" si="578"/>
        <v>1</v>
      </c>
      <c r="AB579" s="4">
        <f t="shared" si="578"/>
        <v>0</v>
      </c>
      <c r="AC579" s="4">
        <f t="shared" si="578"/>
        <v>0</v>
      </c>
      <c r="AD579" s="4">
        <f t="shared" si="578"/>
        <v>1</v>
      </c>
      <c r="AE579" s="4" t="str">
        <f>'Form responses 1'!AN581</f>
        <v>Golla kumar</v>
      </c>
      <c r="AF579" s="4" t="str">
        <f>'Form responses 1'!AO1700</f>
        <v/>
      </c>
      <c r="AG579" s="4" t="str">
        <f>'Form responses 1'!AP1700</f>
        <v/>
      </c>
      <c r="AH579" s="4" t="str">
        <f>'Form responses 1'!AQ1700</f>
        <v/>
      </c>
      <c r="AI579" s="4" t="str">
        <f>'Form responses 1'!AR1700</f>
        <v/>
      </c>
    </row>
    <row r="580">
      <c r="A580" s="26">
        <f>'Form responses 1'!B582</f>
        <v>46069</v>
      </c>
      <c r="B580" s="4" t="str">
        <f>'Form responses 1'!AZ582</f>
        <v>parthive.maganti@capsdelivery.com</v>
      </c>
      <c r="C580" s="4" t="str">
        <f>'Form responses 1'!BR582</f>
        <v>Yousiffain kalyani biryani </v>
      </c>
      <c r="D580" s="4" t="str">
        <f>'Form responses 1'!AT582</f>
        <v>Na</v>
      </c>
      <c r="E580" s="4" t="str">
        <f>'Form responses 1'!AU582</f>
        <v>No</v>
      </c>
      <c r="F580" s="4" t="str">
        <f>'Form responses 1'!AX582</f>
        <v/>
      </c>
      <c r="G580" s="4" t="str">
        <f>'Form responses 1'!AY582</f>
        <v/>
      </c>
      <c r="H580" s="53" t="str">
        <f>'Form responses 1'!AW582</f>
        <v/>
      </c>
      <c r="I580" s="4" t="str">
        <f>'Form responses 1'!AS582</f>
        <v>Yes</v>
      </c>
      <c r="J580" s="4" t="str">
        <f>'Form responses 1'!J582</f>
        <v>Tier-3 ( AOV&lt;200 )</v>
      </c>
      <c r="K580" s="4">
        <f>'Form responses 1'!G582</f>
        <v>300</v>
      </c>
      <c r="L580" s="4">
        <f>'Form responses 1'!F582</f>
        <v>80</v>
      </c>
      <c r="M580" s="4" t="str">
        <f>'Form responses 1'!U582</f>
        <v>Syed Shahid</v>
      </c>
      <c r="N580" s="4" t="str">
        <f>'Form responses 1'!V582</f>
        <v>836700 7137</v>
      </c>
      <c r="O580" s="4" t="str">
        <f>'Form responses 1'!W582</f>
        <v>Syed Shah 509@gmail.com</v>
      </c>
      <c r="P580" s="4" t="str">
        <f>'Form responses 1'!X582</f>
        <v/>
      </c>
      <c r="Q580" s="4" t="str">
        <f>'Form responses 1'!Y582</f>
        <v/>
      </c>
      <c r="R580" s="4" t="str">
        <f>'Form responses 1'!Z582</f>
        <v/>
      </c>
      <c r="S580" s="54" t="str">
        <f>'Form responses 1'!AC582</f>
        <v>https://drive.google.com/open?id=1gcv9RnzFa4BVuSpZKCyspNeRZ9pq7tQm</v>
      </c>
      <c r="T580" s="4" t="str">
        <f>'Form responses 1'!AE582</f>
        <v/>
      </c>
      <c r="U580" s="54" t="str">
        <f>'Form responses 1'!AG582</f>
        <v>https://drive.google.com/open?id=1oollF86MvkeP8F7pfPJA4uSPIrURUU4y</v>
      </c>
      <c r="V580" s="4" t="str">
        <f>'Form responses 1'!AI582</f>
        <v/>
      </c>
      <c r="W580" s="54" t="str">
        <f>'Form responses 1'!AJ582</f>
        <v>https://drive.google.com/open?id=1co_tLOZJen6Y4IPvYNvxKakldF9XaDv6</v>
      </c>
      <c r="X580" s="54" t="str">
        <f>'Form responses 1'!AK582</f>
        <v>https://drive.google.com/open?id=1iM2kJS9HkQ3zvV9PvTqoRtXsVkbBQHGe</v>
      </c>
      <c r="Y580" s="4">
        <f t="shared" ref="Y580:AD580" si="579">if(S580&gt;0,1,0)</f>
        <v>1</v>
      </c>
      <c r="Z580" s="4">
        <f t="shared" si="579"/>
        <v>0</v>
      </c>
      <c r="AA580" s="4">
        <f t="shared" si="579"/>
        <v>1</v>
      </c>
      <c r="AB580" s="4">
        <f t="shared" si="579"/>
        <v>0</v>
      </c>
      <c r="AC580" s="4">
        <f t="shared" si="579"/>
        <v>1</v>
      </c>
      <c r="AD580" s="4">
        <f t="shared" si="579"/>
        <v>1</v>
      </c>
      <c r="AE580" s="4" t="str">
        <f>'Form responses 1'!AN582</f>
        <v>Syed shahed</v>
      </c>
      <c r="AF580" s="4" t="str">
        <f>'Form responses 1'!AO1701</f>
        <v/>
      </c>
      <c r="AG580" s="4" t="str">
        <f>'Form responses 1'!AP1701</f>
        <v/>
      </c>
      <c r="AH580" s="4" t="str">
        <f>'Form responses 1'!AQ1701</f>
        <v/>
      </c>
      <c r="AI580" s="4" t="str">
        <f>'Form responses 1'!AR1701</f>
        <v/>
      </c>
    </row>
    <row r="581">
      <c r="A581" s="26">
        <f>'Form responses 1'!B583</f>
        <v>46069</v>
      </c>
      <c r="B581" s="4" t="str">
        <f>'Form responses 1'!AZ583</f>
        <v>parthive.maganti@capsdelivery.com</v>
      </c>
      <c r="C581" s="4" t="str">
        <f>'Form responses 1'!BR583</f>
        <v>Iq shawarma</v>
      </c>
      <c r="D581" s="4" t="str">
        <f>'Form responses 1'!AT583</f>
        <v>Na</v>
      </c>
      <c r="E581" s="4" t="str">
        <f>'Form responses 1'!AU583</f>
        <v>No</v>
      </c>
      <c r="F581" s="4" t="str">
        <f>'Form responses 1'!AX583</f>
        <v/>
      </c>
      <c r="G581" s="4" t="str">
        <f>'Form responses 1'!AY583</f>
        <v/>
      </c>
      <c r="H581" s="53" t="str">
        <f>'Form responses 1'!AW583</f>
        <v/>
      </c>
      <c r="I581" s="4" t="str">
        <f>'Form responses 1'!AS583</f>
        <v>Yes</v>
      </c>
      <c r="J581" s="4" t="str">
        <f>'Form responses 1'!J583</f>
        <v>Tier-3 ( AOV&lt;200 )</v>
      </c>
      <c r="K581" s="4">
        <f>'Form responses 1'!G583</f>
        <v>180</v>
      </c>
      <c r="L581" s="4">
        <f>'Form responses 1'!F583</f>
        <v>20</v>
      </c>
      <c r="M581" s="4" t="str">
        <f>'Form responses 1'!U583</f>
        <v>Md ghouse</v>
      </c>
      <c r="N581" s="4">
        <f>'Form responses 1'!V583</f>
        <v>8801925991</v>
      </c>
      <c r="O581" s="4" t="str">
        <f>'Form responses 1'!W583</f>
        <v>South MD 28@gmail.com</v>
      </c>
      <c r="P581" s="4" t="str">
        <f>'Form responses 1'!X583</f>
        <v/>
      </c>
      <c r="Q581" s="4" t="str">
        <f>'Form responses 1'!Y583</f>
        <v/>
      </c>
      <c r="R581" s="4" t="str">
        <f>'Form responses 1'!Z583</f>
        <v/>
      </c>
      <c r="S581" s="54" t="str">
        <f>'Form responses 1'!AC583</f>
        <v>https://drive.google.com/open?id=1YamiPESl9lY_-e9DER0dGwAA3iNj4XIl</v>
      </c>
      <c r="T581" s="4" t="str">
        <f>'Form responses 1'!AE583</f>
        <v/>
      </c>
      <c r="U581" s="54" t="str">
        <f>'Form responses 1'!AG583</f>
        <v>https://drive.google.com/open?id=1LUkvi82AtTdaF_7imhG0sKxXvD8gJwEg</v>
      </c>
      <c r="V581" s="4" t="str">
        <f>'Form responses 1'!AI583</f>
        <v/>
      </c>
      <c r="W581" s="4" t="str">
        <f>'Form responses 1'!AJ583</f>
        <v/>
      </c>
      <c r="X581" s="54" t="str">
        <f>'Form responses 1'!AK583</f>
        <v>https://drive.google.com/open?id=1rd37Nb7X_DnLu5vq5RT9zuDu_yvrcW0G</v>
      </c>
      <c r="Y581" s="4">
        <f t="shared" ref="Y581:AD581" si="580">if(S581&gt;0,1,0)</f>
        <v>1</v>
      </c>
      <c r="Z581" s="4">
        <f t="shared" si="580"/>
        <v>0</v>
      </c>
      <c r="AA581" s="4">
        <f t="shared" si="580"/>
        <v>1</v>
      </c>
      <c r="AB581" s="4">
        <f t="shared" si="580"/>
        <v>0</v>
      </c>
      <c r="AC581" s="4">
        <f t="shared" si="580"/>
        <v>0</v>
      </c>
      <c r="AD581" s="4">
        <f t="shared" si="580"/>
        <v>1</v>
      </c>
      <c r="AE581" s="4" t="str">
        <f>'Form responses 1'!AN583</f>
        <v>Mohammed ghouse</v>
      </c>
      <c r="AF581" s="4" t="str">
        <f>'Form responses 1'!AO1702</f>
        <v/>
      </c>
      <c r="AG581" s="4" t="str">
        <f>'Form responses 1'!AP1702</f>
        <v/>
      </c>
      <c r="AH581" s="4" t="str">
        <f>'Form responses 1'!AQ1702</f>
        <v/>
      </c>
      <c r="AI581" s="4" t="str">
        <f>'Form responses 1'!AR1702</f>
        <v/>
      </c>
    </row>
    <row r="582">
      <c r="A582" s="26">
        <f>'Form responses 1'!B584</f>
        <v>46069</v>
      </c>
      <c r="B582" s="4" t="str">
        <f>'Form responses 1'!AZ584</f>
        <v>parthive.maganti@capsdelivery.com</v>
      </c>
      <c r="C582" s="4" t="str">
        <f>'Form responses 1'!BR584</f>
        <v>Zamana shawarma</v>
      </c>
      <c r="D582" s="4" t="str">
        <f>'Form responses 1'!AT584</f>
        <v>Na</v>
      </c>
      <c r="E582" s="4" t="str">
        <f>'Form responses 1'!AU584</f>
        <v>No</v>
      </c>
      <c r="F582" s="4" t="str">
        <f>'Form responses 1'!AX584</f>
        <v/>
      </c>
      <c r="G582" s="4" t="str">
        <f>'Form responses 1'!AY584</f>
        <v/>
      </c>
      <c r="H582" s="53" t="str">
        <f>'Form responses 1'!AW584</f>
        <v/>
      </c>
      <c r="I582" s="4" t="str">
        <f>'Form responses 1'!AS584</f>
        <v>Yes</v>
      </c>
      <c r="J582" s="4" t="str">
        <f>'Form responses 1'!J584</f>
        <v>Tier-3 ( AOV&lt;200 )</v>
      </c>
      <c r="K582" s="4">
        <f>'Form responses 1'!G584</f>
        <v>200</v>
      </c>
      <c r="L582" s="4">
        <f>'Form responses 1'!F584</f>
        <v>50</v>
      </c>
      <c r="M582" s="4" t="str">
        <f>'Form responses 1'!U584</f>
        <v>Zamin ali </v>
      </c>
      <c r="N582" s="4" t="str">
        <f>'Form responses 1'!V584</f>
        <v>8102 839 784</v>
      </c>
      <c r="O582" s="4" t="str">
        <f>'Form responses 1'!W584</f>
        <v>Alisahil66636@gmail.com</v>
      </c>
      <c r="P582" s="4" t="str">
        <f>'Form responses 1'!X584</f>
        <v/>
      </c>
      <c r="Q582" s="4" t="str">
        <f>'Form responses 1'!Y584</f>
        <v/>
      </c>
      <c r="R582" s="4" t="str">
        <f>'Form responses 1'!Z584</f>
        <v/>
      </c>
      <c r="S582" s="54" t="str">
        <f>'Form responses 1'!AC584</f>
        <v>https://drive.google.com/open?id=17t9rSNa1ACIcY4EyDJMioAGOKy4ezj_V</v>
      </c>
      <c r="T582" s="4" t="str">
        <f>'Form responses 1'!AE584</f>
        <v/>
      </c>
      <c r="U582" s="54" t="str">
        <f>'Form responses 1'!AG584</f>
        <v>https://drive.google.com/open?id=1-4NWD5Y-cmWKKxC99_hPPygKjk_uxo6S</v>
      </c>
      <c r="V582" s="4" t="str">
        <f>'Form responses 1'!AI584</f>
        <v/>
      </c>
      <c r="W582" s="54" t="str">
        <f>'Form responses 1'!AJ584</f>
        <v>https://drive.google.com/open?id=1pK59o1Aziv19WH0wSGHnNWo73zXeKHr_</v>
      </c>
      <c r="X582" s="54" t="str">
        <f>'Form responses 1'!AK584</f>
        <v>https://drive.google.com/open?id=18yRO-B3Lj3Gfw91ri3Ga2IQUP3tgwc8p</v>
      </c>
      <c r="Y582" s="4">
        <f t="shared" ref="Y582:AD582" si="581">if(S582&gt;0,1,0)</f>
        <v>1</v>
      </c>
      <c r="Z582" s="4">
        <f t="shared" si="581"/>
        <v>0</v>
      </c>
      <c r="AA582" s="4">
        <f t="shared" si="581"/>
        <v>1</v>
      </c>
      <c r="AB582" s="4">
        <f t="shared" si="581"/>
        <v>0</v>
      </c>
      <c r="AC582" s="4">
        <f t="shared" si="581"/>
        <v>1</v>
      </c>
      <c r="AD582" s="4">
        <f t="shared" si="581"/>
        <v>1</v>
      </c>
      <c r="AE582" s="4" t="str">
        <f>'Form responses 1'!AN584</f>
        <v>Zamin ali</v>
      </c>
      <c r="AF582" s="4" t="str">
        <f>'Form responses 1'!AO1703</f>
        <v/>
      </c>
      <c r="AG582" s="4" t="str">
        <f>'Form responses 1'!AP1703</f>
        <v/>
      </c>
      <c r="AH582" s="4" t="str">
        <f>'Form responses 1'!AQ1703</f>
        <v/>
      </c>
      <c r="AI582" s="4" t="str">
        <f>'Form responses 1'!AR1703</f>
        <v/>
      </c>
    </row>
    <row r="583">
      <c r="A583" s="26">
        <f>'Form responses 1'!B585</f>
        <v>46069</v>
      </c>
      <c r="B583" s="4" t="str">
        <f>'Form responses 1'!AZ585</f>
        <v>parthive.maganti@capsdelivery.com</v>
      </c>
      <c r="C583" s="4" t="str">
        <f>'Form responses 1'!BR585</f>
        <v>Santhakam ruchulu</v>
      </c>
      <c r="D583" s="4" t="str">
        <f>'Form responses 1'!AT585</f>
        <v>Na</v>
      </c>
      <c r="E583" s="4" t="str">
        <f>'Form responses 1'!AU585</f>
        <v>No</v>
      </c>
      <c r="F583" s="4" t="str">
        <f>'Form responses 1'!AX585</f>
        <v/>
      </c>
      <c r="G583" s="4" t="str">
        <f>'Form responses 1'!AY585</f>
        <v/>
      </c>
      <c r="H583" s="53" t="str">
        <f>'Form responses 1'!AW585</f>
        <v/>
      </c>
      <c r="I583" s="4" t="str">
        <f>'Form responses 1'!AS585</f>
        <v>Yes</v>
      </c>
      <c r="J583" s="4" t="str">
        <f>'Form responses 1'!J585</f>
        <v>Tier-1(AOV&gt;400)</v>
      </c>
      <c r="K583" s="4">
        <f>'Form responses 1'!G585</f>
        <v>2000</v>
      </c>
      <c r="L583" s="4">
        <f>'Form responses 1'!F585</f>
        <v>150</v>
      </c>
      <c r="M583" s="4" t="str">
        <f>'Form responses 1'!U585</f>
        <v>Yeshwanth</v>
      </c>
      <c r="N583" s="4" t="str">
        <f>'Form responses 1'!V585</f>
        <v>951 575 8788</v>
      </c>
      <c r="O583" s="4" t="str">
        <f>'Form responses 1'!W585</f>
        <v>Santhakam ruchulu@gmail.com</v>
      </c>
      <c r="P583" s="4" t="str">
        <f>'Form responses 1'!X585</f>
        <v/>
      </c>
      <c r="Q583" s="4" t="str">
        <f>'Form responses 1'!Y585</f>
        <v/>
      </c>
      <c r="R583" s="4" t="str">
        <f>'Form responses 1'!Z585</f>
        <v/>
      </c>
      <c r="S583" s="54" t="str">
        <f>'Form responses 1'!AC585</f>
        <v>https://drive.google.com/open?id=1t5Stq0SMOsAKB4MzMx0D5ctoM9FxcKaY</v>
      </c>
      <c r="T583" s="54" t="str">
        <f>'Form responses 1'!AE585</f>
        <v>https://drive.google.com/open?id=1GBAFJfylOBRP0t3YAWBWrCnfFE4H5WKK</v>
      </c>
      <c r="U583" s="54" t="str">
        <f>'Form responses 1'!AG585</f>
        <v>https://drive.google.com/open?id=1F5Akbwd88epJsI8yovUNIxNwIgwavCJH</v>
      </c>
      <c r="V583" s="4" t="str">
        <f>'Form responses 1'!AI585</f>
        <v/>
      </c>
      <c r="W583" s="4" t="str">
        <f>'Form responses 1'!AJ585</f>
        <v/>
      </c>
      <c r="X583" s="54" t="str">
        <f>'Form responses 1'!AK585</f>
        <v>https://drive.google.com/open?id=1GeVV81U6D5F9tTaSAVz-8ZxKWT8UmvBG</v>
      </c>
      <c r="Y583" s="4">
        <f t="shared" ref="Y583:AD583" si="582">if(S583&gt;0,1,0)</f>
        <v>1</v>
      </c>
      <c r="Z583" s="4">
        <f t="shared" si="582"/>
        <v>1</v>
      </c>
      <c r="AA583" s="4">
        <f t="shared" si="582"/>
        <v>1</v>
      </c>
      <c r="AB583" s="4">
        <f t="shared" si="582"/>
        <v>0</v>
      </c>
      <c r="AC583" s="4">
        <f t="shared" si="582"/>
        <v>0</v>
      </c>
      <c r="AD583" s="4">
        <f t="shared" si="582"/>
        <v>1</v>
      </c>
      <c r="AE583" s="4" t="str">
        <f>'Form responses 1'!AN585</f>
        <v>Santhakam ruchulu</v>
      </c>
      <c r="AF583" s="4" t="str">
        <f>'Form responses 1'!AO1704</f>
        <v/>
      </c>
      <c r="AG583" s="4" t="str">
        <f>'Form responses 1'!AP1704</f>
        <v/>
      </c>
      <c r="AH583" s="4" t="str">
        <f>'Form responses 1'!AQ1704</f>
        <v/>
      </c>
      <c r="AI583" s="4" t="str">
        <f>'Form responses 1'!AR1704</f>
        <v/>
      </c>
    </row>
    <row r="584">
      <c r="A584" s="26">
        <f>'Form responses 1'!B586</f>
        <v>46070</v>
      </c>
      <c r="B584" s="4" t="str">
        <f>'Form responses 1'!AZ586</f>
        <v>parthive.maganti@capsdelivery.com</v>
      </c>
      <c r="C584" s="4" t="str">
        <f>'Form responses 1'!BR586</f>
        <v>Blend and roast cafe</v>
      </c>
      <c r="D584" s="4" t="str">
        <f>'Form responses 1'!AT586</f>
        <v>Na</v>
      </c>
      <c r="E584" s="4" t="str">
        <f>'Form responses 1'!AU586</f>
        <v>No</v>
      </c>
      <c r="F584" s="4" t="str">
        <f>'Form responses 1'!AX586</f>
        <v/>
      </c>
      <c r="G584" s="4" t="str">
        <f>'Form responses 1'!AY586</f>
        <v/>
      </c>
      <c r="H584" s="53" t="str">
        <f>'Form responses 1'!AW586</f>
        <v/>
      </c>
      <c r="I584" s="4" t="str">
        <f>'Form responses 1'!AS586</f>
        <v>Yes</v>
      </c>
      <c r="J584" s="4" t="str">
        <f>'Form responses 1'!J586</f>
        <v>Tier-2 (AOV &lt;400)</v>
      </c>
      <c r="K584" s="4">
        <f>'Form responses 1'!G586</f>
        <v>300</v>
      </c>
      <c r="L584" s="4">
        <f>'Form responses 1'!F586</f>
        <v>50</v>
      </c>
      <c r="M584" s="4" t="str">
        <f>'Form responses 1'!U586</f>
        <v>Mohammed </v>
      </c>
      <c r="N584" s="4" t="str">
        <f>'Form responses 1'!V586</f>
        <v>9912 340 407</v>
      </c>
      <c r="O584" s="4" t="str">
        <f>'Form responses 1'!W586</f>
        <v>Ghadiyal Mohit 7@gmail.com</v>
      </c>
      <c r="P584" s="4" t="str">
        <f>'Form responses 1'!X586</f>
        <v/>
      </c>
      <c r="Q584" s="4" t="str">
        <f>'Form responses 1'!Y586</f>
        <v/>
      </c>
      <c r="R584" s="4" t="str">
        <f>'Form responses 1'!Z586</f>
        <v/>
      </c>
      <c r="S584" s="54" t="str">
        <f>'Form responses 1'!AC586</f>
        <v>https://drive.google.com/open?id=17Or-bhIxOB_fO2sEGmNwr5IQ6ixU3vvE</v>
      </c>
      <c r="T584" s="4" t="str">
        <f>'Form responses 1'!AE586</f>
        <v/>
      </c>
      <c r="U584" s="54" t="str">
        <f>'Form responses 1'!AG586</f>
        <v>https://drive.google.com/open?id=1uQmldAeGEJwNboL-RxQC_Qg7L0iJnEGh</v>
      </c>
      <c r="V584" s="4" t="str">
        <f>'Form responses 1'!AI586</f>
        <v/>
      </c>
      <c r="W584" s="4" t="str">
        <f>'Form responses 1'!AJ586</f>
        <v/>
      </c>
      <c r="X584" s="4" t="str">
        <f>'Form responses 1'!AK586</f>
        <v/>
      </c>
      <c r="Y584" s="4">
        <f t="shared" ref="Y584:AD584" si="583">if(S584&gt;0,1,0)</f>
        <v>1</v>
      </c>
      <c r="Z584" s="4">
        <f t="shared" si="583"/>
        <v>0</v>
      </c>
      <c r="AA584" s="4">
        <f t="shared" si="583"/>
        <v>1</v>
      </c>
      <c r="AB584" s="4">
        <f t="shared" si="583"/>
        <v>0</v>
      </c>
      <c r="AC584" s="4">
        <f t="shared" si="583"/>
        <v>0</v>
      </c>
      <c r="AD584" s="4">
        <f t="shared" si="583"/>
        <v>0</v>
      </c>
      <c r="AE584" s="4" t="str">
        <f>'Form responses 1'!AN586</f>
        <v>Mohammed zahera begum</v>
      </c>
      <c r="AF584" s="4" t="str">
        <f>'Form responses 1'!AO1705</f>
        <v/>
      </c>
      <c r="AG584" s="4" t="str">
        <f>'Form responses 1'!AP1705</f>
        <v/>
      </c>
      <c r="AH584" s="4" t="str">
        <f>'Form responses 1'!AQ1705</f>
        <v/>
      </c>
      <c r="AI584" s="4" t="str">
        <f>'Form responses 1'!AR1705</f>
        <v/>
      </c>
    </row>
    <row r="585">
      <c r="A585" s="26">
        <f>'Form responses 1'!B587</f>
        <v>46070</v>
      </c>
      <c r="B585" s="4" t="str">
        <f>'Form responses 1'!AZ587</f>
        <v>parthive.maganti@capsdelivery.com</v>
      </c>
      <c r="C585" s="4" t="str">
        <f>'Form responses 1'!BR587</f>
        <v>Mahreens kitchen </v>
      </c>
      <c r="D585" s="4" t="str">
        <f>'Form responses 1'!AT587</f>
        <v>Na</v>
      </c>
      <c r="E585" s="4" t="str">
        <f>'Form responses 1'!AU587</f>
        <v>No</v>
      </c>
      <c r="F585" s="4" t="str">
        <f>'Form responses 1'!AX587</f>
        <v/>
      </c>
      <c r="G585" s="4" t="str">
        <f>'Form responses 1'!AY587</f>
        <v/>
      </c>
      <c r="H585" s="53" t="str">
        <f>'Form responses 1'!AW587</f>
        <v/>
      </c>
      <c r="I585" s="4" t="str">
        <f>'Form responses 1'!AS587</f>
        <v>Yes</v>
      </c>
      <c r="J585" s="4" t="str">
        <f>'Form responses 1'!J587</f>
        <v>Tier-3 ( AOV&lt;200 )</v>
      </c>
      <c r="K585" s="4">
        <f>'Form responses 1'!G587</f>
        <v>180</v>
      </c>
      <c r="L585" s="4" t="str">
        <f>'Form responses 1'!F587</f>
        <v>01</v>
      </c>
      <c r="M585" s="4" t="str">
        <f>'Form responses 1'!U587</f>
        <v>Sk janbee</v>
      </c>
      <c r="N585" s="4">
        <f>'Form responses 1'!V587</f>
        <v>9573462351</v>
      </c>
      <c r="O585" s="4" t="str">
        <f>'Form responses 1'!W587</f>
        <v>Sk.janbee@gmail.com</v>
      </c>
      <c r="P585" s="4" t="str">
        <f>'Form responses 1'!X587</f>
        <v/>
      </c>
      <c r="Q585" s="4" t="str">
        <f>'Form responses 1'!Y587</f>
        <v/>
      </c>
      <c r="R585" s="4" t="str">
        <f>'Form responses 1'!Z587</f>
        <v/>
      </c>
      <c r="S585" s="54" t="str">
        <f>'Form responses 1'!AC587</f>
        <v>https://drive.google.com/open?id=1QnMLths7iNcb1nTv46dC1aw-7bW5GTgf</v>
      </c>
      <c r="T585" s="4" t="str">
        <f>'Form responses 1'!AE587</f>
        <v/>
      </c>
      <c r="U585" s="54" t="str">
        <f>'Form responses 1'!AG587</f>
        <v>https://drive.google.com/open?id=1lpeezznRAOebSXSygIRK15676Fs9DdAI</v>
      </c>
      <c r="V585" s="4" t="str">
        <f>'Form responses 1'!AI587</f>
        <v/>
      </c>
      <c r="W585" s="4" t="str">
        <f>'Form responses 1'!AJ587</f>
        <v/>
      </c>
      <c r="X585" s="4" t="str">
        <f>'Form responses 1'!AK587</f>
        <v/>
      </c>
      <c r="Y585" s="4">
        <f t="shared" ref="Y585:AD585" si="584">if(S585&gt;0,1,0)</f>
        <v>1</v>
      </c>
      <c r="Z585" s="4">
        <f t="shared" si="584"/>
        <v>0</v>
      </c>
      <c r="AA585" s="4">
        <f t="shared" si="584"/>
        <v>1</v>
      </c>
      <c r="AB585" s="4">
        <f t="shared" si="584"/>
        <v>0</v>
      </c>
      <c r="AC585" s="4">
        <f t="shared" si="584"/>
        <v>0</v>
      </c>
      <c r="AD585" s="4">
        <f t="shared" si="584"/>
        <v>0</v>
      </c>
      <c r="AE585" s="4" t="str">
        <f>'Form responses 1'!AN587</f>
        <v>SHAIK JANBEE</v>
      </c>
      <c r="AF585" s="4" t="str">
        <f>'Form responses 1'!AO1706</f>
        <v/>
      </c>
      <c r="AG585" s="4" t="str">
        <f>'Form responses 1'!AP1706</f>
        <v/>
      </c>
      <c r="AH585" s="4" t="str">
        <f>'Form responses 1'!AQ1706</f>
        <v/>
      </c>
      <c r="AI585" s="4" t="str">
        <f>'Form responses 1'!AR1706</f>
        <v/>
      </c>
    </row>
    <row r="586">
      <c r="A586" s="26">
        <f>'Form responses 1'!B588</f>
        <v>46070</v>
      </c>
      <c r="B586" s="4" t="str">
        <f>'Form responses 1'!AZ588</f>
        <v>parthive.maganti@capsdelivery.com</v>
      </c>
      <c r="C586" s="4" t="str">
        <f>'Form responses 1'!BR588</f>
        <v>Chicken shawarma hut</v>
      </c>
      <c r="D586" s="4" t="str">
        <f>'Form responses 1'!AT588</f>
        <v>Na</v>
      </c>
      <c r="E586" s="4" t="str">
        <f>'Form responses 1'!AU588</f>
        <v>No</v>
      </c>
      <c r="F586" s="4" t="str">
        <f>'Form responses 1'!AX588</f>
        <v/>
      </c>
      <c r="G586" s="4" t="str">
        <f>'Form responses 1'!AY588</f>
        <v/>
      </c>
      <c r="H586" s="53" t="str">
        <f>'Form responses 1'!AW588</f>
        <v/>
      </c>
      <c r="I586" s="4" t="str">
        <f>'Form responses 1'!AS588</f>
        <v>Yes</v>
      </c>
      <c r="J586" s="4" t="str">
        <f>'Form responses 1'!J588</f>
        <v>Tier-2 (AOV &lt;400)</v>
      </c>
      <c r="K586" s="4">
        <f>'Form responses 1'!G588</f>
        <v>400</v>
      </c>
      <c r="L586" s="4">
        <f>'Form responses 1'!F588</f>
        <v>1</v>
      </c>
      <c r="M586" s="4" t="str">
        <f>'Form responses 1'!U588</f>
        <v>Md ameenudden </v>
      </c>
      <c r="N586" s="4" t="str">
        <f>'Form responses 1'!V588</f>
        <v>9618 09 6343</v>
      </c>
      <c r="O586" s="4" t="str">
        <f>'Form responses 1'!W588</f>
        <v>Aminuddin srinagar@gmail.com</v>
      </c>
      <c r="P586" s="4" t="str">
        <f>'Form responses 1'!X588</f>
        <v/>
      </c>
      <c r="Q586" s="4" t="str">
        <f>'Form responses 1'!Y588</f>
        <v/>
      </c>
      <c r="R586" s="4" t="str">
        <f>'Form responses 1'!Z588</f>
        <v/>
      </c>
      <c r="S586" s="54" t="str">
        <f>'Form responses 1'!AC588</f>
        <v>https://drive.google.com/open?id=1QpPC9T80dwxRb-wHw66rsvN9lSGhW9w4</v>
      </c>
      <c r="T586" s="4" t="str">
        <f>'Form responses 1'!AE588</f>
        <v/>
      </c>
      <c r="U586" s="54" t="str">
        <f>'Form responses 1'!AG588</f>
        <v>https://drive.google.com/open?id=1AgZE2LCQPK0lup15zm83h4rQPN-YjOos</v>
      </c>
      <c r="V586" s="4" t="str">
        <f>'Form responses 1'!AI588</f>
        <v/>
      </c>
      <c r="W586" s="4" t="str">
        <f>'Form responses 1'!AJ588</f>
        <v/>
      </c>
      <c r="X586" s="54" t="str">
        <f>'Form responses 1'!AK588</f>
        <v>https://drive.google.com/open?id=1ktOhb0u7Zp5tL4_e1kwCHdk8MnTVqz9S</v>
      </c>
      <c r="Y586" s="4">
        <f t="shared" ref="Y586:AD586" si="585">if(S586&gt;0,1,0)</f>
        <v>1</v>
      </c>
      <c r="Z586" s="4">
        <f t="shared" si="585"/>
        <v>0</v>
      </c>
      <c r="AA586" s="4">
        <f t="shared" si="585"/>
        <v>1</v>
      </c>
      <c r="AB586" s="4">
        <f t="shared" si="585"/>
        <v>0</v>
      </c>
      <c r="AC586" s="4">
        <f t="shared" si="585"/>
        <v>0</v>
      </c>
      <c r="AD586" s="4">
        <f t="shared" si="585"/>
        <v>1</v>
      </c>
      <c r="AE586" s="4" t="str">
        <f>'Form responses 1'!AN588</f>
        <v>Alamideem shawarma</v>
      </c>
      <c r="AF586" s="4" t="str">
        <f>'Form responses 1'!AO1707</f>
        <v/>
      </c>
      <c r="AG586" s="4" t="str">
        <f>'Form responses 1'!AP1707</f>
        <v/>
      </c>
      <c r="AH586" s="4" t="str">
        <f>'Form responses 1'!AQ1707</f>
        <v/>
      </c>
      <c r="AI586" s="4" t="str">
        <f>'Form responses 1'!AR1707</f>
        <v/>
      </c>
    </row>
    <row r="587">
      <c r="A587" s="26">
        <f>'Form responses 1'!B589</f>
        <v>46071</v>
      </c>
      <c r="B587" s="4" t="str">
        <f>'Form responses 1'!AZ589</f>
        <v>amit.kaler@capsdelivery.com</v>
      </c>
      <c r="C587" s="4" t="str">
        <f>'Form responses 1'!BR589</f>
        <v>Manam Chocolate</v>
      </c>
      <c r="D587" s="4" t="str">
        <f>'Form responses 1'!AT589</f>
        <v>Call Kalim</v>
      </c>
      <c r="E587" s="4" t="str">
        <f>'Form responses 1'!AU589</f>
        <v>Yes</v>
      </c>
      <c r="F587" s="26">
        <f>'Form responses 1'!AX589</f>
        <v>46072</v>
      </c>
      <c r="G587" s="52">
        <f>'Form responses 1'!AY589</f>
        <v>0.5</v>
      </c>
      <c r="H587" s="53" t="str">
        <f>'Form responses 1'!AW589</f>
        <v>Call Mr. Kalim</v>
      </c>
      <c r="I587" s="4" t="str">
        <f>'Form responses 1'!AS589</f>
        <v/>
      </c>
      <c r="J587" s="4" t="str">
        <f>'Form responses 1'!J589</f>
        <v>Tier-1(AOV&gt;400)</v>
      </c>
      <c r="K587" s="4">
        <f>'Form responses 1'!G589</f>
        <v>400</v>
      </c>
      <c r="L587" s="4">
        <f>'Form responses 1'!F589</f>
        <v>15</v>
      </c>
      <c r="M587" s="4" t="str">
        <f>'Form responses 1'!U589</f>
        <v>Kalim (GM)</v>
      </c>
      <c r="N587" s="4">
        <f>'Form responses 1'!V589</f>
        <v>8978747520</v>
      </c>
      <c r="O587" s="4" t="str">
        <f>'Form responses 1'!W589</f>
        <v>NA</v>
      </c>
      <c r="P587" s="4" t="str">
        <f>'Form responses 1'!X589</f>
        <v/>
      </c>
      <c r="Q587" s="4" t="str">
        <f>'Form responses 1'!Y589</f>
        <v/>
      </c>
      <c r="R587" s="4" t="str">
        <f>'Form responses 1'!Z589</f>
        <v/>
      </c>
      <c r="S587" s="4" t="str">
        <f>'Form responses 1'!AC589</f>
        <v/>
      </c>
      <c r="T587" s="4" t="str">
        <f>'Form responses 1'!AE589</f>
        <v/>
      </c>
      <c r="U587" s="4" t="str">
        <f>'Form responses 1'!AG589</f>
        <v/>
      </c>
      <c r="V587" s="4" t="str">
        <f>'Form responses 1'!AI589</f>
        <v/>
      </c>
      <c r="W587" s="4" t="str">
        <f>'Form responses 1'!AJ589</f>
        <v/>
      </c>
      <c r="X587" s="4" t="str">
        <f>'Form responses 1'!AK589</f>
        <v/>
      </c>
      <c r="Y587" s="4">
        <f t="shared" ref="Y587:AD587" si="586">if(S587&gt;0,1,0)</f>
        <v>0</v>
      </c>
      <c r="Z587" s="4">
        <f t="shared" si="586"/>
        <v>0</v>
      </c>
      <c r="AA587" s="4">
        <f t="shared" si="586"/>
        <v>0</v>
      </c>
      <c r="AB587" s="4">
        <f t="shared" si="586"/>
        <v>0</v>
      </c>
      <c r="AC587" s="4">
        <f t="shared" si="586"/>
        <v>0</v>
      </c>
      <c r="AD587" s="4">
        <f t="shared" si="586"/>
        <v>0</v>
      </c>
      <c r="AE587" s="4" t="str">
        <f>'Form responses 1'!AN589</f>
        <v/>
      </c>
      <c r="AF587" s="4" t="str">
        <f>'Form responses 1'!AO1708</f>
        <v/>
      </c>
      <c r="AG587" s="4" t="str">
        <f>'Form responses 1'!AP1708</f>
        <v/>
      </c>
      <c r="AH587" s="4" t="str">
        <f>'Form responses 1'!AQ1708</f>
        <v/>
      </c>
      <c r="AI587" s="4" t="str">
        <f>'Form responses 1'!AR1708</f>
        <v/>
      </c>
    </row>
    <row r="588">
      <c r="A588" s="26">
        <f>'Form responses 1'!B590</f>
        <v>46071</v>
      </c>
      <c r="B588" s="4" t="str">
        <f>'Form responses 1'!AZ590</f>
        <v>amit.kaler@capsdelivery.com</v>
      </c>
      <c r="C588" s="4" t="str">
        <f>'Form responses 1'!BR590</f>
        <v>Sabko</v>
      </c>
      <c r="D588" s="4" t="str">
        <f>'Form responses 1'!AT590</f>
        <v>Call and visit again</v>
      </c>
      <c r="E588" s="4" t="str">
        <f>'Form responses 1'!AU590</f>
        <v>Yes</v>
      </c>
      <c r="F588" s="26">
        <f>'Form responses 1'!AX590</f>
        <v>46072</v>
      </c>
      <c r="G588" s="52">
        <f>'Form responses 1'!AY590</f>
        <v>0.5</v>
      </c>
      <c r="H588" s="53" t="str">
        <f>'Form responses 1'!AW590</f>
        <v>Call Mr.Akshay</v>
      </c>
      <c r="I588" s="4" t="str">
        <f>'Form responses 1'!AS590</f>
        <v/>
      </c>
      <c r="J588" s="4" t="str">
        <f>'Form responses 1'!J590</f>
        <v/>
      </c>
      <c r="K588" s="4" t="str">
        <f>'Form responses 1'!G590</f>
        <v/>
      </c>
      <c r="L588" s="4" t="str">
        <f>'Form responses 1'!F590</f>
        <v/>
      </c>
      <c r="M588" s="4" t="str">
        <f>'Form responses 1'!U590</f>
        <v>Akshay (F&amp;B Manager)</v>
      </c>
      <c r="N588" s="4">
        <f>'Form responses 1'!V590</f>
        <v>9167240490</v>
      </c>
      <c r="O588" s="4" t="str">
        <f>'Form responses 1'!W590</f>
        <v>NA</v>
      </c>
      <c r="P588" s="4" t="str">
        <f>'Form responses 1'!X590</f>
        <v/>
      </c>
      <c r="Q588" s="4" t="str">
        <f>'Form responses 1'!Y590</f>
        <v/>
      </c>
      <c r="R588" s="4" t="str">
        <f>'Form responses 1'!Z590</f>
        <v/>
      </c>
      <c r="S588" s="4" t="str">
        <f>'Form responses 1'!AC590</f>
        <v/>
      </c>
      <c r="T588" s="4" t="str">
        <f>'Form responses 1'!AE590</f>
        <v/>
      </c>
      <c r="U588" s="4" t="str">
        <f>'Form responses 1'!AG590</f>
        <v/>
      </c>
      <c r="V588" s="4" t="str">
        <f>'Form responses 1'!AI590</f>
        <v/>
      </c>
      <c r="W588" s="4" t="str">
        <f>'Form responses 1'!AJ590</f>
        <v/>
      </c>
      <c r="X588" s="4" t="str">
        <f>'Form responses 1'!AK590</f>
        <v/>
      </c>
      <c r="Y588" s="4">
        <f t="shared" ref="Y588:AD588" si="587">if(S588&gt;0,1,0)</f>
        <v>0</v>
      </c>
      <c r="Z588" s="4">
        <f t="shared" si="587"/>
        <v>0</v>
      </c>
      <c r="AA588" s="4">
        <f t="shared" si="587"/>
        <v>0</v>
      </c>
      <c r="AB588" s="4">
        <f t="shared" si="587"/>
        <v>0</v>
      </c>
      <c r="AC588" s="4">
        <f t="shared" si="587"/>
        <v>0</v>
      </c>
      <c r="AD588" s="4">
        <f t="shared" si="587"/>
        <v>0</v>
      </c>
      <c r="AE588" s="4" t="str">
        <f>'Form responses 1'!AN590</f>
        <v/>
      </c>
      <c r="AF588" s="4" t="str">
        <f>'Form responses 1'!AO1709</f>
        <v/>
      </c>
      <c r="AG588" s="4" t="str">
        <f>'Form responses 1'!AP1709</f>
        <v/>
      </c>
      <c r="AH588" s="4" t="str">
        <f>'Form responses 1'!AQ1709</f>
        <v/>
      </c>
      <c r="AI588" s="4" t="str">
        <f>'Form responses 1'!AR1709</f>
        <v/>
      </c>
    </row>
    <row r="589">
      <c r="A589" s="26">
        <f>'Form responses 1'!B591</f>
        <v>46072</v>
      </c>
      <c r="B589" s="4" t="str">
        <f>'Form responses 1'!AZ591</f>
        <v>parthive.maganti@capsdelivery.com</v>
      </c>
      <c r="C589" s="4" t="str">
        <f>'Form responses 1'!BR591</f>
        <v>Chinese express </v>
      </c>
      <c r="D589" s="4" t="str">
        <f>'Form responses 1'!AT591</f>
        <v>Na</v>
      </c>
      <c r="E589" s="4" t="str">
        <f>'Form responses 1'!AU591</f>
        <v>No</v>
      </c>
      <c r="F589" s="4" t="str">
        <f>'Form responses 1'!AX591</f>
        <v/>
      </c>
      <c r="G589" s="4" t="str">
        <f>'Form responses 1'!AY591</f>
        <v/>
      </c>
      <c r="H589" s="53" t="str">
        <f>'Form responses 1'!AW591</f>
        <v/>
      </c>
      <c r="I589" s="4" t="str">
        <f>'Form responses 1'!AS591</f>
        <v>Yes</v>
      </c>
      <c r="J589" s="4" t="str">
        <f>'Form responses 1'!J591</f>
        <v>Tier-3 ( AOV&lt;200 )</v>
      </c>
      <c r="K589" s="4">
        <f>'Form responses 1'!G591</f>
        <v>180</v>
      </c>
      <c r="L589" s="4">
        <f>'Form responses 1'!F591</f>
        <v>50</v>
      </c>
      <c r="M589" s="4" t="str">
        <f>'Form responses 1'!U591</f>
        <v>Kirti Kumar</v>
      </c>
      <c r="N589" s="4" t="str">
        <f>'Form responses 1'!V591</f>
        <v>9949 838 582</v>
      </c>
      <c r="O589" s="4" t="str">
        <f>'Form responses 1'!W591</f>
        <v>Na</v>
      </c>
      <c r="P589" s="4" t="str">
        <f>'Form responses 1'!X591</f>
        <v/>
      </c>
      <c r="Q589" s="4" t="str">
        <f>'Form responses 1'!Y591</f>
        <v/>
      </c>
      <c r="R589" s="4" t="str">
        <f>'Form responses 1'!Z591</f>
        <v/>
      </c>
      <c r="S589" s="54" t="str">
        <f>'Form responses 1'!AC591</f>
        <v>https://drive.google.com/open?id=1yq3TS2sV89Wt5V8ytwcIHq2eDEvfkyCA</v>
      </c>
      <c r="T589" s="4" t="str">
        <f>'Form responses 1'!AE591</f>
        <v/>
      </c>
      <c r="U589" s="54" t="str">
        <f>'Form responses 1'!AG591</f>
        <v>https://drive.google.com/open?id=17SuBAYQXu3DrAwrWtWchmjuu19fRWOaM</v>
      </c>
      <c r="V589" s="4" t="str">
        <f>'Form responses 1'!AI591</f>
        <v/>
      </c>
      <c r="W589" s="54" t="str">
        <f>'Form responses 1'!AJ591</f>
        <v>https://drive.google.com/open?id=1o3AopNhsVJvFWoH8x_tLVNIZCcVx7cOn</v>
      </c>
      <c r="X589" s="4" t="str">
        <f>'Form responses 1'!AK591</f>
        <v/>
      </c>
      <c r="Y589" s="4">
        <f t="shared" ref="Y589:AD589" si="588">if(S589&gt;0,1,0)</f>
        <v>1</v>
      </c>
      <c r="Z589" s="4">
        <f t="shared" si="588"/>
        <v>0</v>
      </c>
      <c r="AA589" s="4">
        <f t="shared" si="588"/>
        <v>1</v>
      </c>
      <c r="AB589" s="4">
        <f t="shared" si="588"/>
        <v>0</v>
      </c>
      <c r="AC589" s="4">
        <f t="shared" si="588"/>
        <v>1</v>
      </c>
      <c r="AD589" s="4">
        <f t="shared" si="588"/>
        <v>0</v>
      </c>
      <c r="AE589" s="4" t="str">
        <f>'Form responses 1'!AN591</f>
        <v>Laxmi shailaja sutrave</v>
      </c>
      <c r="AF589" s="4" t="str">
        <f>'Form responses 1'!AO1710</f>
        <v/>
      </c>
      <c r="AG589" s="4" t="str">
        <f>'Form responses 1'!AP1710</f>
        <v/>
      </c>
      <c r="AH589" s="4" t="str">
        <f>'Form responses 1'!AQ1710</f>
        <v/>
      </c>
      <c r="AI589" s="4" t="str">
        <f>'Form responses 1'!AR1710</f>
        <v/>
      </c>
    </row>
    <row r="590">
      <c r="A590" s="26">
        <f>'Form responses 1'!B592</f>
        <v>46072</v>
      </c>
      <c r="B590" s="4" t="str">
        <f>'Form responses 1'!AZ592</f>
        <v>parthive.maganti@capsdelivery.com</v>
      </c>
      <c r="C590" s="4" t="str">
        <f>'Form responses 1'!BR592</f>
        <v>Ichirakai Rameen house</v>
      </c>
      <c r="D590" s="4" t="str">
        <f>'Form responses 1'!AT592</f>
        <v>Na</v>
      </c>
      <c r="E590" s="4" t="str">
        <f>'Form responses 1'!AU592</f>
        <v>No</v>
      </c>
      <c r="F590" s="4" t="str">
        <f>'Form responses 1'!AX592</f>
        <v/>
      </c>
      <c r="G590" s="4" t="str">
        <f>'Form responses 1'!AY592</f>
        <v/>
      </c>
      <c r="H590" s="53" t="str">
        <f>'Form responses 1'!AW592</f>
        <v/>
      </c>
      <c r="I590" s="4" t="str">
        <f>'Form responses 1'!AS592</f>
        <v>Yes</v>
      </c>
      <c r="J590" s="4" t="str">
        <f>'Form responses 1'!J592</f>
        <v>Tier-3 ( AOV&lt;200 )</v>
      </c>
      <c r="K590" s="4">
        <f>'Form responses 1'!G592</f>
        <v>180</v>
      </c>
      <c r="L590" s="4">
        <f>'Form responses 1'!F592</f>
        <v>50</v>
      </c>
      <c r="M590" s="4" t="str">
        <f>'Form responses 1'!U592</f>
        <v>Purna chandhar rao 9</v>
      </c>
      <c r="N590" s="4">
        <f>'Form responses 1'!V592</f>
        <v>9390077903</v>
      </c>
      <c r="O590" s="4" t="str">
        <f>'Form responses 1'!W592</f>
        <v>Na</v>
      </c>
      <c r="P590" s="4" t="str">
        <f>'Form responses 1'!X592</f>
        <v/>
      </c>
      <c r="Q590" s="4" t="str">
        <f>'Form responses 1'!Y592</f>
        <v/>
      </c>
      <c r="R590" s="4" t="str">
        <f>'Form responses 1'!Z592</f>
        <v/>
      </c>
      <c r="S590" s="54" t="str">
        <f>'Form responses 1'!AC592</f>
        <v>https://drive.google.com/open?id=1YCWgJXNqdWEF_bLRHD7fB-jAF0Gum0RP</v>
      </c>
      <c r="T590" s="4" t="str">
        <f>'Form responses 1'!AE592</f>
        <v/>
      </c>
      <c r="U590" s="54" t="str">
        <f>'Form responses 1'!AG592</f>
        <v>https://drive.google.com/open?id=1f5N7Aw76L4XL8WeYMZPIIMivduLu_S11</v>
      </c>
      <c r="V590" s="4" t="str">
        <f>'Form responses 1'!AI592</f>
        <v/>
      </c>
      <c r="W590" s="54" t="str">
        <f>'Form responses 1'!AJ592</f>
        <v>https://drive.google.com/open?id=1nEMKQeAuolmOzlaxJpjW6qF6_rmIf6AP</v>
      </c>
      <c r="X590" s="54" t="str">
        <f>'Form responses 1'!AK592</f>
        <v>https://drive.google.com/open?id=1LYTwoCS--h120P_e4AkLSKjaqZ3Lupsi</v>
      </c>
      <c r="Y590" s="4">
        <f t="shared" ref="Y590:AD590" si="589">if(S590&gt;0,1,0)</f>
        <v>1</v>
      </c>
      <c r="Z590" s="4">
        <f t="shared" si="589"/>
        <v>0</v>
      </c>
      <c r="AA590" s="4">
        <f t="shared" si="589"/>
        <v>1</v>
      </c>
      <c r="AB590" s="4">
        <f t="shared" si="589"/>
        <v>0</v>
      </c>
      <c r="AC590" s="4">
        <f t="shared" si="589"/>
        <v>1</v>
      </c>
      <c r="AD590" s="4">
        <f t="shared" si="589"/>
        <v>1</v>
      </c>
      <c r="AE590" s="4" t="str">
        <f>'Form responses 1'!AN592</f>
        <v>Ichirakur rAmin house</v>
      </c>
      <c r="AF590" s="4" t="str">
        <f>'Form responses 1'!AO1711</f>
        <v/>
      </c>
      <c r="AG590" s="4" t="str">
        <f>'Form responses 1'!AP1711</f>
        <v/>
      </c>
      <c r="AH590" s="4" t="str">
        <f>'Form responses 1'!AQ1711</f>
        <v/>
      </c>
      <c r="AI590" s="4" t="str">
        <f>'Form responses 1'!AR1711</f>
        <v/>
      </c>
    </row>
    <row r="591">
      <c r="A591" s="26">
        <f>'Form responses 1'!B593</f>
        <v>46072</v>
      </c>
      <c r="B591" s="4" t="str">
        <f>'Form responses 1'!AZ593</f>
        <v>parthive.maganti@capsdelivery.com</v>
      </c>
      <c r="C591" s="4" t="str">
        <f>'Form responses 1'!BR593</f>
        <v>Rao gari military hotel</v>
      </c>
      <c r="D591" s="4" t="str">
        <f>'Form responses 1'!AT593</f>
        <v>Na</v>
      </c>
      <c r="E591" s="4" t="str">
        <f>'Form responses 1'!AU593</f>
        <v>No</v>
      </c>
      <c r="F591" s="4" t="str">
        <f>'Form responses 1'!AX593</f>
        <v/>
      </c>
      <c r="G591" s="4" t="str">
        <f>'Form responses 1'!AY593</f>
        <v/>
      </c>
      <c r="H591" s="53" t="str">
        <f>'Form responses 1'!AW593</f>
        <v/>
      </c>
      <c r="I591" s="4" t="str">
        <f>'Form responses 1'!AS593</f>
        <v>Yes</v>
      </c>
      <c r="J591" s="4" t="str">
        <f>'Form responses 1'!J593</f>
        <v>Tier-2 (AOV &lt;400)</v>
      </c>
      <c r="K591" s="4">
        <f>'Form responses 1'!G593</f>
        <v>400</v>
      </c>
      <c r="L591" s="4">
        <f>'Form responses 1'!F593</f>
        <v>90</v>
      </c>
      <c r="M591" s="4" t="str">
        <f>'Form responses 1'!U593</f>
        <v>Mahesh D</v>
      </c>
      <c r="N591" s="4" t="str">
        <f>'Form responses 1'!V593</f>
        <v>7406 46642</v>
      </c>
      <c r="O591" s="4" t="str">
        <f>'Form responses 1'!W593</f>
        <v>Maheshdontham@gmail.com</v>
      </c>
      <c r="P591" s="4" t="str">
        <f>'Form responses 1'!X593</f>
        <v/>
      </c>
      <c r="Q591" s="4" t="str">
        <f>'Form responses 1'!Y593</f>
        <v/>
      </c>
      <c r="R591" s="4" t="str">
        <f>'Form responses 1'!Z593</f>
        <v/>
      </c>
      <c r="S591" s="54" t="str">
        <f>'Form responses 1'!AC593</f>
        <v>https://drive.google.com/open?id=1v8GuVB6FT1xhXRdZk20oBYf8sShOinDH</v>
      </c>
      <c r="T591" s="4" t="str">
        <f>'Form responses 1'!AE593</f>
        <v/>
      </c>
      <c r="U591" s="54" t="str">
        <f>'Form responses 1'!AG593</f>
        <v>https://drive.google.com/open?id=1v_GRSU39RFaKGSR0BsUyD8Mw28ER73I5</v>
      </c>
      <c r="V591" s="4" t="str">
        <f>'Form responses 1'!AI593</f>
        <v/>
      </c>
      <c r="W591" s="4" t="str">
        <f>'Form responses 1'!AJ593</f>
        <v/>
      </c>
      <c r="X591" s="4" t="str">
        <f>'Form responses 1'!AK593</f>
        <v/>
      </c>
      <c r="Y591" s="4">
        <f t="shared" ref="Y591:AD591" si="590">if(S591&gt;0,1,0)</f>
        <v>1</v>
      </c>
      <c r="Z591" s="4">
        <f t="shared" si="590"/>
        <v>0</v>
      </c>
      <c r="AA591" s="4">
        <f t="shared" si="590"/>
        <v>1</v>
      </c>
      <c r="AB591" s="4">
        <f t="shared" si="590"/>
        <v>0</v>
      </c>
      <c r="AC591" s="4">
        <f t="shared" si="590"/>
        <v>0</v>
      </c>
      <c r="AD591" s="4">
        <f t="shared" si="590"/>
        <v>0</v>
      </c>
      <c r="AE591" s="4" t="str">
        <f>'Form responses 1'!AN593</f>
        <v>Dontham mahesh</v>
      </c>
      <c r="AF591" s="4" t="str">
        <f>'Form responses 1'!AO1712</f>
        <v/>
      </c>
      <c r="AG591" s="4" t="str">
        <f>'Form responses 1'!AP1712</f>
        <v/>
      </c>
      <c r="AH591" s="4" t="str">
        <f>'Form responses 1'!AQ1712</f>
        <v/>
      </c>
      <c r="AI591" s="4" t="str">
        <f>'Form responses 1'!AR1712</f>
        <v/>
      </c>
    </row>
    <row r="592">
      <c r="A592" s="26">
        <f>'Form responses 1'!B594</f>
        <v>46072</v>
      </c>
      <c r="B592" s="4" t="str">
        <f>'Form responses 1'!AZ594</f>
        <v>parthive.maganti@capsdelivery.com</v>
      </c>
      <c r="C592" s="4" t="str">
        <f>'Form responses 1'!BR594</f>
        <v>Rao gari military hotel</v>
      </c>
      <c r="D592" s="4" t="str">
        <f>'Form responses 1'!AT594</f>
        <v>Na</v>
      </c>
      <c r="E592" s="4" t="str">
        <f>'Form responses 1'!AU594</f>
        <v>No</v>
      </c>
      <c r="F592" s="4" t="str">
        <f>'Form responses 1'!AX594</f>
        <v/>
      </c>
      <c r="G592" s="4" t="str">
        <f>'Form responses 1'!AY594</f>
        <v/>
      </c>
      <c r="H592" s="53" t="str">
        <f>'Form responses 1'!AW594</f>
        <v/>
      </c>
      <c r="I592" s="4" t="str">
        <f>'Form responses 1'!AS594</f>
        <v>Yes</v>
      </c>
      <c r="J592" s="4" t="str">
        <f>'Form responses 1'!J594</f>
        <v>Tier-2 (AOV &lt;400)</v>
      </c>
      <c r="K592" s="4">
        <f>'Form responses 1'!G594</f>
        <v>400</v>
      </c>
      <c r="L592" s="4">
        <f>'Form responses 1'!F594</f>
        <v>100</v>
      </c>
      <c r="M592" s="4" t="str">
        <f>'Form responses 1'!U594</f>
        <v>D mahesh </v>
      </c>
      <c r="N592" s="4">
        <f>'Form responses 1'!V594</f>
        <v>7406466642</v>
      </c>
      <c r="O592" s="4" t="str">
        <f>'Form responses 1'!W594</f>
        <v>maheshdontham@gmail.com</v>
      </c>
      <c r="P592" s="4" t="str">
        <f>'Form responses 1'!X594</f>
        <v/>
      </c>
      <c r="Q592" s="4" t="str">
        <f>'Form responses 1'!Y594</f>
        <v/>
      </c>
      <c r="R592" s="4" t="str">
        <f>'Form responses 1'!Z594</f>
        <v/>
      </c>
      <c r="S592" s="54" t="str">
        <f>'Form responses 1'!AC594</f>
        <v>https://drive.google.com/open?id=1E3GFAcJKhqQYmGTMwQlEvoFQWzviRTW1</v>
      </c>
      <c r="T592" s="4" t="str">
        <f>'Form responses 1'!AE594</f>
        <v/>
      </c>
      <c r="U592" s="54" t="str">
        <f>'Form responses 1'!AG594</f>
        <v>https://drive.google.com/open?id=1rkz2vG3ra98Pa6PjLFJ35frMOZxpm2MN</v>
      </c>
      <c r="V592" s="4" t="str">
        <f>'Form responses 1'!AI594</f>
        <v/>
      </c>
      <c r="W592" s="4" t="str">
        <f>'Form responses 1'!AJ594</f>
        <v/>
      </c>
      <c r="X592" s="4" t="str">
        <f>'Form responses 1'!AK594</f>
        <v/>
      </c>
      <c r="Y592" s="4">
        <f t="shared" ref="Y592:AD592" si="591">if(S592&gt;0,1,0)</f>
        <v>1</v>
      </c>
      <c r="Z592" s="4">
        <f t="shared" si="591"/>
        <v>0</v>
      </c>
      <c r="AA592" s="4">
        <f t="shared" si="591"/>
        <v>1</v>
      </c>
      <c r="AB592" s="4">
        <f t="shared" si="591"/>
        <v>0</v>
      </c>
      <c r="AC592" s="4">
        <f t="shared" si="591"/>
        <v>0</v>
      </c>
      <c r="AD592" s="4">
        <f t="shared" si="591"/>
        <v>0</v>
      </c>
      <c r="AE592" s="4" t="str">
        <f>'Form responses 1'!AN594</f>
        <v>SBI n 000 1441</v>
      </c>
      <c r="AF592" s="4" t="str">
        <f>'Form responses 1'!AO1713</f>
        <v/>
      </c>
      <c r="AG592" s="4" t="str">
        <f>'Form responses 1'!AP1713</f>
        <v/>
      </c>
      <c r="AH592" s="4" t="str">
        <f>'Form responses 1'!AQ1713</f>
        <v/>
      </c>
      <c r="AI592" s="4" t="str">
        <f>'Form responses 1'!AR1713</f>
        <v/>
      </c>
    </row>
    <row r="593">
      <c r="A593" s="26">
        <f>'Form responses 1'!B595</f>
        <v>46072</v>
      </c>
      <c r="B593" s="4" t="str">
        <f>'Form responses 1'!AZ595</f>
        <v>parthive.maganti@capsdelivery.com</v>
      </c>
      <c r="C593" s="4" t="str">
        <f>'Form responses 1'!BR595</f>
        <v>Kamakshi tiffins</v>
      </c>
      <c r="D593" s="4" t="str">
        <f>'Form responses 1'!AT595</f>
        <v>Na</v>
      </c>
      <c r="E593" s="4" t="str">
        <f>'Form responses 1'!AU595</f>
        <v>No</v>
      </c>
      <c r="F593" s="4" t="str">
        <f>'Form responses 1'!AX595</f>
        <v/>
      </c>
      <c r="G593" s="4" t="str">
        <f>'Form responses 1'!AY595</f>
        <v/>
      </c>
      <c r="H593" s="53" t="str">
        <f>'Form responses 1'!AW595</f>
        <v/>
      </c>
      <c r="I593" s="4" t="str">
        <f>'Form responses 1'!AS595</f>
        <v>Yes</v>
      </c>
      <c r="J593" s="4" t="str">
        <f>'Form responses 1'!J595</f>
        <v>Tier-3 ( AOV&lt;200 )</v>
      </c>
      <c r="K593" s="4">
        <f>'Form responses 1'!G595</f>
        <v>180</v>
      </c>
      <c r="L593" s="4">
        <f>'Form responses 1'!F595</f>
        <v>50</v>
      </c>
      <c r="M593" s="4" t="str">
        <f>'Form responses 1'!U595</f>
        <v>P srinivasulu</v>
      </c>
      <c r="N593" s="4" t="str">
        <f>'Form responses 1'!V595</f>
        <v>8096 234 311</v>
      </c>
      <c r="O593" s="4" t="str">
        <f>'Form responses 1'!W595</f>
        <v>Na</v>
      </c>
      <c r="P593" s="4" t="str">
        <f>'Form responses 1'!X595</f>
        <v/>
      </c>
      <c r="Q593" s="4" t="str">
        <f>'Form responses 1'!Y595</f>
        <v/>
      </c>
      <c r="R593" s="4" t="str">
        <f>'Form responses 1'!Z595</f>
        <v/>
      </c>
      <c r="S593" s="54" t="str">
        <f>'Form responses 1'!AC595</f>
        <v>https://drive.google.com/open?id=1cYN7h_LAZ4WEiQB9JGKxfb5s7iNY2O6y</v>
      </c>
      <c r="T593" s="4" t="str">
        <f>'Form responses 1'!AE595</f>
        <v/>
      </c>
      <c r="U593" s="54" t="str">
        <f>'Form responses 1'!AG595</f>
        <v>https://drive.google.com/open?id=1H-Fn8nHUs2HU8MkYd5LHpk0Oi7It1s2a</v>
      </c>
      <c r="V593" s="4" t="str">
        <f>'Form responses 1'!AI595</f>
        <v/>
      </c>
      <c r="W593" s="4" t="str">
        <f>'Form responses 1'!AJ595</f>
        <v/>
      </c>
      <c r="X593" s="4" t="str">
        <f>'Form responses 1'!AK595</f>
        <v/>
      </c>
      <c r="Y593" s="4">
        <f t="shared" ref="Y593:AD593" si="592">if(S593&gt;0,1,0)</f>
        <v>1</v>
      </c>
      <c r="Z593" s="4">
        <f t="shared" si="592"/>
        <v>0</v>
      </c>
      <c r="AA593" s="4">
        <f t="shared" si="592"/>
        <v>1</v>
      </c>
      <c r="AB593" s="4">
        <f t="shared" si="592"/>
        <v>0</v>
      </c>
      <c r="AC593" s="4">
        <f t="shared" si="592"/>
        <v>0</v>
      </c>
      <c r="AD593" s="4">
        <f t="shared" si="592"/>
        <v>0</v>
      </c>
      <c r="AE593" s="4" t="str">
        <f>'Form responses 1'!AN595</f>
        <v>P srinivasulu </v>
      </c>
      <c r="AF593" s="4" t="str">
        <f>'Form responses 1'!AO1714</f>
        <v/>
      </c>
      <c r="AG593" s="4" t="str">
        <f>'Form responses 1'!AP1714</f>
        <v/>
      </c>
      <c r="AH593" s="4" t="str">
        <f>'Form responses 1'!AQ1714</f>
        <v/>
      </c>
      <c r="AI593" s="4" t="str">
        <f>'Form responses 1'!AR1714</f>
        <v/>
      </c>
    </row>
    <row r="594">
      <c r="A594" s="26">
        <f>'Form responses 1'!B596</f>
        <v>46072</v>
      </c>
      <c r="B594" s="4" t="str">
        <f>'Form responses 1'!AZ596</f>
        <v>parthive.maganti@capsdelivery.com</v>
      </c>
      <c r="C594" s="4" t="str">
        <f>'Form responses 1'!BR596</f>
        <v>Kamakshi snakes meals and curries</v>
      </c>
      <c r="D594" s="4" t="str">
        <f>'Form responses 1'!AT596</f>
        <v>Na</v>
      </c>
      <c r="E594" s="4" t="str">
        <f>'Form responses 1'!AU596</f>
        <v>No</v>
      </c>
      <c r="F594" s="4" t="str">
        <f>'Form responses 1'!AX596</f>
        <v/>
      </c>
      <c r="G594" s="4" t="str">
        <f>'Form responses 1'!AY596</f>
        <v/>
      </c>
      <c r="H594" s="53" t="str">
        <f>'Form responses 1'!AW596</f>
        <v/>
      </c>
      <c r="I594" s="4" t="str">
        <f>'Form responses 1'!AS596</f>
        <v>Yes</v>
      </c>
      <c r="J594" s="4" t="str">
        <f>'Form responses 1'!J596</f>
        <v>Tier-3 ( AOV&lt;200 )</v>
      </c>
      <c r="K594" s="4">
        <f>'Form responses 1'!G596</f>
        <v>180</v>
      </c>
      <c r="L594" s="4">
        <f>'Form responses 1'!F596</f>
        <v>50</v>
      </c>
      <c r="M594" s="4" t="str">
        <f>'Form responses 1'!U596</f>
        <v>Srinivaasulu</v>
      </c>
      <c r="N594" s="4" t="str">
        <f>'Form responses 1'!V596</f>
        <v>8096 234 311</v>
      </c>
      <c r="O594" s="4" t="str">
        <f>'Form responses 1'!W596</f>
        <v>Na</v>
      </c>
      <c r="P594" s="4" t="str">
        <f>'Form responses 1'!X596</f>
        <v/>
      </c>
      <c r="Q594" s="4" t="str">
        <f>'Form responses 1'!Y596</f>
        <v/>
      </c>
      <c r="R594" s="4" t="str">
        <f>'Form responses 1'!Z596</f>
        <v/>
      </c>
      <c r="S594" s="54" t="str">
        <f>'Form responses 1'!AC596</f>
        <v>https://drive.google.com/open?id=1qCO3zcHYab6Ni473npDxy_YcSbImrwhZ</v>
      </c>
      <c r="T594" s="4" t="str">
        <f>'Form responses 1'!AE596</f>
        <v/>
      </c>
      <c r="U594" s="54" t="str">
        <f>'Form responses 1'!AG596</f>
        <v>https://drive.google.com/open?id=1tl-OLTTvJ-HV-kEgm3sykXDHnFp46ijg</v>
      </c>
      <c r="V594" s="4" t="str">
        <f>'Form responses 1'!AI596</f>
        <v/>
      </c>
      <c r="W594" s="4" t="str">
        <f>'Form responses 1'!AJ596</f>
        <v/>
      </c>
      <c r="X594" s="4" t="str">
        <f>'Form responses 1'!AK596</f>
        <v/>
      </c>
      <c r="Y594" s="4">
        <f t="shared" ref="Y594:AD594" si="593">if(S594&gt;0,1,0)</f>
        <v>1</v>
      </c>
      <c r="Z594" s="4">
        <f t="shared" si="593"/>
        <v>0</v>
      </c>
      <c r="AA594" s="4">
        <f t="shared" si="593"/>
        <v>1</v>
      </c>
      <c r="AB594" s="4">
        <f t="shared" si="593"/>
        <v>0</v>
      </c>
      <c r="AC594" s="4">
        <f t="shared" si="593"/>
        <v>0</v>
      </c>
      <c r="AD594" s="4">
        <f t="shared" si="593"/>
        <v>0</v>
      </c>
      <c r="AE594" s="4" t="str">
        <f>'Form responses 1'!AN596</f>
        <v>P srinivasulu</v>
      </c>
      <c r="AF594" s="4" t="str">
        <f>'Form responses 1'!AO1715</f>
        <v/>
      </c>
      <c r="AG594" s="4" t="str">
        <f>'Form responses 1'!AP1715</f>
        <v/>
      </c>
      <c r="AH594" s="4" t="str">
        <f>'Form responses 1'!AQ1715</f>
        <v/>
      </c>
      <c r="AI594" s="4" t="str">
        <f>'Form responses 1'!AR1715</f>
        <v/>
      </c>
    </row>
    <row r="595">
      <c r="A595" s="26">
        <f>'Form responses 1'!B597</f>
        <v>46072</v>
      </c>
      <c r="B595" s="4" t="str">
        <f>'Form responses 1'!AZ597</f>
        <v>parthive.maganti@capsdelivery.com</v>
      </c>
      <c r="C595" s="4" t="str">
        <f>'Form responses 1'!BR597</f>
        <v>Royal odisha daba</v>
      </c>
      <c r="D595" s="4" t="str">
        <f>'Form responses 1'!AT597</f>
        <v>Na</v>
      </c>
      <c r="E595" s="4" t="str">
        <f>'Form responses 1'!AU597</f>
        <v>No</v>
      </c>
      <c r="F595" s="4" t="str">
        <f>'Form responses 1'!AX597</f>
        <v/>
      </c>
      <c r="G595" s="4" t="str">
        <f>'Form responses 1'!AY597</f>
        <v/>
      </c>
      <c r="H595" s="53" t="str">
        <f>'Form responses 1'!AW597</f>
        <v/>
      </c>
      <c r="I595" s="4" t="str">
        <f>'Form responses 1'!AS597</f>
        <v>Yes</v>
      </c>
      <c r="J595" s="4" t="str">
        <f>'Form responses 1'!J597</f>
        <v>Tier-3 ( AOV&lt;200 )</v>
      </c>
      <c r="K595" s="4">
        <f>'Form responses 1'!G597</f>
        <v>200</v>
      </c>
      <c r="L595" s="4">
        <f>'Form responses 1'!F597</f>
        <v>50</v>
      </c>
      <c r="M595" s="4" t="str">
        <f>'Form responses 1'!U597</f>
        <v>Sk jaani</v>
      </c>
      <c r="N595" s="4" t="str">
        <f>'Form responses 1'!V597</f>
        <v>8790 689 367</v>
      </c>
      <c r="O595" s="4" t="str">
        <f>'Form responses 1'!W597</f>
        <v>Skjani19892@gmail.com</v>
      </c>
      <c r="P595" s="4" t="str">
        <f>'Form responses 1'!X597</f>
        <v/>
      </c>
      <c r="Q595" s="4" t="str">
        <f>'Form responses 1'!Y597</f>
        <v/>
      </c>
      <c r="R595" s="4" t="str">
        <f>'Form responses 1'!Z597</f>
        <v/>
      </c>
      <c r="S595" s="54" t="str">
        <f>'Form responses 1'!AC597</f>
        <v>https://drive.google.com/open?id=1tiJVZz0afAaAtdukvIjB2p6eA73oWqM7</v>
      </c>
      <c r="T595" s="4" t="str">
        <f>'Form responses 1'!AE597</f>
        <v/>
      </c>
      <c r="U595" s="54" t="str">
        <f>'Form responses 1'!AG597</f>
        <v>https://drive.google.com/open?id=19Q_XKziHGd0OH8LyXLXakehql9R1pi5B</v>
      </c>
      <c r="V595" s="4" t="str">
        <f>'Form responses 1'!AI597</f>
        <v/>
      </c>
      <c r="W595" s="54" t="str">
        <f>'Form responses 1'!AJ597</f>
        <v>https://drive.google.com/open?id=1Bon9T4mlU4z4S-rJrHY4p_4GBEaqvBis</v>
      </c>
      <c r="X595" s="54" t="str">
        <f>'Form responses 1'!AK597</f>
        <v>https://drive.google.com/open?id=14urNv3pIYh9cA2bgR2TgNpjceg_5fQ3z</v>
      </c>
      <c r="Y595" s="4">
        <f t="shared" ref="Y595:AD595" si="594">if(S595&gt;0,1,0)</f>
        <v>1</v>
      </c>
      <c r="Z595" s="4">
        <f t="shared" si="594"/>
        <v>0</v>
      </c>
      <c r="AA595" s="4">
        <f t="shared" si="594"/>
        <v>1</v>
      </c>
      <c r="AB595" s="4">
        <f t="shared" si="594"/>
        <v>0</v>
      </c>
      <c r="AC595" s="4">
        <f t="shared" si="594"/>
        <v>1</v>
      </c>
      <c r="AD595" s="4">
        <f t="shared" si="594"/>
        <v>1</v>
      </c>
      <c r="AE595" s="4" t="str">
        <f>'Form responses 1'!AN597</f>
        <v>Sekh jani bakas</v>
      </c>
      <c r="AF595" s="4" t="str">
        <f>'Form responses 1'!AO1716</f>
        <v/>
      </c>
      <c r="AG595" s="4" t="str">
        <f>'Form responses 1'!AP1716</f>
        <v/>
      </c>
      <c r="AH595" s="4" t="str">
        <f>'Form responses 1'!AQ1716</f>
        <v/>
      </c>
      <c r="AI595" s="4" t="str">
        <f>'Form responses 1'!AR1716</f>
        <v/>
      </c>
    </row>
    <row r="596">
      <c r="A596" s="26">
        <f>'Form responses 1'!B602</f>
        <v>46072</v>
      </c>
      <c r="B596" s="4" t="str">
        <f>'Form responses 1'!AZ602</f>
        <v>greeshma.vanneldas@capsdelivery.com</v>
      </c>
      <c r="C596" s="4" t="str">
        <f>'Form responses 1'!BR602</f>
        <v>Sankala bakerySankala bakery</v>
      </c>
      <c r="D596" s="4" t="str">
        <f>'Form responses 1'!AT602</f>
        <v>Discussion done with one partner,need to disuss with other partner, I will follow up</v>
      </c>
      <c r="E596" s="4" t="str">
        <f>'Form responses 1'!AU602</f>
        <v>Yes</v>
      </c>
      <c r="F596" s="4" t="str">
        <f>'Form responses 1'!AX602</f>
        <v/>
      </c>
      <c r="G596" s="4" t="str">
        <f>'Form responses 1'!AY602</f>
        <v/>
      </c>
      <c r="H596" s="53" t="str">
        <f>'Form responses 1'!AW602</f>
        <v/>
      </c>
      <c r="I596" s="4" t="str">
        <f>'Form responses 1'!AS602</f>
        <v/>
      </c>
      <c r="J596" s="4" t="str">
        <f>'Form responses 1'!J602</f>
        <v/>
      </c>
      <c r="K596" s="4" t="str">
        <f>'Form responses 1'!G602</f>
        <v/>
      </c>
      <c r="L596" s="4" t="str">
        <f>'Form responses 1'!F602</f>
        <v/>
      </c>
      <c r="M596" s="4" t="str">
        <f>'Form responses 1'!U602</f>
        <v>Rohith</v>
      </c>
      <c r="N596" s="4">
        <f>'Form responses 1'!V602</f>
        <v>7981900413</v>
      </c>
      <c r="O596" s="4" t="str">
        <f>'Form responses 1'!W602</f>
        <v>na</v>
      </c>
      <c r="P596" s="4" t="str">
        <f>'Form responses 1'!X602</f>
        <v/>
      </c>
      <c r="Q596" s="4" t="str">
        <f>'Form responses 1'!Y602</f>
        <v/>
      </c>
      <c r="R596" s="4" t="str">
        <f>'Form responses 1'!Z602</f>
        <v/>
      </c>
      <c r="S596" s="4" t="str">
        <f>'Form responses 1'!AC602</f>
        <v/>
      </c>
      <c r="T596" s="4" t="str">
        <f>'Form responses 1'!AE602</f>
        <v/>
      </c>
      <c r="U596" s="4" t="str">
        <f>'Form responses 1'!AG602</f>
        <v/>
      </c>
      <c r="V596" s="4" t="str">
        <f>'Form responses 1'!AI602</f>
        <v/>
      </c>
      <c r="W596" s="4" t="str">
        <f>'Form responses 1'!AJ602</f>
        <v/>
      </c>
      <c r="X596" s="4" t="str">
        <f>'Form responses 1'!AK602</f>
        <v/>
      </c>
      <c r="Y596" s="4">
        <f t="shared" ref="Y596:AD596" si="595">if(S596&gt;0,1,0)</f>
        <v>0</v>
      </c>
      <c r="Z596" s="4">
        <f t="shared" si="595"/>
        <v>0</v>
      </c>
      <c r="AA596" s="4">
        <f t="shared" si="595"/>
        <v>0</v>
      </c>
      <c r="AB596" s="4">
        <f t="shared" si="595"/>
        <v>0</v>
      </c>
      <c r="AC596" s="4">
        <f t="shared" si="595"/>
        <v>0</v>
      </c>
      <c r="AD596" s="4">
        <f t="shared" si="595"/>
        <v>0</v>
      </c>
      <c r="AE596" s="4" t="str">
        <f>'Form responses 1'!AN602</f>
        <v/>
      </c>
      <c r="AF596" s="4" t="str">
        <f>'Form responses 1'!AO1721</f>
        <v/>
      </c>
      <c r="AG596" s="4" t="str">
        <f>'Form responses 1'!AP1721</f>
        <v/>
      </c>
      <c r="AH596" s="4" t="str">
        <f>'Form responses 1'!AQ1721</f>
        <v/>
      </c>
      <c r="AI596" s="4" t="str">
        <f>'Form responses 1'!AR1721</f>
        <v/>
      </c>
    </row>
    <row r="597">
      <c r="A597" s="26">
        <f>'Form responses 1'!B682</f>
        <v>46073</v>
      </c>
      <c r="B597" s="4" t="str">
        <f>'Form responses 1'!AZ682</f>
        <v>greeshma.vanneldas@capsdelivery.com</v>
      </c>
      <c r="C597" s="4" t="str">
        <f>'Form responses 1'!BR682</f>
        <v>Sankar villas tiffins</v>
      </c>
      <c r="D597" s="4" t="str">
        <f>'Form responses 1'!AT682</f>
        <v>Discussion done with manager,need to update to manager and I will follow up them</v>
      </c>
      <c r="E597" s="4" t="str">
        <f>'Form responses 1'!AU682</f>
        <v>Yes</v>
      </c>
      <c r="F597" s="4" t="str">
        <f>'Form responses 1'!AX682</f>
        <v/>
      </c>
      <c r="G597" s="4" t="str">
        <f>'Form responses 1'!AY682</f>
        <v/>
      </c>
      <c r="H597" s="53" t="str">
        <f>'Form responses 1'!AW682</f>
        <v/>
      </c>
      <c r="I597" s="4" t="str">
        <f>'Form responses 1'!AS682</f>
        <v/>
      </c>
      <c r="J597" s="4" t="str">
        <f>'Form responses 1'!J682</f>
        <v/>
      </c>
      <c r="K597" s="4" t="str">
        <f>'Form responses 1'!G682</f>
        <v/>
      </c>
      <c r="L597" s="4" t="str">
        <f>'Form responses 1'!F682</f>
        <v/>
      </c>
      <c r="M597" s="4" t="str">
        <f>'Form responses 1'!U682</f>
        <v>Hitesh</v>
      </c>
      <c r="N597" s="4">
        <f>'Form responses 1'!V682</f>
        <v>8142488588</v>
      </c>
      <c r="O597" s="4" t="str">
        <f>'Form responses 1'!W682</f>
        <v>Na</v>
      </c>
      <c r="P597" s="4" t="str">
        <f>'Form responses 1'!X682</f>
        <v/>
      </c>
      <c r="Q597" s="4" t="str">
        <f>'Form responses 1'!Y682</f>
        <v/>
      </c>
      <c r="R597" s="4" t="str">
        <f>'Form responses 1'!Z682</f>
        <v/>
      </c>
      <c r="S597" s="4" t="str">
        <f>'Form responses 1'!AC682</f>
        <v/>
      </c>
      <c r="T597" s="4" t="str">
        <f>'Form responses 1'!AE682</f>
        <v/>
      </c>
      <c r="U597" s="4" t="str">
        <f>'Form responses 1'!AG682</f>
        <v/>
      </c>
      <c r="V597" s="4" t="str">
        <f>'Form responses 1'!AI682</f>
        <v/>
      </c>
      <c r="W597" s="4" t="str">
        <f>'Form responses 1'!AJ682</f>
        <v/>
      </c>
      <c r="X597" s="4" t="str">
        <f>'Form responses 1'!AK682</f>
        <v/>
      </c>
      <c r="Y597" s="4">
        <f t="shared" ref="Y597:AD597" si="596">if(S597&gt;0,1,0)</f>
        <v>0</v>
      </c>
      <c r="Z597" s="4">
        <f t="shared" si="596"/>
        <v>0</v>
      </c>
      <c r="AA597" s="4">
        <f t="shared" si="596"/>
        <v>0</v>
      </c>
      <c r="AB597" s="4">
        <f t="shared" si="596"/>
        <v>0</v>
      </c>
      <c r="AC597" s="4">
        <f t="shared" si="596"/>
        <v>0</v>
      </c>
      <c r="AD597" s="4">
        <f t="shared" si="596"/>
        <v>0</v>
      </c>
      <c r="AE597" s="4" t="str">
        <f>'Form responses 1'!AN682</f>
        <v/>
      </c>
      <c r="AF597" s="4" t="str">
        <f>'Form responses 1'!AO1801</f>
        <v/>
      </c>
      <c r="AG597" s="4" t="str">
        <f>'Form responses 1'!AP1801</f>
        <v/>
      </c>
      <c r="AH597" s="4" t="str">
        <f>'Form responses 1'!AQ1801</f>
        <v/>
      </c>
      <c r="AI597" s="4" t="str">
        <f>'Form responses 1'!AR1801</f>
        <v/>
      </c>
    </row>
    <row r="598">
      <c r="A598" s="26">
        <f>'Form responses 1'!B747</f>
        <v>46073</v>
      </c>
      <c r="B598" s="4" t="str">
        <f>'Form responses 1'!AZ747</f>
        <v>greeshma.vanneldas@capsdelivery.com</v>
      </c>
      <c r="C598" s="4" t="str">
        <f>'Form responses 1'!BR747</f>
        <v>Sankar villas tiffins</v>
      </c>
      <c r="D598" s="4" t="str">
        <f>'Form responses 1'!AT747</f>
        <v>NEED TO FOLLOW UP</v>
      </c>
      <c r="E598" s="4" t="str">
        <f>'Form responses 1'!AU747</f>
        <v>Yes</v>
      </c>
      <c r="F598" s="4" t="str">
        <f>'Form responses 1'!AX747</f>
        <v/>
      </c>
      <c r="G598" s="4" t="str">
        <f>'Form responses 1'!AY747</f>
        <v/>
      </c>
      <c r="H598" s="53" t="str">
        <f>'Form responses 1'!AW747</f>
        <v/>
      </c>
      <c r="I598" s="4" t="str">
        <f>'Form responses 1'!AS747</f>
        <v/>
      </c>
      <c r="J598" s="4" t="str">
        <f>'Form responses 1'!J747</f>
        <v>Tier-2 (AOV &lt;400)</v>
      </c>
      <c r="K598" s="4">
        <f>'Form responses 1'!G747</f>
        <v>300</v>
      </c>
      <c r="L598" s="4">
        <f>'Form responses 1'!F747</f>
        <v>20</v>
      </c>
      <c r="M598" s="4" t="str">
        <f>'Form responses 1'!U747</f>
        <v>Hitish</v>
      </c>
      <c r="N598" s="4">
        <f>'Form responses 1'!V747</f>
        <v>8142488588</v>
      </c>
      <c r="O598" s="4" t="str">
        <f>'Form responses 1'!W747</f>
        <v>NA</v>
      </c>
      <c r="P598" s="4" t="str">
        <f>'Form responses 1'!X747</f>
        <v/>
      </c>
      <c r="Q598" s="4" t="str">
        <f>'Form responses 1'!Y747</f>
        <v/>
      </c>
      <c r="R598" s="4" t="str">
        <f>'Form responses 1'!Z747</f>
        <v/>
      </c>
      <c r="S598" s="4" t="str">
        <f>'Form responses 1'!AC747</f>
        <v/>
      </c>
      <c r="T598" s="4" t="str">
        <f>'Form responses 1'!AE747</f>
        <v/>
      </c>
      <c r="U598" s="4" t="str">
        <f>'Form responses 1'!AG747</f>
        <v/>
      </c>
      <c r="V598" s="4" t="str">
        <f>'Form responses 1'!AI747</f>
        <v/>
      </c>
      <c r="W598" s="4" t="str">
        <f>'Form responses 1'!AJ747</f>
        <v/>
      </c>
      <c r="X598" s="4" t="str">
        <f>'Form responses 1'!AK747</f>
        <v/>
      </c>
      <c r="Y598" s="4">
        <f t="shared" ref="Y598:AD598" si="597">if(S598&gt;0,1,0)</f>
        <v>0</v>
      </c>
      <c r="Z598" s="4">
        <f t="shared" si="597"/>
        <v>0</v>
      </c>
      <c r="AA598" s="4">
        <f t="shared" si="597"/>
        <v>0</v>
      </c>
      <c r="AB598" s="4">
        <f t="shared" si="597"/>
        <v>0</v>
      </c>
      <c r="AC598" s="4">
        <f t="shared" si="597"/>
        <v>0</v>
      </c>
      <c r="AD598" s="4">
        <f t="shared" si="597"/>
        <v>0</v>
      </c>
      <c r="AE598" s="4" t="str">
        <f>'Form responses 1'!AN747</f>
        <v/>
      </c>
      <c r="AF598" s="4" t="str">
        <f>'Form responses 1'!AO1866</f>
        <v/>
      </c>
      <c r="AG598" s="4" t="str">
        <f>'Form responses 1'!AP1866</f>
        <v/>
      </c>
      <c r="AH598" s="4" t="str">
        <f>'Form responses 1'!AQ1866</f>
        <v/>
      </c>
      <c r="AI598" s="4" t="str">
        <f>'Form responses 1'!AR1866</f>
        <v/>
      </c>
    </row>
    <row r="599">
      <c r="A599" s="26">
        <f>'Form responses 1'!B313</f>
        <v>46066</v>
      </c>
      <c r="B599" s="4" t="str">
        <f>'Form responses 1'!AZ313</f>
        <v>greeshma.vanneldas@capsdelivery.com</v>
      </c>
      <c r="C599" s="4" t="str">
        <f>'Form responses 1'!BR313</f>
        <v>Shanghai chef </v>
      </c>
      <c r="D599" s="4" t="str">
        <f>'Form responses 1'!AT313</f>
        <v/>
      </c>
      <c r="E599" s="4" t="str">
        <f>'Form responses 1'!AU313</f>
        <v>Yes</v>
      </c>
      <c r="F599" s="4" t="str">
        <f>'Form responses 1'!AX313</f>
        <v/>
      </c>
      <c r="G599" s="4" t="str">
        <f>'Form responses 1'!AY313</f>
        <v/>
      </c>
      <c r="H599" s="53" t="str">
        <f>'Form responses 1'!AW313</f>
        <v>Monday will be available </v>
      </c>
      <c r="I599" s="4" t="str">
        <f>'Form responses 1'!AS313</f>
        <v/>
      </c>
      <c r="J599" s="4" t="str">
        <f>'Form responses 1'!J313</f>
        <v/>
      </c>
      <c r="K599" s="4" t="str">
        <f>'Form responses 1'!G313</f>
        <v/>
      </c>
      <c r="L599" s="4" t="str">
        <f>'Form responses 1'!F313</f>
        <v/>
      </c>
      <c r="M599" s="4" t="str">
        <f>'Form responses 1'!U313</f>
        <v>Shekar</v>
      </c>
      <c r="N599" s="4">
        <f>'Form responses 1'!V313</f>
        <v>8074793426</v>
      </c>
      <c r="O599" s="4" t="str">
        <f>'Form responses 1'!W313</f>
        <v>Na</v>
      </c>
      <c r="P599" s="4" t="str">
        <f>'Form responses 1'!X313</f>
        <v/>
      </c>
      <c r="Q599" s="4" t="str">
        <f>'Form responses 1'!Y313</f>
        <v/>
      </c>
      <c r="R599" s="4" t="str">
        <f>'Form responses 1'!Z313</f>
        <v/>
      </c>
      <c r="S599" s="4" t="str">
        <f>'Form responses 1'!AC313</f>
        <v/>
      </c>
      <c r="T599" s="4" t="str">
        <f>'Form responses 1'!AE313</f>
        <v/>
      </c>
      <c r="U599" s="4" t="str">
        <f>'Form responses 1'!AG313</f>
        <v/>
      </c>
      <c r="V599" s="4" t="str">
        <f>'Form responses 1'!AI313</f>
        <v/>
      </c>
      <c r="W599" s="4" t="str">
        <f>'Form responses 1'!AJ313</f>
        <v/>
      </c>
      <c r="X599" s="4" t="str">
        <f>'Form responses 1'!AK313</f>
        <v/>
      </c>
      <c r="Y599" s="4">
        <f t="shared" ref="Y599:AD599" si="598">if(S599&gt;0,1,0)</f>
        <v>0</v>
      </c>
      <c r="Z599" s="4">
        <f t="shared" si="598"/>
        <v>0</v>
      </c>
      <c r="AA599" s="4">
        <f t="shared" si="598"/>
        <v>0</v>
      </c>
      <c r="AB599" s="4">
        <f t="shared" si="598"/>
        <v>0</v>
      </c>
      <c r="AC599" s="4">
        <f t="shared" si="598"/>
        <v>0</v>
      </c>
      <c r="AD599" s="4">
        <f t="shared" si="598"/>
        <v>0</v>
      </c>
      <c r="AE599" s="4" t="str">
        <f>'Form responses 1'!AN313</f>
        <v/>
      </c>
      <c r="AF599" s="4" t="str">
        <f>'Form responses 1'!AO313</f>
        <v/>
      </c>
      <c r="AG599" s="4" t="str">
        <f>'Form responses 1'!AP313</f>
        <v/>
      </c>
      <c r="AH599" s="4" t="str">
        <f>'Form responses 1'!AQ313</f>
        <v/>
      </c>
      <c r="AI599" s="4" t="str">
        <f>'Form responses 1'!AR313</f>
        <v/>
      </c>
    </row>
    <row r="600">
      <c r="A600" s="26">
        <f>'Form responses 1'!B598</f>
        <v>46072</v>
      </c>
      <c r="B600" s="4" t="str">
        <f>'Form responses 1'!AZ598</f>
        <v>greeshma.vanneldas@capsdelivery.com</v>
      </c>
      <c r="C600" s="4" t="str">
        <f>'Form responses 1'!BR598</f>
        <v>Shasha shandaar shawarma</v>
      </c>
      <c r="D600" s="4" t="str">
        <f>'Form responses 1'!AT598</f>
        <v>After 2 weeks follow up</v>
      </c>
      <c r="E600" s="4" t="str">
        <f>'Form responses 1'!AU598</f>
        <v>Yes</v>
      </c>
      <c r="F600" s="4" t="str">
        <f>'Form responses 1'!AX598</f>
        <v/>
      </c>
      <c r="G600" s="4" t="str">
        <f>'Form responses 1'!AY598</f>
        <v/>
      </c>
      <c r="H600" s="53" t="str">
        <f>'Form responses 1'!AW598</f>
        <v/>
      </c>
      <c r="I600" s="4" t="str">
        <f>'Form responses 1'!AS598</f>
        <v/>
      </c>
      <c r="J600" s="4" t="str">
        <f>'Form responses 1'!J598</f>
        <v/>
      </c>
      <c r="K600" s="4" t="str">
        <f>'Form responses 1'!G598</f>
        <v/>
      </c>
      <c r="L600" s="4" t="str">
        <f>'Form responses 1'!F598</f>
        <v/>
      </c>
      <c r="M600" s="4" t="str">
        <f>'Form responses 1'!U598</f>
        <v>na</v>
      </c>
      <c r="N600" s="4">
        <f>'Form responses 1'!V598</f>
        <v>7660889977</v>
      </c>
      <c r="O600" s="4" t="str">
        <f>'Form responses 1'!W598</f>
        <v>na</v>
      </c>
      <c r="P600" s="4" t="str">
        <f>'Form responses 1'!X598</f>
        <v/>
      </c>
      <c r="Q600" s="4" t="str">
        <f>'Form responses 1'!Y598</f>
        <v/>
      </c>
      <c r="R600" s="4" t="str">
        <f>'Form responses 1'!Z598</f>
        <v/>
      </c>
      <c r="S600" s="4" t="str">
        <f>'Form responses 1'!AC598</f>
        <v/>
      </c>
      <c r="T600" s="4" t="str">
        <f>'Form responses 1'!AE598</f>
        <v/>
      </c>
      <c r="U600" s="4" t="str">
        <f>'Form responses 1'!AG598</f>
        <v/>
      </c>
      <c r="V600" s="4" t="str">
        <f>'Form responses 1'!AI598</f>
        <v/>
      </c>
      <c r="W600" s="4" t="str">
        <f>'Form responses 1'!AJ598</f>
        <v/>
      </c>
      <c r="X600" s="4" t="str">
        <f>'Form responses 1'!AK598</f>
        <v/>
      </c>
      <c r="Y600" s="4">
        <f t="shared" ref="Y600:AD600" si="599">if(S600&gt;0,1,0)</f>
        <v>0</v>
      </c>
      <c r="Z600" s="4">
        <f t="shared" si="599"/>
        <v>0</v>
      </c>
      <c r="AA600" s="4">
        <f t="shared" si="599"/>
        <v>0</v>
      </c>
      <c r="AB600" s="4">
        <f t="shared" si="599"/>
        <v>0</v>
      </c>
      <c r="AC600" s="4">
        <f t="shared" si="599"/>
        <v>0</v>
      </c>
      <c r="AD600" s="4">
        <f t="shared" si="599"/>
        <v>0</v>
      </c>
      <c r="AE600" s="4" t="str">
        <f>'Form responses 1'!AN598</f>
        <v/>
      </c>
      <c r="AF600" s="4" t="str">
        <f>'Form responses 1'!AO1717</f>
        <v/>
      </c>
      <c r="AG600" s="4" t="str">
        <f>'Form responses 1'!AP1717</f>
        <v/>
      </c>
      <c r="AH600" s="4" t="str">
        <f>'Form responses 1'!AQ1717</f>
        <v/>
      </c>
      <c r="AI600" s="4" t="str">
        <f>'Form responses 1'!AR1717</f>
        <v/>
      </c>
    </row>
    <row r="601">
      <c r="A601" s="26">
        <f>'Form responses 1'!B474</f>
        <v>46069</v>
      </c>
      <c r="B601" s="4" t="str">
        <f>'Form responses 1'!AZ474</f>
        <v>greeshma.vanneldas@capsdelivery.com</v>
      </c>
      <c r="C601" s="4" t="str">
        <f>'Form responses 1'!BR474</f>
        <v>Shawarma burger</v>
      </c>
      <c r="D601" s="4" t="str">
        <f>'Form responses 1'!AT474</f>
        <v>following up 17/02/2026</v>
      </c>
      <c r="E601" s="4" t="str">
        <f>'Form responses 1'!AU474</f>
        <v>Yes</v>
      </c>
      <c r="F601" s="4" t="str">
        <f>'Form responses 1'!AX474</f>
        <v/>
      </c>
      <c r="G601" s="4" t="str">
        <f>'Form responses 1'!AY474</f>
        <v/>
      </c>
      <c r="H601" s="53" t="str">
        <f>'Form responses 1'!AW474</f>
        <v/>
      </c>
      <c r="I601" s="4" t="str">
        <f>'Form responses 1'!AS474</f>
        <v/>
      </c>
      <c r="J601" s="4" t="str">
        <f>'Form responses 1'!J474</f>
        <v/>
      </c>
      <c r="K601" s="4" t="str">
        <f>'Form responses 1'!G474</f>
        <v/>
      </c>
      <c r="L601" s="4" t="str">
        <f>'Form responses 1'!F474</f>
        <v/>
      </c>
      <c r="M601" s="4" t="str">
        <f>'Form responses 1'!U474</f>
        <v>Noufa</v>
      </c>
      <c r="N601" s="4">
        <f>'Form responses 1'!V474</f>
        <v>9154993447</v>
      </c>
      <c r="O601" s="4" t="str">
        <f>'Form responses 1'!W474</f>
        <v>na</v>
      </c>
      <c r="P601" s="4" t="str">
        <f>'Form responses 1'!X474</f>
        <v/>
      </c>
      <c r="Q601" s="4" t="str">
        <f>'Form responses 1'!Y474</f>
        <v/>
      </c>
      <c r="R601" s="4" t="str">
        <f>'Form responses 1'!Z474</f>
        <v/>
      </c>
      <c r="S601" s="4" t="str">
        <f>'Form responses 1'!AC474</f>
        <v/>
      </c>
      <c r="T601" s="4" t="str">
        <f>'Form responses 1'!AE474</f>
        <v/>
      </c>
      <c r="U601" s="4" t="str">
        <f>'Form responses 1'!AG474</f>
        <v/>
      </c>
      <c r="V601" s="4" t="str">
        <f>'Form responses 1'!AI474</f>
        <v/>
      </c>
      <c r="W601" s="4" t="str">
        <f>'Form responses 1'!AJ474</f>
        <v/>
      </c>
      <c r="X601" s="4" t="str">
        <f>'Form responses 1'!AK474</f>
        <v/>
      </c>
      <c r="Y601" s="4">
        <f t="shared" ref="Y601:AD601" si="600">if(S601&gt;0,1,0)</f>
        <v>0</v>
      </c>
      <c r="Z601" s="4">
        <f t="shared" si="600"/>
        <v>0</v>
      </c>
      <c r="AA601" s="4">
        <f t="shared" si="600"/>
        <v>0</v>
      </c>
      <c r="AB601" s="4">
        <f t="shared" si="600"/>
        <v>0</v>
      </c>
      <c r="AC601" s="4">
        <f t="shared" si="600"/>
        <v>0</v>
      </c>
      <c r="AD601" s="4">
        <f t="shared" si="600"/>
        <v>0</v>
      </c>
      <c r="AE601" s="4" t="str">
        <f>'Form responses 1'!AN474</f>
        <v/>
      </c>
      <c r="AF601" s="4" t="str">
        <f>'Form responses 1'!AO474</f>
        <v/>
      </c>
      <c r="AG601" s="4" t="str">
        <f>'Form responses 1'!AP474</f>
        <v/>
      </c>
      <c r="AH601" s="4" t="str">
        <f>'Form responses 1'!AQ474</f>
        <v/>
      </c>
      <c r="AI601" s="4" t="str">
        <f>'Form responses 1'!AR474</f>
        <v/>
      </c>
    </row>
    <row r="602">
      <c r="A602" s="26">
        <f>'Form responses 1'!B604</f>
        <v>46072</v>
      </c>
      <c r="B602" s="4" t="str">
        <f>'Form responses 1'!AZ604</f>
        <v>greeshma.vanneldas@capsdelivery.com</v>
      </c>
      <c r="C602" s="4" t="str">
        <f>'Form responses 1'!BR604</f>
        <v>Spicy food courtSpicy food court</v>
      </c>
      <c r="D602" s="4" t="str">
        <f>'Form responses 1'!AT604</f>
        <v>ONBOARDED</v>
      </c>
      <c r="E602" s="4" t="str">
        <f>'Form responses 1'!AU604</f>
        <v>No</v>
      </c>
      <c r="F602" s="4" t="str">
        <f>'Form responses 1'!AX604</f>
        <v/>
      </c>
      <c r="G602" s="4" t="str">
        <f>'Form responses 1'!AY604</f>
        <v/>
      </c>
      <c r="H602" s="53" t="str">
        <f>'Form responses 1'!AW604</f>
        <v/>
      </c>
      <c r="I602" s="4" t="str">
        <f>'Form responses 1'!AS604</f>
        <v/>
      </c>
      <c r="J602" s="4" t="str">
        <f>'Form responses 1'!J604</f>
        <v/>
      </c>
      <c r="K602" s="4" t="str">
        <f>'Form responses 1'!G604</f>
        <v/>
      </c>
      <c r="L602" s="4" t="str">
        <f>'Form responses 1'!F604</f>
        <v/>
      </c>
      <c r="M602" s="4" t="str">
        <f>'Form responses 1'!U604</f>
        <v>Syed hissam uddin </v>
      </c>
      <c r="N602" s="4">
        <f>'Form responses 1'!V604</f>
        <v>8341901102</v>
      </c>
      <c r="O602" s="4" t="str">
        <f>'Form responses 1'!W604</f>
        <v>na</v>
      </c>
      <c r="P602" s="4" t="str">
        <f>'Form responses 1'!X604</f>
        <v/>
      </c>
      <c r="Q602" s="4" t="str">
        <f>'Form responses 1'!Y604</f>
        <v/>
      </c>
      <c r="R602" s="4" t="str">
        <f>'Form responses 1'!Z604</f>
        <v/>
      </c>
      <c r="S602" s="4" t="str">
        <f>'Form responses 1'!AC604</f>
        <v/>
      </c>
      <c r="T602" s="4" t="str">
        <f>'Form responses 1'!AE604</f>
        <v/>
      </c>
      <c r="U602" s="4" t="str">
        <f>'Form responses 1'!AG604</f>
        <v/>
      </c>
      <c r="V602" s="4" t="str">
        <f>'Form responses 1'!AI604</f>
        <v/>
      </c>
      <c r="W602" s="4" t="str">
        <f>'Form responses 1'!AJ604</f>
        <v/>
      </c>
      <c r="X602" s="4" t="str">
        <f>'Form responses 1'!AK604</f>
        <v/>
      </c>
      <c r="Y602" s="4">
        <f t="shared" ref="Y602:AD602" si="601">if(S602&gt;0,1,0)</f>
        <v>0</v>
      </c>
      <c r="Z602" s="4">
        <f t="shared" si="601"/>
        <v>0</v>
      </c>
      <c r="AA602" s="4">
        <f t="shared" si="601"/>
        <v>0</v>
      </c>
      <c r="AB602" s="4">
        <f t="shared" si="601"/>
        <v>0</v>
      </c>
      <c r="AC602" s="4">
        <f t="shared" si="601"/>
        <v>0</v>
      </c>
      <c r="AD602" s="4">
        <f t="shared" si="601"/>
        <v>0</v>
      </c>
      <c r="AE602" s="4" t="str">
        <f>'Form responses 1'!AN604</f>
        <v/>
      </c>
      <c r="AF602" s="4" t="str">
        <f>'Form responses 1'!AO1723</f>
        <v/>
      </c>
      <c r="AG602" s="4" t="str">
        <f>'Form responses 1'!AP1723</f>
        <v/>
      </c>
      <c r="AH602" s="4" t="str">
        <f>'Form responses 1'!AQ1723</f>
        <v/>
      </c>
      <c r="AI602" s="4" t="str">
        <f>'Form responses 1'!AR1723</f>
        <v/>
      </c>
    </row>
    <row r="603">
      <c r="A603" s="26">
        <f>'Form responses 1'!B740</f>
        <v>46073</v>
      </c>
      <c r="B603" s="4" t="str">
        <f>'Form responses 1'!AZ740</f>
        <v>greeshma.vanneldas@capsdelivery.com</v>
      </c>
      <c r="C603" s="4" t="str">
        <f>'Form responses 1'!BR740</f>
        <v>Sirisha fast food</v>
      </c>
      <c r="D603" s="4" t="str">
        <f>'Form responses 1'!AT740</f>
        <v>Owner was not avilable,need to follow up</v>
      </c>
      <c r="E603" s="4" t="str">
        <f>'Form responses 1'!AU740</f>
        <v>Yes</v>
      </c>
      <c r="F603" s="4" t="str">
        <f>'Form responses 1'!AX740</f>
        <v/>
      </c>
      <c r="G603" s="4" t="str">
        <f>'Form responses 1'!AY740</f>
        <v/>
      </c>
      <c r="H603" s="53" t="str">
        <f>'Form responses 1'!AW740</f>
        <v/>
      </c>
      <c r="I603" s="4" t="str">
        <f>'Form responses 1'!AS740</f>
        <v/>
      </c>
      <c r="J603" s="4" t="str">
        <f>'Form responses 1'!J740</f>
        <v/>
      </c>
      <c r="K603" s="4" t="str">
        <f>'Form responses 1'!G740</f>
        <v/>
      </c>
      <c r="L603" s="4" t="str">
        <f>'Form responses 1'!F740</f>
        <v/>
      </c>
      <c r="M603" s="4" t="str">
        <f>'Form responses 1'!U740</f>
        <v>Srinu</v>
      </c>
      <c r="N603" s="4">
        <f>'Form responses 1'!V740</f>
        <v>9948562177</v>
      </c>
      <c r="O603" s="4" t="str">
        <f>'Form responses 1'!W740</f>
        <v>na</v>
      </c>
      <c r="P603" s="4" t="str">
        <f>'Form responses 1'!X740</f>
        <v/>
      </c>
      <c r="Q603" s="4" t="str">
        <f>'Form responses 1'!Y740</f>
        <v/>
      </c>
      <c r="R603" s="4" t="str">
        <f>'Form responses 1'!Z740</f>
        <v/>
      </c>
      <c r="S603" s="4" t="str">
        <f>'Form responses 1'!AC740</f>
        <v/>
      </c>
      <c r="T603" s="4" t="str">
        <f>'Form responses 1'!AE740</f>
        <v/>
      </c>
      <c r="U603" s="4" t="str">
        <f>'Form responses 1'!AG740</f>
        <v/>
      </c>
      <c r="V603" s="4" t="str">
        <f>'Form responses 1'!AI740</f>
        <v/>
      </c>
      <c r="W603" s="4" t="str">
        <f>'Form responses 1'!AJ740</f>
        <v/>
      </c>
      <c r="X603" s="4" t="str">
        <f>'Form responses 1'!AK740</f>
        <v/>
      </c>
      <c r="Y603" s="4">
        <f t="shared" ref="Y603:AD603" si="602">if(S603&gt;0,1,0)</f>
        <v>0</v>
      </c>
      <c r="Z603" s="4">
        <f t="shared" si="602"/>
        <v>0</v>
      </c>
      <c r="AA603" s="4">
        <f t="shared" si="602"/>
        <v>0</v>
      </c>
      <c r="AB603" s="4">
        <f t="shared" si="602"/>
        <v>0</v>
      </c>
      <c r="AC603" s="4">
        <f t="shared" si="602"/>
        <v>0</v>
      </c>
      <c r="AD603" s="4">
        <f t="shared" si="602"/>
        <v>0</v>
      </c>
      <c r="AE603" s="4" t="str">
        <f>'Form responses 1'!AN740</f>
        <v/>
      </c>
      <c r="AF603" s="4" t="str">
        <f>'Form responses 1'!AO1859</f>
        <v/>
      </c>
      <c r="AG603" s="4" t="str">
        <f>'Form responses 1'!AP1859</f>
        <v/>
      </c>
      <c r="AH603" s="4" t="str">
        <f>'Form responses 1'!AQ1859</f>
        <v/>
      </c>
      <c r="AI603" s="4" t="str">
        <f>'Form responses 1'!AR1859</f>
        <v/>
      </c>
    </row>
    <row r="604">
      <c r="A604" s="26">
        <f>'Form responses 1'!B681</f>
        <v>46073</v>
      </c>
      <c r="B604" s="4" t="str">
        <f>'Form responses 1'!AZ681</f>
        <v>greeshma.vanneldas@capsdelivery.com</v>
      </c>
      <c r="C604" s="4" t="str">
        <f>'Form responses 1'!BR681</f>
        <v>Sirisha fast food </v>
      </c>
      <c r="D604" s="4" t="str">
        <f>'Form responses 1'!AT681</f>
        <v>I need to follow up meeting schedule </v>
      </c>
      <c r="E604" s="4" t="str">
        <f>'Form responses 1'!AU681</f>
        <v>Yes</v>
      </c>
      <c r="F604" s="4" t="str">
        <f>'Form responses 1'!AX681</f>
        <v/>
      </c>
      <c r="G604" s="4" t="str">
        <f>'Form responses 1'!AY681</f>
        <v/>
      </c>
      <c r="H604" s="53" t="str">
        <f>'Form responses 1'!AW681</f>
        <v/>
      </c>
      <c r="I604" s="4" t="str">
        <f>'Form responses 1'!AS681</f>
        <v/>
      </c>
      <c r="J604" s="4" t="str">
        <f>'Form responses 1'!J681</f>
        <v/>
      </c>
      <c r="K604" s="4" t="str">
        <f>'Form responses 1'!G681</f>
        <v/>
      </c>
      <c r="L604" s="4" t="str">
        <f>'Form responses 1'!F681</f>
        <v/>
      </c>
      <c r="M604" s="4" t="str">
        <f>'Form responses 1'!U681</f>
        <v>Srinu</v>
      </c>
      <c r="N604" s="4">
        <f>'Form responses 1'!V681</f>
        <v>9948562177</v>
      </c>
      <c r="O604" s="4" t="str">
        <f>'Form responses 1'!W681</f>
        <v>Na</v>
      </c>
      <c r="P604" s="4" t="str">
        <f>'Form responses 1'!X681</f>
        <v/>
      </c>
      <c r="Q604" s="4" t="str">
        <f>'Form responses 1'!Y681</f>
        <v/>
      </c>
      <c r="R604" s="4" t="str">
        <f>'Form responses 1'!Z681</f>
        <v/>
      </c>
      <c r="S604" s="4" t="str">
        <f>'Form responses 1'!AC681</f>
        <v/>
      </c>
      <c r="T604" s="4" t="str">
        <f>'Form responses 1'!AE681</f>
        <v/>
      </c>
      <c r="U604" s="4" t="str">
        <f>'Form responses 1'!AG681</f>
        <v/>
      </c>
      <c r="V604" s="4" t="str">
        <f>'Form responses 1'!AI681</f>
        <v/>
      </c>
      <c r="W604" s="4" t="str">
        <f>'Form responses 1'!AJ681</f>
        <v/>
      </c>
      <c r="X604" s="4" t="str">
        <f>'Form responses 1'!AK681</f>
        <v/>
      </c>
      <c r="Y604" s="4">
        <f t="shared" ref="Y604:AD604" si="603">if(S604&gt;0,1,0)</f>
        <v>0</v>
      </c>
      <c r="Z604" s="4">
        <f t="shared" si="603"/>
        <v>0</v>
      </c>
      <c r="AA604" s="4">
        <f t="shared" si="603"/>
        <v>0</v>
      </c>
      <c r="AB604" s="4">
        <f t="shared" si="603"/>
        <v>0</v>
      </c>
      <c r="AC604" s="4">
        <f t="shared" si="603"/>
        <v>0</v>
      </c>
      <c r="AD604" s="4">
        <f t="shared" si="603"/>
        <v>0</v>
      </c>
      <c r="AE604" s="4" t="str">
        <f>'Form responses 1'!AN681</f>
        <v/>
      </c>
      <c r="AF604" s="4" t="str">
        <f>'Form responses 1'!AO1800</f>
        <v/>
      </c>
      <c r="AG604" s="4" t="str">
        <f>'Form responses 1'!AP1800</f>
        <v/>
      </c>
      <c r="AH604" s="4" t="str">
        <f>'Form responses 1'!AQ1800</f>
        <v/>
      </c>
      <c r="AI604" s="4" t="str">
        <f>'Form responses 1'!AR1800</f>
        <v/>
      </c>
    </row>
    <row r="605">
      <c r="A605" s="26">
        <f>'Form responses 1'!B265</f>
        <v>46065</v>
      </c>
      <c r="B605" s="4" t="str">
        <f>'Form responses 1'!AZ265</f>
        <v>greeshma.vanneldas@capsdelivery.com</v>
      </c>
      <c r="C605" s="4" t="str">
        <f>'Form responses 1'!BR265</f>
        <v>Smoky docky</v>
      </c>
      <c r="D605" s="4" t="str">
        <f>'Form responses 1'!AT265</f>
        <v/>
      </c>
      <c r="E605" s="4" t="str">
        <f>'Form responses 1'!AU265</f>
        <v>Yes</v>
      </c>
      <c r="F605" s="4" t="str">
        <f>'Form responses 1'!AX265</f>
        <v/>
      </c>
      <c r="G605" s="4" t="str">
        <f>'Form responses 1'!AY265</f>
        <v/>
      </c>
      <c r="H605" s="53" t="str">
        <f>'Form responses 1'!AW265</f>
        <v>Manager is not available</v>
      </c>
      <c r="I605" s="4" t="str">
        <f>'Form responses 1'!AS265</f>
        <v/>
      </c>
      <c r="J605" s="4" t="str">
        <f>'Form responses 1'!J265</f>
        <v/>
      </c>
      <c r="K605" s="4" t="str">
        <f>'Form responses 1'!G265</f>
        <v/>
      </c>
      <c r="L605" s="4" t="str">
        <f>'Form responses 1'!F265</f>
        <v/>
      </c>
      <c r="M605" s="4" t="str">
        <f>'Form responses 1'!U265</f>
        <v>Sai kiran</v>
      </c>
      <c r="N605" s="4">
        <f>'Form responses 1'!V265</f>
        <v>7842474608</v>
      </c>
      <c r="O605" s="4" t="str">
        <f>'Form responses 1'!W265</f>
        <v>na</v>
      </c>
      <c r="P605" s="4" t="str">
        <f>'Form responses 1'!X265</f>
        <v/>
      </c>
      <c r="Q605" s="4" t="str">
        <f>'Form responses 1'!Y265</f>
        <v/>
      </c>
      <c r="R605" s="4" t="str">
        <f>'Form responses 1'!Z265</f>
        <v/>
      </c>
      <c r="S605" s="4" t="str">
        <f>'Form responses 1'!AC265</f>
        <v/>
      </c>
      <c r="T605" s="4" t="str">
        <f>'Form responses 1'!AE265</f>
        <v/>
      </c>
      <c r="U605" s="4" t="str">
        <f>'Form responses 1'!AG265</f>
        <v/>
      </c>
      <c r="V605" s="4" t="str">
        <f>'Form responses 1'!AI265</f>
        <v/>
      </c>
      <c r="W605" s="4" t="str">
        <f>'Form responses 1'!AJ265</f>
        <v/>
      </c>
      <c r="X605" s="4" t="str">
        <f>'Form responses 1'!AK265</f>
        <v/>
      </c>
      <c r="Y605" s="4">
        <f t="shared" ref="Y605:AD605" si="604">if(S605&gt;0,1,0)</f>
        <v>0</v>
      </c>
      <c r="Z605" s="4">
        <f t="shared" si="604"/>
        <v>0</v>
      </c>
      <c r="AA605" s="4">
        <f t="shared" si="604"/>
        <v>0</v>
      </c>
      <c r="AB605" s="4">
        <f t="shared" si="604"/>
        <v>0</v>
      </c>
      <c r="AC605" s="4">
        <f t="shared" si="604"/>
        <v>0</v>
      </c>
      <c r="AD605" s="4">
        <f t="shared" si="604"/>
        <v>0</v>
      </c>
      <c r="AE605" s="4" t="str">
        <f>'Form responses 1'!AN265</f>
        <v/>
      </c>
      <c r="AF605" s="4" t="str">
        <f>'Form responses 1'!AO265</f>
        <v/>
      </c>
      <c r="AG605" s="4" t="str">
        <f>'Form responses 1'!AP265</f>
        <v/>
      </c>
      <c r="AH605" s="4" t="str">
        <f>'Form responses 1'!AQ265</f>
        <v/>
      </c>
      <c r="AI605" s="4" t="str">
        <f>'Form responses 1'!AR265</f>
        <v/>
      </c>
    </row>
    <row r="606">
      <c r="A606" s="26">
        <f>'Form responses 1'!B481</f>
        <v>46069</v>
      </c>
      <c r="B606" s="4" t="str">
        <f>'Form responses 1'!AZ481</f>
        <v>greeshma.vanneldas@capsdelivery.com</v>
      </c>
      <c r="C606" s="4" t="str">
        <f>'Form responses 1'!BR481</f>
        <v>SorseSorse</v>
      </c>
      <c r="D606" s="4" t="str">
        <f>'Form responses 1'!AT481</f>
        <v>Discussion done with manager and he need to discuss with owner</v>
      </c>
      <c r="E606" s="4" t="str">
        <f>'Form responses 1'!AU481</f>
        <v>Yes</v>
      </c>
      <c r="F606" s="4" t="str">
        <f>'Form responses 1'!AX481</f>
        <v/>
      </c>
      <c r="G606" s="4" t="str">
        <f>'Form responses 1'!AY481</f>
        <v/>
      </c>
      <c r="H606" s="53" t="str">
        <f>'Form responses 1'!AW481</f>
        <v/>
      </c>
      <c r="I606" s="4" t="str">
        <f>'Form responses 1'!AS481</f>
        <v/>
      </c>
      <c r="J606" s="4" t="str">
        <f>'Form responses 1'!J481</f>
        <v/>
      </c>
      <c r="K606" s="4" t="str">
        <f>'Form responses 1'!G481</f>
        <v/>
      </c>
      <c r="L606" s="4" t="str">
        <f>'Form responses 1'!F481</f>
        <v/>
      </c>
      <c r="M606" s="4" t="str">
        <f>'Form responses 1'!U481</f>
        <v>Koushilk</v>
      </c>
      <c r="N606" s="4">
        <f>'Form responses 1'!V481</f>
        <v>7075376903</v>
      </c>
      <c r="O606" s="4" t="str">
        <f>'Form responses 1'!W481</f>
        <v>na</v>
      </c>
      <c r="P606" s="4" t="str">
        <f>'Form responses 1'!X481</f>
        <v/>
      </c>
      <c r="Q606" s="4" t="str">
        <f>'Form responses 1'!Y481</f>
        <v/>
      </c>
      <c r="R606" s="4" t="str">
        <f>'Form responses 1'!Z481</f>
        <v/>
      </c>
      <c r="S606" s="4" t="str">
        <f>'Form responses 1'!AC481</f>
        <v/>
      </c>
      <c r="T606" s="4" t="str">
        <f>'Form responses 1'!AE481</f>
        <v/>
      </c>
      <c r="U606" s="4" t="str">
        <f>'Form responses 1'!AG481</f>
        <v/>
      </c>
      <c r="V606" s="4" t="str">
        <f>'Form responses 1'!AI481</f>
        <v/>
      </c>
      <c r="W606" s="4" t="str">
        <f>'Form responses 1'!AJ481</f>
        <v/>
      </c>
      <c r="X606" s="4" t="str">
        <f>'Form responses 1'!AK481</f>
        <v/>
      </c>
      <c r="Y606" s="4">
        <f t="shared" ref="Y606:AD606" si="605">if(S606&gt;0,1,0)</f>
        <v>0</v>
      </c>
      <c r="Z606" s="4">
        <f t="shared" si="605"/>
        <v>0</v>
      </c>
      <c r="AA606" s="4">
        <f t="shared" si="605"/>
        <v>0</v>
      </c>
      <c r="AB606" s="4">
        <f t="shared" si="605"/>
        <v>0</v>
      </c>
      <c r="AC606" s="4">
        <f t="shared" si="605"/>
        <v>0</v>
      </c>
      <c r="AD606" s="4">
        <f t="shared" si="605"/>
        <v>0</v>
      </c>
      <c r="AE606" s="4" t="str">
        <f>'Form responses 1'!AN481</f>
        <v/>
      </c>
      <c r="AF606" s="4" t="str">
        <f>'Form responses 1'!AO481</f>
        <v/>
      </c>
      <c r="AG606" s="4" t="str">
        <f>'Form responses 1'!AP481</f>
        <v/>
      </c>
      <c r="AH606" s="4" t="str">
        <f>'Form responses 1'!AQ481</f>
        <v/>
      </c>
      <c r="AI606" s="4" t="str">
        <f>'Form responses 1'!AR481</f>
        <v/>
      </c>
    </row>
    <row r="607">
      <c r="A607" s="26">
        <f>'Form responses 1'!B609</f>
        <v>46071</v>
      </c>
      <c r="B607" s="4" t="str">
        <f>'Form responses 1'!AZ609</f>
        <v>ankitha.baske@capsdelivery.com</v>
      </c>
      <c r="C607" s="4" t="str">
        <f>'Form responses 1'!BR609</f>
        <v>Spicy Express Spicy Express </v>
      </c>
      <c r="D607" s="4" t="str">
        <f>'Form responses 1'!AT609</f>
        <v>Need to collect menu and documents </v>
      </c>
      <c r="E607" s="4" t="str">
        <f>'Form responses 1'!AU609</f>
        <v>Yes</v>
      </c>
      <c r="F607" s="4" t="str">
        <f>'Form responses 1'!AX609</f>
        <v/>
      </c>
      <c r="G607" s="4" t="str">
        <f>'Form responses 1'!AY609</f>
        <v/>
      </c>
      <c r="H607" s="53" t="str">
        <f>'Form responses 1'!AW609</f>
        <v/>
      </c>
      <c r="I607" s="4" t="str">
        <f>'Form responses 1'!AS609</f>
        <v>Yes</v>
      </c>
      <c r="J607" s="4" t="str">
        <f>'Form responses 1'!J609</f>
        <v/>
      </c>
      <c r="K607" s="4" t="str">
        <f>'Form responses 1'!G609</f>
        <v/>
      </c>
      <c r="L607" s="4" t="str">
        <f>'Form responses 1'!F609</f>
        <v/>
      </c>
      <c r="M607" s="4" t="str">
        <f>'Form responses 1'!U609</f>
        <v>Neerja</v>
      </c>
      <c r="N607" s="4">
        <f>'Form responses 1'!V609</f>
        <v>9059036521</v>
      </c>
      <c r="O607" s="4" t="str">
        <f>'Form responses 1'!W609</f>
        <v>NA</v>
      </c>
      <c r="P607" s="4" t="str">
        <f>'Form responses 1'!X609</f>
        <v/>
      </c>
      <c r="Q607" s="4" t="str">
        <f>'Form responses 1'!Y609</f>
        <v/>
      </c>
      <c r="R607" s="4" t="str">
        <f>'Form responses 1'!Z609</f>
        <v/>
      </c>
      <c r="S607" s="54" t="str">
        <f>'Form responses 1'!AC609</f>
        <v>https://drive.google.com/open?id=16k493vsOc5EyewYiso7AgZvxNRtpsHwS</v>
      </c>
      <c r="T607" s="4" t="str">
        <f>'Form responses 1'!AE609</f>
        <v/>
      </c>
      <c r="U607" s="4" t="str">
        <f>'Form responses 1'!AG609</f>
        <v/>
      </c>
      <c r="V607" s="4" t="str">
        <f>'Form responses 1'!AI609</f>
        <v/>
      </c>
      <c r="W607" s="4" t="str">
        <f>'Form responses 1'!AJ609</f>
        <v/>
      </c>
      <c r="X607" s="4" t="str">
        <f>'Form responses 1'!AK609</f>
        <v/>
      </c>
      <c r="Y607" s="4">
        <f t="shared" ref="Y607:AD607" si="606">if(S607&gt;0,1,0)</f>
        <v>1</v>
      </c>
      <c r="Z607" s="4">
        <f t="shared" si="606"/>
        <v>0</v>
      </c>
      <c r="AA607" s="4">
        <f t="shared" si="606"/>
        <v>0</v>
      </c>
      <c r="AB607" s="4">
        <f t="shared" si="606"/>
        <v>0</v>
      </c>
      <c r="AC607" s="4">
        <f t="shared" si="606"/>
        <v>0</v>
      </c>
      <c r="AD607" s="4">
        <f t="shared" si="606"/>
        <v>0</v>
      </c>
      <c r="AE607" s="4" t="str">
        <f>'Form responses 1'!AN609</f>
        <v/>
      </c>
      <c r="AF607" s="4" t="str">
        <f>'Form responses 1'!AO1728</f>
        <v/>
      </c>
      <c r="AG607" s="4" t="str">
        <f>'Form responses 1'!AP1728</f>
        <v/>
      </c>
      <c r="AH607" s="4" t="str">
        <f>'Form responses 1'!AQ1728</f>
        <v/>
      </c>
      <c r="AI607" s="4" t="str">
        <f>'Form responses 1'!AR1728</f>
        <v/>
      </c>
    </row>
    <row r="608">
      <c r="A608" s="26">
        <f>'Form responses 1'!B610</f>
        <v>46071</v>
      </c>
      <c r="B608" s="4" t="str">
        <f>'Form responses 1'!AZ610</f>
        <v>ankitha.baske@capsdelivery.com</v>
      </c>
      <c r="C608" s="4" t="str">
        <f>'Form responses 1'!BR610</f>
        <v>Rooster Chicken </v>
      </c>
      <c r="D608" s="4" t="str">
        <f>'Form responses 1'!AT610</f>
        <v>Bank details are pending  he need 1 week time</v>
      </c>
      <c r="E608" s="4" t="str">
        <f>'Form responses 1'!AU610</f>
        <v>Yes</v>
      </c>
      <c r="F608" s="4" t="str">
        <f>'Form responses 1'!AX610</f>
        <v/>
      </c>
      <c r="G608" s="4" t="str">
        <f>'Form responses 1'!AY610</f>
        <v/>
      </c>
      <c r="H608" s="53" t="str">
        <f>'Form responses 1'!AW610</f>
        <v/>
      </c>
      <c r="I608" s="4" t="str">
        <f>'Form responses 1'!AS610</f>
        <v>Yes</v>
      </c>
      <c r="J608" s="4" t="str">
        <f>'Form responses 1'!J610</f>
        <v>Tier-2 (AOV &lt;400)</v>
      </c>
      <c r="K608" s="4">
        <f>'Form responses 1'!G610</f>
        <v>200</v>
      </c>
      <c r="L608" s="4">
        <f>'Form responses 1'!F610</f>
        <v>30</v>
      </c>
      <c r="M608" s="4" t="str">
        <f>'Form responses 1'!U610</f>
        <v>Nagendra</v>
      </c>
      <c r="N608" s="4">
        <f>'Form responses 1'!V610</f>
        <v>8639337298</v>
      </c>
      <c r="O608" s="4" t="str">
        <f>'Form responses 1'!W610</f>
        <v>NA</v>
      </c>
      <c r="P608" s="4" t="str">
        <f>'Form responses 1'!X610</f>
        <v/>
      </c>
      <c r="Q608" s="4" t="str">
        <f>'Form responses 1'!Y610</f>
        <v/>
      </c>
      <c r="R608" s="4" t="str">
        <f>'Form responses 1'!Z610</f>
        <v/>
      </c>
      <c r="S608" s="54" t="str">
        <f>'Form responses 1'!AC610</f>
        <v>https://drive.google.com/open?id=1cWIBkV2BJ7J0xgnp5ZfIMiQCx6aDLs0n</v>
      </c>
      <c r="T608" s="4" t="str">
        <f>'Form responses 1'!AE610</f>
        <v/>
      </c>
      <c r="U608" s="54" t="str">
        <f>'Form responses 1'!AG610</f>
        <v>https://drive.google.com/open?id=1yjWsvWZYtU0tQZ7BF1MDZA80e_e01Ruk</v>
      </c>
      <c r="V608" s="4" t="str">
        <f>'Form responses 1'!AI610</f>
        <v/>
      </c>
      <c r="W608" s="54" t="str">
        <f>'Form responses 1'!AJ610</f>
        <v>https://drive.google.com/open?id=17qIijHeA5A66t0mbM5MuK1vxY67ZvH_w</v>
      </c>
      <c r="X608" s="4" t="str">
        <f>'Form responses 1'!AK610</f>
        <v/>
      </c>
      <c r="Y608" s="4">
        <f t="shared" ref="Y608:AD608" si="607">if(S608&gt;0,1,0)</f>
        <v>1</v>
      </c>
      <c r="Z608" s="4">
        <f t="shared" si="607"/>
        <v>0</v>
      </c>
      <c r="AA608" s="4">
        <f t="shared" si="607"/>
        <v>1</v>
      </c>
      <c r="AB608" s="4">
        <f t="shared" si="607"/>
        <v>0</v>
      </c>
      <c r="AC608" s="4">
        <f t="shared" si="607"/>
        <v>1</v>
      </c>
      <c r="AD608" s="4">
        <f t="shared" si="607"/>
        <v>0</v>
      </c>
      <c r="AE608" s="4" t="str">
        <f>'Form responses 1'!AN610</f>
        <v/>
      </c>
      <c r="AF608" s="4" t="str">
        <f>'Form responses 1'!AO1729</f>
        <v/>
      </c>
      <c r="AG608" s="4" t="str">
        <f>'Form responses 1'!AP1729</f>
        <v/>
      </c>
      <c r="AH608" s="4" t="str">
        <f>'Form responses 1'!AQ1729</f>
        <v/>
      </c>
      <c r="AI608" s="4" t="str">
        <f>'Form responses 1'!AR1729</f>
        <v/>
      </c>
    </row>
    <row r="609">
      <c r="A609" s="26">
        <f>'Form responses 1'!B611</f>
        <v>46071</v>
      </c>
      <c r="B609" s="4" t="str">
        <f>'Form responses 1'!AZ611</f>
        <v>ankitha.baske@capsdelivery.com</v>
      </c>
      <c r="C609" s="4" t="str">
        <f>'Form responses 1'!BR611</f>
        <v>Dragon Kitchen </v>
      </c>
      <c r="D609" s="4" t="str">
        <f>'Form responses 1'!AT611</f>
        <v>Bank details and Menu</v>
      </c>
      <c r="E609" s="4" t="str">
        <f>'Form responses 1'!AU611</f>
        <v>Yes</v>
      </c>
      <c r="F609" s="4" t="str">
        <f>'Form responses 1'!AX611</f>
        <v/>
      </c>
      <c r="G609" s="4" t="str">
        <f>'Form responses 1'!AY611</f>
        <v/>
      </c>
      <c r="H609" s="53" t="str">
        <f>'Form responses 1'!AW611</f>
        <v/>
      </c>
      <c r="I609" s="4" t="str">
        <f>'Form responses 1'!AS611</f>
        <v>Yes</v>
      </c>
      <c r="J609" s="4" t="str">
        <f>'Form responses 1'!J611</f>
        <v>Tier-2 (AOV &lt;400)</v>
      </c>
      <c r="K609" s="4">
        <f>'Form responses 1'!G611</f>
        <v>200</v>
      </c>
      <c r="L609" s="4">
        <f>'Form responses 1'!F611</f>
        <v>30</v>
      </c>
      <c r="M609" s="4" t="str">
        <f>'Form responses 1'!U611</f>
        <v>Nagendra</v>
      </c>
      <c r="N609" s="4">
        <f>'Form responses 1'!V611</f>
        <v>8639337298</v>
      </c>
      <c r="O609" s="4" t="str">
        <f>'Form responses 1'!W611</f>
        <v>NA</v>
      </c>
      <c r="P609" s="4" t="str">
        <f>'Form responses 1'!X611</f>
        <v/>
      </c>
      <c r="Q609" s="4" t="str">
        <f>'Form responses 1'!Y611</f>
        <v/>
      </c>
      <c r="R609" s="4" t="str">
        <f>'Form responses 1'!Z611</f>
        <v/>
      </c>
      <c r="S609" s="54" t="str">
        <f>'Form responses 1'!AC611</f>
        <v>https://drive.google.com/open?id=1JkXdJV6m74LD-RAl0FyQDJteR06jW_9X</v>
      </c>
      <c r="T609" s="4" t="str">
        <f>'Form responses 1'!AE611</f>
        <v/>
      </c>
      <c r="U609" s="54" t="str">
        <f>'Form responses 1'!AG611</f>
        <v>https://drive.google.com/open?id=17EI432R4YqUB68oBIsJ39RFep66Up9kt</v>
      </c>
      <c r="V609" s="4" t="str">
        <f>'Form responses 1'!AI611</f>
        <v/>
      </c>
      <c r="W609" s="4" t="str">
        <f>'Form responses 1'!AJ611</f>
        <v/>
      </c>
      <c r="X609" s="4" t="str">
        <f>'Form responses 1'!AK611</f>
        <v/>
      </c>
      <c r="Y609" s="4">
        <f t="shared" ref="Y609:AD609" si="608">if(S609&gt;0,1,0)</f>
        <v>1</v>
      </c>
      <c r="Z609" s="4">
        <f t="shared" si="608"/>
        <v>0</v>
      </c>
      <c r="AA609" s="4">
        <f t="shared" si="608"/>
        <v>1</v>
      </c>
      <c r="AB609" s="4">
        <f t="shared" si="608"/>
        <v>0</v>
      </c>
      <c r="AC609" s="4">
        <f t="shared" si="608"/>
        <v>0</v>
      </c>
      <c r="AD609" s="4">
        <f t="shared" si="608"/>
        <v>0</v>
      </c>
      <c r="AE609" s="4" t="str">
        <f>'Form responses 1'!AN611</f>
        <v/>
      </c>
      <c r="AF609" s="4" t="str">
        <f>'Form responses 1'!AO1730</f>
        <v/>
      </c>
      <c r="AG609" s="4" t="str">
        <f>'Form responses 1'!AP1730</f>
        <v/>
      </c>
      <c r="AH609" s="4" t="str">
        <f>'Form responses 1'!AQ1730</f>
        <v/>
      </c>
      <c r="AI609" s="4" t="str">
        <f>'Form responses 1'!AR1730</f>
        <v/>
      </c>
    </row>
    <row r="610">
      <c r="A610" s="26">
        <f>'Form responses 1'!B612</f>
        <v>46071</v>
      </c>
      <c r="B610" s="4" t="str">
        <f>'Form responses 1'!AZ612</f>
        <v>ankitha.baske@capsdelivery.com</v>
      </c>
      <c r="C610" s="4" t="str">
        <f>'Form responses 1'!BR612</f>
        <v>Pizza Mania</v>
      </c>
      <c r="D610" s="4" t="str">
        <f>'Form responses 1'!AT612</f>
        <v>Documents are pending </v>
      </c>
      <c r="E610" s="4" t="str">
        <f>'Form responses 1'!AU612</f>
        <v>Yes</v>
      </c>
      <c r="F610" s="4" t="str">
        <f>'Form responses 1'!AX612</f>
        <v/>
      </c>
      <c r="G610" s="4" t="str">
        <f>'Form responses 1'!AY612</f>
        <v/>
      </c>
      <c r="H610" s="53" t="str">
        <f>'Form responses 1'!AW612</f>
        <v/>
      </c>
      <c r="I610" s="4" t="str">
        <f>'Form responses 1'!AS612</f>
        <v/>
      </c>
      <c r="J610" s="4" t="str">
        <f>'Form responses 1'!J612</f>
        <v/>
      </c>
      <c r="K610" s="4" t="str">
        <f>'Form responses 1'!G612</f>
        <v/>
      </c>
      <c r="L610" s="4" t="str">
        <f>'Form responses 1'!F612</f>
        <v/>
      </c>
      <c r="M610" s="4" t="str">
        <f>'Form responses 1'!U612</f>
        <v>Narsimha</v>
      </c>
      <c r="N610" s="4">
        <f>'Form responses 1'!V612</f>
        <v>9391389840</v>
      </c>
      <c r="O610" s="4" t="str">
        <f>'Form responses 1'!W612</f>
        <v>NA</v>
      </c>
      <c r="P610" s="4" t="str">
        <f>'Form responses 1'!X612</f>
        <v/>
      </c>
      <c r="Q610" s="4" t="str">
        <f>'Form responses 1'!Y612</f>
        <v/>
      </c>
      <c r="R610" s="4" t="str">
        <f>'Form responses 1'!Z612</f>
        <v/>
      </c>
      <c r="S610" s="4" t="str">
        <f>'Form responses 1'!AC612</f>
        <v/>
      </c>
      <c r="T610" s="4" t="str">
        <f>'Form responses 1'!AE612</f>
        <v/>
      </c>
      <c r="U610" s="4" t="str">
        <f>'Form responses 1'!AG612</f>
        <v/>
      </c>
      <c r="V610" s="4" t="str">
        <f>'Form responses 1'!AI612</f>
        <v/>
      </c>
      <c r="W610" s="4" t="str">
        <f>'Form responses 1'!AJ612</f>
        <v/>
      </c>
      <c r="X610" s="4" t="str">
        <f>'Form responses 1'!AK612</f>
        <v/>
      </c>
      <c r="Y610" s="4">
        <f t="shared" ref="Y610:AD610" si="609">if(S610&gt;0,1,0)</f>
        <v>0</v>
      </c>
      <c r="Z610" s="4">
        <f t="shared" si="609"/>
        <v>0</v>
      </c>
      <c r="AA610" s="4">
        <f t="shared" si="609"/>
        <v>0</v>
      </c>
      <c r="AB610" s="4">
        <f t="shared" si="609"/>
        <v>0</v>
      </c>
      <c r="AC610" s="4">
        <f t="shared" si="609"/>
        <v>0</v>
      </c>
      <c r="AD610" s="4">
        <f t="shared" si="609"/>
        <v>0</v>
      </c>
      <c r="AE610" s="4" t="str">
        <f>'Form responses 1'!AN612</f>
        <v/>
      </c>
      <c r="AF610" s="4" t="str">
        <f>'Form responses 1'!AO1731</f>
        <v/>
      </c>
      <c r="AG610" s="4" t="str">
        <f>'Form responses 1'!AP1731</f>
        <v/>
      </c>
      <c r="AH610" s="4" t="str">
        <f>'Form responses 1'!AQ1731</f>
        <v/>
      </c>
      <c r="AI610" s="4" t="str">
        <f>'Form responses 1'!AR1731</f>
        <v/>
      </c>
    </row>
    <row r="611">
      <c r="A611" s="26">
        <f>'Form responses 1'!B613</f>
        <v>46072</v>
      </c>
      <c r="B611" s="4" t="str">
        <f>'Form responses 1'!AZ613</f>
        <v>ankitha.baske@capsdelivery.com</v>
      </c>
      <c r="C611" s="4" t="str">
        <f>'Form responses 1'!BR613</f>
        <v>Slice and Bytes </v>
      </c>
      <c r="D611" s="4" t="str">
        <f>'Form responses 1'!AT613</f>
        <v>Menu is pending </v>
      </c>
      <c r="E611" s="4" t="str">
        <f>'Form responses 1'!AU613</f>
        <v>No</v>
      </c>
      <c r="F611" s="4" t="str">
        <f>'Form responses 1'!AX613</f>
        <v/>
      </c>
      <c r="G611" s="4" t="str">
        <f>'Form responses 1'!AY613</f>
        <v/>
      </c>
      <c r="H611" s="53" t="str">
        <f>'Form responses 1'!AW613</f>
        <v/>
      </c>
      <c r="I611" s="4" t="str">
        <f>'Form responses 1'!AS613</f>
        <v>Yes</v>
      </c>
      <c r="J611" s="4" t="str">
        <f>'Form responses 1'!J613</f>
        <v>Tier-2 (AOV &lt;400)</v>
      </c>
      <c r="K611" s="4">
        <f>'Form responses 1'!G613</f>
        <v>200</v>
      </c>
      <c r="L611" s="4">
        <f>'Form responses 1'!F613</f>
        <v>30</v>
      </c>
      <c r="M611" s="4" t="str">
        <f>'Form responses 1'!U613</f>
        <v>Sandeep</v>
      </c>
      <c r="N611" s="4">
        <f>'Form responses 1'!V613</f>
        <v>9885869143</v>
      </c>
      <c r="O611" s="4" t="str">
        <f>'Form responses 1'!W613</f>
        <v>NA</v>
      </c>
      <c r="P611" s="4" t="str">
        <f>'Form responses 1'!X613</f>
        <v/>
      </c>
      <c r="Q611" s="4" t="str">
        <f>'Form responses 1'!Y613</f>
        <v/>
      </c>
      <c r="R611" s="4" t="str">
        <f>'Form responses 1'!Z613</f>
        <v/>
      </c>
      <c r="S611" s="54" t="str">
        <f>'Form responses 1'!AC613</f>
        <v>https://drive.google.com/open?id=1LAz6YfU48rjgUm90rjucNoyHLFOblYJ1</v>
      </c>
      <c r="T611" s="4" t="str">
        <f>'Form responses 1'!AE613</f>
        <v/>
      </c>
      <c r="U611" s="54" t="str">
        <f>'Form responses 1'!AG613</f>
        <v>https://drive.google.com/open?id=1Gz0r1WmfBDdQi3wDUk_cmZY6OsGfV8vF</v>
      </c>
      <c r="V611" s="4" t="str">
        <f>'Form responses 1'!AI613</f>
        <v/>
      </c>
      <c r="W611" s="4" t="str">
        <f>'Form responses 1'!AJ613</f>
        <v/>
      </c>
      <c r="X611" s="54" t="str">
        <f>'Form responses 1'!AK613</f>
        <v>https://drive.google.com/open?id=1oeWZTEIc09G0jV1DRernRUzSTaBycY9e</v>
      </c>
      <c r="Y611" s="4">
        <f t="shared" ref="Y611:AD611" si="610">if(S611&gt;0,1,0)</f>
        <v>1</v>
      </c>
      <c r="Z611" s="4">
        <f t="shared" si="610"/>
        <v>0</v>
      </c>
      <c r="AA611" s="4">
        <f t="shared" si="610"/>
        <v>1</v>
      </c>
      <c r="AB611" s="4">
        <f t="shared" si="610"/>
        <v>0</v>
      </c>
      <c r="AC611" s="4">
        <f t="shared" si="610"/>
        <v>0</v>
      </c>
      <c r="AD611" s="4">
        <f t="shared" si="610"/>
        <v>1</v>
      </c>
      <c r="AE611" s="4" t="str">
        <f>'Form responses 1'!AN613</f>
        <v/>
      </c>
      <c r="AF611" s="4" t="str">
        <f>'Form responses 1'!AO1732</f>
        <v/>
      </c>
      <c r="AG611" s="4" t="str">
        <f>'Form responses 1'!AP1732</f>
        <v/>
      </c>
      <c r="AH611" s="4" t="str">
        <f>'Form responses 1'!AQ1732</f>
        <v/>
      </c>
      <c r="AI611" s="4" t="str">
        <f>'Form responses 1'!AR1732</f>
        <v/>
      </c>
    </row>
    <row r="612">
      <c r="A612" s="26">
        <f>'Form responses 1'!B614</f>
        <v>46072</v>
      </c>
      <c r="B612" s="4" t="str">
        <f>'Form responses 1'!AZ614</f>
        <v>ankitha.baske@capsdelivery.com</v>
      </c>
      <c r="C612" s="4" t="str">
        <f>'Form responses 1'!BR614</f>
        <v>Ayaansh Food Court</v>
      </c>
      <c r="D612" s="4" t="str">
        <f>'Form responses 1'!AT614</f>
        <v>Onboarded </v>
      </c>
      <c r="E612" s="4" t="str">
        <f>'Form responses 1'!AU614</f>
        <v>No</v>
      </c>
      <c r="F612" s="4" t="str">
        <f>'Form responses 1'!AX614</f>
        <v/>
      </c>
      <c r="G612" s="4" t="str">
        <f>'Form responses 1'!AY614</f>
        <v/>
      </c>
      <c r="H612" s="53" t="str">
        <f>'Form responses 1'!AW614</f>
        <v/>
      </c>
      <c r="I612" s="4" t="str">
        <f>'Form responses 1'!AS614</f>
        <v>Yes</v>
      </c>
      <c r="J612" s="4" t="str">
        <f>'Form responses 1'!J614</f>
        <v>Tier-2 (AOV &lt;400)</v>
      </c>
      <c r="K612" s="4">
        <f>'Form responses 1'!G614</f>
        <v>200</v>
      </c>
      <c r="L612" s="4">
        <f>'Form responses 1'!F614</f>
        <v>40</v>
      </c>
      <c r="M612" s="4" t="str">
        <f>'Form responses 1'!U614</f>
        <v>Anjaneyareddy</v>
      </c>
      <c r="N612" s="4">
        <f>'Form responses 1'!V614</f>
        <v>8143603999</v>
      </c>
      <c r="O612" s="4" t="str">
        <f>'Form responses 1'!W614</f>
        <v>NA</v>
      </c>
      <c r="P612" s="4" t="str">
        <f>'Form responses 1'!X614</f>
        <v/>
      </c>
      <c r="Q612" s="4" t="str">
        <f>'Form responses 1'!Y614</f>
        <v/>
      </c>
      <c r="R612" s="4" t="str">
        <f>'Form responses 1'!Z614</f>
        <v/>
      </c>
      <c r="S612" s="54" t="str">
        <f>'Form responses 1'!AC614</f>
        <v>https://drive.google.com/open?id=1ia1w9zN8y7Hhp3yXc1c1rMX3MWIwrlTo</v>
      </c>
      <c r="T612" s="4" t="str">
        <f>'Form responses 1'!AE614</f>
        <v/>
      </c>
      <c r="U612" s="54" t="str">
        <f>'Form responses 1'!AG614</f>
        <v>https://drive.google.com/open?id=1FMMHBLDuF6nxxlVmbGqOCpNbn5kVh4y_</v>
      </c>
      <c r="V612" s="4" t="str">
        <f>'Form responses 1'!AI614</f>
        <v/>
      </c>
      <c r="W612" s="54" t="str">
        <f>'Form responses 1'!AJ614</f>
        <v>https://drive.google.com/open?id=1MGUb-FLSLWz3mtFRYvr2kA8UU9R1ZDoe</v>
      </c>
      <c r="X612" s="54" t="str">
        <f>'Form responses 1'!AK614</f>
        <v>https://drive.google.com/open?id=105qvkmlCWecN--NR_X2-JQYI1kJKwbAT</v>
      </c>
      <c r="Y612" s="4">
        <f t="shared" ref="Y612:AD612" si="611">if(S612&gt;0,1,0)</f>
        <v>1</v>
      </c>
      <c r="Z612" s="4">
        <f t="shared" si="611"/>
        <v>0</v>
      </c>
      <c r="AA612" s="4">
        <f t="shared" si="611"/>
        <v>1</v>
      </c>
      <c r="AB612" s="4">
        <f t="shared" si="611"/>
        <v>0</v>
      </c>
      <c r="AC612" s="4">
        <f t="shared" si="611"/>
        <v>1</v>
      </c>
      <c r="AD612" s="4">
        <f t="shared" si="611"/>
        <v>1</v>
      </c>
      <c r="AE612" s="4" t="str">
        <f>'Form responses 1'!AN614</f>
        <v/>
      </c>
      <c r="AF612" s="4" t="str">
        <f>'Form responses 1'!AO1733</f>
        <v/>
      </c>
      <c r="AG612" s="4" t="str">
        <f>'Form responses 1'!AP1733</f>
        <v/>
      </c>
      <c r="AH612" s="4" t="str">
        <f>'Form responses 1'!AQ1733</f>
        <v/>
      </c>
      <c r="AI612" s="4" t="str">
        <f>'Form responses 1'!AR1733</f>
        <v/>
      </c>
    </row>
    <row r="613">
      <c r="A613" s="26">
        <f>'Form responses 1'!B615</f>
        <v>46072</v>
      </c>
      <c r="B613" s="4" t="str">
        <f>'Form responses 1'!AZ615</f>
        <v>ankitha.baske@capsdelivery.com</v>
      </c>
      <c r="C613" s="4" t="str">
        <f>'Form responses 1'!BR615</f>
        <v>Red Bucket Biryani </v>
      </c>
      <c r="D613" s="4" t="str">
        <f>'Form responses 1'!AT615</f>
        <v>Documents are pending </v>
      </c>
      <c r="E613" s="4" t="str">
        <f>'Form responses 1'!AU615</f>
        <v>Yes</v>
      </c>
      <c r="F613" s="4" t="str">
        <f>'Form responses 1'!AX615</f>
        <v/>
      </c>
      <c r="G613" s="4" t="str">
        <f>'Form responses 1'!AY615</f>
        <v/>
      </c>
      <c r="H613" s="53" t="str">
        <f>'Form responses 1'!AW615</f>
        <v/>
      </c>
      <c r="I613" s="4" t="str">
        <f>'Form responses 1'!AS615</f>
        <v>Yes</v>
      </c>
      <c r="J613" s="4" t="str">
        <f>'Form responses 1'!J615</f>
        <v>Tier-3 ( AOV&lt;200 )</v>
      </c>
      <c r="K613" s="4">
        <f>'Form responses 1'!G615</f>
        <v>200</v>
      </c>
      <c r="L613" s="4">
        <f>'Form responses 1'!F615</f>
        <v>1</v>
      </c>
      <c r="M613" s="4" t="str">
        <f>'Form responses 1'!U615</f>
        <v>Anjaneyareddy</v>
      </c>
      <c r="N613" s="4">
        <f>'Form responses 1'!V615</f>
        <v>8143603999</v>
      </c>
      <c r="O613" s="4" t="str">
        <f>'Form responses 1'!W615</f>
        <v>NA</v>
      </c>
      <c r="P613" s="4" t="str">
        <f>'Form responses 1'!X615</f>
        <v/>
      </c>
      <c r="Q613" s="4" t="str">
        <f>'Form responses 1'!Y615</f>
        <v/>
      </c>
      <c r="R613" s="4" t="str">
        <f>'Form responses 1'!Z615</f>
        <v/>
      </c>
      <c r="S613" s="4" t="str">
        <f>'Form responses 1'!AC615</f>
        <v/>
      </c>
      <c r="T613" s="4" t="str">
        <f>'Form responses 1'!AE615</f>
        <v/>
      </c>
      <c r="U613" s="54" t="str">
        <f>'Form responses 1'!AG615</f>
        <v>https://drive.google.com/open?id=1JdgccoLtSZE2h7hkXgz_valyJD6DBH9w</v>
      </c>
      <c r="V613" s="4" t="str">
        <f>'Form responses 1'!AI615</f>
        <v/>
      </c>
      <c r="W613" s="4" t="str">
        <f>'Form responses 1'!AJ615</f>
        <v/>
      </c>
      <c r="X613" s="4" t="str">
        <f>'Form responses 1'!AK615</f>
        <v/>
      </c>
      <c r="Y613" s="4">
        <f t="shared" ref="Y613:AD613" si="612">if(S613&gt;0,1,0)</f>
        <v>0</v>
      </c>
      <c r="Z613" s="4">
        <f t="shared" si="612"/>
        <v>0</v>
      </c>
      <c r="AA613" s="4">
        <f t="shared" si="612"/>
        <v>1</v>
      </c>
      <c r="AB613" s="4">
        <f t="shared" si="612"/>
        <v>0</v>
      </c>
      <c r="AC613" s="4">
        <f t="shared" si="612"/>
        <v>0</v>
      </c>
      <c r="AD613" s="4">
        <f t="shared" si="612"/>
        <v>0</v>
      </c>
      <c r="AE613" s="4" t="str">
        <f>'Form responses 1'!AN615</f>
        <v/>
      </c>
      <c r="AF613" s="4" t="str">
        <f>'Form responses 1'!AO1734</f>
        <v/>
      </c>
      <c r="AG613" s="4" t="str">
        <f>'Form responses 1'!AP1734</f>
        <v/>
      </c>
      <c r="AH613" s="4" t="str">
        <f>'Form responses 1'!AQ1734</f>
        <v/>
      </c>
      <c r="AI613" s="4" t="str">
        <f>'Form responses 1'!AR1734</f>
        <v/>
      </c>
    </row>
    <row r="614">
      <c r="A614" s="26">
        <f>'Form responses 1'!B616</f>
        <v>46072</v>
      </c>
      <c r="B614" s="4" t="str">
        <f>'Form responses 1'!AZ616</f>
        <v>ankitha.baske@capsdelivery.com</v>
      </c>
      <c r="C614" s="4" t="str">
        <f>'Form responses 1'!BR616</f>
        <v>Ahara Aahvanam</v>
      </c>
      <c r="D614" s="4" t="str">
        <f>'Form responses 1'!AT616</f>
        <v>Menu pending need time to send </v>
      </c>
      <c r="E614" s="4" t="str">
        <f>'Form responses 1'!AU616</f>
        <v>No</v>
      </c>
      <c r="F614" s="4" t="str">
        <f>'Form responses 1'!AX616</f>
        <v/>
      </c>
      <c r="G614" s="4" t="str">
        <f>'Form responses 1'!AY616</f>
        <v/>
      </c>
      <c r="H614" s="53" t="str">
        <f>'Form responses 1'!AW616</f>
        <v/>
      </c>
      <c r="I614" s="4" t="str">
        <f>'Form responses 1'!AS616</f>
        <v>Yes</v>
      </c>
      <c r="J614" s="4" t="str">
        <f>'Form responses 1'!J616</f>
        <v>Tier-3 ( AOV&lt;200 )</v>
      </c>
      <c r="K614" s="4">
        <f>'Form responses 1'!G616</f>
        <v>200</v>
      </c>
      <c r="L614" s="4">
        <f>'Form responses 1'!F616</f>
        <v>60</v>
      </c>
      <c r="M614" s="4" t="str">
        <f>'Form responses 1'!U616</f>
        <v>Sai Kumar</v>
      </c>
      <c r="N614" s="4">
        <f>'Form responses 1'!V616</f>
        <v>6304772130</v>
      </c>
      <c r="O614" s="4" t="str">
        <f>'Form responses 1'!W616</f>
        <v>Na</v>
      </c>
      <c r="P614" s="4" t="str">
        <f>'Form responses 1'!X616</f>
        <v/>
      </c>
      <c r="Q614" s="4" t="str">
        <f>'Form responses 1'!Y616</f>
        <v/>
      </c>
      <c r="R614" s="4" t="str">
        <f>'Form responses 1'!Z616</f>
        <v/>
      </c>
      <c r="S614" s="54" t="str">
        <f>'Form responses 1'!AC616</f>
        <v>https://drive.google.com/open?id=1FaoWhwagdXOqBkQSbc5J4CR47LYsrDkN</v>
      </c>
      <c r="T614" s="54" t="str">
        <f>'Form responses 1'!AE616</f>
        <v>https://drive.google.com/open?id=1YtsOjbmfLCJHe1vfL7Jb_0ohsVBQEOKV</v>
      </c>
      <c r="U614" s="54" t="str">
        <f>'Form responses 1'!AG616</f>
        <v>https://drive.google.com/open?id=1IBDIV6ROtZVYMZFcVDruA8ZCPQ2NC7cK</v>
      </c>
      <c r="V614" s="4" t="str">
        <f>'Form responses 1'!AI616</f>
        <v/>
      </c>
      <c r="W614" s="4" t="str">
        <f>'Form responses 1'!AJ616</f>
        <v/>
      </c>
      <c r="X614" s="4" t="str">
        <f>'Form responses 1'!AK616</f>
        <v/>
      </c>
      <c r="Y614" s="4">
        <f t="shared" ref="Y614:AD614" si="613">if(S614&gt;0,1,0)</f>
        <v>1</v>
      </c>
      <c r="Z614" s="4">
        <f t="shared" si="613"/>
        <v>1</v>
      </c>
      <c r="AA614" s="4">
        <f t="shared" si="613"/>
        <v>1</v>
      </c>
      <c r="AB614" s="4">
        <f t="shared" si="613"/>
        <v>0</v>
      </c>
      <c r="AC614" s="4">
        <f t="shared" si="613"/>
        <v>0</v>
      </c>
      <c r="AD614" s="4">
        <f t="shared" si="613"/>
        <v>0</v>
      </c>
      <c r="AE614" s="4" t="str">
        <f>'Form responses 1'!AN616</f>
        <v/>
      </c>
      <c r="AF614" s="4" t="str">
        <f>'Form responses 1'!AO1735</f>
        <v/>
      </c>
      <c r="AG614" s="4" t="str">
        <f>'Form responses 1'!AP1735</f>
        <v/>
      </c>
      <c r="AH614" s="4" t="str">
        <f>'Form responses 1'!AQ1735</f>
        <v/>
      </c>
      <c r="AI614" s="4" t="str">
        <f>'Form responses 1'!AR1735</f>
        <v/>
      </c>
    </row>
    <row r="615">
      <c r="A615" s="26">
        <f>'Form responses 1'!B617</f>
        <v>46072</v>
      </c>
      <c r="B615" s="4" t="str">
        <f>'Form responses 1'!AZ617</f>
        <v>ankitha.baske@capsdelivery.com</v>
      </c>
      <c r="C615" s="4" t="str">
        <f>'Form responses 1'!BR617</f>
        <v>Annam Parabrahma</v>
      </c>
      <c r="D615" s="4" t="str">
        <f>'Form responses 1'!AT617</f>
        <v>Menu is pending </v>
      </c>
      <c r="E615" s="4" t="str">
        <f>'Form responses 1'!AU617</f>
        <v>No</v>
      </c>
      <c r="F615" s="4" t="str">
        <f>'Form responses 1'!AX617</f>
        <v/>
      </c>
      <c r="G615" s="4" t="str">
        <f>'Form responses 1'!AY617</f>
        <v/>
      </c>
      <c r="H615" s="53" t="str">
        <f>'Form responses 1'!AW617</f>
        <v/>
      </c>
      <c r="I615" s="4" t="str">
        <f>'Form responses 1'!AS617</f>
        <v>Yes</v>
      </c>
      <c r="J615" s="4" t="str">
        <f>'Form responses 1'!J617</f>
        <v>Tier-2 (AOV &lt;400)</v>
      </c>
      <c r="K615" s="4">
        <f>'Form responses 1'!G617</f>
        <v>250</v>
      </c>
      <c r="L615" s="4">
        <f>'Form responses 1'!F617</f>
        <v>1</v>
      </c>
      <c r="M615" s="4" t="str">
        <f>'Form responses 1'!U617</f>
        <v>Manohar</v>
      </c>
      <c r="N615" s="4">
        <f>'Form responses 1'!V617</f>
        <v>7702484488</v>
      </c>
      <c r="O615" s="4" t="str">
        <f>'Form responses 1'!W617</f>
        <v>NA</v>
      </c>
      <c r="P615" s="4" t="str">
        <f>'Form responses 1'!X617</f>
        <v/>
      </c>
      <c r="Q615" s="4" t="str">
        <f>'Form responses 1'!Y617</f>
        <v/>
      </c>
      <c r="R615" s="4" t="str">
        <f>'Form responses 1'!Z617</f>
        <v/>
      </c>
      <c r="S615" s="54" t="str">
        <f>'Form responses 1'!AC617</f>
        <v>https://drive.google.com/open?id=1xjX5JwWB2h-OdF7dTFNTZzEZgfatGvaC</v>
      </c>
      <c r="T615" s="4" t="str">
        <f>'Form responses 1'!AE617</f>
        <v/>
      </c>
      <c r="U615" s="54" t="str">
        <f>'Form responses 1'!AG617</f>
        <v>https://drive.google.com/open?id=1qzmK3TLyJFsE8wG4oqpQujaSq0R3R3Xt</v>
      </c>
      <c r="V615" s="54" t="str">
        <f>'Form responses 1'!AI617</f>
        <v>https://drive.google.com/open?id=1umbnoHwDcTbur0RGBkkD4OYAZW2Kxi1p</v>
      </c>
      <c r="W615" s="4" t="str">
        <f>'Form responses 1'!AJ617</f>
        <v/>
      </c>
      <c r="X615" s="4" t="str">
        <f>'Form responses 1'!AK617</f>
        <v/>
      </c>
      <c r="Y615" s="4">
        <f t="shared" ref="Y615:AD615" si="614">if(S615&gt;0,1,0)</f>
        <v>1</v>
      </c>
      <c r="Z615" s="4">
        <f t="shared" si="614"/>
        <v>0</v>
      </c>
      <c r="AA615" s="4">
        <f t="shared" si="614"/>
        <v>1</v>
      </c>
      <c r="AB615" s="4">
        <f t="shared" si="614"/>
        <v>1</v>
      </c>
      <c r="AC615" s="4">
        <f t="shared" si="614"/>
        <v>0</v>
      </c>
      <c r="AD615" s="4">
        <f t="shared" si="614"/>
        <v>0</v>
      </c>
      <c r="AE615" s="4" t="str">
        <f>'Form responses 1'!AN617</f>
        <v/>
      </c>
      <c r="AF615" s="4" t="str">
        <f>'Form responses 1'!AO1736</f>
        <v/>
      </c>
      <c r="AG615" s="4" t="str">
        <f>'Form responses 1'!AP1736</f>
        <v/>
      </c>
      <c r="AH615" s="4" t="str">
        <f>'Form responses 1'!AQ1736</f>
        <v/>
      </c>
      <c r="AI615" s="4" t="str">
        <f>'Form responses 1'!AR1736</f>
        <v/>
      </c>
    </row>
    <row r="616">
      <c r="A616" s="26">
        <f>'Form responses 1'!B618</f>
        <v>46066</v>
      </c>
      <c r="B616" s="4" t="str">
        <f>'Form responses 1'!AZ618</f>
        <v>moin.khan@capsdelivery.com</v>
      </c>
      <c r="C616" s="4" t="str">
        <f>'Form responses 1'!BR618</f>
        <v>HITECH BAWARCHI FOOD ZONE</v>
      </c>
      <c r="D616" s="4" t="str">
        <f>'Form responses 1'!AT618</f>
        <v>FOLLOW UP</v>
      </c>
      <c r="E616" s="4" t="str">
        <f>'Form responses 1'!AU618</f>
        <v>Yes</v>
      </c>
      <c r="F616" s="26">
        <f>'Form responses 1'!AX618</f>
        <v>46073</v>
      </c>
      <c r="G616" s="52">
        <f>'Form responses 1'!AY618</f>
        <v>0.4895833333</v>
      </c>
      <c r="H616" s="53" t="str">
        <f>'Form responses 1'!AW618</f>
        <v/>
      </c>
      <c r="I616" s="4" t="str">
        <f>'Form responses 1'!AS618</f>
        <v/>
      </c>
      <c r="J616" s="4" t="str">
        <f>'Form responses 1'!J618</f>
        <v>Tier-2 (AOV &lt;400)</v>
      </c>
      <c r="K616" s="4">
        <f>'Form responses 1'!G618</f>
        <v>3009</v>
      </c>
      <c r="L616" s="4">
        <f>'Form responses 1'!F618</f>
        <v>50</v>
      </c>
      <c r="M616" s="4" t="str">
        <f>'Form responses 1'!U618</f>
        <v>SVS BAKERS</v>
      </c>
      <c r="N616" s="4">
        <f>'Form responses 1'!V618</f>
        <v>9393874800</v>
      </c>
      <c r="O616" s="4" t="str">
        <f>'Form responses 1'!W618</f>
        <v>NA</v>
      </c>
      <c r="P616" s="4" t="str">
        <f>'Form responses 1'!X618</f>
        <v/>
      </c>
      <c r="Q616" s="4" t="str">
        <f>'Form responses 1'!Y618</f>
        <v/>
      </c>
      <c r="R616" s="4" t="str">
        <f>'Form responses 1'!Z618</f>
        <v/>
      </c>
      <c r="S616" s="4" t="str">
        <f>'Form responses 1'!AC618</f>
        <v/>
      </c>
      <c r="T616" s="4" t="str">
        <f>'Form responses 1'!AE618</f>
        <v/>
      </c>
      <c r="U616" s="4" t="str">
        <f>'Form responses 1'!AG618</f>
        <v/>
      </c>
      <c r="V616" s="4" t="str">
        <f>'Form responses 1'!AI618</f>
        <v/>
      </c>
      <c r="W616" s="4" t="str">
        <f>'Form responses 1'!AJ618</f>
        <v/>
      </c>
      <c r="X616" s="4" t="str">
        <f>'Form responses 1'!AK618</f>
        <v/>
      </c>
      <c r="Y616" s="4">
        <f t="shared" ref="Y616:AD616" si="615">if(S616&gt;0,1,0)</f>
        <v>0</v>
      </c>
      <c r="Z616" s="4">
        <f t="shared" si="615"/>
        <v>0</v>
      </c>
      <c r="AA616" s="4">
        <f t="shared" si="615"/>
        <v>0</v>
      </c>
      <c r="AB616" s="4">
        <f t="shared" si="615"/>
        <v>0</v>
      </c>
      <c r="AC616" s="4">
        <f t="shared" si="615"/>
        <v>0</v>
      </c>
      <c r="AD616" s="4">
        <f t="shared" si="615"/>
        <v>0</v>
      </c>
      <c r="AE616" s="4" t="str">
        <f>'Form responses 1'!AN618</f>
        <v/>
      </c>
      <c r="AF616" s="4" t="str">
        <f>'Form responses 1'!AO1737</f>
        <v/>
      </c>
      <c r="AG616" s="4" t="str">
        <f>'Form responses 1'!AP1737</f>
        <v/>
      </c>
      <c r="AH616" s="4" t="str">
        <f>'Form responses 1'!AQ1737</f>
        <v/>
      </c>
      <c r="AI616" s="4" t="str">
        <f>'Form responses 1'!AR1737</f>
        <v/>
      </c>
    </row>
    <row r="617">
      <c r="A617" s="26">
        <f>'Form responses 1'!B619</f>
        <v>46071</v>
      </c>
      <c r="B617" s="4" t="str">
        <f>'Form responses 1'!AZ619</f>
        <v>moin.khan@capsdelivery.com</v>
      </c>
      <c r="C617" s="4" t="str">
        <f>'Form responses 1'!BR619</f>
        <v>SURABHI HOTEL</v>
      </c>
      <c r="D617" s="4" t="str">
        <f>'Form responses 1'!AT619</f>
        <v>FOLLOW UP</v>
      </c>
      <c r="E617" s="4" t="str">
        <f>'Form responses 1'!AU619</f>
        <v>Yes</v>
      </c>
      <c r="F617" s="26">
        <f>'Form responses 1'!AX619</f>
        <v>46073</v>
      </c>
      <c r="G617" s="52">
        <f>'Form responses 1'!AY619</f>
        <v>0.4791666667</v>
      </c>
      <c r="H617" s="53" t="str">
        <f>'Form responses 1'!AW619</f>
        <v/>
      </c>
      <c r="I617" s="4" t="str">
        <f>'Form responses 1'!AS619</f>
        <v/>
      </c>
      <c r="J617" s="4" t="str">
        <f>'Form responses 1'!J619</f>
        <v/>
      </c>
      <c r="K617" s="4" t="str">
        <f>'Form responses 1'!G619</f>
        <v/>
      </c>
      <c r="L617" s="4" t="str">
        <f>'Form responses 1'!F619</f>
        <v/>
      </c>
      <c r="M617" s="4" t="str">
        <f>'Form responses 1'!U619</f>
        <v>ABHIMANYU</v>
      </c>
      <c r="N617" s="4">
        <f>'Form responses 1'!V619</f>
        <v>9553525500</v>
      </c>
      <c r="O617" s="4" t="str">
        <f>'Form responses 1'!W619</f>
        <v>NA</v>
      </c>
      <c r="P617" s="4" t="str">
        <f>'Form responses 1'!X619</f>
        <v/>
      </c>
      <c r="Q617" s="4" t="str">
        <f>'Form responses 1'!Y619</f>
        <v/>
      </c>
      <c r="R617" s="4" t="str">
        <f>'Form responses 1'!Z619</f>
        <v/>
      </c>
      <c r="S617" s="4" t="str">
        <f>'Form responses 1'!AC619</f>
        <v/>
      </c>
      <c r="T617" s="4" t="str">
        <f>'Form responses 1'!AE619</f>
        <v/>
      </c>
      <c r="U617" s="4" t="str">
        <f>'Form responses 1'!AG619</f>
        <v/>
      </c>
      <c r="V617" s="4" t="str">
        <f>'Form responses 1'!AI619</f>
        <v/>
      </c>
      <c r="W617" s="4" t="str">
        <f>'Form responses 1'!AJ619</f>
        <v/>
      </c>
      <c r="X617" s="4" t="str">
        <f>'Form responses 1'!AK619</f>
        <v/>
      </c>
      <c r="Y617" s="4">
        <f t="shared" ref="Y617:AD617" si="616">if(S617&gt;0,1,0)</f>
        <v>0</v>
      </c>
      <c r="Z617" s="4">
        <f t="shared" si="616"/>
        <v>0</v>
      </c>
      <c r="AA617" s="4">
        <f t="shared" si="616"/>
        <v>0</v>
      </c>
      <c r="AB617" s="4">
        <f t="shared" si="616"/>
        <v>0</v>
      </c>
      <c r="AC617" s="4">
        <f t="shared" si="616"/>
        <v>0</v>
      </c>
      <c r="AD617" s="4">
        <f t="shared" si="616"/>
        <v>0</v>
      </c>
      <c r="AE617" s="4" t="str">
        <f>'Form responses 1'!AN619</f>
        <v/>
      </c>
      <c r="AF617" s="4" t="str">
        <f>'Form responses 1'!AO1738</f>
        <v/>
      </c>
      <c r="AG617" s="4" t="str">
        <f>'Form responses 1'!AP1738</f>
        <v/>
      </c>
      <c r="AH617" s="4" t="str">
        <f>'Form responses 1'!AQ1738</f>
        <v/>
      </c>
      <c r="AI617" s="4" t="str">
        <f>'Form responses 1'!AR1738</f>
        <v/>
      </c>
    </row>
    <row r="618">
      <c r="A618" s="26">
        <f>'Form responses 1'!B620</f>
        <v>46071</v>
      </c>
      <c r="B618" s="4" t="str">
        <f>'Form responses 1'!AZ620</f>
        <v>moin.khan@capsdelivery.com</v>
      </c>
      <c r="C618" s="4" t="str">
        <f>'Form responses 1'!BR620</f>
        <v>USTAADS HYDERABADI ZAIQA</v>
      </c>
      <c r="D618" s="4" t="str">
        <f>'Form responses 1'!AT620</f>
        <v>FOLLOW UP</v>
      </c>
      <c r="E618" s="4" t="str">
        <f>'Form responses 1'!AU620</f>
        <v>Yes</v>
      </c>
      <c r="F618" s="26">
        <f>'Form responses 1'!AX620</f>
        <v>46073</v>
      </c>
      <c r="G618" s="52">
        <f>'Form responses 1'!AY620</f>
        <v>0.6145833333</v>
      </c>
      <c r="H618" s="53" t="str">
        <f>'Form responses 1'!AW620</f>
        <v/>
      </c>
      <c r="I618" s="4" t="str">
        <f>'Form responses 1'!AS620</f>
        <v/>
      </c>
      <c r="J618" s="4" t="str">
        <f>'Form responses 1'!J620</f>
        <v/>
      </c>
      <c r="K618" s="4" t="str">
        <f>'Form responses 1'!G620</f>
        <v/>
      </c>
      <c r="L618" s="4" t="str">
        <f>'Form responses 1'!F620</f>
        <v/>
      </c>
      <c r="M618" s="4" t="str">
        <f>'Form responses 1'!U620</f>
        <v>DURGA PRASAD </v>
      </c>
      <c r="N618" s="4">
        <f>'Form responses 1'!V620</f>
        <v>9640241237</v>
      </c>
      <c r="O618" s="4" t="str">
        <f>'Form responses 1'!W620</f>
        <v>NA</v>
      </c>
      <c r="P618" s="4" t="str">
        <f>'Form responses 1'!X620</f>
        <v/>
      </c>
      <c r="Q618" s="4" t="str">
        <f>'Form responses 1'!Y620</f>
        <v/>
      </c>
      <c r="R618" s="4" t="str">
        <f>'Form responses 1'!Z620</f>
        <v/>
      </c>
      <c r="S618" s="4" t="str">
        <f>'Form responses 1'!AC620</f>
        <v/>
      </c>
      <c r="T618" s="4" t="str">
        <f>'Form responses 1'!AE620</f>
        <v/>
      </c>
      <c r="U618" s="4" t="str">
        <f>'Form responses 1'!AG620</f>
        <v/>
      </c>
      <c r="V618" s="4" t="str">
        <f>'Form responses 1'!AI620</f>
        <v/>
      </c>
      <c r="W618" s="4" t="str">
        <f>'Form responses 1'!AJ620</f>
        <v/>
      </c>
      <c r="X618" s="4" t="str">
        <f>'Form responses 1'!AK620</f>
        <v/>
      </c>
      <c r="Y618" s="4">
        <f t="shared" ref="Y618:AD618" si="617">if(S618&gt;0,1,0)</f>
        <v>0</v>
      </c>
      <c r="Z618" s="4">
        <f t="shared" si="617"/>
        <v>0</v>
      </c>
      <c r="AA618" s="4">
        <f t="shared" si="617"/>
        <v>0</v>
      </c>
      <c r="AB618" s="4">
        <f t="shared" si="617"/>
        <v>0</v>
      </c>
      <c r="AC618" s="4">
        <f t="shared" si="617"/>
        <v>0</v>
      </c>
      <c r="AD618" s="4">
        <f t="shared" si="617"/>
        <v>0</v>
      </c>
      <c r="AE618" s="4" t="str">
        <f>'Form responses 1'!AN620</f>
        <v/>
      </c>
      <c r="AF618" s="4" t="str">
        <f>'Form responses 1'!AO1739</f>
        <v/>
      </c>
      <c r="AG618" s="4" t="str">
        <f>'Form responses 1'!AP1739</f>
        <v/>
      </c>
      <c r="AH618" s="4" t="str">
        <f>'Form responses 1'!AQ1739</f>
        <v/>
      </c>
      <c r="AI618" s="4" t="str">
        <f>'Form responses 1'!AR1739</f>
        <v/>
      </c>
    </row>
    <row r="619">
      <c r="A619" s="26">
        <f>'Form responses 1'!B621</f>
        <v>46071</v>
      </c>
      <c r="B619" s="4" t="str">
        <f>'Form responses 1'!AZ621</f>
        <v>moin.khan@capsdelivery.com</v>
      </c>
      <c r="C619" s="4" t="str">
        <f>'Form responses 1'!BR621</f>
        <v>GRANDSONS BADEMIYAN KEBAB AND RESTAURANT</v>
      </c>
      <c r="D619" s="4" t="str">
        <f>'Form responses 1'!AT621</f>
        <v>FOLLOW UP</v>
      </c>
      <c r="E619" s="4" t="str">
        <f>'Form responses 1'!AU621</f>
        <v>Yes</v>
      </c>
      <c r="F619" s="26">
        <f>'Form responses 1'!AX621</f>
        <v>46073</v>
      </c>
      <c r="G619" s="52">
        <f>'Form responses 1'!AY621</f>
        <v>0.7013888889</v>
      </c>
      <c r="H619" s="53" t="str">
        <f>'Form responses 1'!AW621</f>
        <v/>
      </c>
      <c r="I619" s="4" t="str">
        <f>'Form responses 1'!AS621</f>
        <v/>
      </c>
      <c r="J619" s="4" t="str">
        <f>'Form responses 1'!J621</f>
        <v/>
      </c>
      <c r="K619" s="4" t="str">
        <f>'Form responses 1'!G621</f>
        <v/>
      </c>
      <c r="L619" s="4" t="str">
        <f>'Form responses 1'!F621</f>
        <v/>
      </c>
      <c r="M619" s="4" t="str">
        <f>'Form responses 1'!U621</f>
        <v>SIRAJ</v>
      </c>
      <c r="N619" s="4" t="str">
        <f>'Form responses 1'!V621</f>
        <v>NA</v>
      </c>
      <c r="O619" s="4" t="str">
        <f>'Form responses 1'!W621</f>
        <v>NA</v>
      </c>
      <c r="P619" s="4" t="str">
        <f>'Form responses 1'!X621</f>
        <v/>
      </c>
      <c r="Q619" s="4" t="str">
        <f>'Form responses 1'!Y621</f>
        <v/>
      </c>
      <c r="R619" s="4" t="str">
        <f>'Form responses 1'!Z621</f>
        <v/>
      </c>
      <c r="S619" s="4" t="str">
        <f>'Form responses 1'!AC621</f>
        <v/>
      </c>
      <c r="T619" s="4" t="str">
        <f>'Form responses 1'!AE621</f>
        <v/>
      </c>
      <c r="U619" s="4" t="str">
        <f>'Form responses 1'!AG621</f>
        <v/>
      </c>
      <c r="V619" s="4" t="str">
        <f>'Form responses 1'!AI621</f>
        <v/>
      </c>
      <c r="W619" s="4" t="str">
        <f>'Form responses 1'!AJ621</f>
        <v/>
      </c>
      <c r="X619" s="4" t="str">
        <f>'Form responses 1'!AK621</f>
        <v/>
      </c>
      <c r="Y619" s="4">
        <f t="shared" ref="Y619:AD619" si="618">if(S619&gt;0,1,0)</f>
        <v>0</v>
      </c>
      <c r="Z619" s="4">
        <f t="shared" si="618"/>
        <v>0</v>
      </c>
      <c r="AA619" s="4">
        <f t="shared" si="618"/>
        <v>0</v>
      </c>
      <c r="AB619" s="4">
        <f t="shared" si="618"/>
        <v>0</v>
      </c>
      <c r="AC619" s="4">
        <f t="shared" si="618"/>
        <v>0</v>
      </c>
      <c r="AD619" s="4">
        <f t="shared" si="618"/>
        <v>0</v>
      </c>
      <c r="AE619" s="4" t="str">
        <f>'Form responses 1'!AN621</f>
        <v/>
      </c>
      <c r="AF619" s="4" t="str">
        <f>'Form responses 1'!AO1740</f>
        <v/>
      </c>
      <c r="AG619" s="4" t="str">
        <f>'Form responses 1'!AP1740</f>
        <v/>
      </c>
      <c r="AH619" s="4" t="str">
        <f>'Form responses 1'!AQ1740</f>
        <v/>
      </c>
      <c r="AI619" s="4" t="str">
        <f>'Form responses 1'!AR1740</f>
        <v/>
      </c>
    </row>
    <row r="620">
      <c r="A620" s="26">
        <f>'Form responses 1'!B622</f>
        <v>46071</v>
      </c>
      <c r="B620" s="4" t="str">
        <f>'Form responses 1'!AZ622</f>
        <v>moin.khan@capsdelivery.com</v>
      </c>
      <c r="C620" s="4" t="str">
        <f>'Form responses 1'!BR622</f>
        <v>AAHARA FOOD COURT</v>
      </c>
      <c r="D620" s="4" t="str">
        <f>'Form responses 1'!AT622</f>
        <v>ON BOARDING</v>
      </c>
      <c r="E620" s="4" t="str">
        <f>'Form responses 1'!AU622</f>
        <v>Yes</v>
      </c>
      <c r="F620" s="26">
        <f>'Form responses 1'!AX622</f>
        <v>46073</v>
      </c>
      <c r="G620" s="52">
        <f>'Form responses 1'!AY622</f>
        <v>0.625</v>
      </c>
      <c r="H620" s="53" t="str">
        <f>'Form responses 1'!AW622</f>
        <v/>
      </c>
      <c r="I620" s="4" t="str">
        <f>'Form responses 1'!AS622</f>
        <v>Yes</v>
      </c>
      <c r="J620" s="4" t="str">
        <f>'Form responses 1'!J622</f>
        <v/>
      </c>
      <c r="K620" s="4" t="str">
        <f>'Form responses 1'!G622</f>
        <v/>
      </c>
      <c r="L620" s="4" t="str">
        <f>'Form responses 1'!F622</f>
        <v/>
      </c>
      <c r="M620" s="4" t="str">
        <f>'Form responses 1'!U622</f>
        <v>AJAY</v>
      </c>
      <c r="N620" s="4">
        <f>'Form responses 1'!V622</f>
        <v>9247109555</v>
      </c>
      <c r="O620" s="4" t="str">
        <f>'Form responses 1'!W622</f>
        <v>NA</v>
      </c>
      <c r="P620" s="4" t="str">
        <f>'Form responses 1'!X622</f>
        <v/>
      </c>
      <c r="Q620" s="4" t="str">
        <f>'Form responses 1'!Y622</f>
        <v/>
      </c>
      <c r="R620" s="4" t="str">
        <f>'Form responses 1'!Z622</f>
        <v/>
      </c>
      <c r="S620" s="54" t="str">
        <f>'Form responses 1'!AC622</f>
        <v>https://drive.google.com/open?id=1_oMdjFshA5OacqXz-P5K3wFYDMTELQH3</v>
      </c>
      <c r="T620" s="4" t="str">
        <f>'Form responses 1'!AE622</f>
        <v/>
      </c>
      <c r="U620" s="54" t="str">
        <f>'Form responses 1'!AG622</f>
        <v>https://drive.google.com/open?id=1lEvwVgmvQfRvkTPM7gykXehs-Dwt-ffx</v>
      </c>
      <c r="V620" s="4" t="str">
        <f>'Form responses 1'!AI622</f>
        <v/>
      </c>
      <c r="W620" s="4" t="str">
        <f>'Form responses 1'!AJ622</f>
        <v/>
      </c>
      <c r="X620" s="54" t="str">
        <f>'Form responses 1'!AK622</f>
        <v>https://drive.google.com/open?id=1QjCULw6L2OGsSDChaQymVKSkeE7zaATb</v>
      </c>
      <c r="Y620" s="4">
        <f t="shared" ref="Y620:AD620" si="619">if(S620&gt;0,1,0)</f>
        <v>1</v>
      </c>
      <c r="Z620" s="4">
        <f t="shared" si="619"/>
        <v>0</v>
      </c>
      <c r="AA620" s="4">
        <f t="shared" si="619"/>
        <v>1</v>
      </c>
      <c r="AB620" s="4">
        <f t="shared" si="619"/>
        <v>0</v>
      </c>
      <c r="AC620" s="4">
        <f t="shared" si="619"/>
        <v>0</v>
      </c>
      <c r="AD620" s="4">
        <f t="shared" si="619"/>
        <v>1</v>
      </c>
      <c r="AE620" s="4" t="str">
        <f>'Form responses 1'!AN622</f>
        <v>GUNDRA AJAY KUMAR</v>
      </c>
      <c r="AF620" s="4" t="str">
        <f>'Form responses 1'!AO1741</f>
        <v/>
      </c>
      <c r="AG620" s="4" t="str">
        <f>'Form responses 1'!AP1741</f>
        <v/>
      </c>
      <c r="AH620" s="4" t="str">
        <f>'Form responses 1'!AQ1741</f>
        <v/>
      </c>
      <c r="AI620" s="4" t="str">
        <f>'Form responses 1'!AR1741</f>
        <v/>
      </c>
    </row>
    <row r="621">
      <c r="A621" s="26">
        <f>'Form responses 1'!B623</f>
        <v>46071</v>
      </c>
      <c r="B621" s="4" t="str">
        <f>'Form responses 1'!AZ623</f>
        <v>moin.khan@capsdelivery.com</v>
      </c>
      <c r="C621" s="4" t="str">
        <f>'Form responses 1'!BR623</f>
        <v>GULF BAKERS</v>
      </c>
      <c r="D621" s="4" t="str">
        <f>'Form responses 1'!AT623</f>
        <v>FOLLOW UP</v>
      </c>
      <c r="E621" s="4" t="str">
        <f>'Form responses 1'!AU623</f>
        <v>Yes</v>
      </c>
      <c r="F621" s="26">
        <f>'Form responses 1'!AX623</f>
        <v>46073</v>
      </c>
      <c r="G621" s="52">
        <f>'Form responses 1'!AY623</f>
        <v>0.75</v>
      </c>
      <c r="H621" s="53" t="str">
        <f>'Form responses 1'!AW623</f>
        <v/>
      </c>
      <c r="I621" s="4" t="str">
        <f>'Form responses 1'!AS623</f>
        <v/>
      </c>
      <c r="J621" s="4" t="str">
        <f>'Form responses 1'!J623</f>
        <v/>
      </c>
      <c r="K621" s="4" t="str">
        <f>'Form responses 1'!G623</f>
        <v/>
      </c>
      <c r="L621" s="4" t="str">
        <f>'Form responses 1'!F623</f>
        <v/>
      </c>
      <c r="M621" s="4" t="str">
        <f>'Form responses 1'!U623</f>
        <v>ROHAN</v>
      </c>
      <c r="N621" s="4">
        <f>'Form responses 1'!V623</f>
        <v>8617755298</v>
      </c>
      <c r="O621" s="4" t="str">
        <f>'Form responses 1'!W623</f>
        <v>NA</v>
      </c>
      <c r="P621" s="4" t="str">
        <f>'Form responses 1'!X623</f>
        <v/>
      </c>
      <c r="Q621" s="4" t="str">
        <f>'Form responses 1'!Y623</f>
        <v/>
      </c>
      <c r="R621" s="4" t="str">
        <f>'Form responses 1'!Z623</f>
        <v/>
      </c>
      <c r="S621" s="4" t="str">
        <f>'Form responses 1'!AC623</f>
        <v/>
      </c>
      <c r="T621" s="4" t="str">
        <f>'Form responses 1'!AE623</f>
        <v/>
      </c>
      <c r="U621" s="4" t="str">
        <f>'Form responses 1'!AG623</f>
        <v/>
      </c>
      <c r="V621" s="4" t="str">
        <f>'Form responses 1'!AI623</f>
        <v/>
      </c>
      <c r="W621" s="4" t="str">
        <f>'Form responses 1'!AJ623</f>
        <v/>
      </c>
      <c r="X621" s="4" t="str">
        <f>'Form responses 1'!AK623</f>
        <v/>
      </c>
      <c r="Y621" s="4">
        <f t="shared" ref="Y621:AD621" si="620">if(S621&gt;0,1,0)</f>
        <v>0</v>
      </c>
      <c r="Z621" s="4">
        <f t="shared" si="620"/>
        <v>0</v>
      </c>
      <c r="AA621" s="4">
        <f t="shared" si="620"/>
        <v>0</v>
      </c>
      <c r="AB621" s="4">
        <f t="shared" si="620"/>
        <v>0</v>
      </c>
      <c r="AC621" s="4">
        <f t="shared" si="620"/>
        <v>0</v>
      </c>
      <c r="AD621" s="4">
        <f t="shared" si="620"/>
        <v>0</v>
      </c>
      <c r="AE621" s="4" t="str">
        <f>'Form responses 1'!AN623</f>
        <v/>
      </c>
      <c r="AF621" s="4" t="str">
        <f>'Form responses 1'!AO1742</f>
        <v/>
      </c>
      <c r="AG621" s="4" t="str">
        <f>'Form responses 1'!AP1742</f>
        <v/>
      </c>
      <c r="AH621" s="4" t="str">
        <f>'Form responses 1'!AQ1742</f>
        <v/>
      </c>
      <c r="AI621" s="4" t="str">
        <f>'Form responses 1'!AR1742</f>
        <v/>
      </c>
    </row>
    <row r="622">
      <c r="A622" s="26">
        <f>'Form responses 1'!B624</f>
        <v>46071</v>
      </c>
      <c r="B622" s="4" t="str">
        <f>'Form responses 1'!AZ624</f>
        <v>moin.khan@capsdelivery.com</v>
      </c>
      <c r="C622" s="4" t="str">
        <f>'Form responses 1'!BR624</f>
        <v>JAI BHAVANI AK FOOD COURTJAI BHAVANI AK FOOD COURT</v>
      </c>
      <c r="D622" s="4" t="str">
        <f>'Form responses 1'!AT624</f>
        <v>ON BOARDED
</v>
      </c>
      <c r="E622" s="4" t="str">
        <f>'Form responses 1'!AU624</f>
        <v>Yes</v>
      </c>
      <c r="F622" s="26">
        <f>'Form responses 1'!AX624</f>
        <v>46073</v>
      </c>
      <c r="G622" s="52">
        <f>'Form responses 1'!AY624</f>
        <v>0.6041666667</v>
      </c>
      <c r="H622" s="53" t="str">
        <f>'Form responses 1'!AW624</f>
        <v>ASKED TO COME ON FRIDAY</v>
      </c>
      <c r="I622" s="4" t="str">
        <f>'Form responses 1'!AS624</f>
        <v>Yes</v>
      </c>
      <c r="J622" s="4" t="str">
        <f>'Form responses 1'!J624</f>
        <v/>
      </c>
      <c r="K622" s="4" t="str">
        <f>'Form responses 1'!G624</f>
        <v/>
      </c>
      <c r="L622" s="4" t="str">
        <f>'Form responses 1'!F624</f>
        <v/>
      </c>
      <c r="M622" s="4" t="str">
        <f>'Form responses 1'!U624</f>
        <v>PRAVEEN KUMAR</v>
      </c>
      <c r="N622" s="4">
        <f>'Form responses 1'!V624</f>
        <v>8096631022</v>
      </c>
      <c r="O622" s="4" t="str">
        <f>'Form responses 1'!W624</f>
        <v>NA</v>
      </c>
      <c r="P622" s="4" t="str">
        <f>'Form responses 1'!X624</f>
        <v/>
      </c>
      <c r="Q622" s="4" t="str">
        <f>'Form responses 1'!Y624</f>
        <v/>
      </c>
      <c r="R622" s="4" t="str">
        <f>'Form responses 1'!Z624</f>
        <v/>
      </c>
      <c r="S622" s="4" t="str">
        <f>'Form responses 1'!AC624</f>
        <v/>
      </c>
      <c r="T622" s="4" t="str">
        <f>'Form responses 1'!AE624</f>
        <v/>
      </c>
      <c r="U622" s="4" t="str">
        <f>'Form responses 1'!AG624</f>
        <v/>
      </c>
      <c r="V622" s="4" t="str">
        <f>'Form responses 1'!AI624</f>
        <v/>
      </c>
      <c r="W622" s="4" t="str">
        <f>'Form responses 1'!AJ624</f>
        <v/>
      </c>
      <c r="X622" s="4" t="str">
        <f>'Form responses 1'!AK624</f>
        <v/>
      </c>
      <c r="Y622" s="4">
        <f t="shared" ref="Y622:AD622" si="621">if(S622&gt;0,1,0)</f>
        <v>0</v>
      </c>
      <c r="Z622" s="4">
        <f t="shared" si="621"/>
        <v>0</v>
      </c>
      <c r="AA622" s="4">
        <f t="shared" si="621"/>
        <v>0</v>
      </c>
      <c r="AB622" s="4">
        <f t="shared" si="621"/>
        <v>0</v>
      </c>
      <c r="AC622" s="4">
        <f t="shared" si="621"/>
        <v>0</v>
      </c>
      <c r="AD622" s="4">
        <f t="shared" si="621"/>
        <v>0</v>
      </c>
      <c r="AE622" s="4" t="str">
        <f>'Form responses 1'!AN624</f>
        <v/>
      </c>
      <c r="AF622" s="4" t="str">
        <f>'Form responses 1'!AO1743</f>
        <v/>
      </c>
      <c r="AG622" s="4" t="str">
        <f>'Form responses 1'!AP1743</f>
        <v/>
      </c>
      <c r="AH622" s="4" t="str">
        <f>'Form responses 1'!AQ1743</f>
        <v/>
      </c>
      <c r="AI622" s="4" t="str">
        <f>'Form responses 1'!AR1743</f>
        <v/>
      </c>
    </row>
    <row r="623">
      <c r="A623" s="26">
        <f>'Form responses 1'!B625</f>
        <v>46071</v>
      </c>
      <c r="B623" s="4" t="str">
        <f>'Form responses 1'!AZ625</f>
        <v>moin.khan@capsdelivery.com</v>
      </c>
      <c r="C623" s="4" t="str">
        <f>'Form responses 1'!BR625</f>
        <v>SANGAM DHABA</v>
      </c>
      <c r="D623" s="4" t="str">
        <f>'Form responses 1'!AT625</f>
        <v>ONBOARDED</v>
      </c>
      <c r="E623" s="4" t="str">
        <f>'Form responses 1'!AU625</f>
        <v>Yes</v>
      </c>
      <c r="F623" s="26">
        <f>'Form responses 1'!AX625</f>
        <v>46076</v>
      </c>
      <c r="G623" s="52">
        <f>'Form responses 1'!AY625</f>
        <v>0.6145833333</v>
      </c>
      <c r="H623" s="53" t="str">
        <f>'Form responses 1'!AW625</f>
        <v>ASKED TO COLLECT DOCUMENTS ON MONDAY</v>
      </c>
      <c r="I623" s="4" t="str">
        <f>'Form responses 1'!AS625</f>
        <v/>
      </c>
      <c r="J623" s="4" t="str">
        <f>'Form responses 1'!J625</f>
        <v>Tier-1(AOV&gt;400)</v>
      </c>
      <c r="K623" s="4">
        <f>'Form responses 1'!G625</f>
        <v>500</v>
      </c>
      <c r="L623" s="4">
        <f>'Form responses 1'!F625</f>
        <v>50</v>
      </c>
      <c r="M623" s="4" t="str">
        <f>'Form responses 1'!U625</f>
        <v>KAILASH</v>
      </c>
      <c r="N623" s="4">
        <f>'Form responses 1'!V625</f>
        <v>7207477577</v>
      </c>
      <c r="O623" s="4" t="str">
        <f>'Form responses 1'!W625</f>
        <v>NA</v>
      </c>
      <c r="P623" s="4" t="str">
        <f>'Form responses 1'!X625</f>
        <v/>
      </c>
      <c r="Q623" s="4" t="str">
        <f>'Form responses 1'!Y625</f>
        <v/>
      </c>
      <c r="R623" s="4" t="str">
        <f>'Form responses 1'!Z625</f>
        <v/>
      </c>
      <c r="S623" s="4" t="str">
        <f>'Form responses 1'!AC625</f>
        <v/>
      </c>
      <c r="T623" s="4" t="str">
        <f>'Form responses 1'!AE625</f>
        <v/>
      </c>
      <c r="U623" s="4" t="str">
        <f>'Form responses 1'!AG625</f>
        <v/>
      </c>
      <c r="V623" s="4" t="str">
        <f>'Form responses 1'!AI625</f>
        <v/>
      </c>
      <c r="W623" s="4" t="str">
        <f>'Form responses 1'!AJ625</f>
        <v/>
      </c>
      <c r="X623" s="4" t="str">
        <f>'Form responses 1'!AK625</f>
        <v/>
      </c>
      <c r="Y623" s="4">
        <f t="shared" ref="Y623:AD623" si="622">if(S623&gt;0,1,0)</f>
        <v>0</v>
      </c>
      <c r="Z623" s="4">
        <f t="shared" si="622"/>
        <v>0</v>
      </c>
      <c r="AA623" s="4">
        <f t="shared" si="622"/>
        <v>0</v>
      </c>
      <c r="AB623" s="4">
        <f t="shared" si="622"/>
        <v>0</v>
      </c>
      <c r="AC623" s="4">
        <f t="shared" si="622"/>
        <v>0</v>
      </c>
      <c r="AD623" s="4">
        <f t="shared" si="622"/>
        <v>0</v>
      </c>
      <c r="AE623" s="4" t="str">
        <f>'Form responses 1'!AN625</f>
        <v/>
      </c>
      <c r="AF623" s="4" t="str">
        <f>'Form responses 1'!AO1744</f>
        <v/>
      </c>
      <c r="AG623" s="4" t="str">
        <f>'Form responses 1'!AP1744</f>
        <v/>
      </c>
      <c r="AH623" s="4" t="str">
        <f>'Form responses 1'!AQ1744</f>
        <v/>
      </c>
      <c r="AI623" s="4" t="str">
        <f>'Form responses 1'!AR1744</f>
        <v/>
      </c>
    </row>
    <row r="624">
      <c r="A624" s="26">
        <f>'Form responses 1'!B626</f>
        <v>46071</v>
      </c>
      <c r="B624" s="4" t="str">
        <f>'Form responses 1'!AZ626</f>
        <v>moin.khan@capsdelivery.com</v>
      </c>
      <c r="C624" s="4" t="str">
        <f>'Form responses 1'!BR626</f>
        <v>ASTRIO RESTAURANT</v>
      </c>
      <c r="D624" s="4" t="str">
        <f>'Form responses 1'!AT626</f>
        <v>ONBOARDED</v>
      </c>
      <c r="E624" s="4" t="str">
        <f>'Form responses 1'!AU626</f>
        <v>Yes</v>
      </c>
      <c r="F624" s="26">
        <f>'Form responses 1'!AX626</f>
        <v>46076</v>
      </c>
      <c r="G624" s="52">
        <f>'Form responses 1'!AY626</f>
        <v>0.6666666667</v>
      </c>
      <c r="H624" s="53" t="str">
        <f>'Form responses 1'!AW626</f>
        <v/>
      </c>
      <c r="I624" s="4" t="str">
        <f>'Form responses 1'!AS626</f>
        <v/>
      </c>
      <c r="J624" s="4" t="str">
        <f>'Form responses 1'!J626</f>
        <v>Tier-2 (AOV &lt;400)</v>
      </c>
      <c r="K624" s="4">
        <f>'Form responses 1'!G626</f>
        <v>300</v>
      </c>
      <c r="L624" s="4">
        <f>'Form responses 1'!F626</f>
        <v>60</v>
      </c>
      <c r="M624" s="4" t="str">
        <f>'Form responses 1'!U626</f>
        <v>ASLAM</v>
      </c>
      <c r="N624" s="4">
        <f>'Form responses 1'!V626</f>
        <v>9542781785</v>
      </c>
      <c r="O624" s="4" t="str">
        <f>'Form responses 1'!W626</f>
        <v>NA</v>
      </c>
      <c r="P624" s="4" t="str">
        <f>'Form responses 1'!X626</f>
        <v/>
      </c>
      <c r="Q624" s="4" t="str">
        <f>'Form responses 1'!Y626</f>
        <v/>
      </c>
      <c r="R624" s="4" t="str">
        <f>'Form responses 1'!Z626</f>
        <v/>
      </c>
      <c r="S624" s="4" t="str">
        <f>'Form responses 1'!AC626</f>
        <v/>
      </c>
      <c r="T624" s="4" t="str">
        <f>'Form responses 1'!AE626</f>
        <v/>
      </c>
      <c r="U624" s="4" t="str">
        <f>'Form responses 1'!AG626</f>
        <v/>
      </c>
      <c r="V624" s="4" t="str">
        <f>'Form responses 1'!AI626</f>
        <v/>
      </c>
      <c r="W624" s="4" t="str">
        <f>'Form responses 1'!AJ626</f>
        <v/>
      </c>
      <c r="X624" s="4" t="str">
        <f>'Form responses 1'!AK626</f>
        <v/>
      </c>
      <c r="Y624" s="4">
        <f t="shared" ref="Y624:AD624" si="623">if(S624&gt;0,1,0)</f>
        <v>0</v>
      </c>
      <c r="Z624" s="4">
        <f t="shared" si="623"/>
        <v>0</v>
      </c>
      <c r="AA624" s="4">
        <f t="shared" si="623"/>
        <v>0</v>
      </c>
      <c r="AB624" s="4">
        <f t="shared" si="623"/>
        <v>0</v>
      </c>
      <c r="AC624" s="4">
        <f t="shared" si="623"/>
        <v>0</v>
      </c>
      <c r="AD624" s="4">
        <f t="shared" si="623"/>
        <v>0</v>
      </c>
      <c r="AE624" s="4" t="str">
        <f>'Form responses 1'!AN626</f>
        <v/>
      </c>
      <c r="AF624" s="4" t="str">
        <f>'Form responses 1'!AO1745</f>
        <v/>
      </c>
      <c r="AG624" s="4" t="str">
        <f>'Form responses 1'!AP1745</f>
        <v/>
      </c>
      <c r="AH624" s="4" t="str">
        <f>'Form responses 1'!AQ1745</f>
        <v/>
      </c>
      <c r="AI624" s="4" t="str">
        <f>'Form responses 1'!AR1745</f>
        <v/>
      </c>
    </row>
    <row r="625">
      <c r="A625" s="26">
        <f>'Form responses 1'!B627</f>
        <v>46072</v>
      </c>
      <c r="B625" s="4" t="str">
        <f>'Form responses 1'!AZ627</f>
        <v>moin.khan@capsdelivery.com</v>
      </c>
      <c r="C625" s="4" t="str">
        <f>'Form responses 1'!BR627</f>
        <v>SK MUNNA RESTAURANT</v>
      </c>
      <c r="D625" s="4" t="str">
        <f>'Form responses 1'!AT627</f>
        <v>FOLLOW UP</v>
      </c>
      <c r="E625" s="4" t="str">
        <f>'Form responses 1'!AU627</f>
        <v>Yes</v>
      </c>
      <c r="F625" s="26">
        <f>'Form responses 1'!AX627</f>
        <v>46073</v>
      </c>
      <c r="G625" s="52">
        <f>'Form responses 1'!AY627</f>
        <v>0.6875</v>
      </c>
      <c r="H625" s="53" t="str">
        <f>'Form responses 1'!AW627</f>
        <v>OWNER WILL BE AVAILABLE  ON FRIDAY</v>
      </c>
      <c r="I625" s="4" t="str">
        <f>'Form responses 1'!AS627</f>
        <v/>
      </c>
      <c r="J625" s="4" t="str">
        <f>'Form responses 1'!J627</f>
        <v/>
      </c>
      <c r="K625" s="4" t="str">
        <f>'Form responses 1'!G627</f>
        <v/>
      </c>
      <c r="L625" s="4" t="str">
        <f>'Form responses 1'!F627</f>
        <v/>
      </c>
      <c r="M625" s="4" t="str">
        <f>'Form responses 1'!U627</f>
        <v>IMRAN</v>
      </c>
      <c r="N625" s="4">
        <f>'Form responses 1'!V627</f>
        <v>6300043595</v>
      </c>
      <c r="O625" s="4" t="str">
        <f>'Form responses 1'!W627</f>
        <v>NA</v>
      </c>
      <c r="P625" s="4" t="str">
        <f>'Form responses 1'!X627</f>
        <v/>
      </c>
      <c r="Q625" s="4" t="str">
        <f>'Form responses 1'!Y627</f>
        <v/>
      </c>
      <c r="R625" s="4" t="str">
        <f>'Form responses 1'!Z627</f>
        <v/>
      </c>
      <c r="S625" s="4" t="str">
        <f>'Form responses 1'!AC627</f>
        <v/>
      </c>
      <c r="T625" s="4" t="str">
        <f>'Form responses 1'!AE627</f>
        <v/>
      </c>
      <c r="U625" s="4" t="str">
        <f>'Form responses 1'!AG627</f>
        <v/>
      </c>
      <c r="V625" s="4" t="str">
        <f>'Form responses 1'!AI627</f>
        <v/>
      </c>
      <c r="W625" s="4" t="str">
        <f>'Form responses 1'!AJ627</f>
        <v/>
      </c>
      <c r="X625" s="4" t="str">
        <f>'Form responses 1'!AK627</f>
        <v/>
      </c>
      <c r="Y625" s="4">
        <f t="shared" ref="Y625:AD625" si="624">if(S625&gt;0,1,0)</f>
        <v>0</v>
      </c>
      <c r="Z625" s="4">
        <f t="shared" si="624"/>
        <v>0</v>
      </c>
      <c r="AA625" s="4">
        <f t="shared" si="624"/>
        <v>0</v>
      </c>
      <c r="AB625" s="4">
        <f t="shared" si="624"/>
        <v>0</v>
      </c>
      <c r="AC625" s="4">
        <f t="shared" si="624"/>
        <v>0</v>
      </c>
      <c r="AD625" s="4">
        <f t="shared" si="624"/>
        <v>0</v>
      </c>
      <c r="AE625" s="4" t="str">
        <f>'Form responses 1'!AN627</f>
        <v/>
      </c>
      <c r="AF625" s="4" t="str">
        <f>'Form responses 1'!AO1746</f>
        <v/>
      </c>
      <c r="AG625" s="4" t="str">
        <f>'Form responses 1'!AP1746</f>
        <v/>
      </c>
      <c r="AH625" s="4" t="str">
        <f>'Form responses 1'!AQ1746</f>
        <v/>
      </c>
      <c r="AI625" s="4" t="str">
        <f>'Form responses 1'!AR1746</f>
        <v/>
      </c>
    </row>
    <row r="626">
      <c r="A626" s="26">
        <f>'Form responses 1'!B628</f>
        <v>46072</v>
      </c>
      <c r="B626" s="4" t="str">
        <f>'Form responses 1'!AZ628</f>
        <v>moin.khan@capsdelivery.com</v>
      </c>
      <c r="C626" s="4" t="str">
        <f>'Form responses 1'!BR628</f>
        <v>DWARAKA MULTICUISINE RESTAURANT</v>
      </c>
      <c r="D626" s="4" t="str">
        <f>'Form responses 1'!AT628</f>
        <v>FOLLOW UP</v>
      </c>
      <c r="E626" s="4" t="str">
        <f>'Form responses 1'!AU628</f>
        <v>Yes</v>
      </c>
      <c r="F626" s="26">
        <f>'Form responses 1'!AX628</f>
        <v>46073</v>
      </c>
      <c r="G626" s="52">
        <f>'Form responses 1'!AY628</f>
        <v>0.9166666667</v>
      </c>
      <c r="H626" s="53" t="str">
        <f>'Form responses 1'!AW628</f>
        <v>OWNER WILL BE AVAILABLE AFTER 10 PM EVENING</v>
      </c>
      <c r="I626" s="4" t="str">
        <f>'Form responses 1'!AS628</f>
        <v/>
      </c>
      <c r="J626" s="4" t="str">
        <f>'Form responses 1'!J628</f>
        <v/>
      </c>
      <c r="K626" s="4" t="str">
        <f>'Form responses 1'!G628</f>
        <v/>
      </c>
      <c r="L626" s="4" t="str">
        <f>'Form responses 1'!F628</f>
        <v/>
      </c>
      <c r="M626" s="4" t="str">
        <f>'Form responses 1'!U628</f>
        <v>SANDEEP</v>
      </c>
      <c r="N626" s="4">
        <f>'Form responses 1'!V628</f>
        <v>8099941233</v>
      </c>
      <c r="O626" s="4" t="str">
        <f>'Form responses 1'!W628</f>
        <v>NA</v>
      </c>
      <c r="P626" s="4" t="str">
        <f>'Form responses 1'!X628</f>
        <v/>
      </c>
      <c r="Q626" s="4" t="str">
        <f>'Form responses 1'!Y628</f>
        <v/>
      </c>
      <c r="R626" s="4" t="str">
        <f>'Form responses 1'!Z628</f>
        <v/>
      </c>
      <c r="S626" s="4" t="str">
        <f>'Form responses 1'!AC628</f>
        <v/>
      </c>
      <c r="T626" s="4" t="str">
        <f>'Form responses 1'!AE628</f>
        <v/>
      </c>
      <c r="U626" s="4" t="str">
        <f>'Form responses 1'!AG628</f>
        <v/>
      </c>
      <c r="V626" s="4" t="str">
        <f>'Form responses 1'!AI628</f>
        <v/>
      </c>
      <c r="W626" s="4" t="str">
        <f>'Form responses 1'!AJ628</f>
        <v/>
      </c>
      <c r="X626" s="4" t="str">
        <f>'Form responses 1'!AK628</f>
        <v/>
      </c>
      <c r="Y626" s="4">
        <f t="shared" ref="Y626:AD626" si="625">if(S626&gt;0,1,0)</f>
        <v>0</v>
      </c>
      <c r="Z626" s="4">
        <f t="shared" si="625"/>
        <v>0</v>
      </c>
      <c r="AA626" s="4">
        <f t="shared" si="625"/>
        <v>0</v>
      </c>
      <c r="AB626" s="4">
        <f t="shared" si="625"/>
        <v>0</v>
      </c>
      <c r="AC626" s="4">
        <f t="shared" si="625"/>
        <v>0</v>
      </c>
      <c r="AD626" s="4">
        <f t="shared" si="625"/>
        <v>0</v>
      </c>
      <c r="AE626" s="4" t="str">
        <f>'Form responses 1'!AN628</f>
        <v/>
      </c>
      <c r="AF626" s="4" t="str">
        <f>'Form responses 1'!AO1747</f>
        <v/>
      </c>
      <c r="AG626" s="4" t="str">
        <f>'Form responses 1'!AP1747</f>
        <v/>
      </c>
      <c r="AH626" s="4" t="str">
        <f>'Form responses 1'!AQ1747</f>
        <v/>
      </c>
      <c r="AI626" s="4" t="str">
        <f>'Form responses 1'!AR1747</f>
        <v/>
      </c>
    </row>
    <row r="627">
      <c r="A627" s="26">
        <f>'Form responses 1'!B629</f>
        <v>46072</v>
      </c>
      <c r="B627" s="4" t="str">
        <f>'Form responses 1'!AZ629</f>
        <v>moin.khan@capsdelivery.com</v>
      </c>
      <c r="C627" s="4" t="str">
        <f>'Form responses 1'!BR629</f>
        <v>HYDERABAD SHAHI RESTAURANT</v>
      </c>
      <c r="D627" s="4" t="str">
        <f>'Form responses 1'!AT629</f>
        <v>FOLLOW UP</v>
      </c>
      <c r="E627" s="4" t="str">
        <f>'Form responses 1'!AU629</f>
        <v>Yes</v>
      </c>
      <c r="F627" s="26">
        <f>'Form responses 1'!AX629</f>
        <v>46073</v>
      </c>
      <c r="G627" s="52">
        <f>'Form responses 1'!AY629</f>
        <v>0.7083333333</v>
      </c>
      <c r="H627" s="53" t="str">
        <f>'Form responses 1'!AW629</f>
        <v>OWNER WILL AV AILABLE AFTER 5 PM</v>
      </c>
      <c r="I627" s="4" t="str">
        <f>'Form responses 1'!AS629</f>
        <v/>
      </c>
      <c r="J627" s="4" t="str">
        <f>'Form responses 1'!J629</f>
        <v/>
      </c>
      <c r="K627" s="4" t="str">
        <f>'Form responses 1'!G629</f>
        <v/>
      </c>
      <c r="L627" s="4" t="str">
        <f>'Form responses 1'!F629</f>
        <v/>
      </c>
      <c r="M627" s="4" t="str">
        <f>'Form responses 1'!U629</f>
        <v>YASHWANT</v>
      </c>
      <c r="N627" s="4">
        <f>'Form responses 1'!V629</f>
        <v>8074223013</v>
      </c>
      <c r="O627" s="4" t="str">
        <f>'Form responses 1'!W629</f>
        <v>NA</v>
      </c>
      <c r="P627" s="4" t="str">
        <f>'Form responses 1'!X629</f>
        <v/>
      </c>
      <c r="Q627" s="4" t="str">
        <f>'Form responses 1'!Y629</f>
        <v/>
      </c>
      <c r="R627" s="4" t="str">
        <f>'Form responses 1'!Z629</f>
        <v/>
      </c>
      <c r="S627" s="4" t="str">
        <f>'Form responses 1'!AC629</f>
        <v/>
      </c>
      <c r="T627" s="4" t="str">
        <f>'Form responses 1'!AE629</f>
        <v/>
      </c>
      <c r="U627" s="4" t="str">
        <f>'Form responses 1'!AG629</f>
        <v/>
      </c>
      <c r="V627" s="4" t="str">
        <f>'Form responses 1'!AI629</f>
        <v/>
      </c>
      <c r="W627" s="4" t="str">
        <f>'Form responses 1'!AJ629</f>
        <v/>
      </c>
      <c r="X627" s="4" t="str">
        <f>'Form responses 1'!AK629</f>
        <v/>
      </c>
      <c r="Y627" s="4">
        <f t="shared" ref="Y627:AD627" si="626">if(S627&gt;0,1,0)</f>
        <v>0</v>
      </c>
      <c r="Z627" s="4">
        <f t="shared" si="626"/>
        <v>0</v>
      </c>
      <c r="AA627" s="4">
        <f t="shared" si="626"/>
        <v>0</v>
      </c>
      <c r="AB627" s="4">
        <f t="shared" si="626"/>
        <v>0</v>
      </c>
      <c r="AC627" s="4">
        <f t="shared" si="626"/>
        <v>0</v>
      </c>
      <c r="AD627" s="4">
        <f t="shared" si="626"/>
        <v>0</v>
      </c>
      <c r="AE627" s="4" t="str">
        <f>'Form responses 1'!AN629</f>
        <v/>
      </c>
      <c r="AF627" s="4" t="str">
        <f>'Form responses 1'!AO1748</f>
        <v/>
      </c>
      <c r="AG627" s="4" t="str">
        <f>'Form responses 1'!AP1748</f>
        <v/>
      </c>
      <c r="AH627" s="4" t="str">
        <f>'Form responses 1'!AQ1748</f>
        <v/>
      </c>
      <c r="AI627" s="4" t="str">
        <f>'Form responses 1'!AR1748</f>
        <v/>
      </c>
    </row>
    <row r="628">
      <c r="A628" s="26">
        <f>'Form responses 1'!B630</f>
        <v>46072</v>
      </c>
      <c r="B628" s="4" t="str">
        <f>'Form responses 1'!AZ630</f>
        <v>moin.khan@capsdelivery.com</v>
      </c>
      <c r="C628" s="4" t="str">
        <f>'Form responses 1'!BR630</f>
        <v>NAIDUS FOOD COURT</v>
      </c>
      <c r="D628" s="4" t="str">
        <f>'Form responses 1'!AT630</f>
        <v>ONBOARDED</v>
      </c>
      <c r="E628" s="4" t="str">
        <f>'Form responses 1'!AU630</f>
        <v>Yes</v>
      </c>
      <c r="F628" s="26">
        <f>'Form responses 1'!AX630</f>
        <v>46073</v>
      </c>
      <c r="G628" s="52">
        <f>'Form responses 1'!AY630</f>
        <v>0.75</v>
      </c>
      <c r="H628" s="53" t="str">
        <f>'Form responses 1'!AW630</f>
        <v>HAVE TO TAKE GST AND EMAIL ID</v>
      </c>
      <c r="I628" s="4" t="str">
        <f>'Form responses 1'!AS630</f>
        <v>Yes</v>
      </c>
      <c r="J628" s="4" t="str">
        <f>'Form responses 1'!J630</f>
        <v>Tier-2 (AOV &lt;400)</v>
      </c>
      <c r="K628" s="4">
        <f>'Form responses 1'!G630</f>
        <v>250</v>
      </c>
      <c r="L628" s="4">
        <f>'Form responses 1'!F630</f>
        <v>50</v>
      </c>
      <c r="M628" s="4" t="str">
        <f>'Form responses 1'!U630</f>
        <v>SAI</v>
      </c>
      <c r="N628" s="4">
        <f>'Form responses 1'!V630</f>
        <v>7981933914</v>
      </c>
      <c r="O628" s="4" t="str">
        <f>'Form responses 1'!W630</f>
        <v>NA</v>
      </c>
      <c r="P628" s="4" t="str">
        <f>'Form responses 1'!X630</f>
        <v/>
      </c>
      <c r="Q628" s="4" t="str">
        <f>'Form responses 1'!Y630</f>
        <v/>
      </c>
      <c r="R628" s="4" t="str">
        <f>'Form responses 1'!Z630</f>
        <v/>
      </c>
      <c r="S628" s="54" t="str">
        <f>'Form responses 1'!AC630</f>
        <v>https://drive.google.com/open?id=1Vk7oOI9LH_xIejew7Y-jbw9vU268TCPa</v>
      </c>
      <c r="T628" s="4" t="str">
        <f>'Form responses 1'!AE630</f>
        <v/>
      </c>
      <c r="U628" s="54" t="str">
        <f>'Form responses 1'!AG630</f>
        <v>https://drive.google.com/open?id=1QNYcLPMeC0UgmXXSnFXDTAgyB8qfLFME</v>
      </c>
      <c r="V628" s="4" t="str">
        <f>'Form responses 1'!AI630</f>
        <v/>
      </c>
      <c r="W628" s="54" t="str">
        <f>'Form responses 1'!AJ630</f>
        <v>https://drive.google.com/open?id=1aI50gadedsudO6h3wLqQp1xHLebrCR10</v>
      </c>
      <c r="X628" s="54" t="str">
        <f>'Form responses 1'!AK630</f>
        <v>https://drive.google.com/open?id=1qBXCbE_vTaiYmE4_PYtfAjCd5k4f_Ji8</v>
      </c>
      <c r="Y628" s="4">
        <f t="shared" ref="Y628:AD628" si="627">if(S628&gt;0,1,0)</f>
        <v>1</v>
      </c>
      <c r="Z628" s="4">
        <f t="shared" si="627"/>
        <v>0</v>
      </c>
      <c r="AA628" s="4">
        <f t="shared" si="627"/>
        <v>1</v>
      </c>
      <c r="AB628" s="4">
        <f t="shared" si="627"/>
        <v>0</v>
      </c>
      <c r="AC628" s="4">
        <f t="shared" si="627"/>
        <v>1</v>
      </c>
      <c r="AD628" s="4">
        <f t="shared" si="627"/>
        <v>1</v>
      </c>
      <c r="AE628" s="4" t="str">
        <f>'Form responses 1'!AN630</f>
        <v>NAIDU FOOD COURT</v>
      </c>
      <c r="AF628" s="4" t="str">
        <f>'Form responses 1'!AO1749</f>
        <v/>
      </c>
      <c r="AG628" s="4" t="str">
        <f>'Form responses 1'!AP1749</f>
        <v/>
      </c>
      <c r="AH628" s="4" t="str">
        <f>'Form responses 1'!AQ1749</f>
        <v/>
      </c>
      <c r="AI628" s="4" t="str">
        <f>'Form responses 1'!AR1749</f>
        <v/>
      </c>
    </row>
    <row r="629">
      <c r="A629" s="26">
        <f>'Form responses 1'!B631</f>
        <v>46070</v>
      </c>
      <c r="B629" s="4" t="str">
        <f>'Form responses 1'!AZ631</f>
        <v>sumadhur.mummadi@capsdelivery.com</v>
      </c>
      <c r="C629" s="4" t="str">
        <f>'Form responses 1'!BR631</f>
        <v>Dine o china</v>
      </c>
      <c r="D629" s="4" t="str">
        <f>'Form responses 1'!AT631</f>
        <v>The manager syed isn't answering calls. Wil followup up directly </v>
      </c>
      <c r="E629" s="4" t="str">
        <f>'Form responses 1'!AU631</f>
        <v>Yes</v>
      </c>
      <c r="F629" s="4" t="str">
        <f>'Form responses 1'!AX631</f>
        <v/>
      </c>
      <c r="G629" s="4" t="str">
        <f>'Form responses 1'!AY631</f>
        <v/>
      </c>
      <c r="H629" s="53" t="str">
        <f>'Form responses 1'!AW631</f>
        <v/>
      </c>
      <c r="I629" s="4" t="str">
        <f>'Form responses 1'!AS631</f>
        <v/>
      </c>
      <c r="J629" s="4" t="str">
        <f>'Form responses 1'!J631</f>
        <v/>
      </c>
      <c r="K629" s="4" t="str">
        <f>'Form responses 1'!G631</f>
        <v/>
      </c>
      <c r="L629" s="4" t="str">
        <f>'Form responses 1'!F631</f>
        <v/>
      </c>
      <c r="M629" s="4" t="str">
        <f>'Form responses 1'!U631</f>
        <v>Syed </v>
      </c>
      <c r="N629" s="4">
        <f>'Form responses 1'!V631</f>
        <v>9603123374</v>
      </c>
      <c r="O629" s="4" t="str">
        <f>'Form responses 1'!W631</f>
        <v>NA </v>
      </c>
      <c r="P629" s="4" t="str">
        <f>'Form responses 1'!X631</f>
        <v/>
      </c>
      <c r="Q629" s="4" t="str">
        <f>'Form responses 1'!Y631</f>
        <v/>
      </c>
      <c r="R629" s="4" t="str">
        <f>'Form responses 1'!Z631</f>
        <v/>
      </c>
      <c r="S629" s="4" t="str">
        <f>'Form responses 1'!AC631</f>
        <v/>
      </c>
      <c r="T629" s="4" t="str">
        <f>'Form responses 1'!AE631</f>
        <v/>
      </c>
      <c r="U629" s="4" t="str">
        <f>'Form responses 1'!AG631</f>
        <v/>
      </c>
      <c r="V629" s="4" t="str">
        <f>'Form responses 1'!AI631</f>
        <v/>
      </c>
      <c r="W629" s="4" t="str">
        <f>'Form responses 1'!AJ631</f>
        <v/>
      </c>
      <c r="X629" s="4" t="str">
        <f>'Form responses 1'!AK631</f>
        <v/>
      </c>
      <c r="Y629" s="4">
        <f t="shared" ref="Y629:AD629" si="628">if(S629&gt;0,1,0)</f>
        <v>0</v>
      </c>
      <c r="Z629" s="4">
        <f t="shared" si="628"/>
        <v>0</v>
      </c>
      <c r="AA629" s="4">
        <f t="shared" si="628"/>
        <v>0</v>
      </c>
      <c r="AB629" s="4">
        <f t="shared" si="628"/>
        <v>0</v>
      </c>
      <c r="AC629" s="4">
        <f t="shared" si="628"/>
        <v>0</v>
      </c>
      <c r="AD629" s="4">
        <f t="shared" si="628"/>
        <v>0</v>
      </c>
      <c r="AE629" s="4" t="str">
        <f>'Form responses 1'!AN631</f>
        <v/>
      </c>
      <c r="AF629" s="4" t="str">
        <f>'Form responses 1'!AO1750</f>
        <v/>
      </c>
      <c r="AG629" s="4" t="str">
        <f>'Form responses 1'!AP1750</f>
        <v/>
      </c>
      <c r="AH629" s="4" t="str">
        <f>'Form responses 1'!AQ1750</f>
        <v/>
      </c>
      <c r="AI629" s="4" t="str">
        <f>'Form responses 1'!AR1750</f>
        <v/>
      </c>
    </row>
    <row r="630">
      <c r="A630" s="26">
        <f>'Form responses 1'!B632</f>
        <v>46070</v>
      </c>
      <c r="B630" s="4" t="str">
        <f>'Form responses 1'!AZ632</f>
        <v>sumadhur.mummadi@capsdelivery.com</v>
      </c>
      <c r="C630" s="4" t="str">
        <f>'Form responses 1'!BR632</f>
        <v>Arya tiffinsArya tiffins</v>
      </c>
      <c r="D630" s="4" t="str">
        <f>'Form responses 1'!AT632</f>
        <v>He wants to check the app after launch to come to a decision. Will follow up again </v>
      </c>
      <c r="E630" s="4" t="str">
        <f>'Form responses 1'!AU632</f>
        <v>Yes</v>
      </c>
      <c r="F630" s="4" t="str">
        <f>'Form responses 1'!AX632</f>
        <v/>
      </c>
      <c r="G630" s="4" t="str">
        <f>'Form responses 1'!AY632</f>
        <v/>
      </c>
      <c r="H630" s="53" t="str">
        <f>'Form responses 1'!AW632</f>
        <v/>
      </c>
      <c r="I630" s="4" t="str">
        <f>'Form responses 1'!AS632</f>
        <v/>
      </c>
      <c r="J630" s="4" t="str">
        <f>'Form responses 1'!J632</f>
        <v/>
      </c>
      <c r="K630" s="4" t="str">
        <f>'Form responses 1'!G632</f>
        <v/>
      </c>
      <c r="L630" s="4" t="str">
        <f>'Form responses 1'!F632</f>
        <v/>
      </c>
      <c r="M630" s="4" t="str">
        <f>'Form responses 1'!U632</f>
        <v>Rakesh</v>
      </c>
      <c r="N630" s="4">
        <f>'Form responses 1'!V632</f>
        <v>6300</v>
      </c>
      <c r="O630" s="4" t="str">
        <f>'Form responses 1'!W632</f>
        <v>NA </v>
      </c>
      <c r="P630" s="4" t="str">
        <f>'Form responses 1'!X632</f>
        <v/>
      </c>
      <c r="Q630" s="4" t="str">
        <f>'Form responses 1'!Y632</f>
        <v/>
      </c>
      <c r="R630" s="4" t="str">
        <f>'Form responses 1'!Z632</f>
        <v/>
      </c>
      <c r="S630" s="4" t="str">
        <f>'Form responses 1'!AC632</f>
        <v/>
      </c>
      <c r="T630" s="4" t="str">
        <f>'Form responses 1'!AE632</f>
        <v/>
      </c>
      <c r="U630" s="4" t="str">
        <f>'Form responses 1'!AG632</f>
        <v/>
      </c>
      <c r="V630" s="4" t="str">
        <f>'Form responses 1'!AI632</f>
        <v/>
      </c>
      <c r="W630" s="4" t="str">
        <f>'Form responses 1'!AJ632</f>
        <v/>
      </c>
      <c r="X630" s="4" t="str">
        <f>'Form responses 1'!AK632</f>
        <v/>
      </c>
      <c r="Y630" s="4">
        <f t="shared" ref="Y630:AD630" si="629">if(S630&gt;0,1,0)</f>
        <v>0</v>
      </c>
      <c r="Z630" s="4">
        <f t="shared" si="629"/>
        <v>0</v>
      </c>
      <c r="AA630" s="4">
        <f t="shared" si="629"/>
        <v>0</v>
      </c>
      <c r="AB630" s="4">
        <f t="shared" si="629"/>
        <v>0</v>
      </c>
      <c r="AC630" s="4">
        <f t="shared" si="629"/>
        <v>0</v>
      </c>
      <c r="AD630" s="4">
        <f t="shared" si="629"/>
        <v>0</v>
      </c>
      <c r="AE630" s="4" t="str">
        <f>'Form responses 1'!AN632</f>
        <v/>
      </c>
      <c r="AF630" s="4" t="str">
        <f>'Form responses 1'!AO1751</f>
        <v/>
      </c>
      <c r="AG630" s="4" t="str">
        <f>'Form responses 1'!AP1751</f>
        <v/>
      </c>
      <c r="AH630" s="4" t="str">
        <f>'Form responses 1'!AQ1751</f>
        <v/>
      </c>
      <c r="AI630" s="4" t="str">
        <f>'Form responses 1'!AR1751</f>
        <v/>
      </c>
    </row>
    <row r="631">
      <c r="A631" s="26">
        <f>'Form responses 1'!B633</f>
        <v>46070</v>
      </c>
      <c r="B631" s="4" t="str">
        <f>'Form responses 1'!AZ633</f>
        <v>sumadhur.mummadi@capsdelivery.com</v>
      </c>
      <c r="C631" s="4" t="str">
        <f>'Form responses 1'!BR633</f>
        <v>Subway</v>
      </c>
      <c r="D631" s="4" t="str">
        <f>'Form responses 1'!AT633</f>
        <v>Mr Ram said he will follow up after two days. Will follow up today</v>
      </c>
      <c r="E631" s="4" t="str">
        <f>'Form responses 1'!AU633</f>
        <v>Yes</v>
      </c>
      <c r="F631" s="4" t="str">
        <f>'Form responses 1'!AX633</f>
        <v/>
      </c>
      <c r="G631" s="4" t="str">
        <f>'Form responses 1'!AY633</f>
        <v/>
      </c>
      <c r="H631" s="53" t="str">
        <f>'Form responses 1'!AW633</f>
        <v/>
      </c>
      <c r="I631" s="4" t="str">
        <f>'Form responses 1'!AS633</f>
        <v/>
      </c>
      <c r="J631" s="4" t="str">
        <f>'Form responses 1'!J633</f>
        <v/>
      </c>
      <c r="K631" s="4" t="str">
        <f>'Form responses 1'!G633</f>
        <v/>
      </c>
      <c r="L631" s="4" t="str">
        <f>'Form responses 1'!F633</f>
        <v/>
      </c>
      <c r="M631" s="4" t="str">
        <f>'Form responses 1'!U633</f>
        <v>Ram </v>
      </c>
      <c r="N631" s="4">
        <f>'Form responses 1'!V633</f>
        <v>8143117473</v>
      </c>
      <c r="O631" s="4" t="str">
        <f>'Form responses 1'!W633</f>
        <v>NA </v>
      </c>
      <c r="P631" s="4" t="str">
        <f>'Form responses 1'!X633</f>
        <v/>
      </c>
      <c r="Q631" s="4" t="str">
        <f>'Form responses 1'!Y633</f>
        <v/>
      </c>
      <c r="R631" s="4" t="str">
        <f>'Form responses 1'!Z633</f>
        <v/>
      </c>
      <c r="S631" s="4" t="str">
        <f>'Form responses 1'!AC633</f>
        <v/>
      </c>
      <c r="T631" s="4" t="str">
        <f>'Form responses 1'!AE633</f>
        <v/>
      </c>
      <c r="U631" s="4" t="str">
        <f>'Form responses 1'!AG633</f>
        <v/>
      </c>
      <c r="V631" s="4" t="str">
        <f>'Form responses 1'!AI633</f>
        <v/>
      </c>
      <c r="W631" s="4" t="str">
        <f>'Form responses 1'!AJ633</f>
        <v/>
      </c>
      <c r="X631" s="4" t="str">
        <f>'Form responses 1'!AK633</f>
        <v/>
      </c>
      <c r="Y631" s="4">
        <f t="shared" ref="Y631:AD631" si="630">if(S631&gt;0,1,0)</f>
        <v>0</v>
      </c>
      <c r="Z631" s="4">
        <f t="shared" si="630"/>
        <v>0</v>
      </c>
      <c r="AA631" s="4">
        <f t="shared" si="630"/>
        <v>0</v>
      </c>
      <c r="AB631" s="4">
        <f t="shared" si="630"/>
        <v>0</v>
      </c>
      <c r="AC631" s="4">
        <f t="shared" si="630"/>
        <v>0</v>
      </c>
      <c r="AD631" s="4">
        <f t="shared" si="630"/>
        <v>0</v>
      </c>
      <c r="AE631" s="4" t="str">
        <f>'Form responses 1'!AN633</f>
        <v/>
      </c>
      <c r="AF631" s="4" t="str">
        <f>'Form responses 1'!AO1752</f>
        <v/>
      </c>
      <c r="AG631" s="4" t="str">
        <f>'Form responses 1'!AP1752</f>
        <v/>
      </c>
      <c r="AH631" s="4" t="str">
        <f>'Form responses 1'!AQ1752</f>
        <v/>
      </c>
      <c r="AI631" s="4" t="str">
        <f>'Form responses 1'!AR1752</f>
        <v/>
      </c>
    </row>
    <row r="632">
      <c r="A632" s="26">
        <f>'Form responses 1'!B634</f>
        <v>46070</v>
      </c>
      <c r="B632" s="4" t="str">
        <f>'Form responses 1'!AZ634</f>
        <v>sumadhur.mummadi@capsdelivery.com</v>
      </c>
      <c r="C632" s="4" t="str">
        <f>'Form responses 1'!BR634</f>
        <v>Waffles N More</v>
      </c>
      <c r="D632" s="4" t="str">
        <f>'Form responses 1'!AT634</f>
        <v>Their orders per day 5 , so I don't think they can be onboarded</v>
      </c>
      <c r="E632" s="4" t="str">
        <f>'Form responses 1'!AU634</f>
        <v>No</v>
      </c>
      <c r="F632" s="4" t="str">
        <f>'Form responses 1'!AX634</f>
        <v/>
      </c>
      <c r="G632" s="4" t="str">
        <f>'Form responses 1'!AY634</f>
        <v/>
      </c>
      <c r="H632" s="53" t="str">
        <f>'Form responses 1'!AW634</f>
        <v/>
      </c>
      <c r="I632" s="4" t="str">
        <f>'Form responses 1'!AS634</f>
        <v/>
      </c>
      <c r="J632" s="4" t="str">
        <f>'Form responses 1'!J634</f>
        <v/>
      </c>
      <c r="K632" s="4" t="str">
        <f>'Form responses 1'!G634</f>
        <v/>
      </c>
      <c r="L632" s="4" t="str">
        <f>'Form responses 1'!F634</f>
        <v/>
      </c>
      <c r="M632" s="4" t="str">
        <f>'Form responses 1'!U634</f>
        <v>Neethu sethia</v>
      </c>
      <c r="N632" s="4">
        <f>'Form responses 1'!V634</f>
        <v>9247499482</v>
      </c>
      <c r="O632" s="4" t="str">
        <f>'Form responses 1'!W634</f>
        <v>NA </v>
      </c>
      <c r="P632" s="4" t="str">
        <f>'Form responses 1'!X634</f>
        <v/>
      </c>
      <c r="Q632" s="4" t="str">
        <f>'Form responses 1'!Y634</f>
        <v/>
      </c>
      <c r="R632" s="4" t="str">
        <f>'Form responses 1'!Z634</f>
        <v/>
      </c>
      <c r="S632" s="4" t="str">
        <f>'Form responses 1'!AC634</f>
        <v/>
      </c>
      <c r="T632" s="4" t="str">
        <f>'Form responses 1'!AE634</f>
        <v/>
      </c>
      <c r="U632" s="4" t="str">
        <f>'Form responses 1'!AG634</f>
        <v/>
      </c>
      <c r="V632" s="4" t="str">
        <f>'Form responses 1'!AI634</f>
        <v/>
      </c>
      <c r="W632" s="4" t="str">
        <f>'Form responses 1'!AJ634</f>
        <v/>
      </c>
      <c r="X632" s="4" t="str">
        <f>'Form responses 1'!AK634</f>
        <v/>
      </c>
      <c r="Y632" s="4">
        <f t="shared" ref="Y632:AD632" si="631">if(S632&gt;0,1,0)</f>
        <v>0</v>
      </c>
      <c r="Z632" s="4">
        <f t="shared" si="631"/>
        <v>0</v>
      </c>
      <c r="AA632" s="4">
        <f t="shared" si="631"/>
        <v>0</v>
      </c>
      <c r="AB632" s="4">
        <f t="shared" si="631"/>
        <v>0</v>
      </c>
      <c r="AC632" s="4">
        <f t="shared" si="631"/>
        <v>0</v>
      </c>
      <c r="AD632" s="4">
        <f t="shared" si="631"/>
        <v>0</v>
      </c>
      <c r="AE632" s="4" t="str">
        <f>'Form responses 1'!AN634</f>
        <v/>
      </c>
      <c r="AF632" s="4" t="str">
        <f>'Form responses 1'!AO1753</f>
        <v/>
      </c>
      <c r="AG632" s="4" t="str">
        <f>'Form responses 1'!AP1753</f>
        <v/>
      </c>
      <c r="AH632" s="4" t="str">
        <f>'Form responses 1'!AQ1753</f>
        <v/>
      </c>
      <c r="AI632" s="4" t="str">
        <f>'Form responses 1'!AR1753</f>
        <v/>
      </c>
    </row>
    <row r="633">
      <c r="A633" s="26">
        <f>'Form responses 1'!B635</f>
        <v>46070</v>
      </c>
      <c r="B633" s="4" t="str">
        <f>'Form responses 1'!AZ635</f>
        <v>sumadhur.mummadi@capsdelivery.com</v>
      </c>
      <c r="C633" s="4" t="str">
        <f>'Form responses 1'!BR635</f>
        <v>Sai Ram tiffins Sai Ram tiffins </v>
      </c>
      <c r="D633" s="4" t="str">
        <f>'Form responses 1'!AT635</f>
        <v>He said he will onboard today at 12:30 pm. I will get him onboarded</v>
      </c>
      <c r="E633" s="4" t="str">
        <f>'Form responses 1'!AU635</f>
        <v>Yes</v>
      </c>
      <c r="F633" s="26">
        <f>'Form responses 1'!AX635</f>
        <v>46073</v>
      </c>
      <c r="G633" s="52">
        <f>'Form responses 1'!AY635</f>
        <v>0.5208333333</v>
      </c>
      <c r="H633" s="53" t="str">
        <f>'Form responses 1'!AW635</f>
        <v/>
      </c>
      <c r="I633" s="4" t="str">
        <f>'Form responses 1'!AS635</f>
        <v/>
      </c>
      <c r="J633" s="4" t="str">
        <f>'Form responses 1'!J635</f>
        <v/>
      </c>
      <c r="K633" s="4" t="str">
        <f>'Form responses 1'!G635</f>
        <v/>
      </c>
      <c r="L633" s="4" t="str">
        <f>'Form responses 1'!F635</f>
        <v/>
      </c>
      <c r="M633" s="4" t="str">
        <f>'Form responses 1'!U635</f>
        <v>Sai ram</v>
      </c>
      <c r="N633" s="4">
        <f>'Form responses 1'!V635</f>
        <v>9959838242</v>
      </c>
      <c r="O633" s="4" t="str">
        <f>'Form responses 1'!W635</f>
        <v>NA </v>
      </c>
      <c r="P633" s="4" t="str">
        <f>'Form responses 1'!X635</f>
        <v/>
      </c>
      <c r="Q633" s="4" t="str">
        <f>'Form responses 1'!Y635</f>
        <v/>
      </c>
      <c r="R633" s="4" t="str">
        <f>'Form responses 1'!Z635</f>
        <v/>
      </c>
      <c r="S633" s="4" t="str">
        <f>'Form responses 1'!AC635</f>
        <v/>
      </c>
      <c r="T633" s="4" t="str">
        <f>'Form responses 1'!AE635</f>
        <v/>
      </c>
      <c r="U633" s="4" t="str">
        <f>'Form responses 1'!AG635</f>
        <v/>
      </c>
      <c r="V633" s="4" t="str">
        <f>'Form responses 1'!AI635</f>
        <v/>
      </c>
      <c r="W633" s="4" t="str">
        <f>'Form responses 1'!AJ635</f>
        <v/>
      </c>
      <c r="X633" s="4" t="str">
        <f>'Form responses 1'!AK635</f>
        <v/>
      </c>
      <c r="Y633" s="4">
        <f t="shared" ref="Y633:AD633" si="632">if(S633&gt;0,1,0)</f>
        <v>0</v>
      </c>
      <c r="Z633" s="4">
        <f t="shared" si="632"/>
        <v>0</v>
      </c>
      <c r="AA633" s="4">
        <f t="shared" si="632"/>
        <v>0</v>
      </c>
      <c r="AB633" s="4">
        <f t="shared" si="632"/>
        <v>0</v>
      </c>
      <c r="AC633" s="4">
        <f t="shared" si="632"/>
        <v>0</v>
      </c>
      <c r="AD633" s="4">
        <f t="shared" si="632"/>
        <v>0</v>
      </c>
      <c r="AE633" s="4" t="str">
        <f>'Form responses 1'!AN635</f>
        <v/>
      </c>
      <c r="AF633" s="4" t="str">
        <f>'Form responses 1'!AO1754</f>
        <v/>
      </c>
      <c r="AG633" s="4" t="str">
        <f>'Form responses 1'!AP1754</f>
        <v/>
      </c>
      <c r="AH633" s="4" t="str">
        <f>'Form responses 1'!AQ1754</f>
        <v/>
      </c>
      <c r="AI633" s="4" t="str">
        <f>'Form responses 1'!AR1754</f>
        <v/>
      </c>
    </row>
    <row r="634">
      <c r="A634" s="26">
        <f>'Form responses 1'!B636</f>
        <v>46070</v>
      </c>
      <c r="B634" s="4" t="str">
        <f>'Form responses 1'!AZ636</f>
        <v>sumadhur.mummadi@capsdelivery.com</v>
      </c>
      <c r="C634" s="4" t="str">
        <f>'Form responses 1'!BR636</f>
        <v>Nosh bistro </v>
      </c>
      <c r="D634" s="4" t="str">
        <f>'Form responses 1'!AT636</f>
        <v>He is available everyday day at 13:00 at the outlet. Will follow up and get him onboarded</v>
      </c>
      <c r="E634" s="4" t="str">
        <f>'Form responses 1'!AU636</f>
        <v>Yes</v>
      </c>
      <c r="F634" s="26">
        <f>'Form responses 1'!AX636</f>
        <v>46073</v>
      </c>
      <c r="G634" s="52">
        <f>'Form responses 1'!AY636</f>
        <v>0.5416666667</v>
      </c>
      <c r="H634" s="53" t="str">
        <f>'Form responses 1'!AW636</f>
        <v/>
      </c>
      <c r="I634" s="4" t="str">
        <f>'Form responses 1'!AS636</f>
        <v/>
      </c>
      <c r="J634" s="4" t="str">
        <f>'Form responses 1'!J636</f>
        <v/>
      </c>
      <c r="K634" s="4" t="str">
        <f>'Form responses 1'!G636</f>
        <v/>
      </c>
      <c r="L634" s="4" t="str">
        <f>'Form responses 1'!F636</f>
        <v/>
      </c>
      <c r="M634" s="4" t="str">
        <f>'Form responses 1'!U636</f>
        <v>Abhishek</v>
      </c>
      <c r="N634" s="4">
        <f>'Form responses 1'!V636</f>
        <v>6307547076</v>
      </c>
      <c r="O634" s="4" t="str">
        <f>'Form responses 1'!W636</f>
        <v>NA </v>
      </c>
      <c r="P634" s="4" t="str">
        <f>'Form responses 1'!X636</f>
        <v/>
      </c>
      <c r="Q634" s="4" t="str">
        <f>'Form responses 1'!Y636</f>
        <v/>
      </c>
      <c r="R634" s="4" t="str">
        <f>'Form responses 1'!Z636</f>
        <v/>
      </c>
      <c r="S634" s="4" t="str">
        <f>'Form responses 1'!AC636</f>
        <v/>
      </c>
      <c r="T634" s="4" t="str">
        <f>'Form responses 1'!AE636</f>
        <v/>
      </c>
      <c r="U634" s="4" t="str">
        <f>'Form responses 1'!AG636</f>
        <v/>
      </c>
      <c r="V634" s="4" t="str">
        <f>'Form responses 1'!AI636</f>
        <v/>
      </c>
      <c r="W634" s="4" t="str">
        <f>'Form responses 1'!AJ636</f>
        <v/>
      </c>
      <c r="X634" s="4" t="str">
        <f>'Form responses 1'!AK636</f>
        <v/>
      </c>
      <c r="Y634" s="4">
        <f t="shared" ref="Y634:AD634" si="633">if(S634&gt;0,1,0)</f>
        <v>0</v>
      </c>
      <c r="Z634" s="4">
        <f t="shared" si="633"/>
        <v>0</v>
      </c>
      <c r="AA634" s="4">
        <f t="shared" si="633"/>
        <v>0</v>
      </c>
      <c r="AB634" s="4">
        <f t="shared" si="633"/>
        <v>0</v>
      </c>
      <c r="AC634" s="4">
        <f t="shared" si="633"/>
        <v>0</v>
      </c>
      <c r="AD634" s="4">
        <f t="shared" si="633"/>
        <v>0</v>
      </c>
      <c r="AE634" s="4" t="str">
        <f>'Form responses 1'!AN636</f>
        <v/>
      </c>
      <c r="AF634" s="4" t="str">
        <f>'Form responses 1'!AO1755</f>
        <v/>
      </c>
      <c r="AG634" s="4" t="str">
        <f>'Form responses 1'!AP1755</f>
        <v/>
      </c>
      <c r="AH634" s="4" t="str">
        <f>'Form responses 1'!AQ1755</f>
        <v/>
      </c>
      <c r="AI634" s="4" t="str">
        <f>'Form responses 1'!AR1755</f>
        <v/>
      </c>
    </row>
    <row r="635">
      <c r="A635" s="26">
        <f>'Form responses 1'!B637</f>
        <v>46070</v>
      </c>
      <c r="B635" s="4" t="str">
        <f>'Form responses 1'!AZ637</f>
        <v>sumadhur.mummadi@capsdelivery.com</v>
      </c>
      <c r="C635" s="4" t="str">
        <f>'Form responses 1'!BR637</f>
        <v>Vasudo dhaba Vasudo dhaba </v>
      </c>
      <c r="D635" s="4" t="str">
        <f>'Form responses 1'!AT637</f>
        <v>I have followed up on 19th Feb but he wasn't answering calls</v>
      </c>
      <c r="E635" s="4" t="str">
        <f>'Form responses 1'!AU637</f>
        <v>No</v>
      </c>
      <c r="F635" s="4" t="str">
        <f>'Form responses 1'!AX637</f>
        <v/>
      </c>
      <c r="G635" s="4" t="str">
        <f>'Form responses 1'!AY637</f>
        <v/>
      </c>
      <c r="H635" s="53" t="str">
        <f>'Form responses 1'!AW637</f>
        <v/>
      </c>
      <c r="I635" s="4" t="str">
        <f>'Form responses 1'!AS637</f>
        <v/>
      </c>
      <c r="J635" s="4" t="str">
        <f>'Form responses 1'!J637</f>
        <v/>
      </c>
      <c r="K635" s="4" t="str">
        <f>'Form responses 1'!G637</f>
        <v/>
      </c>
      <c r="L635" s="4" t="str">
        <f>'Form responses 1'!F637</f>
        <v/>
      </c>
      <c r="M635" s="4" t="str">
        <f>'Form responses 1'!U637</f>
        <v>Suresh</v>
      </c>
      <c r="N635" s="4">
        <f>'Form responses 1'!V637</f>
        <v>8074010978</v>
      </c>
      <c r="O635" s="4" t="str">
        <f>'Form responses 1'!W637</f>
        <v>NA </v>
      </c>
      <c r="P635" s="4" t="str">
        <f>'Form responses 1'!X637</f>
        <v/>
      </c>
      <c r="Q635" s="4" t="str">
        <f>'Form responses 1'!Y637</f>
        <v/>
      </c>
      <c r="R635" s="4" t="str">
        <f>'Form responses 1'!Z637</f>
        <v/>
      </c>
      <c r="S635" s="4" t="str">
        <f>'Form responses 1'!AC637</f>
        <v/>
      </c>
      <c r="T635" s="4" t="str">
        <f>'Form responses 1'!AE637</f>
        <v/>
      </c>
      <c r="U635" s="4" t="str">
        <f>'Form responses 1'!AG637</f>
        <v/>
      </c>
      <c r="V635" s="4" t="str">
        <f>'Form responses 1'!AI637</f>
        <v/>
      </c>
      <c r="W635" s="4" t="str">
        <f>'Form responses 1'!AJ637</f>
        <v/>
      </c>
      <c r="X635" s="4" t="str">
        <f>'Form responses 1'!AK637</f>
        <v/>
      </c>
      <c r="Y635" s="4">
        <f t="shared" ref="Y635:AD635" si="634">if(S635&gt;0,1,0)</f>
        <v>0</v>
      </c>
      <c r="Z635" s="4">
        <f t="shared" si="634"/>
        <v>0</v>
      </c>
      <c r="AA635" s="4">
        <f t="shared" si="634"/>
        <v>0</v>
      </c>
      <c r="AB635" s="4">
        <f t="shared" si="634"/>
        <v>0</v>
      </c>
      <c r="AC635" s="4">
        <f t="shared" si="634"/>
        <v>0</v>
      </c>
      <c r="AD635" s="4">
        <f t="shared" si="634"/>
        <v>0</v>
      </c>
      <c r="AE635" s="4" t="str">
        <f>'Form responses 1'!AN637</f>
        <v/>
      </c>
      <c r="AF635" s="4" t="str">
        <f>'Form responses 1'!AO1756</f>
        <v/>
      </c>
      <c r="AG635" s="4" t="str">
        <f>'Form responses 1'!AP1756</f>
        <v/>
      </c>
      <c r="AH635" s="4" t="str">
        <f>'Form responses 1'!AQ1756</f>
        <v/>
      </c>
      <c r="AI635" s="4" t="str">
        <f>'Form responses 1'!AR1756</f>
        <v/>
      </c>
    </row>
    <row r="636">
      <c r="A636" s="26">
        <f>'Form responses 1'!B638</f>
        <v>46070</v>
      </c>
      <c r="B636" s="4" t="str">
        <f>'Form responses 1'!AZ638</f>
        <v>sumadhur.mummadi@capsdelivery.com</v>
      </c>
      <c r="C636" s="4" t="str">
        <f>'Form responses 1'!BR638</f>
        <v>La chai de</v>
      </c>
      <c r="D636" s="4" t="str">
        <f>'Form responses 1'!AT638</f>
        <v>Meeting time isn't confirmed yet, will follow up </v>
      </c>
      <c r="E636" s="4" t="str">
        <f>'Form responses 1'!AU638</f>
        <v>Yes</v>
      </c>
      <c r="F636" s="26">
        <f>'Form responses 1'!AX638</f>
        <v>46077</v>
      </c>
      <c r="G636" s="4" t="str">
        <f>'Form responses 1'!AY638</f>
        <v/>
      </c>
      <c r="H636" s="53" t="str">
        <f>'Form responses 1'!AW638</f>
        <v/>
      </c>
      <c r="I636" s="4" t="str">
        <f>'Form responses 1'!AS638</f>
        <v/>
      </c>
      <c r="J636" s="4" t="str">
        <f>'Form responses 1'!J638</f>
        <v/>
      </c>
      <c r="K636" s="4" t="str">
        <f>'Form responses 1'!G638</f>
        <v/>
      </c>
      <c r="L636" s="4" t="str">
        <f>'Form responses 1'!F638</f>
        <v/>
      </c>
      <c r="M636" s="4" t="str">
        <f>'Form responses 1'!U638</f>
        <v>Akash</v>
      </c>
      <c r="N636" s="4">
        <f>'Form responses 1'!V638</f>
        <v>6281968245</v>
      </c>
      <c r="O636" s="4" t="str">
        <f>'Form responses 1'!W638</f>
        <v>NA </v>
      </c>
      <c r="P636" s="4" t="str">
        <f>'Form responses 1'!X638</f>
        <v/>
      </c>
      <c r="Q636" s="4" t="str">
        <f>'Form responses 1'!Y638</f>
        <v/>
      </c>
      <c r="R636" s="4" t="str">
        <f>'Form responses 1'!Z638</f>
        <v/>
      </c>
      <c r="S636" s="4" t="str">
        <f>'Form responses 1'!AC638</f>
        <v/>
      </c>
      <c r="T636" s="4" t="str">
        <f>'Form responses 1'!AE638</f>
        <v/>
      </c>
      <c r="U636" s="4" t="str">
        <f>'Form responses 1'!AG638</f>
        <v/>
      </c>
      <c r="V636" s="4" t="str">
        <f>'Form responses 1'!AI638</f>
        <v/>
      </c>
      <c r="W636" s="4" t="str">
        <f>'Form responses 1'!AJ638</f>
        <v/>
      </c>
      <c r="X636" s="4" t="str">
        <f>'Form responses 1'!AK638</f>
        <v/>
      </c>
      <c r="Y636" s="4">
        <f t="shared" ref="Y636:AD636" si="635">if(S636&gt;0,1,0)</f>
        <v>0</v>
      </c>
      <c r="Z636" s="4">
        <f t="shared" si="635"/>
        <v>0</v>
      </c>
      <c r="AA636" s="4">
        <f t="shared" si="635"/>
        <v>0</v>
      </c>
      <c r="AB636" s="4">
        <f t="shared" si="635"/>
        <v>0</v>
      </c>
      <c r="AC636" s="4">
        <f t="shared" si="635"/>
        <v>0</v>
      </c>
      <c r="AD636" s="4">
        <f t="shared" si="635"/>
        <v>0</v>
      </c>
      <c r="AE636" s="4" t="str">
        <f>'Form responses 1'!AN638</f>
        <v/>
      </c>
      <c r="AF636" s="4" t="str">
        <f>'Form responses 1'!AO1757</f>
        <v/>
      </c>
      <c r="AG636" s="4" t="str">
        <f>'Form responses 1'!AP1757</f>
        <v/>
      </c>
      <c r="AH636" s="4" t="str">
        <f>'Form responses 1'!AQ1757</f>
        <v/>
      </c>
      <c r="AI636" s="4" t="str">
        <f>'Form responses 1'!AR1757</f>
        <v/>
      </c>
    </row>
    <row r="637">
      <c r="A637" s="26">
        <f>'Form responses 1'!B639</f>
        <v>46070</v>
      </c>
      <c r="B637" s="4" t="str">
        <f>'Form responses 1'!AZ639</f>
        <v>sumadhur.mummadi@capsdelivery.com</v>
      </c>
      <c r="C637" s="4" t="str">
        <f>'Form responses 1'!BR639</f>
        <v>Delhi ke famous nagpalsDelhi ke famous nagpals </v>
      </c>
      <c r="D637" s="4" t="str">
        <f>'Form responses 1'!AT639</f>
        <v>The outlet has just started and he doesn't have any documents yet, wil follow up </v>
      </c>
      <c r="E637" s="4" t="str">
        <f>'Form responses 1'!AU639</f>
        <v>Yes</v>
      </c>
      <c r="F637" s="4" t="str">
        <f>'Form responses 1'!AX639</f>
        <v/>
      </c>
      <c r="G637" s="4" t="str">
        <f>'Form responses 1'!AY639</f>
        <v/>
      </c>
      <c r="H637" s="53" t="str">
        <f>'Form responses 1'!AW639</f>
        <v/>
      </c>
      <c r="I637" s="4" t="str">
        <f>'Form responses 1'!AS639</f>
        <v/>
      </c>
      <c r="J637" s="4" t="str">
        <f>'Form responses 1'!J639</f>
        <v/>
      </c>
      <c r="K637" s="4" t="str">
        <f>'Form responses 1'!G639</f>
        <v/>
      </c>
      <c r="L637" s="4" t="str">
        <f>'Form responses 1'!F639</f>
        <v/>
      </c>
      <c r="M637" s="4" t="str">
        <f>'Form responses 1'!U639</f>
        <v>Inder</v>
      </c>
      <c r="N637" s="4">
        <f>'Form responses 1'!V639</f>
        <v>9154226020</v>
      </c>
      <c r="O637" s="4" t="str">
        <f>'Form responses 1'!W639</f>
        <v>NA </v>
      </c>
      <c r="P637" s="4" t="str">
        <f>'Form responses 1'!X639</f>
        <v/>
      </c>
      <c r="Q637" s="4" t="str">
        <f>'Form responses 1'!Y639</f>
        <v/>
      </c>
      <c r="R637" s="4" t="str">
        <f>'Form responses 1'!Z639</f>
        <v/>
      </c>
      <c r="S637" s="4" t="str">
        <f>'Form responses 1'!AC639</f>
        <v/>
      </c>
      <c r="T637" s="4" t="str">
        <f>'Form responses 1'!AE639</f>
        <v/>
      </c>
      <c r="U637" s="4" t="str">
        <f>'Form responses 1'!AG639</f>
        <v/>
      </c>
      <c r="V637" s="4" t="str">
        <f>'Form responses 1'!AI639</f>
        <v/>
      </c>
      <c r="W637" s="4" t="str">
        <f>'Form responses 1'!AJ639</f>
        <v/>
      </c>
      <c r="X637" s="4" t="str">
        <f>'Form responses 1'!AK639</f>
        <v/>
      </c>
      <c r="Y637" s="4">
        <f t="shared" ref="Y637:AD637" si="636">if(S637&gt;0,1,0)</f>
        <v>0</v>
      </c>
      <c r="Z637" s="4">
        <f t="shared" si="636"/>
        <v>0</v>
      </c>
      <c r="AA637" s="4">
        <f t="shared" si="636"/>
        <v>0</v>
      </c>
      <c r="AB637" s="4">
        <f t="shared" si="636"/>
        <v>0</v>
      </c>
      <c r="AC637" s="4">
        <f t="shared" si="636"/>
        <v>0</v>
      </c>
      <c r="AD637" s="4">
        <f t="shared" si="636"/>
        <v>0</v>
      </c>
      <c r="AE637" s="4" t="str">
        <f>'Form responses 1'!AN639</f>
        <v/>
      </c>
      <c r="AF637" s="4" t="str">
        <f>'Form responses 1'!AO1758</f>
        <v/>
      </c>
      <c r="AG637" s="4" t="str">
        <f>'Form responses 1'!AP1758</f>
        <v/>
      </c>
      <c r="AH637" s="4" t="str">
        <f>'Form responses 1'!AQ1758</f>
        <v/>
      </c>
      <c r="AI637" s="4" t="str">
        <f>'Form responses 1'!AR1758</f>
        <v/>
      </c>
    </row>
    <row r="638">
      <c r="A638" s="26">
        <f>'Form responses 1'!B640</f>
        <v>46070</v>
      </c>
      <c r="B638" s="4" t="str">
        <f>'Form responses 1'!AZ640</f>
        <v>sumadhur.mummadi@capsdelivery.com</v>
      </c>
      <c r="C638" s="4" t="str">
        <f>'Form responses 1'!BR640</f>
        <v>Aamantran</v>
      </c>
      <c r="D638" s="4" t="str">
        <f>'Form responses 1'!AT640</f>
        <v>All the decisions related to aamantran are taken at rtcxroads branch</v>
      </c>
      <c r="E638" s="4" t="str">
        <f>'Form responses 1'!AU640</f>
        <v>Yes</v>
      </c>
      <c r="F638" s="4" t="str">
        <f>'Form responses 1'!AX640</f>
        <v/>
      </c>
      <c r="G638" s="4" t="str">
        <f>'Form responses 1'!AY640</f>
        <v/>
      </c>
      <c r="H638" s="53" t="str">
        <f>'Form responses 1'!AW640</f>
        <v/>
      </c>
      <c r="I638" s="4" t="str">
        <f>'Form responses 1'!AS640</f>
        <v/>
      </c>
      <c r="J638" s="4" t="str">
        <f>'Form responses 1'!J640</f>
        <v/>
      </c>
      <c r="K638" s="4" t="str">
        <f>'Form responses 1'!G640</f>
        <v/>
      </c>
      <c r="L638" s="4" t="str">
        <f>'Form responses 1'!F640</f>
        <v/>
      </c>
      <c r="M638" s="4" t="str">
        <f>'Form responses 1'!U640</f>
        <v>Shlok</v>
      </c>
      <c r="N638" s="4">
        <f>'Form responses 1'!V640</f>
        <v>7841881125</v>
      </c>
      <c r="O638" s="4" t="str">
        <f>'Form responses 1'!W640</f>
        <v>NA </v>
      </c>
      <c r="P638" s="4" t="str">
        <f>'Form responses 1'!X640</f>
        <v/>
      </c>
      <c r="Q638" s="4" t="str">
        <f>'Form responses 1'!Y640</f>
        <v/>
      </c>
      <c r="R638" s="4" t="str">
        <f>'Form responses 1'!Z640</f>
        <v/>
      </c>
      <c r="S638" s="4" t="str">
        <f>'Form responses 1'!AC640</f>
        <v/>
      </c>
      <c r="T638" s="4" t="str">
        <f>'Form responses 1'!AE640</f>
        <v/>
      </c>
      <c r="U638" s="4" t="str">
        <f>'Form responses 1'!AG640</f>
        <v/>
      </c>
      <c r="V638" s="4" t="str">
        <f>'Form responses 1'!AI640</f>
        <v/>
      </c>
      <c r="W638" s="4" t="str">
        <f>'Form responses 1'!AJ640</f>
        <v/>
      </c>
      <c r="X638" s="4" t="str">
        <f>'Form responses 1'!AK640</f>
        <v/>
      </c>
      <c r="Y638" s="4">
        <f t="shared" ref="Y638:AD638" si="637">if(S638&gt;0,1,0)</f>
        <v>0</v>
      </c>
      <c r="Z638" s="4">
        <f t="shared" si="637"/>
        <v>0</v>
      </c>
      <c r="AA638" s="4">
        <f t="shared" si="637"/>
        <v>0</v>
      </c>
      <c r="AB638" s="4">
        <f t="shared" si="637"/>
        <v>0</v>
      </c>
      <c r="AC638" s="4">
        <f t="shared" si="637"/>
        <v>0</v>
      </c>
      <c r="AD638" s="4">
        <f t="shared" si="637"/>
        <v>0</v>
      </c>
      <c r="AE638" s="4" t="str">
        <f>'Form responses 1'!AN640</f>
        <v/>
      </c>
      <c r="AF638" s="4" t="str">
        <f>'Form responses 1'!AO1759</f>
        <v/>
      </c>
      <c r="AG638" s="4" t="str">
        <f>'Form responses 1'!AP1759</f>
        <v/>
      </c>
      <c r="AH638" s="4" t="str">
        <f>'Form responses 1'!AQ1759</f>
        <v/>
      </c>
      <c r="AI638" s="4" t="str">
        <f>'Form responses 1'!AR1759</f>
        <v/>
      </c>
    </row>
    <row r="639">
      <c r="A639" s="26">
        <f>'Form responses 1'!B641</f>
        <v>46070</v>
      </c>
      <c r="B639" s="4" t="str">
        <f>'Form responses 1'!AZ641</f>
        <v>sumadhur.mummadi@capsdelivery.com</v>
      </c>
      <c r="C639" s="4" t="str">
        <f>'Form responses 1'!BR641</f>
        <v>Udupi tiffins veg</v>
      </c>
      <c r="D639" s="4" t="str">
        <f>'Form responses 1'!AT641</f>
        <v>I will follow up for the availability of a different POC in the evening </v>
      </c>
      <c r="E639" s="4" t="str">
        <f>'Form responses 1'!AU641</f>
        <v>Yes</v>
      </c>
      <c r="F639" s="4" t="str">
        <f>'Form responses 1'!AX641</f>
        <v/>
      </c>
      <c r="G639" s="4" t="str">
        <f>'Form responses 1'!AY641</f>
        <v/>
      </c>
      <c r="H639" s="53" t="str">
        <f>'Form responses 1'!AW641</f>
        <v/>
      </c>
      <c r="I639" s="4" t="str">
        <f>'Form responses 1'!AS641</f>
        <v/>
      </c>
      <c r="J639" s="4" t="str">
        <f>'Form responses 1'!J641</f>
        <v/>
      </c>
      <c r="K639" s="4" t="str">
        <f>'Form responses 1'!G641</f>
        <v/>
      </c>
      <c r="L639" s="4" t="str">
        <f>'Form responses 1'!F641</f>
        <v/>
      </c>
      <c r="M639" s="4" t="str">
        <f>'Form responses 1'!U641</f>
        <v>Deva</v>
      </c>
      <c r="N639" s="4">
        <f>'Form responses 1'!V641</f>
        <v>9391811730</v>
      </c>
      <c r="O639" s="4" t="str">
        <f>'Form responses 1'!W641</f>
        <v>NA </v>
      </c>
      <c r="P639" s="4" t="str">
        <f>'Form responses 1'!X641</f>
        <v/>
      </c>
      <c r="Q639" s="4" t="str">
        <f>'Form responses 1'!Y641</f>
        <v/>
      </c>
      <c r="R639" s="4" t="str">
        <f>'Form responses 1'!Z641</f>
        <v/>
      </c>
      <c r="S639" s="4" t="str">
        <f>'Form responses 1'!AC641</f>
        <v/>
      </c>
      <c r="T639" s="4" t="str">
        <f>'Form responses 1'!AE641</f>
        <v/>
      </c>
      <c r="U639" s="4" t="str">
        <f>'Form responses 1'!AG641</f>
        <v/>
      </c>
      <c r="V639" s="4" t="str">
        <f>'Form responses 1'!AI641</f>
        <v/>
      </c>
      <c r="W639" s="4" t="str">
        <f>'Form responses 1'!AJ641</f>
        <v/>
      </c>
      <c r="X639" s="4" t="str">
        <f>'Form responses 1'!AK641</f>
        <v/>
      </c>
      <c r="Y639" s="4">
        <f t="shared" ref="Y639:AD639" si="638">if(S639&gt;0,1,0)</f>
        <v>0</v>
      </c>
      <c r="Z639" s="4">
        <f t="shared" si="638"/>
        <v>0</v>
      </c>
      <c r="AA639" s="4">
        <f t="shared" si="638"/>
        <v>0</v>
      </c>
      <c r="AB639" s="4">
        <f t="shared" si="638"/>
        <v>0</v>
      </c>
      <c r="AC639" s="4">
        <f t="shared" si="638"/>
        <v>0</v>
      </c>
      <c r="AD639" s="4">
        <f t="shared" si="638"/>
        <v>0</v>
      </c>
      <c r="AE639" s="4" t="str">
        <f>'Form responses 1'!AN641</f>
        <v/>
      </c>
      <c r="AF639" s="4" t="str">
        <f>'Form responses 1'!AO1760</f>
        <v/>
      </c>
      <c r="AG639" s="4" t="str">
        <f>'Form responses 1'!AP1760</f>
        <v/>
      </c>
      <c r="AH639" s="4" t="str">
        <f>'Form responses 1'!AQ1760</f>
        <v/>
      </c>
      <c r="AI639" s="4" t="str">
        <f>'Form responses 1'!AR1760</f>
        <v/>
      </c>
    </row>
    <row r="640">
      <c r="A640" s="26">
        <f>'Form responses 1'!B642</f>
        <v>46070</v>
      </c>
      <c r="B640" s="4" t="str">
        <f>'Form responses 1'!AZ642</f>
        <v>sumadhur.mummadi@capsdelivery.com</v>
      </c>
      <c r="C640" s="4" t="str">
        <f>'Form responses 1'!BR642</f>
        <v>Street darbar </v>
      </c>
      <c r="D640" s="4" t="str">
        <f>'Form responses 1'!AT642</f>
        <v>The manager sunny is convinced but the owner is not coming to the outlet from 3 days</v>
      </c>
      <c r="E640" s="4" t="str">
        <f>'Form responses 1'!AU642</f>
        <v>Yes</v>
      </c>
      <c r="F640" s="4" t="str">
        <f>'Form responses 1'!AX642</f>
        <v/>
      </c>
      <c r="G640" s="4" t="str">
        <f>'Form responses 1'!AY642</f>
        <v/>
      </c>
      <c r="H640" s="53" t="str">
        <f>'Form responses 1'!AW642</f>
        <v/>
      </c>
      <c r="I640" s="4" t="str">
        <f>'Form responses 1'!AS642</f>
        <v/>
      </c>
      <c r="J640" s="4" t="str">
        <f>'Form responses 1'!J642</f>
        <v/>
      </c>
      <c r="K640" s="4" t="str">
        <f>'Form responses 1'!G642</f>
        <v/>
      </c>
      <c r="L640" s="4" t="str">
        <f>'Form responses 1'!F642</f>
        <v/>
      </c>
      <c r="M640" s="4" t="str">
        <f>'Form responses 1'!U642</f>
        <v>Sunny</v>
      </c>
      <c r="N640" s="4">
        <f>'Form responses 1'!V642</f>
        <v>9000009650</v>
      </c>
      <c r="O640" s="4" t="str">
        <f>'Form responses 1'!W642</f>
        <v>NA </v>
      </c>
      <c r="P640" s="4" t="str">
        <f>'Form responses 1'!X642</f>
        <v/>
      </c>
      <c r="Q640" s="4" t="str">
        <f>'Form responses 1'!Y642</f>
        <v/>
      </c>
      <c r="R640" s="4" t="str">
        <f>'Form responses 1'!Z642</f>
        <v/>
      </c>
      <c r="S640" s="4" t="str">
        <f>'Form responses 1'!AC642</f>
        <v/>
      </c>
      <c r="T640" s="4" t="str">
        <f>'Form responses 1'!AE642</f>
        <v/>
      </c>
      <c r="U640" s="4" t="str">
        <f>'Form responses 1'!AG642</f>
        <v/>
      </c>
      <c r="V640" s="4" t="str">
        <f>'Form responses 1'!AI642</f>
        <v/>
      </c>
      <c r="W640" s="4" t="str">
        <f>'Form responses 1'!AJ642</f>
        <v/>
      </c>
      <c r="X640" s="4" t="str">
        <f>'Form responses 1'!AK642</f>
        <v/>
      </c>
      <c r="Y640" s="4">
        <f t="shared" ref="Y640:AD640" si="639">if(S640&gt;0,1,0)</f>
        <v>0</v>
      </c>
      <c r="Z640" s="4">
        <f t="shared" si="639"/>
        <v>0</v>
      </c>
      <c r="AA640" s="4">
        <f t="shared" si="639"/>
        <v>0</v>
      </c>
      <c r="AB640" s="4">
        <f t="shared" si="639"/>
        <v>0</v>
      </c>
      <c r="AC640" s="4">
        <f t="shared" si="639"/>
        <v>0</v>
      </c>
      <c r="AD640" s="4">
        <f t="shared" si="639"/>
        <v>0</v>
      </c>
      <c r="AE640" s="4" t="str">
        <f>'Form responses 1'!AN642</f>
        <v/>
      </c>
      <c r="AF640" s="4" t="str">
        <f>'Form responses 1'!AO1761</f>
        <v/>
      </c>
      <c r="AG640" s="4" t="str">
        <f>'Form responses 1'!AP1761</f>
        <v/>
      </c>
      <c r="AH640" s="4" t="str">
        <f>'Form responses 1'!AQ1761</f>
        <v/>
      </c>
      <c r="AI640" s="4" t="str">
        <f>'Form responses 1'!AR1761</f>
        <v/>
      </c>
    </row>
    <row r="641">
      <c r="A641" s="26">
        <f>'Form responses 1'!B643</f>
        <v>46072</v>
      </c>
      <c r="B641" s="4" t="str">
        <f>'Form responses 1'!AZ643</f>
        <v>chanakya.inugala@capsdelivery.com</v>
      </c>
      <c r="C641" s="4" t="str">
        <f>'Form responses 1'!BR643</f>
        <v>BBQ Bites </v>
      </c>
      <c r="D641" s="4" t="str">
        <f>'Form responses 1'!AT643</f>
        <v>Onboarded </v>
      </c>
      <c r="E641" s="4" t="str">
        <f>'Form responses 1'!AU643</f>
        <v>No</v>
      </c>
      <c r="F641" s="4" t="str">
        <f>'Form responses 1'!AX643</f>
        <v/>
      </c>
      <c r="G641" s="4" t="str">
        <f>'Form responses 1'!AY643</f>
        <v/>
      </c>
      <c r="H641" s="53" t="str">
        <f>'Form responses 1'!AW643</f>
        <v/>
      </c>
      <c r="I641" s="4" t="str">
        <f>'Form responses 1'!AS643</f>
        <v/>
      </c>
      <c r="J641" s="4" t="str">
        <f>'Form responses 1'!J643</f>
        <v>Tier-3 ( AOV&lt;200 )</v>
      </c>
      <c r="K641" s="4">
        <f>'Form responses 1'!G643</f>
        <v>200</v>
      </c>
      <c r="L641" s="4">
        <f>'Form responses 1'!F643</f>
        <v>15</v>
      </c>
      <c r="M641" s="4" t="str">
        <f>'Form responses 1'!U643</f>
        <v>Raj</v>
      </c>
      <c r="N641" s="4">
        <f>'Form responses 1'!V643</f>
        <v>9059457021</v>
      </c>
      <c r="O641" s="4" t="str">
        <f>'Form responses 1'!W643</f>
        <v>Priyamoff05@gmail.com</v>
      </c>
      <c r="P641" s="4" t="str">
        <f>'Form responses 1'!X643</f>
        <v/>
      </c>
      <c r="Q641" s="4" t="str">
        <f>'Form responses 1'!Y643</f>
        <v/>
      </c>
      <c r="R641" s="4" t="str">
        <f>'Form responses 1'!Z643</f>
        <v/>
      </c>
      <c r="S641" s="4" t="str">
        <f>'Form responses 1'!AC643</f>
        <v/>
      </c>
      <c r="T641" s="4" t="str">
        <f>'Form responses 1'!AE643</f>
        <v/>
      </c>
      <c r="U641" s="4" t="str">
        <f>'Form responses 1'!AG643</f>
        <v/>
      </c>
      <c r="V641" s="4" t="str">
        <f>'Form responses 1'!AI643</f>
        <v/>
      </c>
      <c r="W641" s="4" t="str">
        <f>'Form responses 1'!AJ643</f>
        <v/>
      </c>
      <c r="X641" s="4" t="str">
        <f>'Form responses 1'!AK643</f>
        <v/>
      </c>
      <c r="Y641" s="4">
        <f t="shared" ref="Y641:AD641" si="640">if(S641&gt;0,1,0)</f>
        <v>0</v>
      </c>
      <c r="Z641" s="4">
        <f t="shared" si="640"/>
        <v>0</v>
      </c>
      <c r="AA641" s="4">
        <f t="shared" si="640"/>
        <v>0</v>
      </c>
      <c r="AB641" s="4">
        <f t="shared" si="640"/>
        <v>0</v>
      </c>
      <c r="AC641" s="4">
        <f t="shared" si="640"/>
        <v>0</v>
      </c>
      <c r="AD641" s="4">
        <f t="shared" si="640"/>
        <v>0</v>
      </c>
      <c r="AE641" s="4" t="str">
        <f>'Form responses 1'!AN643</f>
        <v/>
      </c>
      <c r="AF641" s="4" t="str">
        <f>'Form responses 1'!AO1762</f>
        <v/>
      </c>
      <c r="AG641" s="4" t="str">
        <f>'Form responses 1'!AP1762</f>
        <v/>
      </c>
      <c r="AH641" s="4" t="str">
        <f>'Form responses 1'!AQ1762</f>
        <v/>
      </c>
      <c r="AI641" s="4" t="str">
        <f>'Form responses 1'!AR1762</f>
        <v/>
      </c>
    </row>
    <row r="642">
      <c r="A642" s="26">
        <f>'Form responses 1'!B644</f>
        <v>46072</v>
      </c>
      <c r="B642" s="4" t="str">
        <f>'Form responses 1'!AZ644</f>
        <v>chanakya.inugala@capsdelivery.com</v>
      </c>
      <c r="C642" s="4" t="str">
        <f>'Form responses 1'!BR644</f>
        <v>Shiridi sai tiffins meals and snacks</v>
      </c>
      <c r="D642" s="4" t="str">
        <f>'Form responses 1'!AT644</f>
        <v>Na</v>
      </c>
      <c r="E642" s="4" t="str">
        <f>'Form responses 1'!AU644</f>
        <v>Yes</v>
      </c>
      <c r="F642" s="4" t="str">
        <f>'Form responses 1'!AX644</f>
        <v/>
      </c>
      <c r="G642" s="4" t="str">
        <f>'Form responses 1'!AY644</f>
        <v/>
      </c>
      <c r="H642" s="53" t="str">
        <f>'Form responses 1'!AW644</f>
        <v/>
      </c>
      <c r="I642" s="4" t="str">
        <f>'Form responses 1'!AS644</f>
        <v/>
      </c>
      <c r="J642" s="4" t="str">
        <f>'Form responses 1'!J644</f>
        <v>Tier-3 ( AOV&lt;200 )</v>
      </c>
      <c r="K642" s="4">
        <f>'Form responses 1'!G644</f>
        <v>200</v>
      </c>
      <c r="L642" s="4">
        <f>'Form responses 1'!F644</f>
        <v>40</v>
      </c>
      <c r="M642" s="4" t="str">
        <f>'Form responses 1'!U644</f>
        <v>Shiva</v>
      </c>
      <c r="N642" s="4" t="str">
        <f>'Form responses 1'!V644</f>
        <v>Na</v>
      </c>
      <c r="O642" s="4" t="str">
        <f>'Form responses 1'!W644</f>
        <v>Na</v>
      </c>
      <c r="P642" s="4" t="str">
        <f>'Form responses 1'!X644</f>
        <v/>
      </c>
      <c r="Q642" s="4" t="str">
        <f>'Form responses 1'!Y644</f>
        <v/>
      </c>
      <c r="R642" s="4" t="str">
        <f>'Form responses 1'!Z644</f>
        <v/>
      </c>
      <c r="S642" s="4" t="str">
        <f>'Form responses 1'!AC644</f>
        <v/>
      </c>
      <c r="T642" s="4" t="str">
        <f>'Form responses 1'!AE644</f>
        <v/>
      </c>
      <c r="U642" s="4" t="str">
        <f>'Form responses 1'!AG644</f>
        <v/>
      </c>
      <c r="V642" s="4" t="str">
        <f>'Form responses 1'!AI644</f>
        <v/>
      </c>
      <c r="W642" s="4" t="str">
        <f>'Form responses 1'!AJ644</f>
        <v/>
      </c>
      <c r="X642" s="4" t="str">
        <f>'Form responses 1'!AK644</f>
        <v/>
      </c>
      <c r="Y642" s="4">
        <f t="shared" ref="Y642:AD642" si="641">if(S642&gt;0,1,0)</f>
        <v>0</v>
      </c>
      <c r="Z642" s="4">
        <f t="shared" si="641"/>
        <v>0</v>
      </c>
      <c r="AA642" s="4">
        <f t="shared" si="641"/>
        <v>0</v>
      </c>
      <c r="AB642" s="4">
        <f t="shared" si="641"/>
        <v>0</v>
      </c>
      <c r="AC642" s="4">
        <f t="shared" si="641"/>
        <v>0</v>
      </c>
      <c r="AD642" s="4">
        <f t="shared" si="641"/>
        <v>0</v>
      </c>
      <c r="AE642" s="4" t="str">
        <f>'Form responses 1'!AN644</f>
        <v/>
      </c>
      <c r="AF642" s="4" t="str">
        <f>'Form responses 1'!AO1763</f>
        <v/>
      </c>
      <c r="AG642" s="4" t="str">
        <f>'Form responses 1'!AP1763</f>
        <v/>
      </c>
      <c r="AH642" s="4" t="str">
        <f>'Form responses 1'!AQ1763</f>
        <v/>
      </c>
      <c r="AI642" s="4" t="str">
        <f>'Form responses 1'!AR1763</f>
        <v/>
      </c>
    </row>
    <row r="643">
      <c r="A643" s="26">
        <f>'Form responses 1'!B645</f>
        <v>46070</v>
      </c>
      <c r="B643" s="4" t="str">
        <f>'Form responses 1'!AZ645</f>
        <v>sumadhur.mummadi@capsdelivery.com</v>
      </c>
      <c r="C643" s="4" t="str">
        <f>'Form responses 1'!BR645</f>
        <v>Grand bawarchi hotel </v>
      </c>
      <c r="D643" s="4" t="str">
        <f>'Form responses 1'!AT645</f>
        <v>The owner is available after 8pm</v>
      </c>
      <c r="E643" s="4" t="str">
        <f>'Form responses 1'!AU645</f>
        <v>Yes</v>
      </c>
      <c r="F643" s="4" t="str">
        <f>'Form responses 1'!AX645</f>
        <v/>
      </c>
      <c r="G643" s="4" t="str">
        <f>'Form responses 1'!AY645</f>
        <v/>
      </c>
      <c r="H643" s="53" t="str">
        <f>'Form responses 1'!AW645</f>
        <v/>
      </c>
      <c r="I643" s="4" t="str">
        <f>'Form responses 1'!AS645</f>
        <v/>
      </c>
      <c r="J643" s="4" t="str">
        <f>'Form responses 1'!J645</f>
        <v/>
      </c>
      <c r="K643" s="4" t="str">
        <f>'Form responses 1'!G645</f>
        <v/>
      </c>
      <c r="L643" s="4" t="str">
        <f>'Form responses 1'!F645</f>
        <v/>
      </c>
      <c r="M643" s="4" t="str">
        <f>'Form responses 1'!U645</f>
        <v>Manas sahoo</v>
      </c>
      <c r="N643" s="4">
        <f>'Form responses 1'!V645</f>
        <v>7995719834</v>
      </c>
      <c r="O643" s="4" t="str">
        <f>'Form responses 1'!W645</f>
        <v>NA </v>
      </c>
      <c r="P643" s="4" t="str">
        <f>'Form responses 1'!X645</f>
        <v/>
      </c>
      <c r="Q643" s="4" t="str">
        <f>'Form responses 1'!Y645</f>
        <v/>
      </c>
      <c r="R643" s="4" t="str">
        <f>'Form responses 1'!Z645</f>
        <v/>
      </c>
      <c r="S643" s="4" t="str">
        <f>'Form responses 1'!AC645</f>
        <v/>
      </c>
      <c r="T643" s="4" t="str">
        <f>'Form responses 1'!AE645</f>
        <v/>
      </c>
      <c r="U643" s="4" t="str">
        <f>'Form responses 1'!AG645</f>
        <v/>
      </c>
      <c r="V643" s="4" t="str">
        <f>'Form responses 1'!AI645</f>
        <v/>
      </c>
      <c r="W643" s="4" t="str">
        <f>'Form responses 1'!AJ645</f>
        <v/>
      </c>
      <c r="X643" s="4" t="str">
        <f>'Form responses 1'!AK645</f>
        <v/>
      </c>
      <c r="Y643" s="4">
        <f t="shared" ref="Y643:AD643" si="642">if(S643&gt;0,1,0)</f>
        <v>0</v>
      </c>
      <c r="Z643" s="4">
        <f t="shared" si="642"/>
        <v>0</v>
      </c>
      <c r="AA643" s="4">
        <f t="shared" si="642"/>
        <v>0</v>
      </c>
      <c r="AB643" s="4">
        <f t="shared" si="642"/>
        <v>0</v>
      </c>
      <c r="AC643" s="4">
        <f t="shared" si="642"/>
        <v>0</v>
      </c>
      <c r="AD643" s="4">
        <f t="shared" si="642"/>
        <v>0</v>
      </c>
      <c r="AE643" s="4" t="str">
        <f>'Form responses 1'!AN645</f>
        <v/>
      </c>
      <c r="AF643" s="4" t="str">
        <f>'Form responses 1'!AO1764</f>
        <v/>
      </c>
      <c r="AG643" s="4" t="str">
        <f>'Form responses 1'!AP1764</f>
        <v/>
      </c>
      <c r="AH643" s="4" t="str">
        <f>'Form responses 1'!AQ1764</f>
        <v/>
      </c>
      <c r="AI643" s="4" t="str">
        <f>'Form responses 1'!AR1764</f>
        <v/>
      </c>
    </row>
    <row r="644">
      <c r="A644" s="26">
        <f>'Form responses 1'!B646</f>
        <v>46072</v>
      </c>
      <c r="B644" s="4" t="str">
        <f>'Form responses 1'!AZ646</f>
        <v>sumadhur.mummadi@capsdelivery.com</v>
      </c>
      <c r="C644" s="4" t="str">
        <f>'Form responses 1'!BR646</f>
        <v>Pakka telangana </v>
      </c>
      <c r="D644" s="4" t="str">
        <f>'Form responses 1'!AT646</f>
        <v>The owner is available to meet everyday from 4pm-5pm</v>
      </c>
      <c r="E644" s="4" t="str">
        <f>'Form responses 1'!AU646</f>
        <v>Yes</v>
      </c>
      <c r="F644" s="4" t="str">
        <f>'Form responses 1'!AX646</f>
        <v/>
      </c>
      <c r="G644" s="4" t="str">
        <f>'Form responses 1'!AY646</f>
        <v/>
      </c>
      <c r="H644" s="53" t="str">
        <f>'Form responses 1'!AW646</f>
        <v/>
      </c>
      <c r="I644" s="4" t="str">
        <f>'Form responses 1'!AS646</f>
        <v/>
      </c>
      <c r="J644" s="4" t="str">
        <f>'Form responses 1'!J646</f>
        <v/>
      </c>
      <c r="K644" s="4" t="str">
        <f>'Form responses 1'!G646</f>
        <v/>
      </c>
      <c r="L644" s="4" t="str">
        <f>'Form responses 1'!F646</f>
        <v/>
      </c>
      <c r="M644" s="4" t="str">
        <f>'Form responses 1'!U646</f>
        <v>Nikhilesh</v>
      </c>
      <c r="N644" s="4">
        <f>'Form responses 1'!V646</f>
        <v>9642274228</v>
      </c>
      <c r="O644" s="4" t="str">
        <f>'Form responses 1'!W646</f>
        <v>NA </v>
      </c>
      <c r="P644" s="4" t="str">
        <f>'Form responses 1'!X646</f>
        <v/>
      </c>
      <c r="Q644" s="4" t="str">
        <f>'Form responses 1'!Y646</f>
        <v/>
      </c>
      <c r="R644" s="4" t="str">
        <f>'Form responses 1'!Z646</f>
        <v/>
      </c>
      <c r="S644" s="4" t="str">
        <f>'Form responses 1'!AC646</f>
        <v/>
      </c>
      <c r="T644" s="4" t="str">
        <f>'Form responses 1'!AE646</f>
        <v/>
      </c>
      <c r="U644" s="4" t="str">
        <f>'Form responses 1'!AG646</f>
        <v/>
      </c>
      <c r="V644" s="4" t="str">
        <f>'Form responses 1'!AI646</f>
        <v/>
      </c>
      <c r="W644" s="4" t="str">
        <f>'Form responses 1'!AJ646</f>
        <v/>
      </c>
      <c r="X644" s="4" t="str">
        <f>'Form responses 1'!AK646</f>
        <v/>
      </c>
      <c r="Y644" s="4">
        <f t="shared" ref="Y644:AD644" si="643">if(S644&gt;0,1,0)</f>
        <v>0</v>
      </c>
      <c r="Z644" s="4">
        <f t="shared" si="643"/>
        <v>0</v>
      </c>
      <c r="AA644" s="4">
        <f t="shared" si="643"/>
        <v>0</v>
      </c>
      <c r="AB644" s="4">
        <f t="shared" si="643"/>
        <v>0</v>
      </c>
      <c r="AC644" s="4">
        <f t="shared" si="643"/>
        <v>0</v>
      </c>
      <c r="AD644" s="4">
        <f t="shared" si="643"/>
        <v>0</v>
      </c>
      <c r="AE644" s="4" t="str">
        <f>'Form responses 1'!AN646</f>
        <v/>
      </c>
      <c r="AF644" s="4" t="str">
        <f>'Form responses 1'!AO1765</f>
        <v/>
      </c>
      <c r="AG644" s="4" t="str">
        <f>'Form responses 1'!AP1765</f>
        <v/>
      </c>
      <c r="AH644" s="4" t="str">
        <f>'Form responses 1'!AQ1765</f>
        <v/>
      </c>
      <c r="AI644" s="4" t="str">
        <f>'Form responses 1'!AR1765</f>
        <v/>
      </c>
    </row>
    <row r="645">
      <c r="A645" s="26">
        <f>'Form responses 1'!B647</f>
        <v>46072</v>
      </c>
      <c r="B645" s="4" t="str">
        <f>'Form responses 1'!AZ647</f>
        <v>sumadhur.mummadi@capsdelivery.com</v>
      </c>
      <c r="C645" s="4" t="str">
        <f>'Form responses 1'!BR647</f>
        <v>PersisPersis</v>
      </c>
      <c r="D645" s="4" t="str">
        <f>'Form responses 1'!AT647</f>
        <v>He has asked to call him at 12 to fix an appointment in the evening </v>
      </c>
      <c r="E645" s="4" t="str">
        <f>'Form responses 1'!AU647</f>
        <v>Yes</v>
      </c>
      <c r="F645" s="4" t="str">
        <f>'Form responses 1'!AX647</f>
        <v/>
      </c>
      <c r="G645" s="4" t="str">
        <f>'Form responses 1'!AY647</f>
        <v/>
      </c>
      <c r="H645" s="53" t="str">
        <f>'Form responses 1'!AW647</f>
        <v/>
      </c>
      <c r="I645" s="4" t="str">
        <f>'Form responses 1'!AS647</f>
        <v/>
      </c>
      <c r="J645" s="4" t="str">
        <f>'Form responses 1'!J647</f>
        <v/>
      </c>
      <c r="K645" s="4" t="str">
        <f>'Form responses 1'!G647</f>
        <v/>
      </c>
      <c r="L645" s="4" t="str">
        <f>'Form responses 1'!F647</f>
        <v/>
      </c>
      <c r="M645" s="4" t="str">
        <f>'Form responses 1'!U647</f>
        <v>Kiran</v>
      </c>
      <c r="N645" s="4">
        <f>'Form responses 1'!V647</f>
        <v>984970953</v>
      </c>
      <c r="O645" s="4" t="str">
        <f>'Form responses 1'!W647</f>
        <v>NA </v>
      </c>
      <c r="P645" s="4" t="str">
        <f>'Form responses 1'!X647</f>
        <v/>
      </c>
      <c r="Q645" s="4" t="str">
        <f>'Form responses 1'!Y647</f>
        <v/>
      </c>
      <c r="R645" s="4" t="str">
        <f>'Form responses 1'!Z647</f>
        <v/>
      </c>
      <c r="S645" s="4" t="str">
        <f>'Form responses 1'!AC647</f>
        <v/>
      </c>
      <c r="T645" s="4" t="str">
        <f>'Form responses 1'!AE647</f>
        <v/>
      </c>
      <c r="U645" s="4" t="str">
        <f>'Form responses 1'!AG647</f>
        <v/>
      </c>
      <c r="V645" s="4" t="str">
        <f>'Form responses 1'!AI647</f>
        <v/>
      </c>
      <c r="W645" s="4" t="str">
        <f>'Form responses 1'!AJ647</f>
        <v/>
      </c>
      <c r="X645" s="4" t="str">
        <f>'Form responses 1'!AK647</f>
        <v/>
      </c>
      <c r="Y645" s="4">
        <f t="shared" ref="Y645:AD645" si="644">if(S645&gt;0,1,0)</f>
        <v>0</v>
      </c>
      <c r="Z645" s="4">
        <f t="shared" si="644"/>
        <v>0</v>
      </c>
      <c r="AA645" s="4">
        <f t="shared" si="644"/>
        <v>0</v>
      </c>
      <c r="AB645" s="4">
        <f t="shared" si="644"/>
        <v>0</v>
      </c>
      <c r="AC645" s="4">
        <f t="shared" si="644"/>
        <v>0</v>
      </c>
      <c r="AD645" s="4">
        <f t="shared" si="644"/>
        <v>0</v>
      </c>
      <c r="AE645" s="4" t="str">
        <f>'Form responses 1'!AN647</f>
        <v/>
      </c>
      <c r="AF645" s="4" t="str">
        <f>'Form responses 1'!AO1766</f>
        <v/>
      </c>
      <c r="AG645" s="4" t="str">
        <f>'Form responses 1'!AP1766</f>
        <v/>
      </c>
      <c r="AH645" s="4" t="str">
        <f>'Form responses 1'!AQ1766</f>
        <v/>
      </c>
      <c r="AI645" s="4" t="str">
        <f>'Form responses 1'!AR1766</f>
        <v/>
      </c>
    </row>
    <row r="646">
      <c r="A646" s="26">
        <f>'Form responses 1'!B648</f>
        <v>46071</v>
      </c>
      <c r="B646" s="4" t="str">
        <f>'Form responses 1'!AZ648</f>
        <v>sumadhur.mummadi@capsdelivery.com</v>
      </c>
      <c r="C646" s="4" t="str">
        <f>'Form responses 1'!BR648</f>
        <v>Bhattad ki idly</v>
      </c>
      <c r="D646" s="4" t="str">
        <f>'Form responses 1'!AT648</f>
        <v>I have to follow up Mahendra for his update</v>
      </c>
      <c r="E646" s="4" t="str">
        <f>'Form responses 1'!AU648</f>
        <v>Yes</v>
      </c>
      <c r="F646" s="4" t="str">
        <f>'Form responses 1'!AX648</f>
        <v/>
      </c>
      <c r="G646" s="4" t="str">
        <f>'Form responses 1'!AY648</f>
        <v/>
      </c>
      <c r="H646" s="53" t="str">
        <f>'Form responses 1'!AW648</f>
        <v/>
      </c>
      <c r="I646" s="4" t="str">
        <f>'Form responses 1'!AS648</f>
        <v/>
      </c>
      <c r="J646" s="4" t="str">
        <f>'Form responses 1'!J648</f>
        <v/>
      </c>
      <c r="K646" s="4" t="str">
        <f>'Form responses 1'!G648</f>
        <v/>
      </c>
      <c r="L646" s="4" t="str">
        <f>'Form responses 1'!F648</f>
        <v/>
      </c>
      <c r="M646" s="4" t="str">
        <f>'Form responses 1'!U648</f>
        <v>Mahendra</v>
      </c>
      <c r="N646" s="4">
        <f>'Form responses 1'!V648</f>
        <v>8919048320</v>
      </c>
      <c r="O646" s="4" t="str">
        <f>'Form responses 1'!W648</f>
        <v>NA </v>
      </c>
      <c r="P646" s="4" t="str">
        <f>'Form responses 1'!X648</f>
        <v/>
      </c>
      <c r="Q646" s="4" t="str">
        <f>'Form responses 1'!Y648</f>
        <v/>
      </c>
      <c r="R646" s="4" t="str">
        <f>'Form responses 1'!Z648</f>
        <v/>
      </c>
      <c r="S646" s="4" t="str">
        <f>'Form responses 1'!AC648</f>
        <v/>
      </c>
      <c r="T646" s="4" t="str">
        <f>'Form responses 1'!AE648</f>
        <v/>
      </c>
      <c r="U646" s="4" t="str">
        <f>'Form responses 1'!AG648</f>
        <v/>
      </c>
      <c r="V646" s="4" t="str">
        <f>'Form responses 1'!AI648</f>
        <v/>
      </c>
      <c r="W646" s="4" t="str">
        <f>'Form responses 1'!AJ648</f>
        <v/>
      </c>
      <c r="X646" s="4" t="str">
        <f>'Form responses 1'!AK648</f>
        <v/>
      </c>
      <c r="Y646" s="4">
        <f t="shared" ref="Y646:AD646" si="645">if(S646&gt;0,1,0)</f>
        <v>0</v>
      </c>
      <c r="Z646" s="4">
        <f t="shared" si="645"/>
        <v>0</v>
      </c>
      <c r="AA646" s="4">
        <f t="shared" si="645"/>
        <v>0</v>
      </c>
      <c r="AB646" s="4">
        <f t="shared" si="645"/>
        <v>0</v>
      </c>
      <c r="AC646" s="4">
        <f t="shared" si="645"/>
        <v>0</v>
      </c>
      <c r="AD646" s="4">
        <f t="shared" si="645"/>
        <v>0</v>
      </c>
      <c r="AE646" s="4" t="str">
        <f>'Form responses 1'!AN648</f>
        <v/>
      </c>
      <c r="AF646" s="4" t="str">
        <f>'Form responses 1'!AO1767</f>
        <v/>
      </c>
      <c r="AG646" s="4" t="str">
        <f>'Form responses 1'!AP1767</f>
        <v/>
      </c>
      <c r="AH646" s="4" t="str">
        <f>'Form responses 1'!AQ1767</f>
        <v/>
      </c>
      <c r="AI646" s="4" t="str">
        <f>'Form responses 1'!AR1767</f>
        <v/>
      </c>
    </row>
    <row r="647">
      <c r="A647" s="26">
        <f>'Form responses 1'!B649</f>
        <v>46071</v>
      </c>
      <c r="B647" s="4" t="str">
        <f>'Form responses 1'!AZ649</f>
        <v>sumadhur.mummadi@capsdelivery.com</v>
      </c>
      <c r="C647" s="4" t="str">
        <f>'Form responses 1'!BR649</f>
        <v>Woodfire pizza </v>
      </c>
      <c r="D647" s="4" t="str">
        <f>'Form responses 1'!AT649</f>
        <v>The. Owner is available after 8 pm</v>
      </c>
      <c r="E647" s="4" t="str">
        <f>'Form responses 1'!AU649</f>
        <v>Yes</v>
      </c>
      <c r="F647" s="4" t="str">
        <f>'Form responses 1'!AX649</f>
        <v/>
      </c>
      <c r="G647" s="4" t="str">
        <f>'Form responses 1'!AY649</f>
        <v/>
      </c>
      <c r="H647" s="53" t="str">
        <f>'Form responses 1'!AW649</f>
        <v/>
      </c>
      <c r="I647" s="4" t="str">
        <f>'Form responses 1'!AS649</f>
        <v/>
      </c>
      <c r="J647" s="4" t="str">
        <f>'Form responses 1'!J649</f>
        <v/>
      </c>
      <c r="K647" s="4" t="str">
        <f>'Form responses 1'!G649</f>
        <v/>
      </c>
      <c r="L647" s="4" t="str">
        <f>'Form responses 1'!F649</f>
        <v/>
      </c>
      <c r="M647" s="4" t="str">
        <f>'Form responses 1'!U649</f>
        <v>NA </v>
      </c>
      <c r="N647" s="4" t="str">
        <f>'Form responses 1'!V649</f>
        <v>NA </v>
      </c>
      <c r="O647" s="4" t="str">
        <f>'Form responses 1'!W649</f>
        <v>NA </v>
      </c>
      <c r="P647" s="4" t="str">
        <f>'Form responses 1'!X649</f>
        <v/>
      </c>
      <c r="Q647" s="4" t="str">
        <f>'Form responses 1'!Y649</f>
        <v/>
      </c>
      <c r="R647" s="4" t="str">
        <f>'Form responses 1'!Z649</f>
        <v/>
      </c>
      <c r="S647" s="4" t="str">
        <f>'Form responses 1'!AC649</f>
        <v/>
      </c>
      <c r="T647" s="4" t="str">
        <f>'Form responses 1'!AE649</f>
        <v/>
      </c>
      <c r="U647" s="4" t="str">
        <f>'Form responses 1'!AG649</f>
        <v/>
      </c>
      <c r="V647" s="4" t="str">
        <f>'Form responses 1'!AI649</f>
        <v/>
      </c>
      <c r="W647" s="4" t="str">
        <f>'Form responses 1'!AJ649</f>
        <v/>
      </c>
      <c r="X647" s="4" t="str">
        <f>'Form responses 1'!AK649</f>
        <v/>
      </c>
      <c r="Y647" s="4">
        <f t="shared" ref="Y647:AD647" si="646">if(S647&gt;0,1,0)</f>
        <v>0</v>
      </c>
      <c r="Z647" s="4">
        <f t="shared" si="646"/>
        <v>0</v>
      </c>
      <c r="AA647" s="4">
        <f t="shared" si="646"/>
        <v>0</v>
      </c>
      <c r="AB647" s="4">
        <f t="shared" si="646"/>
        <v>0</v>
      </c>
      <c r="AC647" s="4">
        <f t="shared" si="646"/>
        <v>0</v>
      </c>
      <c r="AD647" s="4">
        <f t="shared" si="646"/>
        <v>0</v>
      </c>
      <c r="AE647" s="4" t="str">
        <f>'Form responses 1'!AN649</f>
        <v/>
      </c>
      <c r="AF647" s="4" t="str">
        <f>'Form responses 1'!AO1768</f>
        <v/>
      </c>
      <c r="AG647" s="4" t="str">
        <f>'Form responses 1'!AP1768</f>
        <v/>
      </c>
      <c r="AH647" s="4" t="str">
        <f>'Form responses 1'!AQ1768</f>
        <v/>
      </c>
      <c r="AI647" s="4" t="str">
        <f>'Form responses 1'!AR1768</f>
        <v/>
      </c>
    </row>
    <row r="648">
      <c r="A648" s="26">
        <f>'Form responses 1'!B650</f>
        <v>46072</v>
      </c>
      <c r="B648" s="4" t="str">
        <f>'Form responses 1'!AZ650</f>
        <v>sumadhur.mummadi@capsdelivery.com</v>
      </c>
      <c r="C648" s="4" t="str">
        <f>'Form responses 1'!BR650</f>
        <v>Athidis kitchen Athidis kitchen </v>
      </c>
      <c r="D648" s="4" t="str">
        <f>'Form responses 1'!AT650</f>
        <v>He asked to come onboard on monday</v>
      </c>
      <c r="E648" s="4" t="str">
        <f>'Form responses 1'!AU650</f>
        <v>Yes</v>
      </c>
      <c r="F648" s="26">
        <f>'Form responses 1'!AX650</f>
        <v>46076</v>
      </c>
      <c r="G648" s="52">
        <f>'Form responses 1'!AY650</f>
        <v>0.625</v>
      </c>
      <c r="H648" s="53" t="str">
        <f>'Form responses 1'!AW650</f>
        <v/>
      </c>
      <c r="I648" s="4" t="str">
        <f>'Form responses 1'!AS650</f>
        <v/>
      </c>
      <c r="J648" s="4" t="str">
        <f>'Form responses 1'!J650</f>
        <v/>
      </c>
      <c r="K648" s="4" t="str">
        <f>'Form responses 1'!G650</f>
        <v/>
      </c>
      <c r="L648" s="4" t="str">
        <f>'Form responses 1'!F650</f>
        <v/>
      </c>
      <c r="M648" s="4" t="str">
        <f>'Form responses 1'!U650</f>
        <v>Pandu</v>
      </c>
      <c r="N648" s="4">
        <f>'Form responses 1'!V650</f>
        <v>9951852500</v>
      </c>
      <c r="O648" s="4" t="str">
        <f>'Form responses 1'!W650</f>
        <v>NA </v>
      </c>
      <c r="P648" s="4" t="str">
        <f>'Form responses 1'!X650</f>
        <v/>
      </c>
      <c r="Q648" s="4" t="str">
        <f>'Form responses 1'!Y650</f>
        <v/>
      </c>
      <c r="R648" s="4" t="str">
        <f>'Form responses 1'!Z650</f>
        <v/>
      </c>
      <c r="S648" s="4" t="str">
        <f>'Form responses 1'!AC650</f>
        <v/>
      </c>
      <c r="T648" s="4" t="str">
        <f>'Form responses 1'!AE650</f>
        <v/>
      </c>
      <c r="U648" s="4" t="str">
        <f>'Form responses 1'!AG650</f>
        <v/>
      </c>
      <c r="V648" s="4" t="str">
        <f>'Form responses 1'!AI650</f>
        <v/>
      </c>
      <c r="W648" s="4" t="str">
        <f>'Form responses 1'!AJ650</f>
        <v/>
      </c>
      <c r="X648" s="4" t="str">
        <f>'Form responses 1'!AK650</f>
        <v/>
      </c>
      <c r="Y648" s="4">
        <f t="shared" ref="Y648:AD648" si="647">if(S648&gt;0,1,0)</f>
        <v>0</v>
      </c>
      <c r="Z648" s="4">
        <f t="shared" si="647"/>
        <v>0</v>
      </c>
      <c r="AA648" s="4">
        <f t="shared" si="647"/>
        <v>0</v>
      </c>
      <c r="AB648" s="4">
        <f t="shared" si="647"/>
        <v>0</v>
      </c>
      <c r="AC648" s="4">
        <f t="shared" si="647"/>
        <v>0</v>
      </c>
      <c r="AD648" s="4">
        <f t="shared" si="647"/>
        <v>0</v>
      </c>
      <c r="AE648" s="4" t="str">
        <f>'Form responses 1'!AN650</f>
        <v/>
      </c>
      <c r="AF648" s="4" t="str">
        <f>'Form responses 1'!AO1769</f>
        <v/>
      </c>
      <c r="AG648" s="4" t="str">
        <f>'Form responses 1'!AP1769</f>
        <v/>
      </c>
      <c r="AH648" s="4" t="str">
        <f>'Form responses 1'!AQ1769</f>
        <v/>
      </c>
      <c r="AI648" s="4" t="str">
        <f>'Form responses 1'!AR1769</f>
        <v/>
      </c>
    </row>
    <row r="649">
      <c r="A649" s="26">
        <f>'Form responses 1'!B651</f>
        <v>46072</v>
      </c>
      <c r="B649" s="4" t="str">
        <f>'Form responses 1'!AZ651</f>
        <v>chanakya.inugala@capsdelivery.com</v>
      </c>
      <c r="C649" s="4" t="str">
        <f>'Form responses 1'!BR651</f>
        <v>Malabar kitchen</v>
      </c>
      <c r="D649" s="4" t="str">
        <f>'Form responses 1'!AT651</f>
        <v>follow up waiting furthur</v>
      </c>
      <c r="E649" s="4" t="str">
        <f>'Form responses 1'!AU651</f>
        <v>Yes</v>
      </c>
      <c r="F649" s="4" t="str">
        <f>'Form responses 1'!AX651</f>
        <v/>
      </c>
      <c r="G649" s="4" t="str">
        <f>'Form responses 1'!AY651</f>
        <v/>
      </c>
      <c r="H649" s="53" t="str">
        <f>'Form responses 1'!AW651</f>
        <v/>
      </c>
      <c r="I649" s="4" t="str">
        <f>'Form responses 1'!AS651</f>
        <v/>
      </c>
      <c r="J649" s="4" t="str">
        <f>'Form responses 1'!J651</f>
        <v>Tier-3 ( AOV&lt;200 )</v>
      </c>
      <c r="K649" s="4">
        <f>'Form responses 1'!G651</f>
        <v>300</v>
      </c>
      <c r="L649" s="4">
        <f>'Form responses 1'!F651</f>
        <v>40</v>
      </c>
      <c r="M649" s="4" t="str">
        <f>'Form responses 1'!U651</f>
        <v>cafe cocktail music</v>
      </c>
      <c r="N649" s="4" t="str">
        <f>'Form responses 1'!V651</f>
        <v>na</v>
      </c>
      <c r="O649" s="4" t="str">
        <f>'Form responses 1'!W651</f>
        <v>na</v>
      </c>
      <c r="P649" s="4" t="str">
        <f>'Form responses 1'!X651</f>
        <v>Tapas</v>
      </c>
      <c r="Q649" s="4" t="str">
        <f>'Form responses 1'!Y651</f>
        <v/>
      </c>
      <c r="R649" s="4" t="str">
        <f>'Form responses 1'!Z651</f>
        <v/>
      </c>
      <c r="S649" s="4" t="str">
        <f>'Form responses 1'!AC651</f>
        <v/>
      </c>
      <c r="T649" s="4" t="str">
        <f>'Form responses 1'!AE651</f>
        <v/>
      </c>
      <c r="U649" s="4" t="str">
        <f>'Form responses 1'!AG651</f>
        <v/>
      </c>
      <c r="V649" s="4" t="str">
        <f>'Form responses 1'!AI651</f>
        <v/>
      </c>
      <c r="W649" s="4" t="str">
        <f>'Form responses 1'!AJ651</f>
        <v/>
      </c>
      <c r="X649" s="4" t="str">
        <f>'Form responses 1'!AK651</f>
        <v/>
      </c>
      <c r="Y649" s="4">
        <f t="shared" ref="Y649:AD649" si="648">if(S649&gt;0,1,0)</f>
        <v>0</v>
      </c>
      <c r="Z649" s="4">
        <f t="shared" si="648"/>
        <v>0</v>
      </c>
      <c r="AA649" s="4">
        <f t="shared" si="648"/>
        <v>0</v>
      </c>
      <c r="AB649" s="4">
        <f t="shared" si="648"/>
        <v>0</v>
      </c>
      <c r="AC649" s="4">
        <f t="shared" si="648"/>
        <v>0</v>
      </c>
      <c r="AD649" s="4">
        <f t="shared" si="648"/>
        <v>0</v>
      </c>
      <c r="AE649" s="4" t="str">
        <f>'Form responses 1'!AN651</f>
        <v/>
      </c>
      <c r="AF649" s="4" t="str">
        <f>'Form responses 1'!AO1770</f>
        <v/>
      </c>
      <c r="AG649" s="4" t="str">
        <f>'Form responses 1'!AP1770</f>
        <v/>
      </c>
      <c r="AH649" s="4" t="str">
        <f>'Form responses 1'!AQ1770</f>
        <v/>
      </c>
      <c r="AI649" s="4" t="str">
        <f>'Form responses 1'!AR1770</f>
        <v/>
      </c>
    </row>
    <row r="650">
      <c r="A650" s="26">
        <f>'Form responses 1'!B652</f>
        <v>46072</v>
      </c>
      <c r="B650" s="4" t="str">
        <f>'Form responses 1'!AZ652</f>
        <v>greeshma.vanneldas@capsdelivery.com</v>
      </c>
      <c r="C650" s="4" t="str">
        <f>'Form responses 1'!BR652</f>
        <v>Punjabi chaskaPunjabi chaska</v>
      </c>
      <c r="D650" s="4" t="str">
        <f>'Form responses 1'!AT652</f>
        <v>ONBORDED</v>
      </c>
      <c r="E650" s="4" t="str">
        <f>'Form responses 1'!AU652</f>
        <v>No</v>
      </c>
      <c r="F650" s="4" t="str">
        <f>'Form responses 1'!AX652</f>
        <v/>
      </c>
      <c r="G650" s="4" t="str">
        <f>'Form responses 1'!AY652</f>
        <v/>
      </c>
      <c r="H650" s="53" t="str">
        <f>'Form responses 1'!AW652</f>
        <v/>
      </c>
      <c r="I650" s="4" t="str">
        <f>'Form responses 1'!AS652</f>
        <v>Yes</v>
      </c>
      <c r="J650" s="4" t="str">
        <f>'Form responses 1'!J652</f>
        <v/>
      </c>
      <c r="K650" s="4" t="str">
        <f>'Form responses 1'!G652</f>
        <v/>
      </c>
      <c r="L650" s="4" t="str">
        <f>'Form responses 1'!F652</f>
        <v/>
      </c>
      <c r="M650" s="4" t="str">
        <f>'Form responses 1'!U652</f>
        <v>Auddin</v>
      </c>
      <c r="N650" s="4">
        <f>'Form responses 1'!V652</f>
        <v>6300840049</v>
      </c>
      <c r="O650" s="4" t="str">
        <f>'Form responses 1'!W652</f>
        <v>na</v>
      </c>
      <c r="P650" s="4" t="str">
        <f>'Form responses 1'!X652</f>
        <v/>
      </c>
      <c r="Q650" s="4" t="str">
        <f>'Form responses 1'!Y652</f>
        <v/>
      </c>
      <c r="R650" s="4" t="str">
        <f>'Form responses 1'!Z652</f>
        <v/>
      </c>
      <c r="S650" s="54" t="str">
        <f>'Form responses 1'!AC652</f>
        <v>https://drive.google.com/open?id=1waSIzAH-MIZnU9Z2Cf4OEIbVIJfuSsAd</v>
      </c>
      <c r="T650" s="4" t="str">
        <f>'Form responses 1'!AE652</f>
        <v/>
      </c>
      <c r="U650" s="54" t="str">
        <f>'Form responses 1'!AG652</f>
        <v>https://drive.google.com/open?id=1fyc7UMJwnYQe1gnfEn6ERAWKYc96dUR9</v>
      </c>
      <c r="V650" s="4" t="str">
        <f>'Form responses 1'!AI652</f>
        <v/>
      </c>
      <c r="W650" s="54" t="str">
        <f>'Form responses 1'!AJ652</f>
        <v>https://drive.google.com/open?id=1eUsNeyEj8OgtygeMyLiVEJod82SwU5zN</v>
      </c>
      <c r="X650" s="54" t="str">
        <f>'Form responses 1'!AK652</f>
        <v>https://drive.google.com/open?id=1QzadrdF1fruc3XZQktLe8rw6eHtQSBeF</v>
      </c>
      <c r="Y650" s="4">
        <f t="shared" ref="Y650:AD650" si="649">if(S650&gt;0,1,0)</f>
        <v>1</v>
      </c>
      <c r="Z650" s="4">
        <f t="shared" si="649"/>
        <v>0</v>
      </c>
      <c r="AA650" s="4">
        <f t="shared" si="649"/>
        <v>1</v>
      </c>
      <c r="AB650" s="4">
        <f t="shared" si="649"/>
        <v>0</v>
      </c>
      <c r="AC650" s="4">
        <f t="shared" si="649"/>
        <v>1</v>
      </c>
      <c r="AD650" s="4">
        <f t="shared" si="649"/>
        <v>1</v>
      </c>
      <c r="AE650" s="4" t="str">
        <f>'Form responses 1'!AN652</f>
        <v>Adarsh bank</v>
      </c>
      <c r="AF650" s="4" t="str">
        <f>'Form responses 1'!AO1771</f>
        <v/>
      </c>
      <c r="AG650" s="4" t="str">
        <f>'Form responses 1'!AP1771</f>
        <v/>
      </c>
      <c r="AH650" s="4" t="str">
        <f>'Form responses 1'!AQ1771</f>
        <v/>
      </c>
      <c r="AI650" s="4" t="str">
        <f>'Form responses 1'!AR1771</f>
        <v/>
      </c>
    </row>
    <row r="651">
      <c r="A651" s="26">
        <f>'Form responses 1'!B653</f>
        <v>46072</v>
      </c>
      <c r="B651" s="4" t="str">
        <f>'Form responses 1'!AZ653</f>
        <v>chanakya.inugala@capsdelivery.com</v>
      </c>
      <c r="C651" s="4" t="str">
        <f>'Form responses 1'!BR653</f>
        <v>Yum Yum Tree</v>
      </c>
      <c r="D651" s="4" t="str">
        <f>'Form responses 1'!AT653</f>
        <v>follow up with m.d</v>
      </c>
      <c r="E651" s="4" t="str">
        <f>'Form responses 1'!AU653</f>
        <v>Yes</v>
      </c>
      <c r="F651" s="4" t="str">
        <f>'Form responses 1'!AX653</f>
        <v/>
      </c>
      <c r="G651" s="4" t="str">
        <f>'Form responses 1'!AY653</f>
        <v/>
      </c>
      <c r="H651" s="53" t="str">
        <f>'Form responses 1'!AW653</f>
        <v/>
      </c>
      <c r="I651" s="4" t="str">
        <f>'Form responses 1'!AS653</f>
        <v/>
      </c>
      <c r="J651" s="4" t="str">
        <f>'Form responses 1'!J653</f>
        <v>Tier-2 (AOV &lt;400)</v>
      </c>
      <c r="K651" s="4">
        <f>'Form responses 1'!G653</f>
        <v>300</v>
      </c>
      <c r="L651" s="4">
        <f>'Form responses 1'!F653</f>
        <v>40</v>
      </c>
      <c r="M651" s="4" t="str">
        <f>'Form responses 1'!U653</f>
        <v>Mazar </v>
      </c>
      <c r="N651" s="4" t="str">
        <f>'Form responses 1'!V653</f>
        <v>na</v>
      </c>
      <c r="O651" s="4" t="str">
        <f>'Form responses 1'!W653</f>
        <v>na</v>
      </c>
      <c r="P651" s="4" t="str">
        <f>'Form responses 1'!X653</f>
        <v/>
      </c>
      <c r="Q651" s="4" t="str">
        <f>'Form responses 1'!Y653</f>
        <v/>
      </c>
      <c r="R651" s="4" t="str">
        <f>'Form responses 1'!Z653</f>
        <v/>
      </c>
      <c r="S651" s="4" t="str">
        <f>'Form responses 1'!AC653</f>
        <v/>
      </c>
      <c r="T651" s="4" t="str">
        <f>'Form responses 1'!AE653</f>
        <v/>
      </c>
      <c r="U651" s="4" t="str">
        <f>'Form responses 1'!AG653</f>
        <v/>
      </c>
      <c r="V651" s="4" t="str">
        <f>'Form responses 1'!AI653</f>
        <v/>
      </c>
      <c r="W651" s="4" t="str">
        <f>'Form responses 1'!AJ653</f>
        <v/>
      </c>
      <c r="X651" s="4" t="str">
        <f>'Form responses 1'!AK653</f>
        <v/>
      </c>
      <c r="Y651" s="4">
        <f t="shared" ref="Y651:AD651" si="650">if(S651&gt;0,1,0)</f>
        <v>0</v>
      </c>
      <c r="Z651" s="4">
        <f t="shared" si="650"/>
        <v>0</v>
      </c>
      <c r="AA651" s="4">
        <f t="shared" si="650"/>
        <v>0</v>
      </c>
      <c r="AB651" s="4">
        <f t="shared" si="650"/>
        <v>0</v>
      </c>
      <c r="AC651" s="4">
        <f t="shared" si="650"/>
        <v>0</v>
      </c>
      <c r="AD651" s="4">
        <f t="shared" si="650"/>
        <v>0</v>
      </c>
      <c r="AE651" s="4" t="str">
        <f>'Form responses 1'!AN653</f>
        <v/>
      </c>
      <c r="AF651" s="4" t="str">
        <f>'Form responses 1'!AO1772</f>
        <v/>
      </c>
      <c r="AG651" s="4" t="str">
        <f>'Form responses 1'!AP1772</f>
        <v/>
      </c>
      <c r="AH651" s="4" t="str">
        <f>'Form responses 1'!AQ1772</f>
        <v/>
      </c>
      <c r="AI651" s="4" t="str">
        <f>'Form responses 1'!AR1772</f>
        <v/>
      </c>
    </row>
    <row r="652">
      <c r="A652" s="26">
        <f>'Form responses 1'!B654</f>
        <v>46072</v>
      </c>
      <c r="B652" s="4" t="str">
        <f>'Form responses 1'!AZ654</f>
        <v>greeshma.vanneldas@capsdelivery.com</v>
      </c>
      <c r="C652" s="4" t="str">
        <f>'Form responses 1'!BR654</f>
        <v>Spicy food courtSpicy food court</v>
      </c>
      <c r="D652" s="4" t="str">
        <f>'Form responses 1'!AT654</f>
        <v>ONBOARDED</v>
      </c>
      <c r="E652" s="4" t="str">
        <f>'Form responses 1'!AU654</f>
        <v>No</v>
      </c>
      <c r="F652" s="4" t="str">
        <f>'Form responses 1'!AX654</f>
        <v/>
      </c>
      <c r="G652" s="4" t="str">
        <f>'Form responses 1'!AY654</f>
        <v/>
      </c>
      <c r="H652" s="53" t="str">
        <f>'Form responses 1'!AW654</f>
        <v/>
      </c>
      <c r="I652" s="4" t="str">
        <f>'Form responses 1'!AS654</f>
        <v>Yes</v>
      </c>
      <c r="J652" s="4" t="str">
        <f>'Form responses 1'!J654</f>
        <v/>
      </c>
      <c r="K652" s="4" t="str">
        <f>'Form responses 1'!G654</f>
        <v/>
      </c>
      <c r="L652" s="4" t="str">
        <f>'Form responses 1'!F654</f>
        <v/>
      </c>
      <c r="M652" s="4" t="str">
        <f>'Form responses 1'!U654</f>
        <v>Syed hissam uddin </v>
      </c>
      <c r="N652" s="4">
        <f>'Form responses 1'!V654</f>
        <v>8341901102</v>
      </c>
      <c r="O652" s="4" t="str">
        <f>'Form responses 1'!W654</f>
        <v>NA</v>
      </c>
      <c r="P652" s="4" t="str">
        <f>'Form responses 1'!X654</f>
        <v/>
      </c>
      <c r="Q652" s="4" t="str">
        <f>'Form responses 1'!Y654</f>
        <v/>
      </c>
      <c r="R652" s="4" t="str">
        <f>'Form responses 1'!Z654</f>
        <v/>
      </c>
      <c r="S652" s="54" t="str">
        <f>'Form responses 1'!AC654</f>
        <v>https://drive.google.com/open?id=125T7pFP7_Nj1RyExE6yiGLlMNItiF0U5</v>
      </c>
      <c r="T652" s="4" t="str">
        <f>'Form responses 1'!AE654</f>
        <v/>
      </c>
      <c r="U652" s="54" t="str">
        <f>'Form responses 1'!AG654</f>
        <v>https://drive.google.com/open?id=1kQOQ0kicVr2cCG9DSM-uee5ZGrwBkTKr</v>
      </c>
      <c r="V652" s="4" t="str">
        <f>'Form responses 1'!AI654</f>
        <v/>
      </c>
      <c r="W652" s="4" t="str">
        <f>'Form responses 1'!AJ654</f>
        <v/>
      </c>
      <c r="X652" s="54" t="str">
        <f>'Form responses 1'!AK654</f>
        <v>https://drive.google.com/open?id=1ZqqbAXMee-gtK1xay_XrZdq-HxLWYqJo</v>
      </c>
      <c r="Y652" s="4">
        <f t="shared" ref="Y652:AD652" si="651">if(S652&gt;0,1,0)</f>
        <v>1</v>
      </c>
      <c r="Z652" s="4">
        <f t="shared" si="651"/>
        <v>0</v>
      </c>
      <c r="AA652" s="4">
        <f t="shared" si="651"/>
        <v>1</v>
      </c>
      <c r="AB652" s="4">
        <f t="shared" si="651"/>
        <v>0</v>
      </c>
      <c r="AC652" s="4">
        <f t="shared" si="651"/>
        <v>0</v>
      </c>
      <c r="AD652" s="4">
        <f t="shared" si="651"/>
        <v>1</v>
      </c>
      <c r="AE652" s="4" t="str">
        <f>'Form responses 1'!AN654</f>
        <v/>
      </c>
      <c r="AF652" s="4" t="str">
        <f>'Form responses 1'!AO1773</f>
        <v/>
      </c>
      <c r="AG652" s="4" t="str">
        <f>'Form responses 1'!AP1773</f>
        <v/>
      </c>
      <c r="AH652" s="4" t="str">
        <f>'Form responses 1'!AQ1773</f>
        <v/>
      </c>
      <c r="AI652" s="4" t="str">
        <f>'Form responses 1'!AR1773</f>
        <v/>
      </c>
    </row>
    <row r="653">
      <c r="A653" s="26">
        <f>'Form responses 1'!B655</f>
        <v>46072</v>
      </c>
      <c r="B653" s="4" t="str">
        <f>'Form responses 1'!AZ655</f>
        <v>chanakya.inugala@capsdelivery.com</v>
      </c>
      <c r="C653" s="4" t="str">
        <f>'Form responses 1'!BR655</f>
        <v>Cherry Restaurent</v>
      </c>
      <c r="D653" s="4" t="str">
        <f>'Form responses 1'!AT655</f>
        <v>follow up required for documents collection</v>
      </c>
      <c r="E653" s="4" t="str">
        <f>'Form responses 1'!AU655</f>
        <v>Yes</v>
      </c>
      <c r="F653" s="26">
        <f>'Form responses 1'!AX655</f>
        <v>46071</v>
      </c>
      <c r="G653" s="52">
        <f>'Form responses 1'!AY655</f>
        <v>0.625</v>
      </c>
      <c r="H653" s="53" t="str">
        <f>'Form responses 1'!AW655</f>
        <v>na</v>
      </c>
      <c r="I653" s="4" t="str">
        <f>'Form responses 1'!AS655</f>
        <v/>
      </c>
      <c r="J653" s="4" t="str">
        <f>'Form responses 1'!J655</f>
        <v>Tier-3 ( AOV&lt;200 )</v>
      </c>
      <c r="K653" s="4">
        <f>'Form responses 1'!G655</f>
        <v>200</v>
      </c>
      <c r="L653" s="4">
        <f>'Form responses 1'!F655</f>
        <v>15</v>
      </c>
      <c r="M653" s="4" t="str">
        <f>'Form responses 1'!U655</f>
        <v>Bose Babu</v>
      </c>
      <c r="N653" s="4">
        <f>'Form responses 1'!V655</f>
        <v>9010089099</v>
      </c>
      <c r="O653" s="4" t="str">
        <f>'Form responses 1'!W655</f>
        <v>na</v>
      </c>
      <c r="P653" s="4" t="str">
        <f>'Form responses 1'!X655</f>
        <v/>
      </c>
      <c r="Q653" s="4" t="str">
        <f>'Form responses 1'!Y655</f>
        <v/>
      </c>
      <c r="R653" s="4" t="str">
        <f>'Form responses 1'!Z655</f>
        <v/>
      </c>
      <c r="S653" s="4" t="str">
        <f>'Form responses 1'!AC655</f>
        <v/>
      </c>
      <c r="T653" s="4" t="str">
        <f>'Form responses 1'!AE655</f>
        <v/>
      </c>
      <c r="U653" s="4" t="str">
        <f>'Form responses 1'!AG655</f>
        <v/>
      </c>
      <c r="V653" s="4" t="str">
        <f>'Form responses 1'!AI655</f>
        <v/>
      </c>
      <c r="W653" s="4" t="str">
        <f>'Form responses 1'!AJ655</f>
        <v/>
      </c>
      <c r="X653" s="4" t="str">
        <f>'Form responses 1'!AK655</f>
        <v/>
      </c>
      <c r="Y653" s="4">
        <f t="shared" ref="Y653:AD653" si="652">if(S653&gt;0,1,0)</f>
        <v>0</v>
      </c>
      <c r="Z653" s="4">
        <f t="shared" si="652"/>
        <v>0</v>
      </c>
      <c r="AA653" s="4">
        <f t="shared" si="652"/>
        <v>0</v>
      </c>
      <c r="AB653" s="4">
        <f t="shared" si="652"/>
        <v>0</v>
      </c>
      <c r="AC653" s="4">
        <f t="shared" si="652"/>
        <v>0</v>
      </c>
      <c r="AD653" s="4">
        <f t="shared" si="652"/>
        <v>0</v>
      </c>
      <c r="AE653" s="4" t="str">
        <f>'Form responses 1'!AN655</f>
        <v/>
      </c>
      <c r="AF653" s="4" t="str">
        <f>'Form responses 1'!AO1774</f>
        <v/>
      </c>
      <c r="AG653" s="4" t="str">
        <f>'Form responses 1'!AP1774</f>
        <v/>
      </c>
      <c r="AH653" s="4" t="str">
        <f>'Form responses 1'!AQ1774</f>
        <v/>
      </c>
      <c r="AI653" s="4" t="str">
        <f>'Form responses 1'!AR1774</f>
        <v/>
      </c>
    </row>
    <row r="654">
      <c r="A654" s="26">
        <f>'Form responses 1'!B656</f>
        <v>46072</v>
      </c>
      <c r="B654" s="4" t="str">
        <f>'Form responses 1'!AZ656</f>
        <v>moin.khan@capsdelivery.com</v>
      </c>
      <c r="C654" s="4" t="str">
        <f>'Form responses 1'!BR656</f>
        <v>ASIAN PAN HOUSE AND RESTAURANT</v>
      </c>
      <c r="D654" s="4" t="str">
        <f>'Form responses 1'!AT656</f>
        <v>ONBOARDED</v>
      </c>
      <c r="E654" s="4" t="str">
        <f>'Form responses 1'!AU656</f>
        <v>Yes</v>
      </c>
      <c r="F654" s="26">
        <f>'Form responses 1'!AX656</f>
        <v>46076</v>
      </c>
      <c r="G654" s="52">
        <f>'Form responses 1'!AY656</f>
        <v>0.7083333333</v>
      </c>
      <c r="H654" s="53" t="str">
        <f>'Form responses 1'!AW656</f>
        <v/>
      </c>
      <c r="I654" s="4" t="str">
        <f>'Form responses 1'!AS656</f>
        <v>Yes</v>
      </c>
      <c r="J654" s="4" t="str">
        <f>'Form responses 1'!J656</f>
        <v>Tier-2 (AOV &lt;400)</v>
      </c>
      <c r="K654" s="4">
        <f>'Form responses 1'!G656</f>
        <v>350</v>
      </c>
      <c r="L654" s="4">
        <f>'Form responses 1'!F656</f>
        <v>50</v>
      </c>
      <c r="M654" s="4" t="str">
        <f>'Form responses 1'!U656</f>
        <v>G NARASIMHA MURTHY</v>
      </c>
      <c r="N654" s="4">
        <f>'Form responses 1'!V656</f>
        <v>7730072371</v>
      </c>
      <c r="O654" s="4" t="str">
        <f>'Form responses 1'!W656</f>
        <v>Murthysam07@gmail.com</v>
      </c>
      <c r="P654" s="4" t="str">
        <f>'Form responses 1'!X656</f>
        <v/>
      </c>
      <c r="Q654" s="4" t="str">
        <f>'Form responses 1'!Y656</f>
        <v/>
      </c>
      <c r="R654" s="4" t="str">
        <f>'Form responses 1'!Z656</f>
        <v/>
      </c>
      <c r="S654" s="54" t="str">
        <f>'Form responses 1'!AC656</f>
        <v>https://drive.google.com/open?id=1-PmbyHH_FFcytI0mUI-24IqfZBGvv0lV</v>
      </c>
      <c r="T654" s="4" t="str">
        <f>'Form responses 1'!AE656</f>
        <v/>
      </c>
      <c r="U654" s="54" t="str">
        <f>'Form responses 1'!AG656</f>
        <v>https://drive.google.com/open?id=1-6yZUYECRiR_Cjh4Tg5KruPhVbpZQQOW</v>
      </c>
      <c r="V654" s="4" t="str">
        <f>'Form responses 1'!AI656</f>
        <v/>
      </c>
      <c r="W654" s="4" t="str">
        <f>'Form responses 1'!AJ656</f>
        <v/>
      </c>
      <c r="X654" s="4" t="str">
        <f>'Form responses 1'!AK656</f>
        <v/>
      </c>
      <c r="Y654" s="4">
        <f t="shared" ref="Y654:AD654" si="653">if(S654&gt;0,1,0)</f>
        <v>1</v>
      </c>
      <c r="Z654" s="4">
        <f t="shared" si="653"/>
        <v>0</v>
      </c>
      <c r="AA654" s="4">
        <f t="shared" si="653"/>
        <v>1</v>
      </c>
      <c r="AB654" s="4">
        <f t="shared" si="653"/>
        <v>0</v>
      </c>
      <c r="AC654" s="4">
        <f t="shared" si="653"/>
        <v>0</v>
      </c>
      <c r="AD654" s="4">
        <f t="shared" si="653"/>
        <v>0</v>
      </c>
      <c r="AE654" s="4" t="str">
        <f>'Form responses 1'!AN656</f>
        <v/>
      </c>
      <c r="AF654" s="4" t="str">
        <f>'Form responses 1'!AO1775</f>
        <v/>
      </c>
      <c r="AG654" s="4" t="str">
        <f>'Form responses 1'!AP1775</f>
        <v/>
      </c>
      <c r="AH654" s="4" t="str">
        <f>'Form responses 1'!AQ1775</f>
        <v/>
      </c>
      <c r="AI654" s="4" t="str">
        <f>'Form responses 1'!AR1775</f>
        <v/>
      </c>
    </row>
    <row r="655">
      <c r="A655" s="26">
        <f>'Form responses 1'!B657</f>
        <v>46072</v>
      </c>
      <c r="B655" s="4" t="str">
        <f>'Form responses 1'!AZ657</f>
        <v>moin.khan@capsdelivery.com</v>
      </c>
      <c r="C655" s="4" t="str">
        <f>'Form responses 1'!BR657</f>
        <v>PREETI TIFFINSPREETI TIFFINS </v>
      </c>
      <c r="D655" s="4" t="str">
        <f>'Form responses 1'!AT657</f>
        <v>ONBOARDED</v>
      </c>
      <c r="E655" s="4" t="str">
        <f>'Form responses 1'!AU657</f>
        <v>Yes</v>
      </c>
      <c r="F655" s="26">
        <f>'Form responses 1'!AX657</f>
        <v>46073</v>
      </c>
      <c r="G655" s="52">
        <f>'Form responses 1'!AY657</f>
        <v>0.7083333333</v>
      </c>
      <c r="H655" s="53" t="str">
        <f>'Form responses 1'!AW657</f>
        <v/>
      </c>
      <c r="I655" s="4" t="str">
        <f>'Form responses 1'!AS657</f>
        <v/>
      </c>
      <c r="J655" s="4" t="str">
        <f>'Form responses 1'!J657</f>
        <v/>
      </c>
      <c r="K655" s="4" t="str">
        <f>'Form responses 1'!G657</f>
        <v/>
      </c>
      <c r="L655" s="4" t="str">
        <f>'Form responses 1'!F657</f>
        <v/>
      </c>
      <c r="M655" s="4" t="str">
        <f>'Form responses 1'!U657</f>
        <v>MEGHA</v>
      </c>
      <c r="N655" s="4">
        <f>'Form responses 1'!V657</f>
        <v>8897622869</v>
      </c>
      <c r="O655" s="4" t="str">
        <f>'Form responses 1'!W657</f>
        <v>NA</v>
      </c>
      <c r="P655" s="4" t="str">
        <f>'Form responses 1'!X657</f>
        <v/>
      </c>
      <c r="Q655" s="4" t="str">
        <f>'Form responses 1'!Y657</f>
        <v/>
      </c>
      <c r="R655" s="4" t="str">
        <f>'Form responses 1'!Z657</f>
        <v/>
      </c>
      <c r="S655" s="4" t="str">
        <f>'Form responses 1'!AC657</f>
        <v/>
      </c>
      <c r="T655" s="4" t="str">
        <f>'Form responses 1'!AE657</f>
        <v/>
      </c>
      <c r="U655" s="4" t="str">
        <f>'Form responses 1'!AG657</f>
        <v/>
      </c>
      <c r="V655" s="4" t="str">
        <f>'Form responses 1'!AI657</f>
        <v/>
      </c>
      <c r="W655" s="4" t="str">
        <f>'Form responses 1'!AJ657</f>
        <v/>
      </c>
      <c r="X655" s="4" t="str">
        <f>'Form responses 1'!AK657</f>
        <v/>
      </c>
      <c r="Y655" s="4">
        <f t="shared" ref="Y655:AD655" si="654">if(S655&gt;0,1,0)</f>
        <v>0</v>
      </c>
      <c r="Z655" s="4">
        <f t="shared" si="654"/>
        <v>0</v>
      </c>
      <c r="AA655" s="4">
        <f t="shared" si="654"/>
        <v>0</v>
      </c>
      <c r="AB655" s="4">
        <f t="shared" si="654"/>
        <v>0</v>
      </c>
      <c r="AC655" s="4">
        <f t="shared" si="654"/>
        <v>0</v>
      </c>
      <c r="AD655" s="4">
        <f t="shared" si="654"/>
        <v>0</v>
      </c>
      <c r="AE655" s="4" t="str">
        <f>'Form responses 1'!AN657</f>
        <v/>
      </c>
      <c r="AF655" s="4" t="str">
        <f>'Form responses 1'!AO1776</f>
        <v/>
      </c>
      <c r="AG655" s="4" t="str">
        <f>'Form responses 1'!AP1776</f>
        <v/>
      </c>
      <c r="AH655" s="4" t="str">
        <f>'Form responses 1'!AQ1776</f>
        <v/>
      </c>
      <c r="AI655" s="4" t="str">
        <f>'Form responses 1'!AR1776</f>
        <v/>
      </c>
    </row>
    <row r="656">
      <c r="A656" s="26">
        <f>'Form responses 1'!B172</f>
        <v>46064</v>
      </c>
      <c r="B656" s="4" t="str">
        <f>'Form responses 1'!AZ172</f>
        <v>greeshma.vanneldas@capsdelivery.com</v>
      </c>
      <c r="C656" s="4" t="str">
        <f>'Form responses 1'!BR172</f>
        <v>South n spice </v>
      </c>
      <c r="D656" s="4" t="str">
        <f>'Form responses 1'!AT172</f>
        <v/>
      </c>
      <c r="E656" s="4" t="str">
        <f>'Form responses 1'!AU172</f>
        <v>Yes</v>
      </c>
      <c r="F656" s="4" t="str">
        <f>'Form responses 1'!AX172</f>
        <v/>
      </c>
      <c r="G656" s="4" t="str">
        <f>'Form responses 1'!AY172</f>
        <v/>
      </c>
      <c r="H656" s="53" t="str">
        <f>'Form responses 1'!AW172</f>
        <v>He need check with partner,follow up tomorrow after 18:00</v>
      </c>
      <c r="I656" s="4" t="str">
        <f>'Form responses 1'!AS172</f>
        <v/>
      </c>
      <c r="J656" s="4" t="str">
        <f>'Form responses 1'!J172</f>
        <v/>
      </c>
      <c r="K656" s="4" t="str">
        <f>'Form responses 1'!G172</f>
        <v/>
      </c>
      <c r="L656" s="4" t="str">
        <f>'Form responses 1'!F172</f>
        <v/>
      </c>
      <c r="M656" s="4" t="str">
        <f>'Form responses 1'!U172</f>
        <v>Abib</v>
      </c>
      <c r="N656" s="4">
        <f>'Form responses 1'!V172</f>
        <v>8328393420</v>
      </c>
      <c r="O656" s="4" t="str">
        <f>'Form responses 1'!W172</f>
        <v>na</v>
      </c>
      <c r="P656" s="4" t="str">
        <f>'Form responses 1'!X172</f>
        <v/>
      </c>
      <c r="Q656" s="4" t="str">
        <f>'Form responses 1'!Y172</f>
        <v/>
      </c>
      <c r="R656" s="4" t="str">
        <f>'Form responses 1'!Z172</f>
        <v/>
      </c>
      <c r="S656" s="4" t="str">
        <f>'Form responses 1'!AC172</f>
        <v/>
      </c>
      <c r="T656" s="4" t="str">
        <f>'Form responses 1'!AE172</f>
        <v/>
      </c>
      <c r="U656" s="4" t="str">
        <f>'Form responses 1'!AG172</f>
        <v/>
      </c>
      <c r="V656" s="4" t="str">
        <f>'Form responses 1'!AI172</f>
        <v/>
      </c>
      <c r="W656" s="4" t="str">
        <f>'Form responses 1'!AJ172</f>
        <v/>
      </c>
      <c r="X656" s="4" t="str">
        <f>'Form responses 1'!AK172</f>
        <v/>
      </c>
      <c r="Y656" s="4">
        <f t="shared" ref="Y656:AD656" si="655">if(S656&gt;0,1,0)</f>
        <v>0</v>
      </c>
      <c r="Z656" s="4">
        <f t="shared" si="655"/>
        <v>0</v>
      </c>
      <c r="AA656" s="4">
        <f t="shared" si="655"/>
        <v>0</v>
      </c>
      <c r="AB656" s="4">
        <f t="shared" si="655"/>
        <v>0</v>
      </c>
      <c r="AC656" s="4">
        <f t="shared" si="655"/>
        <v>0</v>
      </c>
      <c r="AD656" s="4">
        <f t="shared" si="655"/>
        <v>0</v>
      </c>
      <c r="AE656" s="4" t="str">
        <f>'Form responses 1'!AN172</f>
        <v/>
      </c>
      <c r="AF656" s="4" t="str">
        <f>'Form responses 1'!AO172</f>
        <v/>
      </c>
      <c r="AG656" s="4" t="str">
        <f>'Form responses 1'!AP172</f>
        <v/>
      </c>
      <c r="AH656" s="4" t="str">
        <f>'Form responses 1'!AQ172</f>
        <v/>
      </c>
      <c r="AI656" s="4" t="str">
        <f>'Form responses 1'!AR172</f>
        <v/>
      </c>
    </row>
    <row r="657">
      <c r="A657" s="26">
        <f>'Form responses 1'!B551</f>
        <v>46070</v>
      </c>
      <c r="B657" s="4" t="str">
        <f>'Form responses 1'!AZ551</f>
        <v>greeshma.vanneldas@capsdelivery.com</v>
      </c>
      <c r="C657" s="4" t="str">
        <f>'Form responses 1'!BR551</f>
        <v>Southern fusionSouthern fusion</v>
      </c>
      <c r="D657" s="4" t="str">
        <f>'Form responses 1'!AT551</f>
        <v>discussion done with owner he nee to discuss with other partner</v>
      </c>
      <c r="E657" s="4" t="str">
        <f>'Form responses 1'!AU551</f>
        <v>Yes</v>
      </c>
      <c r="F657" s="4" t="str">
        <f>'Form responses 1'!AX551</f>
        <v/>
      </c>
      <c r="G657" s="4" t="str">
        <f>'Form responses 1'!AY551</f>
        <v/>
      </c>
      <c r="H657" s="53" t="str">
        <f>'Form responses 1'!AW551</f>
        <v/>
      </c>
      <c r="I657" s="4" t="str">
        <f>'Form responses 1'!AS551</f>
        <v/>
      </c>
      <c r="J657" s="4" t="str">
        <f>'Form responses 1'!J551</f>
        <v/>
      </c>
      <c r="K657" s="4" t="str">
        <f>'Form responses 1'!G551</f>
        <v/>
      </c>
      <c r="L657" s="4" t="str">
        <f>'Form responses 1'!F551</f>
        <v/>
      </c>
      <c r="M657" s="4" t="str">
        <f>'Form responses 1'!U551</f>
        <v>Naveen</v>
      </c>
      <c r="N657" s="4" t="str">
        <f>'Form responses 1'!V551</f>
        <v>6302-303453</v>
      </c>
      <c r="O657" s="4" t="str">
        <f>'Form responses 1'!W551</f>
        <v>na</v>
      </c>
      <c r="P657" s="4" t="str">
        <f>'Form responses 1'!X551</f>
        <v/>
      </c>
      <c r="Q657" s="4" t="str">
        <f>'Form responses 1'!Y551</f>
        <v/>
      </c>
      <c r="R657" s="4" t="str">
        <f>'Form responses 1'!Z551</f>
        <v/>
      </c>
      <c r="S657" s="4" t="str">
        <f>'Form responses 1'!AC551</f>
        <v/>
      </c>
      <c r="T657" s="4" t="str">
        <f>'Form responses 1'!AE551</f>
        <v/>
      </c>
      <c r="U657" s="4" t="str">
        <f>'Form responses 1'!AG551</f>
        <v/>
      </c>
      <c r="V657" s="4" t="str">
        <f>'Form responses 1'!AI551</f>
        <v/>
      </c>
      <c r="W657" s="4" t="str">
        <f>'Form responses 1'!AJ551</f>
        <v/>
      </c>
      <c r="X657" s="4" t="str">
        <f>'Form responses 1'!AK551</f>
        <v/>
      </c>
      <c r="Y657" s="4">
        <f t="shared" ref="Y657:AD657" si="656">if(S657&gt;0,1,0)</f>
        <v>0</v>
      </c>
      <c r="Z657" s="4">
        <f t="shared" si="656"/>
        <v>0</v>
      </c>
      <c r="AA657" s="4">
        <f t="shared" si="656"/>
        <v>0</v>
      </c>
      <c r="AB657" s="4">
        <f t="shared" si="656"/>
        <v>0</v>
      </c>
      <c r="AC657" s="4">
        <f t="shared" si="656"/>
        <v>0</v>
      </c>
      <c r="AD657" s="4">
        <f t="shared" si="656"/>
        <v>0</v>
      </c>
      <c r="AE657" s="4" t="str">
        <f>'Form responses 1'!AN551</f>
        <v/>
      </c>
      <c r="AF657" s="4" t="str">
        <f>'Form responses 1'!AO551</f>
        <v/>
      </c>
      <c r="AG657" s="4" t="str">
        <f>'Form responses 1'!AP551</f>
        <v/>
      </c>
      <c r="AH657" s="4" t="str">
        <f>'Form responses 1'!AQ551</f>
        <v/>
      </c>
      <c r="AI657" s="4" t="str">
        <f>'Form responses 1'!AR551</f>
        <v/>
      </c>
    </row>
    <row r="658">
      <c r="A658" s="26">
        <f>'Form responses 1'!B467</f>
        <v>46069</v>
      </c>
      <c r="B658" s="4" t="str">
        <f>'Form responses 1'!AZ467</f>
        <v>greeshma.vanneldas@capsdelivery.com</v>
      </c>
      <c r="C658" s="4" t="str">
        <f>'Form responses 1'!BR467</f>
        <v>special 9Special 9</v>
      </c>
      <c r="D658" s="4" t="str">
        <f>'Form responses 1'!AT467</f>
        <v>Discussion done with manager,he need to discuss with head a</v>
      </c>
      <c r="E658" s="4" t="str">
        <f>'Form responses 1'!AU467</f>
        <v>Yes</v>
      </c>
      <c r="F658" s="4" t="str">
        <f>'Form responses 1'!AX467</f>
        <v/>
      </c>
      <c r="G658" s="4" t="str">
        <f>'Form responses 1'!AY467</f>
        <v/>
      </c>
      <c r="H658" s="53" t="str">
        <f>'Form responses 1'!AW467</f>
        <v/>
      </c>
      <c r="I658" s="4" t="str">
        <f>'Form responses 1'!AS467</f>
        <v/>
      </c>
      <c r="J658" s="4" t="str">
        <f>'Form responses 1'!J467</f>
        <v/>
      </c>
      <c r="K658" s="4" t="str">
        <f>'Form responses 1'!G467</f>
        <v/>
      </c>
      <c r="L658" s="4" t="str">
        <f>'Form responses 1'!F467</f>
        <v/>
      </c>
      <c r="M658" s="4" t="str">
        <f>'Form responses 1'!U467</f>
        <v>Rohith</v>
      </c>
      <c r="N658" s="4">
        <f>'Form responses 1'!V467</f>
        <v>8096987009</v>
      </c>
      <c r="O658" s="4" t="str">
        <f>'Form responses 1'!W467</f>
        <v>na</v>
      </c>
      <c r="P658" s="4" t="str">
        <f>'Form responses 1'!X467</f>
        <v/>
      </c>
      <c r="Q658" s="4" t="str">
        <f>'Form responses 1'!Y467</f>
        <v/>
      </c>
      <c r="R658" s="4" t="str">
        <f>'Form responses 1'!Z467</f>
        <v/>
      </c>
      <c r="S658" s="4" t="str">
        <f>'Form responses 1'!AC467</f>
        <v/>
      </c>
      <c r="T658" s="4" t="str">
        <f>'Form responses 1'!AE467</f>
        <v/>
      </c>
      <c r="U658" s="4" t="str">
        <f>'Form responses 1'!AG467</f>
        <v/>
      </c>
      <c r="V658" s="4" t="str">
        <f>'Form responses 1'!AI467</f>
        <v/>
      </c>
      <c r="W658" s="4" t="str">
        <f>'Form responses 1'!AJ467</f>
        <v/>
      </c>
      <c r="X658" s="4" t="str">
        <f>'Form responses 1'!AK467</f>
        <v/>
      </c>
      <c r="Y658" s="4">
        <f t="shared" ref="Y658:AD658" si="657">if(S658&gt;0,1,0)</f>
        <v>0</v>
      </c>
      <c r="Z658" s="4">
        <f t="shared" si="657"/>
        <v>0</v>
      </c>
      <c r="AA658" s="4">
        <f t="shared" si="657"/>
        <v>0</v>
      </c>
      <c r="AB658" s="4">
        <f t="shared" si="657"/>
        <v>0</v>
      </c>
      <c r="AC658" s="4">
        <f t="shared" si="657"/>
        <v>0</v>
      </c>
      <c r="AD658" s="4">
        <f t="shared" si="657"/>
        <v>0</v>
      </c>
      <c r="AE658" s="4" t="str">
        <f>'Form responses 1'!AN467</f>
        <v/>
      </c>
      <c r="AF658" s="4" t="str">
        <f>'Form responses 1'!AO467</f>
        <v/>
      </c>
      <c r="AG658" s="4" t="str">
        <f>'Form responses 1'!AP467</f>
        <v/>
      </c>
      <c r="AH658" s="4" t="str">
        <f>'Form responses 1'!AQ467</f>
        <v/>
      </c>
      <c r="AI658" s="4" t="str">
        <f>'Form responses 1'!AR467</f>
        <v/>
      </c>
    </row>
    <row r="659">
      <c r="A659" s="26">
        <f>'Form responses 1'!B527</f>
        <v>46070</v>
      </c>
      <c r="B659" s="4" t="str">
        <f>'Form responses 1'!AZ527</f>
        <v>greeshma.vanneldas@capsdelivery.com</v>
      </c>
      <c r="C659" s="4" t="str">
        <f>'Form responses 1'!BR527</f>
        <v>Spicy hutSpicy hut</v>
      </c>
      <c r="D659" s="4" t="str">
        <f>'Form responses 1'!AT527</f>
        <v>onboarding tomorrow</v>
      </c>
      <c r="E659" s="4" t="str">
        <f>'Form responses 1'!AU527</f>
        <v>Yes</v>
      </c>
      <c r="F659" s="4" t="str">
        <f>'Form responses 1'!AX527</f>
        <v/>
      </c>
      <c r="G659" s="4" t="str">
        <f>'Form responses 1'!AY527</f>
        <v/>
      </c>
      <c r="H659" s="53" t="str">
        <f>'Form responses 1'!AW527</f>
        <v/>
      </c>
      <c r="I659" s="4" t="str">
        <f>'Form responses 1'!AS527</f>
        <v/>
      </c>
      <c r="J659" s="4" t="str">
        <f>'Form responses 1'!J527</f>
        <v/>
      </c>
      <c r="K659" s="4" t="str">
        <f>'Form responses 1'!G527</f>
        <v/>
      </c>
      <c r="L659" s="4" t="str">
        <f>'Form responses 1'!F527</f>
        <v/>
      </c>
      <c r="M659" s="4" t="str">
        <f>'Form responses 1'!U527</f>
        <v>Syed</v>
      </c>
      <c r="N659" s="4">
        <f>'Form responses 1'!V527</f>
        <v>8341901102</v>
      </c>
      <c r="O659" s="4" t="str">
        <f>'Form responses 1'!W527</f>
        <v>na</v>
      </c>
      <c r="P659" s="4" t="str">
        <f>'Form responses 1'!X527</f>
        <v/>
      </c>
      <c r="Q659" s="4" t="str">
        <f>'Form responses 1'!Y527</f>
        <v/>
      </c>
      <c r="R659" s="4" t="str">
        <f>'Form responses 1'!Z527</f>
        <v/>
      </c>
      <c r="S659" s="4" t="str">
        <f>'Form responses 1'!AC527</f>
        <v/>
      </c>
      <c r="T659" s="4" t="str">
        <f>'Form responses 1'!AE527</f>
        <v/>
      </c>
      <c r="U659" s="4" t="str">
        <f>'Form responses 1'!AG527</f>
        <v/>
      </c>
      <c r="V659" s="4" t="str">
        <f>'Form responses 1'!AI527</f>
        <v/>
      </c>
      <c r="W659" s="4" t="str">
        <f>'Form responses 1'!AJ527</f>
        <v/>
      </c>
      <c r="X659" s="4" t="str">
        <f>'Form responses 1'!AK527</f>
        <v/>
      </c>
      <c r="Y659" s="4">
        <f t="shared" ref="Y659:AD659" si="658">if(S659&gt;0,1,0)</f>
        <v>0</v>
      </c>
      <c r="Z659" s="4">
        <f t="shared" si="658"/>
        <v>0</v>
      </c>
      <c r="AA659" s="4">
        <f t="shared" si="658"/>
        <v>0</v>
      </c>
      <c r="AB659" s="4">
        <f t="shared" si="658"/>
        <v>0</v>
      </c>
      <c r="AC659" s="4">
        <f t="shared" si="658"/>
        <v>0</v>
      </c>
      <c r="AD659" s="4">
        <f t="shared" si="658"/>
        <v>0</v>
      </c>
      <c r="AE659" s="4" t="str">
        <f>'Form responses 1'!AN527</f>
        <v/>
      </c>
      <c r="AF659" s="4" t="str">
        <f>'Form responses 1'!AO527</f>
        <v/>
      </c>
      <c r="AG659" s="4" t="str">
        <f>'Form responses 1'!AP527</f>
        <v/>
      </c>
      <c r="AH659" s="4" t="str">
        <f>'Form responses 1'!AQ527</f>
        <v/>
      </c>
      <c r="AI659" s="4" t="str">
        <f>'Form responses 1'!AR527</f>
        <v/>
      </c>
    </row>
    <row r="660">
      <c r="A660" s="26">
        <f>'Form responses 1'!B662</f>
        <v>46073</v>
      </c>
      <c r="B660" s="4" t="str">
        <f>'Form responses 1'!AZ662</f>
        <v>anisha.poddar@capsdelivery.com</v>
      </c>
      <c r="C660" s="4" t="str">
        <f>'Form responses 1'!BR662</f>
        <v>President Dhaba</v>
      </c>
      <c r="D660" s="4" t="str">
        <f>'Form responses 1'!AT662</f>
        <v>Na</v>
      </c>
      <c r="E660" s="4" t="str">
        <f>'Form responses 1'!AU662</f>
        <v>Yes</v>
      </c>
      <c r="F660" s="4" t="str">
        <f>'Form responses 1'!AX662</f>
        <v/>
      </c>
      <c r="G660" s="4" t="str">
        <f>'Form responses 1'!AY662</f>
        <v/>
      </c>
      <c r="H660" s="53" t="str">
        <f>'Form responses 1'!AW662</f>
        <v/>
      </c>
      <c r="I660" s="4" t="str">
        <f>'Form responses 1'!AS662</f>
        <v/>
      </c>
      <c r="J660" s="4" t="str">
        <f>'Form responses 1'!J662</f>
        <v/>
      </c>
      <c r="K660" s="4" t="str">
        <f>'Form responses 1'!G662</f>
        <v/>
      </c>
      <c r="L660" s="4" t="str">
        <f>'Form responses 1'!F662</f>
        <v/>
      </c>
      <c r="M660" s="4" t="str">
        <f>'Form responses 1'!U662</f>
        <v>Rajnikant </v>
      </c>
      <c r="N660" s="4">
        <f>'Form responses 1'!V662</f>
        <v>900023939392</v>
      </c>
      <c r="O660" s="4" t="str">
        <f>'Form responses 1'!W662</f>
        <v>Rajnikant@presidentdhaba.com</v>
      </c>
      <c r="P660" s="4" t="str">
        <f>'Form responses 1'!X662</f>
        <v/>
      </c>
      <c r="Q660" s="4" t="str">
        <f>'Form responses 1'!Y662</f>
        <v/>
      </c>
      <c r="R660" s="4" t="str">
        <f>'Form responses 1'!Z662</f>
        <v>Vinod</v>
      </c>
      <c r="S660" s="4" t="str">
        <f>'Form responses 1'!AC662</f>
        <v/>
      </c>
      <c r="T660" s="4" t="str">
        <f>'Form responses 1'!AE662</f>
        <v/>
      </c>
      <c r="U660" s="4" t="str">
        <f>'Form responses 1'!AG662</f>
        <v/>
      </c>
      <c r="V660" s="4" t="str">
        <f>'Form responses 1'!AI662</f>
        <v/>
      </c>
      <c r="W660" s="4" t="str">
        <f>'Form responses 1'!AJ662</f>
        <v/>
      </c>
      <c r="X660" s="4" t="str">
        <f>'Form responses 1'!AK662</f>
        <v/>
      </c>
      <c r="Y660" s="4">
        <f t="shared" ref="Y660:AD660" si="659">if(S660&gt;0,1,0)</f>
        <v>0</v>
      </c>
      <c r="Z660" s="4">
        <f t="shared" si="659"/>
        <v>0</v>
      </c>
      <c r="AA660" s="4">
        <f t="shared" si="659"/>
        <v>0</v>
      </c>
      <c r="AB660" s="4">
        <f t="shared" si="659"/>
        <v>0</v>
      </c>
      <c r="AC660" s="4">
        <f t="shared" si="659"/>
        <v>0</v>
      </c>
      <c r="AD660" s="4">
        <f t="shared" si="659"/>
        <v>0</v>
      </c>
      <c r="AE660" s="4" t="str">
        <f>'Form responses 1'!AN662</f>
        <v/>
      </c>
      <c r="AF660" s="4" t="str">
        <f>'Form responses 1'!AO1781</f>
        <v/>
      </c>
      <c r="AG660" s="4" t="str">
        <f>'Form responses 1'!AP1781</f>
        <v/>
      </c>
      <c r="AH660" s="4" t="str">
        <f>'Form responses 1'!AQ1781</f>
        <v/>
      </c>
      <c r="AI660" s="4" t="str">
        <f>'Form responses 1'!AR1781</f>
        <v/>
      </c>
    </row>
    <row r="661">
      <c r="A661" s="26">
        <f>'Form responses 1'!B663</f>
        <v>46073</v>
      </c>
      <c r="B661" s="4" t="str">
        <f>'Form responses 1'!AZ663</f>
        <v>anisha.poddar@capsdelivery.com</v>
      </c>
      <c r="C661" s="4" t="str">
        <f>'Form responses 1'!BR663</f>
        <v>Krishnapatnam</v>
      </c>
      <c r="D661" s="4" t="str">
        <f>'Form responses 1'!AT663</f>
        <v>Na</v>
      </c>
      <c r="E661" s="4" t="str">
        <f>'Form responses 1'!AU663</f>
        <v>Yes</v>
      </c>
      <c r="F661" s="4" t="str">
        <f>'Form responses 1'!AX663</f>
        <v/>
      </c>
      <c r="G661" s="4" t="str">
        <f>'Form responses 1'!AY663</f>
        <v/>
      </c>
      <c r="H661" s="53" t="str">
        <f>'Form responses 1'!AW663</f>
        <v/>
      </c>
      <c r="I661" s="4" t="str">
        <f>'Form responses 1'!AS663</f>
        <v/>
      </c>
      <c r="J661" s="4" t="str">
        <f>'Form responses 1'!J663</f>
        <v/>
      </c>
      <c r="K661" s="4" t="str">
        <f>'Form responses 1'!G663</f>
        <v/>
      </c>
      <c r="L661" s="4" t="str">
        <f>'Form responses 1'!F663</f>
        <v/>
      </c>
      <c r="M661" s="4">
        <f>'Form responses 1'!U663</f>
        <v>9000239392</v>
      </c>
      <c r="N661" s="4" t="str">
        <f>'Form responses 1'!V663</f>
        <v>Rajnikant </v>
      </c>
      <c r="O661" s="4" t="str">
        <f>'Form responses 1'!W663</f>
        <v>Rajnikant@presidentdhaba</v>
      </c>
      <c r="P661" s="4" t="str">
        <f>'Form responses 1'!X663</f>
        <v/>
      </c>
      <c r="Q661" s="4" t="str">
        <f>'Form responses 1'!Y663</f>
        <v/>
      </c>
      <c r="R661" s="4" t="str">
        <f>'Form responses 1'!Z663</f>
        <v/>
      </c>
      <c r="S661" s="4" t="str">
        <f>'Form responses 1'!AC663</f>
        <v/>
      </c>
      <c r="T661" s="4" t="str">
        <f>'Form responses 1'!AE663</f>
        <v/>
      </c>
      <c r="U661" s="4" t="str">
        <f>'Form responses 1'!AG663</f>
        <v/>
      </c>
      <c r="V661" s="4" t="str">
        <f>'Form responses 1'!AI663</f>
        <v/>
      </c>
      <c r="W661" s="4" t="str">
        <f>'Form responses 1'!AJ663</f>
        <v/>
      </c>
      <c r="X661" s="4" t="str">
        <f>'Form responses 1'!AK663</f>
        <v/>
      </c>
      <c r="Y661" s="4">
        <f t="shared" ref="Y661:AD661" si="660">if(S661&gt;0,1,0)</f>
        <v>0</v>
      </c>
      <c r="Z661" s="4">
        <f t="shared" si="660"/>
        <v>0</v>
      </c>
      <c r="AA661" s="4">
        <f t="shared" si="660"/>
        <v>0</v>
      </c>
      <c r="AB661" s="4">
        <f t="shared" si="660"/>
        <v>0</v>
      </c>
      <c r="AC661" s="4">
        <f t="shared" si="660"/>
        <v>0</v>
      </c>
      <c r="AD661" s="4">
        <f t="shared" si="660"/>
        <v>0</v>
      </c>
      <c r="AE661" s="4" t="str">
        <f>'Form responses 1'!AN663</f>
        <v/>
      </c>
      <c r="AF661" s="4" t="str">
        <f>'Form responses 1'!AO1782</f>
        <v/>
      </c>
      <c r="AG661" s="4" t="str">
        <f>'Form responses 1'!AP1782</f>
        <v/>
      </c>
      <c r="AH661" s="4" t="str">
        <f>'Form responses 1'!AQ1782</f>
        <v/>
      </c>
      <c r="AI661" s="4" t="str">
        <f>'Form responses 1'!AR1782</f>
        <v/>
      </c>
    </row>
    <row r="662">
      <c r="A662" s="26">
        <f>'Form responses 1'!B664</f>
        <v>46073</v>
      </c>
      <c r="B662" s="4" t="str">
        <f>'Form responses 1'!AZ664</f>
        <v>anisha.poddar@capsdelivery.com</v>
      </c>
      <c r="C662" s="4" t="str">
        <f>'Form responses 1'!BR664</f>
        <v>Myfroyoland </v>
      </c>
      <c r="D662" s="4" t="str">
        <f>'Form responses 1'!AT664</f>
        <v>Need to follow up</v>
      </c>
      <c r="E662" s="4" t="str">
        <f>'Form responses 1'!AU664</f>
        <v>Yes</v>
      </c>
      <c r="F662" s="4" t="str">
        <f>'Form responses 1'!AX664</f>
        <v/>
      </c>
      <c r="G662" s="4" t="str">
        <f>'Form responses 1'!AY664</f>
        <v/>
      </c>
      <c r="H662" s="53" t="str">
        <f>'Form responses 1'!AW664</f>
        <v/>
      </c>
      <c r="I662" s="4" t="str">
        <f>'Form responses 1'!AS664</f>
        <v/>
      </c>
      <c r="J662" s="4" t="str">
        <f>'Form responses 1'!J664</f>
        <v/>
      </c>
      <c r="K662" s="4" t="str">
        <f>'Form responses 1'!G664</f>
        <v/>
      </c>
      <c r="L662" s="4" t="str">
        <f>'Form responses 1'!F664</f>
        <v/>
      </c>
      <c r="M662" s="4" t="str">
        <f>'Form responses 1'!U664</f>
        <v>Diksha </v>
      </c>
      <c r="N662" s="4">
        <f>'Form responses 1'!V664</f>
        <v>7058580596</v>
      </c>
      <c r="O662" s="4" t="str">
        <f>'Form responses 1'!W664</f>
        <v>Diksha@myfroyoland</v>
      </c>
      <c r="P662" s="4" t="str">
        <f>'Form responses 1'!X664</f>
        <v/>
      </c>
      <c r="Q662" s="4" t="str">
        <f>'Form responses 1'!Y664</f>
        <v/>
      </c>
      <c r="R662" s="4" t="str">
        <f>'Form responses 1'!Z664</f>
        <v/>
      </c>
      <c r="S662" s="4" t="str">
        <f>'Form responses 1'!AC664</f>
        <v/>
      </c>
      <c r="T662" s="4" t="str">
        <f>'Form responses 1'!AE664</f>
        <v/>
      </c>
      <c r="U662" s="4" t="str">
        <f>'Form responses 1'!AG664</f>
        <v/>
      </c>
      <c r="V662" s="4" t="str">
        <f>'Form responses 1'!AI664</f>
        <v/>
      </c>
      <c r="W662" s="4" t="str">
        <f>'Form responses 1'!AJ664</f>
        <v/>
      </c>
      <c r="X662" s="4" t="str">
        <f>'Form responses 1'!AK664</f>
        <v/>
      </c>
      <c r="Y662" s="4">
        <f t="shared" ref="Y662:AD662" si="661">if(S662&gt;0,1,0)</f>
        <v>0</v>
      </c>
      <c r="Z662" s="4">
        <f t="shared" si="661"/>
        <v>0</v>
      </c>
      <c r="AA662" s="4">
        <f t="shared" si="661"/>
        <v>0</v>
      </c>
      <c r="AB662" s="4">
        <f t="shared" si="661"/>
        <v>0</v>
      </c>
      <c r="AC662" s="4">
        <f t="shared" si="661"/>
        <v>0</v>
      </c>
      <c r="AD662" s="4">
        <f t="shared" si="661"/>
        <v>0</v>
      </c>
      <c r="AE662" s="4" t="str">
        <f>'Form responses 1'!AN664</f>
        <v/>
      </c>
      <c r="AF662" s="4" t="str">
        <f>'Form responses 1'!AO1783</f>
        <v/>
      </c>
      <c r="AG662" s="4" t="str">
        <f>'Form responses 1'!AP1783</f>
        <v/>
      </c>
      <c r="AH662" s="4" t="str">
        <f>'Form responses 1'!AQ1783</f>
        <v/>
      </c>
      <c r="AI662" s="4" t="str">
        <f>'Form responses 1'!AR1783</f>
        <v/>
      </c>
    </row>
    <row r="663">
      <c r="A663" s="26">
        <f>'Form responses 1'!B665</f>
        <v>46073</v>
      </c>
      <c r="B663" s="4" t="str">
        <f>'Form responses 1'!AZ665</f>
        <v>greeshma.vanneldas@capsdelivery.com</v>
      </c>
      <c r="C663" s="4" t="str">
        <f>'Form responses 1'!BR665</f>
        <v>Bhai ki chai </v>
      </c>
      <c r="D663" s="4" t="str">
        <f>'Form responses 1'!AT665</f>
        <v>They are not on online and they are not interested </v>
      </c>
      <c r="E663" s="4" t="str">
        <f>'Form responses 1'!AU665</f>
        <v>No</v>
      </c>
      <c r="F663" s="4" t="str">
        <f>'Form responses 1'!AX665</f>
        <v/>
      </c>
      <c r="G663" s="4" t="str">
        <f>'Form responses 1'!AY665</f>
        <v/>
      </c>
      <c r="H663" s="53" t="str">
        <f>'Form responses 1'!AW665</f>
        <v/>
      </c>
      <c r="I663" s="4" t="str">
        <f>'Form responses 1'!AS665</f>
        <v/>
      </c>
      <c r="J663" s="4" t="str">
        <f>'Form responses 1'!J665</f>
        <v>Tier-2 (AOV &lt;400)</v>
      </c>
      <c r="K663" s="4">
        <f>'Form responses 1'!G665</f>
        <v>250</v>
      </c>
      <c r="L663" s="4">
        <f>'Form responses 1'!F665</f>
        <v>20</v>
      </c>
      <c r="M663" s="4" t="str">
        <f>'Form responses 1'!U665</f>
        <v>Na</v>
      </c>
      <c r="N663" s="4" t="str">
        <f>'Form responses 1'!V665</f>
        <v>Na</v>
      </c>
      <c r="O663" s="4" t="str">
        <f>'Form responses 1'!W665</f>
        <v>Na</v>
      </c>
      <c r="P663" s="4" t="str">
        <f>'Form responses 1'!X665</f>
        <v/>
      </c>
      <c r="Q663" s="4" t="str">
        <f>'Form responses 1'!Y665</f>
        <v/>
      </c>
      <c r="R663" s="4" t="str">
        <f>'Form responses 1'!Z665</f>
        <v/>
      </c>
      <c r="S663" s="4" t="str">
        <f>'Form responses 1'!AC665</f>
        <v/>
      </c>
      <c r="T663" s="4" t="str">
        <f>'Form responses 1'!AE665</f>
        <v/>
      </c>
      <c r="U663" s="4" t="str">
        <f>'Form responses 1'!AG665</f>
        <v/>
      </c>
      <c r="V663" s="4" t="str">
        <f>'Form responses 1'!AI665</f>
        <v/>
      </c>
      <c r="W663" s="4" t="str">
        <f>'Form responses 1'!AJ665</f>
        <v/>
      </c>
      <c r="X663" s="4" t="str">
        <f>'Form responses 1'!AK665</f>
        <v/>
      </c>
      <c r="Y663" s="4">
        <f t="shared" ref="Y663:AD663" si="662">if(S663&gt;0,1,0)</f>
        <v>0</v>
      </c>
      <c r="Z663" s="4">
        <f t="shared" si="662"/>
        <v>0</v>
      </c>
      <c r="AA663" s="4">
        <f t="shared" si="662"/>
        <v>0</v>
      </c>
      <c r="AB663" s="4">
        <f t="shared" si="662"/>
        <v>0</v>
      </c>
      <c r="AC663" s="4">
        <f t="shared" si="662"/>
        <v>0</v>
      </c>
      <c r="AD663" s="4">
        <f t="shared" si="662"/>
        <v>0</v>
      </c>
      <c r="AE663" s="4" t="str">
        <f>'Form responses 1'!AN665</f>
        <v/>
      </c>
      <c r="AF663" s="4" t="str">
        <f>'Form responses 1'!AO1784</f>
        <v/>
      </c>
      <c r="AG663" s="4" t="str">
        <f>'Form responses 1'!AP1784</f>
        <v/>
      </c>
      <c r="AH663" s="4" t="str">
        <f>'Form responses 1'!AQ1784</f>
        <v/>
      </c>
      <c r="AI663" s="4" t="str">
        <f>'Form responses 1'!AR1784</f>
        <v/>
      </c>
    </row>
    <row r="664">
      <c r="A664" s="26">
        <f>'Form responses 1'!B666</f>
        <v>46073</v>
      </c>
      <c r="B664" s="4" t="str">
        <f>'Form responses 1'!AZ666</f>
        <v>greeshma.vanneldas@capsdelivery.com</v>
      </c>
      <c r="C664" s="4" t="str">
        <f>'Form responses 1'!BR666</f>
        <v> Chai chaska</v>
      </c>
      <c r="D664" s="4" t="str">
        <f>'Form responses 1'!AT666</f>
        <v>Not intrested in any online platform as of now after one month they are going to start Restaurent follow up after one month</v>
      </c>
      <c r="E664" s="4" t="str">
        <f>'Form responses 1'!AU666</f>
        <v>No</v>
      </c>
      <c r="F664" s="4" t="str">
        <f>'Form responses 1'!AX666</f>
        <v/>
      </c>
      <c r="G664" s="4" t="str">
        <f>'Form responses 1'!AY666</f>
        <v/>
      </c>
      <c r="H664" s="53" t="str">
        <f>'Form responses 1'!AW666</f>
        <v/>
      </c>
      <c r="I664" s="4" t="str">
        <f>'Form responses 1'!AS666</f>
        <v/>
      </c>
      <c r="J664" s="4" t="str">
        <f>'Form responses 1'!J666</f>
        <v>Tier-3 ( AOV&lt;200 )</v>
      </c>
      <c r="K664" s="4">
        <f>'Form responses 1'!G666</f>
        <v>150</v>
      </c>
      <c r="L664" s="4">
        <f>'Form responses 1'!F666</f>
        <v>20</v>
      </c>
      <c r="M664" s="4" t="str">
        <f>'Form responses 1'!U666</f>
        <v>Na</v>
      </c>
      <c r="N664" s="4" t="str">
        <f>'Form responses 1'!V666</f>
        <v>Na</v>
      </c>
      <c r="O664" s="4" t="str">
        <f>'Form responses 1'!W666</f>
        <v>Na</v>
      </c>
      <c r="P664" s="4" t="str">
        <f>'Form responses 1'!X666</f>
        <v/>
      </c>
      <c r="Q664" s="4" t="str">
        <f>'Form responses 1'!Y666</f>
        <v/>
      </c>
      <c r="R664" s="4" t="str">
        <f>'Form responses 1'!Z666</f>
        <v/>
      </c>
      <c r="S664" s="4" t="str">
        <f>'Form responses 1'!AC666</f>
        <v/>
      </c>
      <c r="T664" s="4" t="str">
        <f>'Form responses 1'!AE666</f>
        <v/>
      </c>
      <c r="U664" s="4" t="str">
        <f>'Form responses 1'!AG666</f>
        <v/>
      </c>
      <c r="V664" s="4" t="str">
        <f>'Form responses 1'!AI666</f>
        <v/>
      </c>
      <c r="W664" s="4" t="str">
        <f>'Form responses 1'!AJ666</f>
        <v/>
      </c>
      <c r="X664" s="4" t="str">
        <f>'Form responses 1'!AK666</f>
        <v/>
      </c>
      <c r="Y664" s="4">
        <f t="shared" ref="Y664:AD664" si="663">if(S664&gt;0,1,0)</f>
        <v>0</v>
      </c>
      <c r="Z664" s="4">
        <f t="shared" si="663"/>
        <v>0</v>
      </c>
      <c r="AA664" s="4">
        <f t="shared" si="663"/>
        <v>0</v>
      </c>
      <c r="AB664" s="4">
        <f t="shared" si="663"/>
        <v>0</v>
      </c>
      <c r="AC664" s="4">
        <f t="shared" si="663"/>
        <v>0</v>
      </c>
      <c r="AD664" s="4">
        <f t="shared" si="663"/>
        <v>0</v>
      </c>
      <c r="AE664" s="4" t="str">
        <f>'Form responses 1'!AN666</f>
        <v/>
      </c>
      <c r="AF664" s="4" t="str">
        <f>'Form responses 1'!AO1785</f>
        <v/>
      </c>
      <c r="AG664" s="4" t="str">
        <f>'Form responses 1'!AP1785</f>
        <v/>
      </c>
      <c r="AH664" s="4" t="str">
        <f>'Form responses 1'!AQ1785</f>
        <v/>
      </c>
      <c r="AI664" s="4" t="str">
        <f>'Form responses 1'!AR1785</f>
        <v/>
      </c>
    </row>
    <row r="665">
      <c r="A665" s="26">
        <f>'Form responses 1'!B667</f>
        <v>46073</v>
      </c>
      <c r="B665" s="4" t="str">
        <f>'Form responses 1'!AZ667</f>
        <v>anisha.poddar@capsdelivery.com</v>
      </c>
      <c r="C665" s="4" t="str">
        <f>'Form responses 1'!BR667</f>
        <v>Nath Kitchen</v>
      </c>
      <c r="D665" s="4" t="str">
        <f>'Form responses 1'!AT667</f>
        <v>Need to follow up</v>
      </c>
      <c r="E665" s="4" t="str">
        <f>'Form responses 1'!AU667</f>
        <v>Yes</v>
      </c>
      <c r="F665" s="4" t="str">
        <f>'Form responses 1'!AX667</f>
        <v/>
      </c>
      <c r="G665" s="4" t="str">
        <f>'Form responses 1'!AY667</f>
        <v/>
      </c>
      <c r="H665" s="53" t="str">
        <f>'Form responses 1'!AW667</f>
        <v/>
      </c>
      <c r="I665" s="4" t="str">
        <f>'Form responses 1'!AS667</f>
        <v/>
      </c>
      <c r="J665" s="4" t="str">
        <f>'Form responses 1'!J667</f>
        <v/>
      </c>
      <c r="K665" s="4" t="str">
        <f>'Form responses 1'!G667</f>
        <v/>
      </c>
      <c r="L665" s="4" t="str">
        <f>'Form responses 1'!F667</f>
        <v/>
      </c>
      <c r="M665" s="4" t="str">
        <f>'Form responses 1'!U667</f>
        <v>Dinesh</v>
      </c>
      <c r="N665" s="4">
        <f>'Form responses 1'!V667</f>
        <v>9154323333</v>
      </c>
      <c r="O665" s="4" t="str">
        <f>'Form responses 1'!W667</f>
        <v>Dinesh@natukitchen</v>
      </c>
      <c r="P665" s="4" t="str">
        <f>'Form responses 1'!X667</f>
        <v/>
      </c>
      <c r="Q665" s="4" t="str">
        <f>'Form responses 1'!Y667</f>
        <v/>
      </c>
      <c r="R665" s="4" t="str">
        <f>'Form responses 1'!Z667</f>
        <v/>
      </c>
      <c r="S665" s="4" t="str">
        <f>'Form responses 1'!AC667</f>
        <v/>
      </c>
      <c r="T665" s="4" t="str">
        <f>'Form responses 1'!AE667</f>
        <v/>
      </c>
      <c r="U665" s="4" t="str">
        <f>'Form responses 1'!AG667</f>
        <v/>
      </c>
      <c r="V665" s="4" t="str">
        <f>'Form responses 1'!AI667</f>
        <v/>
      </c>
      <c r="W665" s="4" t="str">
        <f>'Form responses 1'!AJ667</f>
        <v/>
      </c>
      <c r="X665" s="4" t="str">
        <f>'Form responses 1'!AK667</f>
        <v/>
      </c>
      <c r="Y665" s="4">
        <f t="shared" ref="Y665:AD665" si="664">if(S665&gt;0,1,0)</f>
        <v>0</v>
      </c>
      <c r="Z665" s="4">
        <f t="shared" si="664"/>
        <v>0</v>
      </c>
      <c r="AA665" s="4">
        <f t="shared" si="664"/>
        <v>0</v>
      </c>
      <c r="AB665" s="4">
        <f t="shared" si="664"/>
        <v>0</v>
      </c>
      <c r="AC665" s="4">
        <f t="shared" si="664"/>
        <v>0</v>
      </c>
      <c r="AD665" s="4">
        <f t="shared" si="664"/>
        <v>0</v>
      </c>
      <c r="AE665" s="4" t="str">
        <f>'Form responses 1'!AN667</f>
        <v/>
      </c>
      <c r="AF665" s="4" t="str">
        <f>'Form responses 1'!AO1786</f>
        <v/>
      </c>
      <c r="AG665" s="4" t="str">
        <f>'Form responses 1'!AP1786</f>
        <v/>
      </c>
      <c r="AH665" s="4" t="str">
        <f>'Form responses 1'!AQ1786</f>
        <v/>
      </c>
      <c r="AI665" s="4" t="str">
        <f>'Form responses 1'!AR1786</f>
        <v/>
      </c>
    </row>
    <row r="666">
      <c r="A666" s="26">
        <f>'Form responses 1'!B668</f>
        <v>46073</v>
      </c>
      <c r="B666" s="4" t="str">
        <f>'Form responses 1'!AZ668</f>
        <v>anisha.poddar@capsdelivery.com</v>
      </c>
      <c r="C666" s="4" t="str">
        <f>'Form responses 1'!BR668</f>
        <v>Palamgiri kitchen </v>
      </c>
      <c r="D666" s="4" t="str">
        <f>'Form responses 1'!AT668</f>
        <v>Need to follow up</v>
      </c>
      <c r="E666" s="4" t="str">
        <f>'Form responses 1'!AU668</f>
        <v>Yes</v>
      </c>
      <c r="F666" s="4" t="str">
        <f>'Form responses 1'!AX668</f>
        <v/>
      </c>
      <c r="G666" s="4" t="str">
        <f>'Form responses 1'!AY668</f>
        <v/>
      </c>
      <c r="H666" s="53" t="str">
        <f>'Form responses 1'!AW668</f>
        <v/>
      </c>
      <c r="I666" s="4" t="str">
        <f>'Form responses 1'!AS668</f>
        <v/>
      </c>
      <c r="J666" s="4" t="str">
        <f>'Form responses 1'!J668</f>
        <v/>
      </c>
      <c r="K666" s="4" t="str">
        <f>'Form responses 1'!G668</f>
        <v/>
      </c>
      <c r="L666" s="4" t="str">
        <f>'Form responses 1'!F668</f>
        <v/>
      </c>
      <c r="M666" s="4" t="str">
        <f>'Form responses 1'!U668</f>
        <v>Durga</v>
      </c>
      <c r="N666" s="4" t="str">
        <f>'Form responses 1'!V668</f>
        <v>0000</v>
      </c>
      <c r="O666" s="4" t="str">
        <f>'Form responses 1'!W668</f>
        <v>Durga@gmail.com</v>
      </c>
      <c r="P666" s="4" t="str">
        <f>'Form responses 1'!X668</f>
        <v/>
      </c>
      <c r="Q666" s="4" t="str">
        <f>'Form responses 1'!Y668</f>
        <v/>
      </c>
      <c r="R666" s="4" t="str">
        <f>'Form responses 1'!Z668</f>
        <v/>
      </c>
      <c r="S666" s="4" t="str">
        <f>'Form responses 1'!AC668</f>
        <v/>
      </c>
      <c r="T666" s="4" t="str">
        <f>'Form responses 1'!AE668</f>
        <v/>
      </c>
      <c r="U666" s="4" t="str">
        <f>'Form responses 1'!AG668</f>
        <v/>
      </c>
      <c r="V666" s="4" t="str">
        <f>'Form responses 1'!AI668</f>
        <v/>
      </c>
      <c r="W666" s="4" t="str">
        <f>'Form responses 1'!AJ668</f>
        <v/>
      </c>
      <c r="X666" s="4" t="str">
        <f>'Form responses 1'!AK668</f>
        <v/>
      </c>
      <c r="Y666" s="4">
        <f t="shared" ref="Y666:AD666" si="665">if(S666&gt;0,1,0)</f>
        <v>0</v>
      </c>
      <c r="Z666" s="4">
        <f t="shared" si="665"/>
        <v>0</v>
      </c>
      <c r="AA666" s="4">
        <f t="shared" si="665"/>
        <v>0</v>
      </c>
      <c r="AB666" s="4">
        <f t="shared" si="665"/>
        <v>0</v>
      </c>
      <c r="AC666" s="4">
        <f t="shared" si="665"/>
        <v>0</v>
      </c>
      <c r="AD666" s="4">
        <f t="shared" si="665"/>
        <v>0</v>
      </c>
      <c r="AE666" s="4" t="str">
        <f>'Form responses 1'!AN668</f>
        <v/>
      </c>
      <c r="AF666" s="4" t="str">
        <f>'Form responses 1'!AO1787</f>
        <v/>
      </c>
      <c r="AG666" s="4" t="str">
        <f>'Form responses 1'!AP1787</f>
        <v/>
      </c>
      <c r="AH666" s="4" t="str">
        <f>'Form responses 1'!AQ1787</f>
        <v/>
      </c>
      <c r="AI666" s="4" t="str">
        <f>'Form responses 1'!AR1787</f>
        <v/>
      </c>
    </row>
    <row r="667">
      <c r="A667" s="26">
        <f>'Form responses 1'!B669</f>
        <v>46073</v>
      </c>
      <c r="B667" s="4" t="str">
        <f>'Form responses 1'!AZ669</f>
        <v>anisha.poddar@capsdelivery.com</v>
      </c>
      <c r="C667" s="4" t="str">
        <f>'Form responses 1'!BR669</f>
        <v>Van lavino</v>
      </c>
      <c r="D667" s="4" t="str">
        <f>'Form responses 1'!AT669</f>
        <v>Need to follow up</v>
      </c>
      <c r="E667" s="4" t="str">
        <f>'Form responses 1'!AU669</f>
        <v>Yes</v>
      </c>
      <c r="F667" s="4" t="str">
        <f>'Form responses 1'!AX669</f>
        <v/>
      </c>
      <c r="G667" s="4" t="str">
        <f>'Form responses 1'!AY669</f>
        <v/>
      </c>
      <c r="H667" s="53" t="str">
        <f>'Form responses 1'!AW669</f>
        <v/>
      </c>
      <c r="I667" s="4" t="str">
        <f>'Form responses 1'!AS669</f>
        <v/>
      </c>
      <c r="J667" s="4" t="str">
        <f>'Form responses 1'!J669</f>
        <v/>
      </c>
      <c r="K667" s="4" t="str">
        <f>'Form responses 1'!G669</f>
        <v/>
      </c>
      <c r="L667" s="4" t="str">
        <f>'Form responses 1'!F669</f>
        <v/>
      </c>
      <c r="M667" s="4" t="str">
        <f>'Form responses 1'!U669</f>
        <v>Pramod</v>
      </c>
      <c r="N667" s="4">
        <f>'Form responses 1'!V669</f>
        <v>9381789995</v>
      </c>
      <c r="O667" s="4" t="str">
        <f>'Form responses 1'!W669</f>
        <v>Na</v>
      </c>
      <c r="P667" s="4" t="str">
        <f>'Form responses 1'!X669</f>
        <v>Lavina( owner)</v>
      </c>
      <c r="Q667" s="4">
        <f>'Form responses 1'!Y669</f>
        <v>9502777770</v>
      </c>
      <c r="R667" s="4" t="str">
        <f>'Form responses 1'!Z669</f>
        <v/>
      </c>
      <c r="S667" s="4" t="str">
        <f>'Form responses 1'!AC669</f>
        <v/>
      </c>
      <c r="T667" s="4" t="str">
        <f>'Form responses 1'!AE669</f>
        <v/>
      </c>
      <c r="U667" s="4" t="str">
        <f>'Form responses 1'!AG669</f>
        <v/>
      </c>
      <c r="V667" s="4" t="str">
        <f>'Form responses 1'!AI669</f>
        <v/>
      </c>
      <c r="W667" s="4" t="str">
        <f>'Form responses 1'!AJ669</f>
        <v/>
      </c>
      <c r="X667" s="4" t="str">
        <f>'Form responses 1'!AK669</f>
        <v/>
      </c>
      <c r="Y667" s="4">
        <f t="shared" ref="Y667:AD667" si="666">if(S667&gt;0,1,0)</f>
        <v>0</v>
      </c>
      <c r="Z667" s="4">
        <f t="shared" si="666"/>
        <v>0</v>
      </c>
      <c r="AA667" s="4">
        <f t="shared" si="666"/>
        <v>0</v>
      </c>
      <c r="AB667" s="4">
        <f t="shared" si="666"/>
        <v>0</v>
      </c>
      <c r="AC667" s="4">
        <f t="shared" si="666"/>
        <v>0</v>
      </c>
      <c r="AD667" s="4">
        <f t="shared" si="666"/>
        <v>0</v>
      </c>
      <c r="AE667" s="4" t="str">
        <f>'Form responses 1'!AN669</f>
        <v/>
      </c>
      <c r="AF667" s="4" t="str">
        <f>'Form responses 1'!AO1788</f>
        <v/>
      </c>
      <c r="AG667" s="4" t="str">
        <f>'Form responses 1'!AP1788</f>
        <v/>
      </c>
      <c r="AH667" s="4" t="str">
        <f>'Form responses 1'!AQ1788</f>
        <v/>
      </c>
      <c r="AI667" s="4" t="str">
        <f>'Form responses 1'!AR1788</f>
        <v/>
      </c>
    </row>
    <row r="668">
      <c r="A668" s="26">
        <f>'Form responses 1'!B670</f>
        <v>46073</v>
      </c>
      <c r="B668" s="4" t="str">
        <f>'Form responses 1'!AZ670</f>
        <v>anisha.poddar@capsdelivery.com</v>
      </c>
      <c r="C668" s="4" t="str">
        <f>'Form responses 1'!BR670</f>
        <v>Almond House</v>
      </c>
      <c r="D668" s="4" t="str">
        <f>'Form responses 1'!AT670</f>
        <v>Need to go back to get back the manager </v>
      </c>
      <c r="E668" s="4" t="str">
        <f>'Form responses 1'!AU670</f>
        <v>Yes</v>
      </c>
      <c r="F668" s="4" t="str">
        <f>'Form responses 1'!AX670</f>
        <v/>
      </c>
      <c r="G668" s="4" t="str">
        <f>'Form responses 1'!AY670</f>
        <v/>
      </c>
      <c r="H668" s="53" t="str">
        <f>'Form responses 1'!AW670</f>
        <v/>
      </c>
      <c r="I668" s="4" t="str">
        <f>'Form responses 1'!AS670</f>
        <v/>
      </c>
      <c r="J668" s="4" t="str">
        <f>'Form responses 1'!J670</f>
        <v/>
      </c>
      <c r="K668" s="4" t="str">
        <f>'Form responses 1'!G670</f>
        <v/>
      </c>
      <c r="L668" s="4" t="str">
        <f>'Form responses 1'!F670</f>
        <v/>
      </c>
      <c r="M668" s="4" t="str">
        <f>'Form responses 1'!U670</f>
        <v>Na </v>
      </c>
      <c r="N668" s="4" t="str">
        <f>'Form responses 1'!V670</f>
        <v>Na</v>
      </c>
      <c r="O668" s="4" t="str">
        <f>'Form responses 1'!W670</f>
        <v>Na</v>
      </c>
      <c r="P668" s="4" t="str">
        <f>'Form responses 1'!X670</f>
        <v/>
      </c>
      <c r="Q668" s="4" t="str">
        <f>'Form responses 1'!Y670</f>
        <v/>
      </c>
      <c r="R668" s="4" t="str">
        <f>'Form responses 1'!Z670</f>
        <v/>
      </c>
      <c r="S668" s="4" t="str">
        <f>'Form responses 1'!AC670</f>
        <v/>
      </c>
      <c r="T668" s="4" t="str">
        <f>'Form responses 1'!AE670</f>
        <v/>
      </c>
      <c r="U668" s="4" t="str">
        <f>'Form responses 1'!AG670</f>
        <v/>
      </c>
      <c r="V668" s="4" t="str">
        <f>'Form responses 1'!AI670</f>
        <v/>
      </c>
      <c r="W668" s="4" t="str">
        <f>'Form responses 1'!AJ670</f>
        <v/>
      </c>
      <c r="X668" s="4" t="str">
        <f>'Form responses 1'!AK670</f>
        <v/>
      </c>
      <c r="Y668" s="4">
        <f t="shared" ref="Y668:AD668" si="667">if(S668&gt;0,1,0)</f>
        <v>0</v>
      </c>
      <c r="Z668" s="4">
        <f t="shared" si="667"/>
        <v>0</v>
      </c>
      <c r="AA668" s="4">
        <f t="shared" si="667"/>
        <v>0</v>
      </c>
      <c r="AB668" s="4">
        <f t="shared" si="667"/>
        <v>0</v>
      </c>
      <c r="AC668" s="4">
        <f t="shared" si="667"/>
        <v>0</v>
      </c>
      <c r="AD668" s="4">
        <f t="shared" si="667"/>
        <v>0</v>
      </c>
      <c r="AE668" s="4" t="str">
        <f>'Form responses 1'!AN670</f>
        <v/>
      </c>
      <c r="AF668" s="4" t="str">
        <f>'Form responses 1'!AO1789</f>
        <v/>
      </c>
      <c r="AG668" s="4" t="str">
        <f>'Form responses 1'!AP1789</f>
        <v/>
      </c>
      <c r="AH668" s="4" t="str">
        <f>'Form responses 1'!AQ1789</f>
        <v/>
      </c>
      <c r="AI668" s="4" t="str">
        <f>'Form responses 1'!AR1789</f>
        <v/>
      </c>
    </row>
    <row r="669">
      <c r="A669" s="26">
        <f>'Form responses 1'!B671</f>
        <v>46073</v>
      </c>
      <c r="B669" s="4" t="str">
        <f>'Form responses 1'!AZ671</f>
        <v>anisha.poddar@capsdelivery.com</v>
      </c>
      <c r="C669" s="4" t="str">
        <f>'Form responses 1'!BR671</f>
        <v>Telegu Jublii hills</v>
      </c>
      <c r="D669" s="4" t="str">
        <f>'Form responses 1'!AT671</f>
        <v>NEED TO GO BACK AFTER 6 to meet the owner</v>
      </c>
      <c r="E669" s="4" t="str">
        <f>'Form responses 1'!AU671</f>
        <v>Yes</v>
      </c>
      <c r="F669" s="4" t="str">
        <f>'Form responses 1'!AX671</f>
        <v/>
      </c>
      <c r="G669" s="4" t="str">
        <f>'Form responses 1'!AY671</f>
        <v/>
      </c>
      <c r="H669" s="53" t="str">
        <f>'Form responses 1'!AW671</f>
        <v/>
      </c>
      <c r="I669" s="4" t="str">
        <f>'Form responses 1'!AS671</f>
        <v/>
      </c>
      <c r="J669" s="4" t="str">
        <f>'Form responses 1'!J671</f>
        <v/>
      </c>
      <c r="K669" s="4" t="str">
        <f>'Form responses 1'!G671</f>
        <v/>
      </c>
      <c r="L669" s="4" t="str">
        <f>'Form responses 1'!F671</f>
        <v/>
      </c>
      <c r="M669" s="4" t="str">
        <f>'Form responses 1'!U671</f>
        <v>Ramkrishna</v>
      </c>
      <c r="N669" s="4">
        <f>'Form responses 1'!V671</f>
        <v>9794127880</v>
      </c>
      <c r="O669" s="4" t="str">
        <f>'Form responses 1'!W671</f>
        <v>Na</v>
      </c>
      <c r="P669" s="4" t="str">
        <f>'Form responses 1'!X671</f>
        <v/>
      </c>
      <c r="Q669" s="4" t="str">
        <f>'Form responses 1'!Y671</f>
        <v/>
      </c>
      <c r="R669" s="4" t="str">
        <f>'Form responses 1'!Z671</f>
        <v/>
      </c>
      <c r="S669" s="4" t="str">
        <f>'Form responses 1'!AC671</f>
        <v/>
      </c>
      <c r="T669" s="4" t="str">
        <f>'Form responses 1'!AE671</f>
        <v/>
      </c>
      <c r="U669" s="4" t="str">
        <f>'Form responses 1'!AG671</f>
        <v/>
      </c>
      <c r="V669" s="4" t="str">
        <f>'Form responses 1'!AI671</f>
        <v/>
      </c>
      <c r="W669" s="4" t="str">
        <f>'Form responses 1'!AJ671</f>
        <v/>
      </c>
      <c r="X669" s="4" t="str">
        <f>'Form responses 1'!AK671</f>
        <v/>
      </c>
      <c r="Y669" s="4">
        <f t="shared" ref="Y669:AD669" si="668">if(S669&gt;0,1,0)</f>
        <v>0</v>
      </c>
      <c r="Z669" s="4">
        <f t="shared" si="668"/>
        <v>0</v>
      </c>
      <c r="AA669" s="4">
        <f t="shared" si="668"/>
        <v>0</v>
      </c>
      <c r="AB669" s="4">
        <f t="shared" si="668"/>
        <v>0</v>
      </c>
      <c r="AC669" s="4">
        <f t="shared" si="668"/>
        <v>0</v>
      </c>
      <c r="AD669" s="4">
        <f t="shared" si="668"/>
        <v>0</v>
      </c>
      <c r="AE669" s="4" t="str">
        <f>'Form responses 1'!AN671</f>
        <v/>
      </c>
      <c r="AF669" s="4" t="str">
        <f>'Form responses 1'!AO1790</f>
        <v/>
      </c>
      <c r="AG669" s="4" t="str">
        <f>'Form responses 1'!AP1790</f>
        <v/>
      </c>
      <c r="AH669" s="4" t="str">
        <f>'Form responses 1'!AQ1790</f>
        <v/>
      </c>
      <c r="AI669" s="4" t="str">
        <f>'Form responses 1'!AR1790</f>
        <v/>
      </c>
    </row>
    <row r="670">
      <c r="A670" s="26">
        <f>'Form responses 1'!B672</f>
        <v>46073</v>
      </c>
      <c r="B670" s="4" t="str">
        <f>'Form responses 1'!AZ672</f>
        <v>anisha.poddar@capsdelivery.com</v>
      </c>
      <c r="C670" s="4" t="str">
        <f>'Form responses 1'!BR672</f>
        <v>Thyme and Whisk</v>
      </c>
      <c r="D670" s="4" t="str">
        <f>'Form responses 1'!AT672</f>
        <v>Need to meet with poc , details not shared</v>
      </c>
      <c r="E670" s="4" t="str">
        <f>'Form responses 1'!AU672</f>
        <v>Yes</v>
      </c>
      <c r="F670" s="4" t="str">
        <f>'Form responses 1'!AX672</f>
        <v/>
      </c>
      <c r="G670" s="4" t="str">
        <f>'Form responses 1'!AY672</f>
        <v/>
      </c>
      <c r="H670" s="53" t="str">
        <f>'Form responses 1'!AW672</f>
        <v/>
      </c>
      <c r="I670" s="4" t="str">
        <f>'Form responses 1'!AS672</f>
        <v/>
      </c>
      <c r="J670" s="4" t="str">
        <f>'Form responses 1'!J672</f>
        <v/>
      </c>
      <c r="K670" s="4" t="str">
        <f>'Form responses 1'!G672</f>
        <v/>
      </c>
      <c r="L670" s="4" t="str">
        <f>'Form responses 1'!F672</f>
        <v/>
      </c>
      <c r="M670" s="4" t="str">
        <f>'Form responses 1'!U672</f>
        <v>Na</v>
      </c>
      <c r="N670" s="4" t="str">
        <f>'Form responses 1'!V672</f>
        <v>Na</v>
      </c>
      <c r="O670" s="4" t="str">
        <f>'Form responses 1'!W672</f>
        <v>Na</v>
      </c>
      <c r="P670" s="4" t="str">
        <f>'Form responses 1'!X672</f>
        <v/>
      </c>
      <c r="Q670" s="4" t="str">
        <f>'Form responses 1'!Y672</f>
        <v/>
      </c>
      <c r="R670" s="4" t="str">
        <f>'Form responses 1'!Z672</f>
        <v/>
      </c>
      <c r="S670" s="4" t="str">
        <f>'Form responses 1'!AC672</f>
        <v/>
      </c>
      <c r="T670" s="4" t="str">
        <f>'Form responses 1'!AE672</f>
        <v/>
      </c>
      <c r="U670" s="4" t="str">
        <f>'Form responses 1'!AG672</f>
        <v/>
      </c>
      <c r="V670" s="4" t="str">
        <f>'Form responses 1'!AI672</f>
        <v/>
      </c>
      <c r="W670" s="4" t="str">
        <f>'Form responses 1'!AJ672</f>
        <v/>
      </c>
      <c r="X670" s="4" t="str">
        <f>'Form responses 1'!AK672</f>
        <v/>
      </c>
      <c r="Y670" s="4">
        <f t="shared" ref="Y670:AD670" si="669">if(S670&gt;0,1,0)</f>
        <v>0</v>
      </c>
      <c r="Z670" s="4">
        <f t="shared" si="669"/>
        <v>0</v>
      </c>
      <c r="AA670" s="4">
        <f t="shared" si="669"/>
        <v>0</v>
      </c>
      <c r="AB670" s="4">
        <f t="shared" si="669"/>
        <v>0</v>
      </c>
      <c r="AC670" s="4">
        <f t="shared" si="669"/>
        <v>0</v>
      </c>
      <c r="AD670" s="4">
        <f t="shared" si="669"/>
        <v>0</v>
      </c>
      <c r="AE670" s="4" t="str">
        <f>'Form responses 1'!AN672</f>
        <v/>
      </c>
      <c r="AF670" s="4" t="str">
        <f>'Form responses 1'!AO1791</f>
        <v/>
      </c>
      <c r="AG670" s="4" t="str">
        <f>'Form responses 1'!AP1791</f>
        <v/>
      </c>
      <c r="AH670" s="4" t="str">
        <f>'Form responses 1'!AQ1791</f>
        <v/>
      </c>
      <c r="AI670" s="4" t="str">
        <f>'Form responses 1'!AR1791</f>
        <v/>
      </c>
    </row>
    <row r="671">
      <c r="A671" s="26">
        <f>'Form responses 1'!B673</f>
        <v>46073</v>
      </c>
      <c r="B671" s="4" t="str">
        <f>'Form responses 1'!AZ673</f>
        <v>anisha.poddar@capsdelivery.com</v>
      </c>
      <c r="C671" s="4" t="str">
        <f>'Form responses 1'!BR673</f>
        <v>Naughty Kudi</v>
      </c>
      <c r="D671" s="4" t="str">
        <f>'Form responses 1'!AT673</f>
        <v>Need a follow up meetings</v>
      </c>
      <c r="E671" s="4" t="str">
        <f>'Form responses 1'!AU673</f>
        <v>Yes</v>
      </c>
      <c r="F671" s="4" t="str">
        <f>'Form responses 1'!AX673</f>
        <v/>
      </c>
      <c r="G671" s="4" t="str">
        <f>'Form responses 1'!AY673</f>
        <v/>
      </c>
      <c r="H671" s="53" t="str">
        <f>'Form responses 1'!AW673</f>
        <v/>
      </c>
      <c r="I671" s="4" t="str">
        <f>'Form responses 1'!AS673</f>
        <v/>
      </c>
      <c r="J671" s="4" t="str">
        <f>'Form responses 1'!J673</f>
        <v>Tier-1(AOV&gt;400)</v>
      </c>
      <c r="K671" s="4">
        <f>'Form responses 1'!G673</f>
        <v>500</v>
      </c>
      <c r="L671" s="4">
        <f>'Form responses 1'!F673</f>
        <v>200</v>
      </c>
      <c r="M671" s="4" t="str">
        <f>'Form responses 1'!U673</f>
        <v>Ramesh</v>
      </c>
      <c r="N671" s="4">
        <f>'Form responses 1'!V673</f>
        <v>8374572520</v>
      </c>
      <c r="O671" s="4" t="str">
        <f>'Form responses 1'!W673</f>
        <v>Na</v>
      </c>
      <c r="P671" s="4" t="str">
        <f>'Form responses 1'!X673</f>
        <v>Rama</v>
      </c>
      <c r="Q671" s="4">
        <f>'Form responses 1'!Y673</f>
        <v>9390442627</v>
      </c>
      <c r="R671" s="4" t="str">
        <f>'Form responses 1'!Z673</f>
        <v/>
      </c>
      <c r="S671" s="4" t="str">
        <f>'Form responses 1'!AC673</f>
        <v/>
      </c>
      <c r="T671" s="4" t="str">
        <f>'Form responses 1'!AE673</f>
        <v/>
      </c>
      <c r="U671" s="4" t="str">
        <f>'Form responses 1'!AG673</f>
        <v/>
      </c>
      <c r="V671" s="4" t="str">
        <f>'Form responses 1'!AI673</f>
        <v/>
      </c>
      <c r="W671" s="4" t="str">
        <f>'Form responses 1'!AJ673</f>
        <v/>
      </c>
      <c r="X671" s="4" t="str">
        <f>'Form responses 1'!AK673</f>
        <v/>
      </c>
      <c r="Y671" s="4">
        <f t="shared" ref="Y671:AD671" si="670">if(S671&gt;0,1,0)</f>
        <v>0</v>
      </c>
      <c r="Z671" s="4">
        <f t="shared" si="670"/>
        <v>0</v>
      </c>
      <c r="AA671" s="4">
        <f t="shared" si="670"/>
        <v>0</v>
      </c>
      <c r="AB671" s="4">
        <f t="shared" si="670"/>
        <v>0</v>
      </c>
      <c r="AC671" s="4">
        <f t="shared" si="670"/>
        <v>0</v>
      </c>
      <c r="AD671" s="4">
        <f t="shared" si="670"/>
        <v>0</v>
      </c>
      <c r="AE671" s="4" t="str">
        <f>'Form responses 1'!AN673</f>
        <v/>
      </c>
      <c r="AF671" s="4" t="str">
        <f>'Form responses 1'!AO1792</f>
        <v/>
      </c>
      <c r="AG671" s="4" t="str">
        <f>'Form responses 1'!AP1792</f>
        <v/>
      </c>
      <c r="AH671" s="4" t="str">
        <f>'Form responses 1'!AQ1792</f>
        <v/>
      </c>
      <c r="AI671" s="4" t="str">
        <f>'Form responses 1'!AR1792</f>
        <v/>
      </c>
    </row>
    <row r="672">
      <c r="A672" s="26">
        <f>'Form responses 1'!B674</f>
        <v>46073</v>
      </c>
      <c r="B672" s="4" t="str">
        <f>'Form responses 1'!AZ674</f>
        <v>anisha.poddar@capsdelivery.com</v>
      </c>
      <c r="C672" s="4" t="str">
        <f>'Form responses 1'!BR674</f>
        <v>Insomnia night club</v>
      </c>
      <c r="D672" s="4" t="str">
        <f>'Form responses 1'!AT674</f>
        <v>This club is not interested in online orders as it is dining oriented</v>
      </c>
      <c r="E672" s="4" t="str">
        <f>'Form responses 1'!AU674</f>
        <v>No</v>
      </c>
      <c r="F672" s="4" t="str">
        <f>'Form responses 1'!AX674</f>
        <v/>
      </c>
      <c r="G672" s="4" t="str">
        <f>'Form responses 1'!AY674</f>
        <v/>
      </c>
      <c r="H672" s="53" t="str">
        <f>'Form responses 1'!AW674</f>
        <v/>
      </c>
      <c r="I672" s="4" t="str">
        <f>'Form responses 1'!AS674</f>
        <v/>
      </c>
      <c r="J672" s="4" t="str">
        <f>'Form responses 1'!J674</f>
        <v>Tier-1(AOV&gt;400)</v>
      </c>
      <c r="K672" s="4">
        <f>'Form responses 1'!G674</f>
        <v>500</v>
      </c>
      <c r="L672" s="4">
        <f>'Form responses 1'!F674</f>
        <v>100</v>
      </c>
      <c r="M672" s="4" t="str">
        <f>'Form responses 1'!U674</f>
        <v>Gaurav</v>
      </c>
      <c r="N672" s="4">
        <f>'Form responses 1'!V674</f>
        <v>9583618255</v>
      </c>
      <c r="O672" s="4" t="str">
        <f>'Form responses 1'!W674</f>
        <v>Na</v>
      </c>
      <c r="P672" s="4" t="str">
        <f>'Form responses 1'!X674</f>
        <v/>
      </c>
      <c r="Q672" s="4" t="str">
        <f>'Form responses 1'!Y674</f>
        <v/>
      </c>
      <c r="R672" s="4" t="str">
        <f>'Form responses 1'!Z674</f>
        <v/>
      </c>
      <c r="S672" s="4" t="str">
        <f>'Form responses 1'!AC674</f>
        <v/>
      </c>
      <c r="T672" s="4" t="str">
        <f>'Form responses 1'!AE674</f>
        <v/>
      </c>
      <c r="U672" s="4" t="str">
        <f>'Form responses 1'!AG674</f>
        <v/>
      </c>
      <c r="V672" s="4" t="str">
        <f>'Form responses 1'!AI674</f>
        <v/>
      </c>
      <c r="W672" s="4" t="str">
        <f>'Form responses 1'!AJ674</f>
        <v/>
      </c>
      <c r="X672" s="4" t="str">
        <f>'Form responses 1'!AK674</f>
        <v/>
      </c>
      <c r="Y672" s="4">
        <f t="shared" ref="Y672:AD672" si="671">if(S672&gt;0,1,0)</f>
        <v>0</v>
      </c>
      <c r="Z672" s="4">
        <f t="shared" si="671"/>
        <v>0</v>
      </c>
      <c r="AA672" s="4">
        <f t="shared" si="671"/>
        <v>0</v>
      </c>
      <c r="AB672" s="4">
        <f t="shared" si="671"/>
        <v>0</v>
      </c>
      <c r="AC672" s="4">
        <f t="shared" si="671"/>
        <v>0</v>
      </c>
      <c r="AD672" s="4">
        <f t="shared" si="671"/>
        <v>0</v>
      </c>
      <c r="AE672" s="4" t="str">
        <f>'Form responses 1'!AN674</f>
        <v/>
      </c>
      <c r="AF672" s="4" t="str">
        <f>'Form responses 1'!AO1793</f>
        <v/>
      </c>
      <c r="AG672" s="4" t="str">
        <f>'Form responses 1'!AP1793</f>
        <v/>
      </c>
      <c r="AH672" s="4" t="str">
        <f>'Form responses 1'!AQ1793</f>
        <v/>
      </c>
      <c r="AI672" s="4" t="str">
        <f>'Form responses 1'!AR1793</f>
        <v/>
      </c>
    </row>
    <row r="673">
      <c r="A673" s="26">
        <f>'Form responses 1'!B675</f>
        <v>46073</v>
      </c>
      <c r="B673" s="4" t="str">
        <f>'Form responses 1'!AZ675</f>
        <v>sumadhur.mummadi@capsdelivery.com</v>
      </c>
      <c r="C673" s="4" t="str">
        <f>'Form responses 1'!BR675</f>
        <v>Aha ruchuluAha ruchulu </v>
      </c>
      <c r="D673" s="4" t="str">
        <f>'Form responses 1'!AT675</f>
        <v>Will call Mr raju and follow up</v>
      </c>
      <c r="E673" s="4" t="str">
        <f>'Form responses 1'!AU675</f>
        <v>Yes</v>
      </c>
      <c r="F673" s="4" t="str">
        <f>'Form responses 1'!AX675</f>
        <v/>
      </c>
      <c r="G673" s="4" t="str">
        <f>'Form responses 1'!AY675</f>
        <v/>
      </c>
      <c r="H673" s="53" t="str">
        <f>'Form responses 1'!AW675</f>
        <v/>
      </c>
      <c r="I673" s="4" t="str">
        <f>'Form responses 1'!AS675</f>
        <v/>
      </c>
      <c r="J673" s="4" t="str">
        <f>'Form responses 1'!J675</f>
        <v/>
      </c>
      <c r="K673" s="4" t="str">
        <f>'Form responses 1'!G675</f>
        <v/>
      </c>
      <c r="L673" s="4" t="str">
        <f>'Form responses 1'!F675</f>
        <v/>
      </c>
      <c r="M673" s="4" t="str">
        <f>'Form responses 1'!U675</f>
        <v>Raju </v>
      </c>
      <c r="N673" s="4">
        <f>'Form responses 1'!V675</f>
        <v>9515736223</v>
      </c>
      <c r="O673" s="4" t="str">
        <f>'Form responses 1'!W675</f>
        <v>NA </v>
      </c>
      <c r="P673" s="4" t="str">
        <f>'Form responses 1'!X675</f>
        <v/>
      </c>
      <c r="Q673" s="4" t="str">
        <f>'Form responses 1'!Y675</f>
        <v/>
      </c>
      <c r="R673" s="4" t="str">
        <f>'Form responses 1'!Z675</f>
        <v/>
      </c>
      <c r="S673" s="4" t="str">
        <f>'Form responses 1'!AC675</f>
        <v/>
      </c>
      <c r="T673" s="4" t="str">
        <f>'Form responses 1'!AE675</f>
        <v/>
      </c>
      <c r="U673" s="4" t="str">
        <f>'Form responses 1'!AG675</f>
        <v/>
      </c>
      <c r="V673" s="4" t="str">
        <f>'Form responses 1'!AI675</f>
        <v/>
      </c>
      <c r="W673" s="4" t="str">
        <f>'Form responses 1'!AJ675</f>
        <v/>
      </c>
      <c r="X673" s="4" t="str">
        <f>'Form responses 1'!AK675</f>
        <v/>
      </c>
      <c r="Y673" s="4">
        <f t="shared" ref="Y673:AD673" si="672">if(S673&gt;0,1,0)</f>
        <v>0</v>
      </c>
      <c r="Z673" s="4">
        <f t="shared" si="672"/>
        <v>0</v>
      </c>
      <c r="AA673" s="4">
        <f t="shared" si="672"/>
        <v>0</v>
      </c>
      <c r="AB673" s="4">
        <f t="shared" si="672"/>
        <v>0</v>
      </c>
      <c r="AC673" s="4">
        <f t="shared" si="672"/>
        <v>0</v>
      </c>
      <c r="AD673" s="4">
        <f t="shared" si="672"/>
        <v>0</v>
      </c>
      <c r="AE673" s="4" t="str">
        <f>'Form responses 1'!AN675</f>
        <v/>
      </c>
      <c r="AF673" s="4" t="str">
        <f>'Form responses 1'!AO1794</f>
        <v/>
      </c>
      <c r="AG673" s="4" t="str">
        <f>'Form responses 1'!AP1794</f>
        <v/>
      </c>
      <c r="AH673" s="4" t="str">
        <f>'Form responses 1'!AQ1794</f>
        <v/>
      </c>
      <c r="AI673" s="4" t="str">
        <f>'Form responses 1'!AR1794</f>
        <v/>
      </c>
    </row>
    <row r="674">
      <c r="A674" s="26">
        <f>'Form responses 1'!B676</f>
        <v>46073</v>
      </c>
      <c r="B674" s="4" t="str">
        <f>'Form responses 1'!AZ676</f>
        <v>sumadhur.mummadi@capsdelivery.com</v>
      </c>
      <c r="C674" s="4" t="str">
        <f>'Form responses 1'!BR676</f>
        <v>Al saba</v>
      </c>
      <c r="D674" s="4" t="str">
        <f>'Form responses 1'!AT676</f>
        <v>Owner is available 10am-11am everyday </v>
      </c>
      <c r="E674" s="4" t="str">
        <f>'Form responses 1'!AU676</f>
        <v>Yes</v>
      </c>
      <c r="F674" s="4" t="str">
        <f>'Form responses 1'!AX676</f>
        <v/>
      </c>
      <c r="G674" s="4" t="str">
        <f>'Form responses 1'!AY676</f>
        <v/>
      </c>
      <c r="H674" s="53" t="str">
        <f>'Form responses 1'!AW676</f>
        <v/>
      </c>
      <c r="I674" s="4" t="str">
        <f>'Form responses 1'!AS676</f>
        <v/>
      </c>
      <c r="J674" s="4" t="str">
        <f>'Form responses 1'!J676</f>
        <v/>
      </c>
      <c r="K674" s="4" t="str">
        <f>'Form responses 1'!G676</f>
        <v/>
      </c>
      <c r="L674" s="4" t="str">
        <f>'Form responses 1'!F676</f>
        <v/>
      </c>
      <c r="M674" s="4" t="str">
        <f>'Form responses 1'!U676</f>
        <v>Liakhath</v>
      </c>
      <c r="N674" s="4">
        <f>'Form responses 1'!V676</f>
        <v>9000939335</v>
      </c>
      <c r="O674" s="4" t="str">
        <f>'Form responses 1'!W676</f>
        <v>NA </v>
      </c>
      <c r="P674" s="4" t="str">
        <f>'Form responses 1'!X676</f>
        <v/>
      </c>
      <c r="Q674" s="4" t="str">
        <f>'Form responses 1'!Y676</f>
        <v/>
      </c>
      <c r="R674" s="4" t="str">
        <f>'Form responses 1'!Z676</f>
        <v/>
      </c>
      <c r="S674" s="4" t="str">
        <f>'Form responses 1'!AC676</f>
        <v/>
      </c>
      <c r="T674" s="4" t="str">
        <f>'Form responses 1'!AE676</f>
        <v/>
      </c>
      <c r="U674" s="4" t="str">
        <f>'Form responses 1'!AG676</f>
        <v/>
      </c>
      <c r="V674" s="4" t="str">
        <f>'Form responses 1'!AI676</f>
        <v/>
      </c>
      <c r="W674" s="4" t="str">
        <f>'Form responses 1'!AJ676</f>
        <v/>
      </c>
      <c r="X674" s="4" t="str">
        <f>'Form responses 1'!AK676</f>
        <v/>
      </c>
      <c r="Y674" s="4">
        <f t="shared" ref="Y674:AD674" si="673">if(S674&gt;0,1,0)</f>
        <v>0</v>
      </c>
      <c r="Z674" s="4">
        <f t="shared" si="673"/>
        <v>0</v>
      </c>
      <c r="AA674" s="4">
        <f t="shared" si="673"/>
        <v>0</v>
      </c>
      <c r="AB674" s="4">
        <f t="shared" si="673"/>
        <v>0</v>
      </c>
      <c r="AC674" s="4">
        <f t="shared" si="673"/>
        <v>0</v>
      </c>
      <c r="AD674" s="4">
        <f t="shared" si="673"/>
        <v>0</v>
      </c>
      <c r="AE674" s="4" t="str">
        <f>'Form responses 1'!AN676</f>
        <v/>
      </c>
      <c r="AF674" s="4" t="str">
        <f>'Form responses 1'!AO1795</f>
        <v/>
      </c>
      <c r="AG674" s="4" t="str">
        <f>'Form responses 1'!AP1795</f>
        <v/>
      </c>
      <c r="AH674" s="4" t="str">
        <f>'Form responses 1'!AQ1795</f>
        <v/>
      </c>
      <c r="AI674" s="4" t="str">
        <f>'Form responses 1'!AR1795</f>
        <v/>
      </c>
    </row>
    <row r="675">
      <c r="A675" s="26">
        <f>'Form responses 1'!B677</f>
        <v>46073</v>
      </c>
      <c r="B675" s="4" t="str">
        <f>'Form responses 1'!AZ677</f>
        <v>sumadhur.mummadi@capsdelivery.com</v>
      </c>
      <c r="C675" s="4" t="str">
        <f>'Form responses 1'!BR677</f>
        <v>Arabian Mandi </v>
      </c>
      <c r="D675" s="4" t="str">
        <f>'Form responses 1'!AT677</f>
        <v>The owner Mr Imran is in Saudi and he'll return on 27th </v>
      </c>
      <c r="E675" s="4" t="str">
        <f>'Form responses 1'!AU677</f>
        <v>Yes</v>
      </c>
      <c r="F675" s="4" t="str">
        <f>'Form responses 1'!AX677</f>
        <v/>
      </c>
      <c r="G675" s="4" t="str">
        <f>'Form responses 1'!AY677</f>
        <v/>
      </c>
      <c r="H675" s="53" t="str">
        <f>'Form responses 1'!AW677</f>
        <v/>
      </c>
      <c r="I675" s="4" t="str">
        <f>'Form responses 1'!AS677</f>
        <v/>
      </c>
      <c r="J675" s="4" t="str">
        <f>'Form responses 1'!J677</f>
        <v/>
      </c>
      <c r="K675" s="4" t="str">
        <f>'Form responses 1'!G677</f>
        <v/>
      </c>
      <c r="L675" s="4" t="str">
        <f>'Form responses 1'!F677</f>
        <v/>
      </c>
      <c r="M675" s="4" t="str">
        <f>'Form responses 1'!U677</f>
        <v>Imran </v>
      </c>
      <c r="N675" s="4">
        <f>'Form responses 1'!V677</f>
        <v>9642302809</v>
      </c>
      <c r="O675" s="4" t="str">
        <f>'Form responses 1'!W677</f>
        <v>NA </v>
      </c>
      <c r="P675" s="4" t="str">
        <f>'Form responses 1'!X677</f>
        <v/>
      </c>
      <c r="Q675" s="4" t="str">
        <f>'Form responses 1'!Y677</f>
        <v/>
      </c>
      <c r="R675" s="4" t="str">
        <f>'Form responses 1'!Z677</f>
        <v/>
      </c>
      <c r="S675" s="4" t="str">
        <f>'Form responses 1'!AC677</f>
        <v/>
      </c>
      <c r="T675" s="4" t="str">
        <f>'Form responses 1'!AE677</f>
        <v/>
      </c>
      <c r="U675" s="4" t="str">
        <f>'Form responses 1'!AG677</f>
        <v/>
      </c>
      <c r="V675" s="4" t="str">
        <f>'Form responses 1'!AI677</f>
        <v/>
      </c>
      <c r="W675" s="4" t="str">
        <f>'Form responses 1'!AJ677</f>
        <v/>
      </c>
      <c r="X675" s="4" t="str">
        <f>'Form responses 1'!AK677</f>
        <v/>
      </c>
      <c r="Y675" s="4">
        <f t="shared" ref="Y675:AD675" si="674">if(S675&gt;0,1,0)</f>
        <v>0</v>
      </c>
      <c r="Z675" s="4">
        <f t="shared" si="674"/>
        <v>0</v>
      </c>
      <c r="AA675" s="4">
        <f t="shared" si="674"/>
        <v>0</v>
      </c>
      <c r="AB675" s="4">
        <f t="shared" si="674"/>
        <v>0</v>
      </c>
      <c r="AC675" s="4">
        <f t="shared" si="674"/>
        <v>0</v>
      </c>
      <c r="AD675" s="4">
        <f t="shared" si="674"/>
        <v>0</v>
      </c>
      <c r="AE675" s="4" t="str">
        <f>'Form responses 1'!AN677</f>
        <v/>
      </c>
      <c r="AF675" s="4" t="str">
        <f>'Form responses 1'!AO1796</f>
        <v/>
      </c>
      <c r="AG675" s="4" t="str">
        <f>'Form responses 1'!AP1796</f>
        <v/>
      </c>
      <c r="AH675" s="4" t="str">
        <f>'Form responses 1'!AQ1796</f>
        <v/>
      </c>
      <c r="AI675" s="4" t="str">
        <f>'Form responses 1'!AR1796</f>
        <v/>
      </c>
    </row>
    <row r="676">
      <c r="A676" s="26">
        <f>'Form responses 1'!B537</f>
        <v>46070</v>
      </c>
      <c r="B676" s="4" t="str">
        <f>'Form responses 1'!AZ537</f>
        <v>greeshma.vanneldas@capsdelivery.com</v>
      </c>
      <c r="C676" s="4" t="str">
        <f>'Form responses 1'!BR537</f>
        <v>Sri subham food court Sri subham food court </v>
      </c>
      <c r="D676" s="4" t="str">
        <f>'Form responses 1'!AT537</f>
        <v>Follow up for feedback</v>
      </c>
      <c r="E676" s="4" t="str">
        <f>'Form responses 1'!AU537</f>
        <v>Yes</v>
      </c>
      <c r="F676" s="4" t="str">
        <f>'Form responses 1'!AX537</f>
        <v/>
      </c>
      <c r="G676" s="4" t="str">
        <f>'Form responses 1'!AY537</f>
        <v/>
      </c>
      <c r="H676" s="53" t="str">
        <f>'Form responses 1'!AW537</f>
        <v/>
      </c>
      <c r="I676" s="4" t="str">
        <f>'Form responses 1'!AS537</f>
        <v/>
      </c>
      <c r="J676" s="4" t="str">
        <f>'Form responses 1'!J537</f>
        <v/>
      </c>
      <c r="K676" s="4" t="str">
        <f>'Form responses 1'!G537</f>
        <v/>
      </c>
      <c r="L676" s="4" t="str">
        <f>'Form responses 1'!F537</f>
        <v/>
      </c>
      <c r="M676" s="4" t="str">
        <f>'Form responses 1'!U537</f>
        <v>Savitha</v>
      </c>
      <c r="N676" s="4">
        <f>'Form responses 1'!V537</f>
        <v>7330661433</v>
      </c>
      <c r="O676" s="4" t="str">
        <f>'Form responses 1'!W537</f>
        <v>na</v>
      </c>
      <c r="P676" s="4" t="str">
        <f>'Form responses 1'!X537</f>
        <v/>
      </c>
      <c r="Q676" s="4" t="str">
        <f>'Form responses 1'!Y537</f>
        <v/>
      </c>
      <c r="R676" s="4" t="str">
        <f>'Form responses 1'!Z537</f>
        <v/>
      </c>
      <c r="S676" s="4" t="str">
        <f>'Form responses 1'!AC537</f>
        <v/>
      </c>
      <c r="T676" s="4" t="str">
        <f>'Form responses 1'!AE537</f>
        <v/>
      </c>
      <c r="U676" s="4" t="str">
        <f>'Form responses 1'!AG537</f>
        <v/>
      </c>
      <c r="V676" s="4" t="str">
        <f>'Form responses 1'!AI537</f>
        <v/>
      </c>
      <c r="W676" s="4" t="str">
        <f>'Form responses 1'!AJ537</f>
        <v/>
      </c>
      <c r="X676" s="4" t="str">
        <f>'Form responses 1'!AK537</f>
        <v/>
      </c>
      <c r="Y676" s="4">
        <f t="shared" ref="Y676:AD676" si="675">if(S676&gt;0,1,0)</f>
        <v>0</v>
      </c>
      <c r="Z676" s="4">
        <f t="shared" si="675"/>
        <v>0</v>
      </c>
      <c r="AA676" s="4">
        <f t="shared" si="675"/>
        <v>0</v>
      </c>
      <c r="AB676" s="4">
        <f t="shared" si="675"/>
        <v>0</v>
      </c>
      <c r="AC676" s="4">
        <f t="shared" si="675"/>
        <v>0</v>
      </c>
      <c r="AD676" s="4">
        <f t="shared" si="675"/>
        <v>0</v>
      </c>
      <c r="AE676" s="4" t="str">
        <f>'Form responses 1'!AN537</f>
        <v/>
      </c>
      <c r="AF676" s="4" t="str">
        <f>'Form responses 1'!AO537</f>
        <v/>
      </c>
      <c r="AG676" s="4" t="str">
        <f>'Form responses 1'!AP537</f>
        <v/>
      </c>
      <c r="AH676" s="4" t="str">
        <f>'Form responses 1'!AQ537</f>
        <v/>
      </c>
      <c r="AI676" s="4" t="str">
        <f>'Form responses 1'!AR537</f>
        <v/>
      </c>
    </row>
    <row r="677">
      <c r="A677" s="26">
        <f>'Form responses 1'!B274</f>
        <v>46065</v>
      </c>
      <c r="B677" s="4" t="str">
        <f>'Form responses 1'!AZ274</f>
        <v>greeshma.vanneldas@capsdelivery.com</v>
      </c>
      <c r="C677" s="4" t="str">
        <f>'Form responses 1'!BR274</f>
        <v>Sri vindha tiffins</v>
      </c>
      <c r="D677" s="4" t="str">
        <f>'Form responses 1'!AT274</f>
        <v/>
      </c>
      <c r="E677" s="4" t="str">
        <f>'Form responses 1'!AU274</f>
        <v>Yes</v>
      </c>
      <c r="F677" s="4" t="str">
        <f>'Form responses 1'!AX274</f>
        <v/>
      </c>
      <c r="G677" s="4" t="str">
        <f>'Form responses 1'!AY274</f>
        <v/>
      </c>
      <c r="H677" s="53" t="str">
        <f>'Form responses 1'!AW274</f>
        <v>Manager will be available after 19:00</v>
      </c>
      <c r="I677" s="4" t="str">
        <f>'Form responses 1'!AS274</f>
        <v/>
      </c>
      <c r="J677" s="4" t="str">
        <f>'Form responses 1'!J274</f>
        <v/>
      </c>
      <c r="K677" s="4" t="str">
        <f>'Form responses 1'!G274</f>
        <v/>
      </c>
      <c r="L677" s="4" t="str">
        <f>'Form responses 1'!F274</f>
        <v/>
      </c>
      <c r="M677" s="4" t="str">
        <f>'Form responses 1'!U274</f>
        <v>Dilip</v>
      </c>
      <c r="N677" s="4">
        <f>'Form responses 1'!V274</f>
        <v>9866896332</v>
      </c>
      <c r="O677" s="4" t="str">
        <f>'Form responses 1'!W274</f>
        <v>na</v>
      </c>
      <c r="P677" s="4" t="str">
        <f>'Form responses 1'!X274</f>
        <v/>
      </c>
      <c r="Q677" s="4" t="str">
        <f>'Form responses 1'!Y274</f>
        <v/>
      </c>
      <c r="R677" s="4" t="str">
        <f>'Form responses 1'!Z274</f>
        <v/>
      </c>
      <c r="S677" s="4" t="str">
        <f>'Form responses 1'!AC274</f>
        <v/>
      </c>
      <c r="T677" s="4" t="str">
        <f>'Form responses 1'!AE274</f>
        <v/>
      </c>
      <c r="U677" s="4" t="str">
        <f>'Form responses 1'!AG274</f>
        <v/>
      </c>
      <c r="V677" s="4" t="str">
        <f>'Form responses 1'!AI274</f>
        <v/>
      </c>
      <c r="W677" s="4" t="str">
        <f>'Form responses 1'!AJ274</f>
        <v/>
      </c>
      <c r="X677" s="4" t="str">
        <f>'Form responses 1'!AK274</f>
        <v/>
      </c>
      <c r="Y677" s="4">
        <f t="shared" ref="Y677:AD677" si="676">if(S677&gt;0,1,0)</f>
        <v>0</v>
      </c>
      <c r="Z677" s="4">
        <f t="shared" si="676"/>
        <v>0</v>
      </c>
      <c r="AA677" s="4">
        <f t="shared" si="676"/>
        <v>0</v>
      </c>
      <c r="AB677" s="4">
        <f t="shared" si="676"/>
        <v>0</v>
      </c>
      <c r="AC677" s="4">
        <f t="shared" si="676"/>
        <v>0</v>
      </c>
      <c r="AD677" s="4">
        <f t="shared" si="676"/>
        <v>0</v>
      </c>
      <c r="AE677" s="4" t="str">
        <f>'Form responses 1'!AN274</f>
        <v/>
      </c>
      <c r="AF677" s="4" t="str">
        <f>'Form responses 1'!AO274</f>
        <v/>
      </c>
      <c r="AG677" s="4" t="str">
        <f>'Form responses 1'!AP274</f>
        <v/>
      </c>
      <c r="AH677" s="4" t="str">
        <f>'Form responses 1'!AQ274</f>
        <v/>
      </c>
      <c r="AI677" s="4" t="str">
        <f>'Form responses 1'!AR274</f>
        <v/>
      </c>
    </row>
    <row r="678">
      <c r="A678" s="26">
        <f>'Form responses 1'!B238</f>
        <v>46064</v>
      </c>
      <c r="B678" s="4" t="str">
        <f>'Form responses 1'!AZ238</f>
        <v>greeshma.vanneldas@capsdelivery.com</v>
      </c>
      <c r="C678" s="4" t="str">
        <f>'Form responses 1'!BR238</f>
        <v>Suryakantham Military hotel</v>
      </c>
      <c r="D678" s="4" t="str">
        <f>'Form responses 1'!AT238</f>
        <v/>
      </c>
      <c r="E678" s="4" t="str">
        <f>'Form responses 1'!AU238</f>
        <v>Yes</v>
      </c>
      <c r="F678" s="4" t="str">
        <f>'Form responses 1'!AX238</f>
        <v/>
      </c>
      <c r="G678" s="4" t="str">
        <f>'Form responses 1'!AY238</f>
        <v/>
      </c>
      <c r="H678" s="53" t="str">
        <f>'Form responses 1'!AW238</f>
        <v/>
      </c>
      <c r="I678" s="4" t="str">
        <f>'Form responses 1'!AS238</f>
        <v/>
      </c>
      <c r="J678" s="4" t="str">
        <f>'Form responses 1'!J238</f>
        <v>Tier-2 (AOV &lt;400)</v>
      </c>
      <c r="K678" s="4">
        <f>'Form responses 1'!G238</f>
        <v>500</v>
      </c>
      <c r="L678" s="4">
        <f>'Form responses 1'!F238</f>
        <v>50</v>
      </c>
      <c r="M678" s="4" t="str">
        <f>'Form responses 1'!U238</f>
        <v>Maheshwar rao</v>
      </c>
      <c r="N678" s="4">
        <f>'Form responses 1'!V238</f>
        <v>9849343059</v>
      </c>
      <c r="O678" s="4" t="str">
        <f>'Form responses 1'!W238</f>
        <v>na</v>
      </c>
      <c r="P678" s="4" t="str">
        <f>'Form responses 1'!X238</f>
        <v/>
      </c>
      <c r="Q678" s="4" t="str">
        <f>'Form responses 1'!Y238</f>
        <v/>
      </c>
      <c r="R678" s="4" t="str">
        <f>'Form responses 1'!Z238</f>
        <v/>
      </c>
      <c r="S678" s="4" t="str">
        <f>'Form responses 1'!AC238</f>
        <v/>
      </c>
      <c r="T678" s="4" t="str">
        <f>'Form responses 1'!AE238</f>
        <v/>
      </c>
      <c r="U678" s="4" t="str">
        <f>'Form responses 1'!AG238</f>
        <v/>
      </c>
      <c r="V678" s="4" t="str">
        <f>'Form responses 1'!AI238</f>
        <v/>
      </c>
      <c r="W678" s="4" t="str">
        <f>'Form responses 1'!AJ238</f>
        <v/>
      </c>
      <c r="X678" s="4" t="str">
        <f>'Form responses 1'!AK238</f>
        <v/>
      </c>
      <c r="Y678" s="4">
        <f t="shared" ref="Y678:AD678" si="677">if(S678&gt;0,1,0)</f>
        <v>0</v>
      </c>
      <c r="Z678" s="4">
        <f t="shared" si="677"/>
        <v>0</v>
      </c>
      <c r="AA678" s="4">
        <f t="shared" si="677"/>
        <v>0</v>
      </c>
      <c r="AB678" s="4">
        <f t="shared" si="677"/>
        <v>0</v>
      </c>
      <c r="AC678" s="4">
        <f t="shared" si="677"/>
        <v>0</v>
      </c>
      <c r="AD678" s="4">
        <f t="shared" si="677"/>
        <v>0</v>
      </c>
      <c r="AE678" s="4" t="str">
        <f>'Form responses 1'!AN238</f>
        <v/>
      </c>
      <c r="AF678" s="4" t="str">
        <f>'Form responses 1'!AO238</f>
        <v/>
      </c>
      <c r="AG678" s="4" t="str">
        <f>'Form responses 1'!AP238</f>
        <v/>
      </c>
      <c r="AH678" s="4" t="str">
        <f>'Form responses 1'!AQ238</f>
        <v/>
      </c>
      <c r="AI678" s="4" t="str">
        <f>'Form responses 1'!AR238</f>
        <v/>
      </c>
    </row>
    <row r="679">
      <c r="A679" s="26">
        <f>'Form responses 1'!B156</f>
        <v>46064</v>
      </c>
      <c r="B679" s="4" t="str">
        <f>'Form responses 1'!AZ156</f>
        <v>greeshma.vanneldas@capsdelivery.com</v>
      </c>
      <c r="C679" s="4" t="str">
        <f>'Form responses 1'!BR156</f>
        <v>Suryakantham military hotel </v>
      </c>
      <c r="D679" s="4" t="str">
        <f>'Form responses 1'!AT156</f>
        <v/>
      </c>
      <c r="E679" s="4" t="str">
        <f>'Form responses 1'!AU156</f>
        <v>Yes</v>
      </c>
      <c r="F679" s="26">
        <f>'Form responses 1'!AX156</f>
        <v>46065</v>
      </c>
      <c r="G679" s="52">
        <f>'Form responses 1'!AY156</f>
        <v>0.4791666667</v>
      </c>
      <c r="H679" s="53" t="str">
        <f>'Form responses 1'!AW156</f>
        <v/>
      </c>
      <c r="I679" s="4" t="str">
        <f>'Form responses 1'!AS156</f>
        <v/>
      </c>
      <c r="J679" s="4" t="str">
        <f>'Form responses 1'!J156</f>
        <v/>
      </c>
      <c r="K679" s="4" t="str">
        <f>'Form responses 1'!G156</f>
        <v/>
      </c>
      <c r="L679" s="4" t="str">
        <f>'Form responses 1'!F156</f>
        <v/>
      </c>
      <c r="M679" s="4" t="str">
        <f>'Form responses 1'!U156</f>
        <v>Nageshwar rao</v>
      </c>
      <c r="N679" s="4">
        <f>'Form responses 1'!V156</f>
        <v>9849343059</v>
      </c>
      <c r="O679" s="4" t="str">
        <f>'Form responses 1'!W156</f>
        <v>Na</v>
      </c>
      <c r="P679" s="4" t="str">
        <f>'Form responses 1'!X156</f>
        <v/>
      </c>
      <c r="Q679" s="4" t="str">
        <f>'Form responses 1'!Y156</f>
        <v/>
      </c>
      <c r="R679" s="4" t="str">
        <f>'Form responses 1'!Z156</f>
        <v/>
      </c>
      <c r="S679" s="4" t="str">
        <f>'Form responses 1'!AC156</f>
        <v/>
      </c>
      <c r="T679" s="4" t="str">
        <f>'Form responses 1'!AE156</f>
        <v/>
      </c>
      <c r="U679" s="4" t="str">
        <f>'Form responses 1'!AG156</f>
        <v/>
      </c>
      <c r="V679" s="4" t="str">
        <f>'Form responses 1'!AI156</f>
        <v/>
      </c>
      <c r="W679" s="4" t="str">
        <f>'Form responses 1'!AJ156</f>
        <v/>
      </c>
      <c r="X679" s="4" t="str">
        <f>'Form responses 1'!AK156</f>
        <v/>
      </c>
      <c r="Y679" s="4">
        <f t="shared" ref="Y679:AD679" si="678">if(S679&gt;0,1,0)</f>
        <v>0</v>
      </c>
      <c r="Z679" s="4">
        <f t="shared" si="678"/>
        <v>0</v>
      </c>
      <c r="AA679" s="4">
        <f t="shared" si="678"/>
        <v>0</v>
      </c>
      <c r="AB679" s="4">
        <f t="shared" si="678"/>
        <v>0</v>
      </c>
      <c r="AC679" s="4">
        <f t="shared" si="678"/>
        <v>0</v>
      </c>
      <c r="AD679" s="4">
        <f t="shared" si="678"/>
        <v>0</v>
      </c>
      <c r="AE679" s="4" t="str">
        <f>'Form responses 1'!AN156</f>
        <v/>
      </c>
      <c r="AF679" s="4" t="str">
        <f>'Form responses 1'!AO156</f>
        <v/>
      </c>
      <c r="AG679" s="4" t="str">
        <f>'Form responses 1'!AP156</f>
        <v/>
      </c>
      <c r="AH679" s="4" t="str">
        <f>'Form responses 1'!AQ156</f>
        <v/>
      </c>
      <c r="AI679" s="4" t="str">
        <f>'Form responses 1'!AR156</f>
        <v/>
      </c>
    </row>
    <row r="680">
      <c r="A680" s="26">
        <f>'Form responses 1'!B479</f>
        <v>46069</v>
      </c>
      <c r="B680" s="4" t="str">
        <f>'Form responses 1'!AZ479</f>
        <v>greeshma.vanneldas@capsdelivery.com</v>
      </c>
      <c r="C680" s="4" t="str">
        <f>'Form responses 1'!BR479</f>
        <v>Tadipathri biryani</v>
      </c>
      <c r="D680" s="4" t="str">
        <f>'Form responses 1'!AT479</f>
        <v>Call back next week on monday</v>
      </c>
      <c r="E680" s="4" t="str">
        <f>'Form responses 1'!AU479</f>
        <v>Yes</v>
      </c>
      <c r="F680" s="4" t="str">
        <f>'Form responses 1'!AX479</f>
        <v/>
      </c>
      <c r="G680" s="4" t="str">
        <f>'Form responses 1'!AY479</f>
        <v/>
      </c>
      <c r="H680" s="53" t="str">
        <f>'Form responses 1'!AW479</f>
        <v/>
      </c>
      <c r="I680" s="4" t="str">
        <f>'Form responses 1'!AS479</f>
        <v/>
      </c>
      <c r="J680" s="4" t="str">
        <f>'Form responses 1'!J479</f>
        <v/>
      </c>
      <c r="K680" s="4" t="str">
        <f>'Form responses 1'!G479</f>
        <v/>
      </c>
      <c r="L680" s="4" t="str">
        <f>'Form responses 1'!F479</f>
        <v/>
      </c>
      <c r="M680" s="4" t="str">
        <f>'Form responses 1'!U479</f>
        <v>na</v>
      </c>
      <c r="N680" s="4">
        <f>'Form responses 1'!V479</f>
        <v>9552323334</v>
      </c>
      <c r="O680" s="4" t="str">
        <f>'Form responses 1'!W479</f>
        <v>na</v>
      </c>
      <c r="P680" s="4" t="str">
        <f>'Form responses 1'!X479</f>
        <v/>
      </c>
      <c r="Q680" s="4" t="str">
        <f>'Form responses 1'!Y479</f>
        <v/>
      </c>
      <c r="R680" s="4" t="str">
        <f>'Form responses 1'!Z479</f>
        <v/>
      </c>
      <c r="S680" s="4" t="str">
        <f>'Form responses 1'!AC479</f>
        <v/>
      </c>
      <c r="T680" s="4" t="str">
        <f>'Form responses 1'!AE479</f>
        <v/>
      </c>
      <c r="U680" s="4" t="str">
        <f>'Form responses 1'!AG479</f>
        <v/>
      </c>
      <c r="V680" s="4" t="str">
        <f>'Form responses 1'!AI479</f>
        <v/>
      </c>
      <c r="W680" s="4" t="str">
        <f>'Form responses 1'!AJ479</f>
        <v/>
      </c>
      <c r="X680" s="4" t="str">
        <f>'Form responses 1'!AK479</f>
        <v/>
      </c>
      <c r="Y680" s="4">
        <f t="shared" ref="Y680:AD680" si="679">if(S680&gt;0,1,0)</f>
        <v>0</v>
      </c>
      <c r="Z680" s="4">
        <f t="shared" si="679"/>
        <v>0</v>
      </c>
      <c r="AA680" s="4">
        <f t="shared" si="679"/>
        <v>0</v>
      </c>
      <c r="AB680" s="4">
        <f t="shared" si="679"/>
        <v>0</v>
      </c>
      <c r="AC680" s="4">
        <f t="shared" si="679"/>
        <v>0</v>
      </c>
      <c r="AD680" s="4">
        <f t="shared" si="679"/>
        <v>0</v>
      </c>
      <c r="AE680" s="4" t="str">
        <f>'Form responses 1'!AN479</f>
        <v/>
      </c>
      <c r="AF680" s="4" t="str">
        <f>'Form responses 1'!AO479</f>
        <v/>
      </c>
      <c r="AG680" s="4" t="str">
        <f>'Form responses 1'!AP479</f>
        <v/>
      </c>
      <c r="AH680" s="4" t="str">
        <f>'Form responses 1'!AQ479</f>
        <v/>
      </c>
      <c r="AI680" s="4" t="str">
        <f>'Form responses 1'!AR479</f>
        <v/>
      </c>
    </row>
    <row r="681">
      <c r="A681" s="26">
        <f>'Form responses 1'!B605</f>
        <v>46072</v>
      </c>
      <c r="B681" s="4" t="str">
        <f>'Form responses 1'!AZ605</f>
        <v>greeshma.vanneldas@capsdelivery.com</v>
      </c>
      <c r="C681" s="4" t="str">
        <f>'Form responses 1'!BR605</f>
        <v>Tass Spice hut</v>
      </c>
      <c r="D681" s="4" t="str">
        <f>'Form responses 1'!AT605</f>
        <v>Owner was not available,I spoke with him on a call tomorrow appointment fixed</v>
      </c>
      <c r="E681" s="4" t="str">
        <f>'Form responses 1'!AU605</f>
        <v>Yes</v>
      </c>
      <c r="F681" s="4" t="str">
        <f>'Form responses 1'!AX605</f>
        <v/>
      </c>
      <c r="G681" s="4" t="str">
        <f>'Form responses 1'!AY605</f>
        <v/>
      </c>
      <c r="H681" s="53" t="str">
        <f>'Form responses 1'!AW605</f>
        <v/>
      </c>
      <c r="I681" s="4" t="str">
        <f>'Form responses 1'!AS605</f>
        <v/>
      </c>
      <c r="J681" s="4" t="str">
        <f>'Form responses 1'!J605</f>
        <v/>
      </c>
      <c r="K681" s="4" t="str">
        <f>'Form responses 1'!G605</f>
        <v/>
      </c>
      <c r="L681" s="4" t="str">
        <f>'Form responses 1'!F605</f>
        <v/>
      </c>
      <c r="M681" s="4" t="str">
        <f>'Form responses 1'!U605</f>
        <v>NA</v>
      </c>
      <c r="N681" s="4">
        <f>'Form responses 1'!V605</f>
        <v>7032362999</v>
      </c>
      <c r="O681" s="4" t="str">
        <f>'Form responses 1'!W605</f>
        <v>NA</v>
      </c>
      <c r="P681" s="4" t="str">
        <f>'Form responses 1'!X605</f>
        <v/>
      </c>
      <c r="Q681" s="4" t="str">
        <f>'Form responses 1'!Y605</f>
        <v/>
      </c>
      <c r="R681" s="4" t="str">
        <f>'Form responses 1'!Z605</f>
        <v/>
      </c>
      <c r="S681" s="4" t="str">
        <f>'Form responses 1'!AC605</f>
        <v/>
      </c>
      <c r="T681" s="4" t="str">
        <f>'Form responses 1'!AE605</f>
        <v/>
      </c>
      <c r="U681" s="4" t="str">
        <f>'Form responses 1'!AG605</f>
        <v/>
      </c>
      <c r="V681" s="4" t="str">
        <f>'Form responses 1'!AI605</f>
        <v/>
      </c>
      <c r="W681" s="4" t="str">
        <f>'Form responses 1'!AJ605</f>
        <v/>
      </c>
      <c r="X681" s="4" t="str">
        <f>'Form responses 1'!AK605</f>
        <v/>
      </c>
      <c r="Y681" s="4">
        <f t="shared" ref="Y681:AD681" si="680">if(S681&gt;0,1,0)</f>
        <v>0</v>
      </c>
      <c r="Z681" s="4">
        <f t="shared" si="680"/>
        <v>0</v>
      </c>
      <c r="AA681" s="4">
        <f t="shared" si="680"/>
        <v>0</v>
      </c>
      <c r="AB681" s="4">
        <f t="shared" si="680"/>
        <v>0</v>
      </c>
      <c r="AC681" s="4">
        <f t="shared" si="680"/>
        <v>0</v>
      </c>
      <c r="AD681" s="4">
        <f t="shared" si="680"/>
        <v>0</v>
      </c>
      <c r="AE681" s="4" t="str">
        <f>'Form responses 1'!AN605</f>
        <v/>
      </c>
      <c r="AF681" s="4" t="str">
        <f>'Form responses 1'!AO1724</f>
        <v/>
      </c>
      <c r="AG681" s="4" t="str">
        <f>'Form responses 1'!AP1724</f>
        <v/>
      </c>
      <c r="AH681" s="4" t="str">
        <f>'Form responses 1'!AQ1724</f>
        <v/>
      </c>
      <c r="AI681" s="4" t="str">
        <f>'Form responses 1'!AR1724</f>
        <v/>
      </c>
    </row>
    <row r="682">
      <c r="A682" s="26">
        <f>'Form responses 1'!B658</f>
        <v>46071</v>
      </c>
      <c r="B682" s="4" t="str">
        <f>'Form responses 1'!AZ658</f>
        <v>greeshma.vanneldas@capsdelivery.com</v>
      </c>
      <c r="C682" s="4" t="str">
        <f>'Form responses 1'!BR658</f>
        <v>The chocolate room</v>
      </c>
      <c r="D682" s="4" t="str">
        <f>'Form responses 1'!AT658</f>
        <v>need to follow ups</v>
      </c>
      <c r="E682" s="4" t="str">
        <f>'Form responses 1'!AU658</f>
        <v>Yes</v>
      </c>
      <c r="F682" s="4" t="str">
        <f>'Form responses 1'!AX658</f>
        <v/>
      </c>
      <c r="G682" s="4" t="str">
        <f>'Form responses 1'!AY658</f>
        <v/>
      </c>
      <c r="H682" s="53" t="str">
        <f>'Form responses 1'!AW658</f>
        <v/>
      </c>
      <c r="I682" s="4" t="str">
        <f>'Form responses 1'!AS658</f>
        <v/>
      </c>
      <c r="J682" s="4" t="str">
        <f>'Form responses 1'!J658</f>
        <v/>
      </c>
      <c r="K682" s="4" t="str">
        <f>'Form responses 1'!G658</f>
        <v/>
      </c>
      <c r="L682" s="4" t="str">
        <f>'Form responses 1'!F658</f>
        <v/>
      </c>
      <c r="M682" s="4" t="str">
        <f>'Form responses 1'!U658</f>
        <v>Satish</v>
      </c>
      <c r="N682" s="4">
        <f>'Form responses 1'!V658</f>
        <v>8019347999</v>
      </c>
      <c r="O682" s="4" t="str">
        <f>'Form responses 1'!W658</f>
        <v>NA</v>
      </c>
      <c r="P682" s="4" t="str">
        <f>'Form responses 1'!X658</f>
        <v/>
      </c>
      <c r="Q682" s="4" t="str">
        <f>'Form responses 1'!Y658</f>
        <v/>
      </c>
      <c r="R682" s="4" t="str">
        <f>'Form responses 1'!Z658</f>
        <v/>
      </c>
      <c r="S682" s="4" t="str">
        <f>'Form responses 1'!AC658</f>
        <v/>
      </c>
      <c r="T682" s="4" t="str">
        <f>'Form responses 1'!AE658</f>
        <v/>
      </c>
      <c r="U682" s="4" t="str">
        <f>'Form responses 1'!AG658</f>
        <v/>
      </c>
      <c r="V682" s="4" t="str">
        <f>'Form responses 1'!AI658</f>
        <v/>
      </c>
      <c r="W682" s="4" t="str">
        <f>'Form responses 1'!AJ658</f>
        <v/>
      </c>
      <c r="X682" s="4" t="str">
        <f>'Form responses 1'!AK658</f>
        <v/>
      </c>
      <c r="Y682" s="4">
        <f t="shared" ref="Y682:AD682" si="681">if(S682&gt;0,1,0)</f>
        <v>0</v>
      </c>
      <c r="Z682" s="4">
        <f t="shared" si="681"/>
        <v>0</v>
      </c>
      <c r="AA682" s="4">
        <f t="shared" si="681"/>
        <v>0</v>
      </c>
      <c r="AB682" s="4">
        <f t="shared" si="681"/>
        <v>0</v>
      </c>
      <c r="AC682" s="4">
        <f t="shared" si="681"/>
        <v>0</v>
      </c>
      <c r="AD682" s="4">
        <f t="shared" si="681"/>
        <v>0</v>
      </c>
      <c r="AE682" s="4" t="str">
        <f>'Form responses 1'!AN658</f>
        <v/>
      </c>
      <c r="AF682" s="4" t="str">
        <f>'Form responses 1'!AO1777</f>
        <v/>
      </c>
      <c r="AG682" s="4" t="str">
        <f>'Form responses 1'!AP1777</f>
        <v/>
      </c>
      <c r="AH682" s="4" t="str">
        <f>'Form responses 1'!AQ1777</f>
        <v/>
      </c>
      <c r="AI682" s="4" t="str">
        <f>'Form responses 1'!AR1777</f>
        <v/>
      </c>
    </row>
    <row r="683">
      <c r="A683" s="26">
        <f>'Form responses 1'!B659</f>
        <v>46071</v>
      </c>
      <c r="B683" s="4" t="str">
        <f>'Form responses 1'!AZ659</f>
        <v>greeshma.vanneldas@capsdelivery.com</v>
      </c>
      <c r="C683" s="4" t="str">
        <f>'Form responses 1'!BR659</f>
        <v>The chocolate room</v>
      </c>
      <c r="D683" s="4" t="str">
        <f>'Form responses 1'!AT659</f>
        <v>Follow up</v>
      </c>
      <c r="E683" s="4" t="str">
        <f>'Form responses 1'!AU659</f>
        <v>Yes</v>
      </c>
      <c r="F683" s="4" t="str">
        <f>'Form responses 1'!AX659</f>
        <v/>
      </c>
      <c r="G683" s="4" t="str">
        <f>'Form responses 1'!AY659</f>
        <v/>
      </c>
      <c r="H683" s="53" t="str">
        <f>'Form responses 1'!AW659</f>
        <v/>
      </c>
      <c r="I683" s="4" t="str">
        <f>'Form responses 1'!AS659</f>
        <v/>
      </c>
      <c r="J683" s="4" t="str">
        <f>'Form responses 1'!J659</f>
        <v/>
      </c>
      <c r="K683" s="4" t="str">
        <f>'Form responses 1'!G659</f>
        <v/>
      </c>
      <c r="L683" s="4" t="str">
        <f>'Form responses 1'!F659</f>
        <v/>
      </c>
      <c r="M683" s="4" t="str">
        <f>'Form responses 1'!U659</f>
        <v>Satish</v>
      </c>
      <c r="N683" s="4">
        <f>'Form responses 1'!V659</f>
        <v>8019347999</v>
      </c>
      <c r="O683" s="4" t="str">
        <f>'Form responses 1'!W659</f>
        <v>na</v>
      </c>
      <c r="P683" s="4" t="str">
        <f>'Form responses 1'!X659</f>
        <v/>
      </c>
      <c r="Q683" s="4" t="str">
        <f>'Form responses 1'!Y659</f>
        <v/>
      </c>
      <c r="R683" s="4" t="str">
        <f>'Form responses 1'!Z659</f>
        <v/>
      </c>
      <c r="S683" s="4" t="str">
        <f>'Form responses 1'!AC659</f>
        <v/>
      </c>
      <c r="T683" s="4" t="str">
        <f>'Form responses 1'!AE659</f>
        <v/>
      </c>
      <c r="U683" s="4" t="str">
        <f>'Form responses 1'!AG659</f>
        <v/>
      </c>
      <c r="V683" s="4" t="str">
        <f>'Form responses 1'!AI659</f>
        <v/>
      </c>
      <c r="W683" s="4" t="str">
        <f>'Form responses 1'!AJ659</f>
        <v/>
      </c>
      <c r="X683" s="4" t="str">
        <f>'Form responses 1'!AK659</f>
        <v/>
      </c>
      <c r="Y683" s="4">
        <f t="shared" ref="Y683:AD683" si="682">if(S683&gt;0,1,0)</f>
        <v>0</v>
      </c>
      <c r="Z683" s="4">
        <f t="shared" si="682"/>
        <v>0</v>
      </c>
      <c r="AA683" s="4">
        <f t="shared" si="682"/>
        <v>0</v>
      </c>
      <c r="AB683" s="4">
        <f t="shared" si="682"/>
        <v>0</v>
      </c>
      <c r="AC683" s="4">
        <f t="shared" si="682"/>
        <v>0</v>
      </c>
      <c r="AD683" s="4">
        <f t="shared" si="682"/>
        <v>0</v>
      </c>
      <c r="AE683" s="4" t="str">
        <f>'Form responses 1'!AN659</f>
        <v/>
      </c>
      <c r="AF683" s="4" t="str">
        <f>'Form responses 1'!AO1778</f>
        <v/>
      </c>
      <c r="AG683" s="4" t="str">
        <f>'Form responses 1'!AP1778</f>
        <v/>
      </c>
      <c r="AH683" s="4" t="str">
        <f>'Form responses 1'!AQ1778</f>
        <v/>
      </c>
      <c r="AI683" s="4" t="str">
        <f>'Form responses 1'!AR1778</f>
        <v/>
      </c>
    </row>
    <row r="684">
      <c r="A684" s="26">
        <f>'Form responses 1'!B686</f>
        <v>46071</v>
      </c>
      <c r="B684" s="4" t="str">
        <f>'Form responses 1'!AZ686</f>
        <v>ankitha.baske@capsdelivery.com</v>
      </c>
      <c r="C684" s="4" t="str">
        <f>'Form responses 1'!BR686</f>
        <v>Eruvaaka </v>
      </c>
      <c r="D684" s="4" t="str">
        <f>'Form responses 1'!AT686</f>
        <v>We need to meet different POC on Monday</v>
      </c>
      <c r="E684" s="4" t="str">
        <f>'Form responses 1'!AU686</f>
        <v>Yes</v>
      </c>
      <c r="F684" s="26">
        <f>'Form responses 1'!AX686</f>
        <v>46076</v>
      </c>
      <c r="G684" s="4" t="str">
        <f>'Form responses 1'!AY686</f>
        <v/>
      </c>
      <c r="H684" s="53" t="str">
        <f>'Form responses 1'!AW686</f>
        <v/>
      </c>
      <c r="I684" s="4" t="str">
        <f>'Form responses 1'!AS686</f>
        <v/>
      </c>
      <c r="J684" s="4" t="str">
        <f>'Form responses 1'!J686</f>
        <v/>
      </c>
      <c r="K684" s="4" t="str">
        <f>'Form responses 1'!G686</f>
        <v/>
      </c>
      <c r="L684" s="4" t="str">
        <f>'Form responses 1'!F686</f>
        <v/>
      </c>
      <c r="M684" s="4" t="str">
        <f>'Form responses 1'!U686</f>
        <v>Raju</v>
      </c>
      <c r="N684" s="4">
        <f>'Form responses 1'!V686</f>
        <v>9550955064</v>
      </c>
      <c r="O684" s="4" t="str">
        <f>'Form responses 1'!W686</f>
        <v>Na</v>
      </c>
      <c r="P684" s="4" t="str">
        <f>'Form responses 1'!X686</f>
        <v/>
      </c>
      <c r="Q684" s="4" t="str">
        <f>'Form responses 1'!Y686</f>
        <v/>
      </c>
      <c r="R684" s="4" t="str">
        <f>'Form responses 1'!Z686</f>
        <v/>
      </c>
      <c r="S684" s="4" t="str">
        <f>'Form responses 1'!AC686</f>
        <v/>
      </c>
      <c r="T684" s="4" t="str">
        <f>'Form responses 1'!AE686</f>
        <v/>
      </c>
      <c r="U684" s="4" t="str">
        <f>'Form responses 1'!AG686</f>
        <v/>
      </c>
      <c r="V684" s="4" t="str">
        <f>'Form responses 1'!AI686</f>
        <v/>
      </c>
      <c r="W684" s="4" t="str">
        <f>'Form responses 1'!AJ686</f>
        <v/>
      </c>
      <c r="X684" s="4" t="str">
        <f>'Form responses 1'!AK686</f>
        <v/>
      </c>
      <c r="Y684" s="4">
        <f t="shared" ref="Y684:AD684" si="683">if(S684&gt;0,1,0)</f>
        <v>0</v>
      </c>
      <c r="Z684" s="4">
        <f t="shared" si="683"/>
        <v>0</v>
      </c>
      <c r="AA684" s="4">
        <f t="shared" si="683"/>
        <v>0</v>
      </c>
      <c r="AB684" s="4">
        <f t="shared" si="683"/>
        <v>0</v>
      </c>
      <c r="AC684" s="4">
        <f t="shared" si="683"/>
        <v>0</v>
      </c>
      <c r="AD684" s="4">
        <f t="shared" si="683"/>
        <v>0</v>
      </c>
      <c r="AE684" s="4" t="str">
        <f>'Form responses 1'!AN686</f>
        <v/>
      </c>
      <c r="AF684" s="4" t="str">
        <f>'Form responses 1'!AO1805</f>
        <v/>
      </c>
      <c r="AG684" s="4" t="str">
        <f>'Form responses 1'!AP1805</f>
        <v/>
      </c>
      <c r="AH684" s="4" t="str">
        <f>'Form responses 1'!AQ1805</f>
        <v/>
      </c>
      <c r="AI684" s="4" t="str">
        <f>'Form responses 1'!AR1805</f>
        <v/>
      </c>
    </row>
    <row r="685">
      <c r="A685" s="26">
        <f>'Form responses 1'!B687</f>
        <v>46073</v>
      </c>
      <c r="B685" s="4" t="str">
        <f>'Form responses 1'!AZ687</f>
        <v>ankitha.baske@capsdelivery.com</v>
      </c>
      <c r="C685" s="4" t="str">
        <f>'Form responses 1'!BR687</f>
        <v>RR Orisha Dhaba</v>
      </c>
      <c r="D685" s="4" t="str">
        <f>'Form responses 1'!AT687</f>
        <v>Meeting On Monday</v>
      </c>
      <c r="E685" s="4" t="str">
        <f>'Form responses 1'!AU687</f>
        <v>Yes</v>
      </c>
      <c r="F685" s="26">
        <f>'Form responses 1'!AX687</f>
        <v>46076</v>
      </c>
      <c r="G685" s="4" t="str">
        <f>'Form responses 1'!AY687</f>
        <v/>
      </c>
      <c r="H685" s="53" t="str">
        <f>'Form responses 1'!AW687</f>
        <v/>
      </c>
      <c r="I685" s="4" t="str">
        <f>'Form responses 1'!AS687</f>
        <v/>
      </c>
      <c r="J685" s="4" t="str">
        <f>'Form responses 1'!J687</f>
        <v/>
      </c>
      <c r="K685" s="4" t="str">
        <f>'Form responses 1'!G687</f>
        <v/>
      </c>
      <c r="L685" s="4" t="str">
        <f>'Form responses 1'!F687</f>
        <v/>
      </c>
      <c r="M685" s="4" t="str">
        <f>'Form responses 1'!U687</f>
        <v>Pavan</v>
      </c>
      <c r="N685" s="4">
        <f>'Form responses 1'!V687</f>
        <v>8897389987</v>
      </c>
      <c r="O685" s="4" t="str">
        <f>'Form responses 1'!W687</f>
        <v>Na</v>
      </c>
      <c r="P685" s="4" t="str">
        <f>'Form responses 1'!X687</f>
        <v/>
      </c>
      <c r="Q685" s="4" t="str">
        <f>'Form responses 1'!Y687</f>
        <v/>
      </c>
      <c r="R685" s="4" t="str">
        <f>'Form responses 1'!Z687</f>
        <v/>
      </c>
      <c r="S685" s="4" t="str">
        <f>'Form responses 1'!AC687</f>
        <v/>
      </c>
      <c r="T685" s="4" t="str">
        <f>'Form responses 1'!AE687</f>
        <v/>
      </c>
      <c r="U685" s="4" t="str">
        <f>'Form responses 1'!AG687</f>
        <v/>
      </c>
      <c r="V685" s="4" t="str">
        <f>'Form responses 1'!AI687</f>
        <v/>
      </c>
      <c r="W685" s="4" t="str">
        <f>'Form responses 1'!AJ687</f>
        <v/>
      </c>
      <c r="X685" s="4" t="str">
        <f>'Form responses 1'!AK687</f>
        <v/>
      </c>
      <c r="Y685" s="4">
        <f t="shared" ref="Y685:AD685" si="684">if(S685&gt;0,1,0)</f>
        <v>0</v>
      </c>
      <c r="Z685" s="4">
        <f t="shared" si="684"/>
        <v>0</v>
      </c>
      <c r="AA685" s="4">
        <f t="shared" si="684"/>
        <v>0</v>
      </c>
      <c r="AB685" s="4">
        <f t="shared" si="684"/>
        <v>0</v>
      </c>
      <c r="AC685" s="4">
        <f t="shared" si="684"/>
        <v>0</v>
      </c>
      <c r="AD685" s="4">
        <f t="shared" si="684"/>
        <v>0</v>
      </c>
      <c r="AE685" s="4" t="str">
        <f>'Form responses 1'!AN687</f>
        <v/>
      </c>
      <c r="AF685" s="4" t="str">
        <f>'Form responses 1'!AO1806</f>
        <v/>
      </c>
      <c r="AG685" s="4" t="str">
        <f>'Form responses 1'!AP1806</f>
        <v/>
      </c>
      <c r="AH685" s="4" t="str">
        <f>'Form responses 1'!AQ1806</f>
        <v/>
      </c>
      <c r="AI685" s="4" t="str">
        <f>'Form responses 1'!AR1806</f>
        <v/>
      </c>
    </row>
    <row r="686">
      <c r="A686" s="26">
        <f>'Form responses 1'!B688</f>
        <v>46073</v>
      </c>
      <c r="B686" s="4" t="str">
        <f>'Form responses 1'!AZ688</f>
        <v>ankitha.baske@capsdelivery.com</v>
      </c>
      <c r="C686" s="4" t="str">
        <f>'Form responses 1'!BR688</f>
        <v>Raju Gari Bhimavaram Biryani</v>
      </c>
      <c r="D686" s="4" t="str">
        <f>'Form responses 1'!AT688</f>
        <v>Bank Details are pending</v>
      </c>
      <c r="E686" s="4" t="str">
        <f>'Form responses 1'!AU688</f>
        <v>No</v>
      </c>
      <c r="F686" s="4" t="str">
        <f>'Form responses 1'!AX688</f>
        <v/>
      </c>
      <c r="G686" s="4" t="str">
        <f>'Form responses 1'!AY688</f>
        <v/>
      </c>
      <c r="H686" s="53" t="str">
        <f>'Form responses 1'!AW688</f>
        <v/>
      </c>
      <c r="I686" s="4" t="str">
        <f>'Form responses 1'!AS688</f>
        <v>Yes</v>
      </c>
      <c r="J686" s="4" t="str">
        <f>'Form responses 1'!J688</f>
        <v>Tier-2 (AOV &lt;400)</v>
      </c>
      <c r="K686" s="4">
        <f>'Form responses 1'!G688</f>
        <v>250</v>
      </c>
      <c r="L686" s="4">
        <f>'Form responses 1'!F688</f>
        <v>30</v>
      </c>
      <c r="M686" s="4" t="str">
        <f>'Form responses 1'!U688</f>
        <v>Ajay Kumar</v>
      </c>
      <c r="N686" s="4">
        <f>'Form responses 1'!V688</f>
        <v>8121340883</v>
      </c>
      <c r="O686" s="4" t="str">
        <f>'Form responses 1'!W688</f>
        <v>Na</v>
      </c>
      <c r="P686" s="4" t="str">
        <f>'Form responses 1'!X688</f>
        <v/>
      </c>
      <c r="Q686" s="4" t="str">
        <f>'Form responses 1'!Y688</f>
        <v/>
      </c>
      <c r="R686" s="4" t="str">
        <f>'Form responses 1'!Z688</f>
        <v/>
      </c>
      <c r="S686" s="54" t="str">
        <f>'Form responses 1'!AC688</f>
        <v>https://drive.google.com/open?id=1AIJY0WXmXEWz_SjgX4mvaV5iufPJIEDK</v>
      </c>
      <c r="T686" s="4" t="str">
        <f>'Form responses 1'!AE688</f>
        <v/>
      </c>
      <c r="U686" s="54" t="str">
        <f>'Form responses 1'!AG688</f>
        <v>https://drive.google.com/open?id=1m8Ivaol53x-yS9rTfsZUPVdUAKeXK-g6</v>
      </c>
      <c r="V686" s="4" t="str">
        <f>'Form responses 1'!AI688</f>
        <v/>
      </c>
      <c r="W686" s="4" t="str">
        <f>'Form responses 1'!AJ688</f>
        <v/>
      </c>
      <c r="X686" s="4" t="str">
        <f>'Form responses 1'!AK688</f>
        <v/>
      </c>
      <c r="Y686" s="4">
        <f t="shared" ref="Y686:AD686" si="685">if(S686&gt;0,1,0)</f>
        <v>1</v>
      </c>
      <c r="Z686" s="4">
        <f t="shared" si="685"/>
        <v>0</v>
      </c>
      <c r="AA686" s="4">
        <f t="shared" si="685"/>
        <v>1</v>
      </c>
      <c r="AB686" s="4">
        <f t="shared" si="685"/>
        <v>0</v>
      </c>
      <c r="AC686" s="4">
        <f t="shared" si="685"/>
        <v>0</v>
      </c>
      <c r="AD686" s="4">
        <f t="shared" si="685"/>
        <v>0</v>
      </c>
      <c r="AE686" s="4" t="str">
        <f>'Form responses 1'!AN688</f>
        <v/>
      </c>
      <c r="AF686" s="4" t="str">
        <f>'Form responses 1'!AO1807</f>
        <v/>
      </c>
      <c r="AG686" s="4" t="str">
        <f>'Form responses 1'!AP1807</f>
        <v/>
      </c>
      <c r="AH686" s="4" t="str">
        <f>'Form responses 1'!AQ1807</f>
        <v/>
      </c>
      <c r="AI686" s="4" t="str">
        <f>'Form responses 1'!AR1807</f>
        <v/>
      </c>
    </row>
    <row r="687">
      <c r="A687" s="26">
        <f>'Form responses 1'!B689</f>
        <v>46073</v>
      </c>
      <c r="B687" s="4" t="str">
        <f>'Form responses 1'!AZ689</f>
        <v>ankitha.baske@capsdelivery.com</v>
      </c>
      <c r="C687" s="4" t="str">
        <f>'Form responses 1'!BR689</f>
        <v>Sai Mumbai Famous</v>
      </c>
      <c r="D687" s="4" t="str">
        <f>'Form responses 1'!AT689</f>
        <v>Pan Card,Menu, Bank Acount Proof Is Pending</v>
      </c>
      <c r="E687" s="4" t="str">
        <f>'Form responses 1'!AU689</f>
        <v>Yes</v>
      </c>
      <c r="F687" s="4" t="str">
        <f>'Form responses 1'!AX689</f>
        <v/>
      </c>
      <c r="G687" s="4" t="str">
        <f>'Form responses 1'!AY689</f>
        <v/>
      </c>
      <c r="H687" s="53" t="str">
        <f>'Form responses 1'!AW689</f>
        <v/>
      </c>
      <c r="I687" s="4" t="str">
        <f>'Form responses 1'!AS689</f>
        <v>Yes</v>
      </c>
      <c r="J687" s="4" t="str">
        <f>'Form responses 1'!J689</f>
        <v>Tier-3 ( AOV&lt;200 )</v>
      </c>
      <c r="K687" s="4">
        <f>'Form responses 1'!G689</f>
        <v>150</v>
      </c>
      <c r="L687" s="4">
        <f>'Form responses 1'!F689</f>
        <v>20</v>
      </c>
      <c r="M687" s="4" t="str">
        <f>'Form responses 1'!U689</f>
        <v>Sonali Avinash Jadhav</v>
      </c>
      <c r="N687" s="4">
        <f>'Form responses 1'!V689</f>
        <v>7020226949</v>
      </c>
      <c r="O687" s="4" t="str">
        <f>'Form responses 1'!W689</f>
        <v>NA</v>
      </c>
      <c r="P687" s="4" t="str">
        <f>'Form responses 1'!X689</f>
        <v/>
      </c>
      <c r="Q687" s="4" t="str">
        <f>'Form responses 1'!Y689</f>
        <v/>
      </c>
      <c r="R687" s="4" t="str">
        <f>'Form responses 1'!Z689</f>
        <v/>
      </c>
      <c r="S687" s="54" t="str">
        <f>'Form responses 1'!AC689</f>
        <v>https://drive.google.com/open?id=1Yme6KvX9A5Q2bO4gaJvBIARQqEpdANjj</v>
      </c>
      <c r="T687" s="4" t="str">
        <f>'Form responses 1'!AE689</f>
        <v/>
      </c>
      <c r="U687" s="4" t="str">
        <f>'Form responses 1'!AG689</f>
        <v/>
      </c>
      <c r="V687" s="4" t="str">
        <f>'Form responses 1'!AI689</f>
        <v/>
      </c>
      <c r="W687" s="4" t="str">
        <f>'Form responses 1'!AJ689</f>
        <v/>
      </c>
      <c r="X687" s="4" t="str">
        <f>'Form responses 1'!AK689</f>
        <v/>
      </c>
      <c r="Y687" s="4">
        <f t="shared" ref="Y687:AD687" si="686">if(S687&gt;0,1,0)</f>
        <v>1</v>
      </c>
      <c r="Z687" s="4">
        <f t="shared" si="686"/>
        <v>0</v>
      </c>
      <c r="AA687" s="4">
        <f t="shared" si="686"/>
        <v>0</v>
      </c>
      <c r="AB687" s="4">
        <f t="shared" si="686"/>
        <v>0</v>
      </c>
      <c r="AC687" s="4">
        <f t="shared" si="686"/>
        <v>0</v>
      </c>
      <c r="AD687" s="4">
        <f t="shared" si="686"/>
        <v>0</v>
      </c>
      <c r="AE687" s="4" t="str">
        <f>'Form responses 1'!AN689</f>
        <v/>
      </c>
      <c r="AF687" s="4" t="str">
        <f>'Form responses 1'!AO1808</f>
        <v/>
      </c>
      <c r="AG687" s="4" t="str">
        <f>'Form responses 1'!AP1808</f>
        <v/>
      </c>
      <c r="AH687" s="4" t="str">
        <f>'Form responses 1'!AQ1808</f>
        <v/>
      </c>
      <c r="AI687" s="4" t="str">
        <f>'Form responses 1'!AR1808</f>
        <v/>
      </c>
    </row>
    <row r="688">
      <c r="A688" s="26">
        <f>'Form responses 1'!B690</f>
        <v>46073</v>
      </c>
      <c r="B688" s="4" t="str">
        <f>'Form responses 1'!AZ690</f>
        <v>parthive.maganti@capsdelivery.com</v>
      </c>
      <c r="C688" s="4" t="str">
        <f>'Form responses 1'!BR690</f>
        <v>Sravanthi tiffins</v>
      </c>
      <c r="D688" s="4" t="str">
        <f>'Form responses 1'!AT690</f>
        <v>Menu is pending </v>
      </c>
      <c r="E688" s="4" t="str">
        <f>'Form responses 1'!AU690</f>
        <v>No</v>
      </c>
      <c r="F688" s="4" t="str">
        <f>'Form responses 1'!AX690</f>
        <v/>
      </c>
      <c r="G688" s="4" t="str">
        <f>'Form responses 1'!AY690</f>
        <v/>
      </c>
      <c r="H688" s="53" t="str">
        <f>'Form responses 1'!AW690</f>
        <v/>
      </c>
      <c r="I688" s="4" t="str">
        <f>'Form responses 1'!AS690</f>
        <v>Yes</v>
      </c>
      <c r="J688" s="4" t="str">
        <f>'Form responses 1'!J690</f>
        <v>Tier-3 ( AOV&lt;200 )</v>
      </c>
      <c r="K688" s="4">
        <f>'Form responses 1'!G690</f>
        <v>200</v>
      </c>
      <c r="L688" s="4">
        <f>'Form responses 1'!F690</f>
        <v>50</v>
      </c>
      <c r="M688" s="4" t="str">
        <f>'Form responses 1'!U690</f>
        <v>Manoj</v>
      </c>
      <c r="N688" s="4">
        <f>'Form responses 1'!V690</f>
        <v>949473281</v>
      </c>
      <c r="O688" s="4" t="str">
        <f>'Form responses 1'!W690</f>
        <v>Na</v>
      </c>
      <c r="P688" s="4" t="str">
        <f>'Form responses 1'!X690</f>
        <v/>
      </c>
      <c r="Q688" s="4" t="str">
        <f>'Form responses 1'!Y690</f>
        <v/>
      </c>
      <c r="R688" s="4" t="str">
        <f>'Form responses 1'!Z690</f>
        <v/>
      </c>
      <c r="S688" s="54" t="str">
        <f>'Form responses 1'!AC690</f>
        <v>https://drive.google.com/open?id=13Dds29Tr2HY-QAhKBxqO6CFmA56taYhg</v>
      </c>
      <c r="T688" s="4" t="str">
        <f>'Form responses 1'!AE690</f>
        <v/>
      </c>
      <c r="U688" s="54" t="str">
        <f>'Form responses 1'!AG690</f>
        <v>https://drive.google.com/open?id=1b5A9jNsukoJijOmYkdLeDG4HYchGTAcE</v>
      </c>
      <c r="V688" s="4" t="str">
        <f>'Form responses 1'!AI690</f>
        <v/>
      </c>
      <c r="W688" s="4" t="str">
        <f>'Form responses 1'!AJ690</f>
        <v/>
      </c>
      <c r="X688" s="4" t="str">
        <f>'Form responses 1'!AK690</f>
        <v/>
      </c>
      <c r="Y688" s="4">
        <f t="shared" ref="Y688:AD688" si="687">if(S688&gt;0,1,0)</f>
        <v>1</v>
      </c>
      <c r="Z688" s="4">
        <f t="shared" si="687"/>
        <v>0</v>
      </c>
      <c r="AA688" s="4">
        <f t="shared" si="687"/>
        <v>1</v>
      </c>
      <c r="AB688" s="4">
        <f t="shared" si="687"/>
        <v>0</v>
      </c>
      <c r="AC688" s="4">
        <f t="shared" si="687"/>
        <v>0</v>
      </c>
      <c r="AD688" s="4">
        <f t="shared" si="687"/>
        <v>0</v>
      </c>
      <c r="AE688" s="4" t="str">
        <f>'Form responses 1'!AN690</f>
        <v>Union Bank</v>
      </c>
      <c r="AF688" s="4" t="str">
        <f>'Form responses 1'!AO1809</f>
        <v/>
      </c>
      <c r="AG688" s="4" t="str">
        <f>'Form responses 1'!AP1809</f>
        <v/>
      </c>
      <c r="AH688" s="4" t="str">
        <f>'Form responses 1'!AQ1809</f>
        <v/>
      </c>
      <c r="AI688" s="4" t="str">
        <f>'Form responses 1'!AR1809</f>
        <v/>
      </c>
    </row>
    <row r="689">
      <c r="A689" s="26">
        <f>'Form responses 1'!B691</f>
        <v>46073</v>
      </c>
      <c r="B689" s="4" t="str">
        <f>'Form responses 1'!AZ691</f>
        <v>chanakya.inugala@capsdelivery.com</v>
      </c>
      <c r="C689" s="4" t="str">
        <f>'Form responses 1'!BR691</f>
        <v>Orugallu Ruchulu </v>
      </c>
      <c r="D689" s="4" t="str">
        <f>'Form responses 1'!AT691</f>
        <v>Onboarded </v>
      </c>
      <c r="E689" s="4" t="str">
        <f>'Form responses 1'!AU691</f>
        <v>No</v>
      </c>
      <c r="F689" s="4" t="str">
        <f>'Form responses 1'!AX691</f>
        <v/>
      </c>
      <c r="G689" s="4" t="str">
        <f>'Form responses 1'!AY691</f>
        <v/>
      </c>
      <c r="H689" s="53" t="str">
        <f>'Form responses 1'!AW691</f>
        <v/>
      </c>
      <c r="I689" s="4" t="str">
        <f>'Form responses 1'!AS691</f>
        <v/>
      </c>
      <c r="J689" s="4" t="str">
        <f>'Form responses 1'!J691</f>
        <v/>
      </c>
      <c r="K689" s="4" t="str">
        <f>'Form responses 1'!G691</f>
        <v/>
      </c>
      <c r="L689" s="4" t="str">
        <f>'Form responses 1'!F691</f>
        <v/>
      </c>
      <c r="M689" s="4" t="str">
        <f>'Form responses 1'!U691</f>
        <v>Annapurna </v>
      </c>
      <c r="N689" s="4" t="str">
        <f>'Form responses 1'!V691</f>
        <v>+91 73373 09794</v>
      </c>
      <c r="O689" s="4" t="str">
        <f>'Form responses 1'!W691</f>
        <v>na</v>
      </c>
      <c r="P689" s="4" t="str">
        <f>'Form responses 1'!X691</f>
        <v/>
      </c>
      <c r="Q689" s="4" t="str">
        <f>'Form responses 1'!Y691</f>
        <v/>
      </c>
      <c r="R689" s="4" t="str">
        <f>'Form responses 1'!Z691</f>
        <v/>
      </c>
      <c r="S689" s="4" t="str">
        <f>'Form responses 1'!AC691</f>
        <v/>
      </c>
      <c r="T689" s="4" t="str">
        <f>'Form responses 1'!AE691</f>
        <v/>
      </c>
      <c r="U689" s="4" t="str">
        <f>'Form responses 1'!AG691</f>
        <v/>
      </c>
      <c r="V689" s="4" t="str">
        <f>'Form responses 1'!AI691</f>
        <v/>
      </c>
      <c r="W689" s="4" t="str">
        <f>'Form responses 1'!AJ691</f>
        <v/>
      </c>
      <c r="X689" s="4" t="str">
        <f>'Form responses 1'!AK691</f>
        <v/>
      </c>
      <c r="Y689" s="4">
        <f t="shared" ref="Y689:AD689" si="688">if(S689&gt;0,1,0)</f>
        <v>0</v>
      </c>
      <c r="Z689" s="4">
        <f t="shared" si="688"/>
        <v>0</v>
      </c>
      <c r="AA689" s="4">
        <f t="shared" si="688"/>
        <v>0</v>
      </c>
      <c r="AB689" s="4">
        <f t="shared" si="688"/>
        <v>0</v>
      </c>
      <c r="AC689" s="4">
        <f t="shared" si="688"/>
        <v>0</v>
      </c>
      <c r="AD689" s="4">
        <f t="shared" si="688"/>
        <v>0</v>
      </c>
      <c r="AE689" s="4" t="str">
        <f>'Form responses 1'!AN691</f>
        <v/>
      </c>
      <c r="AF689" s="4" t="str">
        <f>'Form responses 1'!AO1810</f>
        <v/>
      </c>
      <c r="AG689" s="4" t="str">
        <f>'Form responses 1'!AP1810</f>
        <v/>
      </c>
      <c r="AH689" s="4" t="str">
        <f>'Form responses 1'!AQ1810</f>
        <v/>
      </c>
      <c r="AI689" s="4" t="str">
        <f>'Form responses 1'!AR1810</f>
        <v/>
      </c>
    </row>
    <row r="690">
      <c r="A690" s="26">
        <f>'Form responses 1'!B692</f>
        <v>46073</v>
      </c>
      <c r="B690" s="4" t="str">
        <f>'Form responses 1'!AZ692</f>
        <v>chanakya.inugala@capsdelivery.com</v>
      </c>
      <c r="C690" s="4" t="str">
        <f>'Form responses 1'!BR692</f>
        <v>Sattibabu Biryani </v>
      </c>
      <c r="D690" s="4" t="str">
        <f>'Form responses 1'!AT692</f>
        <v>Na</v>
      </c>
      <c r="E690" s="4" t="str">
        <f>'Form responses 1'!AU692</f>
        <v>Yes</v>
      </c>
      <c r="F690" s="4" t="str">
        <f>'Form responses 1'!AX692</f>
        <v/>
      </c>
      <c r="G690" s="4" t="str">
        <f>'Form responses 1'!AY692</f>
        <v/>
      </c>
      <c r="H690" s="53" t="str">
        <f>'Form responses 1'!AW692</f>
        <v/>
      </c>
      <c r="I690" s="4" t="str">
        <f>'Form responses 1'!AS692</f>
        <v/>
      </c>
      <c r="J690" s="4" t="str">
        <f>'Form responses 1'!J692</f>
        <v>Tier-2 (AOV &lt;400)</v>
      </c>
      <c r="K690" s="4">
        <f>'Form responses 1'!G692</f>
        <v>300</v>
      </c>
      <c r="L690" s="4">
        <f>'Form responses 1'!F692</f>
        <v>30</v>
      </c>
      <c r="M690" s="4" t="str">
        <f>'Form responses 1'!U692</f>
        <v>Ramnath</v>
      </c>
      <c r="N690" s="4">
        <f>'Form responses 1'!V692</f>
        <v>9705995817</v>
      </c>
      <c r="O690" s="4" t="str">
        <f>'Form responses 1'!W692</f>
        <v>Na</v>
      </c>
      <c r="P690" s="4" t="str">
        <f>'Form responses 1'!X692</f>
        <v/>
      </c>
      <c r="Q690" s="4" t="str">
        <f>'Form responses 1'!Y692</f>
        <v/>
      </c>
      <c r="R690" s="4" t="str">
        <f>'Form responses 1'!Z692</f>
        <v/>
      </c>
      <c r="S690" s="4" t="str">
        <f>'Form responses 1'!AC692</f>
        <v/>
      </c>
      <c r="T690" s="4" t="str">
        <f>'Form responses 1'!AE692</f>
        <v/>
      </c>
      <c r="U690" s="4" t="str">
        <f>'Form responses 1'!AG692</f>
        <v/>
      </c>
      <c r="V690" s="4" t="str">
        <f>'Form responses 1'!AI692</f>
        <v/>
      </c>
      <c r="W690" s="4" t="str">
        <f>'Form responses 1'!AJ692</f>
        <v/>
      </c>
      <c r="X690" s="4" t="str">
        <f>'Form responses 1'!AK692</f>
        <v/>
      </c>
      <c r="Y690" s="4">
        <f t="shared" ref="Y690:AD690" si="689">if(S690&gt;0,1,0)</f>
        <v>0</v>
      </c>
      <c r="Z690" s="4">
        <f t="shared" si="689"/>
        <v>0</v>
      </c>
      <c r="AA690" s="4">
        <f t="shared" si="689"/>
        <v>0</v>
      </c>
      <c r="AB690" s="4">
        <f t="shared" si="689"/>
        <v>0</v>
      </c>
      <c r="AC690" s="4">
        <f t="shared" si="689"/>
        <v>0</v>
      </c>
      <c r="AD690" s="4">
        <f t="shared" si="689"/>
        <v>0</v>
      </c>
      <c r="AE690" s="4" t="str">
        <f>'Form responses 1'!AN692</f>
        <v/>
      </c>
      <c r="AF690" s="4" t="str">
        <f>'Form responses 1'!AO1811</f>
        <v/>
      </c>
      <c r="AG690" s="4" t="str">
        <f>'Form responses 1'!AP1811</f>
        <v/>
      </c>
      <c r="AH690" s="4" t="str">
        <f>'Form responses 1'!AQ1811</f>
        <v/>
      </c>
      <c r="AI690" s="4" t="str">
        <f>'Form responses 1'!AR1811</f>
        <v/>
      </c>
    </row>
    <row r="691">
      <c r="A691" s="26">
        <f>'Form responses 1'!B693</f>
        <v>46073</v>
      </c>
      <c r="B691" s="4" t="str">
        <f>'Form responses 1'!AZ693</f>
        <v>chanakya.inugala@capsdelivery.com</v>
      </c>
      <c r="C691" s="4" t="str">
        <f>'Form responses 1'!BR693</f>
        <v>Laxmi Foods and Meals</v>
      </c>
      <c r="D691" s="4" t="str">
        <f>'Form responses 1'!AT693</f>
        <v>Na</v>
      </c>
      <c r="E691" s="4" t="str">
        <f>'Form responses 1'!AU693</f>
        <v>Yes</v>
      </c>
      <c r="F691" s="4" t="str">
        <f>'Form responses 1'!AX693</f>
        <v/>
      </c>
      <c r="G691" s="4" t="str">
        <f>'Form responses 1'!AY693</f>
        <v/>
      </c>
      <c r="H691" s="53" t="str">
        <f>'Form responses 1'!AW693</f>
        <v/>
      </c>
      <c r="I691" s="4" t="str">
        <f>'Form responses 1'!AS693</f>
        <v/>
      </c>
      <c r="J691" s="4" t="str">
        <f>'Form responses 1'!J693</f>
        <v>Tier-3 ( AOV&lt;200 )</v>
      </c>
      <c r="K691" s="4">
        <f>'Form responses 1'!G693</f>
        <v>150</v>
      </c>
      <c r="L691" s="4">
        <f>'Form responses 1'!F693</f>
        <v>15</v>
      </c>
      <c r="M691" s="4" t="str">
        <f>'Form responses 1'!U693</f>
        <v>Ram</v>
      </c>
      <c r="N691" s="4">
        <f>'Form responses 1'!V693</f>
        <v>9000939335</v>
      </c>
      <c r="O691" s="4" t="str">
        <f>'Form responses 1'!W693</f>
        <v>Na</v>
      </c>
      <c r="P691" s="4" t="str">
        <f>'Form responses 1'!X693</f>
        <v/>
      </c>
      <c r="Q691" s="4" t="str">
        <f>'Form responses 1'!Y693</f>
        <v/>
      </c>
      <c r="R691" s="4" t="str">
        <f>'Form responses 1'!Z693</f>
        <v/>
      </c>
      <c r="S691" s="4" t="str">
        <f>'Form responses 1'!AC693</f>
        <v/>
      </c>
      <c r="T691" s="4" t="str">
        <f>'Form responses 1'!AE693</f>
        <v/>
      </c>
      <c r="U691" s="4" t="str">
        <f>'Form responses 1'!AG693</f>
        <v/>
      </c>
      <c r="V691" s="4" t="str">
        <f>'Form responses 1'!AI693</f>
        <v/>
      </c>
      <c r="W691" s="4" t="str">
        <f>'Form responses 1'!AJ693</f>
        <v/>
      </c>
      <c r="X691" s="4" t="str">
        <f>'Form responses 1'!AK693</f>
        <v/>
      </c>
      <c r="Y691" s="4">
        <f t="shared" ref="Y691:AD691" si="690">if(S691&gt;0,1,0)</f>
        <v>0</v>
      </c>
      <c r="Z691" s="4">
        <f t="shared" si="690"/>
        <v>0</v>
      </c>
      <c r="AA691" s="4">
        <f t="shared" si="690"/>
        <v>0</v>
      </c>
      <c r="AB691" s="4">
        <f t="shared" si="690"/>
        <v>0</v>
      </c>
      <c r="AC691" s="4">
        <f t="shared" si="690"/>
        <v>0</v>
      </c>
      <c r="AD691" s="4">
        <f t="shared" si="690"/>
        <v>0</v>
      </c>
      <c r="AE691" s="4" t="str">
        <f>'Form responses 1'!AN693</f>
        <v/>
      </c>
      <c r="AF691" s="4" t="str">
        <f>'Form responses 1'!AO1812</f>
        <v/>
      </c>
      <c r="AG691" s="4" t="str">
        <f>'Form responses 1'!AP1812</f>
        <v/>
      </c>
      <c r="AH691" s="4" t="str">
        <f>'Form responses 1'!AQ1812</f>
        <v/>
      </c>
      <c r="AI691" s="4" t="str">
        <f>'Form responses 1'!AR1812</f>
        <v/>
      </c>
    </row>
    <row r="692">
      <c r="A692" s="26">
        <f>'Form responses 1'!B694</f>
        <v>46073</v>
      </c>
      <c r="B692" s="4" t="str">
        <f>'Form responses 1'!AZ694</f>
        <v>parthive.maganti@capsdelivery.com</v>
      </c>
      <c r="C692" s="4" t="str">
        <f>'Form responses 1'!BR694</f>
        <v>Sravati Biryani </v>
      </c>
      <c r="D692" s="4" t="str">
        <f>'Form responses 1'!AT694</f>
        <v>Nenu pending </v>
      </c>
      <c r="E692" s="4" t="str">
        <f>'Form responses 1'!AU694</f>
        <v>No</v>
      </c>
      <c r="F692" s="4" t="str">
        <f>'Form responses 1'!AX694</f>
        <v/>
      </c>
      <c r="G692" s="4" t="str">
        <f>'Form responses 1'!AY694</f>
        <v/>
      </c>
      <c r="H692" s="53" t="str">
        <f>'Form responses 1'!AW694</f>
        <v/>
      </c>
      <c r="I692" s="4" t="str">
        <f>'Form responses 1'!AS694</f>
        <v>Yes</v>
      </c>
      <c r="J692" s="4" t="str">
        <f>'Form responses 1'!J694</f>
        <v>Tier-3 ( AOV&lt;200 )</v>
      </c>
      <c r="K692" s="4">
        <f>'Form responses 1'!G694</f>
        <v>200</v>
      </c>
      <c r="L692" s="4">
        <f>'Form responses 1'!F694</f>
        <v>50</v>
      </c>
      <c r="M692" s="4" t="str">
        <f>'Form responses 1'!U694</f>
        <v>Manoj</v>
      </c>
      <c r="N692" s="4">
        <f>'Form responses 1'!V694</f>
        <v>949473281</v>
      </c>
      <c r="O692" s="4" t="str">
        <f>'Form responses 1'!W694</f>
        <v>Na</v>
      </c>
      <c r="P692" s="4" t="str">
        <f>'Form responses 1'!X694</f>
        <v/>
      </c>
      <c r="Q692" s="4" t="str">
        <f>'Form responses 1'!Y694</f>
        <v/>
      </c>
      <c r="R692" s="4" t="str">
        <f>'Form responses 1'!Z694</f>
        <v/>
      </c>
      <c r="S692" s="54" t="str">
        <f>'Form responses 1'!AC694</f>
        <v>https://drive.google.com/open?id=1aWK762ejH9coEq15X3GXpnOEkFD9iAAt</v>
      </c>
      <c r="T692" s="4" t="str">
        <f>'Form responses 1'!AE694</f>
        <v/>
      </c>
      <c r="U692" s="54" t="str">
        <f>'Form responses 1'!AG694</f>
        <v>https://drive.google.com/open?id=1f0Y8W6ZF6kcIvmPXr5nQV3I7uDMJbg8W</v>
      </c>
      <c r="V692" s="4" t="str">
        <f>'Form responses 1'!AI694</f>
        <v/>
      </c>
      <c r="W692" s="4" t="str">
        <f>'Form responses 1'!AJ694</f>
        <v/>
      </c>
      <c r="X692" s="4" t="str">
        <f>'Form responses 1'!AK694</f>
        <v/>
      </c>
      <c r="Y692" s="4">
        <f t="shared" ref="Y692:AD692" si="691">if(S692&gt;0,1,0)</f>
        <v>1</v>
      </c>
      <c r="Z692" s="4">
        <f t="shared" si="691"/>
        <v>0</v>
      </c>
      <c r="AA692" s="4">
        <f t="shared" si="691"/>
        <v>1</v>
      </c>
      <c r="AB692" s="4">
        <f t="shared" si="691"/>
        <v>0</v>
      </c>
      <c r="AC692" s="4">
        <f t="shared" si="691"/>
        <v>0</v>
      </c>
      <c r="AD692" s="4">
        <f t="shared" si="691"/>
        <v>0</v>
      </c>
      <c r="AE692" s="4" t="str">
        <f>'Form responses 1'!AN694</f>
        <v/>
      </c>
      <c r="AF692" s="4" t="str">
        <f>'Form responses 1'!AO1813</f>
        <v/>
      </c>
      <c r="AG692" s="4" t="str">
        <f>'Form responses 1'!AP1813</f>
        <v/>
      </c>
      <c r="AH692" s="4" t="str">
        <f>'Form responses 1'!AQ1813</f>
        <v/>
      </c>
      <c r="AI692" s="4" t="str">
        <f>'Form responses 1'!AR1813</f>
        <v/>
      </c>
    </row>
    <row r="693">
      <c r="A693" s="26">
        <f>'Form responses 1'!B695</f>
        <v>46073</v>
      </c>
      <c r="B693" s="4" t="str">
        <f>'Form responses 1'!AZ695</f>
        <v>parthive.maganti@capsdelivery.com</v>
      </c>
      <c r="C693" s="4" t="str">
        <f>'Form responses 1'!BR695</f>
        <v>Sravanthi Fast Food</v>
      </c>
      <c r="D693" s="4" t="str">
        <f>'Form responses 1'!AT695</f>
        <v>Menu pending </v>
      </c>
      <c r="E693" s="4" t="str">
        <f>'Form responses 1'!AU695</f>
        <v>No</v>
      </c>
      <c r="F693" s="4" t="str">
        <f>'Form responses 1'!AX695</f>
        <v/>
      </c>
      <c r="G693" s="4" t="str">
        <f>'Form responses 1'!AY695</f>
        <v/>
      </c>
      <c r="H693" s="53" t="str">
        <f>'Form responses 1'!AW695</f>
        <v/>
      </c>
      <c r="I693" s="4" t="str">
        <f>'Form responses 1'!AS695</f>
        <v>Yes</v>
      </c>
      <c r="J693" s="4" t="str">
        <f>'Form responses 1'!J695</f>
        <v>Tier-3 ( AOV&lt;200 )</v>
      </c>
      <c r="K693" s="4">
        <f>'Form responses 1'!G695</f>
        <v>200</v>
      </c>
      <c r="L693" s="4">
        <f>'Form responses 1'!F695</f>
        <v>50</v>
      </c>
      <c r="M693" s="4" t="str">
        <f>'Form responses 1'!U695</f>
        <v>Manoj</v>
      </c>
      <c r="N693" s="4">
        <f>'Form responses 1'!V695</f>
        <v>9494739281</v>
      </c>
      <c r="O693" s="4" t="str">
        <f>'Form responses 1'!W695</f>
        <v>Na</v>
      </c>
      <c r="P693" s="4" t="str">
        <f>'Form responses 1'!X695</f>
        <v/>
      </c>
      <c r="Q693" s="4" t="str">
        <f>'Form responses 1'!Y695</f>
        <v/>
      </c>
      <c r="R693" s="4" t="str">
        <f>'Form responses 1'!Z695</f>
        <v/>
      </c>
      <c r="S693" s="54" t="str">
        <f>'Form responses 1'!AC695</f>
        <v>https://drive.google.com/open?id=1eKGwCZlTvrm9EuAd82fGvz2TcSFkMfOG</v>
      </c>
      <c r="T693" s="4" t="str">
        <f>'Form responses 1'!AE695</f>
        <v/>
      </c>
      <c r="U693" s="54" t="str">
        <f>'Form responses 1'!AG695</f>
        <v>https://drive.google.com/open?id=1TB274l4YnS8pi_PsZ8ZaMCBEWk9Ut3_6</v>
      </c>
      <c r="V693" s="4" t="str">
        <f>'Form responses 1'!AI695</f>
        <v/>
      </c>
      <c r="W693" s="4" t="str">
        <f>'Form responses 1'!AJ695</f>
        <v/>
      </c>
      <c r="X693" s="4" t="str">
        <f>'Form responses 1'!AK695</f>
        <v/>
      </c>
      <c r="Y693" s="4">
        <f t="shared" ref="Y693:AD693" si="692">if(S693&gt;0,1,0)</f>
        <v>1</v>
      </c>
      <c r="Z693" s="4">
        <f t="shared" si="692"/>
        <v>0</v>
      </c>
      <c r="AA693" s="4">
        <f t="shared" si="692"/>
        <v>1</v>
      </c>
      <c r="AB693" s="4">
        <f t="shared" si="692"/>
        <v>0</v>
      </c>
      <c r="AC693" s="4">
        <f t="shared" si="692"/>
        <v>0</v>
      </c>
      <c r="AD693" s="4">
        <f t="shared" si="692"/>
        <v>0</v>
      </c>
      <c r="AE693" s="4" t="str">
        <f>'Form responses 1'!AN695</f>
        <v/>
      </c>
      <c r="AF693" s="4" t="str">
        <f>'Form responses 1'!AO1814</f>
        <v/>
      </c>
      <c r="AG693" s="4" t="str">
        <f>'Form responses 1'!AP1814</f>
        <v/>
      </c>
      <c r="AH693" s="4" t="str">
        <f>'Form responses 1'!AQ1814</f>
        <v/>
      </c>
      <c r="AI693" s="4" t="str">
        <f>'Form responses 1'!AR1814</f>
        <v/>
      </c>
    </row>
    <row r="694">
      <c r="A694" s="26">
        <f>'Form responses 1'!B696</f>
        <v>46073</v>
      </c>
      <c r="B694" s="4" t="str">
        <f>'Form responses 1'!AZ696</f>
        <v>parthive.maganti@capsdelivery.com</v>
      </c>
      <c r="C694" s="4" t="str">
        <f>'Form responses 1'!BR696</f>
        <v>Sravanthi mess</v>
      </c>
      <c r="D694" s="4" t="str">
        <f>'Form responses 1'!AT696</f>
        <v>Menu Pending </v>
      </c>
      <c r="E694" s="4" t="str">
        <f>'Form responses 1'!AU696</f>
        <v>No</v>
      </c>
      <c r="F694" s="4" t="str">
        <f>'Form responses 1'!AX696</f>
        <v/>
      </c>
      <c r="G694" s="4" t="str">
        <f>'Form responses 1'!AY696</f>
        <v/>
      </c>
      <c r="H694" s="53" t="str">
        <f>'Form responses 1'!AW696</f>
        <v/>
      </c>
      <c r="I694" s="4" t="str">
        <f>'Form responses 1'!AS696</f>
        <v>Yes</v>
      </c>
      <c r="J694" s="4" t="str">
        <f>'Form responses 1'!J696</f>
        <v>Tier-3 ( AOV&lt;200 )</v>
      </c>
      <c r="K694" s="4">
        <f>'Form responses 1'!G696</f>
        <v>200</v>
      </c>
      <c r="L694" s="4">
        <f>'Form responses 1'!F696</f>
        <v>50</v>
      </c>
      <c r="M694" s="4" t="str">
        <f>'Form responses 1'!U696</f>
        <v>Manoj</v>
      </c>
      <c r="N694" s="4">
        <f>'Form responses 1'!V696</f>
        <v>949473281</v>
      </c>
      <c r="O694" s="4" t="str">
        <f>'Form responses 1'!W696</f>
        <v>Na</v>
      </c>
      <c r="P694" s="4" t="str">
        <f>'Form responses 1'!X696</f>
        <v/>
      </c>
      <c r="Q694" s="4" t="str">
        <f>'Form responses 1'!Y696</f>
        <v/>
      </c>
      <c r="R694" s="4" t="str">
        <f>'Form responses 1'!Z696</f>
        <v/>
      </c>
      <c r="S694" s="54" t="str">
        <f>'Form responses 1'!AC696</f>
        <v>https://drive.google.com/open?id=1N7xMX3EOZrJDHQhrTC35u_p5wcRgengC</v>
      </c>
      <c r="T694" s="4" t="str">
        <f>'Form responses 1'!AE696</f>
        <v/>
      </c>
      <c r="U694" s="54" t="str">
        <f>'Form responses 1'!AG696</f>
        <v>https://drive.google.com/open?id=1CVL6Qcvx8sy1Jhl6QyaPogFVKvB8jtAn</v>
      </c>
      <c r="V694" s="4" t="str">
        <f>'Form responses 1'!AI696</f>
        <v/>
      </c>
      <c r="W694" s="4" t="str">
        <f>'Form responses 1'!AJ696</f>
        <v/>
      </c>
      <c r="X694" s="4" t="str">
        <f>'Form responses 1'!AK696</f>
        <v/>
      </c>
      <c r="Y694" s="4">
        <f t="shared" ref="Y694:AD694" si="693">if(S694&gt;0,1,0)</f>
        <v>1</v>
      </c>
      <c r="Z694" s="4">
        <f t="shared" si="693"/>
        <v>0</v>
      </c>
      <c r="AA694" s="4">
        <f t="shared" si="693"/>
        <v>1</v>
      </c>
      <c r="AB694" s="4">
        <f t="shared" si="693"/>
        <v>0</v>
      </c>
      <c r="AC694" s="4">
        <f t="shared" si="693"/>
        <v>0</v>
      </c>
      <c r="AD694" s="4">
        <f t="shared" si="693"/>
        <v>0</v>
      </c>
      <c r="AE694" s="4" t="str">
        <f>'Form responses 1'!AN696</f>
        <v/>
      </c>
      <c r="AF694" s="4" t="str">
        <f>'Form responses 1'!AO1815</f>
        <v/>
      </c>
      <c r="AG694" s="4" t="str">
        <f>'Form responses 1'!AP1815</f>
        <v/>
      </c>
      <c r="AH694" s="4" t="str">
        <f>'Form responses 1'!AQ1815</f>
        <v/>
      </c>
      <c r="AI694" s="4" t="str">
        <f>'Form responses 1'!AR1815</f>
        <v/>
      </c>
    </row>
    <row r="695">
      <c r="A695" s="26">
        <f>'Form responses 1'!B697</f>
        <v>46073</v>
      </c>
      <c r="B695" s="4" t="str">
        <f>'Form responses 1'!AZ697</f>
        <v>ankitha.baske@capsdelivery.com</v>
      </c>
      <c r="C695" s="4" t="str">
        <f>'Form responses 1'!BR697</f>
        <v>DOSA HUT</v>
      </c>
      <c r="D695" s="4" t="str">
        <f>'Form responses 1'!AT697</f>
        <v>Owner will be available at 7pm</v>
      </c>
      <c r="E695" s="4" t="str">
        <f>'Form responses 1'!AU697</f>
        <v>Yes</v>
      </c>
      <c r="F695" s="4" t="str">
        <f>'Form responses 1'!AX697</f>
        <v/>
      </c>
      <c r="G695" s="4" t="str">
        <f>'Form responses 1'!AY697</f>
        <v/>
      </c>
      <c r="H695" s="53" t="str">
        <f>'Form responses 1'!AW697</f>
        <v/>
      </c>
      <c r="I695" s="4" t="str">
        <f>'Form responses 1'!AS697</f>
        <v/>
      </c>
      <c r="J695" s="4" t="str">
        <f>'Form responses 1'!J697</f>
        <v/>
      </c>
      <c r="K695" s="4" t="str">
        <f>'Form responses 1'!G697</f>
        <v/>
      </c>
      <c r="L695" s="4" t="str">
        <f>'Form responses 1'!F697</f>
        <v/>
      </c>
      <c r="M695" s="4" t="str">
        <f>'Form responses 1'!U697</f>
        <v>Kalayan</v>
      </c>
      <c r="N695" s="4">
        <f>'Form responses 1'!V697</f>
        <v>0</v>
      </c>
      <c r="O695" s="4" t="str">
        <f>'Form responses 1'!W697</f>
        <v>na</v>
      </c>
      <c r="P695" s="4" t="str">
        <f>'Form responses 1'!X697</f>
        <v/>
      </c>
      <c r="Q695" s="4" t="str">
        <f>'Form responses 1'!Y697</f>
        <v/>
      </c>
      <c r="R695" s="4" t="str">
        <f>'Form responses 1'!Z697</f>
        <v/>
      </c>
      <c r="S695" s="4" t="str">
        <f>'Form responses 1'!AC697</f>
        <v/>
      </c>
      <c r="T695" s="4" t="str">
        <f>'Form responses 1'!AE697</f>
        <v/>
      </c>
      <c r="U695" s="4" t="str">
        <f>'Form responses 1'!AG697</f>
        <v/>
      </c>
      <c r="V695" s="4" t="str">
        <f>'Form responses 1'!AI697</f>
        <v/>
      </c>
      <c r="W695" s="4" t="str">
        <f>'Form responses 1'!AJ697</f>
        <v/>
      </c>
      <c r="X695" s="4" t="str">
        <f>'Form responses 1'!AK697</f>
        <v/>
      </c>
      <c r="Y695" s="4">
        <f t="shared" ref="Y695:AD695" si="694">if(S695&gt;0,1,0)</f>
        <v>0</v>
      </c>
      <c r="Z695" s="4">
        <f t="shared" si="694"/>
        <v>0</v>
      </c>
      <c r="AA695" s="4">
        <f t="shared" si="694"/>
        <v>0</v>
      </c>
      <c r="AB695" s="4">
        <f t="shared" si="694"/>
        <v>0</v>
      </c>
      <c r="AC695" s="4">
        <f t="shared" si="694"/>
        <v>0</v>
      </c>
      <c r="AD695" s="4">
        <f t="shared" si="694"/>
        <v>0</v>
      </c>
      <c r="AE695" s="4" t="str">
        <f>'Form responses 1'!AN697</f>
        <v/>
      </c>
      <c r="AF695" s="4" t="str">
        <f>'Form responses 1'!AO1816</f>
        <v/>
      </c>
      <c r="AG695" s="4" t="str">
        <f>'Form responses 1'!AP1816</f>
        <v/>
      </c>
      <c r="AH695" s="4" t="str">
        <f>'Form responses 1'!AQ1816</f>
        <v/>
      </c>
      <c r="AI695" s="4" t="str">
        <f>'Form responses 1'!AR1816</f>
        <v/>
      </c>
    </row>
    <row r="696">
      <c r="A696" s="26">
        <f>'Form responses 1'!B698</f>
        <v>46073</v>
      </c>
      <c r="B696" s="4" t="str">
        <f>'Form responses 1'!AZ698</f>
        <v>ankitha.baske@capsdelivery.com</v>
      </c>
      <c r="C696" s="4" t="str">
        <f>'Form responses 1'!BR698</f>
        <v>Upasanna's Kitchen</v>
      </c>
      <c r="D696" s="4" t="str">
        <f>'Form responses 1'!AT698</f>
        <v>Owner will be available at night</v>
      </c>
      <c r="E696" s="4" t="str">
        <f>'Form responses 1'!AU698</f>
        <v>Yes</v>
      </c>
      <c r="F696" s="4" t="str">
        <f>'Form responses 1'!AX698</f>
        <v/>
      </c>
      <c r="G696" s="4" t="str">
        <f>'Form responses 1'!AY698</f>
        <v/>
      </c>
      <c r="H696" s="53" t="str">
        <f>'Form responses 1'!AW698</f>
        <v/>
      </c>
      <c r="I696" s="4" t="str">
        <f>'Form responses 1'!AS698</f>
        <v/>
      </c>
      <c r="J696" s="4" t="str">
        <f>'Form responses 1'!J698</f>
        <v/>
      </c>
      <c r="K696" s="4" t="str">
        <f>'Form responses 1'!G698</f>
        <v/>
      </c>
      <c r="L696" s="4" t="str">
        <f>'Form responses 1'!F698</f>
        <v/>
      </c>
      <c r="M696" s="4" t="str">
        <f>'Form responses 1'!U698</f>
        <v>Srinivas</v>
      </c>
      <c r="N696" s="4">
        <f>'Form responses 1'!V698</f>
        <v>8977779072</v>
      </c>
      <c r="O696" s="4" t="str">
        <f>'Form responses 1'!W698</f>
        <v>na</v>
      </c>
      <c r="P696" s="4" t="str">
        <f>'Form responses 1'!X698</f>
        <v/>
      </c>
      <c r="Q696" s="4" t="str">
        <f>'Form responses 1'!Y698</f>
        <v/>
      </c>
      <c r="R696" s="4" t="str">
        <f>'Form responses 1'!Z698</f>
        <v/>
      </c>
      <c r="S696" s="4" t="str">
        <f>'Form responses 1'!AC698</f>
        <v/>
      </c>
      <c r="T696" s="4" t="str">
        <f>'Form responses 1'!AE698</f>
        <v/>
      </c>
      <c r="U696" s="4" t="str">
        <f>'Form responses 1'!AG698</f>
        <v/>
      </c>
      <c r="V696" s="4" t="str">
        <f>'Form responses 1'!AI698</f>
        <v/>
      </c>
      <c r="W696" s="4" t="str">
        <f>'Form responses 1'!AJ698</f>
        <v/>
      </c>
      <c r="X696" s="4" t="str">
        <f>'Form responses 1'!AK698</f>
        <v/>
      </c>
      <c r="Y696" s="4">
        <f t="shared" ref="Y696:AD696" si="695">if(S696&gt;0,1,0)</f>
        <v>0</v>
      </c>
      <c r="Z696" s="4">
        <f t="shared" si="695"/>
        <v>0</v>
      </c>
      <c r="AA696" s="4">
        <f t="shared" si="695"/>
        <v>0</v>
      </c>
      <c r="AB696" s="4">
        <f t="shared" si="695"/>
        <v>0</v>
      </c>
      <c r="AC696" s="4">
        <f t="shared" si="695"/>
        <v>0</v>
      </c>
      <c r="AD696" s="4">
        <f t="shared" si="695"/>
        <v>0</v>
      </c>
      <c r="AE696" s="4" t="str">
        <f>'Form responses 1'!AN698</f>
        <v/>
      </c>
      <c r="AF696" s="4" t="str">
        <f>'Form responses 1'!AO1817</f>
        <v/>
      </c>
      <c r="AG696" s="4" t="str">
        <f>'Form responses 1'!AP1817</f>
        <v/>
      </c>
      <c r="AH696" s="4" t="str">
        <f>'Form responses 1'!AQ1817</f>
        <v/>
      </c>
      <c r="AI696" s="4" t="str">
        <f>'Form responses 1'!AR1817</f>
        <v/>
      </c>
    </row>
    <row r="697">
      <c r="A697" s="26">
        <f>'Form responses 1'!B699</f>
        <v>46073</v>
      </c>
      <c r="B697" s="4" t="str">
        <f>'Form responses 1'!AZ699</f>
        <v>ankitha.baske@capsdelivery.com</v>
      </c>
      <c r="C697" s="4" t="str">
        <f>'Form responses 1'!BR699</f>
        <v>BFC Crispy N Spicy</v>
      </c>
      <c r="D697" s="4" t="str">
        <f>'Form responses 1'!AT699</f>
        <v>Owner will be available at Night</v>
      </c>
      <c r="E697" s="4" t="str">
        <f>'Form responses 1'!AU699</f>
        <v>Yes</v>
      </c>
      <c r="F697" s="4" t="str">
        <f>'Form responses 1'!AX699</f>
        <v/>
      </c>
      <c r="G697" s="4" t="str">
        <f>'Form responses 1'!AY699</f>
        <v/>
      </c>
      <c r="H697" s="53" t="str">
        <f>'Form responses 1'!AW699</f>
        <v/>
      </c>
      <c r="I697" s="4" t="str">
        <f>'Form responses 1'!AS699</f>
        <v/>
      </c>
      <c r="J697" s="4" t="str">
        <f>'Form responses 1'!J699</f>
        <v/>
      </c>
      <c r="K697" s="4" t="str">
        <f>'Form responses 1'!G699</f>
        <v/>
      </c>
      <c r="L697" s="4" t="str">
        <f>'Form responses 1'!F699</f>
        <v/>
      </c>
      <c r="M697" s="4" t="str">
        <f>'Form responses 1'!U699</f>
        <v>na</v>
      </c>
      <c r="N697" s="4">
        <f>'Form responses 1'!V699</f>
        <v>0</v>
      </c>
      <c r="O697" s="4" t="str">
        <f>'Form responses 1'!W699</f>
        <v>na</v>
      </c>
      <c r="P697" s="4" t="str">
        <f>'Form responses 1'!X699</f>
        <v/>
      </c>
      <c r="Q697" s="4" t="str">
        <f>'Form responses 1'!Y699</f>
        <v/>
      </c>
      <c r="R697" s="4" t="str">
        <f>'Form responses 1'!Z699</f>
        <v/>
      </c>
      <c r="S697" s="4" t="str">
        <f>'Form responses 1'!AC699</f>
        <v/>
      </c>
      <c r="T697" s="4" t="str">
        <f>'Form responses 1'!AE699</f>
        <v/>
      </c>
      <c r="U697" s="4" t="str">
        <f>'Form responses 1'!AG699</f>
        <v/>
      </c>
      <c r="V697" s="4" t="str">
        <f>'Form responses 1'!AI699</f>
        <v/>
      </c>
      <c r="W697" s="4" t="str">
        <f>'Form responses 1'!AJ699</f>
        <v/>
      </c>
      <c r="X697" s="4" t="str">
        <f>'Form responses 1'!AK699</f>
        <v/>
      </c>
      <c r="Y697" s="4">
        <f t="shared" ref="Y697:AD697" si="696">if(S697&gt;0,1,0)</f>
        <v>0</v>
      </c>
      <c r="Z697" s="4">
        <f t="shared" si="696"/>
        <v>0</v>
      </c>
      <c r="AA697" s="4">
        <f t="shared" si="696"/>
        <v>0</v>
      </c>
      <c r="AB697" s="4">
        <f t="shared" si="696"/>
        <v>0</v>
      </c>
      <c r="AC697" s="4">
        <f t="shared" si="696"/>
        <v>0</v>
      </c>
      <c r="AD697" s="4">
        <f t="shared" si="696"/>
        <v>0</v>
      </c>
      <c r="AE697" s="4" t="str">
        <f>'Form responses 1'!AN699</f>
        <v/>
      </c>
      <c r="AF697" s="4" t="str">
        <f>'Form responses 1'!AO1818</f>
        <v/>
      </c>
      <c r="AG697" s="4" t="str">
        <f>'Form responses 1'!AP1818</f>
        <v/>
      </c>
      <c r="AH697" s="4" t="str">
        <f>'Form responses 1'!AQ1818</f>
        <v/>
      </c>
      <c r="AI697" s="4" t="str">
        <f>'Form responses 1'!AR1818</f>
        <v/>
      </c>
    </row>
    <row r="698">
      <c r="A698" s="26">
        <f>'Form responses 1'!B700</f>
        <v>46073</v>
      </c>
      <c r="B698" s="4" t="str">
        <f>'Form responses 1'!AZ700</f>
        <v>anisha.poddar@capsdelivery.com</v>
      </c>
      <c r="C698" s="4" t="str">
        <f>'Form responses 1'!BR700</f>
        <v>Thunderbolts</v>
      </c>
      <c r="D698" s="4" t="str">
        <f>'Form responses 1'!AT700</f>
        <v>contract signed</v>
      </c>
      <c r="E698" s="4" t="str">
        <f>'Form responses 1'!AU700</f>
        <v>No</v>
      </c>
      <c r="F698" s="4" t="str">
        <f>'Form responses 1'!AX700</f>
        <v/>
      </c>
      <c r="G698" s="4" t="str">
        <f>'Form responses 1'!AY700</f>
        <v/>
      </c>
      <c r="H698" s="53" t="str">
        <f>'Form responses 1'!AW700</f>
        <v/>
      </c>
      <c r="I698" s="4" t="str">
        <f>'Form responses 1'!AS700</f>
        <v/>
      </c>
      <c r="J698" s="4" t="str">
        <f>'Form responses 1'!J700</f>
        <v>Tier-2 (AOV &lt;400)</v>
      </c>
      <c r="K698" s="4">
        <f>'Form responses 1'!G700</f>
        <v>300</v>
      </c>
      <c r="L698" s="4">
        <f>'Form responses 1'!F700</f>
        <v>132</v>
      </c>
      <c r="M698" s="4" t="str">
        <f>'Form responses 1'!U700</f>
        <v>Abhishek Agarwal</v>
      </c>
      <c r="N698" s="4">
        <f>'Form responses 1'!V700</f>
        <v>9866650027</v>
      </c>
      <c r="O698" s="4" t="str">
        <f>'Form responses 1'!W700</f>
        <v>info@bilwa36.com</v>
      </c>
      <c r="P698" s="4" t="str">
        <f>'Form responses 1'!X700</f>
        <v/>
      </c>
      <c r="Q698" s="4" t="str">
        <f>'Form responses 1'!Y700</f>
        <v/>
      </c>
      <c r="R698" s="4" t="str">
        <f>'Form responses 1'!Z700</f>
        <v/>
      </c>
      <c r="S698" s="4" t="str">
        <f>'Form responses 1'!AC700</f>
        <v/>
      </c>
      <c r="T698" s="4" t="str">
        <f>'Form responses 1'!AE700</f>
        <v/>
      </c>
      <c r="U698" s="4" t="str">
        <f>'Form responses 1'!AG700</f>
        <v/>
      </c>
      <c r="V698" s="4" t="str">
        <f>'Form responses 1'!AI700</f>
        <v/>
      </c>
      <c r="W698" s="4" t="str">
        <f>'Form responses 1'!AJ700</f>
        <v/>
      </c>
      <c r="X698" s="4" t="str">
        <f>'Form responses 1'!AK700</f>
        <v/>
      </c>
      <c r="Y698" s="4">
        <f t="shared" ref="Y698:AD698" si="697">if(S698&gt;0,1,0)</f>
        <v>0</v>
      </c>
      <c r="Z698" s="4">
        <f t="shared" si="697"/>
        <v>0</v>
      </c>
      <c r="AA698" s="4">
        <f t="shared" si="697"/>
        <v>0</v>
      </c>
      <c r="AB698" s="4">
        <f t="shared" si="697"/>
        <v>0</v>
      </c>
      <c r="AC698" s="4">
        <f t="shared" si="697"/>
        <v>0</v>
      </c>
      <c r="AD698" s="4">
        <f t="shared" si="697"/>
        <v>0</v>
      </c>
      <c r="AE698" s="4" t="str">
        <f>'Form responses 1'!AN700</f>
        <v/>
      </c>
      <c r="AF698" s="4" t="str">
        <f>'Form responses 1'!AO1819</f>
        <v/>
      </c>
      <c r="AG698" s="4" t="str">
        <f>'Form responses 1'!AP1819</f>
        <v/>
      </c>
      <c r="AH698" s="4" t="str">
        <f>'Form responses 1'!AQ1819</f>
        <v/>
      </c>
      <c r="AI698" s="4" t="str">
        <f>'Form responses 1'!AR1819</f>
        <v/>
      </c>
    </row>
    <row r="699">
      <c r="A699" s="26">
        <f>'Form responses 1'!B701</f>
        <v>-319170</v>
      </c>
      <c r="B699" s="4" t="str">
        <f>'Form responses 1'!AZ701</f>
        <v>ankitha.baske@capsdelivery.com</v>
      </c>
      <c r="C699" s="4" t="str">
        <f>'Form responses 1'!BR701</f>
        <v>Pakka Local Food</v>
      </c>
      <c r="D699" s="4" t="str">
        <f>'Form responses 1'!AT701</f>
        <v>Owner will be available at night</v>
      </c>
      <c r="E699" s="4" t="str">
        <f>'Form responses 1'!AU701</f>
        <v>Yes</v>
      </c>
      <c r="F699" s="4" t="str">
        <f>'Form responses 1'!AX701</f>
        <v/>
      </c>
      <c r="G699" s="4" t="str">
        <f>'Form responses 1'!AY701</f>
        <v/>
      </c>
      <c r="H699" s="53" t="str">
        <f>'Form responses 1'!AW701</f>
        <v/>
      </c>
      <c r="I699" s="4" t="str">
        <f>'Form responses 1'!AS701</f>
        <v/>
      </c>
      <c r="J699" s="4" t="str">
        <f>'Form responses 1'!J701</f>
        <v/>
      </c>
      <c r="K699" s="4" t="str">
        <f>'Form responses 1'!G701</f>
        <v/>
      </c>
      <c r="L699" s="4" t="str">
        <f>'Form responses 1'!F701</f>
        <v/>
      </c>
      <c r="M699" s="4" t="str">
        <f>'Form responses 1'!U701</f>
        <v>na</v>
      </c>
      <c r="N699" s="4">
        <f>'Form responses 1'!V701</f>
        <v>0</v>
      </c>
      <c r="O699" s="4" t="str">
        <f>'Form responses 1'!W701</f>
        <v>na</v>
      </c>
      <c r="P699" s="4" t="str">
        <f>'Form responses 1'!X701</f>
        <v/>
      </c>
      <c r="Q699" s="4" t="str">
        <f>'Form responses 1'!Y701</f>
        <v/>
      </c>
      <c r="R699" s="4" t="str">
        <f>'Form responses 1'!Z701</f>
        <v/>
      </c>
      <c r="S699" s="4" t="str">
        <f>'Form responses 1'!AC701</f>
        <v/>
      </c>
      <c r="T699" s="4" t="str">
        <f>'Form responses 1'!AE701</f>
        <v/>
      </c>
      <c r="U699" s="4" t="str">
        <f>'Form responses 1'!AG701</f>
        <v/>
      </c>
      <c r="V699" s="4" t="str">
        <f>'Form responses 1'!AI701</f>
        <v/>
      </c>
      <c r="W699" s="4" t="str">
        <f>'Form responses 1'!AJ701</f>
        <v/>
      </c>
      <c r="X699" s="4" t="str">
        <f>'Form responses 1'!AK701</f>
        <v/>
      </c>
      <c r="Y699" s="4">
        <f t="shared" ref="Y699:AD699" si="698">if(S699&gt;0,1,0)</f>
        <v>0</v>
      </c>
      <c r="Z699" s="4">
        <f t="shared" si="698"/>
        <v>0</v>
      </c>
      <c r="AA699" s="4">
        <f t="shared" si="698"/>
        <v>0</v>
      </c>
      <c r="AB699" s="4">
        <f t="shared" si="698"/>
        <v>0</v>
      </c>
      <c r="AC699" s="4">
        <f t="shared" si="698"/>
        <v>0</v>
      </c>
      <c r="AD699" s="4">
        <f t="shared" si="698"/>
        <v>0</v>
      </c>
      <c r="AE699" s="4" t="str">
        <f>'Form responses 1'!AN701</f>
        <v/>
      </c>
      <c r="AF699" s="4" t="str">
        <f>'Form responses 1'!AO1820</f>
        <v/>
      </c>
      <c r="AG699" s="4" t="str">
        <f>'Form responses 1'!AP1820</f>
        <v/>
      </c>
      <c r="AH699" s="4" t="str">
        <f>'Form responses 1'!AQ1820</f>
        <v/>
      </c>
      <c r="AI699" s="4" t="str">
        <f>'Form responses 1'!AR1820</f>
        <v/>
      </c>
    </row>
    <row r="700">
      <c r="A700" s="26">
        <f>'Form responses 1'!B702</f>
        <v>46070</v>
      </c>
      <c r="B700" s="4" t="str">
        <f>'Form responses 1'!AZ702</f>
        <v>nitya.akshara@capsdelivery.com</v>
      </c>
      <c r="C700" s="4" t="str">
        <f>'Form responses 1'!BR702</f>
        <v>Amogha</v>
      </c>
      <c r="D700" s="4" t="str">
        <f>'Form responses 1'!AT702</f>
        <v>NO</v>
      </c>
      <c r="E700" s="4" t="str">
        <f>'Form responses 1'!AU702</f>
        <v>Yes</v>
      </c>
      <c r="F700" s="4" t="str">
        <f>'Form responses 1'!AX702</f>
        <v/>
      </c>
      <c r="G700" s="4" t="str">
        <f>'Form responses 1'!AY702</f>
        <v/>
      </c>
      <c r="H700" s="53" t="str">
        <f>'Form responses 1'!AW702</f>
        <v/>
      </c>
      <c r="I700" s="4" t="str">
        <f>'Form responses 1'!AS702</f>
        <v/>
      </c>
      <c r="J700" s="4" t="str">
        <f>'Form responses 1'!J702</f>
        <v/>
      </c>
      <c r="K700" s="4" t="str">
        <f>'Form responses 1'!G702</f>
        <v/>
      </c>
      <c r="L700" s="4" t="str">
        <f>'Form responses 1'!F702</f>
        <v/>
      </c>
      <c r="M700" s="4" t="str">
        <f>'Form responses 1'!U702</f>
        <v>NA</v>
      </c>
      <c r="N700" s="4" t="str">
        <f>'Form responses 1'!V702</f>
        <v>NA</v>
      </c>
      <c r="O700" s="4" t="str">
        <f>'Form responses 1'!W702</f>
        <v>NA</v>
      </c>
      <c r="P700" s="4" t="str">
        <f>'Form responses 1'!X702</f>
        <v/>
      </c>
      <c r="Q700" s="4" t="str">
        <f>'Form responses 1'!Y702</f>
        <v/>
      </c>
      <c r="R700" s="4" t="str">
        <f>'Form responses 1'!Z702</f>
        <v/>
      </c>
      <c r="S700" s="4" t="str">
        <f>'Form responses 1'!AC702</f>
        <v/>
      </c>
      <c r="T700" s="4" t="str">
        <f>'Form responses 1'!AE702</f>
        <v/>
      </c>
      <c r="U700" s="4" t="str">
        <f>'Form responses 1'!AG702</f>
        <v/>
      </c>
      <c r="V700" s="4" t="str">
        <f>'Form responses 1'!AI702</f>
        <v/>
      </c>
      <c r="W700" s="4" t="str">
        <f>'Form responses 1'!AJ702</f>
        <v/>
      </c>
      <c r="X700" s="4" t="str">
        <f>'Form responses 1'!AK702</f>
        <v/>
      </c>
      <c r="Y700" s="4">
        <f t="shared" ref="Y700:AD700" si="699">if(S700&gt;0,1,0)</f>
        <v>0</v>
      </c>
      <c r="Z700" s="4">
        <f t="shared" si="699"/>
        <v>0</v>
      </c>
      <c r="AA700" s="4">
        <f t="shared" si="699"/>
        <v>0</v>
      </c>
      <c r="AB700" s="4">
        <f t="shared" si="699"/>
        <v>0</v>
      </c>
      <c r="AC700" s="4">
        <f t="shared" si="699"/>
        <v>0</v>
      </c>
      <c r="AD700" s="4">
        <f t="shared" si="699"/>
        <v>0</v>
      </c>
      <c r="AE700" s="4" t="str">
        <f>'Form responses 1'!AN702</f>
        <v/>
      </c>
      <c r="AF700" s="4" t="str">
        <f>'Form responses 1'!AO1821</f>
        <v/>
      </c>
      <c r="AG700" s="4" t="str">
        <f>'Form responses 1'!AP1821</f>
        <v/>
      </c>
      <c r="AH700" s="4" t="str">
        <f>'Form responses 1'!AQ1821</f>
        <v/>
      </c>
      <c r="AI700" s="4" t="str">
        <f>'Form responses 1'!AR1821</f>
        <v/>
      </c>
    </row>
    <row r="701">
      <c r="A701" s="26">
        <f>'Form responses 1'!B703</f>
        <v>46070</v>
      </c>
      <c r="B701" s="4" t="str">
        <f>'Form responses 1'!AZ703</f>
        <v>nitya.akshara@capsdelivery.com</v>
      </c>
      <c r="C701" s="4" t="str">
        <f>'Form responses 1'!BR703</f>
        <v>Bayyas food hub</v>
      </c>
      <c r="D701" s="4" t="str">
        <f>'Form responses 1'!AT703</f>
        <v>NO</v>
      </c>
      <c r="E701" s="4" t="str">
        <f>'Form responses 1'!AU703</f>
        <v>Yes</v>
      </c>
      <c r="F701" s="4" t="str">
        <f>'Form responses 1'!AX703</f>
        <v/>
      </c>
      <c r="G701" s="4" t="str">
        <f>'Form responses 1'!AY703</f>
        <v/>
      </c>
      <c r="H701" s="53" t="str">
        <f>'Form responses 1'!AW703</f>
        <v/>
      </c>
      <c r="I701" s="4" t="str">
        <f>'Form responses 1'!AS703</f>
        <v/>
      </c>
      <c r="J701" s="4" t="str">
        <f>'Form responses 1'!J703</f>
        <v/>
      </c>
      <c r="K701" s="4" t="str">
        <f>'Form responses 1'!G703</f>
        <v/>
      </c>
      <c r="L701" s="4" t="str">
        <f>'Form responses 1'!F703</f>
        <v/>
      </c>
      <c r="M701" s="4" t="str">
        <f>'Form responses 1'!U703</f>
        <v>BHANU SHEKAR</v>
      </c>
      <c r="N701" s="4">
        <f>'Form responses 1'!V703</f>
        <v>9966118848</v>
      </c>
      <c r="O701" s="4" t="str">
        <f>'Form responses 1'!W703</f>
        <v>NA</v>
      </c>
      <c r="P701" s="4" t="str">
        <f>'Form responses 1'!X703</f>
        <v/>
      </c>
      <c r="Q701" s="4" t="str">
        <f>'Form responses 1'!Y703</f>
        <v/>
      </c>
      <c r="R701" s="4" t="str">
        <f>'Form responses 1'!Z703</f>
        <v/>
      </c>
      <c r="S701" s="4" t="str">
        <f>'Form responses 1'!AC703</f>
        <v/>
      </c>
      <c r="T701" s="4" t="str">
        <f>'Form responses 1'!AE703</f>
        <v/>
      </c>
      <c r="U701" s="4" t="str">
        <f>'Form responses 1'!AG703</f>
        <v/>
      </c>
      <c r="V701" s="4" t="str">
        <f>'Form responses 1'!AI703</f>
        <v/>
      </c>
      <c r="W701" s="4" t="str">
        <f>'Form responses 1'!AJ703</f>
        <v/>
      </c>
      <c r="X701" s="4" t="str">
        <f>'Form responses 1'!AK703</f>
        <v/>
      </c>
      <c r="Y701" s="4">
        <f t="shared" ref="Y701:AD701" si="700">if(S701&gt;0,1,0)</f>
        <v>0</v>
      </c>
      <c r="Z701" s="4">
        <f t="shared" si="700"/>
        <v>0</v>
      </c>
      <c r="AA701" s="4">
        <f t="shared" si="700"/>
        <v>0</v>
      </c>
      <c r="AB701" s="4">
        <f t="shared" si="700"/>
        <v>0</v>
      </c>
      <c r="AC701" s="4">
        <f t="shared" si="700"/>
        <v>0</v>
      </c>
      <c r="AD701" s="4">
        <f t="shared" si="700"/>
        <v>0</v>
      </c>
      <c r="AE701" s="4" t="str">
        <f>'Form responses 1'!AN703</f>
        <v/>
      </c>
      <c r="AF701" s="4" t="str">
        <f>'Form responses 1'!AO1822</f>
        <v/>
      </c>
      <c r="AG701" s="4" t="str">
        <f>'Form responses 1'!AP1822</f>
        <v/>
      </c>
      <c r="AH701" s="4" t="str">
        <f>'Form responses 1'!AQ1822</f>
        <v/>
      </c>
      <c r="AI701" s="4" t="str">
        <f>'Form responses 1'!AR1822</f>
        <v/>
      </c>
    </row>
    <row r="702">
      <c r="A702" s="26">
        <f>'Form responses 1'!B704</f>
        <v>46070</v>
      </c>
      <c r="B702" s="4" t="str">
        <f>'Form responses 1'!AZ704</f>
        <v>nitya.akshara@capsdelivery.com</v>
      </c>
      <c r="C702" s="4" t="str">
        <f>'Form responses 1'!BR704</f>
        <v>SK FOODS</v>
      </c>
      <c r="D702" s="4" t="str">
        <f>'Form responses 1'!AT704</f>
        <v>no</v>
      </c>
      <c r="E702" s="4" t="str">
        <f>'Form responses 1'!AU704</f>
        <v>Yes</v>
      </c>
      <c r="F702" s="4" t="str">
        <f>'Form responses 1'!AX704</f>
        <v/>
      </c>
      <c r="G702" s="4" t="str">
        <f>'Form responses 1'!AY704</f>
        <v/>
      </c>
      <c r="H702" s="53" t="str">
        <f>'Form responses 1'!AW704</f>
        <v/>
      </c>
      <c r="I702" s="4" t="str">
        <f>'Form responses 1'!AS704</f>
        <v/>
      </c>
      <c r="J702" s="4" t="str">
        <f>'Form responses 1'!J704</f>
        <v/>
      </c>
      <c r="K702" s="4" t="str">
        <f>'Form responses 1'!G704</f>
        <v/>
      </c>
      <c r="L702" s="4" t="str">
        <f>'Form responses 1'!F704</f>
        <v/>
      </c>
      <c r="M702" s="4" t="str">
        <f>'Form responses 1'!U704</f>
        <v>Gopinath</v>
      </c>
      <c r="N702" s="4">
        <f>'Form responses 1'!V704</f>
        <v>8008783939</v>
      </c>
      <c r="O702" s="4" t="str">
        <f>'Form responses 1'!W704</f>
        <v>na</v>
      </c>
      <c r="P702" s="4" t="str">
        <f>'Form responses 1'!X704</f>
        <v/>
      </c>
      <c r="Q702" s="4" t="str">
        <f>'Form responses 1'!Y704</f>
        <v/>
      </c>
      <c r="R702" s="4" t="str">
        <f>'Form responses 1'!Z704</f>
        <v/>
      </c>
      <c r="S702" s="4" t="str">
        <f>'Form responses 1'!AC704</f>
        <v/>
      </c>
      <c r="T702" s="4" t="str">
        <f>'Form responses 1'!AE704</f>
        <v/>
      </c>
      <c r="U702" s="4" t="str">
        <f>'Form responses 1'!AG704</f>
        <v/>
      </c>
      <c r="V702" s="4" t="str">
        <f>'Form responses 1'!AI704</f>
        <v/>
      </c>
      <c r="W702" s="4" t="str">
        <f>'Form responses 1'!AJ704</f>
        <v/>
      </c>
      <c r="X702" s="4" t="str">
        <f>'Form responses 1'!AK704</f>
        <v/>
      </c>
      <c r="Y702" s="4">
        <f t="shared" ref="Y702:AD702" si="701">if(S702&gt;0,1,0)</f>
        <v>0</v>
      </c>
      <c r="Z702" s="4">
        <f t="shared" si="701"/>
        <v>0</v>
      </c>
      <c r="AA702" s="4">
        <f t="shared" si="701"/>
        <v>0</v>
      </c>
      <c r="AB702" s="4">
        <f t="shared" si="701"/>
        <v>0</v>
      </c>
      <c r="AC702" s="4">
        <f t="shared" si="701"/>
        <v>0</v>
      </c>
      <c r="AD702" s="4">
        <f t="shared" si="701"/>
        <v>0</v>
      </c>
      <c r="AE702" s="4" t="str">
        <f>'Form responses 1'!AN704</f>
        <v/>
      </c>
      <c r="AF702" s="4" t="str">
        <f>'Form responses 1'!AO1823</f>
        <v/>
      </c>
      <c r="AG702" s="4" t="str">
        <f>'Form responses 1'!AP1823</f>
        <v/>
      </c>
      <c r="AH702" s="4" t="str">
        <f>'Form responses 1'!AQ1823</f>
        <v/>
      </c>
      <c r="AI702" s="4" t="str">
        <f>'Form responses 1'!AR1823</f>
        <v/>
      </c>
    </row>
    <row r="703">
      <c r="A703" s="26">
        <f>'Form responses 1'!B705</f>
        <v>46070</v>
      </c>
      <c r="B703" s="4" t="str">
        <f>'Form responses 1'!AZ705</f>
        <v>nitya.akshara@capsdelivery.com</v>
      </c>
      <c r="C703" s="4" t="str">
        <f>'Form responses 1'!BR705</f>
        <v>Contico</v>
      </c>
      <c r="D703" s="4" t="str">
        <f>'Form responses 1'!AT705</f>
        <v>NO</v>
      </c>
      <c r="E703" s="4" t="str">
        <f>'Form responses 1'!AU705</f>
        <v>Yes</v>
      </c>
      <c r="F703" s="4" t="str">
        <f>'Form responses 1'!AX705</f>
        <v/>
      </c>
      <c r="G703" s="4" t="str">
        <f>'Form responses 1'!AY705</f>
        <v/>
      </c>
      <c r="H703" s="53" t="str">
        <f>'Form responses 1'!AW705</f>
        <v/>
      </c>
      <c r="I703" s="4" t="str">
        <f>'Form responses 1'!AS705</f>
        <v/>
      </c>
      <c r="J703" s="4" t="str">
        <f>'Form responses 1'!J705</f>
        <v/>
      </c>
      <c r="K703" s="4" t="str">
        <f>'Form responses 1'!G705</f>
        <v/>
      </c>
      <c r="L703" s="4" t="str">
        <f>'Form responses 1'!F705</f>
        <v/>
      </c>
      <c r="M703" s="4" t="str">
        <f>'Form responses 1'!U705</f>
        <v>Ahan</v>
      </c>
      <c r="N703" s="4">
        <f>'Form responses 1'!V705</f>
        <v>8179777635</v>
      </c>
      <c r="O703" s="4" t="str">
        <f>'Form responses 1'!W705</f>
        <v>NA</v>
      </c>
      <c r="P703" s="4" t="str">
        <f>'Form responses 1'!X705</f>
        <v/>
      </c>
      <c r="Q703" s="4" t="str">
        <f>'Form responses 1'!Y705</f>
        <v/>
      </c>
      <c r="R703" s="4" t="str">
        <f>'Form responses 1'!Z705</f>
        <v/>
      </c>
      <c r="S703" s="4" t="str">
        <f>'Form responses 1'!AC705</f>
        <v/>
      </c>
      <c r="T703" s="4" t="str">
        <f>'Form responses 1'!AE705</f>
        <v/>
      </c>
      <c r="U703" s="4" t="str">
        <f>'Form responses 1'!AG705</f>
        <v/>
      </c>
      <c r="V703" s="4" t="str">
        <f>'Form responses 1'!AI705</f>
        <v/>
      </c>
      <c r="W703" s="4" t="str">
        <f>'Form responses 1'!AJ705</f>
        <v/>
      </c>
      <c r="X703" s="4" t="str">
        <f>'Form responses 1'!AK705</f>
        <v/>
      </c>
      <c r="Y703" s="4">
        <f t="shared" ref="Y703:AD703" si="702">if(S703&gt;0,1,0)</f>
        <v>0</v>
      </c>
      <c r="Z703" s="4">
        <f t="shared" si="702"/>
        <v>0</v>
      </c>
      <c r="AA703" s="4">
        <f t="shared" si="702"/>
        <v>0</v>
      </c>
      <c r="AB703" s="4">
        <f t="shared" si="702"/>
        <v>0</v>
      </c>
      <c r="AC703" s="4">
        <f t="shared" si="702"/>
        <v>0</v>
      </c>
      <c r="AD703" s="4">
        <f t="shared" si="702"/>
        <v>0</v>
      </c>
      <c r="AE703" s="4" t="str">
        <f>'Form responses 1'!AN705</f>
        <v/>
      </c>
      <c r="AF703" s="4" t="str">
        <f>'Form responses 1'!AO1824</f>
        <v/>
      </c>
      <c r="AG703" s="4" t="str">
        <f>'Form responses 1'!AP1824</f>
        <v/>
      </c>
      <c r="AH703" s="4" t="str">
        <f>'Form responses 1'!AQ1824</f>
        <v/>
      </c>
      <c r="AI703" s="4" t="str">
        <f>'Form responses 1'!AR1824</f>
        <v/>
      </c>
    </row>
    <row r="704">
      <c r="A704" s="26">
        <f>'Form responses 1'!B706</f>
        <v>46070</v>
      </c>
      <c r="B704" s="4" t="str">
        <f>'Form responses 1'!AZ706</f>
        <v>nitya.akshara@capsdelivery.com</v>
      </c>
      <c r="C704" s="4" t="str">
        <f>'Form responses 1'!BR706</f>
        <v>Yum Crumble Waffle</v>
      </c>
      <c r="D704" s="4" t="str">
        <f>'Form responses 1'!AT706</f>
        <v>NO</v>
      </c>
      <c r="E704" s="4" t="str">
        <f>'Form responses 1'!AU706</f>
        <v>Yes</v>
      </c>
      <c r="F704" s="4" t="str">
        <f>'Form responses 1'!AX706</f>
        <v/>
      </c>
      <c r="G704" s="4" t="str">
        <f>'Form responses 1'!AY706</f>
        <v/>
      </c>
      <c r="H704" s="53" t="str">
        <f>'Form responses 1'!AW706</f>
        <v/>
      </c>
      <c r="I704" s="4" t="str">
        <f>'Form responses 1'!AS706</f>
        <v/>
      </c>
      <c r="J704" s="4" t="str">
        <f>'Form responses 1'!J706</f>
        <v/>
      </c>
      <c r="K704" s="4" t="str">
        <f>'Form responses 1'!G706</f>
        <v/>
      </c>
      <c r="L704" s="4" t="str">
        <f>'Form responses 1'!F706</f>
        <v/>
      </c>
      <c r="M704" s="4" t="str">
        <f>'Form responses 1'!U706</f>
        <v>NA</v>
      </c>
      <c r="N704" s="4" t="str">
        <f>'Form responses 1'!V706</f>
        <v>NA</v>
      </c>
      <c r="O704" s="4" t="str">
        <f>'Form responses 1'!W706</f>
        <v>NA</v>
      </c>
      <c r="P704" s="4" t="str">
        <f>'Form responses 1'!X706</f>
        <v/>
      </c>
      <c r="Q704" s="4" t="str">
        <f>'Form responses 1'!Y706</f>
        <v/>
      </c>
      <c r="R704" s="4" t="str">
        <f>'Form responses 1'!Z706</f>
        <v/>
      </c>
      <c r="S704" s="4" t="str">
        <f>'Form responses 1'!AC706</f>
        <v/>
      </c>
      <c r="T704" s="4" t="str">
        <f>'Form responses 1'!AE706</f>
        <v/>
      </c>
      <c r="U704" s="4" t="str">
        <f>'Form responses 1'!AG706</f>
        <v/>
      </c>
      <c r="V704" s="4" t="str">
        <f>'Form responses 1'!AI706</f>
        <v/>
      </c>
      <c r="W704" s="4" t="str">
        <f>'Form responses 1'!AJ706</f>
        <v/>
      </c>
      <c r="X704" s="4" t="str">
        <f>'Form responses 1'!AK706</f>
        <v/>
      </c>
      <c r="Y704" s="4">
        <f t="shared" ref="Y704:AD704" si="703">if(S704&gt;0,1,0)</f>
        <v>0</v>
      </c>
      <c r="Z704" s="4">
        <f t="shared" si="703"/>
        <v>0</v>
      </c>
      <c r="AA704" s="4">
        <f t="shared" si="703"/>
        <v>0</v>
      </c>
      <c r="AB704" s="4">
        <f t="shared" si="703"/>
        <v>0</v>
      </c>
      <c r="AC704" s="4">
        <f t="shared" si="703"/>
        <v>0</v>
      </c>
      <c r="AD704" s="4">
        <f t="shared" si="703"/>
        <v>0</v>
      </c>
      <c r="AE704" s="4" t="str">
        <f>'Form responses 1'!AN706</f>
        <v/>
      </c>
      <c r="AF704" s="4" t="str">
        <f>'Form responses 1'!AO1825</f>
        <v/>
      </c>
      <c r="AG704" s="4" t="str">
        <f>'Form responses 1'!AP1825</f>
        <v/>
      </c>
      <c r="AH704" s="4" t="str">
        <f>'Form responses 1'!AQ1825</f>
        <v/>
      </c>
      <c r="AI704" s="4" t="str">
        <f>'Form responses 1'!AR1825</f>
        <v/>
      </c>
    </row>
    <row r="705">
      <c r="A705" s="26">
        <f>'Form responses 1'!B707</f>
        <v>46072</v>
      </c>
      <c r="B705" s="4" t="str">
        <f>'Form responses 1'!AZ707</f>
        <v>nitya.akshara@capsdelivery.com</v>
      </c>
      <c r="C705" s="4" t="str">
        <f>'Form responses 1'!BR707</f>
        <v>Tiffin xpressMohammed yaser</v>
      </c>
      <c r="D705" s="4" t="str">
        <f>'Form responses 1'!AT707</f>
        <v>ONBOARDED</v>
      </c>
      <c r="E705" s="4" t="str">
        <f>'Form responses 1'!AU707</f>
        <v>No</v>
      </c>
      <c r="F705" s="4" t="str">
        <f>'Form responses 1'!AX707</f>
        <v/>
      </c>
      <c r="G705" s="4" t="str">
        <f>'Form responses 1'!AY707</f>
        <v/>
      </c>
      <c r="H705" s="53" t="str">
        <f>'Form responses 1'!AW707</f>
        <v/>
      </c>
      <c r="I705" s="4" t="str">
        <f>'Form responses 1'!AS707</f>
        <v/>
      </c>
      <c r="J705" s="4" t="str">
        <f>'Form responses 1'!J707</f>
        <v/>
      </c>
      <c r="K705" s="4" t="str">
        <f>'Form responses 1'!G707</f>
        <v/>
      </c>
      <c r="L705" s="4" t="str">
        <f>'Form responses 1'!F707</f>
        <v/>
      </c>
      <c r="M705" s="4" t="str">
        <f>'Form responses 1'!U707</f>
        <v>Ahmed</v>
      </c>
      <c r="N705" s="4">
        <f>'Form responses 1'!V707</f>
        <v>7995520794</v>
      </c>
      <c r="O705" s="4" t="str">
        <f>'Form responses 1'!W707</f>
        <v>NA</v>
      </c>
      <c r="P705" s="4" t="str">
        <f>'Form responses 1'!X707</f>
        <v/>
      </c>
      <c r="Q705" s="4" t="str">
        <f>'Form responses 1'!Y707</f>
        <v/>
      </c>
      <c r="R705" s="4" t="str">
        <f>'Form responses 1'!Z707</f>
        <v/>
      </c>
      <c r="S705" s="4" t="str">
        <f>'Form responses 1'!AC707</f>
        <v/>
      </c>
      <c r="T705" s="4" t="str">
        <f>'Form responses 1'!AE707</f>
        <v/>
      </c>
      <c r="U705" s="4" t="str">
        <f>'Form responses 1'!AG707</f>
        <v/>
      </c>
      <c r="V705" s="4" t="str">
        <f>'Form responses 1'!AI707</f>
        <v/>
      </c>
      <c r="W705" s="4" t="str">
        <f>'Form responses 1'!AJ707</f>
        <v/>
      </c>
      <c r="X705" s="4" t="str">
        <f>'Form responses 1'!AK707</f>
        <v/>
      </c>
      <c r="Y705" s="4">
        <f t="shared" ref="Y705:AD705" si="704">if(S705&gt;0,1,0)</f>
        <v>0</v>
      </c>
      <c r="Z705" s="4">
        <f t="shared" si="704"/>
        <v>0</v>
      </c>
      <c r="AA705" s="4">
        <f t="shared" si="704"/>
        <v>0</v>
      </c>
      <c r="AB705" s="4">
        <f t="shared" si="704"/>
        <v>0</v>
      </c>
      <c r="AC705" s="4">
        <f t="shared" si="704"/>
        <v>0</v>
      </c>
      <c r="AD705" s="4">
        <f t="shared" si="704"/>
        <v>0</v>
      </c>
      <c r="AE705" s="4" t="str">
        <f>'Form responses 1'!AN707</f>
        <v/>
      </c>
      <c r="AF705" s="4" t="str">
        <f>'Form responses 1'!AO1826</f>
        <v/>
      </c>
      <c r="AG705" s="4" t="str">
        <f>'Form responses 1'!AP1826</f>
        <v/>
      </c>
      <c r="AH705" s="4" t="str">
        <f>'Form responses 1'!AQ1826</f>
        <v/>
      </c>
      <c r="AI705" s="4" t="str">
        <f>'Form responses 1'!AR1826</f>
        <v/>
      </c>
    </row>
    <row r="706">
      <c r="A706" s="26">
        <f>'Form responses 1'!B708</f>
        <v>46073</v>
      </c>
      <c r="B706" s="4" t="str">
        <f>'Form responses 1'!AZ708</f>
        <v>nitya.akshara@capsdelivery.com</v>
      </c>
      <c r="C706" s="4" t="str">
        <f>'Form responses 1'!BR708</f>
        <v>Southern Kithchen</v>
      </c>
      <c r="D706" s="4" t="str">
        <f>'Form responses 1'!AT708</f>
        <v>NO</v>
      </c>
      <c r="E706" s="4" t="str">
        <f>'Form responses 1'!AU708</f>
        <v>Yes</v>
      </c>
      <c r="F706" s="4" t="str">
        <f>'Form responses 1'!AX708</f>
        <v/>
      </c>
      <c r="G706" s="4" t="str">
        <f>'Form responses 1'!AY708</f>
        <v/>
      </c>
      <c r="H706" s="53" t="str">
        <f>'Form responses 1'!AW708</f>
        <v/>
      </c>
      <c r="I706" s="4" t="str">
        <f>'Form responses 1'!AS708</f>
        <v/>
      </c>
      <c r="J706" s="4" t="str">
        <f>'Form responses 1'!J708</f>
        <v/>
      </c>
      <c r="K706" s="4" t="str">
        <f>'Form responses 1'!G708</f>
        <v/>
      </c>
      <c r="L706" s="4" t="str">
        <f>'Form responses 1'!F708</f>
        <v/>
      </c>
      <c r="M706" s="4" t="str">
        <f>'Form responses 1'!U708</f>
        <v>Ganesh</v>
      </c>
      <c r="N706" s="4">
        <f>'Form responses 1'!V708</f>
        <v>8978265222</v>
      </c>
      <c r="O706" s="4" t="str">
        <f>'Form responses 1'!W708</f>
        <v>NA</v>
      </c>
      <c r="P706" s="4" t="str">
        <f>'Form responses 1'!X708</f>
        <v/>
      </c>
      <c r="Q706" s="4" t="str">
        <f>'Form responses 1'!Y708</f>
        <v/>
      </c>
      <c r="R706" s="4" t="str">
        <f>'Form responses 1'!Z708</f>
        <v/>
      </c>
      <c r="S706" s="4" t="str">
        <f>'Form responses 1'!AC708</f>
        <v/>
      </c>
      <c r="T706" s="4" t="str">
        <f>'Form responses 1'!AE708</f>
        <v/>
      </c>
      <c r="U706" s="4" t="str">
        <f>'Form responses 1'!AG708</f>
        <v/>
      </c>
      <c r="V706" s="4" t="str">
        <f>'Form responses 1'!AI708</f>
        <v/>
      </c>
      <c r="W706" s="4" t="str">
        <f>'Form responses 1'!AJ708</f>
        <v/>
      </c>
      <c r="X706" s="4" t="str">
        <f>'Form responses 1'!AK708</f>
        <v/>
      </c>
      <c r="Y706" s="4">
        <f t="shared" ref="Y706:AD706" si="705">if(S706&gt;0,1,0)</f>
        <v>0</v>
      </c>
      <c r="Z706" s="4">
        <f t="shared" si="705"/>
        <v>0</v>
      </c>
      <c r="AA706" s="4">
        <f t="shared" si="705"/>
        <v>0</v>
      </c>
      <c r="AB706" s="4">
        <f t="shared" si="705"/>
        <v>0</v>
      </c>
      <c r="AC706" s="4">
        <f t="shared" si="705"/>
        <v>0</v>
      </c>
      <c r="AD706" s="4">
        <f t="shared" si="705"/>
        <v>0</v>
      </c>
      <c r="AE706" s="4" t="str">
        <f>'Form responses 1'!AN708</f>
        <v/>
      </c>
      <c r="AF706" s="4" t="str">
        <f>'Form responses 1'!AO1827</f>
        <v/>
      </c>
      <c r="AG706" s="4" t="str">
        <f>'Form responses 1'!AP1827</f>
        <v/>
      </c>
      <c r="AH706" s="4" t="str">
        <f>'Form responses 1'!AQ1827</f>
        <v/>
      </c>
      <c r="AI706" s="4" t="str">
        <f>'Form responses 1'!AR1827</f>
        <v/>
      </c>
    </row>
    <row r="707">
      <c r="A707" s="26">
        <f>'Form responses 1'!B709</f>
        <v>46073</v>
      </c>
      <c r="B707" s="4" t="str">
        <f>'Form responses 1'!AZ709</f>
        <v>nitya.akshara@capsdelivery.com</v>
      </c>
      <c r="C707" s="4" t="str">
        <f>'Form responses 1'!BR709</f>
        <v>Victoria Tiffins and Fast food</v>
      </c>
      <c r="D707" s="4" t="str">
        <f>'Form responses 1'!AT709</f>
        <v>ONBOARDED</v>
      </c>
      <c r="E707" s="4" t="str">
        <f>'Form responses 1'!AU709</f>
        <v>No</v>
      </c>
      <c r="F707" s="4" t="str">
        <f>'Form responses 1'!AX709</f>
        <v/>
      </c>
      <c r="G707" s="4" t="str">
        <f>'Form responses 1'!AY709</f>
        <v/>
      </c>
      <c r="H707" s="53" t="str">
        <f>'Form responses 1'!AW709</f>
        <v/>
      </c>
      <c r="I707" s="4" t="str">
        <f>'Form responses 1'!AS709</f>
        <v/>
      </c>
      <c r="J707" s="4" t="str">
        <f>'Form responses 1'!J709</f>
        <v>Tier-3 ( AOV&lt;200 )</v>
      </c>
      <c r="K707" s="4">
        <f>'Form responses 1'!G709</f>
        <v>150</v>
      </c>
      <c r="L707" s="4">
        <f>'Form responses 1'!F709</f>
        <v>1</v>
      </c>
      <c r="M707" s="4" t="str">
        <f>'Form responses 1'!U709</f>
        <v>NIhar</v>
      </c>
      <c r="N707" s="4">
        <f>'Form responses 1'!V709</f>
        <v>8007452222</v>
      </c>
      <c r="O707" s="4" t="str">
        <f>'Form responses 1'!W709</f>
        <v>NA</v>
      </c>
      <c r="P707" s="4" t="str">
        <f>'Form responses 1'!X709</f>
        <v/>
      </c>
      <c r="Q707" s="4" t="str">
        <f>'Form responses 1'!Y709</f>
        <v/>
      </c>
      <c r="R707" s="4" t="str">
        <f>'Form responses 1'!Z709</f>
        <v/>
      </c>
      <c r="S707" s="4" t="str">
        <f>'Form responses 1'!AC709</f>
        <v/>
      </c>
      <c r="T707" s="4" t="str">
        <f>'Form responses 1'!AE709</f>
        <v/>
      </c>
      <c r="U707" s="4" t="str">
        <f>'Form responses 1'!AG709</f>
        <v/>
      </c>
      <c r="V707" s="4" t="str">
        <f>'Form responses 1'!AI709</f>
        <v/>
      </c>
      <c r="W707" s="4" t="str">
        <f>'Form responses 1'!AJ709</f>
        <v/>
      </c>
      <c r="X707" s="4" t="str">
        <f>'Form responses 1'!AK709</f>
        <v/>
      </c>
      <c r="Y707" s="4">
        <f t="shared" ref="Y707:AD707" si="706">if(S707&gt;0,1,0)</f>
        <v>0</v>
      </c>
      <c r="Z707" s="4">
        <f t="shared" si="706"/>
        <v>0</v>
      </c>
      <c r="AA707" s="4">
        <f t="shared" si="706"/>
        <v>0</v>
      </c>
      <c r="AB707" s="4">
        <f t="shared" si="706"/>
        <v>0</v>
      </c>
      <c r="AC707" s="4">
        <f t="shared" si="706"/>
        <v>0</v>
      </c>
      <c r="AD707" s="4">
        <f t="shared" si="706"/>
        <v>0</v>
      </c>
      <c r="AE707" s="4" t="str">
        <f>'Form responses 1'!AN709</f>
        <v/>
      </c>
      <c r="AF707" s="4" t="str">
        <f>'Form responses 1'!AO1828</f>
        <v/>
      </c>
      <c r="AG707" s="4" t="str">
        <f>'Form responses 1'!AP1828</f>
        <v/>
      </c>
      <c r="AH707" s="4" t="str">
        <f>'Form responses 1'!AQ1828</f>
        <v/>
      </c>
      <c r="AI707" s="4" t="str">
        <f>'Form responses 1'!AR1828</f>
        <v/>
      </c>
    </row>
    <row r="708">
      <c r="A708" s="26">
        <f>'Form responses 1'!B710</f>
        <v>46069</v>
      </c>
      <c r="B708" s="4" t="str">
        <f>'Form responses 1'!AZ710</f>
        <v>madhumitha.sonnakula@capsdelivery.com</v>
      </c>
      <c r="C708" s="4" t="str">
        <f>'Form responses 1'!BR710</f>
        <v>kings arabian </v>
      </c>
      <c r="D708" s="4" t="str">
        <f>'Form responses 1'!AT710</f>
        <v>not intersted</v>
      </c>
      <c r="E708" s="4" t="str">
        <f>'Form responses 1'!AU710</f>
        <v>No</v>
      </c>
      <c r="F708" s="4" t="str">
        <f>'Form responses 1'!AX710</f>
        <v/>
      </c>
      <c r="G708" s="4" t="str">
        <f>'Form responses 1'!AY710</f>
        <v/>
      </c>
      <c r="H708" s="53" t="str">
        <f>'Form responses 1'!AW710</f>
        <v/>
      </c>
      <c r="I708" s="4" t="str">
        <f>'Form responses 1'!AS710</f>
        <v/>
      </c>
      <c r="J708" s="4" t="str">
        <f>'Form responses 1'!J710</f>
        <v/>
      </c>
      <c r="K708" s="4" t="str">
        <f>'Form responses 1'!G710</f>
        <v/>
      </c>
      <c r="L708" s="4" t="str">
        <f>'Form responses 1'!F710</f>
        <v/>
      </c>
      <c r="M708" s="4" t="str">
        <f>'Form responses 1'!U710</f>
        <v>na</v>
      </c>
      <c r="N708" s="4" t="str">
        <f>'Form responses 1'!V710</f>
        <v>na</v>
      </c>
      <c r="O708" s="4" t="str">
        <f>'Form responses 1'!W710</f>
        <v>na</v>
      </c>
      <c r="P708" s="4" t="str">
        <f>'Form responses 1'!X710</f>
        <v/>
      </c>
      <c r="Q708" s="4" t="str">
        <f>'Form responses 1'!Y710</f>
        <v/>
      </c>
      <c r="R708" s="4" t="str">
        <f>'Form responses 1'!Z710</f>
        <v/>
      </c>
      <c r="S708" s="4" t="str">
        <f>'Form responses 1'!AC710</f>
        <v/>
      </c>
      <c r="T708" s="4" t="str">
        <f>'Form responses 1'!AE710</f>
        <v/>
      </c>
      <c r="U708" s="4" t="str">
        <f>'Form responses 1'!AG710</f>
        <v/>
      </c>
      <c r="V708" s="4" t="str">
        <f>'Form responses 1'!AI710</f>
        <v/>
      </c>
      <c r="W708" s="4" t="str">
        <f>'Form responses 1'!AJ710</f>
        <v/>
      </c>
      <c r="X708" s="4" t="str">
        <f>'Form responses 1'!AK710</f>
        <v/>
      </c>
      <c r="Y708" s="4">
        <f t="shared" ref="Y708:AD708" si="707">if(S708&gt;0,1,0)</f>
        <v>0</v>
      </c>
      <c r="Z708" s="4">
        <f t="shared" si="707"/>
        <v>0</v>
      </c>
      <c r="AA708" s="4">
        <f t="shared" si="707"/>
        <v>0</v>
      </c>
      <c r="AB708" s="4">
        <f t="shared" si="707"/>
        <v>0</v>
      </c>
      <c r="AC708" s="4">
        <f t="shared" si="707"/>
        <v>0</v>
      </c>
      <c r="AD708" s="4">
        <f t="shared" si="707"/>
        <v>0</v>
      </c>
      <c r="AE708" s="4" t="str">
        <f>'Form responses 1'!AN710</f>
        <v/>
      </c>
      <c r="AF708" s="4" t="str">
        <f>'Form responses 1'!AO1829</f>
        <v/>
      </c>
      <c r="AG708" s="4" t="str">
        <f>'Form responses 1'!AP1829</f>
        <v/>
      </c>
      <c r="AH708" s="4" t="str">
        <f>'Form responses 1'!AQ1829</f>
        <v/>
      </c>
      <c r="AI708" s="4" t="str">
        <f>'Form responses 1'!AR1829</f>
        <v/>
      </c>
    </row>
    <row r="709">
      <c r="A709" s="26">
        <f>'Form responses 1'!B711</f>
        <v>46069</v>
      </c>
      <c r="B709" s="4" t="str">
        <f>'Form responses 1'!AZ711</f>
        <v>madhumitha.sonnakula@capsdelivery.com</v>
      </c>
      <c r="C709" s="4" t="str">
        <f>'Form responses 1'!BR711</f>
        <v>sri ramana maharshi food court </v>
      </c>
      <c r="D709" s="4" t="str">
        <f>'Form responses 1'!AT711</f>
        <v>onboarded</v>
      </c>
      <c r="E709" s="4" t="str">
        <f>'Form responses 1'!AU711</f>
        <v>No</v>
      </c>
      <c r="F709" s="4" t="str">
        <f>'Form responses 1'!AX711</f>
        <v/>
      </c>
      <c r="G709" s="4" t="str">
        <f>'Form responses 1'!AY711</f>
        <v/>
      </c>
      <c r="H709" s="53" t="str">
        <f>'Form responses 1'!AW711</f>
        <v/>
      </c>
      <c r="I709" s="4" t="str">
        <f>'Form responses 1'!AS711</f>
        <v/>
      </c>
      <c r="J709" s="4" t="str">
        <f>'Form responses 1'!J711</f>
        <v>Tier-3 ( AOV&lt;200 )</v>
      </c>
      <c r="K709" s="4">
        <f>'Form responses 1'!G711</f>
        <v>200</v>
      </c>
      <c r="L709" s="4">
        <f>'Form responses 1'!F711</f>
        <v>25</v>
      </c>
      <c r="M709" s="4" t="str">
        <f>'Form responses 1'!U711</f>
        <v>padmavathi kasa</v>
      </c>
      <c r="N709" s="4" t="str">
        <f>'Form responses 1'!V711</f>
        <v>80080 49249</v>
      </c>
      <c r="O709" s="4" t="str">
        <f>'Form responses 1'!W711</f>
        <v>padmakasa76@gmail.com</v>
      </c>
      <c r="P709" s="4" t="str">
        <f>'Form responses 1'!X711</f>
        <v/>
      </c>
      <c r="Q709" s="4" t="str">
        <f>'Form responses 1'!Y711</f>
        <v/>
      </c>
      <c r="R709" s="4" t="str">
        <f>'Form responses 1'!Z711</f>
        <v/>
      </c>
      <c r="S709" s="4" t="str">
        <f>'Form responses 1'!AC711</f>
        <v/>
      </c>
      <c r="T709" s="4" t="str">
        <f>'Form responses 1'!AE711</f>
        <v/>
      </c>
      <c r="U709" s="4" t="str">
        <f>'Form responses 1'!AG711</f>
        <v/>
      </c>
      <c r="V709" s="4" t="str">
        <f>'Form responses 1'!AI711</f>
        <v/>
      </c>
      <c r="W709" s="4" t="str">
        <f>'Form responses 1'!AJ711</f>
        <v/>
      </c>
      <c r="X709" s="4" t="str">
        <f>'Form responses 1'!AK711</f>
        <v/>
      </c>
      <c r="Y709" s="4">
        <f t="shared" ref="Y709:AD709" si="708">if(S709&gt;0,1,0)</f>
        <v>0</v>
      </c>
      <c r="Z709" s="4">
        <f t="shared" si="708"/>
        <v>0</v>
      </c>
      <c r="AA709" s="4">
        <f t="shared" si="708"/>
        <v>0</v>
      </c>
      <c r="AB709" s="4">
        <f t="shared" si="708"/>
        <v>0</v>
      </c>
      <c r="AC709" s="4">
        <f t="shared" si="708"/>
        <v>0</v>
      </c>
      <c r="AD709" s="4">
        <f t="shared" si="708"/>
        <v>0</v>
      </c>
      <c r="AE709" s="4" t="str">
        <f>'Form responses 1'!AN711</f>
        <v/>
      </c>
      <c r="AF709" s="4" t="str">
        <f>'Form responses 1'!AO1830</f>
        <v/>
      </c>
      <c r="AG709" s="4" t="str">
        <f>'Form responses 1'!AP1830</f>
        <v/>
      </c>
      <c r="AH709" s="4" t="str">
        <f>'Form responses 1'!AQ1830</f>
        <v/>
      </c>
      <c r="AI709" s="4" t="str">
        <f>'Form responses 1'!AR1830</f>
        <v/>
      </c>
    </row>
    <row r="710">
      <c r="A710" s="26">
        <f>'Form responses 1'!B712</f>
        <v>46069</v>
      </c>
      <c r="B710" s="4" t="str">
        <f>'Form responses 1'!AZ712</f>
        <v>madhumitha.sonnakula@capsdelivery.com</v>
      </c>
      <c r="C710" s="4" t="str">
        <f>'Form responses 1'!BR712</f>
        <v>tealogy </v>
      </c>
      <c r="D710" s="4" t="str">
        <f>'Form responses 1'!AT712</f>
        <v>onboarded complete</v>
      </c>
      <c r="E710" s="4" t="str">
        <f>'Form responses 1'!AU712</f>
        <v>No</v>
      </c>
      <c r="F710" s="4" t="str">
        <f>'Form responses 1'!AX712</f>
        <v/>
      </c>
      <c r="G710" s="4" t="str">
        <f>'Form responses 1'!AY712</f>
        <v/>
      </c>
      <c r="H710" s="53" t="str">
        <f>'Form responses 1'!AW712</f>
        <v/>
      </c>
      <c r="I710" s="4" t="str">
        <f>'Form responses 1'!AS712</f>
        <v/>
      </c>
      <c r="J710" s="4" t="str">
        <f>'Form responses 1'!J712</f>
        <v>Tier-2 (AOV &lt;400)</v>
      </c>
      <c r="K710" s="4">
        <f>'Form responses 1'!G712</f>
        <v>300</v>
      </c>
      <c r="L710" s="4">
        <f>'Form responses 1'!F712</f>
        <v>50</v>
      </c>
      <c r="M710" s="4" t="str">
        <f>'Form responses 1'!U712</f>
        <v>ashok</v>
      </c>
      <c r="N710" s="4" t="str">
        <f>'Form responses 1'!V712</f>
        <v>99801 02334</v>
      </c>
      <c r="O710" s="4" t="str">
        <f>'Form responses 1'!W712</f>
        <v>kothaashok25@gmail.com</v>
      </c>
      <c r="P710" s="4" t="str">
        <f>'Form responses 1'!X712</f>
        <v/>
      </c>
      <c r="Q710" s="4" t="str">
        <f>'Form responses 1'!Y712</f>
        <v/>
      </c>
      <c r="R710" s="4" t="str">
        <f>'Form responses 1'!Z712</f>
        <v/>
      </c>
      <c r="S710" s="4" t="str">
        <f>'Form responses 1'!AC712</f>
        <v/>
      </c>
      <c r="T710" s="4" t="str">
        <f>'Form responses 1'!AE712</f>
        <v/>
      </c>
      <c r="U710" s="4" t="str">
        <f>'Form responses 1'!AG712</f>
        <v/>
      </c>
      <c r="V710" s="4" t="str">
        <f>'Form responses 1'!AI712</f>
        <v/>
      </c>
      <c r="W710" s="4" t="str">
        <f>'Form responses 1'!AJ712</f>
        <v/>
      </c>
      <c r="X710" s="4" t="str">
        <f>'Form responses 1'!AK712</f>
        <v/>
      </c>
      <c r="Y710" s="4">
        <f t="shared" ref="Y710:AD710" si="709">if(S710&gt;0,1,0)</f>
        <v>0</v>
      </c>
      <c r="Z710" s="4">
        <f t="shared" si="709"/>
        <v>0</v>
      </c>
      <c r="AA710" s="4">
        <f t="shared" si="709"/>
        <v>0</v>
      </c>
      <c r="AB710" s="4">
        <f t="shared" si="709"/>
        <v>0</v>
      </c>
      <c r="AC710" s="4">
        <f t="shared" si="709"/>
        <v>0</v>
      </c>
      <c r="AD710" s="4">
        <f t="shared" si="709"/>
        <v>0</v>
      </c>
      <c r="AE710" s="4" t="str">
        <f>'Form responses 1'!AN712</f>
        <v/>
      </c>
      <c r="AF710" s="4" t="str">
        <f>'Form responses 1'!AO1831</f>
        <v/>
      </c>
      <c r="AG710" s="4" t="str">
        <f>'Form responses 1'!AP1831</f>
        <v/>
      </c>
      <c r="AH710" s="4" t="str">
        <f>'Form responses 1'!AQ1831</f>
        <v/>
      </c>
      <c r="AI710" s="4" t="str">
        <f>'Form responses 1'!AR1831</f>
        <v/>
      </c>
    </row>
    <row r="711">
      <c r="A711" s="26">
        <f>'Form responses 1'!B713</f>
        <v>46069</v>
      </c>
      <c r="B711" s="4" t="str">
        <f>'Form responses 1'!AZ713</f>
        <v>madhumitha.sonnakula@capsdelivery.com</v>
      </c>
      <c r="C711" s="4" t="str">
        <f>'Form responses 1'!BR713</f>
        <v>oak bistro </v>
      </c>
      <c r="D711" s="4" t="str">
        <f>'Form responses 1'!AT713</f>
        <v>onboarded</v>
      </c>
      <c r="E711" s="4" t="str">
        <f>'Form responses 1'!AU713</f>
        <v>No</v>
      </c>
      <c r="F711" s="4" t="str">
        <f>'Form responses 1'!AX713</f>
        <v/>
      </c>
      <c r="G711" s="4" t="str">
        <f>'Form responses 1'!AY713</f>
        <v/>
      </c>
      <c r="H711" s="53" t="str">
        <f>'Form responses 1'!AW713</f>
        <v/>
      </c>
      <c r="I711" s="4" t="str">
        <f>'Form responses 1'!AS713</f>
        <v/>
      </c>
      <c r="J711" s="4" t="str">
        <f>'Form responses 1'!J713</f>
        <v>Tier-1(AOV&gt;400)</v>
      </c>
      <c r="K711" s="4">
        <f>'Form responses 1'!G713</f>
        <v>400</v>
      </c>
      <c r="L711" s="4">
        <f>'Form responses 1'!F713</f>
        <v>50</v>
      </c>
      <c r="M711" s="4" t="str">
        <f>'Form responses 1'!U713</f>
        <v>rehamad</v>
      </c>
      <c r="N711" s="4">
        <f>'Form responses 1'!V713</f>
        <v>6281817630</v>
      </c>
      <c r="O711" s="4" t="str">
        <f>'Form responses 1'!W713</f>
        <v>oakbistro0@gmail.com</v>
      </c>
      <c r="P711" s="4" t="str">
        <f>'Form responses 1'!X713</f>
        <v/>
      </c>
      <c r="Q711" s="4" t="str">
        <f>'Form responses 1'!Y713</f>
        <v/>
      </c>
      <c r="R711" s="4" t="str">
        <f>'Form responses 1'!Z713</f>
        <v/>
      </c>
      <c r="S711" s="4" t="str">
        <f>'Form responses 1'!AC713</f>
        <v/>
      </c>
      <c r="T711" s="4" t="str">
        <f>'Form responses 1'!AE713</f>
        <v/>
      </c>
      <c r="U711" s="4" t="str">
        <f>'Form responses 1'!AG713</f>
        <v/>
      </c>
      <c r="V711" s="4" t="str">
        <f>'Form responses 1'!AI713</f>
        <v/>
      </c>
      <c r="W711" s="4" t="str">
        <f>'Form responses 1'!AJ713</f>
        <v/>
      </c>
      <c r="X711" s="4" t="str">
        <f>'Form responses 1'!AK713</f>
        <v/>
      </c>
      <c r="Y711" s="4">
        <f t="shared" ref="Y711:AD711" si="710">if(S711&gt;0,1,0)</f>
        <v>0</v>
      </c>
      <c r="Z711" s="4">
        <f t="shared" si="710"/>
        <v>0</v>
      </c>
      <c r="AA711" s="4">
        <f t="shared" si="710"/>
        <v>0</v>
      </c>
      <c r="AB711" s="4">
        <f t="shared" si="710"/>
        <v>0</v>
      </c>
      <c r="AC711" s="4">
        <f t="shared" si="710"/>
        <v>0</v>
      </c>
      <c r="AD711" s="4">
        <f t="shared" si="710"/>
        <v>0</v>
      </c>
      <c r="AE711" s="4" t="str">
        <f>'Form responses 1'!AN713</f>
        <v/>
      </c>
      <c r="AF711" s="4" t="str">
        <f>'Form responses 1'!AO1832</f>
        <v/>
      </c>
      <c r="AG711" s="4" t="str">
        <f>'Form responses 1'!AP1832</f>
        <v/>
      </c>
      <c r="AH711" s="4" t="str">
        <f>'Form responses 1'!AQ1832</f>
        <v/>
      </c>
      <c r="AI711" s="4" t="str">
        <f>'Form responses 1'!AR1832</f>
        <v/>
      </c>
    </row>
    <row r="712">
      <c r="A712" s="26">
        <f>'Form responses 1'!B714</f>
        <v>46069</v>
      </c>
      <c r="B712" s="4" t="str">
        <f>'Form responses 1'!AZ714</f>
        <v>madhumitha.sonnakula@capsdelivery.com</v>
      </c>
      <c r="C712" s="4" t="str">
        <f>'Form responses 1'!BR714</f>
        <v>fire and ice bakers</v>
      </c>
      <c r="D712" s="4" t="str">
        <f>'Form responses 1'!AT714</f>
        <v>not intersted</v>
      </c>
      <c r="E712" s="4" t="str">
        <f>'Form responses 1'!AU714</f>
        <v>No</v>
      </c>
      <c r="F712" s="4" t="str">
        <f>'Form responses 1'!AX714</f>
        <v/>
      </c>
      <c r="G712" s="4" t="str">
        <f>'Form responses 1'!AY714</f>
        <v/>
      </c>
      <c r="H712" s="53" t="str">
        <f>'Form responses 1'!AW714</f>
        <v/>
      </c>
      <c r="I712" s="4" t="str">
        <f>'Form responses 1'!AS714</f>
        <v/>
      </c>
      <c r="J712" s="4" t="str">
        <f>'Form responses 1'!J714</f>
        <v/>
      </c>
      <c r="K712" s="4" t="str">
        <f>'Form responses 1'!G714</f>
        <v/>
      </c>
      <c r="L712" s="4" t="str">
        <f>'Form responses 1'!F714</f>
        <v/>
      </c>
      <c r="M712" s="4" t="str">
        <f>'Form responses 1'!U714</f>
        <v>mahesh </v>
      </c>
      <c r="N712" s="4">
        <f>'Form responses 1'!V714</f>
        <v>9963696969</v>
      </c>
      <c r="O712" s="4" t="str">
        <f>'Form responses 1'!W714</f>
        <v>na</v>
      </c>
      <c r="P712" s="4" t="str">
        <f>'Form responses 1'!X714</f>
        <v/>
      </c>
      <c r="Q712" s="4" t="str">
        <f>'Form responses 1'!Y714</f>
        <v/>
      </c>
      <c r="R712" s="4" t="str">
        <f>'Form responses 1'!Z714</f>
        <v/>
      </c>
      <c r="S712" s="4" t="str">
        <f>'Form responses 1'!AC714</f>
        <v/>
      </c>
      <c r="T712" s="4" t="str">
        <f>'Form responses 1'!AE714</f>
        <v/>
      </c>
      <c r="U712" s="4" t="str">
        <f>'Form responses 1'!AG714</f>
        <v/>
      </c>
      <c r="V712" s="4" t="str">
        <f>'Form responses 1'!AI714</f>
        <v/>
      </c>
      <c r="W712" s="4" t="str">
        <f>'Form responses 1'!AJ714</f>
        <v/>
      </c>
      <c r="X712" s="4" t="str">
        <f>'Form responses 1'!AK714</f>
        <v/>
      </c>
      <c r="Y712" s="4">
        <f t="shared" ref="Y712:AD712" si="711">if(S712&gt;0,1,0)</f>
        <v>0</v>
      </c>
      <c r="Z712" s="4">
        <f t="shared" si="711"/>
        <v>0</v>
      </c>
      <c r="AA712" s="4">
        <f t="shared" si="711"/>
        <v>0</v>
      </c>
      <c r="AB712" s="4">
        <f t="shared" si="711"/>
        <v>0</v>
      </c>
      <c r="AC712" s="4">
        <f t="shared" si="711"/>
        <v>0</v>
      </c>
      <c r="AD712" s="4">
        <f t="shared" si="711"/>
        <v>0</v>
      </c>
      <c r="AE712" s="4" t="str">
        <f>'Form responses 1'!AN714</f>
        <v/>
      </c>
      <c r="AF712" s="4" t="str">
        <f>'Form responses 1'!AO1833</f>
        <v/>
      </c>
      <c r="AG712" s="4" t="str">
        <f>'Form responses 1'!AP1833</f>
        <v/>
      </c>
      <c r="AH712" s="4" t="str">
        <f>'Form responses 1'!AQ1833</f>
        <v/>
      </c>
      <c r="AI712" s="4" t="str">
        <f>'Form responses 1'!AR1833</f>
        <v/>
      </c>
    </row>
    <row r="713">
      <c r="A713" s="26">
        <f>'Form responses 1'!B715</f>
        <v>46069</v>
      </c>
      <c r="B713" s="4" t="str">
        <f>'Form responses 1'!AZ715</f>
        <v>madhumitha.sonnakula@capsdelivery.com</v>
      </c>
      <c r="C713" s="4" t="str">
        <f>'Form responses 1'!BR715</f>
        <v>redoven</v>
      </c>
      <c r="D713" s="4" t="str">
        <f>'Form responses 1'!AT715</f>
        <v>he will call us when required</v>
      </c>
      <c r="E713" s="4" t="str">
        <f>'Form responses 1'!AU715</f>
        <v>No</v>
      </c>
      <c r="F713" s="4" t="str">
        <f>'Form responses 1'!AX715</f>
        <v/>
      </c>
      <c r="G713" s="4" t="str">
        <f>'Form responses 1'!AY715</f>
        <v/>
      </c>
      <c r="H713" s="53" t="str">
        <f>'Form responses 1'!AW715</f>
        <v/>
      </c>
      <c r="I713" s="4" t="str">
        <f>'Form responses 1'!AS715</f>
        <v/>
      </c>
      <c r="J713" s="4" t="str">
        <f>'Form responses 1'!J715</f>
        <v/>
      </c>
      <c r="K713" s="4" t="str">
        <f>'Form responses 1'!G715</f>
        <v/>
      </c>
      <c r="L713" s="4" t="str">
        <f>'Form responses 1'!F715</f>
        <v/>
      </c>
      <c r="M713" s="4" t="str">
        <f>'Form responses 1'!U715</f>
        <v>red oven </v>
      </c>
      <c r="N713" s="4">
        <f>'Form responses 1'!V715</f>
        <v>8008319090</v>
      </c>
      <c r="O713" s="4" t="str">
        <f>'Form responses 1'!W715</f>
        <v>na</v>
      </c>
      <c r="P713" s="4" t="str">
        <f>'Form responses 1'!X715</f>
        <v/>
      </c>
      <c r="Q713" s="4" t="str">
        <f>'Form responses 1'!Y715</f>
        <v/>
      </c>
      <c r="R713" s="4" t="str">
        <f>'Form responses 1'!Z715</f>
        <v/>
      </c>
      <c r="S713" s="4" t="str">
        <f>'Form responses 1'!AC715</f>
        <v/>
      </c>
      <c r="T713" s="4" t="str">
        <f>'Form responses 1'!AE715</f>
        <v/>
      </c>
      <c r="U713" s="4" t="str">
        <f>'Form responses 1'!AG715</f>
        <v/>
      </c>
      <c r="V713" s="4" t="str">
        <f>'Form responses 1'!AI715</f>
        <v/>
      </c>
      <c r="W713" s="4" t="str">
        <f>'Form responses 1'!AJ715</f>
        <v/>
      </c>
      <c r="X713" s="4" t="str">
        <f>'Form responses 1'!AK715</f>
        <v/>
      </c>
      <c r="Y713" s="4">
        <f t="shared" ref="Y713:AD713" si="712">if(S713&gt;0,1,0)</f>
        <v>0</v>
      </c>
      <c r="Z713" s="4">
        <f t="shared" si="712"/>
        <v>0</v>
      </c>
      <c r="AA713" s="4">
        <f t="shared" si="712"/>
        <v>0</v>
      </c>
      <c r="AB713" s="4">
        <f t="shared" si="712"/>
        <v>0</v>
      </c>
      <c r="AC713" s="4">
        <f t="shared" si="712"/>
        <v>0</v>
      </c>
      <c r="AD713" s="4">
        <f t="shared" si="712"/>
        <v>0</v>
      </c>
      <c r="AE713" s="4" t="str">
        <f>'Form responses 1'!AN715</f>
        <v/>
      </c>
      <c r="AF713" s="4" t="str">
        <f>'Form responses 1'!AO1834</f>
        <v/>
      </c>
      <c r="AG713" s="4" t="str">
        <f>'Form responses 1'!AP1834</f>
        <v/>
      </c>
      <c r="AH713" s="4" t="str">
        <f>'Form responses 1'!AQ1834</f>
        <v/>
      </c>
      <c r="AI713" s="4" t="str">
        <f>'Form responses 1'!AR1834</f>
        <v/>
      </c>
    </row>
    <row r="714">
      <c r="A714" s="26">
        <f>'Form responses 1'!B716</f>
        <v>46069</v>
      </c>
      <c r="B714" s="4" t="str">
        <f>'Form responses 1'!AZ716</f>
        <v>madhumitha.sonnakula@capsdelivery.com</v>
      </c>
      <c r="C714" s="4" t="str">
        <f>'Form responses 1'!BR716</f>
        <v>sha sha shandar shawarma</v>
      </c>
      <c r="D714" s="4" t="str">
        <f>'Form responses 1'!AT716</f>
        <v>onboarded </v>
      </c>
      <c r="E714" s="4" t="str">
        <f>'Form responses 1'!AU716</f>
        <v>No</v>
      </c>
      <c r="F714" s="4" t="str">
        <f>'Form responses 1'!AX716</f>
        <v/>
      </c>
      <c r="G714" s="4" t="str">
        <f>'Form responses 1'!AY716</f>
        <v/>
      </c>
      <c r="H714" s="53" t="str">
        <f>'Form responses 1'!AW716</f>
        <v/>
      </c>
      <c r="I714" s="4" t="str">
        <f>'Form responses 1'!AS716</f>
        <v/>
      </c>
      <c r="J714" s="4" t="str">
        <f>'Form responses 1'!J716</f>
        <v/>
      </c>
      <c r="K714" s="4" t="str">
        <f>'Form responses 1'!G716</f>
        <v/>
      </c>
      <c r="L714" s="4" t="str">
        <f>'Form responses 1'!F716</f>
        <v/>
      </c>
      <c r="M714" s="4" t="str">
        <f>'Form responses 1'!U716</f>
        <v>sri hari </v>
      </c>
      <c r="N714" s="4" t="str">
        <f>'Form responses 1'!V716</f>
        <v>89789 36410</v>
      </c>
      <c r="O714" s="4" t="str">
        <f>'Form responses 1'!W716</f>
        <v>na</v>
      </c>
      <c r="P714" s="4" t="str">
        <f>'Form responses 1'!X716</f>
        <v/>
      </c>
      <c r="Q714" s="4" t="str">
        <f>'Form responses 1'!Y716</f>
        <v/>
      </c>
      <c r="R714" s="4" t="str">
        <f>'Form responses 1'!Z716</f>
        <v/>
      </c>
      <c r="S714" s="4" t="str">
        <f>'Form responses 1'!AC716</f>
        <v/>
      </c>
      <c r="T714" s="4" t="str">
        <f>'Form responses 1'!AE716</f>
        <v/>
      </c>
      <c r="U714" s="4" t="str">
        <f>'Form responses 1'!AG716</f>
        <v/>
      </c>
      <c r="V714" s="4" t="str">
        <f>'Form responses 1'!AI716</f>
        <v/>
      </c>
      <c r="W714" s="4" t="str">
        <f>'Form responses 1'!AJ716</f>
        <v/>
      </c>
      <c r="X714" s="4" t="str">
        <f>'Form responses 1'!AK716</f>
        <v/>
      </c>
      <c r="Y714" s="4">
        <f t="shared" ref="Y714:AD714" si="713">if(S714&gt;0,1,0)</f>
        <v>0</v>
      </c>
      <c r="Z714" s="4">
        <f t="shared" si="713"/>
        <v>0</v>
      </c>
      <c r="AA714" s="4">
        <f t="shared" si="713"/>
        <v>0</v>
      </c>
      <c r="AB714" s="4">
        <f t="shared" si="713"/>
        <v>0</v>
      </c>
      <c r="AC714" s="4">
        <f t="shared" si="713"/>
        <v>0</v>
      </c>
      <c r="AD714" s="4">
        <f t="shared" si="713"/>
        <v>0</v>
      </c>
      <c r="AE714" s="4" t="str">
        <f>'Form responses 1'!AN716</f>
        <v/>
      </c>
      <c r="AF714" s="4" t="str">
        <f>'Form responses 1'!AO1835</f>
        <v/>
      </c>
      <c r="AG714" s="4" t="str">
        <f>'Form responses 1'!AP1835</f>
        <v/>
      </c>
      <c r="AH714" s="4" t="str">
        <f>'Form responses 1'!AQ1835</f>
        <v/>
      </c>
      <c r="AI714" s="4" t="str">
        <f>'Form responses 1'!AR1835</f>
        <v/>
      </c>
    </row>
    <row r="715">
      <c r="A715" s="26">
        <f>'Form responses 1'!B717</f>
        <v>46069</v>
      </c>
      <c r="B715" s="4" t="str">
        <f>'Form responses 1'!AZ717</f>
        <v>madhumitha.sonnakula@capsdelivery.com</v>
      </c>
      <c r="C715" s="4" t="str">
        <f>'Form responses 1'!BR717</f>
        <v>aroma biryani and pulaos</v>
      </c>
      <c r="D715" s="4" t="str">
        <f>'Form responses 1'!AT717</f>
        <v>onbpoarded</v>
      </c>
      <c r="E715" s="4" t="str">
        <f>'Form responses 1'!AU717</f>
        <v>No</v>
      </c>
      <c r="F715" s="4" t="str">
        <f>'Form responses 1'!AX717</f>
        <v/>
      </c>
      <c r="G715" s="4" t="str">
        <f>'Form responses 1'!AY717</f>
        <v/>
      </c>
      <c r="H715" s="53" t="str">
        <f>'Form responses 1'!AW717</f>
        <v/>
      </c>
      <c r="I715" s="4" t="str">
        <f>'Form responses 1'!AS717</f>
        <v/>
      </c>
      <c r="J715" s="4" t="str">
        <f>'Form responses 1'!J717</f>
        <v>Tier-1(AOV&gt;400)</v>
      </c>
      <c r="K715" s="4">
        <f>'Form responses 1'!G717</f>
        <v>500</v>
      </c>
      <c r="L715" s="4">
        <f>'Form responses 1'!F717</f>
        <v>25</v>
      </c>
      <c r="M715" s="4" t="str">
        <f>'Form responses 1'!U717</f>
        <v>ravi teja</v>
      </c>
      <c r="N715" s="4" t="str">
        <f>'Form responses 1'!V717</f>
        <v>95051 54858</v>
      </c>
      <c r="O715" s="4" t="str">
        <f>'Form responses 1'!W717</f>
        <v>aromabirayanispulaos@gmail.com</v>
      </c>
      <c r="P715" s="4" t="str">
        <f>'Form responses 1'!X717</f>
        <v/>
      </c>
      <c r="Q715" s="4" t="str">
        <f>'Form responses 1'!Y717</f>
        <v/>
      </c>
      <c r="R715" s="4" t="str">
        <f>'Form responses 1'!Z717</f>
        <v/>
      </c>
      <c r="S715" s="4" t="str">
        <f>'Form responses 1'!AC717</f>
        <v/>
      </c>
      <c r="T715" s="4" t="str">
        <f>'Form responses 1'!AE717</f>
        <v/>
      </c>
      <c r="U715" s="4" t="str">
        <f>'Form responses 1'!AG717</f>
        <v/>
      </c>
      <c r="V715" s="4" t="str">
        <f>'Form responses 1'!AI717</f>
        <v/>
      </c>
      <c r="W715" s="4" t="str">
        <f>'Form responses 1'!AJ717</f>
        <v/>
      </c>
      <c r="X715" s="4" t="str">
        <f>'Form responses 1'!AK717</f>
        <v/>
      </c>
      <c r="Y715" s="4">
        <f t="shared" ref="Y715:AD715" si="714">if(S715&gt;0,1,0)</f>
        <v>0</v>
      </c>
      <c r="Z715" s="4">
        <f t="shared" si="714"/>
        <v>0</v>
      </c>
      <c r="AA715" s="4">
        <f t="shared" si="714"/>
        <v>0</v>
      </c>
      <c r="AB715" s="4">
        <f t="shared" si="714"/>
        <v>0</v>
      </c>
      <c r="AC715" s="4">
        <f t="shared" si="714"/>
        <v>0</v>
      </c>
      <c r="AD715" s="4">
        <f t="shared" si="714"/>
        <v>0</v>
      </c>
      <c r="AE715" s="4" t="str">
        <f>'Form responses 1'!AN717</f>
        <v/>
      </c>
      <c r="AF715" s="4" t="str">
        <f>'Form responses 1'!AO1836</f>
        <v/>
      </c>
      <c r="AG715" s="4" t="str">
        <f>'Form responses 1'!AP1836</f>
        <v/>
      </c>
      <c r="AH715" s="4" t="str">
        <f>'Form responses 1'!AQ1836</f>
        <v/>
      </c>
      <c r="AI715" s="4" t="str">
        <f>'Form responses 1'!AR1836</f>
        <v/>
      </c>
    </row>
    <row r="716">
      <c r="A716" s="26">
        <f>'Form responses 1'!B718</f>
        <v>46069</v>
      </c>
      <c r="B716" s="4" t="str">
        <f>'Form responses 1'!AZ718</f>
        <v>madhumitha.sonnakula@capsdelivery.com</v>
      </c>
      <c r="C716" s="4" t="str">
        <f>'Form responses 1'!BR718</f>
        <v>flavours of andhra</v>
      </c>
      <c r="D716" s="4" t="str">
        <f>'Form responses 1'!AT718</f>
        <v>na</v>
      </c>
      <c r="E716" s="4" t="str">
        <f>'Form responses 1'!AU718</f>
        <v>No</v>
      </c>
      <c r="F716" s="4" t="str">
        <f>'Form responses 1'!AX718</f>
        <v/>
      </c>
      <c r="G716" s="4" t="str">
        <f>'Form responses 1'!AY718</f>
        <v/>
      </c>
      <c r="H716" s="53" t="str">
        <f>'Form responses 1'!AW718</f>
        <v/>
      </c>
      <c r="I716" s="4" t="str">
        <f>'Form responses 1'!AS718</f>
        <v/>
      </c>
      <c r="J716" s="4" t="str">
        <f>'Form responses 1'!J718</f>
        <v>Tier-1(AOV&gt;400)</v>
      </c>
      <c r="K716" s="4">
        <f>'Form responses 1'!G718</f>
        <v>700</v>
      </c>
      <c r="L716" s="4">
        <f>'Form responses 1'!F718</f>
        <v>250</v>
      </c>
      <c r="M716" s="4" t="str">
        <f>'Form responses 1'!U718</f>
        <v>srinaik </v>
      </c>
      <c r="N716" s="4" t="str">
        <f>'Form responses 1'!V718</f>
        <v>99490 72220</v>
      </c>
      <c r="O716" s="4" t="str">
        <f>'Form responses 1'!W718</f>
        <v>na</v>
      </c>
      <c r="P716" s="4" t="str">
        <f>'Form responses 1'!X718</f>
        <v/>
      </c>
      <c r="Q716" s="4" t="str">
        <f>'Form responses 1'!Y718</f>
        <v/>
      </c>
      <c r="R716" s="4" t="str">
        <f>'Form responses 1'!Z718</f>
        <v/>
      </c>
      <c r="S716" s="4" t="str">
        <f>'Form responses 1'!AC718</f>
        <v/>
      </c>
      <c r="T716" s="4" t="str">
        <f>'Form responses 1'!AE718</f>
        <v/>
      </c>
      <c r="U716" s="4" t="str">
        <f>'Form responses 1'!AG718</f>
        <v/>
      </c>
      <c r="V716" s="4" t="str">
        <f>'Form responses 1'!AI718</f>
        <v/>
      </c>
      <c r="W716" s="4" t="str">
        <f>'Form responses 1'!AJ718</f>
        <v/>
      </c>
      <c r="X716" s="4" t="str">
        <f>'Form responses 1'!AK718</f>
        <v/>
      </c>
      <c r="Y716" s="4">
        <f t="shared" ref="Y716:AD716" si="715">if(S716&gt;0,1,0)</f>
        <v>0</v>
      </c>
      <c r="Z716" s="4">
        <f t="shared" si="715"/>
        <v>0</v>
      </c>
      <c r="AA716" s="4">
        <f t="shared" si="715"/>
        <v>0</v>
      </c>
      <c r="AB716" s="4">
        <f t="shared" si="715"/>
        <v>0</v>
      </c>
      <c r="AC716" s="4">
        <f t="shared" si="715"/>
        <v>0</v>
      </c>
      <c r="AD716" s="4">
        <f t="shared" si="715"/>
        <v>0</v>
      </c>
      <c r="AE716" s="4" t="str">
        <f>'Form responses 1'!AN718</f>
        <v/>
      </c>
      <c r="AF716" s="4" t="str">
        <f>'Form responses 1'!AO1837</f>
        <v/>
      </c>
      <c r="AG716" s="4" t="str">
        <f>'Form responses 1'!AP1837</f>
        <v/>
      </c>
      <c r="AH716" s="4" t="str">
        <f>'Form responses 1'!AQ1837</f>
        <v/>
      </c>
      <c r="AI716" s="4" t="str">
        <f>'Form responses 1'!AR1837</f>
        <v/>
      </c>
    </row>
    <row r="717">
      <c r="A717" s="26">
        <f>'Form responses 1'!B719</f>
        <v>46070</v>
      </c>
      <c r="B717" s="4" t="str">
        <f>'Form responses 1'!AZ719</f>
        <v>madhumitha.sonnakula@capsdelivery.com</v>
      </c>
      <c r="C717" s="4" t="str">
        <f>'Form responses 1'!BR719</f>
        <v>raghavendra tiffens</v>
      </c>
      <c r="D717" s="4" t="str">
        <f>'Form responses 1'!AT719</f>
        <v>collect documents</v>
      </c>
      <c r="E717" s="4" t="str">
        <f>'Form responses 1'!AU719</f>
        <v>Yes</v>
      </c>
      <c r="F717" s="4" t="str">
        <f>'Form responses 1'!AX719</f>
        <v/>
      </c>
      <c r="G717" s="4" t="str">
        <f>'Form responses 1'!AY719</f>
        <v/>
      </c>
      <c r="H717" s="53" t="str">
        <f>'Form responses 1'!AW719</f>
        <v/>
      </c>
      <c r="I717" s="4" t="str">
        <f>'Form responses 1'!AS719</f>
        <v/>
      </c>
      <c r="J717" s="4" t="str">
        <f>'Form responses 1'!J719</f>
        <v>Tier-2 (AOV &lt;400)</v>
      </c>
      <c r="K717" s="4">
        <f>'Form responses 1'!G719</f>
        <v>300</v>
      </c>
      <c r="L717" s="4">
        <f>'Form responses 1'!F719</f>
        <v>75</v>
      </c>
      <c r="M717" s="4" t="str">
        <f>'Form responses 1'!U719</f>
        <v>karthik reddy</v>
      </c>
      <c r="N717" s="4">
        <f>'Form responses 1'!V719</f>
        <v>7702942820</v>
      </c>
      <c r="O717" s="4" t="str">
        <f>'Form responses 1'!W719</f>
        <v>na</v>
      </c>
      <c r="P717" s="4" t="str">
        <f>'Form responses 1'!X719</f>
        <v/>
      </c>
      <c r="Q717" s="4" t="str">
        <f>'Form responses 1'!Y719</f>
        <v/>
      </c>
      <c r="R717" s="4" t="str">
        <f>'Form responses 1'!Z719</f>
        <v/>
      </c>
      <c r="S717" s="4" t="str">
        <f>'Form responses 1'!AC719</f>
        <v/>
      </c>
      <c r="T717" s="4" t="str">
        <f>'Form responses 1'!AE719</f>
        <v/>
      </c>
      <c r="U717" s="4" t="str">
        <f>'Form responses 1'!AG719</f>
        <v/>
      </c>
      <c r="V717" s="4" t="str">
        <f>'Form responses 1'!AI719</f>
        <v/>
      </c>
      <c r="W717" s="4" t="str">
        <f>'Form responses 1'!AJ719</f>
        <v/>
      </c>
      <c r="X717" s="4" t="str">
        <f>'Form responses 1'!AK719</f>
        <v/>
      </c>
      <c r="Y717" s="4">
        <f t="shared" ref="Y717:AD717" si="716">if(S717&gt;0,1,0)</f>
        <v>0</v>
      </c>
      <c r="Z717" s="4">
        <f t="shared" si="716"/>
        <v>0</v>
      </c>
      <c r="AA717" s="4">
        <f t="shared" si="716"/>
        <v>0</v>
      </c>
      <c r="AB717" s="4">
        <f t="shared" si="716"/>
        <v>0</v>
      </c>
      <c r="AC717" s="4">
        <f t="shared" si="716"/>
        <v>0</v>
      </c>
      <c r="AD717" s="4">
        <f t="shared" si="716"/>
        <v>0</v>
      </c>
      <c r="AE717" s="4" t="str">
        <f>'Form responses 1'!AN719</f>
        <v/>
      </c>
      <c r="AF717" s="4" t="str">
        <f>'Form responses 1'!AO1838</f>
        <v/>
      </c>
      <c r="AG717" s="4" t="str">
        <f>'Form responses 1'!AP1838</f>
        <v/>
      </c>
      <c r="AH717" s="4" t="str">
        <f>'Form responses 1'!AQ1838</f>
        <v/>
      </c>
      <c r="AI717" s="4" t="str">
        <f>'Form responses 1'!AR1838</f>
        <v/>
      </c>
    </row>
    <row r="718">
      <c r="A718" s="26">
        <f>'Form responses 1'!B720</f>
        <v>46071</v>
      </c>
      <c r="B718" s="4" t="str">
        <f>'Form responses 1'!AZ720</f>
        <v>madhumitha.sonnakula@capsdelivery.com</v>
      </c>
      <c r="C718" s="4" t="str">
        <f>'Form responses 1'!BR720</f>
        <v>rs birayani </v>
      </c>
      <c r="D718" s="4" t="str">
        <f>'Form responses 1'!AT720</f>
        <v>documents</v>
      </c>
      <c r="E718" s="4" t="str">
        <f>'Form responses 1'!AU720</f>
        <v>Yes</v>
      </c>
      <c r="F718" s="4" t="str">
        <f>'Form responses 1'!AX720</f>
        <v/>
      </c>
      <c r="G718" s="4" t="str">
        <f>'Form responses 1'!AY720</f>
        <v/>
      </c>
      <c r="H718" s="53" t="str">
        <f>'Form responses 1'!AW720</f>
        <v/>
      </c>
      <c r="I718" s="4" t="str">
        <f>'Form responses 1'!AS720</f>
        <v/>
      </c>
      <c r="J718" s="4" t="str">
        <f>'Form responses 1'!J720</f>
        <v/>
      </c>
      <c r="K718" s="4" t="str">
        <f>'Form responses 1'!G720</f>
        <v/>
      </c>
      <c r="L718" s="4" t="str">
        <f>'Form responses 1'!F720</f>
        <v/>
      </c>
      <c r="M718" s="4" t="str">
        <f>'Form responses 1'!U720</f>
        <v>na</v>
      </c>
      <c r="N718" s="4" t="str">
        <f>'Form responses 1'!V720</f>
        <v>na</v>
      </c>
      <c r="O718" s="4" t="str">
        <f>'Form responses 1'!W720</f>
        <v>na</v>
      </c>
      <c r="P718" s="4" t="str">
        <f>'Form responses 1'!X720</f>
        <v/>
      </c>
      <c r="Q718" s="4" t="str">
        <f>'Form responses 1'!Y720</f>
        <v/>
      </c>
      <c r="R718" s="4" t="str">
        <f>'Form responses 1'!Z720</f>
        <v/>
      </c>
      <c r="S718" s="4" t="str">
        <f>'Form responses 1'!AC720</f>
        <v/>
      </c>
      <c r="T718" s="4" t="str">
        <f>'Form responses 1'!AE720</f>
        <v/>
      </c>
      <c r="U718" s="4" t="str">
        <f>'Form responses 1'!AG720</f>
        <v/>
      </c>
      <c r="V718" s="4" t="str">
        <f>'Form responses 1'!AI720</f>
        <v/>
      </c>
      <c r="W718" s="4" t="str">
        <f>'Form responses 1'!AJ720</f>
        <v/>
      </c>
      <c r="X718" s="4" t="str">
        <f>'Form responses 1'!AK720</f>
        <v/>
      </c>
      <c r="Y718" s="4">
        <f t="shared" ref="Y718:AD718" si="717">if(S718&gt;0,1,0)</f>
        <v>0</v>
      </c>
      <c r="Z718" s="4">
        <f t="shared" si="717"/>
        <v>0</v>
      </c>
      <c r="AA718" s="4">
        <f t="shared" si="717"/>
        <v>0</v>
      </c>
      <c r="AB718" s="4">
        <f t="shared" si="717"/>
        <v>0</v>
      </c>
      <c r="AC718" s="4">
        <f t="shared" si="717"/>
        <v>0</v>
      </c>
      <c r="AD718" s="4">
        <f t="shared" si="717"/>
        <v>0</v>
      </c>
      <c r="AE718" s="4" t="str">
        <f>'Form responses 1'!AN720</f>
        <v/>
      </c>
      <c r="AF718" s="4" t="str">
        <f>'Form responses 1'!AO1839</f>
        <v/>
      </c>
      <c r="AG718" s="4" t="str">
        <f>'Form responses 1'!AP1839</f>
        <v/>
      </c>
      <c r="AH718" s="4" t="str">
        <f>'Form responses 1'!AQ1839</f>
        <v/>
      </c>
      <c r="AI718" s="4" t="str">
        <f>'Form responses 1'!AR1839</f>
        <v/>
      </c>
    </row>
    <row r="719">
      <c r="A719" s="26">
        <f>'Form responses 1'!B721</f>
        <v>46071</v>
      </c>
      <c r="B719" s="4" t="str">
        <f>'Form responses 1'!AZ721</f>
        <v>madhumitha.sonnakula@capsdelivery.com</v>
      </c>
      <c r="C719" s="4" t="str">
        <f>'Form responses 1'!BR721</f>
        <v>samosa party </v>
      </c>
      <c r="D719" s="4" t="str">
        <f>'Form responses 1'!AT721</f>
        <v>na</v>
      </c>
      <c r="E719" s="4" t="str">
        <f>'Form responses 1'!AU721</f>
        <v>Yes</v>
      </c>
      <c r="F719" s="4" t="str">
        <f>'Form responses 1'!AX721</f>
        <v/>
      </c>
      <c r="G719" s="4" t="str">
        <f>'Form responses 1'!AY721</f>
        <v/>
      </c>
      <c r="H719" s="53" t="str">
        <f>'Form responses 1'!AW721</f>
        <v/>
      </c>
      <c r="I719" s="4" t="str">
        <f>'Form responses 1'!AS721</f>
        <v/>
      </c>
      <c r="J719" s="4" t="str">
        <f>'Form responses 1'!J721</f>
        <v/>
      </c>
      <c r="K719" s="4" t="str">
        <f>'Form responses 1'!G721</f>
        <v/>
      </c>
      <c r="L719" s="4" t="str">
        <f>'Form responses 1'!F721</f>
        <v/>
      </c>
      <c r="M719" s="4" t="str">
        <f>'Form responses 1'!U721</f>
        <v>na</v>
      </c>
      <c r="N719" s="4" t="str">
        <f>'Form responses 1'!V721</f>
        <v>na</v>
      </c>
      <c r="O719" s="4" t="str">
        <f>'Form responses 1'!W721</f>
        <v>na</v>
      </c>
      <c r="P719" s="4" t="str">
        <f>'Form responses 1'!X721</f>
        <v/>
      </c>
      <c r="Q719" s="4" t="str">
        <f>'Form responses 1'!Y721</f>
        <v/>
      </c>
      <c r="R719" s="4" t="str">
        <f>'Form responses 1'!Z721</f>
        <v/>
      </c>
      <c r="S719" s="4" t="str">
        <f>'Form responses 1'!AC721</f>
        <v/>
      </c>
      <c r="T719" s="4" t="str">
        <f>'Form responses 1'!AE721</f>
        <v/>
      </c>
      <c r="U719" s="4" t="str">
        <f>'Form responses 1'!AG721</f>
        <v/>
      </c>
      <c r="V719" s="4" t="str">
        <f>'Form responses 1'!AI721</f>
        <v/>
      </c>
      <c r="W719" s="4" t="str">
        <f>'Form responses 1'!AJ721</f>
        <v/>
      </c>
      <c r="X719" s="4" t="str">
        <f>'Form responses 1'!AK721</f>
        <v/>
      </c>
      <c r="Y719" s="4">
        <f t="shared" ref="Y719:AD719" si="718">if(S719&gt;0,1,0)</f>
        <v>0</v>
      </c>
      <c r="Z719" s="4">
        <f t="shared" si="718"/>
        <v>0</v>
      </c>
      <c r="AA719" s="4">
        <f t="shared" si="718"/>
        <v>0</v>
      </c>
      <c r="AB719" s="4">
        <f t="shared" si="718"/>
        <v>0</v>
      </c>
      <c r="AC719" s="4">
        <f t="shared" si="718"/>
        <v>0</v>
      </c>
      <c r="AD719" s="4">
        <f t="shared" si="718"/>
        <v>0</v>
      </c>
      <c r="AE719" s="4" t="str">
        <f>'Form responses 1'!AN721</f>
        <v/>
      </c>
      <c r="AF719" s="4" t="str">
        <f>'Form responses 1'!AO1840</f>
        <v/>
      </c>
      <c r="AG719" s="4" t="str">
        <f>'Form responses 1'!AP1840</f>
        <v/>
      </c>
      <c r="AH719" s="4" t="str">
        <f>'Form responses 1'!AQ1840</f>
        <v/>
      </c>
      <c r="AI719" s="4" t="str">
        <f>'Form responses 1'!AR1840</f>
        <v/>
      </c>
    </row>
    <row r="720">
      <c r="A720" s="26">
        <f>'Form responses 1'!B722</f>
        <v>46071</v>
      </c>
      <c r="B720" s="4" t="str">
        <f>'Form responses 1'!AZ722</f>
        <v>madhumitha.sonnakula@capsdelivery.com</v>
      </c>
      <c r="C720" s="4" t="str">
        <f>'Form responses 1'!BR722</f>
        <v>aazeboo</v>
      </c>
      <c r="D720" s="4" t="str">
        <f>'Form responses 1'!AT722</f>
        <v>we need to follow up</v>
      </c>
      <c r="E720" s="4" t="str">
        <f>'Form responses 1'!AU722</f>
        <v>No</v>
      </c>
      <c r="F720" s="4" t="str">
        <f>'Form responses 1'!AX722</f>
        <v/>
      </c>
      <c r="G720" s="4" t="str">
        <f>'Form responses 1'!AY722</f>
        <v/>
      </c>
      <c r="H720" s="53" t="str">
        <f>'Form responses 1'!AW722</f>
        <v/>
      </c>
      <c r="I720" s="4" t="str">
        <f>'Form responses 1'!AS722</f>
        <v/>
      </c>
      <c r="J720" s="4" t="str">
        <f>'Form responses 1'!J722</f>
        <v/>
      </c>
      <c r="K720" s="4" t="str">
        <f>'Form responses 1'!G722</f>
        <v/>
      </c>
      <c r="L720" s="4" t="str">
        <f>'Form responses 1'!F722</f>
        <v/>
      </c>
      <c r="M720" s="4" t="str">
        <f>'Form responses 1'!U722</f>
        <v>na </v>
      </c>
      <c r="N720" s="4">
        <f>'Form responses 1'!V722</f>
        <v>9000777275</v>
      </c>
      <c r="O720" s="4" t="str">
        <f>'Form responses 1'!W722</f>
        <v>na</v>
      </c>
      <c r="P720" s="4" t="str">
        <f>'Form responses 1'!X722</f>
        <v/>
      </c>
      <c r="Q720" s="4" t="str">
        <f>'Form responses 1'!Y722</f>
        <v/>
      </c>
      <c r="R720" s="4" t="str">
        <f>'Form responses 1'!Z722</f>
        <v/>
      </c>
      <c r="S720" s="4" t="str">
        <f>'Form responses 1'!AC722</f>
        <v/>
      </c>
      <c r="T720" s="4" t="str">
        <f>'Form responses 1'!AE722</f>
        <v/>
      </c>
      <c r="U720" s="4" t="str">
        <f>'Form responses 1'!AG722</f>
        <v/>
      </c>
      <c r="V720" s="4" t="str">
        <f>'Form responses 1'!AI722</f>
        <v/>
      </c>
      <c r="W720" s="4" t="str">
        <f>'Form responses 1'!AJ722</f>
        <v/>
      </c>
      <c r="X720" s="4" t="str">
        <f>'Form responses 1'!AK722</f>
        <v/>
      </c>
      <c r="Y720" s="4">
        <f t="shared" ref="Y720:AD720" si="719">if(S720&gt;0,1,0)</f>
        <v>0</v>
      </c>
      <c r="Z720" s="4">
        <f t="shared" si="719"/>
        <v>0</v>
      </c>
      <c r="AA720" s="4">
        <f t="shared" si="719"/>
        <v>0</v>
      </c>
      <c r="AB720" s="4">
        <f t="shared" si="719"/>
        <v>0</v>
      </c>
      <c r="AC720" s="4">
        <f t="shared" si="719"/>
        <v>0</v>
      </c>
      <c r="AD720" s="4">
        <f t="shared" si="719"/>
        <v>0</v>
      </c>
      <c r="AE720" s="4" t="str">
        <f>'Form responses 1'!AN722</f>
        <v/>
      </c>
      <c r="AF720" s="4" t="str">
        <f>'Form responses 1'!AO1841</f>
        <v/>
      </c>
      <c r="AG720" s="4" t="str">
        <f>'Form responses 1'!AP1841</f>
        <v/>
      </c>
      <c r="AH720" s="4" t="str">
        <f>'Form responses 1'!AQ1841</f>
        <v/>
      </c>
      <c r="AI720" s="4" t="str">
        <f>'Form responses 1'!AR1841</f>
        <v/>
      </c>
    </row>
    <row r="721">
      <c r="A721" s="26">
        <f>'Form responses 1'!B242</f>
        <v>46064</v>
      </c>
      <c r="B721" s="4" t="str">
        <f>'Form responses 1'!AZ242</f>
        <v>greeshma.vanneldas@capsdelivery.com</v>
      </c>
      <c r="C721" s="4" t="str">
        <f>'Form responses 1'!BR242</f>
        <v>The Indian wok</v>
      </c>
      <c r="D721" s="4" t="str">
        <f>'Form responses 1'!AT242</f>
        <v/>
      </c>
      <c r="E721" s="4" t="str">
        <f>'Form responses 1'!AU242</f>
        <v>Yes</v>
      </c>
      <c r="F721" s="4" t="str">
        <f>'Form responses 1'!AX242</f>
        <v/>
      </c>
      <c r="G721" s="4" t="str">
        <f>'Form responses 1'!AY242</f>
        <v/>
      </c>
      <c r="H721" s="53" t="str">
        <f>'Form responses 1'!AW242</f>
        <v/>
      </c>
      <c r="I721" s="4" t="str">
        <f>'Form responses 1'!AS242</f>
        <v/>
      </c>
      <c r="J721" s="4" t="str">
        <f>'Form responses 1'!J242</f>
        <v>Tier-2 (AOV &lt;400)</v>
      </c>
      <c r="K721" s="4">
        <f>'Form responses 1'!G242</f>
        <v>300</v>
      </c>
      <c r="L721" s="4">
        <f>'Form responses 1'!F242</f>
        <v>30</v>
      </c>
      <c r="M721" s="4" t="str">
        <f>'Form responses 1'!U242</f>
        <v>Adi</v>
      </c>
      <c r="N721" s="4">
        <f>'Form responses 1'!V242</f>
        <v>8374447297</v>
      </c>
      <c r="O721" s="4" t="str">
        <f>'Form responses 1'!W242</f>
        <v>na</v>
      </c>
      <c r="P721" s="4" t="str">
        <f>'Form responses 1'!X242</f>
        <v/>
      </c>
      <c r="Q721" s="4" t="str">
        <f>'Form responses 1'!Y242</f>
        <v/>
      </c>
      <c r="R721" s="4" t="str">
        <f>'Form responses 1'!Z242</f>
        <v/>
      </c>
      <c r="S721" s="4" t="str">
        <f>'Form responses 1'!AC242</f>
        <v/>
      </c>
      <c r="T721" s="4" t="str">
        <f>'Form responses 1'!AE242</f>
        <v/>
      </c>
      <c r="U721" s="4" t="str">
        <f>'Form responses 1'!AG242</f>
        <v/>
      </c>
      <c r="V721" s="4" t="str">
        <f>'Form responses 1'!AI242</f>
        <v/>
      </c>
      <c r="W721" s="4" t="str">
        <f>'Form responses 1'!AJ242</f>
        <v/>
      </c>
      <c r="X721" s="4" t="str">
        <f>'Form responses 1'!AK242</f>
        <v/>
      </c>
      <c r="Y721" s="4">
        <f t="shared" ref="Y721:AD721" si="720">if(S721&gt;0,1,0)</f>
        <v>0</v>
      </c>
      <c r="Z721" s="4">
        <f t="shared" si="720"/>
        <v>0</v>
      </c>
      <c r="AA721" s="4">
        <f t="shared" si="720"/>
        <v>0</v>
      </c>
      <c r="AB721" s="4">
        <f t="shared" si="720"/>
        <v>0</v>
      </c>
      <c r="AC721" s="4">
        <f t="shared" si="720"/>
        <v>0</v>
      </c>
      <c r="AD721" s="4">
        <f t="shared" si="720"/>
        <v>0</v>
      </c>
      <c r="AE721" s="4" t="str">
        <f>'Form responses 1'!AN242</f>
        <v/>
      </c>
      <c r="AF721" s="4" t="str">
        <f>'Form responses 1'!AO242</f>
        <v/>
      </c>
      <c r="AG721" s="4" t="str">
        <f>'Form responses 1'!AP242</f>
        <v/>
      </c>
      <c r="AH721" s="4" t="str">
        <f>'Form responses 1'!AQ242</f>
        <v/>
      </c>
      <c r="AI721" s="4" t="str">
        <f>'Form responses 1'!AR242</f>
        <v/>
      </c>
    </row>
    <row r="722">
      <c r="A722" s="26">
        <f>'Form responses 1'!B724</f>
        <v>46071</v>
      </c>
      <c r="B722" s="4" t="str">
        <f>'Form responses 1'!AZ724</f>
        <v>madhumitha.sonnakula@capsdelivery.com</v>
      </c>
      <c r="C722" s="4" t="str">
        <f>'Form responses 1'!BR724</f>
        <v>scoops </v>
      </c>
      <c r="D722" s="4" t="str">
        <f>'Form responses 1'!AT724</f>
        <v>NEED TO follow up</v>
      </c>
      <c r="E722" s="4" t="str">
        <f>'Form responses 1'!AU724</f>
        <v>Yes</v>
      </c>
      <c r="F722" s="4" t="str">
        <f>'Form responses 1'!AX724</f>
        <v/>
      </c>
      <c r="G722" s="4" t="str">
        <f>'Form responses 1'!AY724</f>
        <v/>
      </c>
      <c r="H722" s="53" t="str">
        <f>'Form responses 1'!AW724</f>
        <v/>
      </c>
      <c r="I722" s="4" t="str">
        <f>'Form responses 1'!AS724</f>
        <v/>
      </c>
      <c r="J722" s="4" t="str">
        <f>'Form responses 1'!J724</f>
        <v>Tier-1(AOV&gt;400)</v>
      </c>
      <c r="K722" s="4">
        <f>'Form responses 1'!G724</f>
        <v>300</v>
      </c>
      <c r="L722" s="4">
        <f>'Form responses 1'!F724</f>
        <v>20</v>
      </c>
      <c r="M722" s="4" t="str">
        <f>'Form responses 1'!U724</f>
        <v>na</v>
      </c>
      <c r="N722" s="4">
        <f>'Form responses 1'!V724</f>
        <v>8688612955</v>
      </c>
      <c r="O722" s="4" t="str">
        <f>'Form responses 1'!W724</f>
        <v>NA</v>
      </c>
      <c r="P722" s="4" t="str">
        <f>'Form responses 1'!X724</f>
        <v/>
      </c>
      <c r="Q722" s="4" t="str">
        <f>'Form responses 1'!Y724</f>
        <v/>
      </c>
      <c r="R722" s="4" t="str">
        <f>'Form responses 1'!Z724</f>
        <v/>
      </c>
      <c r="S722" s="4" t="str">
        <f>'Form responses 1'!AC724</f>
        <v/>
      </c>
      <c r="T722" s="4" t="str">
        <f>'Form responses 1'!AE724</f>
        <v/>
      </c>
      <c r="U722" s="4" t="str">
        <f>'Form responses 1'!AG724</f>
        <v/>
      </c>
      <c r="V722" s="4" t="str">
        <f>'Form responses 1'!AI724</f>
        <v/>
      </c>
      <c r="W722" s="4" t="str">
        <f>'Form responses 1'!AJ724</f>
        <v/>
      </c>
      <c r="X722" s="4" t="str">
        <f>'Form responses 1'!AK724</f>
        <v/>
      </c>
      <c r="Y722" s="4">
        <f t="shared" ref="Y722:AD722" si="721">if(S722&gt;0,1,0)</f>
        <v>0</v>
      </c>
      <c r="Z722" s="4">
        <f t="shared" si="721"/>
        <v>0</v>
      </c>
      <c r="AA722" s="4">
        <f t="shared" si="721"/>
        <v>0</v>
      </c>
      <c r="AB722" s="4">
        <f t="shared" si="721"/>
        <v>0</v>
      </c>
      <c r="AC722" s="4">
        <f t="shared" si="721"/>
        <v>0</v>
      </c>
      <c r="AD722" s="4">
        <f t="shared" si="721"/>
        <v>0</v>
      </c>
      <c r="AE722" s="4" t="str">
        <f>'Form responses 1'!AN724</f>
        <v/>
      </c>
      <c r="AF722" s="4" t="str">
        <f>'Form responses 1'!AO1843</f>
        <v/>
      </c>
      <c r="AG722" s="4" t="str">
        <f>'Form responses 1'!AP1843</f>
        <v/>
      </c>
      <c r="AH722" s="4" t="str">
        <f>'Form responses 1'!AQ1843</f>
        <v/>
      </c>
      <c r="AI722" s="4" t="str">
        <f>'Form responses 1'!AR1843</f>
        <v/>
      </c>
    </row>
    <row r="723">
      <c r="A723" s="26">
        <f>'Form responses 1'!B725</f>
        <v>46071</v>
      </c>
      <c r="B723" s="4" t="str">
        <f>'Form responses 1'!AZ725</f>
        <v>madhumitha.sonnakula@capsdelivery.com</v>
      </c>
      <c r="C723" s="4" t="str">
        <f>'Form responses 1'!BR725</f>
        <v>sri poorna hotel sri poorna </v>
      </c>
      <c r="D723" s="4" t="str">
        <f>'Form responses 1'!AT725</f>
        <v>we need to follow </v>
      </c>
      <c r="E723" s="4" t="str">
        <f>'Form responses 1'!AU725</f>
        <v>No</v>
      </c>
      <c r="F723" s="4" t="str">
        <f>'Form responses 1'!AX725</f>
        <v/>
      </c>
      <c r="G723" s="4" t="str">
        <f>'Form responses 1'!AY725</f>
        <v/>
      </c>
      <c r="H723" s="53" t="str">
        <f>'Form responses 1'!AW725</f>
        <v/>
      </c>
      <c r="I723" s="4" t="str">
        <f>'Form responses 1'!AS725</f>
        <v/>
      </c>
      <c r="J723" s="4" t="str">
        <f>'Form responses 1'!J725</f>
        <v/>
      </c>
      <c r="K723" s="4" t="str">
        <f>'Form responses 1'!G725</f>
        <v/>
      </c>
      <c r="L723" s="4" t="str">
        <f>'Form responses 1'!F725</f>
        <v/>
      </c>
      <c r="M723" s="4" t="str">
        <f>'Form responses 1'!U725</f>
        <v>akshay</v>
      </c>
      <c r="N723" s="4">
        <f>'Form responses 1'!V725</f>
        <v>9370982719</v>
      </c>
      <c r="O723" s="4" t="str">
        <f>'Form responses 1'!W725</f>
        <v>na</v>
      </c>
      <c r="P723" s="4" t="str">
        <f>'Form responses 1'!X725</f>
        <v/>
      </c>
      <c r="Q723" s="4" t="str">
        <f>'Form responses 1'!Y725</f>
        <v/>
      </c>
      <c r="R723" s="4" t="str">
        <f>'Form responses 1'!Z725</f>
        <v/>
      </c>
      <c r="S723" s="4" t="str">
        <f>'Form responses 1'!AC725</f>
        <v/>
      </c>
      <c r="T723" s="4" t="str">
        <f>'Form responses 1'!AE725</f>
        <v/>
      </c>
      <c r="U723" s="4" t="str">
        <f>'Form responses 1'!AG725</f>
        <v/>
      </c>
      <c r="V723" s="4" t="str">
        <f>'Form responses 1'!AI725</f>
        <v/>
      </c>
      <c r="W723" s="4" t="str">
        <f>'Form responses 1'!AJ725</f>
        <v/>
      </c>
      <c r="X723" s="4" t="str">
        <f>'Form responses 1'!AK725</f>
        <v/>
      </c>
      <c r="Y723" s="4">
        <f t="shared" ref="Y723:AD723" si="722">if(S723&gt;0,1,0)</f>
        <v>0</v>
      </c>
      <c r="Z723" s="4">
        <f t="shared" si="722"/>
        <v>0</v>
      </c>
      <c r="AA723" s="4">
        <f t="shared" si="722"/>
        <v>0</v>
      </c>
      <c r="AB723" s="4">
        <f t="shared" si="722"/>
        <v>0</v>
      </c>
      <c r="AC723" s="4">
        <f t="shared" si="722"/>
        <v>0</v>
      </c>
      <c r="AD723" s="4">
        <f t="shared" si="722"/>
        <v>0</v>
      </c>
      <c r="AE723" s="4" t="str">
        <f>'Form responses 1'!AN725</f>
        <v/>
      </c>
      <c r="AF723" s="4" t="str">
        <f>'Form responses 1'!AO1844</f>
        <v/>
      </c>
      <c r="AG723" s="4" t="str">
        <f>'Form responses 1'!AP1844</f>
        <v/>
      </c>
      <c r="AH723" s="4" t="str">
        <f>'Form responses 1'!AQ1844</f>
        <v/>
      </c>
      <c r="AI723" s="4" t="str">
        <f>'Form responses 1'!AR1844</f>
        <v/>
      </c>
    </row>
    <row r="724">
      <c r="A724" s="26">
        <f>'Form responses 1'!B548</f>
        <v>46070</v>
      </c>
      <c r="B724" s="4" t="str">
        <f>'Form responses 1'!AZ548</f>
        <v>greeshma.vanneldas@capsdelivery.com</v>
      </c>
      <c r="C724" s="4" t="str">
        <f>'Form responses 1'!BR548</f>
        <v>The red box</v>
      </c>
      <c r="D724" s="4" t="str">
        <f>'Form responses 1'!AT548</f>
        <v>meeting scheduled with Md</v>
      </c>
      <c r="E724" s="4" t="str">
        <f>'Form responses 1'!AU548</f>
        <v>Yes</v>
      </c>
      <c r="F724" s="4" t="str">
        <f>'Form responses 1'!AX548</f>
        <v/>
      </c>
      <c r="G724" s="4" t="str">
        <f>'Form responses 1'!AY548</f>
        <v/>
      </c>
      <c r="H724" s="53" t="str">
        <f>'Form responses 1'!AW548</f>
        <v/>
      </c>
      <c r="I724" s="4" t="str">
        <f>'Form responses 1'!AS548</f>
        <v/>
      </c>
      <c r="J724" s="4" t="str">
        <f>'Form responses 1'!J548</f>
        <v/>
      </c>
      <c r="K724" s="4" t="str">
        <f>'Form responses 1'!G548</f>
        <v/>
      </c>
      <c r="L724" s="4" t="str">
        <f>'Form responses 1'!F548</f>
        <v/>
      </c>
      <c r="M724" s="4" t="str">
        <f>'Form responses 1'!U548</f>
        <v>Rohith</v>
      </c>
      <c r="N724" s="4">
        <f>'Form responses 1'!V548</f>
        <v>9000360723</v>
      </c>
      <c r="O724" s="4" t="str">
        <f>'Form responses 1'!W548</f>
        <v>na</v>
      </c>
      <c r="P724" s="4" t="str">
        <f>'Form responses 1'!X548</f>
        <v/>
      </c>
      <c r="Q724" s="4" t="str">
        <f>'Form responses 1'!Y548</f>
        <v/>
      </c>
      <c r="R724" s="4" t="str">
        <f>'Form responses 1'!Z548</f>
        <v/>
      </c>
      <c r="S724" s="4" t="str">
        <f>'Form responses 1'!AC548</f>
        <v/>
      </c>
      <c r="T724" s="4" t="str">
        <f>'Form responses 1'!AE548</f>
        <v/>
      </c>
      <c r="U724" s="4" t="str">
        <f>'Form responses 1'!AG548</f>
        <v/>
      </c>
      <c r="V724" s="4" t="str">
        <f>'Form responses 1'!AI548</f>
        <v/>
      </c>
      <c r="W724" s="4" t="str">
        <f>'Form responses 1'!AJ548</f>
        <v/>
      </c>
      <c r="X724" s="4" t="str">
        <f>'Form responses 1'!AK548</f>
        <v/>
      </c>
      <c r="Y724" s="4">
        <f t="shared" ref="Y724:AD724" si="723">if(S724&gt;0,1,0)</f>
        <v>0</v>
      </c>
      <c r="Z724" s="4">
        <f t="shared" si="723"/>
        <v>0</v>
      </c>
      <c r="AA724" s="4">
        <f t="shared" si="723"/>
        <v>0</v>
      </c>
      <c r="AB724" s="4">
        <f t="shared" si="723"/>
        <v>0</v>
      </c>
      <c r="AC724" s="4">
        <f t="shared" si="723"/>
        <v>0</v>
      </c>
      <c r="AD724" s="4">
        <f t="shared" si="723"/>
        <v>0</v>
      </c>
      <c r="AE724" s="4" t="str">
        <f>'Form responses 1'!AN548</f>
        <v/>
      </c>
      <c r="AF724" s="4" t="str">
        <f>'Form responses 1'!AO548</f>
        <v/>
      </c>
      <c r="AG724" s="4" t="str">
        <f>'Form responses 1'!AP548</f>
        <v/>
      </c>
      <c r="AH724" s="4" t="str">
        <f>'Form responses 1'!AQ548</f>
        <v/>
      </c>
      <c r="AI724" s="4" t="str">
        <f>'Form responses 1'!AR548</f>
        <v/>
      </c>
    </row>
    <row r="725">
      <c r="A725" s="26">
        <f>'Form responses 1'!B727</f>
        <v>46071</v>
      </c>
      <c r="B725" s="4" t="str">
        <f>'Form responses 1'!AZ727</f>
        <v>madhumitha.sonnakula@capsdelivery.com</v>
      </c>
      <c r="C725" s="4" t="str">
        <f>'Form responses 1'!BR727</f>
        <v>avani restraunt </v>
      </c>
      <c r="D725" s="4" t="str">
        <f>'Form responses 1'!AT727</f>
        <v>we need to follow up</v>
      </c>
      <c r="E725" s="4" t="str">
        <f>'Form responses 1'!AU727</f>
        <v>Yes</v>
      </c>
      <c r="F725" s="4" t="str">
        <f>'Form responses 1'!AX727</f>
        <v/>
      </c>
      <c r="G725" s="4" t="str">
        <f>'Form responses 1'!AY727</f>
        <v/>
      </c>
      <c r="H725" s="53" t="str">
        <f>'Form responses 1'!AW727</f>
        <v/>
      </c>
      <c r="I725" s="4" t="str">
        <f>'Form responses 1'!AS727</f>
        <v/>
      </c>
      <c r="J725" s="4" t="str">
        <f>'Form responses 1'!J727</f>
        <v>Tier-1(AOV&gt;400)</v>
      </c>
      <c r="K725" s="4">
        <f>'Form responses 1'!G727</f>
        <v>400</v>
      </c>
      <c r="L725" s="4">
        <f>'Form responses 1'!F727</f>
        <v>100</v>
      </c>
      <c r="M725" s="4" t="str">
        <f>'Form responses 1'!U727</f>
        <v>vikas</v>
      </c>
      <c r="N725" s="4">
        <f>'Form responses 1'!V727</f>
        <v>7207206239</v>
      </c>
      <c r="O725" s="4" t="str">
        <f>'Form responses 1'!W727</f>
        <v>na</v>
      </c>
      <c r="P725" s="4" t="str">
        <f>'Form responses 1'!X727</f>
        <v/>
      </c>
      <c r="Q725" s="4" t="str">
        <f>'Form responses 1'!Y727</f>
        <v/>
      </c>
      <c r="R725" s="4" t="str">
        <f>'Form responses 1'!Z727</f>
        <v/>
      </c>
      <c r="S725" s="4" t="str">
        <f>'Form responses 1'!AC727</f>
        <v/>
      </c>
      <c r="T725" s="4" t="str">
        <f>'Form responses 1'!AE727</f>
        <v/>
      </c>
      <c r="U725" s="4" t="str">
        <f>'Form responses 1'!AG727</f>
        <v/>
      </c>
      <c r="V725" s="4" t="str">
        <f>'Form responses 1'!AI727</f>
        <v/>
      </c>
      <c r="W725" s="4" t="str">
        <f>'Form responses 1'!AJ727</f>
        <v/>
      </c>
      <c r="X725" s="4" t="str">
        <f>'Form responses 1'!AK727</f>
        <v/>
      </c>
      <c r="Y725" s="4">
        <f t="shared" ref="Y725:AD725" si="724">if(S725&gt;0,1,0)</f>
        <v>0</v>
      </c>
      <c r="Z725" s="4">
        <f t="shared" si="724"/>
        <v>0</v>
      </c>
      <c r="AA725" s="4">
        <f t="shared" si="724"/>
        <v>0</v>
      </c>
      <c r="AB725" s="4">
        <f t="shared" si="724"/>
        <v>0</v>
      </c>
      <c r="AC725" s="4">
        <f t="shared" si="724"/>
        <v>0</v>
      </c>
      <c r="AD725" s="4">
        <f t="shared" si="724"/>
        <v>0</v>
      </c>
      <c r="AE725" s="4" t="str">
        <f>'Form responses 1'!AN727</f>
        <v/>
      </c>
      <c r="AF725" s="4" t="str">
        <f>'Form responses 1'!AO1846</f>
        <v/>
      </c>
      <c r="AG725" s="4" t="str">
        <f>'Form responses 1'!AP1846</f>
        <v/>
      </c>
      <c r="AH725" s="4" t="str">
        <f>'Form responses 1'!AQ1846</f>
        <v/>
      </c>
      <c r="AI725" s="4" t="str">
        <f>'Form responses 1'!AR1846</f>
        <v/>
      </c>
    </row>
    <row r="726">
      <c r="A726" s="26">
        <f>'Form responses 1'!B545</f>
        <v>46070</v>
      </c>
      <c r="B726" s="4" t="str">
        <f>'Form responses 1'!AZ545</f>
        <v>greeshma.vanneldas@capsdelivery.com</v>
      </c>
      <c r="C726" s="4" t="str">
        <f>'Form responses 1'!BR545</f>
        <v>Times food courttTimes food courtt</v>
      </c>
      <c r="D726" s="4" t="str">
        <f>'Form responses 1'!AT545</f>
        <v>Onboarded</v>
      </c>
      <c r="E726" s="4" t="str">
        <f>'Form responses 1'!AU545</f>
        <v>Yes</v>
      </c>
      <c r="F726" s="4" t="str">
        <f>'Form responses 1'!AX545</f>
        <v/>
      </c>
      <c r="G726" s="4" t="str">
        <f>'Form responses 1'!AY545</f>
        <v/>
      </c>
      <c r="H726" s="53" t="str">
        <f>'Form responses 1'!AW545</f>
        <v/>
      </c>
      <c r="I726" s="4" t="str">
        <f>'Form responses 1'!AS545</f>
        <v/>
      </c>
      <c r="J726" s="4" t="str">
        <f>'Form responses 1'!J545</f>
        <v/>
      </c>
      <c r="K726" s="4" t="str">
        <f>'Form responses 1'!G545</f>
        <v/>
      </c>
      <c r="L726" s="4" t="str">
        <f>'Form responses 1'!F545</f>
        <v/>
      </c>
      <c r="M726" s="4" t="str">
        <f>'Form responses 1'!U545</f>
        <v>Ramakrishna reddy </v>
      </c>
      <c r="N726" s="4">
        <f>'Form responses 1'!V545</f>
        <v>8977945506</v>
      </c>
      <c r="O726" s="4" t="str">
        <f>'Form responses 1'!W545</f>
        <v>na</v>
      </c>
      <c r="P726" s="4" t="str">
        <f>'Form responses 1'!X545</f>
        <v/>
      </c>
      <c r="Q726" s="4" t="str">
        <f>'Form responses 1'!Y545</f>
        <v/>
      </c>
      <c r="R726" s="4" t="str">
        <f>'Form responses 1'!Z545</f>
        <v/>
      </c>
      <c r="S726" s="4" t="str">
        <f>'Form responses 1'!AC545</f>
        <v/>
      </c>
      <c r="T726" s="4" t="str">
        <f>'Form responses 1'!AE545</f>
        <v/>
      </c>
      <c r="U726" s="4" t="str">
        <f>'Form responses 1'!AG545</f>
        <v/>
      </c>
      <c r="V726" s="4" t="str">
        <f>'Form responses 1'!AI545</f>
        <v/>
      </c>
      <c r="W726" s="4" t="str">
        <f>'Form responses 1'!AJ545</f>
        <v/>
      </c>
      <c r="X726" s="4" t="str">
        <f>'Form responses 1'!AK545</f>
        <v/>
      </c>
      <c r="Y726" s="4">
        <f t="shared" ref="Y726:AD726" si="725">if(S726&gt;0,1,0)</f>
        <v>0</v>
      </c>
      <c r="Z726" s="4">
        <f t="shared" si="725"/>
        <v>0</v>
      </c>
      <c r="AA726" s="4">
        <f t="shared" si="725"/>
        <v>0</v>
      </c>
      <c r="AB726" s="4">
        <f t="shared" si="725"/>
        <v>0</v>
      </c>
      <c r="AC726" s="4">
        <f t="shared" si="725"/>
        <v>0</v>
      </c>
      <c r="AD726" s="4">
        <f t="shared" si="725"/>
        <v>0</v>
      </c>
      <c r="AE726" s="4" t="str">
        <f>'Form responses 1'!AN545</f>
        <v/>
      </c>
      <c r="AF726" s="4" t="str">
        <f>'Form responses 1'!AO545</f>
        <v/>
      </c>
      <c r="AG726" s="4" t="str">
        <f>'Form responses 1'!AP545</f>
        <v/>
      </c>
      <c r="AH726" s="4" t="str">
        <f>'Form responses 1'!AQ545</f>
        <v/>
      </c>
      <c r="AI726" s="4" t="str">
        <f>'Form responses 1'!AR545</f>
        <v/>
      </c>
    </row>
    <row r="727">
      <c r="A727" s="26">
        <f>'Form responses 1'!B729</f>
        <v>46071</v>
      </c>
      <c r="B727" s="4" t="str">
        <f>'Form responses 1'!AZ729</f>
        <v>madhumitha.sonnakula@capsdelivery.com</v>
      </c>
      <c r="C727" s="4" t="str">
        <f>'Form responses 1'!BR729</f>
        <v>shawarama house</v>
      </c>
      <c r="D727" s="4" t="str">
        <f>'Form responses 1'!AT729</f>
        <v>onborded</v>
      </c>
      <c r="E727" s="4" t="str">
        <f>'Form responses 1'!AU729</f>
        <v>No</v>
      </c>
      <c r="F727" s="4" t="str">
        <f>'Form responses 1'!AX729</f>
        <v/>
      </c>
      <c r="G727" s="4" t="str">
        <f>'Form responses 1'!AY729</f>
        <v/>
      </c>
      <c r="H727" s="53" t="str">
        <f>'Form responses 1'!AW729</f>
        <v/>
      </c>
      <c r="I727" s="4" t="str">
        <f>'Form responses 1'!AS729</f>
        <v/>
      </c>
      <c r="J727" s="4" t="str">
        <f>'Form responses 1'!J729</f>
        <v>Tier-2 (AOV &lt;400)</v>
      </c>
      <c r="K727" s="4">
        <f>'Form responses 1'!G729</f>
        <v>300</v>
      </c>
      <c r="L727" s="4">
        <f>'Form responses 1'!F729</f>
        <v>20</v>
      </c>
      <c r="M727" s="4" t="str">
        <f>'Form responses 1'!U729</f>
        <v>na</v>
      </c>
      <c r="N727" s="4" t="str">
        <f>'Form responses 1'!V729</f>
        <v>na</v>
      </c>
      <c r="O727" s="4" t="str">
        <f>'Form responses 1'!W729</f>
        <v>na</v>
      </c>
      <c r="P727" s="4" t="str">
        <f>'Form responses 1'!X729</f>
        <v/>
      </c>
      <c r="Q727" s="4" t="str">
        <f>'Form responses 1'!Y729</f>
        <v/>
      </c>
      <c r="R727" s="4" t="str">
        <f>'Form responses 1'!Z729</f>
        <v/>
      </c>
      <c r="S727" s="4" t="str">
        <f>'Form responses 1'!AC729</f>
        <v/>
      </c>
      <c r="T727" s="4" t="str">
        <f>'Form responses 1'!AE729</f>
        <v/>
      </c>
      <c r="U727" s="4" t="str">
        <f>'Form responses 1'!AG729</f>
        <v/>
      </c>
      <c r="V727" s="4" t="str">
        <f>'Form responses 1'!AI729</f>
        <v/>
      </c>
      <c r="W727" s="4" t="str">
        <f>'Form responses 1'!AJ729</f>
        <v/>
      </c>
      <c r="X727" s="4" t="str">
        <f>'Form responses 1'!AK729</f>
        <v/>
      </c>
      <c r="Y727" s="4">
        <f t="shared" ref="Y727:AD727" si="726">if(S727&gt;0,1,0)</f>
        <v>0</v>
      </c>
      <c r="Z727" s="4">
        <f t="shared" si="726"/>
        <v>0</v>
      </c>
      <c r="AA727" s="4">
        <f t="shared" si="726"/>
        <v>0</v>
      </c>
      <c r="AB727" s="4">
        <f t="shared" si="726"/>
        <v>0</v>
      </c>
      <c r="AC727" s="4">
        <f t="shared" si="726"/>
        <v>0</v>
      </c>
      <c r="AD727" s="4">
        <f t="shared" si="726"/>
        <v>0</v>
      </c>
      <c r="AE727" s="4" t="str">
        <f>'Form responses 1'!AN729</f>
        <v/>
      </c>
      <c r="AF727" s="4" t="str">
        <f>'Form responses 1'!AO1848</f>
        <v/>
      </c>
      <c r="AG727" s="4" t="str">
        <f>'Form responses 1'!AP1848</f>
        <v/>
      </c>
      <c r="AH727" s="4" t="str">
        <f>'Form responses 1'!AQ1848</f>
        <v/>
      </c>
      <c r="AI727" s="4" t="str">
        <f>'Form responses 1'!AR1848</f>
        <v/>
      </c>
    </row>
    <row r="728">
      <c r="A728" s="26">
        <f>'Form responses 1'!B730</f>
        <v>46071</v>
      </c>
      <c r="B728" s="4" t="str">
        <f>'Form responses 1'!AZ730</f>
        <v>madhumitha.sonnakula@capsdelivery.com</v>
      </c>
      <c r="C728" s="4" t="str">
        <f>'Form responses 1'!BR730</f>
        <v>o ginger o ginger</v>
      </c>
      <c r="D728" s="4" t="str">
        <f>'Form responses 1'!AT730</f>
        <v>follow up</v>
      </c>
      <c r="E728" s="4" t="str">
        <f>'Form responses 1'!AU730</f>
        <v>No</v>
      </c>
      <c r="F728" s="4" t="str">
        <f>'Form responses 1'!AX730</f>
        <v/>
      </c>
      <c r="G728" s="4" t="str">
        <f>'Form responses 1'!AY730</f>
        <v/>
      </c>
      <c r="H728" s="53" t="str">
        <f>'Form responses 1'!AW730</f>
        <v/>
      </c>
      <c r="I728" s="4" t="str">
        <f>'Form responses 1'!AS730</f>
        <v/>
      </c>
      <c r="J728" s="4" t="str">
        <f>'Form responses 1'!J730</f>
        <v/>
      </c>
      <c r="K728" s="4" t="str">
        <f>'Form responses 1'!G730</f>
        <v/>
      </c>
      <c r="L728" s="4" t="str">
        <f>'Form responses 1'!F730</f>
        <v/>
      </c>
      <c r="M728" s="4" t="str">
        <f>'Form responses 1'!U730</f>
        <v>krishna roa </v>
      </c>
      <c r="N728" s="4">
        <f>'Form responses 1'!V730</f>
        <v>8179622604</v>
      </c>
      <c r="O728" s="4" t="str">
        <f>'Form responses 1'!W730</f>
        <v>na</v>
      </c>
      <c r="P728" s="4" t="str">
        <f>'Form responses 1'!X730</f>
        <v/>
      </c>
      <c r="Q728" s="4" t="str">
        <f>'Form responses 1'!Y730</f>
        <v/>
      </c>
      <c r="R728" s="4" t="str">
        <f>'Form responses 1'!Z730</f>
        <v/>
      </c>
      <c r="S728" s="4" t="str">
        <f>'Form responses 1'!AC730</f>
        <v/>
      </c>
      <c r="T728" s="4" t="str">
        <f>'Form responses 1'!AE730</f>
        <v/>
      </c>
      <c r="U728" s="4" t="str">
        <f>'Form responses 1'!AG730</f>
        <v/>
      </c>
      <c r="V728" s="4" t="str">
        <f>'Form responses 1'!AI730</f>
        <v/>
      </c>
      <c r="W728" s="4" t="str">
        <f>'Form responses 1'!AJ730</f>
        <v/>
      </c>
      <c r="X728" s="4" t="str">
        <f>'Form responses 1'!AK730</f>
        <v/>
      </c>
      <c r="Y728" s="4">
        <f t="shared" ref="Y728:AD728" si="727">if(S728&gt;0,1,0)</f>
        <v>0</v>
      </c>
      <c r="Z728" s="4">
        <f t="shared" si="727"/>
        <v>0</v>
      </c>
      <c r="AA728" s="4">
        <f t="shared" si="727"/>
        <v>0</v>
      </c>
      <c r="AB728" s="4">
        <f t="shared" si="727"/>
        <v>0</v>
      </c>
      <c r="AC728" s="4">
        <f t="shared" si="727"/>
        <v>0</v>
      </c>
      <c r="AD728" s="4">
        <f t="shared" si="727"/>
        <v>0</v>
      </c>
      <c r="AE728" s="4" t="str">
        <f>'Form responses 1'!AN730</f>
        <v/>
      </c>
      <c r="AF728" s="4" t="str">
        <f>'Form responses 1'!AO1849</f>
        <v/>
      </c>
      <c r="AG728" s="4" t="str">
        <f>'Form responses 1'!AP1849</f>
        <v/>
      </c>
      <c r="AH728" s="4" t="str">
        <f>'Form responses 1'!AQ1849</f>
        <v/>
      </c>
      <c r="AI728" s="4" t="str">
        <f>'Form responses 1'!AR1849</f>
        <v/>
      </c>
    </row>
    <row r="729">
      <c r="A729" s="26">
        <f>'Form responses 1'!B123</f>
        <v>46063</v>
      </c>
      <c r="B729" s="4" t="str">
        <f>'Form responses 1'!AZ123</f>
        <v>greeshma.vanneldas@capsdelivery.com</v>
      </c>
      <c r="C729" s="4" t="str">
        <f>'Form responses 1'!BR123</f>
        <v>Toscano</v>
      </c>
      <c r="D729" s="4" t="str">
        <f>'Form responses 1'!AT123</f>
        <v/>
      </c>
      <c r="E729" s="4" t="str">
        <f>'Form responses 1'!AU123</f>
        <v>Yes</v>
      </c>
      <c r="F729" s="4" t="str">
        <f>'Form responses 1'!AX123</f>
        <v/>
      </c>
      <c r="G729" s="4" t="str">
        <f>'Form responses 1'!AY123</f>
        <v/>
      </c>
      <c r="H729" s="53" t="str">
        <f>'Form responses 1'!AW123</f>
        <v>Toscano  POC-Bala(Manager) 9986998503  Owners will be in Bangalore  They are exclusive on swiggy and zomato,Before they have tried other food delivery platforms but they got more negative feedback so once launch is done,depending on the marketing the manager said he will approach. I will follow up the manager,once the app launch.</v>
      </c>
      <c r="I729" s="4" t="str">
        <f>'Form responses 1'!AS123</f>
        <v/>
      </c>
      <c r="J729" s="4" t="str">
        <f>'Form responses 1'!J123</f>
        <v/>
      </c>
      <c r="K729" s="4" t="str">
        <f>'Form responses 1'!G123</f>
        <v/>
      </c>
      <c r="L729" s="4" t="str">
        <f>'Form responses 1'!F123</f>
        <v/>
      </c>
      <c r="M729" s="4" t="str">
        <f>'Form responses 1'!U123</f>
        <v>Bala</v>
      </c>
      <c r="N729" s="4">
        <f>'Form responses 1'!V123</f>
        <v>9986998503</v>
      </c>
      <c r="O729" s="4" t="str">
        <f>'Form responses 1'!W123</f>
        <v>N/a</v>
      </c>
      <c r="P729" s="4" t="str">
        <f>'Form responses 1'!X123</f>
        <v/>
      </c>
      <c r="Q729" s="4" t="str">
        <f>'Form responses 1'!Y123</f>
        <v/>
      </c>
      <c r="R729" s="4" t="str">
        <f>'Form responses 1'!Z123</f>
        <v/>
      </c>
      <c r="S729" s="4" t="str">
        <f>'Form responses 1'!AC123</f>
        <v/>
      </c>
      <c r="T729" s="4" t="str">
        <f>'Form responses 1'!AE123</f>
        <v/>
      </c>
      <c r="U729" s="4" t="str">
        <f>'Form responses 1'!AG123</f>
        <v/>
      </c>
      <c r="V729" s="4" t="str">
        <f>'Form responses 1'!AI123</f>
        <v/>
      </c>
      <c r="W729" s="4" t="str">
        <f>'Form responses 1'!AJ123</f>
        <v/>
      </c>
      <c r="X729" s="4" t="str">
        <f>'Form responses 1'!AK123</f>
        <v/>
      </c>
      <c r="Y729" s="4">
        <f t="shared" ref="Y729:AD729" si="728">if(S729&gt;0,1,0)</f>
        <v>0</v>
      </c>
      <c r="Z729" s="4">
        <f t="shared" si="728"/>
        <v>0</v>
      </c>
      <c r="AA729" s="4">
        <f t="shared" si="728"/>
        <v>0</v>
      </c>
      <c r="AB729" s="4">
        <f t="shared" si="728"/>
        <v>0</v>
      </c>
      <c r="AC729" s="4">
        <f t="shared" si="728"/>
        <v>0</v>
      </c>
      <c r="AD729" s="4">
        <f t="shared" si="728"/>
        <v>0</v>
      </c>
      <c r="AE729" s="4" t="str">
        <f>'Form responses 1'!AN123</f>
        <v/>
      </c>
      <c r="AF729" s="4" t="str">
        <f>'Form responses 1'!AO123</f>
        <v/>
      </c>
      <c r="AG729" s="4" t="str">
        <f>'Form responses 1'!AP123</f>
        <v/>
      </c>
      <c r="AH729" s="4" t="str">
        <f>'Form responses 1'!AQ123</f>
        <v/>
      </c>
      <c r="AI729" s="4" t="str">
        <f>'Form responses 1'!AR123</f>
        <v/>
      </c>
    </row>
    <row r="730">
      <c r="A730" s="26">
        <f>'Form responses 1'!B732</f>
        <v>46071</v>
      </c>
      <c r="B730" s="4" t="str">
        <f>'Form responses 1'!AZ732</f>
        <v>madhumitha.sonnakula@capsdelivery.com</v>
      </c>
      <c r="C730" s="4" t="str">
        <f>'Form responses 1'!BR732</f>
        <v>sangam dhaba </v>
      </c>
      <c r="D730" s="4" t="str">
        <f>'Form responses 1'!AT732</f>
        <v>all onboarding done</v>
      </c>
      <c r="E730" s="4" t="str">
        <f>'Form responses 1'!AU732</f>
        <v>No</v>
      </c>
      <c r="F730" s="4" t="str">
        <f>'Form responses 1'!AX732</f>
        <v/>
      </c>
      <c r="G730" s="4" t="str">
        <f>'Form responses 1'!AY732</f>
        <v/>
      </c>
      <c r="H730" s="53" t="str">
        <f>'Form responses 1'!AW732</f>
        <v/>
      </c>
      <c r="I730" s="4" t="str">
        <f>'Form responses 1'!AS732</f>
        <v/>
      </c>
      <c r="J730" s="4" t="str">
        <f>'Form responses 1'!J732</f>
        <v>Tier-1(AOV&gt;400)</v>
      </c>
      <c r="K730" s="4">
        <f>'Form responses 1'!G732</f>
        <v>500</v>
      </c>
      <c r="L730" s="4">
        <f>'Form responses 1'!F732</f>
        <v>300</v>
      </c>
      <c r="M730" s="4" t="str">
        <f>'Form responses 1'!U732</f>
        <v>roopchand </v>
      </c>
      <c r="N730" s="4" t="str">
        <f>'Form responses 1'!V732</f>
        <v>83099 70801</v>
      </c>
      <c r="O730" s="4" t="str">
        <f>'Form responses 1'!W732</f>
        <v>roopchand7545@gmail.Com</v>
      </c>
      <c r="P730" s="4" t="str">
        <f>'Form responses 1'!X732</f>
        <v/>
      </c>
      <c r="Q730" s="4" t="str">
        <f>'Form responses 1'!Y732</f>
        <v/>
      </c>
      <c r="R730" s="4" t="str">
        <f>'Form responses 1'!Z732</f>
        <v/>
      </c>
      <c r="S730" s="4" t="str">
        <f>'Form responses 1'!AC732</f>
        <v/>
      </c>
      <c r="T730" s="4" t="str">
        <f>'Form responses 1'!AE732</f>
        <v/>
      </c>
      <c r="U730" s="4" t="str">
        <f>'Form responses 1'!AG732</f>
        <v/>
      </c>
      <c r="V730" s="4" t="str">
        <f>'Form responses 1'!AI732</f>
        <v/>
      </c>
      <c r="W730" s="4" t="str">
        <f>'Form responses 1'!AJ732</f>
        <v/>
      </c>
      <c r="X730" s="4" t="str">
        <f>'Form responses 1'!AK732</f>
        <v/>
      </c>
      <c r="Y730" s="4">
        <f t="shared" ref="Y730:AD730" si="729">if(S730&gt;0,1,0)</f>
        <v>0</v>
      </c>
      <c r="Z730" s="4">
        <f t="shared" si="729"/>
        <v>0</v>
      </c>
      <c r="AA730" s="4">
        <f t="shared" si="729"/>
        <v>0</v>
      </c>
      <c r="AB730" s="4">
        <f t="shared" si="729"/>
        <v>0</v>
      </c>
      <c r="AC730" s="4">
        <f t="shared" si="729"/>
        <v>0</v>
      </c>
      <c r="AD730" s="4">
        <f t="shared" si="729"/>
        <v>0</v>
      </c>
      <c r="AE730" s="4" t="str">
        <f>'Form responses 1'!AN732</f>
        <v/>
      </c>
      <c r="AF730" s="4" t="str">
        <f>'Form responses 1'!AO1851</f>
        <v/>
      </c>
      <c r="AG730" s="4" t="str">
        <f>'Form responses 1'!AP1851</f>
        <v/>
      </c>
      <c r="AH730" s="4" t="str">
        <f>'Form responses 1'!AQ1851</f>
        <v/>
      </c>
      <c r="AI730" s="4" t="str">
        <f>'Form responses 1'!AR1851</f>
        <v/>
      </c>
    </row>
    <row r="731">
      <c r="A731" s="26">
        <f>'Form responses 1'!B141</f>
        <v>46063</v>
      </c>
      <c r="B731" s="4" t="str">
        <f>'Form responses 1'!AZ141</f>
        <v>greeshma.vanneldas@capsdelivery.com</v>
      </c>
      <c r="C731" s="4" t="str">
        <f>'Form responses 1'!BR141</f>
        <v>Vaikuntapuram</v>
      </c>
      <c r="D731" s="4" t="str">
        <f>'Form responses 1'!AT141</f>
        <v/>
      </c>
      <c r="E731" s="4" t="str">
        <f>'Form responses 1'!AU141</f>
        <v>Yes</v>
      </c>
      <c r="F731" s="4" t="str">
        <f>'Form responses 1'!AX141</f>
        <v/>
      </c>
      <c r="G731" s="4" t="str">
        <f>'Form responses 1'!AY141</f>
        <v/>
      </c>
      <c r="H731" s="53" t="str">
        <f>'Form responses 1'!AW141</f>
        <v>Manager will be available after 7 pm</v>
      </c>
      <c r="I731" s="4" t="str">
        <f>'Form responses 1'!AS141</f>
        <v/>
      </c>
      <c r="J731" s="4" t="str">
        <f>'Form responses 1'!J141</f>
        <v>Tier-1(AOV&gt;400)</v>
      </c>
      <c r="K731" s="4">
        <f>'Form responses 1'!G141</f>
        <v>400</v>
      </c>
      <c r="L731" s="4">
        <f>'Form responses 1'!F141</f>
        <v>60</v>
      </c>
      <c r="M731" s="4" t="str">
        <f>'Form responses 1'!U141</f>
        <v>Venkatesh</v>
      </c>
      <c r="N731" s="4">
        <f>'Form responses 1'!V141</f>
        <v>9392857604</v>
      </c>
      <c r="O731" s="4" t="str">
        <f>'Form responses 1'!W141</f>
        <v>Na</v>
      </c>
      <c r="P731" s="4" t="str">
        <f>'Form responses 1'!X141</f>
        <v/>
      </c>
      <c r="Q731" s="4" t="str">
        <f>'Form responses 1'!Y141</f>
        <v/>
      </c>
      <c r="R731" s="4" t="str">
        <f>'Form responses 1'!Z141</f>
        <v/>
      </c>
      <c r="S731" s="4" t="str">
        <f>'Form responses 1'!AC141</f>
        <v/>
      </c>
      <c r="T731" s="4" t="str">
        <f>'Form responses 1'!AE141</f>
        <v/>
      </c>
      <c r="U731" s="4" t="str">
        <f>'Form responses 1'!AG141</f>
        <v/>
      </c>
      <c r="V731" s="4" t="str">
        <f>'Form responses 1'!AI141</f>
        <v/>
      </c>
      <c r="W731" s="4" t="str">
        <f>'Form responses 1'!AJ141</f>
        <v/>
      </c>
      <c r="X731" s="4" t="str">
        <f>'Form responses 1'!AK141</f>
        <v/>
      </c>
      <c r="Y731" s="4">
        <f t="shared" ref="Y731:AD731" si="730">if(S731&gt;0,1,0)</f>
        <v>0</v>
      </c>
      <c r="Z731" s="4">
        <f t="shared" si="730"/>
        <v>0</v>
      </c>
      <c r="AA731" s="4">
        <f t="shared" si="730"/>
        <v>0</v>
      </c>
      <c r="AB731" s="4">
        <f t="shared" si="730"/>
        <v>0</v>
      </c>
      <c r="AC731" s="4">
        <f t="shared" si="730"/>
        <v>0</v>
      </c>
      <c r="AD731" s="4">
        <f t="shared" si="730"/>
        <v>0</v>
      </c>
      <c r="AE731" s="4" t="str">
        <f>'Form responses 1'!AN141</f>
        <v/>
      </c>
      <c r="AF731" s="4" t="str">
        <f>'Form responses 1'!AO141</f>
        <v/>
      </c>
      <c r="AG731" s="4" t="str">
        <f>'Form responses 1'!AP141</f>
        <v/>
      </c>
      <c r="AH731" s="4" t="str">
        <f>'Form responses 1'!AQ141</f>
        <v/>
      </c>
      <c r="AI731" s="4" t="str">
        <f>'Form responses 1'!AR141</f>
        <v/>
      </c>
    </row>
    <row r="732">
      <c r="A732" s="26">
        <f>'Form responses 1'!B734</f>
        <v>46072</v>
      </c>
      <c r="B732" s="4" t="str">
        <f>'Form responses 1'!AZ734</f>
        <v>madhumitha.sonnakula@capsdelivery.com</v>
      </c>
      <c r="C732" s="4" t="str">
        <f>'Form responses 1'!BR734</f>
        <v>swach swach</v>
      </c>
      <c r="D732" s="4" t="str">
        <f>'Form responses 1'!AT734</f>
        <v>need to follow up</v>
      </c>
      <c r="E732" s="4" t="str">
        <f>'Form responses 1'!AU734</f>
        <v>Yes</v>
      </c>
      <c r="F732" s="4" t="str">
        <f>'Form responses 1'!AX734</f>
        <v/>
      </c>
      <c r="G732" s="4" t="str">
        <f>'Form responses 1'!AY734</f>
        <v/>
      </c>
      <c r="H732" s="53" t="str">
        <f>'Form responses 1'!AW734</f>
        <v/>
      </c>
      <c r="I732" s="4" t="str">
        <f>'Form responses 1'!AS734</f>
        <v/>
      </c>
      <c r="J732" s="4" t="str">
        <f>'Form responses 1'!J734</f>
        <v/>
      </c>
      <c r="K732" s="4" t="str">
        <f>'Form responses 1'!G734</f>
        <v/>
      </c>
      <c r="L732" s="4" t="str">
        <f>'Form responses 1'!F734</f>
        <v/>
      </c>
      <c r="M732" s="4" t="str">
        <f>'Form responses 1'!U734</f>
        <v>mangement</v>
      </c>
      <c r="N732" s="4">
        <f>'Form responses 1'!V734</f>
        <v>7893354044</v>
      </c>
      <c r="O732" s="4" t="str">
        <f>'Form responses 1'!W734</f>
        <v>na</v>
      </c>
      <c r="P732" s="4" t="str">
        <f>'Form responses 1'!X734</f>
        <v/>
      </c>
      <c r="Q732" s="4" t="str">
        <f>'Form responses 1'!Y734</f>
        <v/>
      </c>
      <c r="R732" s="4" t="str">
        <f>'Form responses 1'!Z734</f>
        <v/>
      </c>
      <c r="S732" s="4" t="str">
        <f>'Form responses 1'!AC734</f>
        <v/>
      </c>
      <c r="T732" s="4" t="str">
        <f>'Form responses 1'!AE734</f>
        <v/>
      </c>
      <c r="U732" s="4" t="str">
        <f>'Form responses 1'!AG734</f>
        <v/>
      </c>
      <c r="V732" s="4" t="str">
        <f>'Form responses 1'!AI734</f>
        <v/>
      </c>
      <c r="W732" s="4" t="str">
        <f>'Form responses 1'!AJ734</f>
        <v/>
      </c>
      <c r="X732" s="4" t="str">
        <f>'Form responses 1'!AK734</f>
        <v/>
      </c>
      <c r="Y732" s="4">
        <f t="shared" ref="Y732:AD732" si="731">if(S732&gt;0,1,0)</f>
        <v>0</v>
      </c>
      <c r="Z732" s="4">
        <f t="shared" si="731"/>
        <v>0</v>
      </c>
      <c r="AA732" s="4">
        <f t="shared" si="731"/>
        <v>0</v>
      </c>
      <c r="AB732" s="4">
        <f t="shared" si="731"/>
        <v>0</v>
      </c>
      <c r="AC732" s="4">
        <f t="shared" si="731"/>
        <v>0</v>
      </c>
      <c r="AD732" s="4">
        <f t="shared" si="731"/>
        <v>0</v>
      </c>
      <c r="AE732" s="4" t="str">
        <f>'Form responses 1'!AN734</f>
        <v/>
      </c>
      <c r="AF732" s="4" t="str">
        <f>'Form responses 1'!AO1853</f>
        <v/>
      </c>
      <c r="AG732" s="4" t="str">
        <f>'Form responses 1'!AP1853</f>
        <v/>
      </c>
      <c r="AH732" s="4" t="str">
        <f>'Form responses 1'!AQ1853</f>
        <v/>
      </c>
      <c r="AI732" s="4" t="str">
        <f>'Form responses 1'!AR1853</f>
        <v/>
      </c>
    </row>
    <row r="733">
      <c r="A733" s="26">
        <f>'Form responses 1'!B738</f>
        <v>46073</v>
      </c>
      <c r="B733" s="4" t="str">
        <f>'Form responses 1'!AZ738</f>
        <v>greeshma.vanneldas@capsdelivery.com</v>
      </c>
      <c r="C733" s="4" t="str">
        <f>'Form responses 1'!BR738</f>
        <v>Venkateshwara restaurent</v>
      </c>
      <c r="D733" s="4" t="str">
        <f>'Form responses 1'!AT738</f>
        <v>need to follow up</v>
      </c>
      <c r="E733" s="4" t="str">
        <f>'Form responses 1'!AU738</f>
        <v>Yes</v>
      </c>
      <c r="F733" s="4" t="str">
        <f>'Form responses 1'!AX738</f>
        <v/>
      </c>
      <c r="G733" s="4" t="str">
        <f>'Form responses 1'!AY738</f>
        <v/>
      </c>
      <c r="H733" s="53" t="str">
        <f>'Form responses 1'!AW738</f>
        <v/>
      </c>
      <c r="I733" s="4" t="str">
        <f>'Form responses 1'!AS738</f>
        <v/>
      </c>
      <c r="J733" s="4" t="str">
        <f>'Form responses 1'!J738</f>
        <v/>
      </c>
      <c r="K733" s="4" t="str">
        <f>'Form responses 1'!G738</f>
        <v/>
      </c>
      <c r="L733" s="4" t="str">
        <f>'Form responses 1'!F738</f>
        <v/>
      </c>
      <c r="M733" s="4" t="str">
        <f>'Form responses 1'!U738</f>
        <v>Suresh</v>
      </c>
      <c r="N733" s="4">
        <f>'Form responses 1'!V738</f>
        <v>8096301302</v>
      </c>
      <c r="O733" s="4" t="str">
        <f>'Form responses 1'!W738</f>
        <v>na</v>
      </c>
      <c r="P733" s="4" t="str">
        <f>'Form responses 1'!X738</f>
        <v>na</v>
      </c>
      <c r="Q733" s="4" t="str">
        <f>'Form responses 1'!Y738</f>
        <v/>
      </c>
      <c r="R733" s="4" t="str">
        <f>'Form responses 1'!Z738</f>
        <v/>
      </c>
      <c r="S733" s="4" t="str">
        <f>'Form responses 1'!AC738</f>
        <v/>
      </c>
      <c r="T733" s="4" t="str">
        <f>'Form responses 1'!AE738</f>
        <v/>
      </c>
      <c r="U733" s="4" t="str">
        <f>'Form responses 1'!AG738</f>
        <v/>
      </c>
      <c r="V733" s="4" t="str">
        <f>'Form responses 1'!AI738</f>
        <v/>
      </c>
      <c r="W733" s="4" t="str">
        <f>'Form responses 1'!AJ738</f>
        <v/>
      </c>
      <c r="X733" s="4" t="str">
        <f>'Form responses 1'!AK738</f>
        <v/>
      </c>
      <c r="Y733" s="4">
        <f t="shared" ref="Y733:AD733" si="732">if(S733&gt;0,1,0)</f>
        <v>0</v>
      </c>
      <c r="Z733" s="4">
        <f t="shared" si="732"/>
        <v>0</v>
      </c>
      <c r="AA733" s="4">
        <f t="shared" si="732"/>
        <v>0</v>
      </c>
      <c r="AB733" s="4">
        <f t="shared" si="732"/>
        <v>0</v>
      </c>
      <c r="AC733" s="4">
        <f t="shared" si="732"/>
        <v>0</v>
      </c>
      <c r="AD733" s="4">
        <f t="shared" si="732"/>
        <v>0</v>
      </c>
      <c r="AE733" s="4" t="str">
        <f>'Form responses 1'!AN738</f>
        <v/>
      </c>
      <c r="AF733" s="4" t="str">
        <f>'Form responses 1'!AO1857</f>
        <v/>
      </c>
      <c r="AG733" s="4" t="str">
        <f>'Form responses 1'!AP1857</f>
        <v/>
      </c>
      <c r="AH733" s="4" t="str">
        <f>'Form responses 1'!AQ1857</f>
        <v/>
      </c>
      <c r="AI733" s="4" t="str">
        <f>'Form responses 1'!AR1857</f>
        <v/>
      </c>
    </row>
    <row r="734">
      <c r="A734" s="26">
        <f>'Form responses 1'!B736</f>
        <v>46073</v>
      </c>
      <c r="B734" s="4" t="str">
        <f>'Form responses 1'!AZ736</f>
        <v>greeshma.vanneldas@capsdelivery.com</v>
      </c>
      <c r="C734" s="4" t="str">
        <f>'Form responses 1'!BR736</f>
        <v>Zaiqa 11 Zaiqa 11 </v>
      </c>
      <c r="D734" s="4" t="str">
        <f>'Form responses 1'!AT736</f>
        <v>ONBOARDED</v>
      </c>
      <c r="E734" s="4" t="str">
        <f>'Form responses 1'!AU736</f>
        <v>No</v>
      </c>
      <c r="F734" s="4" t="str">
        <f>'Form responses 1'!AX736</f>
        <v/>
      </c>
      <c r="G734" s="4" t="str">
        <f>'Form responses 1'!AY736</f>
        <v/>
      </c>
      <c r="H734" s="53" t="str">
        <f>'Form responses 1'!AW736</f>
        <v/>
      </c>
      <c r="I734" s="4" t="str">
        <f>'Form responses 1'!AS736</f>
        <v/>
      </c>
      <c r="J734" s="4" t="str">
        <f>'Form responses 1'!J736</f>
        <v/>
      </c>
      <c r="K734" s="4" t="str">
        <f>'Form responses 1'!G736</f>
        <v/>
      </c>
      <c r="L734" s="4" t="str">
        <f>'Form responses 1'!F736</f>
        <v/>
      </c>
      <c r="M734" s="4" t="str">
        <f>'Form responses 1'!U736</f>
        <v>Nithesh hussain</v>
      </c>
      <c r="N734" s="4">
        <f>'Form responses 1'!V736</f>
        <v>7893787203</v>
      </c>
      <c r="O734" s="4" t="str">
        <f>'Form responses 1'!W736</f>
        <v>na</v>
      </c>
      <c r="P734" s="4" t="str">
        <f>'Form responses 1'!X736</f>
        <v/>
      </c>
      <c r="Q734" s="4" t="str">
        <f>'Form responses 1'!Y736</f>
        <v/>
      </c>
      <c r="R734" s="4" t="str">
        <f>'Form responses 1'!Z736</f>
        <v/>
      </c>
      <c r="S734" s="4" t="str">
        <f>'Form responses 1'!AC736</f>
        <v/>
      </c>
      <c r="T734" s="4" t="str">
        <f>'Form responses 1'!AE736</f>
        <v/>
      </c>
      <c r="U734" s="4" t="str">
        <f>'Form responses 1'!AG736</f>
        <v/>
      </c>
      <c r="V734" s="4" t="str">
        <f>'Form responses 1'!AI736</f>
        <v/>
      </c>
      <c r="W734" s="4" t="str">
        <f>'Form responses 1'!AJ736</f>
        <v/>
      </c>
      <c r="X734" s="4" t="str">
        <f>'Form responses 1'!AK736</f>
        <v/>
      </c>
      <c r="Y734" s="4">
        <f t="shared" ref="Y734:AD734" si="733">if(S734&gt;0,1,0)</f>
        <v>0</v>
      </c>
      <c r="Z734" s="4">
        <f t="shared" si="733"/>
        <v>0</v>
      </c>
      <c r="AA734" s="4">
        <f t="shared" si="733"/>
        <v>0</v>
      </c>
      <c r="AB734" s="4">
        <f t="shared" si="733"/>
        <v>0</v>
      </c>
      <c r="AC734" s="4">
        <f t="shared" si="733"/>
        <v>0</v>
      </c>
      <c r="AD734" s="4">
        <f t="shared" si="733"/>
        <v>0</v>
      </c>
      <c r="AE734" s="4" t="str">
        <f>'Form responses 1'!AN736</f>
        <v/>
      </c>
      <c r="AF734" s="4" t="str">
        <f>'Form responses 1'!AO1855</f>
        <v/>
      </c>
      <c r="AG734" s="4" t="str">
        <f>'Form responses 1'!AP1855</f>
        <v/>
      </c>
      <c r="AH734" s="4" t="str">
        <f>'Form responses 1'!AQ1855</f>
        <v/>
      </c>
      <c r="AI734" s="4" t="str">
        <f>'Form responses 1'!AR1855</f>
        <v/>
      </c>
    </row>
    <row r="735">
      <c r="A735" s="26">
        <f>'Form responses 1'!B737</f>
        <v>46072</v>
      </c>
      <c r="B735" s="4" t="str">
        <f>'Form responses 1'!AZ737</f>
        <v>madhumitha.sonnakula@capsdelivery.com</v>
      </c>
      <c r="C735" s="4" t="str">
        <f>'Form responses 1'!BR737</f>
        <v>abhiruchi sagurha foods</v>
      </c>
      <c r="D735" s="4" t="str">
        <f>'Form responses 1'!AT737</f>
        <v>need to follow up</v>
      </c>
      <c r="E735" s="4" t="str">
        <f>'Form responses 1'!AU737</f>
        <v>Yes</v>
      </c>
      <c r="F735" s="4" t="str">
        <f>'Form responses 1'!AX737</f>
        <v/>
      </c>
      <c r="G735" s="4" t="str">
        <f>'Form responses 1'!AY737</f>
        <v/>
      </c>
      <c r="H735" s="53" t="str">
        <f>'Form responses 1'!AW737</f>
        <v/>
      </c>
      <c r="I735" s="4" t="str">
        <f>'Form responses 1'!AS737</f>
        <v/>
      </c>
      <c r="J735" s="4" t="str">
        <f>'Form responses 1'!J737</f>
        <v>Tier-1(AOV&gt;400)</v>
      </c>
      <c r="K735" s="4">
        <f>'Form responses 1'!G737</f>
        <v>800</v>
      </c>
      <c r="L735" s="4">
        <f>'Form responses 1'!F737</f>
        <v>20</v>
      </c>
      <c r="M735" s="4" t="str">
        <f>'Form responses 1'!U737</f>
        <v>management</v>
      </c>
      <c r="N735" s="4">
        <f>'Form responses 1'!V737</f>
        <v>9502201776</v>
      </c>
      <c r="O735" s="4" t="str">
        <f>'Form responses 1'!W737</f>
        <v>na</v>
      </c>
      <c r="P735" s="4" t="str">
        <f>'Form responses 1'!X737</f>
        <v/>
      </c>
      <c r="Q735" s="4" t="str">
        <f>'Form responses 1'!Y737</f>
        <v/>
      </c>
      <c r="R735" s="4" t="str">
        <f>'Form responses 1'!Z737</f>
        <v/>
      </c>
      <c r="S735" s="4" t="str">
        <f>'Form responses 1'!AC737</f>
        <v/>
      </c>
      <c r="T735" s="4" t="str">
        <f>'Form responses 1'!AE737</f>
        <v/>
      </c>
      <c r="U735" s="4" t="str">
        <f>'Form responses 1'!AG737</f>
        <v/>
      </c>
      <c r="V735" s="4" t="str">
        <f>'Form responses 1'!AI737</f>
        <v/>
      </c>
      <c r="W735" s="4" t="str">
        <f>'Form responses 1'!AJ737</f>
        <v/>
      </c>
      <c r="X735" s="4" t="str">
        <f>'Form responses 1'!AK737</f>
        <v/>
      </c>
      <c r="Y735" s="4">
        <f t="shared" ref="Y735:AD735" si="734">if(S735&gt;0,1,0)</f>
        <v>0</v>
      </c>
      <c r="Z735" s="4">
        <f t="shared" si="734"/>
        <v>0</v>
      </c>
      <c r="AA735" s="4">
        <f t="shared" si="734"/>
        <v>0</v>
      </c>
      <c r="AB735" s="4">
        <f t="shared" si="734"/>
        <v>0</v>
      </c>
      <c r="AC735" s="4">
        <f t="shared" si="734"/>
        <v>0</v>
      </c>
      <c r="AD735" s="4">
        <f t="shared" si="734"/>
        <v>0</v>
      </c>
      <c r="AE735" s="4" t="str">
        <f>'Form responses 1'!AN737</f>
        <v/>
      </c>
      <c r="AF735" s="4" t="str">
        <f>'Form responses 1'!AO1856</f>
        <v/>
      </c>
      <c r="AG735" s="4" t="str">
        <f>'Form responses 1'!AP1856</f>
        <v/>
      </c>
      <c r="AH735" s="4" t="str">
        <f>'Form responses 1'!AQ1856</f>
        <v/>
      </c>
      <c r="AI735" s="4" t="str">
        <f>'Form responses 1'!AR1856</f>
        <v/>
      </c>
    </row>
    <row r="736">
      <c r="A736" s="26">
        <f>'Form responses 1'!B683</f>
        <v>46073</v>
      </c>
      <c r="B736" s="4" t="str">
        <f>'Form responses 1'!AZ683</f>
        <v>greeshma.vanneldas@capsdelivery.com</v>
      </c>
      <c r="C736" s="4" t="str">
        <f>'Form responses 1'!BR683</f>
        <v>Venkateswara foods</v>
      </c>
      <c r="D736" s="4" t="str">
        <f>'Form responses 1'!AT683</f>
        <v>Discussion done with manager need to discuss with owner I will follow up </v>
      </c>
      <c r="E736" s="4" t="str">
        <f>'Form responses 1'!AU683</f>
        <v>Yes</v>
      </c>
      <c r="F736" s="4" t="str">
        <f>'Form responses 1'!AX683</f>
        <v/>
      </c>
      <c r="G736" s="4" t="str">
        <f>'Form responses 1'!AY683</f>
        <v/>
      </c>
      <c r="H736" s="53" t="str">
        <f>'Form responses 1'!AW683</f>
        <v/>
      </c>
      <c r="I736" s="4" t="str">
        <f>'Form responses 1'!AS683</f>
        <v/>
      </c>
      <c r="J736" s="4" t="str">
        <f>'Form responses 1'!J683</f>
        <v/>
      </c>
      <c r="K736" s="4" t="str">
        <f>'Form responses 1'!G683</f>
        <v/>
      </c>
      <c r="L736" s="4" t="str">
        <f>'Form responses 1'!F683</f>
        <v/>
      </c>
      <c r="M736" s="4" t="str">
        <f>'Form responses 1'!U683</f>
        <v>Suresh</v>
      </c>
      <c r="N736" s="4">
        <f>'Form responses 1'!V683</f>
        <v>8096301302</v>
      </c>
      <c r="O736" s="4" t="str">
        <f>'Form responses 1'!W683</f>
        <v>Na</v>
      </c>
      <c r="P736" s="4" t="str">
        <f>'Form responses 1'!X683</f>
        <v/>
      </c>
      <c r="Q736" s="4" t="str">
        <f>'Form responses 1'!Y683</f>
        <v/>
      </c>
      <c r="R736" s="4" t="str">
        <f>'Form responses 1'!Z683</f>
        <v/>
      </c>
      <c r="S736" s="4" t="str">
        <f>'Form responses 1'!AC683</f>
        <v/>
      </c>
      <c r="T736" s="4" t="str">
        <f>'Form responses 1'!AE683</f>
        <v/>
      </c>
      <c r="U736" s="4" t="str">
        <f>'Form responses 1'!AG683</f>
        <v/>
      </c>
      <c r="V736" s="4" t="str">
        <f>'Form responses 1'!AI683</f>
        <v/>
      </c>
      <c r="W736" s="4" t="str">
        <f>'Form responses 1'!AJ683</f>
        <v/>
      </c>
      <c r="X736" s="4" t="str">
        <f>'Form responses 1'!AK683</f>
        <v/>
      </c>
      <c r="Y736" s="4">
        <f t="shared" ref="Y736:AD736" si="735">if(S736&gt;0,1,0)</f>
        <v>0</v>
      </c>
      <c r="Z736" s="4">
        <f t="shared" si="735"/>
        <v>0</v>
      </c>
      <c r="AA736" s="4">
        <f t="shared" si="735"/>
        <v>0</v>
      </c>
      <c r="AB736" s="4">
        <f t="shared" si="735"/>
        <v>0</v>
      </c>
      <c r="AC736" s="4">
        <f t="shared" si="735"/>
        <v>0</v>
      </c>
      <c r="AD736" s="4">
        <f t="shared" si="735"/>
        <v>0</v>
      </c>
      <c r="AE736" s="4" t="str">
        <f>'Form responses 1'!AN683</f>
        <v/>
      </c>
      <c r="AF736" s="4" t="str">
        <f>'Form responses 1'!AO1802</f>
        <v/>
      </c>
      <c r="AG736" s="4" t="str">
        <f>'Form responses 1'!AP1802</f>
        <v/>
      </c>
      <c r="AH736" s="4" t="str">
        <f>'Form responses 1'!AQ1802</f>
        <v/>
      </c>
      <c r="AI736" s="4" t="str">
        <f>'Form responses 1'!AR1802</f>
        <v/>
      </c>
    </row>
    <row r="737">
      <c r="A737" s="26">
        <f>'Form responses 1'!B739</f>
        <v>46072</v>
      </c>
      <c r="B737" s="4" t="str">
        <f>'Form responses 1'!AZ739</f>
        <v>madhumitha.sonnakula@capsdelivery.com</v>
      </c>
      <c r="C737" s="4" t="str">
        <f>'Form responses 1'!BR739</f>
        <v>vellanki vellanki</v>
      </c>
      <c r="D737" s="4" t="str">
        <f>'Form responses 1'!AT739</f>
        <v>follow up</v>
      </c>
      <c r="E737" s="4" t="str">
        <f>'Form responses 1'!AU739</f>
        <v>No</v>
      </c>
      <c r="F737" s="4" t="str">
        <f>'Form responses 1'!AX739</f>
        <v/>
      </c>
      <c r="G737" s="4" t="str">
        <f>'Form responses 1'!AY739</f>
        <v/>
      </c>
      <c r="H737" s="53" t="str">
        <f>'Form responses 1'!AW739</f>
        <v/>
      </c>
      <c r="I737" s="4" t="str">
        <f>'Form responses 1'!AS739</f>
        <v/>
      </c>
      <c r="J737" s="4" t="str">
        <f>'Form responses 1'!J739</f>
        <v/>
      </c>
      <c r="K737" s="4" t="str">
        <f>'Form responses 1'!G739</f>
        <v/>
      </c>
      <c r="L737" s="4" t="str">
        <f>'Form responses 1'!F739</f>
        <v/>
      </c>
      <c r="M737" s="4" t="str">
        <f>'Form responses 1'!U739</f>
        <v>management</v>
      </c>
      <c r="N737" s="4">
        <f>'Form responses 1'!V739</f>
        <v>9100225500</v>
      </c>
      <c r="O737" s="4" t="str">
        <f>'Form responses 1'!W739</f>
        <v>vellankifood89@gmail.com</v>
      </c>
      <c r="P737" s="4" t="str">
        <f>'Form responses 1'!X739</f>
        <v/>
      </c>
      <c r="Q737" s="4" t="str">
        <f>'Form responses 1'!Y739</f>
        <v/>
      </c>
      <c r="R737" s="4" t="str">
        <f>'Form responses 1'!Z739</f>
        <v/>
      </c>
      <c r="S737" s="4" t="str">
        <f>'Form responses 1'!AC739</f>
        <v/>
      </c>
      <c r="T737" s="4" t="str">
        <f>'Form responses 1'!AE739</f>
        <v/>
      </c>
      <c r="U737" s="4" t="str">
        <f>'Form responses 1'!AG739</f>
        <v/>
      </c>
      <c r="V737" s="4" t="str">
        <f>'Form responses 1'!AI739</f>
        <v/>
      </c>
      <c r="W737" s="4" t="str">
        <f>'Form responses 1'!AJ739</f>
        <v/>
      </c>
      <c r="X737" s="4" t="str">
        <f>'Form responses 1'!AK739</f>
        <v/>
      </c>
      <c r="Y737" s="4">
        <f t="shared" ref="Y737:AD737" si="736">if(S737&gt;0,1,0)</f>
        <v>0</v>
      </c>
      <c r="Z737" s="4">
        <f t="shared" si="736"/>
        <v>0</v>
      </c>
      <c r="AA737" s="4">
        <f t="shared" si="736"/>
        <v>0</v>
      </c>
      <c r="AB737" s="4">
        <f t="shared" si="736"/>
        <v>0</v>
      </c>
      <c r="AC737" s="4">
        <f t="shared" si="736"/>
        <v>0</v>
      </c>
      <c r="AD737" s="4">
        <f t="shared" si="736"/>
        <v>0</v>
      </c>
      <c r="AE737" s="4" t="str">
        <f>'Form responses 1'!AN739</f>
        <v/>
      </c>
      <c r="AF737" s="4" t="str">
        <f>'Form responses 1'!AO1858</f>
        <v/>
      </c>
      <c r="AG737" s="4" t="str">
        <f>'Form responses 1'!AP1858</f>
        <v/>
      </c>
      <c r="AH737" s="4" t="str">
        <f>'Form responses 1'!AQ1858</f>
        <v/>
      </c>
      <c r="AI737" s="4" t="str">
        <f>'Form responses 1'!AR1858</f>
        <v/>
      </c>
    </row>
    <row r="738">
      <c r="A738" s="26">
        <f>'Form responses 1'!B546</f>
        <v>46070</v>
      </c>
      <c r="B738" s="4" t="str">
        <f>'Form responses 1'!AZ546</f>
        <v>greeshma.vanneldas@capsdelivery.com</v>
      </c>
      <c r="C738" s="4" t="str">
        <f>'Form responses 1'!BR546</f>
        <v>Vrindhavan kitchen</v>
      </c>
      <c r="D738" s="4" t="str">
        <f>'Form responses 1'!AT546</f>
        <v>didnt shared any details</v>
      </c>
      <c r="E738" s="4" t="str">
        <f>'Form responses 1'!AU546</f>
        <v>Yes</v>
      </c>
      <c r="F738" s="4" t="str">
        <f>'Form responses 1'!AX546</f>
        <v/>
      </c>
      <c r="G738" s="4" t="str">
        <f>'Form responses 1'!AY546</f>
        <v/>
      </c>
      <c r="H738" s="53" t="str">
        <f>'Form responses 1'!AW546</f>
        <v/>
      </c>
      <c r="I738" s="4" t="str">
        <f>'Form responses 1'!AS546</f>
        <v/>
      </c>
      <c r="J738" s="4" t="str">
        <f>'Form responses 1'!J546</f>
        <v/>
      </c>
      <c r="K738" s="4" t="str">
        <f>'Form responses 1'!G546</f>
        <v/>
      </c>
      <c r="L738" s="4" t="str">
        <f>'Form responses 1'!F546</f>
        <v/>
      </c>
      <c r="M738" s="4" t="str">
        <f>'Form responses 1'!U546</f>
        <v>na</v>
      </c>
      <c r="N738" s="4" t="str">
        <f>'Form responses 1'!V546</f>
        <v>na</v>
      </c>
      <c r="O738" s="4" t="str">
        <f>'Form responses 1'!W546</f>
        <v>na</v>
      </c>
      <c r="P738" s="4" t="str">
        <f>'Form responses 1'!X546</f>
        <v/>
      </c>
      <c r="Q738" s="4" t="str">
        <f>'Form responses 1'!Y546</f>
        <v/>
      </c>
      <c r="R738" s="4" t="str">
        <f>'Form responses 1'!Z546</f>
        <v/>
      </c>
      <c r="S738" s="4" t="str">
        <f>'Form responses 1'!AC546</f>
        <v/>
      </c>
      <c r="T738" s="4" t="str">
        <f>'Form responses 1'!AE546</f>
        <v/>
      </c>
      <c r="U738" s="4" t="str">
        <f>'Form responses 1'!AG546</f>
        <v/>
      </c>
      <c r="V738" s="4" t="str">
        <f>'Form responses 1'!AI546</f>
        <v/>
      </c>
      <c r="W738" s="4" t="str">
        <f>'Form responses 1'!AJ546</f>
        <v/>
      </c>
      <c r="X738" s="4" t="str">
        <f>'Form responses 1'!AK546</f>
        <v/>
      </c>
      <c r="Y738" s="4">
        <f t="shared" ref="Y738:AD738" si="737">if(S738&gt;0,1,0)</f>
        <v>0</v>
      </c>
      <c r="Z738" s="4">
        <f t="shared" si="737"/>
        <v>0</v>
      </c>
      <c r="AA738" s="4">
        <f t="shared" si="737"/>
        <v>0</v>
      </c>
      <c r="AB738" s="4">
        <f t="shared" si="737"/>
        <v>0</v>
      </c>
      <c r="AC738" s="4">
        <f t="shared" si="737"/>
        <v>0</v>
      </c>
      <c r="AD738" s="4">
        <f t="shared" si="737"/>
        <v>0</v>
      </c>
      <c r="AE738" s="4" t="str">
        <f>'Form responses 1'!AN546</f>
        <v/>
      </c>
      <c r="AF738" s="4" t="str">
        <f>'Form responses 1'!AO546</f>
        <v/>
      </c>
      <c r="AG738" s="4" t="str">
        <f>'Form responses 1'!AP546</f>
        <v/>
      </c>
      <c r="AH738" s="4" t="str">
        <f>'Form responses 1'!AQ546</f>
        <v/>
      </c>
      <c r="AI738" s="4" t="str">
        <f>'Form responses 1'!AR546</f>
        <v/>
      </c>
    </row>
    <row r="739">
      <c r="A739" s="26">
        <f>'Form responses 1'!B741</f>
        <v>46072</v>
      </c>
      <c r="B739" s="4" t="str">
        <f>'Form responses 1'!AZ741</f>
        <v>madhumitha.sonnakula@capsdelivery.com</v>
      </c>
      <c r="C739" s="4" t="str">
        <f>'Form responses 1'!BR741</f>
        <v>thrivesome cafethrive some cafe and cpo</v>
      </c>
      <c r="D739" s="4" t="str">
        <f>'Form responses 1'!AT741</f>
        <v>followup</v>
      </c>
      <c r="E739" s="4" t="str">
        <f>'Form responses 1'!AU741</f>
        <v>Yes</v>
      </c>
      <c r="F739" s="4" t="str">
        <f>'Form responses 1'!AX741</f>
        <v/>
      </c>
      <c r="G739" s="4" t="str">
        <f>'Form responses 1'!AY741</f>
        <v/>
      </c>
      <c r="H739" s="53" t="str">
        <f>'Form responses 1'!AW741</f>
        <v/>
      </c>
      <c r="I739" s="4" t="str">
        <f>'Form responses 1'!AS741</f>
        <v/>
      </c>
      <c r="J739" s="4" t="str">
        <f>'Form responses 1'!J741</f>
        <v/>
      </c>
      <c r="K739" s="4" t="str">
        <f>'Form responses 1'!G741</f>
        <v/>
      </c>
      <c r="L739" s="4" t="str">
        <f>'Form responses 1'!F741</f>
        <v/>
      </c>
      <c r="M739" s="4" t="str">
        <f>'Form responses 1'!U741</f>
        <v>pravallika </v>
      </c>
      <c r="N739" s="4">
        <f>'Form responses 1'!V741</f>
        <v>6304257429</v>
      </c>
      <c r="O739" s="4" t="str">
        <f>'Form responses 1'!W741</f>
        <v>na</v>
      </c>
      <c r="P739" s="4" t="str">
        <f>'Form responses 1'!X741</f>
        <v/>
      </c>
      <c r="Q739" s="4" t="str">
        <f>'Form responses 1'!Y741</f>
        <v/>
      </c>
      <c r="R739" s="4" t="str">
        <f>'Form responses 1'!Z741</f>
        <v/>
      </c>
      <c r="S739" s="4" t="str">
        <f>'Form responses 1'!AC741</f>
        <v/>
      </c>
      <c r="T739" s="4" t="str">
        <f>'Form responses 1'!AE741</f>
        <v/>
      </c>
      <c r="U739" s="4" t="str">
        <f>'Form responses 1'!AG741</f>
        <v/>
      </c>
      <c r="V739" s="4" t="str">
        <f>'Form responses 1'!AI741</f>
        <v/>
      </c>
      <c r="W739" s="4" t="str">
        <f>'Form responses 1'!AJ741</f>
        <v/>
      </c>
      <c r="X739" s="4" t="str">
        <f>'Form responses 1'!AK741</f>
        <v/>
      </c>
      <c r="Y739" s="4">
        <f t="shared" ref="Y739:AD739" si="738">if(S739&gt;0,1,0)</f>
        <v>0</v>
      </c>
      <c r="Z739" s="4">
        <f t="shared" si="738"/>
        <v>0</v>
      </c>
      <c r="AA739" s="4">
        <f t="shared" si="738"/>
        <v>0</v>
      </c>
      <c r="AB739" s="4">
        <f t="shared" si="738"/>
        <v>0</v>
      </c>
      <c r="AC739" s="4">
        <f t="shared" si="738"/>
        <v>0</v>
      </c>
      <c r="AD739" s="4">
        <f t="shared" si="738"/>
        <v>0</v>
      </c>
      <c r="AE739" s="4" t="str">
        <f>'Form responses 1'!AN741</f>
        <v/>
      </c>
      <c r="AF739" s="4" t="str">
        <f>'Form responses 1'!AO1860</f>
        <v/>
      </c>
      <c r="AG739" s="4" t="str">
        <f>'Form responses 1'!AP1860</f>
        <v/>
      </c>
      <c r="AH739" s="4" t="str">
        <f>'Form responses 1'!AQ1860</f>
        <v/>
      </c>
      <c r="AI739" s="4" t="str">
        <f>'Form responses 1'!AR1860</f>
        <v/>
      </c>
    </row>
    <row r="740">
      <c r="A740" s="26">
        <f>'Form responses 1'!B742</f>
        <v>46073</v>
      </c>
      <c r="B740" s="4" t="str">
        <f>'Form responses 1'!AZ742</f>
        <v>greeshma.vanneldas@capsdelivery.com</v>
      </c>
      <c r="C740" s="4" t="str">
        <f>'Form responses 1'!BR742</f>
        <v>Godhavari ruchulu</v>
      </c>
      <c r="D740" s="4" t="str">
        <f>'Form responses 1'!AT742</f>
        <v>Onboarding on monday</v>
      </c>
      <c r="E740" s="4" t="str">
        <f>'Form responses 1'!AU742</f>
        <v>Yes</v>
      </c>
      <c r="F740" s="4" t="str">
        <f>'Form responses 1'!AX742</f>
        <v/>
      </c>
      <c r="G740" s="4" t="str">
        <f>'Form responses 1'!AY742</f>
        <v/>
      </c>
      <c r="H740" s="53" t="str">
        <f>'Form responses 1'!AW742</f>
        <v/>
      </c>
      <c r="I740" s="4" t="str">
        <f>'Form responses 1'!AS742</f>
        <v/>
      </c>
      <c r="J740" s="4" t="str">
        <f>'Form responses 1'!J742</f>
        <v/>
      </c>
      <c r="K740" s="4" t="str">
        <f>'Form responses 1'!G742</f>
        <v/>
      </c>
      <c r="L740" s="4" t="str">
        <f>'Form responses 1'!F742</f>
        <v/>
      </c>
      <c r="M740" s="4" t="str">
        <f>'Form responses 1'!U742</f>
        <v>surya</v>
      </c>
      <c r="N740" s="4">
        <f>'Form responses 1'!V742</f>
        <v>6300978030</v>
      </c>
      <c r="O740" s="4" t="str">
        <f>'Form responses 1'!W742</f>
        <v>na</v>
      </c>
      <c r="P740" s="4" t="str">
        <f>'Form responses 1'!X742</f>
        <v/>
      </c>
      <c r="Q740" s="4" t="str">
        <f>'Form responses 1'!Y742</f>
        <v/>
      </c>
      <c r="R740" s="4" t="str">
        <f>'Form responses 1'!Z742</f>
        <v/>
      </c>
      <c r="S740" s="4" t="str">
        <f>'Form responses 1'!AC742</f>
        <v/>
      </c>
      <c r="T740" s="4" t="str">
        <f>'Form responses 1'!AE742</f>
        <v/>
      </c>
      <c r="U740" s="4" t="str">
        <f>'Form responses 1'!AG742</f>
        <v/>
      </c>
      <c r="V740" s="4" t="str">
        <f>'Form responses 1'!AI742</f>
        <v/>
      </c>
      <c r="W740" s="4" t="str">
        <f>'Form responses 1'!AJ742</f>
        <v/>
      </c>
      <c r="X740" s="4" t="str">
        <f>'Form responses 1'!AK742</f>
        <v/>
      </c>
      <c r="Y740" s="4">
        <f t="shared" ref="Y740:AD740" si="739">if(S740&gt;0,1,0)</f>
        <v>0</v>
      </c>
      <c r="Z740" s="4">
        <f t="shared" si="739"/>
        <v>0</v>
      </c>
      <c r="AA740" s="4">
        <f t="shared" si="739"/>
        <v>0</v>
      </c>
      <c r="AB740" s="4">
        <f t="shared" si="739"/>
        <v>0</v>
      </c>
      <c r="AC740" s="4">
        <f t="shared" si="739"/>
        <v>0</v>
      </c>
      <c r="AD740" s="4">
        <f t="shared" si="739"/>
        <v>0</v>
      </c>
      <c r="AE740" s="4" t="str">
        <f>'Form responses 1'!AN742</f>
        <v/>
      </c>
      <c r="AF740" s="4" t="str">
        <f>'Form responses 1'!AO1861</f>
        <v/>
      </c>
      <c r="AG740" s="4" t="str">
        <f>'Form responses 1'!AP1861</f>
        <v/>
      </c>
      <c r="AH740" s="4" t="str">
        <f>'Form responses 1'!AQ1861</f>
        <v/>
      </c>
      <c r="AI740" s="4" t="str">
        <f>'Form responses 1'!AR1861</f>
        <v/>
      </c>
    </row>
    <row r="741">
      <c r="A741" s="26">
        <f>'Form responses 1'!B684</f>
        <v>46073</v>
      </c>
      <c r="B741" s="4" t="str">
        <f>'Form responses 1'!AZ684</f>
        <v>greeshma.vanneldas@capsdelivery.com</v>
      </c>
      <c r="C741" s="4" t="str">
        <f>'Form responses 1'!BR684</f>
        <v>Zaiqa 11</v>
      </c>
      <c r="D741" s="4" t="str">
        <f>'Form responses 1'!AT684</f>
        <v>Discussion done with 2partners need to discuss with another partner </v>
      </c>
      <c r="E741" s="4" t="str">
        <f>'Form responses 1'!AU684</f>
        <v>Yes</v>
      </c>
      <c r="F741" s="4" t="str">
        <f>'Form responses 1'!AX684</f>
        <v/>
      </c>
      <c r="G741" s="4" t="str">
        <f>'Form responses 1'!AY684</f>
        <v/>
      </c>
      <c r="H741" s="53" t="str">
        <f>'Form responses 1'!AW684</f>
        <v/>
      </c>
      <c r="I741" s="4" t="str">
        <f>'Form responses 1'!AS684</f>
        <v/>
      </c>
      <c r="J741" s="4" t="str">
        <f>'Form responses 1'!J684</f>
        <v>Tier-2 (AOV &lt;400)</v>
      </c>
      <c r="K741" s="4">
        <f>'Form responses 1'!G684</f>
        <v>300</v>
      </c>
      <c r="L741" s="4">
        <f>'Form responses 1'!F684</f>
        <v>20</v>
      </c>
      <c r="M741" s="4" t="str">
        <f>'Form responses 1'!U684</f>
        <v>Hussain </v>
      </c>
      <c r="N741" s="4">
        <f>'Form responses 1'!V684</f>
        <v>7893787203</v>
      </c>
      <c r="O741" s="4" t="str">
        <f>'Form responses 1'!W684</f>
        <v> Na</v>
      </c>
      <c r="P741" s="4" t="str">
        <f>'Form responses 1'!X684</f>
        <v/>
      </c>
      <c r="Q741" s="4" t="str">
        <f>'Form responses 1'!Y684</f>
        <v/>
      </c>
      <c r="R741" s="4" t="str">
        <f>'Form responses 1'!Z684</f>
        <v/>
      </c>
      <c r="S741" s="4" t="str">
        <f>'Form responses 1'!AC684</f>
        <v/>
      </c>
      <c r="T741" s="4" t="str">
        <f>'Form responses 1'!AE684</f>
        <v/>
      </c>
      <c r="U741" s="4" t="str">
        <f>'Form responses 1'!AG684</f>
        <v/>
      </c>
      <c r="V741" s="4" t="str">
        <f>'Form responses 1'!AI684</f>
        <v/>
      </c>
      <c r="W741" s="4" t="str">
        <f>'Form responses 1'!AJ684</f>
        <v/>
      </c>
      <c r="X741" s="4" t="str">
        <f>'Form responses 1'!AK684</f>
        <v/>
      </c>
      <c r="Y741" s="4">
        <f t="shared" ref="Y741:AD741" si="740">if(S741&gt;0,1,0)</f>
        <v>0</v>
      </c>
      <c r="Z741" s="4">
        <f t="shared" si="740"/>
        <v>0</v>
      </c>
      <c r="AA741" s="4">
        <f t="shared" si="740"/>
        <v>0</v>
      </c>
      <c r="AB741" s="4">
        <f t="shared" si="740"/>
        <v>0</v>
      </c>
      <c r="AC741" s="4">
        <f t="shared" si="740"/>
        <v>0</v>
      </c>
      <c r="AD741" s="4">
        <f t="shared" si="740"/>
        <v>0</v>
      </c>
      <c r="AE741" s="4" t="str">
        <f>'Form responses 1'!AN684</f>
        <v/>
      </c>
      <c r="AF741" s="4" t="str">
        <f>'Form responses 1'!AO1803</f>
        <v/>
      </c>
      <c r="AG741" s="4" t="str">
        <f>'Form responses 1'!AP1803</f>
        <v/>
      </c>
      <c r="AH741" s="4" t="str">
        <f>'Form responses 1'!AQ1803</f>
        <v/>
      </c>
      <c r="AI741" s="4" t="str">
        <f>'Form responses 1'!AR1803</f>
        <v/>
      </c>
    </row>
    <row r="742">
      <c r="A742" s="26">
        <f>'Form responses 1'!B744</f>
        <v>46073</v>
      </c>
      <c r="B742" s="4" t="str">
        <f>'Form responses 1'!AZ744</f>
        <v>greeshma.vanneldas@capsdelivery.com</v>
      </c>
      <c r="C742" s="4" t="str">
        <f>'Form responses 1'!BR744</f>
        <v>Zafaron shawarma and chinese fast foodZafaron shawarma and chinese fast food</v>
      </c>
      <c r="D742" s="4" t="str">
        <f>'Form responses 1'!AT744</f>
        <v>ONBOARDED</v>
      </c>
      <c r="E742" s="4" t="str">
        <f>'Form responses 1'!AU744</f>
        <v>No</v>
      </c>
      <c r="F742" s="4" t="str">
        <f>'Form responses 1'!AX744</f>
        <v/>
      </c>
      <c r="G742" s="4" t="str">
        <f>'Form responses 1'!AY744</f>
        <v/>
      </c>
      <c r="H742" s="53" t="str">
        <f>'Form responses 1'!AW744</f>
        <v/>
      </c>
      <c r="I742" s="4" t="str">
        <f>'Form responses 1'!AS744</f>
        <v/>
      </c>
      <c r="J742" s="4" t="str">
        <f>'Form responses 1'!J744</f>
        <v/>
      </c>
      <c r="K742" s="4" t="str">
        <f>'Form responses 1'!G744</f>
        <v/>
      </c>
      <c r="L742" s="4" t="str">
        <f>'Form responses 1'!F744</f>
        <v/>
      </c>
      <c r="M742" s="4" t="str">
        <f>'Form responses 1'!U744</f>
        <v>na</v>
      </c>
      <c r="N742" s="4" t="str">
        <f>'Form responses 1'!V744</f>
        <v>na</v>
      </c>
      <c r="O742" s="4" t="str">
        <f>'Form responses 1'!W744</f>
        <v>na</v>
      </c>
      <c r="P742" s="4" t="str">
        <f>'Form responses 1'!X744</f>
        <v/>
      </c>
      <c r="Q742" s="4" t="str">
        <f>'Form responses 1'!Y744</f>
        <v/>
      </c>
      <c r="R742" s="4" t="str">
        <f>'Form responses 1'!Z744</f>
        <v/>
      </c>
      <c r="S742" s="4" t="str">
        <f>'Form responses 1'!AC744</f>
        <v/>
      </c>
      <c r="T742" s="4" t="str">
        <f>'Form responses 1'!AE744</f>
        <v/>
      </c>
      <c r="U742" s="4" t="str">
        <f>'Form responses 1'!AG744</f>
        <v/>
      </c>
      <c r="V742" s="4" t="str">
        <f>'Form responses 1'!AI744</f>
        <v/>
      </c>
      <c r="W742" s="4" t="str">
        <f>'Form responses 1'!AJ744</f>
        <v/>
      </c>
      <c r="X742" s="4" t="str">
        <f>'Form responses 1'!AK744</f>
        <v/>
      </c>
      <c r="Y742" s="4">
        <f t="shared" ref="Y742:AD742" si="741">if(S742&gt;0,1,0)</f>
        <v>0</v>
      </c>
      <c r="Z742" s="4">
        <f t="shared" si="741"/>
        <v>0</v>
      </c>
      <c r="AA742" s="4">
        <f t="shared" si="741"/>
        <v>0</v>
      </c>
      <c r="AB742" s="4">
        <f t="shared" si="741"/>
        <v>0</v>
      </c>
      <c r="AC742" s="4">
        <f t="shared" si="741"/>
        <v>0</v>
      </c>
      <c r="AD742" s="4">
        <f t="shared" si="741"/>
        <v>0</v>
      </c>
      <c r="AE742" s="4" t="str">
        <f>'Form responses 1'!AN744</f>
        <v/>
      </c>
      <c r="AF742" s="4" t="str">
        <f>'Form responses 1'!AO1863</f>
        <v/>
      </c>
      <c r="AG742" s="4" t="str">
        <f>'Form responses 1'!AP1863</f>
        <v/>
      </c>
      <c r="AH742" s="4" t="str">
        <f>'Form responses 1'!AQ1863</f>
        <v/>
      </c>
      <c r="AI742" s="4" t="str">
        <f>'Form responses 1'!AR1863</f>
        <v/>
      </c>
    </row>
    <row r="743">
      <c r="A743" s="26">
        <f>'Form responses 1'!B745</f>
        <v>46072</v>
      </c>
      <c r="B743" s="4" t="str">
        <f>'Form responses 1'!AZ745</f>
        <v>madhumitha.sonnakula@capsdelivery.com</v>
      </c>
      <c r="C743" s="4" t="str">
        <f>'Form responses 1'!BR745</f>
        <v>raghavendra</v>
      </c>
      <c r="D743" s="4" t="str">
        <f>'Form responses 1'!AT745</f>
        <v>na</v>
      </c>
      <c r="E743" s="4" t="str">
        <f>'Form responses 1'!AU745</f>
        <v>No</v>
      </c>
      <c r="F743" s="4" t="str">
        <f>'Form responses 1'!AX745</f>
        <v/>
      </c>
      <c r="G743" s="4" t="str">
        <f>'Form responses 1'!AY745</f>
        <v/>
      </c>
      <c r="H743" s="53" t="str">
        <f>'Form responses 1'!AW745</f>
        <v/>
      </c>
      <c r="I743" s="4" t="str">
        <f>'Form responses 1'!AS745</f>
        <v/>
      </c>
      <c r="J743" s="4" t="str">
        <f>'Form responses 1'!J745</f>
        <v>Tier-2 (AOV &lt;400)</v>
      </c>
      <c r="K743" s="4">
        <f>'Form responses 1'!G745</f>
        <v>200</v>
      </c>
      <c r="L743" s="4">
        <f>'Form responses 1'!F745</f>
        <v>25</v>
      </c>
      <c r="M743" s="4" t="str">
        <f>'Form responses 1'!U745</f>
        <v>na</v>
      </c>
      <c r="N743" s="4" t="str">
        <f>'Form responses 1'!V745</f>
        <v>na</v>
      </c>
      <c r="O743" s="4" t="str">
        <f>'Form responses 1'!W745</f>
        <v>na</v>
      </c>
      <c r="P743" s="4" t="str">
        <f>'Form responses 1'!X745</f>
        <v/>
      </c>
      <c r="Q743" s="4" t="str">
        <f>'Form responses 1'!Y745</f>
        <v/>
      </c>
      <c r="R743" s="4" t="str">
        <f>'Form responses 1'!Z745</f>
        <v/>
      </c>
      <c r="S743" s="4" t="str">
        <f>'Form responses 1'!AC745</f>
        <v/>
      </c>
      <c r="T743" s="4" t="str">
        <f>'Form responses 1'!AE745</f>
        <v/>
      </c>
      <c r="U743" s="4" t="str">
        <f>'Form responses 1'!AG745</f>
        <v/>
      </c>
      <c r="V743" s="4" t="str">
        <f>'Form responses 1'!AI745</f>
        <v/>
      </c>
      <c r="W743" s="4" t="str">
        <f>'Form responses 1'!AJ745</f>
        <v/>
      </c>
      <c r="X743" s="4" t="str">
        <f>'Form responses 1'!AK745</f>
        <v/>
      </c>
      <c r="Y743" s="4">
        <f t="shared" ref="Y743:AD743" si="742">if(S743&gt;0,1,0)</f>
        <v>0</v>
      </c>
      <c r="Z743" s="4">
        <f t="shared" si="742"/>
        <v>0</v>
      </c>
      <c r="AA743" s="4">
        <f t="shared" si="742"/>
        <v>0</v>
      </c>
      <c r="AB743" s="4">
        <f t="shared" si="742"/>
        <v>0</v>
      </c>
      <c r="AC743" s="4">
        <f t="shared" si="742"/>
        <v>0</v>
      </c>
      <c r="AD743" s="4">
        <f t="shared" si="742"/>
        <v>0</v>
      </c>
      <c r="AE743" s="4" t="str">
        <f>'Form responses 1'!AN745</f>
        <v/>
      </c>
      <c r="AF743" s="4" t="str">
        <f>'Form responses 1'!AO1864</f>
        <v/>
      </c>
      <c r="AG743" s="4" t="str">
        <f>'Form responses 1'!AP1864</f>
        <v/>
      </c>
      <c r="AH743" s="4" t="str">
        <f>'Form responses 1'!AQ1864</f>
        <v/>
      </c>
      <c r="AI743" s="4" t="str">
        <f>'Form responses 1'!AR1864</f>
        <v/>
      </c>
    </row>
    <row r="744">
      <c r="A744" s="26">
        <f>'Form responses 1'!B746</f>
        <v>46073</v>
      </c>
      <c r="B744" s="4" t="str">
        <f>'Form responses 1'!AZ746</f>
        <v>madhumitha.sonnakula@capsdelivery.com</v>
      </c>
      <c r="C744" s="4" t="str">
        <f>'Form responses 1'!BR746</f>
        <v>taaza</v>
      </c>
      <c r="D744" s="4" t="str">
        <f>'Form responses 1'!AT746</f>
        <v>na</v>
      </c>
      <c r="E744" s="4" t="str">
        <f>'Form responses 1'!AU746</f>
        <v>Yes</v>
      </c>
      <c r="F744" s="4" t="str">
        <f>'Form responses 1'!AX746</f>
        <v/>
      </c>
      <c r="G744" s="4" t="str">
        <f>'Form responses 1'!AY746</f>
        <v/>
      </c>
      <c r="H744" s="53" t="str">
        <f>'Form responses 1'!AW746</f>
        <v/>
      </c>
      <c r="I744" s="4" t="str">
        <f>'Form responses 1'!AS746</f>
        <v/>
      </c>
      <c r="J744" s="4" t="str">
        <f>'Form responses 1'!J746</f>
        <v/>
      </c>
      <c r="K744" s="4" t="str">
        <f>'Form responses 1'!G746</f>
        <v/>
      </c>
      <c r="L744" s="4" t="str">
        <f>'Form responses 1'!F746</f>
        <v/>
      </c>
      <c r="M744" s="4" t="str">
        <f>'Form responses 1'!U746</f>
        <v>bagwan </v>
      </c>
      <c r="N744" s="4">
        <f>'Form responses 1'!V746</f>
        <v>9441166869</v>
      </c>
      <c r="O744" s="4" t="str">
        <f>'Form responses 1'!W746</f>
        <v>na</v>
      </c>
      <c r="P744" s="4" t="str">
        <f>'Form responses 1'!X746</f>
        <v/>
      </c>
      <c r="Q744" s="4" t="str">
        <f>'Form responses 1'!Y746</f>
        <v/>
      </c>
      <c r="R744" s="4" t="str">
        <f>'Form responses 1'!Z746</f>
        <v/>
      </c>
      <c r="S744" s="4" t="str">
        <f>'Form responses 1'!AC746</f>
        <v/>
      </c>
      <c r="T744" s="4" t="str">
        <f>'Form responses 1'!AE746</f>
        <v/>
      </c>
      <c r="U744" s="4" t="str">
        <f>'Form responses 1'!AG746</f>
        <v/>
      </c>
      <c r="V744" s="4" t="str">
        <f>'Form responses 1'!AI746</f>
        <v/>
      </c>
      <c r="W744" s="4" t="str">
        <f>'Form responses 1'!AJ746</f>
        <v/>
      </c>
      <c r="X744" s="4" t="str">
        <f>'Form responses 1'!AK746</f>
        <v/>
      </c>
      <c r="Y744" s="4">
        <f t="shared" ref="Y744:AD744" si="743">if(S744&gt;0,1,0)</f>
        <v>0</v>
      </c>
      <c r="Z744" s="4">
        <f t="shared" si="743"/>
        <v>0</v>
      </c>
      <c r="AA744" s="4">
        <f t="shared" si="743"/>
        <v>0</v>
      </c>
      <c r="AB744" s="4">
        <f t="shared" si="743"/>
        <v>0</v>
      </c>
      <c r="AC744" s="4">
        <f t="shared" si="743"/>
        <v>0</v>
      </c>
      <c r="AD744" s="4">
        <f t="shared" si="743"/>
        <v>0</v>
      </c>
      <c r="AE744" s="4" t="str">
        <f>'Form responses 1'!AN746</f>
        <v/>
      </c>
      <c r="AF744" s="4" t="str">
        <f>'Form responses 1'!AO1868</f>
        <v/>
      </c>
      <c r="AG744" s="4" t="str">
        <f>'Form responses 1'!AP1868</f>
        <v/>
      </c>
      <c r="AH744" s="4" t="str">
        <f>'Form responses 1'!AQ1868</f>
        <v/>
      </c>
      <c r="AI744" s="4" t="str">
        <f>'Form responses 1'!AR1868</f>
        <v/>
      </c>
    </row>
    <row r="745">
      <c r="A745" s="26">
        <f>'Form responses 1'!B601</f>
        <v>46072</v>
      </c>
      <c r="B745" s="4" t="str">
        <f>'Form responses 1'!AZ601</f>
        <v>greeshma.vanneldas@capsdelivery.com</v>
      </c>
      <c r="C745" s="4" t="str">
        <f>'Form responses 1'!BR601</f>
        <v>Zara hi fi restaurent</v>
      </c>
      <c r="D745" s="4" t="str">
        <f>'Form responses 1'!AT601</f>
        <v>Discussion done with one of the partner,they need to discuss and come back,i will follow up for feedback</v>
      </c>
      <c r="E745" s="4" t="str">
        <f>'Form responses 1'!AU601</f>
        <v>Yes</v>
      </c>
      <c r="F745" s="4" t="str">
        <f>'Form responses 1'!AX601</f>
        <v/>
      </c>
      <c r="G745" s="4" t="str">
        <f>'Form responses 1'!AY601</f>
        <v/>
      </c>
      <c r="H745" s="53" t="str">
        <f>'Form responses 1'!AW601</f>
        <v/>
      </c>
      <c r="I745" s="4" t="str">
        <f>'Form responses 1'!AS601</f>
        <v/>
      </c>
      <c r="J745" s="4" t="str">
        <f>'Form responses 1'!J601</f>
        <v/>
      </c>
      <c r="K745" s="4" t="str">
        <f>'Form responses 1'!G601</f>
        <v/>
      </c>
      <c r="L745" s="4" t="str">
        <f>'Form responses 1'!F601</f>
        <v/>
      </c>
      <c r="M745" s="4" t="str">
        <f>'Form responses 1'!U601</f>
        <v>Thufail</v>
      </c>
      <c r="N745" s="4">
        <f>'Form responses 1'!V601</f>
        <v>8074236500</v>
      </c>
      <c r="O745" s="4" t="str">
        <f>'Form responses 1'!W601</f>
        <v>na</v>
      </c>
      <c r="P745" s="4" t="str">
        <f>'Form responses 1'!X601</f>
        <v/>
      </c>
      <c r="Q745" s="4" t="str">
        <f>'Form responses 1'!Y601</f>
        <v/>
      </c>
      <c r="R745" s="4" t="str">
        <f>'Form responses 1'!Z601</f>
        <v/>
      </c>
      <c r="S745" s="4" t="str">
        <f>'Form responses 1'!AC601</f>
        <v/>
      </c>
      <c r="T745" s="4" t="str">
        <f>'Form responses 1'!AE601</f>
        <v/>
      </c>
      <c r="U745" s="4" t="str">
        <f>'Form responses 1'!AG601</f>
        <v/>
      </c>
      <c r="V745" s="4" t="str">
        <f>'Form responses 1'!AI601</f>
        <v/>
      </c>
      <c r="W745" s="4" t="str">
        <f>'Form responses 1'!AJ601</f>
        <v/>
      </c>
      <c r="X745" s="4" t="str">
        <f>'Form responses 1'!AK601</f>
        <v/>
      </c>
      <c r="Y745" s="4">
        <f t="shared" ref="Y745:AD745" si="744">if(S745&gt;0,1,0)</f>
        <v>0</v>
      </c>
      <c r="Z745" s="4">
        <f t="shared" si="744"/>
        <v>0</v>
      </c>
      <c r="AA745" s="4">
        <f t="shared" si="744"/>
        <v>0</v>
      </c>
      <c r="AB745" s="4">
        <f t="shared" si="744"/>
        <v>0</v>
      </c>
      <c r="AC745" s="4">
        <f t="shared" si="744"/>
        <v>0</v>
      </c>
      <c r="AD745" s="4">
        <f t="shared" si="744"/>
        <v>0</v>
      </c>
      <c r="AE745" s="4" t="str">
        <f>'Form responses 1'!AN601</f>
        <v/>
      </c>
      <c r="AF745" s="4" t="str">
        <f>'Form responses 1'!AO1720</f>
        <v/>
      </c>
      <c r="AG745" s="4" t="str">
        <f>'Form responses 1'!AP1720</f>
        <v/>
      </c>
      <c r="AH745" s="4" t="str">
        <f>'Form responses 1'!AQ1720</f>
        <v/>
      </c>
      <c r="AI745" s="4" t="str">
        <f>'Form responses 1'!AR1720</f>
        <v/>
      </c>
    </row>
    <row r="746">
      <c r="A746" s="26">
        <f>'Form responses 1'!B748</f>
        <v>46074</v>
      </c>
      <c r="B746" s="4" t="str">
        <f>'Form responses 1'!AZ748</f>
        <v>anisha.poddar@capsdelivery.com</v>
      </c>
      <c r="C746" s="4" t="str">
        <f>'Form responses 1'!BR748</f>
        <v>FB Cakes</v>
      </c>
      <c r="D746" s="4" t="str">
        <f>'Form responses 1'!AT748</f>
        <v>Explained everything to the area manager, need to speak with his team and revertback</v>
      </c>
      <c r="E746" s="4" t="str">
        <f>'Form responses 1'!AU748</f>
        <v>Yes</v>
      </c>
      <c r="F746" s="4" t="str">
        <f>'Form responses 1'!AX748</f>
        <v/>
      </c>
      <c r="G746" s="4" t="str">
        <f>'Form responses 1'!AY748</f>
        <v/>
      </c>
      <c r="H746" s="53" t="str">
        <f>'Form responses 1'!AW748</f>
        <v/>
      </c>
      <c r="I746" s="4" t="str">
        <f>'Form responses 1'!AS748</f>
        <v/>
      </c>
      <c r="J746" s="4" t="str">
        <f>'Form responses 1'!J748</f>
        <v>Tier-2 (AOV &lt;400)</v>
      </c>
      <c r="K746" s="4">
        <f>'Form responses 1'!G748</f>
        <v>250</v>
      </c>
      <c r="L746" s="4">
        <f>'Form responses 1'!F748</f>
        <v>10</v>
      </c>
      <c r="M746" s="4" t="str">
        <f>'Form responses 1'!U748</f>
        <v>anurag</v>
      </c>
      <c r="N746" s="4" t="str">
        <f>'Form responses 1'!V748</f>
        <v>NA</v>
      </c>
      <c r="O746" s="4" t="str">
        <f>'Form responses 1'!W748</f>
        <v>NA</v>
      </c>
      <c r="P746" s="4" t="str">
        <f>'Form responses 1'!X748</f>
        <v/>
      </c>
      <c r="Q746" s="4" t="str">
        <f>'Form responses 1'!Y748</f>
        <v/>
      </c>
      <c r="R746" s="4" t="str">
        <f>'Form responses 1'!Z748</f>
        <v/>
      </c>
      <c r="S746" s="4" t="str">
        <f>'Form responses 1'!AC748</f>
        <v/>
      </c>
      <c r="T746" s="4" t="str">
        <f>'Form responses 1'!AE748</f>
        <v/>
      </c>
      <c r="U746" s="4" t="str">
        <f>'Form responses 1'!AG748</f>
        <v/>
      </c>
      <c r="V746" s="4" t="str">
        <f>'Form responses 1'!AI748</f>
        <v/>
      </c>
      <c r="W746" s="4" t="str">
        <f>'Form responses 1'!AJ748</f>
        <v/>
      </c>
      <c r="X746" s="4" t="str">
        <f>'Form responses 1'!AK748</f>
        <v/>
      </c>
      <c r="Y746" s="4">
        <f t="shared" ref="Y746:AD746" si="745">if(S746&gt;0,1,0)</f>
        <v>0</v>
      </c>
      <c r="Z746" s="4">
        <f t="shared" si="745"/>
        <v>0</v>
      </c>
      <c r="AA746" s="4">
        <f t="shared" si="745"/>
        <v>0</v>
      </c>
      <c r="AB746" s="4">
        <f t="shared" si="745"/>
        <v>0</v>
      </c>
      <c r="AC746" s="4">
        <f t="shared" si="745"/>
        <v>0</v>
      </c>
      <c r="AD746" s="4">
        <f t="shared" si="745"/>
        <v>0</v>
      </c>
      <c r="AE746" s="4" t="str">
        <f>'Form responses 1'!AN748</f>
        <v/>
      </c>
      <c r="AF746" s="4" t="str">
        <f>'Form responses 1'!AO1867</f>
        <v/>
      </c>
      <c r="AG746" s="4" t="str">
        <f>'Form responses 1'!AP1867</f>
        <v/>
      </c>
      <c r="AH746" s="4" t="str">
        <f>'Form responses 1'!AQ1867</f>
        <v/>
      </c>
      <c r="AI746" s="4" t="str">
        <f>'Form responses 1'!AR1867</f>
        <v/>
      </c>
    </row>
    <row r="747">
      <c r="A747" s="26">
        <f>'Form responses 1'!B749</f>
        <v>46074</v>
      </c>
      <c r="B747" s="4" t="str">
        <f>'Form responses 1'!AZ749</f>
        <v>sumadhur.mummadi@capsdelivery.com</v>
      </c>
      <c r="C747" s="4" t="str">
        <f>'Form responses 1'!BR749</f>
        <v>Sri akshaya Sri akshaya tiffins </v>
      </c>
      <c r="D747" s="4" t="str">
        <f>'Form responses 1'!AT749</f>
        <v>The owner doesn't want to onboard because wants spot settlement. He is not there on other delivery platforms as. Well </v>
      </c>
      <c r="E747" s="4" t="str">
        <f>'Form responses 1'!AU749</f>
        <v>No</v>
      </c>
      <c r="F747" s="4" t="str">
        <f>'Form responses 1'!AX749</f>
        <v/>
      </c>
      <c r="G747" s="4" t="str">
        <f>'Form responses 1'!AY749</f>
        <v/>
      </c>
      <c r="H747" s="53" t="str">
        <f>'Form responses 1'!AW749</f>
        <v/>
      </c>
      <c r="I747" s="4" t="str">
        <f>'Form responses 1'!AS749</f>
        <v/>
      </c>
      <c r="J747" s="4" t="str">
        <f>'Form responses 1'!J749</f>
        <v/>
      </c>
      <c r="K747" s="4" t="str">
        <f>'Form responses 1'!G749</f>
        <v/>
      </c>
      <c r="L747" s="4" t="str">
        <f>'Form responses 1'!F749</f>
        <v/>
      </c>
      <c r="M747" s="4" t="str">
        <f>'Form responses 1'!U749</f>
        <v>NA </v>
      </c>
      <c r="N747" s="4" t="str">
        <f>'Form responses 1'!V749</f>
        <v>NA </v>
      </c>
      <c r="O747" s="4" t="str">
        <f>'Form responses 1'!W749</f>
        <v>NA </v>
      </c>
      <c r="P747" s="4" t="str">
        <f>'Form responses 1'!X749</f>
        <v/>
      </c>
      <c r="Q747" s="4" t="str">
        <f>'Form responses 1'!Y749</f>
        <v/>
      </c>
      <c r="R747" s="4" t="str">
        <f>'Form responses 1'!Z749</f>
        <v/>
      </c>
      <c r="S747" s="4" t="str">
        <f>'Form responses 1'!AC749</f>
        <v/>
      </c>
      <c r="T747" s="4" t="str">
        <f>'Form responses 1'!AE749</f>
        <v/>
      </c>
      <c r="U747" s="4" t="str">
        <f>'Form responses 1'!AG749</f>
        <v/>
      </c>
      <c r="V747" s="4" t="str">
        <f>'Form responses 1'!AI749</f>
        <v/>
      </c>
      <c r="W747" s="4" t="str">
        <f>'Form responses 1'!AJ749</f>
        <v/>
      </c>
      <c r="X747" s="4" t="str">
        <f>'Form responses 1'!AK749</f>
        <v/>
      </c>
      <c r="Y747" s="4">
        <f t="shared" ref="Y747:AD747" si="746">if(S747&gt;0,1,0)</f>
        <v>0</v>
      </c>
      <c r="Z747" s="4">
        <f t="shared" si="746"/>
        <v>0</v>
      </c>
      <c r="AA747" s="4">
        <f t="shared" si="746"/>
        <v>0</v>
      </c>
      <c r="AB747" s="4">
        <f t="shared" si="746"/>
        <v>0</v>
      </c>
      <c r="AC747" s="4">
        <f t="shared" si="746"/>
        <v>0</v>
      </c>
      <c r="AD747" s="4">
        <f t="shared" si="746"/>
        <v>0</v>
      </c>
      <c r="AE747" s="4" t="str">
        <f>'Form responses 1'!AN749</f>
        <v/>
      </c>
      <c r="AF747" s="4" t="str">
        <f>'Form responses 1'!AO1868</f>
        <v/>
      </c>
      <c r="AG747" s="4" t="str">
        <f>'Form responses 1'!AP1868</f>
        <v/>
      </c>
      <c r="AH747" s="4" t="str">
        <f>'Form responses 1'!AQ1868</f>
        <v/>
      </c>
      <c r="AI747" s="4" t="str">
        <f>'Form responses 1'!AR1868</f>
        <v/>
      </c>
    </row>
    <row r="748">
      <c r="A748" s="26">
        <f>'Form responses 1'!B750</f>
        <v>46074</v>
      </c>
      <c r="B748" s="4" t="str">
        <f>'Form responses 1'!AZ750</f>
        <v>sumadhur.mummadi@capsdelivery.com</v>
      </c>
      <c r="C748" s="4" t="str">
        <f>'Form responses 1'!BR750</f>
        <v>Midland bakersMidland bakers</v>
      </c>
      <c r="D748" s="4" t="str">
        <f>'Form responses 1'!AT750</f>
        <v>Will talk to the owner at 2pm</v>
      </c>
      <c r="E748" s="4" t="str">
        <f>'Form responses 1'!AU750</f>
        <v>Yes</v>
      </c>
      <c r="F748" s="26">
        <f>'Form responses 1'!AX750</f>
        <v>46074</v>
      </c>
      <c r="G748" s="52">
        <f>'Form responses 1'!AY750</f>
        <v>0.5833333333</v>
      </c>
      <c r="H748" s="53" t="str">
        <f>'Form responses 1'!AW750</f>
        <v/>
      </c>
      <c r="I748" s="4" t="str">
        <f>'Form responses 1'!AS750</f>
        <v/>
      </c>
      <c r="J748" s="4" t="str">
        <f>'Form responses 1'!J750</f>
        <v/>
      </c>
      <c r="K748" s="4" t="str">
        <f>'Form responses 1'!G750</f>
        <v/>
      </c>
      <c r="L748" s="4" t="str">
        <f>'Form responses 1'!F750</f>
        <v/>
      </c>
      <c r="M748" s="4" t="str">
        <f>'Form responses 1'!U750</f>
        <v>Krishna</v>
      </c>
      <c r="N748" s="4">
        <f>'Form responses 1'!V750</f>
        <v>98859885001581</v>
      </c>
      <c r="O748" s="4" t="str">
        <f>'Form responses 1'!W750</f>
        <v>NA </v>
      </c>
      <c r="P748" s="4" t="str">
        <f>'Form responses 1'!X750</f>
        <v/>
      </c>
      <c r="Q748" s="4" t="str">
        <f>'Form responses 1'!Y750</f>
        <v/>
      </c>
      <c r="R748" s="4" t="str">
        <f>'Form responses 1'!Z750</f>
        <v/>
      </c>
      <c r="S748" s="4" t="str">
        <f>'Form responses 1'!AC750</f>
        <v/>
      </c>
      <c r="T748" s="4" t="str">
        <f>'Form responses 1'!AE750</f>
        <v/>
      </c>
      <c r="U748" s="4" t="str">
        <f>'Form responses 1'!AG750</f>
        <v/>
      </c>
      <c r="V748" s="4" t="str">
        <f>'Form responses 1'!AI750</f>
        <v/>
      </c>
      <c r="W748" s="4" t="str">
        <f>'Form responses 1'!AJ750</f>
        <v/>
      </c>
      <c r="X748" s="4" t="str">
        <f>'Form responses 1'!AK750</f>
        <v/>
      </c>
      <c r="Y748" s="4">
        <f t="shared" ref="Y748:AD748" si="747">if(S748&gt;0,1,0)</f>
        <v>0</v>
      </c>
      <c r="Z748" s="4">
        <f t="shared" si="747"/>
        <v>0</v>
      </c>
      <c r="AA748" s="4">
        <f t="shared" si="747"/>
        <v>0</v>
      </c>
      <c r="AB748" s="4">
        <f t="shared" si="747"/>
        <v>0</v>
      </c>
      <c r="AC748" s="4">
        <f t="shared" si="747"/>
        <v>0</v>
      </c>
      <c r="AD748" s="4">
        <f t="shared" si="747"/>
        <v>0</v>
      </c>
      <c r="AE748" s="4" t="str">
        <f>'Form responses 1'!AN750</f>
        <v/>
      </c>
      <c r="AF748" s="4" t="str">
        <f>'Form responses 1'!AO1869</f>
        <v/>
      </c>
      <c r="AG748" s="4" t="str">
        <f>'Form responses 1'!AP1869</f>
        <v/>
      </c>
      <c r="AH748" s="4" t="str">
        <f>'Form responses 1'!AQ1869</f>
        <v/>
      </c>
      <c r="AI748" s="4" t="str">
        <f>'Form responses 1'!AR1869</f>
        <v/>
      </c>
    </row>
    <row r="749">
      <c r="A749" s="26">
        <f>'Form responses 1'!B751</f>
        <v>46074</v>
      </c>
      <c r="B749" s="4" t="str">
        <f>'Form responses 1'!AZ751</f>
        <v>sumadhur.mummadi@capsdelivery.com</v>
      </c>
      <c r="C749" s="4" t="str">
        <f>'Form responses 1'!BR751</f>
        <v>Blue star restaurant </v>
      </c>
      <c r="D749" s="4" t="str">
        <f>'Form responses 1'!AT751</f>
        <v>Can meet the owner after 2pm</v>
      </c>
      <c r="E749" s="4" t="str">
        <f>'Form responses 1'!AU751</f>
        <v>Yes</v>
      </c>
      <c r="F749" s="26">
        <f>'Form responses 1'!AX751</f>
        <v>46074</v>
      </c>
      <c r="G749" s="52">
        <f>'Form responses 1'!AY751</f>
        <v>0.5833333333</v>
      </c>
      <c r="H749" s="53" t="str">
        <f>'Form responses 1'!AW751</f>
        <v/>
      </c>
      <c r="I749" s="4" t="str">
        <f>'Form responses 1'!AS751</f>
        <v/>
      </c>
      <c r="J749" s="4" t="str">
        <f>'Form responses 1'!J751</f>
        <v/>
      </c>
      <c r="K749" s="4" t="str">
        <f>'Form responses 1'!G751</f>
        <v/>
      </c>
      <c r="L749" s="4" t="str">
        <f>'Form responses 1'!F751</f>
        <v/>
      </c>
      <c r="M749" s="4" t="str">
        <f>'Form responses 1'!U751</f>
        <v>NA </v>
      </c>
      <c r="N749" s="4" t="str">
        <f>'Form responses 1'!V751</f>
        <v>NA </v>
      </c>
      <c r="O749" s="4" t="str">
        <f>'Form responses 1'!W751</f>
        <v>NA </v>
      </c>
      <c r="P749" s="4" t="str">
        <f>'Form responses 1'!X751</f>
        <v/>
      </c>
      <c r="Q749" s="4" t="str">
        <f>'Form responses 1'!Y751</f>
        <v/>
      </c>
      <c r="R749" s="4" t="str">
        <f>'Form responses 1'!Z751</f>
        <v/>
      </c>
      <c r="S749" s="4" t="str">
        <f>'Form responses 1'!AC751</f>
        <v/>
      </c>
      <c r="T749" s="4" t="str">
        <f>'Form responses 1'!AE751</f>
        <v/>
      </c>
      <c r="U749" s="4" t="str">
        <f>'Form responses 1'!AG751</f>
        <v/>
      </c>
      <c r="V749" s="4" t="str">
        <f>'Form responses 1'!AI751</f>
        <v/>
      </c>
      <c r="W749" s="4" t="str">
        <f>'Form responses 1'!AJ751</f>
        <v/>
      </c>
      <c r="X749" s="4" t="str">
        <f>'Form responses 1'!AK751</f>
        <v/>
      </c>
      <c r="Y749" s="4">
        <f t="shared" ref="Y749:AD749" si="748">if(S749&gt;0,1,0)</f>
        <v>0</v>
      </c>
      <c r="Z749" s="4">
        <f t="shared" si="748"/>
        <v>0</v>
      </c>
      <c r="AA749" s="4">
        <f t="shared" si="748"/>
        <v>0</v>
      </c>
      <c r="AB749" s="4">
        <f t="shared" si="748"/>
        <v>0</v>
      </c>
      <c r="AC749" s="4">
        <f t="shared" si="748"/>
        <v>0</v>
      </c>
      <c r="AD749" s="4">
        <f t="shared" si="748"/>
        <v>0</v>
      </c>
      <c r="AE749" s="4" t="str">
        <f>'Form responses 1'!AN751</f>
        <v/>
      </c>
      <c r="AF749" s="4" t="str">
        <f>'Form responses 1'!AO1870</f>
        <v/>
      </c>
      <c r="AG749" s="4" t="str">
        <f>'Form responses 1'!AP1870</f>
        <v/>
      </c>
      <c r="AH749" s="4" t="str">
        <f>'Form responses 1'!AQ1870</f>
        <v/>
      </c>
      <c r="AI749" s="4" t="str">
        <f>'Form responses 1'!AR1870</f>
        <v/>
      </c>
    </row>
    <row r="750">
      <c r="A750" s="26">
        <f>'Form responses 1'!B752</f>
        <v>46074</v>
      </c>
      <c r="B750" s="4" t="str">
        <f>'Form responses 1'!AZ752</f>
        <v>sumadhur.mummadi@capsdelivery.com</v>
      </c>
      <c r="C750" s="4" t="str">
        <f>'Form responses 1'!BR752</f>
        <v>Rayudu's kitchen </v>
      </c>
      <c r="D750" s="4" t="str">
        <f>'Form responses 1'!AT752</f>
        <v>The owner is available after 1 pn</v>
      </c>
      <c r="E750" s="4" t="str">
        <f>'Form responses 1'!AU752</f>
        <v>Yes</v>
      </c>
      <c r="F750" s="26">
        <f>'Form responses 1'!AX752</f>
        <v>46074</v>
      </c>
      <c r="G750" s="52">
        <f>'Form responses 1'!AY752</f>
        <v>0.5416666667</v>
      </c>
      <c r="H750" s="53" t="str">
        <f>'Form responses 1'!AW752</f>
        <v/>
      </c>
      <c r="I750" s="4" t="str">
        <f>'Form responses 1'!AS752</f>
        <v/>
      </c>
      <c r="J750" s="4" t="str">
        <f>'Form responses 1'!J752</f>
        <v/>
      </c>
      <c r="K750" s="4" t="str">
        <f>'Form responses 1'!G752</f>
        <v/>
      </c>
      <c r="L750" s="4" t="str">
        <f>'Form responses 1'!F752</f>
        <v/>
      </c>
      <c r="M750" s="4" t="str">
        <f>'Form responses 1'!U752</f>
        <v>NA </v>
      </c>
      <c r="N750" s="4" t="str">
        <f>'Form responses 1'!V752</f>
        <v>NA </v>
      </c>
      <c r="O750" s="4" t="str">
        <f>'Form responses 1'!W752</f>
        <v>NA </v>
      </c>
      <c r="P750" s="4" t="str">
        <f>'Form responses 1'!X752</f>
        <v/>
      </c>
      <c r="Q750" s="4" t="str">
        <f>'Form responses 1'!Y752</f>
        <v/>
      </c>
      <c r="R750" s="4" t="str">
        <f>'Form responses 1'!Z752</f>
        <v/>
      </c>
      <c r="S750" s="4" t="str">
        <f>'Form responses 1'!AC752</f>
        <v/>
      </c>
      <c r="T750" s="4" t="str">
        <f>'Form responses 1'!AE752</f>
        <v/>
      </c>
      <c r="U750" s="4" t="str">
        <f>'Form responses 1'!AG752</f>
        <v/>
      </c>
      <c r="V750" s="4" t="str">
        <f>'Form responses 1'!AI752</f>
        <v/>
      </c>
      <c r="W750" s="4" t="str">
        <f>'Form responses 1'!AJ752</f>
        <v/>
      </c>
      <c r="X750" s="4" t="str">
        <f>'Form responses 1'!AK752</f>
        <v/>
      </c>
      <c r="Y750" s="4">
        <f t="shared" ref="Y750:AD750" si="749">if(S750&gt;0,1,0)</f>
        <v>0</v>
      </c>
      <c r="Z750" s="4">
        <f t="shared" si="749"/>
        <v>0</v>
      </c>
      <c r="AA750" s="4">
        <f t="shared" si="749"/>
        <v>0</v>
      </c>
      <c r="AB750" s="4">
        <f t="shared" si="749"/>
        <v>0</v>
      </c>
      <c r="AC750" s="4">
        <f t="shared" si="749"/>
        <v>0</v>
      </c>
      <c r="AD750" s="4">
        <f t="shared" si="749"/>
        <v>0</v>
      </c>
      <c r="AE750" s="4" t="str">
        <f>'Form responses 1'!AN752</f>
        <v/>
      </c>
      <c r="AF750" s="4" t="str">
        <f>'Form responses 1'!AO1871</f>
        <v/>
      </c>
      <c r="AG750" s="4" t="str">
        <f>'Form responses 1'!AP1871</f>
        <v/>
      </c>
      <c r="AH750" s="4" t="str">
        <f>'Form responses 1'!AQ1871</f>
        <v/>
      </c>
      <c r="AI750" s="4" t="str">
        <f>'Form responses 1'!AR1871</f>
        <v/>
      </c>
    </row>
    <row r="751">
      <c r="A751" s="26">
        <f>'Form responses 1'!B753</f>
        <v>46074</v>
      </c>
      <c r="B751" s="4" t="str">
        <f>'Form responses 1'!AZ753</f>
        <v>sumadhur.mummadi@capsdelivery.com</v>
      </c>
      <c r="C751" s="4" t="str">
        <f>'Form responses 1'!BR753</f>
        <v>Agra sweets</v>
      </c>
      <c r="D751" s="4" t="str">
        <f>'Form responses 1'!AT753</f>
        <v>Owner available on Monday after 4</v>
      </c>
      <c r="E751" s="4" t="str">
        <f>'Form responses 1'!AU753</f>
        <v>Yes</v>
      </c>
      <c r="F751" s="26">
        <f>'Form responses 1'!AX753</f>
        <v>46076</v>
      </c>
      <c r="G751" s="52">
        <f>'Form responses 1'!AY753</f>
        <v>0.6666666667</v>
      </c>
      <c r="H751" s="53" t="str">
        <f>'Form responses 1'!AW753</f>
        <v/>
      </c>
      <c r="I751" s="4" t="str">
        <f>'Form responses 1'!AS753</f>
        <v/>
      </c>
      <c r="J751" s="4" t="str">
        <f>'Form responses 1'!J753</f>
        <v/>
      </c>
      <c r="K751" s="4" t="str">
        <f>'Form responses 1'!G753</f>
        <v/>
      </c>
      <c r="L751" s="4" t="str">
        <f>'Form responses 1'!F753</f>
        <v/>
      </c>
      <c r="M751" s="4" t="str">
        <f>'Form responses 1'!U753</f>
        <v>Vishnu </v>
      </c>
      <c r="N751" s="4">
        <f>'Form responses 1'!V753</f>
        <v>8790072864</v>
      </c>
      <c r="O751" s="4" t="str">
        <f>'Form responses 1'!W753</f>
        <v>NA </v>
      </c>
      <c r="P751" s="4" t="str">
        <f>'Form responses 1'!X753</f>
        <v/>
      </c>
      <c r="Q751" s="4" t="str">
        <f>'Form responses 1'!Y753</f>
        <v/>
      </c>
      <c r="R751" s="4" t="str">
        <f>'Form responses 1'!Z753</f>
        <v/>
      </c>
      <c r="S751" s="4" t="str">
        <f>'Form responses 1'!AC753</f>
        <v/>
      </c>
      <c r="T751" s="4" t="str">
        <f>'Form responses 1'!AE753</f>
        <v/>
      </c>
      <c r="U751" s="4" t="str">
        <f>'Form responses 1'!AG753</f>
        <v/>
      </c>
      <c r="V751" s="4" t="str">
        <f>'Form responses 1'!AI753</f>
        <v/>
      </c>
      <c r="W751" s="4" t="str">
        <f>'Form responses 1'!AJ753</f>
        <v/>
      </c>
      <c r="X751" s="4" t="str">
        <f>'Form responses 1'!AK753</f>
        <v/>
      </c>
      <c r="Y751" s="4">
        <f t="shared" ref="Y751:AD751" si="750">if(S751&gt;0,1,0)</f>
        <v>0</v>
      </c>
      <c r="Z751" s="4">
        <f t="shared" si="750"/>
        <v>0</v>
      </c>
      <c r="AA751" s="4">
        <f t="shared" si="750"/>
        <v>0</v>
      </c>
      <c r="AB751" s="4">
        <f t="shared" si="750"/>
        <v>0</v>
      </c>
      <c r="AC751" s="4">
        <f t="shared" si="750"/>
        <v>0</v>
      </c>
      <c r="AD751" s="4">
        <f t="shared" si="750"/>
        <v>0</v>
      </c>
      <c r="AE751" s="4" t="str">
        <f>'Form responses 1'!AN753</f>
        <v/>
      </c>
      <c r="AF751" s="4" t="str">
        <f>'Form responses 1'!AO1872</f>
        <v/>
      </c>
      <c r="AG751" s="4" t="str">
        <f>'Form responses 1'!AP1872</f>
        <v/>
      </c>
      <c r="AH751" s="4" t="str">
        <f>'Form responses 1'!AQ1872</f>
        <v/>
      </c>
      <c r="AI751" s="4" t="str">
        <f>'Form responses 1'!AR1872</f>
        <v/>
      </c>
    </row>
    <row r="752">
      <c r="A752" s="26">
        <f>'Form responses 1'!B754</f>
        <v>46074</v>
      </c>
      <c r="B752" s="4" t="str">
        <f>'Form responses 1'!AZ754</f>
        <v>sumadhur.mummadi@capsdelivery.com</v>
      </c>
      <c r="C752" s="4" t="str">
        <f>'Form responses 1'!BR754</f>
        <v>Sainadh tiffins</v>
      </c>
      <c r="D752" s="4" t="str">
        <f>'Form responses 1'!AT754</f>
        <v>Owner might be available after 7 pm</v>
      </c>
      <c r="E752" s="4" t="str">
        <f>'Form responses 1'!AU754</f>
        <v>Yes</v>
      </c>
      <c r="F752" s="26">
        <f>'Form responses 1'!AX754</f>
        <v>46074</v>
      </c>
      <c r="G752" s="52">
        <f>'Form responses 1'!AY754</f>
        <v>0.7916666667</v>
      </c>
      <c r="H752" s="53" t="str">
        <f>'Form responses 1'!AW754</f>
        <v/>
      </c>
      <c r="I752" s="4" t="str">
        <f>'Form responses 1'!AS754</f>
        <v/>
      </c>
      <c r="J752" s="4" t="str">
        <f>'Form responses 1'!J754</f>
        <v/>
      </c>
      <c r="K752" s="4" t="str">
        <f>'Form responses 1'!G754</f>
        <v/>
      </c>
      <c r="L752" s="4" t="str">
        <f>'Form responses 1'!F754</f>
        <v/>
      </c>
      <c r="M752" s="4" t="str">
        <f>'Form responses 1'!U754</f>
        <v>Sainadh</v>
      </c>
      <c r="N752" s="4" t="str">
        <f>'Form responses 1'!V754</f>
        <v>NA </v>
      </c>
      <c r="O752" s="4" t="str">
        <f>'Form responses 1'!W754</f>
        <v>NA </v>
      </c>
      <c r="P752" s="4" t="str">
        <f>'Form responses 1'!X754</f>
        <v/>
      </c>
      <c r="Q752" s="4" t="str">
        <f>'Form responses 1'!Y754</f>
        <v/>
      </c>
      <c r="R752" s="4" t="str">
        <f>'Form responses 1'!Z754</f>
        <v/>
      </c>
      <c r="S752" s="4" t="str">
        <f>'Form responses 1'!AC754</f>
        <v/>
      </c>
      <c r="T752" s="4" t="str">
        <f>'Form responses 1'!AE754</f>
        <v/>
      </c>
      <c r="U752" s="4" t="str">
        <f>'Form responses 1'!AG754</f>
        <v/>
      </c>
      <c r="V752" s="4" t="str">
        <f>'Form responses 1'!AI754</f>
        <v/>
      </c>
      <c r="W752" s="4" t="str">
        <f>'Form responses 1'!AJ754</f>
        <v/>
      </c>
      <c r="X752" s="4" t="str">
        <f>'Form responses 1'!AK754</f>
        <v/>
      </c>
      <c r="Y752" s="4">
        <f t="shared" ref="Y752:AD752" si="751">if(S752&gt;0,1,0)</f>
        <v>0</v>
      </c>
      <c r="Z752" s="4">
        <f t="shared" si="751"/>
        <v>0</v>
      </c>
      <c r="AA752" s="4">
        <f t="shared" si="751"/>
        <v>0</v>
      </c>
      <c r="AB752" s="4">
        <f t="shared" si="751"/>
        <v>0</v>
      </c>
      <c r="AC752" s="4">
        <f t="shared" si="751"/>
        <v>0</v>
      </c>
      <c r="AD752" s="4">
        <f t="shared" si="751"/>
        <v>0</v>
      </c>
      <c r="AE752" s="4" t="str">
        <f>'Form responses 1'!AN754</f>
        <v/>
      </c>
      <c r="AF752" s="4" t="str">
        <f>'Form responses 1'!AO1873</f>
        <v/>
      </c>
      <c r="AG752" s="4" t="str">
        <f>'Form responses 1'!AP1873</f>
        <v/>
      </c>
      <c r="AH752" s="4" t="str">
        <f>'Form responses 1'!AQ1873</f>
        <v/>
      </c>
      <c r="AI752" s="4" t="str">
        <f>'Form responses 1'!AR1873</f>
        <v/>
      </c>
    </row>
    <row r="753">
      <c r="A753" s="26">
        <f>'Form responses 1'!B755</f>
        <v>46074</v>
      </c>
      <c r="B753" s="4" t="str">
        <f>'Form responses 1'!AZ755</f>
        <v>sumadhur.mummadi@capsdelivery.com</v>
      </c>
      <c r="C753" s="4" t="str">
        <f>'Form responses 1'!BR755</f>
        <v>Olive mithai </v>
      </c>
      <c r="D753" s="4" t="str">
        <f>'Form responses 1'!AT755</f>
        <v>All the decisions of olive mithai are taken at Hyder guda branch</v>
      </c>
      <c r="E753" s="4" t="str">
        <f>'Form responses 1'!AU755</f>
        <v>Yes</v>
      </c>
      <c r="F753" s="4" t="str">
        <f>'Form responses 1'!AX755</f>
        <v/>
      </c>
      <c r="G753" s="4" t="str">
        <f>'Form responses 1'!AY755</f>
        <v/>
      </c>
      <c r="H753" s="53" t="str">
        <f>'Form responses 1'!AW755</f>
        <v/>
      </c>
      <c r="I753" s="4" t="str">
        <f>'Form responses 1'!AS755</f>
        <v/>
      </c>
      <c r="J753" s="4" t="str">
        <f>'Form responses 1'!J755</f>
        <v/>
      </c>
      <c r="K753" s="4" t="str">
        <f>'Form responses 1'!G755</f>
        <v/>
      </c>
      <c r="L753" s="4" t="str">
        <f>'Form responses 1'!F755</f>
        <v/>
      </c>
      <c r="M753" s="4" t="str">
        <f>'Form responses 1'!U755</f>
        <v>NA </v>
      </c>
      <c r="N753" s="4" t="str">
        <f>'Form responses 1'!V755</f>
        <v>NA </v>
      </c>
      <c r="O753" s="4" t="str">
        <f>'Form responses 1'!W755</f>
        <v>NA </v>
      </c>
      <c r="P753" s="4" t="str">
        <f>'Form responses 1'!X755</f>
        <v/>
      </c>
      <c r="Q753" s="4" t="str">
        <f>'Form responses 1'!Y755</f>
        <v/>
      </c>
      <c r="R753" s="4" t="str">
        <f>'Form responses 1'!Z755</f>
        <v/>
      </c>
      <c r="S753" s="4" t="str">
        <f>'Form responses 1'!AC755</f>
        <v/>
      </c>
      <c r="T753" s="4" t="str">
        <f>'Form responses 1'!AE755</f>
        <v/>
      </c>
      <c r="U753" s="4" t="str">
        <f>'Form responses 1'!AG755</f>
        <v/>
      </c>
      <c r="V753" s="4" t="str">
        <f>'Form responses 1'!AI755</f>
        <v/>
      </c>
      <c r="W753" s="4" t="str">
        <f>'Form responses 1'!AJ755</f>
        <v/>
      </c>
      <c r="X753" s="4" t="str">
        <f>'Form responses 1'!AK755</f>
        <v/>
      </c>
      <c r="Y753" s="4">
        <f t="shared" ref="Y753:AD753" si="752">if(S753&gt;0,1,0)</f>
        <v>0</v>
      </c>
      <c r="Z753" s="4">
        <f t="shared" si="752"/>
        <v>0</v>
      </c>
      <c r="AA753" s="4">
        <f t="shared" si="752"/>
        <v>0</v>
      </c>
      <c r="AB753" s="4">
        <f t="shared" si="752"/>
        <v>0</v>
      </c>
      <c r="AC753" s="4">
        <f t="shared" si="752"/>
        <v>0</v>
      </c>
      <c r="AD753" s="4">
        <f t="shared" si="752"/>
        <v>0</v>
      </c>
      <c r="AE753" s="4" t="str">
        <f>'Form responses 1'!AN755</f>
        <v/>
      </c>
      <c r="AF753" s="4" t="str">
        <f>'Form responses 1'!AO1874</f>
        <v/>
      </c>
      <c r="AG753" s="4" t="str">
        <f>'Form responses 1'!AP1874</f>
        <v/>
      </c>
      <c r="AH753" s="4" t="str">
        <f>'Form responses 1'!AQ1874</f>
        <v/>
      </c>
      <c r="AI753" s="4" t="str">
        <f>'Form responses 1'!AR1874</f>
        <v/>
      </c>
    </row>
    <row r="754">
      <c r="A754" s="26">
        <f>'Form responses 1'!B756</f>
        <v>46074</v>
      </c>
      <c r="B754" s="4" t="str">
        <f>'Form responses 1'!AZ756</f>
        <v>parthive.maganti@capsdelivery.com</v>
      </c>
      <c r="C754" s="4" t="str">
        <f>'Form responses 1'!BR756</f>
        <v>Srinivasa mixture hub</v>
      </c>
      <c r="D754" s="4" t="str">
        <f>'Form responses 1'!AT756</f>
        <v>Na</v>
      </c>
      <c r="E754" s="4" t="str">
        <f>'Form responses 1'!AU756</f>
        <v>No</v>
      </c>
      <c r="F754" s="4" t="str">
        <f>'Form responses 1'!AX756</f>
        <v/>
      </c>
      <c r="G754" s="4" t="str">
        <f>'Form responses 1'!AY756</f>
        <v/>
      </c>
      <c r="H754" s="53" t="str">
        <f>'Form responses 1'!AW756</f>
        <v/>
      </c>
      <c r="I754" s="4" t="str">
        <f>'Form responses 1'!AS756</f>
        <v>Yes</v>
      </c>
      <c r="J754" s="4" t="str">
        <f>'Form responses 1'!J756</f>
        <v>Tier-2 (AOV &lt;400)</v>
      </c>
      <c r="K754" s="4">
        <f>'Form responses 1'!G756</f>
        <v>400</v>
      </c>
      <c r="L754" s="4">
        <f>'Form responses 1'!F756</f>
        <v>70</v>
      </c>
      <c r="M754" s="4" t="str">
        <f>'Form responses 1'!U756</f>
        <v>Jagadeesh </v>
      </c>
      <c r="N754" s="4">
        <f>'Form responses 1'!V756</f>
        <v>9989981294</v>
      </c>
      <c r="O754" s="4" t="str">
        <f>'Form responses 1'!W756</f>
        <v>Snakingcafe@gmail.com</v>
      </c>
      <c r="P754" s="4" t="str">
        <f>'Form responses 1'!X756</f>
        <v/>
      </c>
      <c r="Q754" s="4" t="str">
        <f>'Form responses 1'!Y756</f>
        <v/>
      </c>
      <c r="R754" s="4" t="str">
        <f>'Form responses 1'!Z756</f>
        <v/>
      </c>
      <c r="S754" s="54" t="str">
        <f>'Form responses 1'!AC756</f>
        <v>https://drive.google.com/open?id=1gVIhGFh3TtKR_VDLHfpcXDblyt3RssT2</v>
      </c>
      <c r="T754" s="4" t="str">
        <f>'Form responses 1'!AE756</f>
        <v/>
      </c>
      <c r="U754" s="54" t="str">
        <f>'Form responses 1'!AG756</f>
        <v>https://drive.google.com/open?id=1LYdObCkVkWMoJMNmbQ9OG9HBCq-7ACGq</v>
      </c>
      <c r="V754" s="4" t="str">
        <f>'Form responses 1'!AI756</f>
        <v/>
      </c>
      <c r="W754" s="4" t="str">
        <f>'Form responses 1'!AJ756</f>
        <v/>
      </c>
      <c r="X754" s="54" t="str">
        <f>'Form responses 1'!AK756</f>
        <v>https://drive.google.com/open?id=1KWhmvCRV6edvP7Im57nVrGEySdll2Kkx</v>
      </c>
      <c r="Y754" s="4">
        <f t="shared" ref="Y754:AD754" si="753">if(S754&gt;0,1,0)</f>
        <v>1</v>
      </c>
      <c r="Z754" s="4">
        <f t="shared" si="753"/>
        <v>0</v>
      </c>
      <c r="AA754" s="4">
        <f t="shared" si="753"/>
        <v>1</v>
      </c>
      <c r="AB754" s="4">
        <f t="shared" si="753"/>
        <v>0</v>
      </c>
      <c r="AC754" s="4">
        <f t="shared" si="753"/>
        <v>0</v>
      </c>
      <c r="AD754" s="4">
        <f t="shared" si="753"/>
        <v>1</v>
      </c>
      <c r="AE754" s="4" t="str">
        <f>'Form responses 1'!AN756</f>
        <v>Snaking Cafe private limited</v>
      </c>
      <c r="AF754" s="4" t="str">
        <f>'Form responses 1'!AO1875</f>
        <v/>
      </c>
      <c r="AG754" s="4" t="str">
        <f>'Form responses 1'!AP1875</f>
        <v/>
      </c>
      <c r="AH754" s="4" t="str">
        <f>'Form responses 1'!AQ1875</f>
        <v/>
      </c>
      <c r="AI754" s="4" t="str">
        <f>'Form responses 1'!AR1875</f>
        <v/>
      </c>
    </row>
    <row r="755">
      <c r="A755" s="26">
        <f>'Form responses 1'!B757</f>
        <v>46074</v>
      </c>
      <c r="B755" s="4" t="str">
        <f>'Form responses 1'!AZ757</f>
        <v>sumadhur.mummadi@capsdelivery.com</v>
      </c>
      <c r="C755" s="4" t="str">
        <f>'Form responses 1'!BR757</f>
        <v>Big byte </v>
      </c>
      <c r="D755" s="4" t="str">
        <f>'Form responses 1'!AT757</f>
        <v>Owner is available after 6pm. Will follow up </v>
      </c>
      <c r="E755" s="4" t="str">
        <f>'Form responses 1'!AU757</f>
        <v>Yes</v>
      </c>
      <c r="F755" s="4" t="str">
        <f>'Form responses 1'!AX757</f>
        <v/>
      </c>
      <c r="G755" s="4" t="str">
        <f>'Form responses 1'!AY757</f>
        <v/>
      </c>
      <c r="H755" s="53" t="str">
        <f>'Form responses 1'!AW757</f>
        <v/>
      </c>
      <c r="I755" s="4" t="str">
        <f>'Form responses 1'!AS757</f>
        <v/>
      </c>
      <c r="J755" s="4" t="str">
        <f>'Form responses 1'!J757</f>
        <v/>
      </c>
      <c r="K755" s="4" t="str">
        <f>'Form responses 1'!G757</f>
        <v/>
      </c>
      <c r="L755" s="4" t="str">
        <f>'Form responses 1'!F757</f>
        <v/>
      </c>
      <c r="M755" s="4" t="str">
        <f>'Form responses 1'!U757</f>
        <v>NA </v>
      </c>
      <c r="N755" s="4">
        <f>'Form responses 1'!V757</f>
        <v>9160006100</v>
      </c>
      <c r="O755" s="4" t="str">
        <f>'Form responses 1'!W757</f>
        <v>NA </v>
      </c>
      <c r="P755" s="4" t="str">
        <f>'Form responses 1'!X757</f>
        <v/>
      </c>
      <c r="Q755" s="4" t="str">
        <f>'Form responses 1'!Y757</f>
        <v/>
      </c>
      <c r="R755" s="4" t="str">
        <f>'Form responses 1'!Z757</f>
        <v/>
      </c>
      <c r="S755" s="4" t="str">
        <f>'Form responses 1'!AC757</f>
        <v/>
      </c>
      <c r="T755" s="4" t="str">
        <f>'Form responses 1'!AE757</f>
        <v/>
      </c>
      <c r="U755" s="4" t="str">
        <f>'Form responses 1'!AG757</f>
        <v/>
      </c>
      <c r="V755" s="4" t="str">
        <f>'Form responses 1'!AI757</f>
        <v/>
      </c>
      <c r="W755" s="4" t="str">
        <f>'Form responses 1'!AJ757</f>
        <v/>
      </c>
      <c r="X755" s="4" t="str">
        <f>'Form responses 1'!AK757</f>
        <v/>
      </c>
      <c r="Y755" s="4">
        <f t="shared" ref="Y755:AD755" si="754">if(S755&gt;0,1,0)</f>
        <v>0</v>
      </c>
      <c r="Z755" s="4">
        <f t="shared" si="754"/>
        <v>0</v>
      </c>
      <c r="AA755" s="4">
        <f t="shared" si="754"/>
        <v>0</v>
      </c>
      <c r="AB755" s="4">
        <f t="shared" si="754"/>
        <v>0</v>
      </c>
      <c r="AC755" s="4">
        <f t="shared" si="754"/>
        <v>0</v>
      </c>
      <c r="AD755" s="4">
        <f t="shared" si="754"/>
        <v>0</v>
      </c>
      <c r="AE755" s="4" t="str">
        <f>'Form responses 1'!AN757</f>
        <v/>
      </c>
      <c r="AF755" s="4" t="str">
        <f>'Form responses 1'!AO1876</f>
        <v/>
      </c>
      <c r="AG755" s="4" t="str">
        <f>'Form responses 1'!AP1876</f>
        <v/>
      </c>
      <c r="AH755" s="4" t="str">
        <f>'Form responses 1'!AQ1876</f>
        <v/>
      </c>
      <c r="AI755" s="4" t="str">
        <f>'Form responses 1'!AR1876</f>
        <v/>
      </c>
    </row>
    <row r="756">
      <c r="A756" s="26">
        <f>'Form responses 1'!B758</f>
        <v>46074</v>
      </c>
      <c r="B756" s="4" t="str">
        <f>'Form responses 1'!AZ758</f>
        <v>sumadhur.mummadi@capsdelivery.com</v>
      </c>
      <c r="C756" s="4" t="str">
        <f>'Form responses 1'!BR758</f>
        <v>Parnasala kitchen</v>
      </c>
      <c r="D756" s="4" t="str">
        <f>'Form responses 1'!AT758</f>
        <v>Owner available after 6pm</v>
      </c>
      <c r="E756" s="4" t="str">
        <f>'Form responses 1'!AU758</f>
        <v>Yes</v>
      </c>
      <c r="F756" s="26">
        <f>'Form responses 1'!AX758</f>
        <v>46074</v>
      </c>
      <c r="G756" s="52">
        <f>'Form responses 1'!AY758</f>
        <v>0.75</v>
      </c>
      <c r="H756" s="53" t="str">
        <f>'Form responses 1'!AW758</f>
        <v/>
      </c>
      <c r="I756" s="4" t="str">
        <f>'Form responses 1'!AS758</f>
        <v/>
      </c>
      <c r="J756" s="4" t="str">
        <f>'Form responses 1'!J758</f>
        <v/>
      </c>
      <c r="K756" s="4" t="str">
        <f>'Form responses 1'!G758</f>
        <v/>
      </c>
      <c r="L756" s="4" t="str">
        <f>'Form responses 1'!F758</f>
        <v/>
      </c>
      <c r="M756" s="4" t="str">
        <f>'Form responses 1'!U758</f>
        <v>NA </v>
      </c>
      <c r="N756" s="4" t="str">
        <f>'Form responses 1'!V758</f>
        <v>NA </v>
      </c>
      <c r="O756" s="4" t="str">
        <f>'Form responses 1'!W758</f>
        <v>NA </v>
      </c>
      <c r="P756" s="4" t="str">
        <f>'Form responses 1'!X758</f>
        <v/>
      </c>
      <c r="Q756" s="4" t="str">
        <f>'Form responses 1'!Y758</f>
        <v/>
      </c>
      <c r="R756" s="4" t="str">
        <f>'Form responses 1'!Z758</f>
        <v/>
      </c>
      <c r="S756" s="4" t="str">
        <f>'Form responses 1'!AC758</f>
        <v/>
      </c>
      <c r="T756" s="4" t="str">
        <f>'Form responses 1'!AE758</f>
        <v/>
      </c>
      <c r="U756" s="4" t="str">
        <f>'Form responses 1'!AG758</f>
        <v/>
      </c>
      <c r="V756" s="4" t="str">
        <f>'Form responses 1'!AI758</f>
        <v/>
      </c>
      <c r="W756" s="4" t="str">
        <f>'Form responses 1'!AJ758</f>
        <v/>
      </c>
      <c r="X756" s="4" t="str">
        <f>'Form responses 1'!AK758</f>
        <v/>
      </c>
      <c r="Y756" s="4">
        <f t="shared" ref="Y756:AD756" si="755">if(S756&gt;0,1,0)</f>
        <v>0</v>
      </c>
      <c r="Z756" s="4">
        <f t="shared" si="755"/>
        <v>0</v>
      </c>
      <c r="AA756" s="4">
        <f t="shared" si="755"/>
        <v>0</v>
      </c>
      <c r="AB756" s="4">
        <f t="shared" si="755"/>
        <v>0</v>
      </c>
      <c r="AC756" s="4">
        <f t="shared" si="755"/>
        <v>0</v>
      </c>
      <c r="AD756" s="4">
        <f t="shared" si="755"/>
        <v>0</v>
      </c>
      <c r="AE756" s="4" t="str">
        <f>'Form responses 1'!AN758</f>
        <v/>
      </c>
      <c r="AF756" s="4" t="str">
        <f>'Form responses 1'!AO1877</f>
        <v/>
      </c>
      <c r="AG756" s="4" t="str">
        <f>'Form responses 1'!AP1877</f>
        <v/>
      </c>
      <c r="AH756" s="4" t="str">
        <f>'Form responses 1'!AQ1877</f>
        <v/>
      </c>
      <c r="AI756" s="4" t="str">
        <f>'Form responses 1'!AR1877</f>
        <v/>
      </c>
    </row>
    <row r="757">
      <c r="A757" s="26">
        <f>'Form responses 1'!B759</f>
        <v>46074</v>
      </c>
      <c r="B757" s="4" t="str">
        <f>'Form responses 1'!AZ759</f>
        <v>sumadhur.mummadi@capsdelivery.com</v>
      </c>
      <c r="C757" s="4" t="str">
        <f>'Form responses 1'!BR759</f>
        <v>Rayudu hotels</v>
      </c>
      <c r="D757" s="4" t="str">
        <f>'Form responses 1'!AT759</f>
        <v>Owner is available after 8pm</v>
      </c>
      <c r="E757" s="4" t="str">
        <f>'Form responses 1'!AU759</f>
        <v>Yes</v>
      </c>
      <c r="F757" s="26">
        <f>'Form responses 1'!AX759</f>
        <v>46074</v>
      </c>
      <c r="G757" s="52">
        <f>'Form responses 1'!AY759</f>
        <v>0.8333333333</v>
      </c>
      <c r="H757" s="53" t="str">
        <f>'Form responses 1'!AW759</f>
        <v/>
      </c>
      <c r="I757" s="4" t="str">
        <f>'Form responses 1'!AS759</f>
        <v/>
      </c>
      <c r="J757" s="4" t="str">
        <f>'Form responses 1'!J759</f>
        <v/>
      </c>
      <c r="K757" s="4" t="str">
        <f>'Form responses 1'!G759</f>
        <v/>
      </c>
      <c r="L757" s="4" t="str">
        <f>'Form responses 1'!F759</f>
        <v/>
      </c>
      <c r="M757" s="4" t="str">
        <f>'Form responses 1'!U759</f>
        <v>Naresh</v>
      </c>
      <c r="N757" s="4">
        <f>'Form responses 1'!V759</f>
        <v>9912104569</v>
      </c>
      <c r="O757" s="4" t="str">
        <f>'Form responses 1'!W759</f>
        <v>NA </v>
      </c>
      <c r="P757" s="4" t="str">
        <f>'Form responses 1'!X759</f>
        <v/>
      </c>
      <c r="Q757" s="4" t="str">
        <f>'Form responses 1'!Y759</f>
        <v/>
      </c>
      <c r="R757" s="4" t="str">
        <f>'Form responses 1'!Z759</f>
        <v/>
      </c>
      <c r="S757" s="4" t="str">
        <f>'Form responses 1'!AC759</f>
        <v/>
      </c>
      <c r="T757" s="4" t="str">
        <f>'Form responses 1'!AE759</f>
        <v/>
      </c>
      <c r="U757" s="4" t="str">
        <f>'Form responses 1'!AG759</f>
        <v/>
      </c>
      <c r="V757" s="4" t="str">
        <f>'Form responses 1'!AI759</f>
        <v/>
      </c>
      <c r="W757" s="4" t="str">
        <f>'Form responses 1'!AJ759</f>
        <v/>
      </c>
      <c r="X757" s="4" t="str">
        <f>'Form responses 1'!AK759</f>
        <v/>
      </c>
      <c r="Y757" s="4">
        <f t="shared" ref="Y757:AD757" si="756">if(S757&gt;0,1,0)</f>
        <v>0</v>
      </c>
      <c r="Z757" s="4">
        <f t="shared" si="756"/>
        <v>0</v>
      </c>
      <c r="AA757" s="4">
        <f t="shared" si="756"/>
        <v>0</v>
      </c>
      <c r="AB757" s="4">
        <f t="shared" si="756"/>
        <v>0</v>
      </c>
      <c r="AC757" s="4">
        <f t="shared" si="756"/>
        <v>0</v>
      </c>
      <c r="AD757" s="4">
        <f t="shared" si="756"/>
        <v>0</v>
      </c>
      <c r="AE757" s="4" t="str">
        <f>'Form responses 1'!AN759</f>
        <v/>
      </c>
      <c r="AF757" s="4" t="str">
        <f>'Form responses 1'!AO1878</f>
        <v/>
      </c>
      <c r="AG757" s="4" t="str">
        <f>'Form responses 1'!AP1878</f>
        <v/>
      </c>
      <c r="AH757" s="4" t="str">
        <f>'Form responses 1'!AQ1878</f>
        <v/>
      </c>
      <c r="AI757" s="4" t="str">
        <f>'Form responses 1'!AR1878</f>
        <v/>
      </c>
    </row>
    <row r="758">
      <c r="A758" s="26">
        <f>'Form responses 1'!B760</f>
        <v>46074</v>
      </c>
      <c r="B758" s="4" t="str">
        <f>'Form responses 1'!AZ760</f>
        <v>sumadhur.mummadi@capsdelivery.com</v>
      </c>
      <c r="C758" s="4" t="str">
        <f>'Form responses 1'!BR760</f>
        <v>Subbayamma foods </v>
      </c>
      <c r="D758" s="4" t="str">
        <f>'Form responses 1'!AT760</f>
        <v>The owner is available to meet on monday after 2pm</v>
      </c>
      <c r="E758" s="4" t="str">
        <f>'Form responses 1'!AU760</f>
        <v>Yes</v>
      </c>
      <c r="F758" s="26">
        <f>'Form responses 1'!AX760</f>
        <v>46076</v>
      </c>
      <c r="G758" s="52">
        <f>'Form responses 1'!AY760</f>
        <v>0.5833333333</v>
      </c>
      <c r="H758" s="53" t="str">
        <f>'Form responses 1'!AW760</f>
        <v/>
      </c>
      <c r="I758" s="4" t="str">
        <f>'Form responses 1'!AS760</f>
        <v/>
      </c>
      <c r="J758" s="4" t="str">
        <f>'Form responses 1'!J760</f>
        <v/>
      </c>
      <c r="K758" s="4" t="str">
        <f>'Form responses 1'!G760</f>
        <v/>
      </c>
      <c r="L758" s="4" t="str">
        <f>'Form responses 1'!F760</f>
        <v/>
      </c>
      <c r="M758" s="4" t="str">
        <f>'Form responses 1'!U760</f>
        <v>Raghu</v>
      </c>
      <c r="N758" s="4">
        <f>'Form responses 1'!V760</f>
        <v>9000003851</v>
      </c>
      <c r="O758" s="4" t="str">
        <f>'Form responses 1'!W760</f>
        <v>NA </v>
      </c>
      <c r="P758" s="4" t="str">
        <f>'Form responses 1'!X760</f>
        <v/>
      </c>
      <c r="Q758" s="4" t="str">
        <f>'Form responses 1'!Y760</f>
        <v/>
      </c>
      <c r="R758" s="4" t="str">
        <f>'Form responses 1'!Z760</f>
        <v/>
      </c>
      <c r="S758" s="4" t="str">
        <f>'Form responses 1'!AC760</f>
        <v/>
      </c>
      <c r="T758" s="4" t="str">
        <f>'Form responses 1'!AE760</f>
        <v/>
      </c>
      <c r="U758" s="4" t="str">
        <f>'Form responses 1'!AG760</f>
        <v/>
      </c>
      <c r="V758" s="4" t="str">
        <f>'Form responses 1'!AI760</f>
        <v/>
      </c>
      <c r="W758" s="4" t="str">
        <f>'Form responses 1'!AJ760</f>
        <v/>
      </c>
      <c r="X758" s="4" t="str">
        <f>'Form responses 1'!AK760</f>
        <v/>
      </c>
      <c r="Y758" s="4">
        <f t="shared" ref="Y758:AD758" si="757">if(S758&gt;0,1,0)</f>
        <v>0</v>
      </c>
      <c r="Z758" s="4">
        <f t="shared" si="757"/>
        <v>0</v>
      </c>
      <c r="AA758" s="4">
        <f t="shared" si="757"/>
        <v>0</v>
      </c>
      <c r="AB758" s="4">
        <f t="shared" si="757"/>
        <v>0</v>
      </c>
      <c r="AC758" s="4">
        <f t="shared" si="757"/>
        <v>0</v>
      </c>
      <c r="AD758" s="4">
        <f t="shared" si="757"/>
        <v>0</v>
      </c>
      <c r="AE758" s="4" t="str">
        <f>'Form responses 1'!AN760</f>
        <v/>
      </c>
      <c r="AF758" s="4" t="str">
        <f>'Form responses 1'!AO1879</f>
        <v/>
      </c>
      <c r="AG758" s="4" t="str">
        <f>'Form responses 1'!AP1879</f>
        <v/>
      </c>
      <c r="AH758" s="4" t="str">
        <f>'Form responses 1'!AQ1879</f>
        <v/>
      </c>
      <c r="AI758" s="4" t="str">
        <f>'Form responses 1'!AR1879</f>
        <v/>
      </c>
    </row>
    <row r="759">
      <c r="A759" s="26">
        <f>'Form responses 1'!B761</f>
        <v>46074</v>
      </c>
      <c r="B759" s="4" t="str">
        <f>'Form responses 1'!AZ761</f>
        <v>sumadhur.mummadi@capsdelivery.com</v>
      </c>
      <c r="C759" s="4" t="str">
        <f>'Form responses 1'!BR761</f>
        <v>Maa oori vanta </v>
      </c>
      <c r="D759" s="4" t="str">
        <f>'Form responses 1'!AT761</f>
        <v>Poc said to come on Monday in the morning time</v>
      </c>
      <c r="E759" s="4" t="str">
        <f>'Form responses 1'!AU761</f>
        <v>Yes</v>
      </c>
      <c r="F759" s="26">
        <f>'Form responses 1'!AX761</f>
        <v>46076</v>
      </c>
      <c r="G759" s="52">
        <f>'Form responses 1'!AY761</f>
        <v>0.4583333333</v>
      </c>
      <c r="H759" s="53" t="str">
        <f>'Form responses 1'!AW761</f>
        <v/>
      </c>
      <c r="I759" s="4" t="str">
        <f>'Form responses 1'!AS761</f>
        <v/>
      </c>
      <c r="J759" s="4" t="str">
        <f>'Form responses 1'!J761</f>
        <v/>
      </c>
      <c r="K759" s="4" t="str">
        <f>'Form responses 1'!G761</f>
        <v/>
      </c>
      <c r="L759" s="4" t="str">
        <f>'Form responses 1'!F761</f>
        <v/>
      </c>
      <c r="M759" s="4" t="str">
        <f>'Form responses 1'!U761</f>
        <v>NA </v>
      </c>
      <c r="N759" s="4">
        <f>'Form responses 1'!V761</f>
        <v>9885649456</v>
      </c>
      <c r="O759" s="4" t="str">
        <f>'Form responses 1'!W761</f>
        <v>NA </v>
      </c>
      <c r="P759" s="4" t="str">
        <f>'Form responses 1'!X761</f>
        <v/>
      </c>
      <c r="Q759" s="4" t="str">
        <f>'Form responses 1'!Y761</f>
        <v/>
      </c>
      <c r="R759" s="4" t="str">
        <f>'Form responses 1'!Z761</f>
        <v/>
      </c>
      <c r="S759" s="4" t="str">
        <f>'Form responses 1'!AC761</f>
        <v/>
      </c>
      <c r="T759" s="4" t="str">
        <f>'Form responses 1'!AE761</f>
        <v/>
      </c>
      <c r="U759" s="4" t="str">
        <f>'Form responses 1'!AG761</f>
        <v/>
      </c>
      <c r="V759" s="4" t="str">
        <f>'Form responses 1'!AI761</f>
        <v/>
      </c>
      <c r="W759" s="4" t="str">
        <f>'Form responses 1'!AJ761</f>
        <v/>
      </c>
      <c r="X759" s="4" t="str">
        <f>'Form responses 1'!AK761</f>
        <v/>
      </c>
      <c r="Y759" s="4">
        <f t="shared" ref="Y759:AD759" si="758">if(S759&gt;0,1,0)</f>
        <v>0</v>
      </c>
      <c r="Z759" s="4">
        <f t="shared" si="758"/>
        <v>0</v>
      </c>
      <c r="AA759" s="4">
        <f t="shared" si="758"/>
        <v>0</v>
      </c>
      <c r="AB759" s="4">
        <f t="shared" si="758"/>
        <v>0</v>
      </c>
      <c r="AC759" s="4">
        <f t="shared" si="758"/>
        <v>0</v>
      </c>
      <c r="AD759" s="4">
        <f t="shared" si="758"/>
        <v>0</v>
      </c>
      <c r="AE759" s="4" t="str">
        <f>'Form responses 1'!AN761</f>
        <v/>
      </c>
      <c r="AF759" s="4" t="str">
        <f>'Form responses 1'!AO1880</f>
        <v/>
      </c>
      <c r="AG759" s="4" t="str">
        <f>'Form responses 1'!AP1880</f>
        <v/>
      </c>
      <c r="AH759" s="4" t="str">
        <f>'Form responses 1'!AQ1880</f>
        <v/>
      </c>
      <c r="AI759" s="4" t="str">
        <f>'Form responses 1'!AR1880</f>
        <v/>
      </c>
    </row>
    <row r="760">
      <c r="A760" s="26">
        <f>'Form responses 1'!B762</f>
        <v>46074</v>
      </c>
      <c r="B760" s="4" t="str">
        <f>'Form responses 1'!AZ762</f>
        <v>sumadhur.mummadi@capsdelivery.com</v>
      </c>
      <c r="C760" s="4" t="str">
        <f>'Form responses 1'!BR762</f>
        <v>Big byte </v>
      </c>
      <c r="D760" s="4" t="str">
        <f>'Form responses 1'!AT762</f>
        <v>The owner needs to discuss with his son. Told me to follow up after 2 days</v>
      </c>
      <c r="E760" s="4" t="str">
        <f>'Form responses 1'!AU762</f>
        <v>Yes</v>
      </c>
      <c r="F760" s="26">
        <f>'Form responses 1'!AX762</f>
        <v>46076</v>
      </c>
      <c r="G760" s="52">
        <f>'Form responses 1'!AY762</f>
        <v>0.625</v>
      </c>
      <c r="H760" s="53" t="str">
        <f>'Form responses 1'!AW762</f>
        <v/>
      </c>
      <c r="I760" s="4" t="str">
        <f>'Form responses 1'!AS762</f>
        <v/>
      </c>
      <c r="J760" s="4" t="str">
        <f>'Form responses 1'!J762</f>
        <v/>
      </c>
      <c r="K760" s="4" t="str">
        <f>'Form responses 1'!G762</f>
        <v/>
      </c>
      <c r="L760" s="4" t="str">
        <f>'Form responses 1'!F762</f>
        <v/>
      </c>
      <c r="M760" s="4" t="str">
        <f>'Form responses 1'!U762</f>
        <v>NA </v>
      </c>
      <c r="N760" s="4">
        <f>'Form responses 1'!V762</f>
        <v>6304208062</v>
      </c>
      <c r="O760" s="4" t="str">
        <f>'Form responses 1'!W762</f>
        <v>NA </v>
      </c>
      <c r="P760" s="4" t="str">
        <f>'Form responses 1'!X762</f>
        <v/>
      </c>
      <c r="Q760" s="4" t="str">
        <f>'Form responses 1'!Y762</f>
        <v/>
      </c>
      <c r="R760" s="4" t="str">
        <f>'Form responses 1'!Z762</f>
        <v/>
      </c>
      <c r="S760" s="4" t="str">
        <f>'Form responses 1'!AC762</f>
        <v/>
      </c>
      <c r="T760" s="4" t="str">
        <f>'Form responses 1'!AE762</f>
        <v/>
      </c>
      <c r="U760" s="4" t="str">
        <f>'Form responses 1'!AG762</f>
        <v/>
      </c>
      <c r="V760" s="4" t="str">
        <f>'Form responses 1'!AI762</f>
        <v/>
      </c>
      <c r="W760" s="4" t="str">
        <f>'Form responses 1'!AJ762</f>
        <v/>
      </c>
      <c r="X760" s="4" t="str">
        <f>'Form responses 1'!AK762</f>
        <v/>
      </c>
      <c r="Y760" s="4">
        <f t="shared" ref="Y760:AD760" si="759">if(S760&gt;0,1,0)</f>
        <v>0</v>
      </c>
      <c r="Z760" s="4">
        <f t="shared" si="759"/>
        <v>0</v>
      </c>
      <c r="AA760" s="4">
        <f t="shared" si="759"/>
        <v>0</v>
      </c>
      <c r="AB760" s="4">
        <f t="shared" si="759"/>
        <v>0</v>
      </c>
      <c r="AC760" s="4">
        <f t="shared" si="759"/>
        <v>0</v>
      </c>
      <c r="AD760" s="4">
        <f t="shared" si="759"/>
        <v>0</v>
      </c>
      <c r="AE760" s="4" t="str">
        <f>'Form responses 1'!AN762</f>
        <v/>
      </c>
      <c r="AF760" s="4" t="str">
        <f>'Form responses 1'!AO1881</f>
        <v/>
      </c>
      <c r="AG760" s="4" t="str">
        <f>'Form responses 1'!AP1881</f>
        <v/>
      </c>
      <c r="AH760" s="4" t="str">
        <f>'Form responses 1'!AQ1881</f>
        <v/>
      </c>
      <c r="AI760" s="4" t="str">
        <f>'Form responses 1'!AR1881</f>
        <v/>
      </c>
    </row>
    <row r="761">
      <c r="A761" s="26">
        <f>'Form responses 1'!B763</f>
        <v>46074</v>
      </c>
      <c r="B761" s="4" t="str">
        <f>'Form responses 1'!AZ763</f>
        <v>parthive.maganti@capsdelivery.com</v>
      </c>
      <c r="C761" s="4" t="str">
        <f>'Form responses 1'!BR763</f>
        <v>Vasistas  sri lakshmiNa</v>
      </c>
      <c r="D761" s="4" t="str">
        <f>'Form responses 1'!AT763</f>
        <v>Need to prepare proposals while next meet</v>
      </c>
      <c r="E761" s="4" t="str">
        <f>'Form responses 1'!AU763</f>
        <v>Yes</v>
      </c>
      <c r="F761" s="26">
        <f>'Form responses 1'!AX763</f>
        <v>46075</v>
      </c>
      <c r="G761" s="52">
        <f>'Form responses 1'!AY763</f>
        <v>0.1041666667</v>
      </c>
      <c r="H761" s="53" t="str">
        <f>'Form responses 1'!AW763</f>
        <v/>
      </c>
      <c r="I761" s="4" t="str">
        <f>'Form responses 1'!AS763</f>
        <v/>
      </c>
      <c r="J761" s="4" t="str">
        <f>'Form responses 1'!J763</f>
        <v/>
      </c>
      <c r="K761" s="4" t="str">
        <f>'Form responses 1'!G763</f>
        <v/>
      </c>
      <c r="L761" s="4" t="str">
        <f>'Form responses 1'!F763</f>
        <v/>
      </c>
      <c r="M761" s="4" t="str">
        <f>'Form responses 1'!U763</f>
        <v>Avinash</v>
      </c>
      <c r="N761" s="4" t="str">
        <f>'Form responses 1'!V763</f>
        <v>Na</v>
      </c>
      <c r="O761" s="4" t="str">
        <f>'Form responses 1'!W763</f>
        <v>Na</v>
      </c>
      <c r="P761" s="4" t="str">
        <f>'Form responses 1'!X763</f>
        <v/>
      </c>
      <c r="Q761" s="4" t="str">
        <f>'Form responses 1'!Y763</f>
        <v/>
      </c>
      <c r="R761" s="4" t="str">
        <f>'Form responses 1'!Z763</f>
        <v/>
      </c>
      <c r="S761" s="4" t="str">
        <f>'Form responses 1'!AC763</f>
        <v/>
      </c>
      <c r="T761" s="4" t="str">
        <f>'Form responses 1'!AE763</f>
        <v/>
      </c>
      <c r="U761" s="4" t="str">
        <f>'Form responses 1'!AG763</f>
        <v/>
      </c>
      <c r="V761" s="4" t="str">
        <f>'Form responses 1'!AI763</f>
        <v/>
      </c>
      <c r="W761" s="4" t="str">
        <f>'Form responses 1'!AJ763</f>
        <v/>
      </c>
      <c r="X761" s="4" t="str">
        <f>'Form responses 1'!AK763</f>
        <v/>
      </c>
      <c r="Y761" s="4">
        <f t="shared" ref="Y761:AD761" si="760">if(S761&gt;0,1,0)</f>
        <v>0</v>
      </c>
      <c r="Z761" s="4">
        <f t="shared" si="760"/>
        <v>0</v>
      </c>
      <c r="AA761" s="4">
        <f t="shared" si="760"/>
        <v>0</v>
      </c>
      <c r="AB761" s="4">
        <f t="shared" si="760"/>
        <v>0</v>
      </c>
      <c r="AC761" s="4">
        <f t="shared" si="760"/>
        <v>0</v>
      </c>
      <c r="AD761" s="4">
        <f t="shared" si="760"/>
        <v>0</v>
      </c>
      <c r="AE761" s="4" t="str">
        <f>'Form responses 1'!AN763</f>
        <v/>
      </c>
      <c r="AF761" s="4" t="str">
        <f>'Form responses 1'!AO1882</f>
        <v/>
      </c>
      <c r="AG761" s="4" t="str">
        <f>'Form responses 1'!AP1882</f>
        <v/>
      </c>
      <c r="AH761" s="4" t="str">
        <f>'Form responses 1'!AQ1882</f>
        <v/>
      </c>
      <c r="AI761" s="4" t="str">
        <f>'Form responses 1'!AR1882</f>
        <v/>
      </c>
    </row>
    <row r="762">
      <c r="A762" s="26">
        <f>'Form responses 1'!B764</f>
        <v>46074</v>
      </c>
      <c r="B762" s="4" t="str">
        <f>'Form responses 1'!AZ764</f>
        <v>parthive.maganti@capsdelivery.com</v>
      </c>
      <c r="C762" s="4" t="str">
        <f>'Form responses 1'!BR764</f>
        <v>Pind to play </v>
      </c>
      <c r="D762" s="4" t="str">
        <f>'Form responses 1'!AT764</f>
        <v>Followup</v>
      </c>
      <c r="E762" s="4" t="str">
        <f>'Form responses 1'!AU764</f>
        <v>Yes</v>
      </c>
      <c r="F762" s="26">
        <f>'Form responses 1'!AX764</f>
        <v>46077</v>
      </c>
      <c r="G762" s="52">
        <f>'Form responses 1'!AY764</f>
        <v>0.4097222222</v>
      </c>
      <c r="H762" s="53" t="str">
        <f>'Form responses 1'!AW764</f>
        <v/>
      </c>
      <c r="I762" s="4" t="str">
        <f>'Form responses 1'!AS764</f>
        <v/>
      </c>
      <c r="J762" s="4" t="str">
        <f>'Form responses 1'!J764</f>
        <v/>
      </c>
      <c r="K762" s="4" t="str">
        <f>'Form responses 1'!G764</f>
        <v/>
      </c>
      <c r="L762" s="4" t="str">
        <f>'Form responses 1'!F764</f>
        <v/>
      </c>
      <c r="M762" s="4" t="str">
        <f>'Form responses 1'!U764</f>
        <v>Kailash</v>
      </c>
      <c r="N762" s="4">
        <f>'Form responses 1'!V764</f>
        <v>9654295135</v>
      </c>
      <c r="O762" s="4" t="str">
        <f>'Form responses 1'!W764</f>
        <v>Na</v>
      </c>
      <c r="P762" s="4" t="str">
        <f>'Form responses 1'!X764</f>
        <v/>
      </c>
      <c r="Q762" s="4" t="str">
        <f>'Form responses 1'!Y764</f>
        <v/>
      </c>
      <c r="R762" s="4" t="str">
        <f>'Form responses 1'!Z764</f>
        <v/>
      </c>
      <c r="S762" s="4" t="str">
        <f>'Form responses 1'!AC764</f>
        <v/>
      </c>
      <c r="T762" s="4" t="str">
        <f>'Form responses 1'!AE764</f>
        <v/>
      </c>
      <c r="U762" s="4" t="str">
        <f>'Form responses 1'!AG764</f>
        <v/>
      </c>
      <c r="V762" s="4" t="str">
        <f>'Form responses 1'!AI764</f>
        <v/>
      </c>
      <c r="W762" s="4" t="str">
        <f>'Form responses 1'!AJ764</f>
        <v/>
      </c>
      <c r="X762" s="4" t="str">
        <f>'Form responses 1'!AK764</f>
        <v/>
      </c>
      <c r="Y762" s="4">
        <f t="shared" ref="Y762:AD762" si="761">if(S762&gt;0,1,0)</f>
        <v>0</v>
      </c>
      <c r="Z762" s="4">
        <f t="shared" si="761"/>
        <v>0</v>
      </c>
      <c r="AA762" s="4">
        <f t="shared" si="761"/>
        <v>0</v>
      </c>
      <c r="AB762" s="4">
        <f t="shared" si="761"/>
        <v>0</v>
      </c>
      <c r="AC762" s="4">
        <f t="shared" si="761"/>
        <v>0</v>
      </c>
      <c r="AD762" s="4">
        <f t="shared" si="761"/>
        <v>0</v>
      </c>
      <c r="AE762" s="4" t="str">
        <f>'Form responses 1'!AN764</f>
        <v/>
      </c>
      <c r="AF762" s="4" t="str">
        <f>'Form responses 1'!AO1883</f>
        <v/>
      </c>
      <c r="AG762" s="4" t="str">
        <f>'Form responses 1'!AP1883</f>
        <v/>
      </c>
      <c r="AH762" s="4" t="str">
        <f>'Form responses 1'!AQ1883</f>
        <v/>
      </c>
      <c r="AI762" s="4" t="str">
        <f>'Form responses 1'!AR1883</f>
        <v/>
      </c>
    </row>
    <row r="763">
      <c r="A763" s="26">
        <f>'Form responses 1'!B765</f>
        <v>46074</v>
      </c>
      <c r="B763" s="4" t="str">
        <f>'Form responses 1'!AZ765</f>
        <v>madhumitha.sonnakula@capsdelivery.com</v>
      </c>
      <c r="C763" s="4" t="str">
        <f>'Form responses 1'!BR765</f>
        <v>radisson (chillis)</v>
      </c>
      <c r="D763" s="4" t="str">
        <f>'Form responses 1'!AT765</f>
        <v>we need to send them the proposal</v>
      </c>
      <c r="E763" s="4" t="str">
        <f>'Form responses 1'!AU765</f>
        <v>Yes</v>
      </c>
      <c r="F763" s="4" t="str">
        <f>'Form responses 1'!AX765</f>
        <v/>
      </c>
      <c r="G763" s="4" t="str">
        <f>'Form responses 1'!AY765</f>
        <v/>
      </c>
      <c r="H763" s="53" t="str">
        <f>'Form responses 1'!AW765</f>
        <v/>
      </c>
      <c r="I763" s="4" t="str">
        <f>'Form responses 1'!AS765</f>
        <v/>
      </c>
      <c r="J763" s="4" t="str">
        <f>'Form responses 1'!J765</f>
        <v>Tier-1(AOV&gt;400)</v>
      </c>
      <c r="K763" s="4">
        <f>'Form responses 1'!G765</f>
        <v>5000</v>
      </c>
      <c r="L763" s="4">
        <f>'Form responses 1'!F765</f>
        <v>300</v>
      </c>
      <c r="M763" s="4" t="str">
        <f>'Form responses 1'!U765</f>
        <v>joel nayak </v>
      </c>
      <c r="N763" s="4">
        <f>'Form responses 1'!V765</f>
        <v>914067331122</v>
      </c>
      <c r="O763" s="4" t="str">
        <f>'Form responses 1'!W765</f>
        <v>afbm@rdhyderabad.com</v>
      </c>
      <c r="P763" s="4" t="str">
        <f>'Form responses 1'!X765</f>
        <v/>
      </c>
      <c r="Q763" s="4" t="str">
        <f>'Form responses 1'!Y765</f>
        <v/>
      </c>
      <c r="R763" s="4" t="str">
        <f>'Form responses 1'!Z765</f>
        <v/>
      </c>
      <c r="S763" s="4" t="str">
        <f>'Form responses 1'!AC765</f>
        <v/>
      </c>
      <c r="T763" s="4" t="str">
        <f>'Form responses 1'!AE765</f>
        <v/>
      </c>
      <c r="U763" s="4" t="str">
        <f>'Form responses 1'!AG765</f>
        <v/>
      </c>
      <c r="V763" s="4" t="str">
        <f>'Form responses 1'!AI765</f>
        <v/>
      </c>
      <c r="W763" s="4" t="str">
        <f>'Form responses 1'!AJ765</f>
        <v/>
      </c>
      <c r="X763" s="4" t="str">
        <f>'Form responses 1'!AK765</f>
        <v/>
      </c>
      <c r="Y763" s="4">
        <f t="shared" ref="Y763:AD763" si="762">if(S763&gt;0,1,0)</f>
        <v>0</v>
      </c>
      <c r="Z763" s="4">
        <f t="shared" si="762"/>
        <v>0</v>
      </c>
      <c r="AA763" s="4">
        <f t="shared" si="762"/>
        <v>0</v>
      </c>
      <c r="AB763" s="4">
        <f t="shared" si="762"/>
        <v>0</v>
      </c>
      <c r="AC763" s="4">
        <f t="shared" si="762"/>
        <v>0</v>
      </c>
      <c r="AD763" s="4">
        <f t="shared" si="762"/>
        <v>0</v>
      </c>
      <c r="AE763" s="4" t="str">
        <f>'Form responses 1'!AN765</f>
        <v/>
      </c>
      <c r="AF763" s="4" t="str">
        <f>'Form responses 1'!AO1884</f>
        <v/>
      </c>
      <c r="AG763" s="4" t="str">
        <f>'Form responses 1'!AP1884</f>
        <v/>
      </c>
      <c r="AH763" s="4" t="str">
        <f>'Form responses 1'!AQ1884</f>
        <v/>
      </c>
      <c r="AI763" s="4" t="str">
        <f>'Form responses 1'!AR1884</f>
        <v/>
      </c>
    </row>
    <row r="764">
      <c r="A764" s="26">
        <f>'Form responses 1'!B766</f>
        <v>46074</v>
      </c>
      <c r="B764" s="4" t="str">
        <f>'Form responses 1'!AZ766</f>
        <v>madhumitha.sonnakula@capsdelivery.com</v>
      </c>
      <c r="C764" s="4" t="str">
        <f>'Form responses 1'!BR766</f>
        <v>parampara</v>
      </c>
      <c r="D764" s="4" t="str">
        <f>'Form responses 1'!AT766</f>
        <v>we  need to follow up</v>
      </c>
      <c r="E764" s="4" t="str">
        <f>'Form responses 1'!AU766</f>
        <v>Yes</v>
      </c>
      <c r="F764" s="4" t="str">
        <f>'Form responses 1'!AX766</f>
        <v/>
      </c>
      <c r="G764" s="4" t="str">
        <f>'Form responses 1'!AY766</f>
        <v/>
      </c>
      <c r="H764" s="53" t="str">
        <f>'Form responses 1'!AW766</f>
        <v/>
      </c>
      <c r="I764" s="4" t="str">
        <f>'Form responses 1'!AS766</f>
        <v/>
      </c>
      <c r="J764" s="4" t="str">
        <f>'Form responses 1'!J766</f>
        <v>Tier-1(AOV&gt;400)</v>
      </c>
      <c r="K764" s="4">
        <f>'Form responses 1'!G766</f>
        <v>800</v>
      </c>
      <c r="L764" s="4">
        <f>'Form responses 1'!F766</f>
        <v>25</v>
      </c>
      <c r="M764" s="4" t="str">
        <f>'Form responses 1'!U766</f>
        <v>ravi</v>
      </c>
      <c r="N764" s="4">
        <f>'Form responses 1'!V766</f>
        <v>8374223982</v>
      </c>
      <c r="O764" s="4" t="str">
        <f>'Form responses 1'!W766</f>
        <v>na</v>
      </c>
      <c r="P764" s="4" t="str">
        <f>'Form responses 1'!X766</f>
        <v/>
      </c>
      <c r="Q764" s="4" t="str">
        <f>'Form responses 1'!Y766</f>
        <v/>
      </c>
      <c r="R764" s="4" t="str">
        <f>'Form responses 1'!Z766</f>
        <v/>
      </c>
      <c r="S764" s="4" t="str">
        <f>'Form responses 1'!AC766</f>
        <v/>
      </c>
      <c r="T764" s="4" t="str">
        <f>'Form responses 1'!AE766</f>
        <v/>
      </c>
      <c r="U764" s="4" t="str">
        <f>'Form responses 1'!AG766</f>
        <v/>
      </c>
      <c r="V764" s="4" t="str">
        <f>'Form responses 1'!AI766</f>
        <v/>
      </c>
      <c r="W764" s="4" t="str">
        <f>'Form responses 1'!AJ766</f>
        <v/>
      </c>
      <c r="X764" s="4" t="str">
        <f>'Form responses 1'!AK766</f>
        <v/>
      </c>
      <c r="Y764" s="4">
        <f t="shared" ref="Y764:AD764" si="763">if(S764&gt;0,1,0)</f>
        <v>0</v>
      </c>
      <c r="Z764" s="4">
        <f t="shared" si="763"/>
        <v>0</v>
      </c>
      <c r="AA764" s="4">
        <f t="shared" si="763"/>
        <v>0</v>
      </c>
      <c r="AB764" s="4">
        <f t="shared" si="763"/>
        <v>0</v>
      </c>
      <c r="AC764" s="4">
        <f t="shared" si="763"/>
        <v>0</v>
      </c>
      <c r="AD764" s="4">
        <f t="shared" si="763"/>
        <v>0</v>
      </c>
      <c r="AE764" s="4" t="str">
        <f>'Form responses 1'!AN766</f>
        <v/>
      </c>
      <c r="AF764" s="4" t="str">
        <f>'Form responses 1'!AO1885</f>
        <v/>
      </c>
      <c r="AG764" s="4" t="str">
        <f>'Form responses 1'!AP1885</f>
        <v/>
      </c>
      <c r="AH764" s="4" t="str">
        <f>'Form responses 1'!AQ1885</f>
        <v/>
      </c>
      <c r="AI764" s="4" t="str">
        <f>'Form responses 1'!AR1885</f>
        <v/>
      </c>
    </row>
    <row r="765">
      <c r="A765" s="26">
        <f>'Form responses 1'!B767</f>
        <v>46074</v>
      </c>
      <c r="B765" s="4" t="str">
        <f>'Form responses 1'!AZ767</f>
        <v>madhumitha.sonnakula@capsdelivery.com</v>
      </c>
      <c r="C765" s="4" t="str">
        <f>'Form responses 1'!BR767</f>
        <v>third wave coffee</v>
      </c>
      <c r="D765" s="4" t="str">
        <f>'Form responses 1'!AT767</f>
        <v>he is not intersted any online platforms</v>
      </c>
      <c r="E765" s="4" t="str">
        <f>'Form responses 1'!AU767</f>
        <v>No</v>
      </c>
      <c r="F765" s="4" t="str">
        <f>'Form responses 1'!AX767</f>
        <v/>
      </c>
      <c r="G765" s="4" t="str">
        <f>'Form responses 1'!AY767</f>
        <v/>
      </c>
      <c r="H765" s="53" t="str">
        <f>'Form responses 1'!AW767</f>
        <v/>
      </c>
      <c r="I765" s="4" t="str">
        <f>'Form responses 1'!AS767</f>
        <v/>
      </c>
      <c r="J765" s="4" t="str">
        <f>'Form responses 1'!J767</f>
        <v/>
      </c>
      <c r="K765" s="4" t="str">
        <f>'Form responses 1'!G767</f>
        <v/>
      </c>
      <c r="L765" s="4" t="str">
        <f>'Form responses 1'!F767</f>
        <v/>
      </c>
      <c r="M765" s="4" t="str">
        <f>'Form responses 1'!U767</f>
        <v>na</v>
      </c>
      <c r="N765" s="4" t="str">
        <f>'Form responses 1'!V767</f>
        <v>na</v>
      </c>
      <c r="O765" s="4" t="str">
        <f>'Form responses 1'!W767</f>
        <v>na</v>
      </c>
      <c r="P765" s="4" t="str">
        <f>'Form responses 1'!X767</f>
        <v/>
      </c>
      <c r="Q765" s="4" t="str">
        <f>'Form responses 1'!Y767</f>
        <v/>
      </c>
      <c r="R765" s="4" t="str">
        <f>'Form responses 1'!Z767</f>
        <v/>
      </c>
      <c r="S765" s="4" t="str">
        <f>'Form responses 1'!AC767</f>
        <v/>
      </c>
      <c r="T765" s="4" t="str">
        <f>'Form responses 1'!AE767</f>
        <v/>
      </c>
      <c r="U765" s="4" t="str">
        <f>'Form responses 1'!AG767</f>
        <v/>
      </c>
      <c r="V765" s="4" t="str">
        <f>'Form responses 1'!AI767</f>
        <v/>
      </c>
      <c r="W765" s="4" t="str">
        <f>'Form responses 1'!AJ767</f>
        <v/>
      </c>
      <c r="X765" s="4" t="str">
        <f>'Form responses 1'!AK767</f>
        <v/>
      </c>
      <c r="Y765" s="4">
        <f t="shared" ref="Y765:AD765" si="764">if(S765&gt;0,1,0)</f>
        <v>0</v>
      </c>
      <c r="Z765" s="4">
        <f t="shared" si="764"/>
        <v>0</v>
      </c>
      <c r="AA765" s="4">
        <f t="shared" si="764"/>
        <v>0</v>
      </c>
      <c r="AB765" s="4">
        <f t="shared" si="764"/>
        <v>0</v>
      </c>
      <c r="AC765" s="4">
        <f t="shared" si="764"/>
        <v>0</v>
      </c>
      <c r="AD765" s="4">
        <f t="shared" si="764"/>
        <v>0</v>
      </c>
      <c r="AE765" s="4" t="str">
        <f>'Form responses 1'!AN767</f>
        <v/>
      </c>
      <c r="AF765" s="4" t="str">
        <f>'Form responses 1'!AO1886</f>
        <v/>
      </c>
      <c r="AG765" s="4" t="str">
        <f>'Form responses 1'!AP1886</f>
        <v/>
      </c>
      <c r="AH765" s="4" t="str">
        <f>'Form responses 1'!AQ1886</f>
        <v/>
      </c>
      <c r="AI765" s="4" t="str">
        <f>'Form responses 1'!AR1886</f>
        <v/>
      </c>
    </row>
    <row r="766">
      <c r="A766" s="26">
        <f>'Form responses 1'!B768</f>
        <v>46074</v>
      </c>
      <c r="B766" s="4" t="str">
        <f>'Form responses 1'!AZ768</f>
        <v>madhumitha.sonnakula@capsdelivery.com</v>
      </c>
      <c r="C766" s="4" t="str">
        <f>'Form responses 1'!BR768</f>
        <v>chaitanya food court chaitanya food court</v>
      </c>
      <c r="D766" s="4" t="str">
        <f>'Form responses 1'!AT768</f>
        <v>we are meeting him now</v>
      </c>
      <c r="E766" s="4" t="str">
        <f>'Form responses 1'!AU768</f>
        <v>Yes</v>
      </c>
      <c r="F766" s="4" t="str">
        <f>'Form responses 1'!AX768</f>
        <v/>
      </c>
      <c r="G766" s="4" t="str">
        <f>'Form responses 1'!AY768</f>
        <v/>
      </c>
      <c r="H766" s="53" t="str">
        <f>'Form responses 1'!AW768</f>
        <v/>
      </c>
      <c r="I766" s="4" t="str">
        <f>'Form responses 1'!AS768</f>
        <v/>
      </c>
      <c r="J766" s="4" t="str">
        <f>'Form responses 1'!J768</f>
        <v/>
      </c>
      <c r="K766" s="4" t="str">
        <f>'Form responses 1'!G768</f>
        <v/>
      </c>
      <c r="L766" s="4" t="str">
        <f>'Form responses 1'!F768</f>
        <v/>
      </c>
      <c r="M766" s="4" t="str">
        <f>'Form responses 1'!U768</f>
        <v>naresh</v>
      </c>
      <c r="N766" s="4">
        <f>'Form responses 1'!V768</f>
        <v>9959968514</v>
      </c>
      <c r="O766" s="4" t="str">
        <f>'Form responses 1'!W768</f>
        <v>na</v>
      </c>
      <c r="P766" s="4" t="str">
        <f>'Form responses 1'!X768</f>
        <v>gopi </v>
      </c>
      <c r="Q766" s="4">
        <f>'Form responses 1'!Y768</f>
        <v>8978211625</v>
      </c>
      <c r="R766" s="4" t="str">
        <f>'Form responses 1'!Z768</f>
        <v/>
      </c>
      <c r="S766" s="4" t="str">
        <f>'Form responses 1'!AC768</f>
        <v/>
      </c>
      <c r="T766" s="4" t="str">
        <f>'Form responses 1'!AE768</f>
        <v/>
      </c>
      <c r="U766" s="4" t="str">
        <f>'Form responses 1'!AG768</f>
        <v/>
      </c>
      <c r="V766" s="4" t="str">
        <f>'Form responses 1'!AI768</f>
        <v/>
      </c>
      <c r="W766" s="4" t="str">
        <f>'Form responses 1'!AJ768</f>
        <v/>
      </c>
      <c r="X766" s="4" t="str">
        <f>'Form responses 1'!AK768</f>
        <v/>
      </c>
      <c r="Y766" s="4">
        <f t="shared" ref="Y766:AD766" si="765">if(S766&gt;0,1,0)</f>
        <v>0</v>
      </c>
      <c r="Z766" s="4">
        <f t="shared" si="765"/>
        <v>0</v>
      </c>
      <c r="AA766" s="4">
        <f t="shared" si="765"/>
        <v>0</v>
      </c>
      <c r="AB766" s="4">
        <f t="shared" si="765"/>
        <v>0</v>
      </c>
      <c r="AC766" s="4">
        <f t="shared" si="765"/>
        <v>0</v>
      </c>
      <c r="AD766" s="4">
        <f t="shared" si="765"/>
        <v>0</v>
      </c>
      <c r="AE766" s="4" t="str">
        <f>'Form responses 1'!AN768</f>
        <v/>
      </c>
      <c r="AF766" s="4" t="str">
        <f>'Form responses 1'!AO1887</f>
        <v/>
      </c>
      <c r="AG766" s="4" t="str">
        <f>'Form responses 1'!AP1887</f>
        <v/>
      </c>
      <c r="AH766" s="4" t="str">
        <f>'Form responses 1'!AQ1887</f>
        <v/>
      </c>
      <c r="AI766" s="4" t="str">
        <f>'Form responses 1'!AR1887</f>
        <v/>
      </c>
    </row>
    <row r="767">
      <c r="A767" s="26">
        <f>'Form responses 1'!B769</f>
        <v>46074</v>
      </c>
      <c r="B767" s="4" t="str">
        <f>'Form responses 1'!AZ769</f>
        <v>madhumitha.sonnakula@capsdelivery.com</v>
      </c>
      <c r="C767" s="4" t="str">
        <f>'Form responses 1'!BR769</f>
        <v>hummus house</v>
      </c>
      <c r="D767" s="4" t="str">
        <f>'Form responses 1'!AT769</f>
        <v>he is busy need to talk on monday</v>
      </c>
      <c r="E767" s="4" t="str">
        <f>'Form responses 1'!AU769</f>
        <v>Yes</v>
      </c>
      <c r="F767" s="4" t="str">
        <f>'Form responses 1'!AX769</f>
        <v/>
      </c>
      <c r="G767" s="4" t="str">
        <f>'Form responses 1'!AY769</f>
        <v/>
      </c>
      <c r="H767" s="53" t="str">
        <f>'Form responses 1'!AW769</f>
        <v/>
      </c>
      <c r="I767" s="4" t="str">
        <f>'Form responses 1'!AS769</f>
        <v/>
      </c>
      <c r="J767" s="4" t="str">
        <f>'Form responses 1'!J769</f>
        <v/>
      </c>
      <c r="K767" s="4" t="str">
        <f>'Form responses 1'!G769</f>
        <v/>
      </c>
      <c r="L767" s="4" t="str">
        <f>'Form responses 1'!F769</f>
        <v/>
      </c>
      <c r="M767" s="4" t="str">
        <f>'Form responses 1'!U769</f>
        <v>na</v>
      </c>
      <c r="N767" s="4" t="str">
        <f>'Form responses 1'!V769</f>
        <v>na</v>
      </c>
      <c r="O767" s="4" t="str">
        <f>'Form responses 1'!W769</f>
        <v>na</v>
      </c>
      <c r="P767" s="4" t="str">
        <f>'Form responses 1'!X769</f>
        <v/>
      </c>
      <c r="Q767" s="4" t="str">
        <f>'Form responses 1'!Y769</f>
        <v/>
      </c>
      <c r="R767" s="4" t="str">
        <f>'Form responses 1'!Z769</f>
        <v/>
      </c>
      <c r="S767" s="4" t="str">
        <f>'Form responses 1'!AC769</f>
        <v/>
      </c>
      <c r="T767" s="4" t="str">
        <f>'Form responses 1'!AE769</f>
        <v/>
      </c>
      <c r="U767" s="4" t="str">
        <f>'Form responses 1'!AG769</f>
        <v/>
      </c>
      <c r="V767" s="4" t="str">
        <f>'Form responses 1'!AI769</f>
        <v/>
      </c>
      <c r="W767" s="4" t="str">
        <f>'Form responses 1'!AJ769</f>
        <v/>
      </c>
      <c r="X767" s="4" t="str">
        <f>'Form responses 1'!AK769</f>
        <v/>
      </c>
      <c r="Y767" s="4">
        <f t="shared" ref="Y767:AD767" si="766">if(S767&gt;0,1,0)</f>
        <v>0</v>
      </c>
      <c r="Z767" s="4">
        <f t="shared" si="766"/>
        <v>0</v>
      </c>
      <c r="AA767" s="4">
        <f t="shared" si="766"/>
        <v>0</v>
      </c>
      <c r="AB767" s="4">
        <f t="shared" si="766"/>
        <v>0</v>
      </c>
      <c r="AC767" s="4">
        <f t="shared" si="766"/>
        <v>0</v>
      </c>
      <c r="AD767" s="4">
        <f t="shared" si="766"/>
        <v>0</v>
      </c>
      <c r="AE767" s="4" t="str">
        <f>'Form responses 1'!AN769</f>
        <v/>
      </c>
      <c r="AF767" s="4" t="str">
        <f>'Form responses 1'!AO1888</f>
        <v/>
      </c>
      <c r="AG767" s="4" t="str">
        <f>'Form responses 1'!AP1888</f>
        <v/>
      </c>
      <c r="AH767" s="4" t="str">
        <f>'Form responses 1'!AQ1888</f>
        <v/>
      </c>
      <c r="AI767" s="4" t="str">
        <f>'Form responses 1'!AR1888</f>
        <v/>
      </c>
    </row>
    <row r="768">
      <c r="A768" s="26">
        <f>'Form responses 1'!B770</f>
        <v>46074</v>
      </c>
      <c r="B768" s="4" t="str">
        <f>'Form responses 1'!AZ770</f>
        <v>parthive.maganti@capsdelivery.com</v>
      </c>
      <c r="C768" s="4" t="str">
        <f>'Form responses 1'!BR770</f>
        <v>Borasted chicken shawarma </v>
      </c>
      <c r="D768" s="4" t="str">
        <f>'Form responses 1'!AT770</f>
        <v>Na</v>
      </c>
      <c r="E768" s="4" t="str">
        <f>'Form responses 1'!AU770</f>
        <v>Yes</v>
      </c>
      <c r="F768" s="26">
        <f>'Form responses 1'!AX770</f>
        <v>46074</v>
      </c>
      <c r="G768" s="52">
        <f>'Form responses 1'!AY770</f>
        <v>0.2430555556</v>
      </c>
      <c r="H768" s="53" t="str">
        <f>'Form responses 1'!AW770</f>
        <v/>
      </c>
      <c r="I768" s="4" t="str">
        <f>'Form responses 1'!AS770</f>
        <v/>
      </c>
      <c r="J768" s="4" t="str">
        <f>'Form responses 1'!J770</f>
        <v>Tier-3 ( AOV&lt;200 )</v>
      </c>
      <c r="K768" s="4">
        <f>'Form responses 1'!G770</f>
        <v>200</v>
      </c>
      <c r="L768" s="4">
        <f>'Form responses 1'!F770</f>
        <v>50</v>
      </c>
      <c r="M768" s="4" t="str">
        <f>'Form responses 1'!U770</f>
        <v>Abdul</v>
      </c>
      <c r="N768" s="4">
        <f>'Form responses 1'!V770</f>
        <v>7681877271</v>
      </c>
      <c r="O768" s="4" t="str">
        <f>'Form responses 1'!W770</f>
        <v>Na</v>
      </c>
      <c r="P768" s="4" t="str">
        <f>'Form responses 1'!X770</f>
        <v/>
      </c>
      <c r="Q768" s="4" t="str">
        <f>'Form responses 1'!Y770</f>
        <v/>
      </c>
      <c r="R768" s="4" t="str">
        <f>'Form responses 1'!Z770</f>
        <v/>
      </c>
      <c r="S768" s="4" t="str">
        <f>'Form responses 1'!AC770</f>
        <v/>
      </c>
      <c r="T768" s="4" t="str">
        <f>'Form responses 1'!AE770</f>
        <v/>
      </c>
      <c r="U768" s="4" t="str">
        <f>'Form responses 1'!AG770</f>
        <v/>
      </c>
      <c r="V768" s="4" t="str">
        <f>'Form responses 1'!AI770</f>
        <v/>
      </c>
      <c r="W768" s="4" t="str">
        <f>'Form responses 1'!AJ770</f>
        <v/>
      </c>
      <c r="X768" s="4" t="str">
        <f>'Form responses 1'!AK770</f>
        <v/>
      </c>
      <c r="Y768" s="4">
        <f t="shared" ref="Y768:AD768" si="767">if(S768&gt;0,1,0)</f>
        <v>0</v>
      </c>
      <c r="Z768" s="4">
        <f t="shared" si="767"/>
        <v>0</v>
      </c>
      <c r="AA768" s="4">
        <f t="shared" si="767"/>
        <v>0</v>
      </c>
      <c r="AB768" s="4">
        <f t="shared" si="767"/>
        <v>0</v>
      </c>
      <c r="AC768" s="4">
        <f t="shared" si="767"/>
        <v>0</v>
      </c>
      <c r="AD768" s="4">
        <f t="shared" si="767"/>
        <v>0</v>
      </c>
      <c r="AE768" s="4" t="str">
        <f>'Form responses 1'!AN770</f>
        <v/>
      </c>
      <c r="AF768" s="4" t="str">
        <f>'Form responses 1'!AO1889</f>
        <v/>
      </c>
      <c r="AG768" s="4" t="str">
        <f>'Form responses 1'!AP1889</f>
        <v/>
      </c>
      <c r="AH768" s="4" t="str">
        <f>'Form responses 1'!AQ1889</f>
        <v/>
      </c>
      <c r="AI768" s="4" t="str">
        <f>'Form responses 1'!AR1889</f>
        <v/>
      </c>
    </row>
    <row r="769">
      <c r="A769" s="26">
        <f>'Form responses 1'!B771</f>
        <v>46074</v>
      </c>
      <c r="B769" s="4" t="str">
        <f>'Form responses 1'!AZ771</f>
        <v>srivani.reddy@capsdelivery.com</v>
      </c>
      <c r="C769" s="4" t="str">
        <f>'Form responses 1'!BR771</f>
        <v>Habitat</v>
      </c>
      <c r="D769" s="4" t="str">
        <f>'Form responses 1'!AT771</f>
        <v>Manager is only available after 5PM</v>
      </c>
      <c r="E769" s="4" t="str">
        <f>'Form responses 1'!AU771</f>
        <v>Yes</v>
      </c>
      <c r="F769" s="26">
        <f>'Form responses 1'!AX771</f>
        <v>46076</v>
      </c>
      <c r="G769" s="52">
        <f>'Form responses 1'!AY771</f>
        <v>0.2083333333</v>
      </c>
      <c r="H769" s="53" t="str">
        <f>'Form responses 1'!AW771</f>
        <v>Proper structure has to be explained to manager in the follow up meet</v>
      </c>
      <c r="I769" s="4" t="str">
        <f>'Form responses 1'!AS771</f>
        <v/>
      </c>
      <c r="J769" s="4" t="str">
        <f>'Form responses 1'!J771</f>
        <v/>
      </c>
      <c r="K769" s="4" t="str">
        <f>'Form responses 1'!G771</f>
        <v/>
      </c>
      <c r="L769" s="4" t="str">
        <f>'Form responses 1'!F771</f>
        <v/>
      </c>
      <c r="M769" s="4" t="str">
        <f>'Form responses 1'!U771</f>
        <v>prithvi</v>
      </c>
      <c r="N769" s="4">
        <f>'Form responses 1'!V771</f>
        <v>8121685645</v>
      </c>
      <c r="O769" s="4" t="str">
        <f>'Form responses 1'!W771</f>
        <v>NA</v>
      </c>
      <c r="P769" s="4" t="str">
        <f>'Form responses 1'!X771</f>
        <v/>
      </c>
      <c r="Q769" s="4" t="str">
        <f>'Form responses 1'!Y771</f>
        <v/>
      </c>
      <c r="R769" s="4" t="str">
        <f>'Form responses 1'!Z771</f>
        <v/>
      </c>
      <c r="S769" s="4" t="str">
        <f>'Form responses 1'!AC771</f>
        <v/>
      </c>
      <c r="T769" s="4" t="str">
        <f>'Form responses 1'!AE771</f>
        <v/>
      </c>
      <c r="U769" s="4" t="str">
        <f>'Form responses 1'!AG771</f>
        <v/>
      </c>
      <c r="V769" s="4" t="str">
        <f>'Form responses 1'!AI771</f>
        <v/>
      </c>
      <c r="W769" s="4" t="str">
        <f>'Form responses 1'!AJ771</f>
        <v/>
      </c>
      <c r="X769" s="4" t="str">
        <f>'Form responses 1'!AK771</f>
        <v/>
      </c>
      <c r="Y769" s="4">
        <f t="shared" ref="Y769:AD769" si="768">if(S769&gt;0,1,0)</f>
        <v>0</v>
      </c>
      <c r="Z769" s="4">
        <f t="shared" si="768"/>
        <v>0</v>
      </c>
      <c r="AA769" s="4">
        <f t="shared" si="768"/>
        <v>0</v>
      </c>
      <c r="AB769" s="4">
        <f t="shared" si="768"/>
        <v>0</v>
      </c>
      <c r="AC769" s="4">
        <f t="shared" si="768"/>
        <v>0</v>
      </c>
      <c r="AD769" s="4">
        <f t="shared" si="768"/>
        <v>0</v>
      </c>
      <c r="AE769" s="4" t="str">
        <f>'Form responses 1'!AN771</f>
        <v/>
      </c>
      <c r="AF769" s="4" t="str">
        <f>'Form responses 1'!AO1890</f>
        <v/>
      </c>
      <c r="AG769" s="4" t="str">
        <f>'Form responses 1'!AP1890</f>
        <v/>
      </c>
      <c r="AH769" s="4" t="str">
        <f>'Form responses 1'!AQ1890</f>
        <v/>
      </c>
      <c r="AI769" s="4" t="str">
        <f>'Form responses 1'!AR1890</f>
        <v/>
      </c>
    </row>
    <row r="770">
      <c r="A770" s="26">
        <f>'Form responses 1'!B772</f>
        <v>46074</v>
      </c>
      <c r="B770" s="4" t="str">
        <f>'Form responses 1'!AZ772</f>
        <v>parthive.maganti@capsdelivery.com</v>
      </c>
      <c r="C770" s="4" t="str">
        <f>'Form responses 1'!BR772</f>
        <v>Park frankies </v>
      </c>
      <c r="D770" s="4" t="str">
        <f>'Form responses 1'!AT772</f>
        <v>Na</v>
      </c>
      <c r="E770" s="4" t="str">
        <f>'Form responses 1'!AU772</f>
        <v>Yes</v>
      </c>
      <c r="F770" s="26">
        <f>'Form responses 1'!AX772</f>
        <v>46081</v>
      </c>
      <c r="G770" s="52">
        <f>'Form responses 1'!AY772</f>
        <v>0.5208333333</v>
      </c>
      <c r="H770" s="53" t="str">
        <f>'Form responses 1'!AW772</f>
        <v/>
      </c>
      <c r="I770" s="4" t="str">
        <f>'Form responses 1'!AS772</f>
        <v/>
      </c>
      <c r="J770" s="4" t="str">
        <f>'Form responses 1'!J772</f>
        <v/>
      </c>
      <c r="K770" s="4" t="str">
        <f>'Form responses 1'!G772</f>
        <v/>
      </c>
      <c r="L770" s="4" t="str">
        <f>'Form responses 1'!F772</f>
        <v/>
      </c>
      <c r="M770" s="4" t="str">
        <f>'Form responses 1'!U772</f>
        <v>Arjun</v>
      </c>
      <c r="N770" s="4" t="str">
        <f>'Form responses 1'!V772</f>
        <v>Na</v>
      </c>
      <c r="O770" s="4" t="str">
        <f>'Form responses 1'!W772</f>
        <v>Na</v>
      </c>
      <c r="P770" s="4" t="str">
        <f>'Form responses 1'!X772</f>
        <v/>
      </c>
      <c r="Q770" s="4" t="str">
        <f>'Form responses 1'!Y772</f>
        <v/>
      </c>
      <c r="R770" s="4" t="str">
        <f>'Form responses 1'!Z772</f>
        <v/>
      </c>
      <c r="S770" s="4" t="str">
        <f>'Form responses 1'!AC772</f>
        <v/>
      </c>
      <c r="T770" s="4" t="str">
        <f>'Form responses 1'!AE772</f>
        <v/>
      </c>
      <c r="U770" s="4" t="str">
        <f>'Form responses 1'!AG772</f>
        <v/>
      </c>
      <c r="V770" s="4" t="str">
        <f>'Form responses 1'!AI772</f>
        <v/>
      </c>
      <c r="W770" s="4" t="str">
        <f>'Form responses 1'!AJ772</f>
        <v/>
      </c>
      <c r="X770" s="4" t="str">
        <f>'Form responses 1'!AK772</f>
        <v/>
      </c>
      <c r="Y770" s="4">
        <f t="shared" ref="Y770:AD770" si="769">if(S770&gt;0,1,0)</f>
        <v>0</v>
      </c>
      <c r="Z770" s="4">
        <f t="shared" si="769"/>
        <v>0</v>
      </c>
      <c r="AA770" s="4">
        <f t="shared" si="769"/>
        <v>0</v>
      </c>
      <c r="AB770" s="4">
        <f t="shared" si="769"/>
        <v>0</v>
      </c>
      <c r="AC770" s="4">
        <f t="shared" si="769"/>
        <v>0</v>
      </c>
      <c r="AD770" s="4">
        <f t="shared" si="769"/>
        <v>0</v>
      </c>
      <c r="AE770" s="4" t="str">
        <f>'Form responses 1'!AN772</f>
        <v/>
      </c>
      <c r="AF770" s="4" t="str">
        <f>'Form responses 1'!AO1891</f>
        <v/>
      </c>
      <c r="AG770" s="4" t="str">
        <f>'Form responses 1'!AP1891</f>
        <v/>
      </c>
      <c r="AH770" s="4" t="str">
        <f>'Form responses 1'!AQ1891</f>
        <v/>
      </c>
      <c r="AI770" s="4" t="str">
        <f>'Form responses 1'!AR1891</f>
        <v/>
      </c>
    </row>
    <row r="771">
      <c r="A771" s="26">
        <f>'Form responses 1'!B773</f>
        <v>46074</v>
      </c>
      <c r="B771" s="4" t="str">
        <f>'Form responses 1'!AZ773</f>
        <v>srivani.reddy@capsdelivery.com</v>
      </c>
      <c r="C771" s="4" t="str">
        <f>'Form responses 1'!BR773</f>
        <v>Pakka Local</v>
      </c>
      <c r="D771" s="4" t="str">
        <f>'Form responses 1'!AT773</f>
        <v>Manager told that he will discuss with owner &amp; get back to us.
</v>
      </c>
      <c r="E771" s="4" t="str">
        <f>'Form responses 1'!AU773</f>
        <v>No</v>
      </c>
      <c r="F771" s="26">
        <f>'Form responses 1'!AX773</f>
        <v>46074</v>
      </c>
      <c r="G771" s="4" t="str">
        <f>'Form responses 1'!AY773</f>
        <v/>
      </c>
      <c r="H771" s="53" t="str">
        <f>'Form responses 1'!AW773</f>
        <v>Detailed discussion needed about the structure of caps with owner </v>
      </c>
      <c r="I771" s="4" t="str">
        <f>'Form responses 1'!AS773</f>
        <v/>
      </c>
      <c r="J771" s="4" t="str">
        <f>'Form responses 1'!J773</f>
        <v>Tier-1(AOV&gt;400)</v>
      </c>
      <c r="K771" s="4">
        <f>'Form responses 1'!G773</f>
        <v>500</v>
      </c>
      <c r="L771" s="4">
        <f>'Form responses 1'!F773</f>
        <v>100</v>
      </c>
      <c r="M771" s="4" t="str">
        <f>'Form responses 1'!U773</f>
        <v>Khan</v>
      </c>
      <c r="N771" s="4">
        <f>'Form responses 1'!V773</f>
        <v>9032833756</v>
      </c>
      <c r="O771" s="4" t="str">
        <f>'Form responses 1'!W773</f>
        <v>na</v>
      </c>
      <c r="P771" s="4" t="str">
        <f>'Form responses 1'!X773</f>
        <v/>
      </c>
      <c r="Q771" s="4" t="str">
        <f>'Form responses 1'!Y773</f>
        <v/>
      </c>
      <c r="R771" s="4" t="str">
        <f>'Form responses 1'!Z773</f>
        <v/>
      </c>
      <c r="S771" s="4" t="str">
        <f>'Form responses 1'!AC773</f>
        <v/>
      </c>
      <c r="T771" s="4" t="str">
        <f>'Form responses 1'!AE773</f>
        <v/>
      </c>
      <c r="U771" s="4" t="str">
        <f>'Form responses 1'!AG773</f>
        <v/>
      </c>
      <c r="V771" s="4" t="str">
        <f>'Form responses 1'!AI773</f>
        <v/>
      </c>
      <c r="W771" s="4" t="str">
        <f>'Form responses 1'!AJ773</f>
        <v/>
      </c>
      <c r="X771" s="4" t="str">
        <f>'Form responses 1'!AK773</f>
        <v/>
      </c>
      <c r="Y771" s="4">
        <f t="shared" ref="Y771:AD771" si="770">if(S771&gt;0,1,0)</f>
        <v>0</v>
      </c>
      <c r="Z771" s="4">
        <f t="shared" si="770"/>
        <v>0</v>
      </c>
      <c r="AA771" s="4">
        <f t="shared" si="770"/>
        <v>0</v>
      </c>
      <c r="AB771" s="4">
        <f t="shared" si="770"/>
        <v>0</v>
      </c>
      <c r="AC771" s="4">
        <f t="shared" si="770"/>
        <v>0</v>
      </c>
      <c r="AD771" s="4">
        <f t="shared" si="770"/>
        <v>0</v>
      </c>
      <c r="AE771" s="4" t="str">
        <f>'Form responses 1'!AN773</f>
        <v/>
      </c>
      <c r="AF771" s="4" t="str">
        <f>'Form responses 1'!AO1892</f>
        <v/>
      </c>
      <c r="AG771" s="4" t="str">
        <f>'Form responses 1'!AP1892</f>
        <v/>
      </c>
      <c r="AH771" s="4" t="str">
        <f>'Form responses 1'!AQ1892</f>
        <v/>
      </c>
      <c r="AI771" s="4" t="str">
        <f>'Form responses 1'!AR1892</f>
        <v/>
      </c>
    </row>
    <row r="772">
      <c r="A772" s="26">
        <f>'Form responses 1'!B774</f>
        <v>46074</v>
      </c>
      <c r="B772" s="4" t="str">
        <f>'Form responses 1'!AZ774</f>
        <v>srivani.reddy@capsdelivery.com</v>
      </c>
      <c r="C772" s="4" t="str">
        <f>'Form responses 1'!BR774</f>
        <v>Seasons Express</v>
      </c>
      <c r="D772" s="4" t="str">
        <f>'Form responses 1'!AT774</f>
        <v>Follow up required - P0 lead</v>
      </c>
      <c r="E772" s="4" t="str">
        <f>'Form responses 1'!AU774</f>
        <v>Yes</v>
      </c>
      <c r="F772" s="26">
        <f>'Form responses 1'!AX774</f>
        <v>46076</v>
      </c>
      <c r="G772" s="52">
        <f>'Form responses 1'!AY774</f>
        <v>0.125</v>
      </c>
      <c r="H772" s="53" t="str">
        <f>'Form responses 1'!AW774</f>
        <v>Detailed discussion with manager required as we spoke to cashier at res.</v>
      </c>
      <c r="I772" s="4" t="str">
        <f>'Form responses 1'!AS774</f>
        <v/>
      </c>
      <c r="J772" s="4" t="str">
        <f>'Form responses 1'!J774</f>
        <v>Tier-1(AOV&gt;400)</v>
      </c>
      <c r="K772" s="4">
        <f>'Form responses 1'!G774</f>
        <v>450</v>
      </c>
      <c r="L772" s="4">
        <f>'Form responses 1'!F774</f>
        <v>100</v>
      </c>
      <c r="M772" s="4" t="str">
        <f>'Form responses 1'!U774</f>
        <v>na</v>
      </c>
      <c r="N772" s="4" t="str">
        <f>'Form responses 1'!V774</f>
        <v>na</v>
      </c>
      <c r="O772" s="4" t="str">
        <f>'Form responses 1'!W774</f>
        <v>na</v>
      </c>
      <c r="P772" s="4" t="str">
        <f>'Form responses 1'!X774</f>
        <v/>
      </c>
      <c r="Q772" s="4" t="str">
        <f>'Form responses 1'!Y774</f>
        <v/>
      </c>
      <c r="R772" s="4" t="str">
        <f>'Form responses 1'!Z774</f>
        <v/>
      </c>
      <c r="S772" s="4" t="str">
        <f>'Form responses 1'!AC774</f>
        <v/>
      </c>
      <c r="T772" s="4" t="str">
        <f>'Form responses 1'!AE774</f>
        <v/>
      </c>
      <c r="U772" s="4" t="str">
        <f>'Form responses 1'!AG774</f>
        <v/>
      </c>
      <c r="V772" s="4" t="str">
        <f>'Form responses 1'!AI774</f>
        <v/>
      </c>
      <c r="W772" s="4" t="str">
        <f>'Form responses 1'!AJ774</f>
        <v/>
      </c>
      <c r="X772" s="4" t="str">
        <f>'Form responses 1'!AK774</f>
        <v/>
      </c>
      <c r="Y772" s="4">
        <f t="shared" ref="Y772:AD772" si="771">if(S772&gt;0,1,0)</f>
        <v>0</v>
      </c>
      <c r="Z772" s="4">
        <f t="shared" si="771"/>
        <v>0</v>
      </c>
      <c r="AA772" s="4">
        <f t="shared" si="771"/>
        <v>0</v>
      </c>
      <c r="AB772" s="4">
        <f t="shared" si="771"/>
        <v>0</v>
      </c>
      <c r="AC772" s="4">
        <f t="shared" si="771"/>
        <v>0</v>
      </c>
      <c r="AD772" s="4">
        <f t="shared" si="771"/>
        <v>0</v>
      </c>
      <c r="AE772" s="4" t="str">
        <f>'Form responses 1'!AN774</f>
        <v/>
      </c>
      <c r="AF772" s="4" t="str">
        <f>'Form responses 1'!AO1893</f>
        <v/>
      </c>
      <c r="AG772" s="4" t="str">
        <f>'Form responses 1'!AP1893</f>
        <v/>
      </c>
      <c r="AH772" s="4" t="str">
        <f>'Form responses 1'!AQ1893</f>
        <v/>
      </c>
      <c r="AI772" s="4" t="str">
        <f>'Form responses 1'!AR1893</f>
        <v/>
      </c>
    </row>
    <row r="773">
      <c r="A773" s="26">
        <f>'Form responses 1'!B775</f>
        <v>46074</v>
      </c>
      <c r="B773" s="4" t="str">
        <f>'Form responses 1'!AZ775</f>
        <v>srivani.reddy@capsdelivery.com</v>
      </c>
      <c r="C773" s="4" t="str">
        <f>'Form responses 1'!BR775</f>
        <v>Dine Hill</v>
      </c>
      <c r="D773" s="4" t="str">
        <f>'Form responses 1'!AT775</f>
        <v>Manager informed to meet after ramzan - after 3PM</v>
      </c>
      <c r="E773" s="4" t="str">
        <f>'Form responses 1'!AU775</f>
        <v>Yes</v>
      </c>
      <c r="F773" s="26">
        <f>'Form responses 1'!AX775</f>
        <v>46109</v>
      </c>
      <c r="G773" s="52">
        <f>'Form responses 1'!AY775</f>
        <v>0.125</v>
      </c>
      <c r="H773" s="53" t="str">
        <f>'Form responses 1'!AW775</f>
        <v>details has to be discussed with owner</v>
      </c>
      <c r="I773" s="4" t="str">
        <f>'Form responses 1'!AS775</f>
        <v/>
      </c>
      <c r="J773" s="4" t="str">
        <f>'Form responses 1'!J775</f>
        <v>Tier-1(AOV&gt;400)</v>
      </c>
      <c r="K773" s="4">
        <f>'Form responses 1'!G775</f>
        <v>500</v>
      </c>
      <c r="L773" s="4">
        <f>'Form responses 1'!F775</f>
        <v>80</v>
      </c>
      <c r="M773" s="4" t="str">
        <f>'Form responses 1'!U775</f>
        <v>Faizal</v>
      </c>
      <c r="N773" s="4">
        <f>'Form responses 1'!V775</f>
        <v>6394101620</v>
      </c>
      <c r="O773" s="4" t="str">
        <f>'Form responses 1'!W775</f>
        <v>na</v>
      </c>
      <c r="P773" s="4" t="str">
        <f>'Form responses 1'!X775</f>
        <v/>
      </c>
      <c r="Q773" s="4" t="str">
        <f>'Form responses 1'!Y775</f>
        <v/>
      </c>
      <c r="R773" s="4" t="str">
        <f>'Form responses 1'!Z775</f>
        <v/>
      </c>
      <c r="S773" s="4" t="str">
        <f>'Form responses 1'!AC775</f>
        <v/>
      </c>
      <c r="T773" s="4" t="str">
        <f>'Form responses 1'!AE775</f>
        <v/>
      </c>
      <c r="U773" s="4" t="str">
        <f>'Form responses 1'!AG775</f>
        <v/>
      </c>
      <c r="V773" s="4" t="str">
        <f>'Form responses 1'!AI775</f>
        <v/>
      </c>
      <c r="W773" s="4" t="str">
        <f>'Form responses 1'!AJ775</f>
        <v/>
      </c>
      <c r="X773" s="4" t="str">
        <f>'Form responses 1'!AK775</f>
        <v/>
      </c>
      <c r="Y773" s="4">
        <f t="shared" ref="Y773:AD773" si="772">if(S773&gt;0,1,0)</f>
        <v>0</v>
      </c>
      <c r="Z773" s="4">
        <f t="shared" si="772"/>
        <v>0</v>
      </c>
      <c r="AA773" s="4">
        <f t="shared" si="772"/>
        <v>0</v>
      </c>
      <c r="AB773" s="4">
        <f t="shared" si="772"/>
        <v>0</v>
      </c>
      <c r="AC773" s="4">
        <f t="shared" si="772"/>
        <v>0</v>
      </c>
      <c r="AD773" s="4">
        <f t="shared" si="772"/>
        <v>0</v>
      </c>
      <c r="AE773" s="4" t="str">
        <f>'Form responses 1'!AN775</f>
        <v/>
      </c>
      <c r="AF773" s="4" t="str">
        <f>'Form responses 1'!AO1894</f>
        <v/>
      </c>
      <c r="AG773" s="4" t="str">
        <f>'Form responses 1'!AP1894</f>
        <v/>
      </c>
      <c r="AH773" s="4" t="str">
        <f>'Form responses 1'!AQ1894</f>
        <v/>
      </c>
      <c r="AI773" s="4" t="str">
        <f>'Form responses 1'!AR1894</f>
        <v/>
      </c>
    </row>
    <row r="774">
      <c r="A774" s="26">
        <f>'Form responses 1'!B776</f>
        <v>46074</v>
      </c>
      <c r="B774" s="4" t="str">
        <f>'Form responses 1'!AZ776</f>
        <v>srivani.reddy@capsdelivery.com</v>
      </c>
      <c r="C774" s="4" t="str">
        <f>'Form responses 1'!BR776</f>
        <v>Exotica</v>
      </c>
      <c r="D774" s="4" t="str">
        <f>'Form responses 1'!AT776</f>
        <v>They asked to share proposal through mail id </v>
      </c>
      <c r="E774" s="4" t="str">
        <f>'Form responses 1'!AU776</f>
        <v>Yes</v>
      </c>
      <c r="F774" s="26">
        <f>'Form responses 1'!AX776</f>
        <v>46081</v>
      </c>
      <c r="G774" s="52">
        <f>'Form responses 1'!AY776</f>
        <v>0.1666666667</v>
      </c>
      <c r="H774" s="53" t="str">
        <f>'Form responses 1'!AW776</f>
        <v>detailed structure discussion</v>
      </c>
      <c r="I774" s="4" t="str">
        <f>'Form responses 1'!AS776</f>
        <v/>
      </c>
      <c r="J774" s="4" t="str">
        <f>'Form responses 1'!J776</f>
        <v>Tier-1(AOV&gt;400)</v>
      </c>
      <c r="K774" s="4">
        <f>'Form responses 1'!G776</f>
        <v>500</v>
      </c>
      <c r="L774" s="4">
        <f>'Form responses 1'!F776</f>
        <v>100</v>
      </c>
      <c r="M774" s="4" t="str">
        <f>'Form responses 1'!U776</f>
        <v>na</v>
      </c>
      <c r="N774" s="4">
        <f>'Form responses 1'!V776</f>
        <v>9014113139</v>
      </c>
      <c r="O774" s="4" t="str">
        <f>'Form responses 1'!W776</f>
        <v>kedar@maanhospitality.com</v>
      </c>
      <c r="P774" s="4" t="str">
        <f>'Form responses 1'!X776</f>
        <v/>
      </c>
      <c r="Q774" s="4" t="str">
        <f>'Form responses 1'!Y776</f>
        <v/>
      </c>
      <c r="R774" s="4" t="str">
        <f>'Form responses 1'!Z776</f>
        <v/>
      </c>
      <c r="S774" s="4" t="str">
        <f>'Form responses 1'!AC776</f>
        <v/>
      </c>
      <c r="T774" s="4" t="str">
        <f>'Form responses 1'!AE776</f>
        <v/>
      </c>
      <c r="U774" s="4" t="str">
        <f>'Form responses 1'!AG776</f>
        <v/>
      </c>
      <c r="V774" s="4" t="str">
        <f>'Form responses 1'!AI776</f>
        <v/>
      </c>
      <c r="W774" s="4" t="str">
        <f>'Form responses 1'!AJ776</f>
        <v/>
      </c>
      <c r="X774" s="4" t="str">
        <f>'Form responses 1'!AK776</f>
        <v/>
      </c>
      <c r="Y774" s="4">
        <f t="shared" ref="Y774:AD774" si="773">if(S774&gt;0,1,0)</f>
        <v>0</v>
      </c>
      <c r="Z774" s="4">
        <f t="shared" si="773"/>
        <v>0</v>
      </c>
      <c r="AA774" s="4">
        <f t="shared" si="773"/>
        <v>0</v>
      </c>
      <c r="AB774" s="4">
        <f t="shared" si="773"/>
        <v>0</v>
      </c>
      <c r="AC774" s="4">
        <f t="shared" si="773"/>
        <v>0</v>
      </c>
      <c r="AD774" s="4">
        <f t="shared" si="773"/>
        <v>0</v>
      </c>
      <c r="AE774" s="4" t="str">
        <f>'Form responses 1'!AN776</f>
        <v/>
      </c>
      <c r="AF774" s="4" t="str">
        <f>'Form responses 1'!AO1895</f>
        <v/>
      </c>
      <c r="AG774" s="4" t="str">
        <f>'Form responses 1'!AP1895</f>
        <v/>
      </c>
      <c r="AH774" s="4" t="str">
        <f>'Form responses 1'!AQ1895</f>
        <v/>
      </c>
      <c r="AI774" s="4" t="str">
        <f>'Form responses 1'!AR1895</f>
        <v/>
      </c>
    </row>
    <row r="775">
      <c r="A775" s="26">
        <f>'Form responses 1'!B777</f>
        <v>46074</v>
      </c>
      <c r="B775" s="4" t="str">
        <f>'Form responses 1'!AZ777</f>
        <v>parthive.maganti@capsdelivery.com</v>
      </c>
      <c r="C775" s="4" t="str">
        <f>'Form responses 1'!BR777</f>
        <v>Sravanam 4am biryani</v>
      </c>
      <c r="D775" s="4" t="str">
        <f>'Form responses 1'!AT777</f>
        <v>Na</v>
      </c>
      <c r="E775" s="4" t="str">
        <f>'Form responses 1'!AU777</f>
        <v>No</v>
      </c>
      <c r="F775" s="4" t="str">
        <f>'Form responses 1'!AX777</f>
        <v/>
      </c>
      <c r="G775" s="4" t="str">
        <f>'Form responses 1'!AY777</f>
        <v/>
      </c>
      <c r="H775" s="53" t="str">
        <f>'Form responses 1'!AW777</f>
        <v/>
      </c>
      <c r="I775" s="4" t="str">
        <f>'Form responses 1'!AS777</f>
        <v>Yes</v>
      </c>
      <c r="J775" s="4" t="str">
        <f>'Form responses 1'!J777</f>
        <v>Tier-2 (AOV &lt;400)</v>
      </c>
      <c r="K775" s="4">
        <f>'Form responses 1'!G777</f>
        <v>300</v>
      </c>
      <c r="L775" s="4">
        <f>'Form responses 1'!F777</f>
        <v>50</v>
      </c>
      <c r="M775" s="4" t="str">
        <f>'Form responses 1'!U777</f>
        <v>Chandu</v>
      </c>
      <c r="N775" s="4">
        <f>'Form responses 1'!V777</f>
        <v>6303702150</v>
      </c>
      <c r="O775" s="4" t="str">
        <f>'Form responses 1'!W777</f>
        <v>Gunjichandrashekar@gmail.com</v>
      </c>
      <c r="P775" s="4" t="str">
        <f>'Form responses 1'!X777</f>
        <v/>
      </c>
      <c r="Q775" s="4" t="str">
        <f>'Form responses 1'!Y777</f>
        <v/>
      </c>
      <c r="R775" s="4" t="str">
        <f>'Form responses 1'!Z777</f>
        <v/>
      </c>
      <c r="S775" s="54" t="str">
        <f>'Form responses 1'!AC777</f>
        <v>https://drive.google.com/open?id=1_EsQCbBvreBn1i4-iQY3OWPNNvw0YO6W</v>
      </c>
      <c r="T775" s="4" t="str">
        <f>'Form responses 1'!AE777</f>
        <v/>
      </c>
      <c r="U775" s="54" t="str">
        <f>'Form responses 1'!AG777</f>
        <v>https://drive.google.com/open?id=1ET7KPHyMQAF1mtAz-dPlK-N_MOhW-Dxr</v>
      </c>
      <c r="V775" s="4" t="str">
        <f>'Form responses 1'!AI777</f>
        <v/>
      </c>
      <c r="W775" s="4" t="str">
        <f>'Form responses 1'!AJ777</f>
        <v/>
      </c>
      <c r="X775" s="54" t="str">
        <f>'Form responses 1'!AK777</f>
        <v>https://drive.google.com/open?id=12x4Z2BqC7w_Q3Z9r3zQaOyy6lzRKedSp</v>
      </c>
      <c r="Y775" s="4">
        <f t="shared" ref="Y775:AD775" si="774">if(S775&gt;0,1,0)</f>
        <v>1</v>
      </c>
      <c r="Z775" s="4">
        <f t="shared" si="774"/>
        <v>0</v>
      </c>
      <c r="AA775" s="4">
        <f t="shared" si="774"/>
        <v>1</v>
      </c>
      <c r="AB775" s="4">
        <f t="shared" si="774"/>
        <v>0</v>
      </c>
      <c r="AC775" s="4">
        <f t="shared" si="774"/>
        <v>0</v>
      </c>
      <c r="AD775" s="4">
        <f t="shared" si="774"/>
        <v>1</v>
      </c>
      <c r="AE775" s="4" t="str">
        <f>'Form responses 1'!AN777</f>
        <v>Indus bank</v>
      </c>
      <c r="AF775" s="4" t="str">
        <f>'Form responses 1'!AO1896</f>
        <v/>
      </c>
      <c r="AG775" s="4" t="str">
        <f>'Form responses 1'!AP1896</f>
        <v/>
      </c>
      <c r="AH775" s="4" t="str">
        <f>'Form responses 1'!AQ1896</f>
        <v/>
      </c>
      <c r="AI775" s="4" t="str">
        <f>'Form responses 1'!AR1896</f>
        <v/>
      </c>
    </row>
    <row r="776">
      <c r="A776" s="26">
        <f>'Form responses 1'!B778</f>
        <v>46074</v>
      </c>
      <c r="B776" s="4" t="str">
        <f>'Form responses 1'!AZ778</f>
        <v>srivani.reddy@capsdelivery.com</v>
      </c>
      <c r="C776" s="4" t="str">
        <f>'Form responses 1'!BR778</f>
        <v>manam chocolate</v>
      </c>
      <c r="D776" s="4" t="str">
        <f>'Form responses 1'!AT778</f>
        <v>All the detailed structure discussion has to be done with HO people after they  responded to the proposal which we shared through mail</v>
      </c>
      <c r="E776" s="4" t="str">
        <f>'Form responses 1'!AU778</f>
        <v>Yes</v>
      </c>
      <c r="F776" s="4" t="str">
        <f>'Form responses 1'!AX778</f>
        <v/>
      </c>
      <c r="G776" s="4" t="str">
        <f>'Form responses 1'!AY778</f>
        <v/>
      </c>
      <c r="H776" s="53" t="str">
        <f>'Form responses 1'!AW778</f>
        <v>All the detailed structure discussion has to be done with HO people after they are responding to the proposal which we shared through mail</v>
      </c>
      <c r="I776" s="4" t="str">
        <f>'Form responses 1'!AS778</f>
        <v/>
      </c>
      <c r="J776" s="4" t="str">
        <f>'Form responses 1'!J778</f>
        <v>Tier-2 (AOV &lt;400)</v>
      </c>
      <c r="K776" s="4">
        <f>'Form responses 1'!G778</f>
        <v>350</v>
      </c>
      <c r="L776" s="4">
        <f>'Form responses 1'!F778</f>
        <v>40</v>
      </c>
      <c r="M776" s="4" t="str">
        <f>'Form responses 1'!U778</f>
        <v>na</v>
      </c>
      <c r="N776" s="4" t="str">
        <f>'Form responses 1'!V778</f>
        <v>na</v>
      </c>
      <c r="O776" s="4" t="str">
        <f>'Form responses 1'!W778</f>
        <v>care@manamchocolate.com</v>
      </c>
      <c r="P776" s="4" t="str">
        <f>'Form responses 1'!X778</f>
        <v/>
      </c>
      <c r="Q776" s="4" t="str">
        <f>'Form responses 1'!Y778</f>
        <v/>
      </c>
      <c r="R776" s="4" t="str">
        <f>'Form responses 1'!Z778</f>
        <v/>
      </c>
      <c r="S776" s="4" t="str">
        <f>'Form responses 1'!AC778</f>
        <v/>
      </c>
      <c r="T776" s="4" t="str">
        <f>'Form responses 1'!AE778</f>
        <v/>
      </c>
      <c r="U776" s="4" t="str">
        <f>'Form responses 1'!AG778</f>
        <v/>
      </c>
      <c r="V776" s="4" t="str">
        <f>'Form responses 1'!AI778</f>
        <v/>
      </c>
      <c r="W776" s="4" t="str">
        <f>'Form responses 1'!AJ778</f>
        <v/>
      </c>
      <c r="X776" s="4" t="str">
        <f>'Form responses 1'!AK778</f>
        <v/>
      </c>
      <c r="Y776" s="4">
        <f t="shared" ref="Y776:AD776" si="775">if(S776&gt;0,1,0)</f>
        <v>0</v>
      </c>
      <c r="Z776" s="4">
        <f t="shared" si="775"/>
        <v>0</v>
      </c>
      <c r="AA776" s="4">
        <f t="shared" si="775"/>
        <v>0</v>
      </c>
      <c r="AB776" s="4">
        <f t="shared" si="775"/>
        <v>0</v>
      </c>
      <c r="AC776" s="4">
        <f t="shared" si="775"/>
        <v>0</v>
      </c>
      <c r="AD776" s="4">
        <f t="shared" si="775"/>
        <v>0</v>
      </c>
      <c r="AE776" s="4" t="str">
        <f>'Form responses 1'!AN778</f>
        <v/>
      </c>
      <c r="AF776" s="4" t="str">
        <f>'Form responses 1'!AO1897</f>
        <v/>
      </c>
      <c r="AG776" s="4" t="str">
        <f>'Form responses 1'!AP1897</f>
        <v/>
      </c>
      <c r="AH776" s="4" t="str">
        <f>'Form responses 1'!AQ1897</f>
        <v/>
      </c>
      <c r="AI776" s="4" t="str">
        <f>'Form responses 1'!AR1897</f>
        <v/>
      </c>
    </row>
    <row r="777">
      <c r="A777" s="26">
        <f>'Form responses 1'!B779</f>
        <v>46066</v>
      </c>
      <c r="B777" s="4" t="str">
        <f>'Form responses 1'!AZ779</f>
        <v>parthive.maganti@capsdelivery.com</v>
      </c>
      <c r="C777" s="4" t="str">
        <f>'Form responses 1'!BR779</f>
        <v>Sahi nawabis kitchen</v>
      </c>
      <c r="D777" s="4" t="str">
        <f>'Form responses 1'!AT779</f>
        <v>Na</v>
      </c>
      <c r="E777" s="4" t="str">
        <f>'Form responses 1'!AU779</f>
        <v>No</v>
      </c>
      <c r="F777" s="4" t="str">
        <f>'Form responses 1'!AX779</f>
        <v/>
      </c>
      <c r="G777" s="4" t="str">
        <f>'Form responses 1'!AY779</f>
        <v/>
      </c>
      <c r="H777" s="53" t="str">
        <f>'Form responses 1'!AW779</f>
        <v/>
      </c>
      <c r="I777" s="4" t="str">
        <f>'Form responses 1'!AS779</f>
        <v>Yes</v>
      </c>
      <c r="J777" s="4" t="str">
        <f>'Form responses 1'!J779</f>
        <v/>
      </c>
      <c r="K777" s="4" t="str">
        <f>'Form responses 1'!G779</f>
        <v/>
      </c>
      <c r="L777" s="4" t="str">
        <f>'Form responses 1'!F779</f>
        <v/>
      </c>
      <c r="M777" s="4" t="str">
        <f>'Form responses 1'!U779</f>
        <v>Rambabu j</v>
      </c>
      <c r="N777" s="4">
        <f>'Form responses 1'!V779</f>
        <v>900002378</v>
      </c>
      <c r="O777" s="4" t="str">
        <f>'Form responses 1'!W779</f>
        <v>Na</v>
      </c>
      <c r="P777" s="4" t="str">
        <f>'Form responses 1'!X779</f>
        <v/>
      </c>
      <c r="Q777" s="4" t="str">
        <f>'Form responses 1'!Y779</f>
        <v/>
      </c>
      <c r="R777" s="4" t="str">
        <f>'Form responses 1'!Z779</f>
        <v/>
      </c>
      <c r="S777" s="54" t="str">
        <f>'Form responses 1'!AC779</f>
        <v>https://drive.google.com/open?id=1_NtYZThmlKKbqsgOwqprAq1rGaCg8jqf</v>
      </c>
      <c r="T777" s="4" t="str">
        <f>'Form responses 1'!AE779</f>
        <v/>
      </c>
      <c r="U777" s="54" t="str">
        <f>'Form responses 1'!AG779</f>
        <v>https://drive.google.com/open?id=17WF4j-GOWBva0yLn5Qgm9Gioh16pcGAe</v>
      </c>
      <c r="V777" s="54" t="str">
        <f>'Form responses 1'!AI779</f>
        <v>https://drive.google.com/open?id=1dntAdXiOb2gZNFvyFl4Z2kXxhX95ZGol</v>
      </c>
      <c r="W777" s="4" t="str">
        <f>'Form responses 1'!AJ779</f>
        <v/>
      </c>
      <c r="X777" s="4" t="str">
        <f>'Form responses 1'!AK779</f>
        <v/>
      </c>
      <c r="Y777" s="4">
        <f t="shared" ref="Y777:AD777" si="776">if(S777&gt;0,1,0)</f>
        <v>1</v>
      </c>
      <c r="Z777" s="4">
        <f t="shared" si="776"/>
        <v>0</v>
      </c>
      <c r="AA777" s="4">
        <f t="shared" si="776"/>
        <v>1</v>
      </c>
      <c r="AB777" s="4">
        <f t="shared" si="776"/>
        <v>1</v>
      </c>
      <c r="AC777" s="4">
        <f t="shared" si="776"/>
        <v>0</v>
      </c>
      <c r="AD777" s="4">
        <f t="shared" si="776"/>
        <v>0</v>
      </c>
      <c r="AE777" s="4" t="str">
        <f>'Form responses 1'!AN779</f>
        <v>Rambabu k</v>
      </c>
      <c r="AF777" s="4" t="str">
        <f>'Form responses 1'!AO1898</f>
        <v/>
      </c>
      <c r="AG777" s="4" t="str">
        <f>'Form responses 1'!AP1898</f>
        <v/>
      </c>
      <c r="AH777" s="4" t="str">
        <f>'Form responses 1'!AQ1898</f>
        <v/>
      </c>
      <c r="AI777" s="4" t="str">
        <f>'Form responses 1'!AR1898</f>
        <v/>
      </c>
    </row>
    <row r="778">
      <c r="A778" s="26">
        <f>'Form responses 1'!B780</f>
        <v>46073</v>
      </c>
      <c r="B778" s="4" t="str">
        <f>'Form responses 1'!AZ780</f>
        <v>parthive.maganti@capsdelivery.com</v>
      </c>
      <c r="C778" s="4" t="str">
        <f>'Form responses 1'!BR780</f>
        <v>Mickeys tiffinNa</v>
      </c>
      <c r="D778" s="4" t="str">
        <f>'Form responses 1'!AT780</f>
        <v>Na</v>
      </c>
      <c r="E778" s="4" t="str">
        <f>'Form responses 1'!AU780</f>
        <v>No</v>
      </c>
      <c r="F778" s="4" t="str">
        <f>'Form responses 1'!AX780</f>
        <v/>
      </c>
      <c r="G778" s="4" t="str">
        <f>'Form responses 1'!AY780</f>
        <v/>
      </c>
      <c r="H778" s="53" t="str">
        <f>'Form responses 1'!AW780</f>
        <v/>
      </c>
      <c r="I778" s="4" t="str">
        <f>'Form responses 1'!AS780</f>
        <v>Yes</v>
      </c>
      <c r="J778" s="4" t="str">
        <f>'Form responses 1'!J780</f>
        <v/>
      </c>
      <c r="K778" s="4" t="str">
        <f>'Form responses 1'!G780</f>
        <v/>
      </c>
      <c r="L778" s="4" t="str">
        <f>'Form responses 1'!F780</f>
        <v/>
      </c>
      <c r="M778" s="4" t="str">
        <f>'Form responses 1'!U780</f>
        <v>Kamlesh</v>
      </c>
      <c r="N778" s="4">
        <f>'Form responses 1'!V780</f>
        <v>7386013565</v>
      </c>
      <c r="O778" s="4" t="str">
        <f>'Form responses 1'!W780</f>
        <v>Na</v>
      </c>
      <c r="P778" s="4" t="str">
        <f>'Form responses 1'!X780</f>
        <v/>
      </c>
      <c r="Q778" s="4" t="str">
        <f>'Form responses 1'!Y780</f>
        <v/>
      </c>
      <c r="R778" s="4" t="str">
        <f>'Form responses 1'!Z780</f>
        <v/>
      </c>
      <c r="S778" s="54" t="str">
        <f>'Form responses 1'!AC780</f>
        <v>https://drive.google.com/open?id=1UB9lnAVZLJ_ESZbSY-C9PQnn3VZ_ryy3</v>
      </c>
      <c r="T778" s="4" t="str">
        <f>'Form responses 1'!AE780</f>
        <v/>
      </c>
      <c r="U778" s="54" t="str">
        <f>'Form responses 1'!AG780</f>
        <v>https://drive.google.com/open?id=1Drkt38q1i_BmH6UAtl3R3QBxeff4pyWK</v>
      </c>
      <c r="V778" s="4" t="str">
        <f>'Form responses 1'!AI780</f>
        <v/>
      </c>
      <c r="W778" s="4" t="str">
        <f>'Form responses 1'!AJ780</f>
        <v/>
      </c>
      <c r="X778" s="54" t="str">
        <f>'Form responses 1'!AK780</f>
        <v>https://drive.google.com/open?id=1GJR5LCAoKfbnGEYOuSrN9dl8OUDyhW5K</v>
      </c>
      <c r="Y778" s="4">
        <f t="shared" ref="Y778:AD778" si="777">if(S778&gt;0,1,0)</f>
        <v>1</v>
      </c>
      <c r="Z778" s="4">
        <f t="shared" si="777"/>
        <v>0</v>
      </c>
      <c r="AA778" s="4">
        <f t="shared" si="777"/>
        <v>1</v>
      </c>
      <c r="AB778" s="4">
        <f t="shared" si="777"/>
        <v>0</v>
      </c>
      <c r="AC778" s="4">
        <f t="shared" si="777"/>
        <v>0</v>
      </c>
      <c r="AD778" s="4">
        <f t="shared" si="777"/>
        <v>1</v>
      </c>
      <c r="AE778" s="4" t="str">
        <f>'Form responses 1'!AN780</f>
        <v>J manikanth</v>
      </c>
      <c r="AF778" s="4" t="str">
        <f>'Form responses 1'!AO1899</f>
        <v/>
      </c>
      <c r="AG778" s="4" t="str">
        <f>'Form responses 1'!AP1899</f>
        <v/>
      </c>
      <c r="AH778" s="4" t="str">
        <f>'Form responses 1'!AQ1899</f>
        <v/>
      </c>
      <c r="AI778" s="4" t="str">
        <f>'Form responses 1'!AR1899</f>
        <v/>
      </c>
    </row>
    <row r="779">
      <c r="A779" s="26">
        <f>'Form responses 1'!B781</f>
        <v>46074</v>
      </c>
      <c r="B779" s="4" t="str">
        <f>'Form responses 1'!AZ781</f>
        <v>parthive.maganti@capsdelivery.com</v>
      </c>
      <c r="C779" s="4" t="str">
        <f>'Form responses 1'!BR781</f>
        <v>Harsha deluxe mess</v>
      </c>
      <c r="D779" s="4" t="str">
        <f>'Form responses 1'!AT781</f>
        <v>Asking to send proposal</v>
      </c>
      <c r="E779" s="4" t="str">
        <f>'Form responses 1'!AU781</f>
        <v>Yes</v>
      </c>
      <c r="F779" s="26">
        <f>'Form responses 1'!AX781</f>
        <v>46078</v>
      </c>
      <c r="G779" s="52">
        <f>'Form responses 1'!AY781</f>
        <v>0.04166666666</v>
      </c>
      <c r="H779" s="53" t="str">
        <f>'Form responses 1'!AW781</f>
        <v/>
      </c>
      <c r="I779" s="4" t="str">
        <f>'Form responses 1'!AS781</f>
        <v/>
      </c>
      <c r="J779" s="4" t="str">
        <f>'Form responses 1'!J781</f>
        <v>Tier-1(AOV&gt;400)</v>
      </c>
      <c r="K779" s="4">
        <f>'Form responses 1'!G781</f>
        <v>500</v>
      </c>
      <c r="L779" s="4">
        <f>'Form responses 1'!F781</f>
        <v>100</v>
      </c>
      <c r="M779" s="4" t="str">
        <f>'Form responses 1'!U781</f>
        <v>Pranay</v>
      </c>
      <c r="N779" s="4">
        <f>'Form responses 1'!V781</f>
        <v>8341379379</v>
      </c>
      <c r="O779" s="4" t="str">
        <f>'Form responses 1'!W781</f>
        <v>Na</v>
      </c>
      <c r="P779" s="4" t="str">
        <f>'Form responses 1'!X781</f>
        <v/>
      </c>
      <c r="Q779" s="4" t="str">
        <f>'Form responses 1'!Y781</f>
        <v/>
      </c>
      <c r="R779" s="4" t="str">
        <f>'Form responses 1'!Z781</f>
        <v/>
      </c>
      <c r="S779" s="4" t="str">
        <f>'Form responses 1'!AC781</f>
        <v/>
      </c>
      <c r="T779" s="4" t="str">
        <f>'Form responses 1'!AE781</f>
        <v/>
      </c>
      <c r="U779" s="4" t="str">
        <f>'Form responses 1'!AG781</f>
        <v/>
      </c>
      <c r="V779" s="4" t="str">
        <f>'Form responses 1'!AI781</f>
        <v/>
      </c>
      <c r="W779" s="4" t="str">
        <f>'Form responses 1'!AJ781</f>
        <v/>
      </c>
      <c r="X779" s="4" t="str">
        <f>'Form responses 1'!AK781</f>
        <v/>
      </c>
      <c r="Y779" s="4">
        <f t="shared" ref="Y779:AD779" si="778">if(S779&gt;0,1,0)</f>
        <v>0</v>
      </c>
      <c r="Z779" s="4">
        <f t="shared" si="778"/>
        <v>0</v>
      </c>
      <c r="AA779" s="4">
        <f t="shared" si="778"/>
        <v>0</v>
      </c>
      <c r="AB779" s="4">
        <f t="shared" si="778"/>
        <v>0</v>
      </c>
      <c r="AC779" s="4">
        <f t="shared" si="778"/>
        <v>0</v>
      </c>
      <c r="AD779" s="4">
        <f t="shared" si="778"/>
        <v>0</v>
      </c>
      <c r="AE779" s="4" t="str">
        <f>'Form responses 1'!AN781</f>
        <v/>
      </c>
      <c r="AF779" s="4" t="str">
        <f>'Form responses 1'!AO1900</f>
        <v/>
      </c>
      <c r="AG779" s="4" t="str">
        <f>'Form responses 1'!AP1900</f>
        <v/>
      </c>
      <c r="AH779" s="4" t="str">
        <f>'Form responses 1'!AQ1900</f>
        <v/>
      </c>
      <c r="AI779" s="4" t="str">
        <f>'Form responses 1'!AR1900</f>
        <v/>
      </c>
    </row>
    <row r="780">
      <c r="A780" s="26">
        <f>'Form responses 1'!B782</f>
        <v>46074</v>
      </c>
      <c r="B780" s="4" t="str">
        <f>'Form responses 1'!AZ782</f>
        <v>parthive.maganti@capsdelivery.com</v>
      </c>
      <c r="C780" s="4" t="str">
        <f>'Form responses 1'!BR782</f>
        <v>Kasoori</v>
      </c>
      <c r="D780" s="4" t="str">
        <f>'Form responses 1'!AT782</f>
        <v>Na</v>
      </c>
      <c r="E780" s="4" t="str">
        <f>'Form responses 1'!AU782</f>
        <v>Yes</v>
      </c>
      <c r="F780" s="26">
        <f>'Form responses 1'!AX782</f>
        <v>46081</v>
      </c>
      <c r="G780" s="52">
        <f>'Form responses 1'!AY782</f>
        <v>0.4166666667</v>
      </c>
      <c r="H780" s="53" t="str">
        <f>'Form responses 1'!AW782</f>
        <v/>
      </c>
      <c r="I780" s="4" t="str">
        <f>'Form responses 1'!AS782</f>
        <v/>
      </c>
      <c r="J780" s="4" t="str">
        <f>'Form responses 1'!J782</f>
        <v>Tier-1(AOV&gt;400)</v>
      </c>
      <c r="K780" s="4">
        <f>'Form responses 1'!G782</f>
        <v>400</v>
      </c>
      <c r="L780" s="4">
        <f>'Form responses 1'!F782</f>
        <v>200</v>
      </c>
      <c r="M780" s="4" t="str">
        <f>'Form responses 1'!U782</f>
        <v>Shekar</v>
      </c>
      <c r="N780" s="4">
        <f>'Form responses 1'!V782</f>
        <v>9705659494</v>
      </c>
      <c r="O780" s="4" t="str">
        <f>'Form responses 1'!W782</f>
        <v>Na</v>
      </c>
      <c r="P780" s="4" t="str">
        <f>'Form responses 1'!X782</f>
        <v/>
      </c>
      <c r="Q780" s="4" t="str">
        <f>'Form responses 1'!Y782</f>
        <v/>
      </c>
      <c r="R780" s="4" t="str">
        <f>'Form responses 1'!Z782</f>
        <v/>
      </c>
      <c r="S780" s="4" t="str">
        <f>'Form responses 1'!AC782</f>
        <v/>
      </c>
      <c r="T780" s="4" t="str">
        <f>'Form responses 1'!AE782</f>
        <v/>
      </c>
      <c r="U780" s="4" t="str">
        <f>'Form responses 1'!AG782</f>
        <v/>
      </c>
      <c r="V780" s="4" t="str">
        <f>'Form responses 1'!AI782</f>
        <v/>
      </c>
      <c r="W780" s="4" t="str">
        <f>'Form responses 1'!AJ782</f>
        <v/>
      </c>
      <c r="X780" s="4" t="str">
        <f>'Form responses 1'!AK782</f>
        <v/>
      </c>
      <c r="Y780" s="4">
        <f t="shared" ref="Y780:AD780" si="779">if(S780&gt;0,1,0)</f>
        <v>0</v>
      </c>
      <c r="Z780" s="4">
        <f t="shared" si="779"/>
        <v>0</v>
      </c>
      <c r="AA780" s="4">
        <f t="shared" si="779"/>
        <v>0</v>
      </c>
      <c r="AB780" s="4">
        <f t="shared" si="779"/>
        <v>0</v>
      </c>
      <c r="AC780" s="4">
        <f t="shared" si="779"/>
        <v>0</v>
      </c>
      <c r="AD780" s="4">
        <f t="shared" si="779"/>
        <v>0</v>
      </c>
      <c r="AE780" s="4" t="str">
        <f>'Form responses 1'!AN782</f>
        <v/>
      </c>
      <c r="AF780" s="4" t="str">
        <f>'Form responses 1'!AO1901</f>
        <v/>
      </c>
      <c r="AG780" s="4" t="str">
        <f>'Form responses 1'!AP1901</f>
        <v/>
      </c>
      <c r="AH780" s="4" t="str">
        <f>'Form responses 1'!AQ1901</f>
        <v/>
      </c>
      <c r="AI780" s="4" t="str">
        <f>'Form responses 1'!AR1901</f>
        <v/>
      </c>
    </row>
    <row r="781">
      <c r="A781" s="26">
        <f>'Form responses 1'!B783</f>
        <v>46074</v>
      </c>
      <c r="B781" s="4" t="str">
        <f>'Form responses 1'!AZ783</f>
        <v>parthive.maganti@capsdelivery.com</v>
      </c>
      <c r="C781" s="4" t="str">
        <f>'Form responses 1'!BR783</f>
        <v>Churrolto Na</v>
      </c>
      <c r="D781" s="4" t="str">
        <f>'Form responses 1'!AT783</f>
        <v>Hello is the main marketing manager looks towards online platforms</v>
      </c>
      <c r="E781" s="4" t="str">
        <f>'Form responses 1'!AU783</f>
        <v>Yes</v>
      </c>
      <c r="F781" s="4" t="str">
        <f>'Form responses 1'!AX783</f>
        <v/>
      </c>
      <c r="G781" s="4" t="str">
        <f>'Form responses 1'!AY783</f>
        <v/>
      </c>
      <c r="H781" s="53" t="str">
        <f>'Form responses 1'!AW783</f>
        <v/>
      </c>
      <c r="I781" s="4" t="str">
        <f>'Form responses 1'!AS783</f>
        <v/>
      </c>
      <c r="J781" s="4" t="str">
        <f>'Form responses 1'!J783</f>
        <v/>
      </c>
      <c r="K781" s="4" t="str">
        <f>'Form responses 1'!G783</f>
        <v/>
      </c>
      <c r="L781" s="4" t="str">
        <f>'Form responses 1'!F783</f>
        <v/>
      </c>
      <c r="M781" s="4" t="str">
        <f>'Form responses 1'!U783</f>
        <v>Eshwar</v>
      </c>
      <c r="N781" s="4">
        <f>'Form responses 1'!V783</f>
        <v>9573318519</v>
      </c>
      <c r="O781" s="4" t="str">
        <f>'Form responses 1'!W783</f>
        <v>Na</v>
      </c>
      <c r="P781" s="4" t="str">
        <f>'Form responses 1'!X783</f>
        <v/>
      </c>
      <c r="Q781" s="4" t="str">
        <f>'Form responses 1'!Y783</f>
        <v/>
      </c>
      <c r="R781" s="4" t="str">
        <f>'Form responses 1'!Z783</f>
        <v/>
      </c>
      <c r="S781" s="4" t="str">
        <f>'Form responses 1'!AC783</f>
        <v/>
      </c>
      <c r="T781" s="4" t="str">
        <f>'Form responses 1'!AE783</f>
        <v/>
      </c>
      <c r="U781" s="4" t="str">
        <f>'Form responses 1'!AG783</f>
        <v/>
      </c>
      <c r="V781" s="4" t="str">
        <f>'Form responses 1'!AI783</f>
        <v/>
      </c>
      <c r="W781" s="4" t="str">
        <f>'Form responses 1'!AJ783</f>
        <v/>
      </c>
      <c r="X781" s="4" t="str">
        <f>'Form responses 1'!AK783</f>
        <v/>
      </c>
      <c r="Y781" s="4">
        <f t="shared" ref="Y781:AD781" si="780">if(S781&gt;0,1,0)</f>
        <v>0</v>
      </c>
      <c r="Z781" s="4">
        <f t="shared" si="780"/>
        <v>0</v>
      </c>
      <c r="AA781" s="4">
        <f t="shared" si="780"/>
        <v>0</v>
      </c>
      <c r="AB781" s="4">
        <f t="shared" si="780"/>
        <v>0</v>
      </c>
      <c r="AC781" s="4">
        <f t="shared" si="780"/>
        <v>0</v>
      </c>
      <c r="AD781" s="4">
        <f t="shared" si="780"/>
        <v>0</v>
      </c>
      <c r="AE781" s="4" t="str">
        <f>'Form responses 1'!AN783</f>
        <v/>
      </c>
      <c r="AF781" s="4" t="str">
        <f>'Form responses 1'!AO1902</f>
        <v/>
      </c>
      <c r="AG781" s="4" t="str">
        <f>'Form responses 1'!AP1902</f>
        <v/>
      </c>
      <c r="AH781" s="4" t="str">
        <f>'Form responses 1'!AQ1902</f>
        <v/>
      </c>
      <c r="AI781" s="4" t="str">
        <f>'Form responses 1'!AR1902</f>
        <v/>
      </c>
    </row>
    <row r="782">
      <c r="A782" s="26">
        <f>'Form responses 1'!B784</f>
        <v>46074</v>
      </c>
      <c r="B782" s="4" t="str">
        <f>'Form responses 1'!AZ784</f>
        <v>madhumitha.sonnakula@capsdelivery.com</v>
      </c>
      <c r="C782" s="4" t="str">
        <f>'Form responses 1'!BR784</f>
        <v>cafe coffee day cafe coffee day</v>
      </c>
      <c r="D782" s="4" t="str">
        <f>'Form responses 1'!AT784</f>
        <v>monday</v>
      </c>
      <c r="E782" s="4" t="str">
        <f>'Form responses 1'!AU784</f>
        <v>Yes</v>
      </c>
      <c r="F782" s="4" t="str">
        <f>'Form responses 1'!AX784</f>
        <v/>
      </c>
      <c r="G782" s="4" t="str">
        <f>'Form responses 1'!AY784</f>
        <v/>
      </c>
      <c r="H782" s="53" t="str">
        <f>'Form responses 1'!AW784</f>
        <v/>
      </c>
      <c r="I782" s="4" t="str">
        <f>'Form responses 1'!AS784</f>
        <v/>
      </c>
      <c r="J782" s="4" t="str">
        <f>'Form responses 1'!J784</f>
        <v/>
      </c>
      <c r="K782" s="4" t="str">
        <f>'Form responses 1'!G784</f>
        <v/>
      </c>
      <c r="L782" s="4" t="str">
        <f>'Form responses 1'!F784</f>
        <v/>
      </c>
      <c r="M782" s="4" t="str">
        <f>'Form responses 1'!U784</f>
        <v>na</v>
      </c>
      <c r="N782" s="4" t="str">
        <f>'Form responses 1'!V784</f>
        <v>na</v>
      </c>
      <c r="O782" s="4" t="str">
        <f>'Form responses 1'!W784</f>
        <v>na</v>
      </c>
      <c r="P782" s="4" t="str">
        <f>'Form responses 1'!X784</f>
        <v/>
      </c>
      <c r="Q782" s="4" t="str">
        <f>'Form responses 1'!Y784</f>
        <v/>
      </c>
      <c r="R782" s="4" t="str">
        <f>'Form responses 1'!Z784</f>
        <v/>
      </c>
      <c r="S782" s="4" t="str">
        <f>'Form responses 1'!AC784</f>
        <v/>
      </c>
      <c r="T782" s="4" t="str">
        <f>'Form responses 1'!AE784</f>
        <v/>
      </c>
      <c r="U782" s="4" t="str">
        <f>'Form responses 1'!AG784</f>
        <v/>
      </c>
      <c r="V782" s="4" t="str">
        <f>'Form responses 1'!AI784</f>
        <v/>
      </c>
      <c r="W782" s="4" t="str">
        <f>'Form responses 1'!AJ784</f>
        <v/>
      </c>
      <c r="X782" s="4" t="str">
        <f>'Form responses 1'!AK784</f>
        <v/>
      </c>
      <c r="Y782" s="4">
        <f t="shared" ref="Y782:AD782" si="781">if(S782&gt;0,1,0)</f>
        <v>0</v>
      </c>
      <c r="Z782" s="4">
        <f t="shared" si="781"/>
        <v>0</v>
      </c>
      <c r="AA782" s="4">
        <f t="shared" si="781"/>
        <v>0</v>
      </c>
      <c r="AB782" s="4">
        <f t="shared" si="781"/>
        <v>0</v>
      </c>
      <c r="AC782" s="4">
        <f t="shared" si="781"/>
        <v>0</v>
      </c>
      <c r="AD782" s="4">
        <f t="shared" si="781"/>
        <v>0</v>
      </c>
      <c r="AE782" s="4" t="str">
        <f>'Form responses 1'!AN784</f>
        <v/>
      </c>
      <c r="AF782" s="4" t="str">
        <f>'Form responses 1'!AO1903</f>
        <v/>
      </c>
      <c r="AG782" s="4" t="str">
        <f>'Form responses 1'!AP1903</f>
        <v/>
      </c>
      <c r="AH782" s="4" t="str">
        <f>'Form responses 1'!AQ1903</f>
        <v/>
      </c>
      <c r="AI782" s="4" t="str">
        <f>'Form responses 1'!AR1903</f>
        <v/>
      </c>
    </row>
    <row r="783">
      <c r="A783" s="26">
        <f>'Form responses 1'!B785</f>
        <v>46074</v>
      </c>
      <c r="B783" s="4" t="str">
        <f>'Form responses 1'!AZ785</f>
        <v>madhumitha.sonnakula@capsdelivery.com</v>
      </c>
      <c r="C783" s="4" t="str">
        <f>'Form responses 1'!BR785</f>
        <v>the chocolate roomchocolate room</v>
      </c>
      <c r="D783" s="4" t="str">
        <f>'Form responses 1'!AT785</f>
        <v>monday</v>
      </c>
      <c r="E783" s="4" t="str">
        <f>'Form responses 1'!AU785</f>
        <v>Yes</v>
      </c>
      <c r="F783" s="4" t="str">
        <f>'Form responses 1'!AX785</f>
        <v/>
      </c>
      <c r="G783" s="4" t="str">
        <f>'Form responses 1'!AY785</f>
        <v/>
      </c>
      <c r="H783" s="53" t="str">
        <f>'Form responses 1'!AW785</f>
        <v/>
      </c>
      <c r="I783" s="4" t="str">
        <f>'Form responses 1'!AS785</f>
        <v/>
      </c>
      <c r="J783" s="4" t="str">
        <f>'Form responses 1'!J785</f>
        <v/>
      </c>
      <c r="K783" s="4" t="str">
        <f>'Form responses 1'!G785</f>
        <v/>
      </c>
      <c r="L783" s="4" t="str">
        <f>'Form responses 1'!F785</f>
        <v/>
      </c>
      <c r="M783" s="4" t="str">
        <f>'Form responses 1'!U785</f>
        <v>charan</v>
      </c>
      <c r="N783" s="4" t="str">
        <f>'Form responses 1'!V785</f>
        <v>na</v>
      </c>
      <c r="O783" s="4" t="str">
        <f>'Form responses 1'!W785</f>
        <v>na</v>
      </c>
      <c r="P783" s="4" t="str">
        <f>'Form responses 1'!X785</f>
        <v/>
      </c>
      <c r="Q783" s="4" t="str">
        <f>'Form responses 1'!Y785</f>
        <v/>
      </c>
      <c r="R783" s="4" t="str">
        <f>'Form responses 1'!Z785</f>
        <v/>
      </c>
      <c r="S783" s="4" t="str">
        <f>'Form responses 1'!AC785</f>
        <v/>
      </c>
      <c r="T783" s="4" t="str">
        <f>'Form responses 1'!AE785</f>
        <v/>
      </c>
      <c r="U783" s="4" t="str">
        <f>'Form responses 1'!AG785</f>
        <v/>
      </c>
      <c r="V783" s="4" t="str">
        <f>'Form responses 1'!AI785</f>
        <v/>
      </c>
      <c r="W783" s="4" t="str">
        <f>'Form responses 1'!AJ785</f>
        <v/>
      </c>
      <c r="X783" s="4" t="str">
        <f>'Form responses 1'!AK785</f>
        <v/>
      </c>
      <c r="Y783" s="4">
        <f t="shared" ref="Y783:AD783" si="782">if(S783&gt;0,1,0)</f>
        <v>0</v>
      </c>
      <c r="Z783" s="4">
        <f t="shared" si="782"/>
        <v>0</v>
      </c>
      <c r="AA783" s="4">
        <f t="shared" si="782"/>
        <v>0</v>
      </c>
      <c r="AB783" s="4">
        <f t="shared" si="782"/>
        <v>0</v>
      </c>
      <c r="AC783" s="4">
        <f t="shared" si="782"/>
        <v>0</v>
      </c>
      <c r="AD783" s="4">
        <f t="shared" si="782"/>
        <v>0</v>
      </c>
      <c r="AE783" s="4" t="str">
        <f>'Form responses 1'!AN785</f>
        <v/>
      </c>
      <c r="AF783" s="4" t="str">
        <f>'Form responses 1'!AO1904</f>
        <v/>
      </c>
      <c r="AG783" s="4" t="str">
        <f>'Form responses 1'!AP1904</f>
        <v/>
      </c>
      <c r="AH783" s="4" t="str">
        <f>'Form responses 1'!AQ1904</f>
        <v/>
      </c>
      <c r="AI783" s="4" t="str">
        <f>'Form responses 1'!AR1904</f>
        <v/>
      </c>
    </row>
    <row r="784">
      <c r="A784" s="26">
        <f>'Form responses 1'!B786</f>
        <v>46074</v>
      </c>
      <c r="B784" s="4" t="str">
        <f>'Form responses 1'!AZ786</f>
        <v>madhumitha.sonnakula@capsdelivery.com</v>
      </c>
      <c r="C784" s="4" t="str">
        <f>'Form responses 1'!BR786</f>
        <v>kapoors cafe</v>
      </c>
      <c r="D784" s="4" t="str">
        <f>'Form responses 1'!AT786</f>
        <v>monday</v>
      </c>
      <c r="E784" s="4" t="str">
        <f>'Form responses 1'!AU786</f>
        <v>Yes</v>
      </c>
      <c r="F784" s="4" t="str">
        <f>'Form responses 1'!AX786</f>
        <v/>
      </c>
      <c r="G784" s="4" t="str">
        <f>'Form responses 1'!AY786</f>
        <v/>
      </c>
      <c r="H784" s="53" t="str">
        <f>'Form responses 1'!AW786</f>
        <v/>
      </c>
      <c r="I784" s="4" t="str">
        <f>'Form responses 1'!AS786</f>
        <v/>
      </c>
      <c r="J784" s="4" t="str">
        <f>'Form responses 1'!J786</f>
        <v/>
      </c>
      <c r="K784" s="4" t="str">
        <f>'Form responses 1'!G786</f>
        <v/>
      </c>
      <c r="L784" s="4" t="str">
        <f>'Form responses 1'!F786</f>
        <v/>
      </c>
      <c r="M784" s="4" t="str">
        <f>'Form responses 1'!U786</f>
        <v>na</v>
      </c>
      <c r="N784" s="4">
        <f>'Form responses 1'!V786</f>
        <v>6309590610</v>
      </c>
      <c r="O784" s="4" t="str">
        <f>'Form responses 1'!W786</f>
        <v>support@roasterycoffee.co.in</v>
      </c>
      <c r="P784" s="4" t="str">
        <f>'Form responses 1'!X786</f>
        <v/>
      </c>
      <c r="Q784" s="4" t="str">
        <f>'Form responses 1'!Y786</f>
        <v/>
      </c>
      <c r="R784" s="4" t="str">
        <f>'Form responses 1'!Z786</f>
        <v/>
      </c>
      <c r="S784" s="4" t="str">
        <f>'Form responses 1'!AC786</f>
        <v/>
      </c>
      <c r="T784" s="4" t="str">
        <f>'Form responses 1'!AE786</f>
        <v/>
      </c>
      <c r="U784" s="4" t="str">
        <f>'Form responses 1'!AG786</f>
        <v/>
      </c>
      <c r="V784" s="4" t="str">
        <f>'Form responses 1'!AI786</f>
        <v/>
      </c>
      <c r="W784" s="4" t="str">
        <f>'Form responses 1'!AJ786</f>
        <v/>
      </c>
      <c r="X784" s="4" t="str">
        <f>'Form responses 1'!AK786</f>
        <v/>
      </c>
      <c r="Y784" s="4">
        <f t="shared" ref="Y784:AD784" si="783">if(S784&gt;0,1,0)</f>
        <v>0</v>
      </c>
      <c r="Z784" s="4">
        <f t="shared" si="783"/>
        <v>0</v>
      </c>
      <c r="AA784" s="4">
        <f t="shared" si="783"/>
        <v>0</v>
      </c>
      <c r="AB784" s="4">
        <f t="shared" si="783"/>
        <v>0</v>
      </c>
      <c r="AC784" s="4">
        <f t="shared" si="783"/>
        <v>0</v>
      </c>
      <c r="AD784" s="4">
        <f t="shared" si="783"/>
        <v>0</v>
      </c>
      <c r="AE784" s="4" t="str">
        <f>'Form responses 1'!AN786</f>
        <v/>
      </c>
      <c r="AF784" s="4" t="str">
        <f>'Form responses 1'!AO1905</f>
        <v/>
      </c>
      <c r="AG784" s="4" t="str">
        <f>'Form responses 1'!AP1905</f>
        <v/>
      </c>
      <c r="AH784" s="4" t="str">
        <f>'Form responses 1'!AQ1905</f>
        <v/>
      </c>
      <c r="AI784" s="4" t="str">
        <f>'Form responses 1'!AR1905</f>
        <v/>
      </c>
    </row>
    <row r="785">
      <c r="A785" s="26">
        <f>'Form responses 1'!B787</f>
        <v>46074</v>
      </c>
      <c r="B785" s="4" t="str">
        <f>'Form responses 1'!AZ787</f>
        <v>parthive.maganti@capsdelivery.com</v>
      </c>
      <c r="C785" s="4" t="str">
        <f>'Form responses 1'!BR787</f>
        <v>Babbai hotel</v>
      </c>
      <c r="D785" s="4" t="str">
        <f>'Form responses 1'!AT787</f>
        <v>We need to prepare proposals point for them</v>
      </c>
      <c r="E785" s="4" t="str">
        <f>'Form responses 1'!AU787</f>
        <v>Yes</v>
      </c>
      <c r="F785" s="26">
        <f>'Form responses 1'!AX787</f>
        <v>46078</v>
      </c>
      <c r="G785" s="4" t="str">
        <f>'Form responses 1'!AY787</f>
        <v/>
      </c>
      <c r="H785" s="53" t="str">
        <f>'Form responses 1'!AW787</f>
        <v>Proposal</v>
      </c>
      <c r="I785" s="4" t="str">
        <f>'Form responses 1'!AS787</f>
        <v/>
      </c>
      <c r="J785" s="4" t="str">
        <f>'Form responses 1'!J787</f>
        <v/>
      </c>
      <c r="K785" s="4" t="str">
        <f>'Form responses 1'!G787</f>
        <v/>
      </c>
      <c r="L785" s="4" t="str">
        <f>'Form responses 1'!F787</f>
        <v/>
      </c>
      <c r="M785" s="4" t="str">
        <f>'Form responses 1'!U787</f>
        <v>Shiva </v>
      </c>
      <c r="N785" s="4" t="str">
        <f>'Form responses 1'!V787</f>
        <v>+916304551271</v>
      </c>
      <c r="O785" s="4" t="str">
        <f>'Form responses 1'!W787</f>
        <v>Na</v>
      </c>
      <c r="P785" s="4" t="str">
        <f>'Form responses 1'!X787</f>
        <v/>
      </c>
      <c r="Q785" s="4" t="str">
        <f>'Form responses 1'!Y787</f>
        <v/>
      </c>
      <c r="R785" s="4" t="str">
        <f>'Form responses 1'!Z787</f>
        <v/>
      </c>
      <c r="S785" s="4" t="str">
        <f>'Form responses 1'!AC787</f>
        <v/>
      </c>
      <c r="T785" s="4" t="str">
        <f>'Form responses 1'!AE787</f>
        <v/>
      </c>
      <c r="U785" s="4" t="str">
        <f>'Form responses 1'!AG787</f>
        <v/>
      </c>
      <c r="V785" s="4" t="str">
        <f>'Form responses 1'!AI787</f>
        <v/>
      </c>
      <c r="W785" s="4" t="str">
        <f>'Form responses 1'!AJ787</f>
        <v/>
      </c>
      <c r="X785" s="4" t="str">
        <f>'Form responses 1'!AK787</f>
        <v/>
      </c>
      <c r="Y785" s="4">
        <f t="shared" ref="Y785:AD785" si="784">if(S785&gt;0,1,0)</f>
        <v>0</v>
      </c>
      <c r="Z785" s="4">
        <f t="shared" si="784"/>
        <v>0</v>
      </c>
      <c r="AA785" s="4">
        <f t="shared" si="784"/>
        <v>0</v>
      </c>
      <c r="AB785" s="4">
        <f t="shared" si="784"/>
        <v>0</v>
      </c>
      <c r="AC785" s="4">
        <f t="shared" si="784"/>
        <v>0</v>
      </c>
      <c r="AD785" s="4">
        <f t="shared" si="784"/>
        <v>0</v>
      </c>
      <c r="AE785" s="4" t="str">
        <f>'Form responses 1'!AN787</f>
        <v/>
      </c>
      <c r="AF785" s="4" t="str">
        <f>'Form responses 1'!AO1906</f>
        <v/>
      </c>
      <c r="AG785" s="4" t="str">
        <f>'Form responses 1'!AP1906</f>
        <v/>
      </c>
      <c r="AH785" s="4" t="str">
        <f>'Form responses 1'!AQ1906</f>
        <v/>
      </c>
      <c r="AI785" s="4" t="str">
        <f>'Form responses 1'!AR1906</f>
        <v/>
      </c>
    </row>
    <row r="786">
      <c r="A786" s="26">
        <f>'Form responses 1'!B788</f>
        <v>46074</v>
      </c>
      <c r="B786" s="4" t="str">
        <f>'Form responses 1'!AZ788</f>
        <v>greeshma.vanneldas@capsdelivery.com</v>
      </c>
      <c r="C786" s="4" t="str">
        <f>'Form responses 1'!BR788</f>
        <v>THE SIPPING ADDATHE SIPPING ADDA</v>
      </c>
      <c r="D786" s="4" t="str">
        <f>'Form responses 1'!AT788</f>
        <v>ONBOARDED SOME DOCUMENTS LEFT TO RECEIVE</v>
      </c>
      <c r="E786" s="4" t="str">
        <f>'Form responses 1'!AU788</f>
        <v>No</v>
      </c>
      <c r="F786" s="4" t="str">
        <f>'Form responses 1'!AX788</f>
        <v/>
      </c>
      <c r="G786" s="4" t="str">
        <f>'Form responses 1'!AY788</f>
        <v/>
      </c>
      <c r="H786" s="53" t="str">
        <f>'Form responses 1'!AW788</f>
        <v/>
      </c>
      <c r="I786" s="4" t="str">
        <f>'Form responses 1'!AS788</f>
        <v/>
      </c>
      <c r="J786" s="4" t="str">
        <f>'Form responses 1'!J788</f>
        <v/>
      </c>
      <c r="K786" s="4" t="str">
        <f>'Form responses 1'!G788</f>
        <v/>
      </c>
      <c r="L786" s="4" t="str">
        <f>'Form responses 1'!F788</f>
        <v/>
      </c>
      <c r="M786" s="4" t="str">
        <f>'Form responses 1'!U788</f>
        <v>Thirumala reddy balashow reddy</v>
      </c>
      <c r="N786" s="4">
        <f>'Form responses 1'!V788</f>
        <v>9666674299</v>
      </c>
      <c r="O786" s="4" t="str">
        <f>'Form responses 1'!W788</f>
        <v>na</v>
      </c>
      <c r="P786" s="4" t="str">
        <f>'Form responses 1'!X788</f>
        <v/>
      </c>
      <c r="Q786" s="4" t="str">
        <f>'Form responses 1'!Y788</f>
        <v/>
      </c>
      <c r="R786" s="4" t="str">
        <f>'Form responses 1'!Z788</f>
        <v/>
      </c>
      <c r="S786" s="4" t="str">
        <f>'Form responses 1'!AC788</f>
        <v/>
      </c>
      <c r="T786" s="4" t="str">
        <f>'Form responses 1'!AE788</f>
        <v/>
      </c>
      <c r="U786" s="4" t="str">
        <f>'Form responses 1'!AG788</f>
        <v/>
      </c>
      <c r="V786" s="4" t="str">
        <f>'Form responses 1'!AI788</f>
        <v/>
      </c>
      <c r="W786" s="4" t="str">
        <f>'Form responses 1'!AJ788</f>
        <v/>
      </c>
      <c r="X786" s="4" t="str">
        <f>'Form responses 1'!AK788</f>
        <v/>
      </c>
      <c r="Y786" s="4">
        <f t="shared" ref="Y786:AD786" si="785">if(S786&gt;0,1,0)</f>
        <v>0</v>
      </c>
      <c r="Z786" s="4">
        <f t="shared" si="785"/>
        <v>0</v>
      </c>
      <c r="AA786" s="4">
        <f t="shared" si="785"/>
        <v>0</v>
      </c>
      <c r="AB786" s="4">
        <f t="shared" si="785"/>
        <v>0</v>
      </c>
      <c r="AC786" s="4">
        <f t="shared" si="785"/>
        <v>0</v>
      </c>
      <c r="AD786" s="4">
        <f t="shared" si="785"/>
        <v>0</v>
      </c>
      <c r="AE786" s="4" t="str">
        <f>'Form responses 1'!AN788</f>
        <v/>
      </c>
      <c r="AF786" s="4" t="str">
        <f>'Form responses 1'!AO1907</f>
        <v/>
      </c>
      <c r="AG786" s="4" t="str">
        <f>'Form responses 1'!AP1907</f>
        <v/>
      </c>
      <c r="AH786" s="4" t="str">
        <f>'Form responses 1'!AQ1907</f>
        <v/>
      </c>
      <c r="AI786" s="4" t="str">
        <f>'Form responses 1'!AR1907</f>
        <v/>
      </c>
    </row>
    <row r="787">
      <c r="A787" s="26">
        <f>'Form responses 1'!B789</f>
        <v>46074</v>
      </c>
      <c r="B787" s="4" t="str">
        <f>'Form responses 1'!AZ789</f>
        <v>greeshma.vanneldas@capsdelivery.com</v>
      </c>
      <c r="C787" s="4" t="str">
        <f>'Form responses 1'!BR789</f>
        <v>sAI RISHITHA FAST FOOD CENTREsAI RISHITHA FAST FOOD CENTRE</v>
      </c>
      <c r="D787" s="4" t="str">
        <f>'Form responses 1'!AT789</f>
        <v>Onboarded.I didnt received all documents </v>
      </c>
      <c r="E787" s="4" t="str">
        <f>'Form responses 1'!AU789</f>
        <v>No</v>
      </c>
      <c r="F787" s="4" t="str">
        <f>'Form responses 1'!AX789</f>
        <v/>
      </c>
      <c r="G787" s="4" t="str">
        <f>'Form responses 1'!AY789</f>
        <v/>
      </c>
      <c r="H787" s="53" t="str">
        <f>'Form responses 1'!AW789</f>
        <v/>
      </c>
      <c r="I787" s="4" t="str">
        <f>'Form responses 1'!AS789</f>
        <v/>
      </c>
      <c r="J787" s="4" t="str">
        <f>'Form responses 1'!J789</f>
        <v/>
      </c>
      <c r="K787" s="4" t="str">
        <f>'Form responses 1'!G789</f>
        <v/>
      </c>
      <c r="L787" s="4" t="str">
        <f>'Form responses 1'!F789</f>
        <v/>
      </c>
      <c r="M787" s="4" t="str">
        <f>'Form responses 1'!U789</f>
        <v>Thirumala reddy balashow reddy</v>
      </c>
      <c r="N787" s="4">
        <f>'Form responses 1'!V789</f>
        <v>9666674299</v>
      </c>
      <c r="O787" s="4" t="str">
        <f>'Form responses 1'!W789</f>
        <v>NA</v>
      </c>
      <c r="P787" s="4" t="str">
        <f>'Form responses 1'!X789</f>
        <v/>
      </c>
      <c r="Q787" s="4" t="str">
        <f>'Form responses 1'!Y789</f>
        <v/>
      </c>
      <c r="R787" s="4" t="str">
        <f>'Form responses 1'!Z789</f>
        <v/>
      </c>
      <c r="S787" s="4" t="str">
        <f>'Form responses 1'!AC789</f>
        <v/>
      </c>
      <c r="T787" s="4" t="str">
        <f>'Form responses 1'!AE789</f>
        <v/>
      </c>
      <c r="U787" s="4" t="str">
        <f>'Form responses 1'!AG789</f>
        <v/>
      </c>
      <c r="V787" s="4" t="str">
        <f>'Form responses 1'!AI789</f>
        <v/>
      </c>
      <c r="W787" s="4" t="str">
        <f>'Form responses 1'!AJ789</f>
        <v/>
      </c>
      <c r="X787" s="4" t="str">
        <f>'Form responses 1'!AK789</f>
        <v/>
      </c>
      <c r="Y787" s="4">
        <f t="shared" ref="Y787:AD787" si="786">if(S787&gt;0,1,0)</f>
        <v>0</v>
      </c>
      <c r="Z787" s="4">
        <f t="shared" si="786"/>
        <v>0</v>
      </c>
      <c r="AA787" s="4">
        <f t="shared" si="786"/>
        <v>0</v>
      </c>
      <c r="AB787" s="4">
        <f t="shared" si="786"/>
        <v>0</v>
      </c>
      <c r="AC787" s="4">
        <f t="shared" si="786"/>
        <v>0</v>
      </c>
      <c r="AD787" s="4">
        <f t="shared" si="786"/>
        <v>0</v>
      </c>
      <c r="AE787" s="4" t="str">
        <f>'Form responses 1'!AN789</f>
        <v/>
      </c>
      <c r="AF787" s="4" t="str">
        <f>'Form responses 1'!AO1908</f>
        <v/>
      </c>
      <c r="AG787" s="4" t="str">
        <f>'Form responses 1'!AP1908</f>
        <v/>
      </c>
      <c r="AH787" s="4" t="str">
        <f>'Form responses 1'!AQ1908</f>
        <v/>
      </c>
      <c r="AI787" s="4" t="str">
        <f>'Form responses 1'!AR1908</f>
        <v/>
      </c>
    </row>
    <row r="788">
      <c r="A788" s="26">
        <f>'Form responses 1'!B790</f>
        <v>46074</v>
      </c>
      <c r="B788" s="4" t="str">
        <f>'Form responses 1'!AZ790</f>
        <v>greeshma.vanneldas@capsdelivery.com</v>
      </c>
      <c r="C788" s="4" t="str">
        <f>'Form responses 1'!BR790</f>
        <v>ABC Foods (Abiruchi biryani cafe)</v>
      </c>
      <c r="D788" s="4" t="str">
        <f>'Form responses 1'!AT790</f>
        <v>for the discussion owner was not avilable need to follow up</v>
      </c>
      <c r="E788" s="4" t="str">
        <f>'Form responses 1'!AU790</f>
        <v>Yes</v>
      </c>
      <c r="F788" s="4" t="str">
        <f>'Form responses 1'!AX790</f>
        <v/>
      </c>
      <c r="G788" s="4" t="str">
        <f>'Form responses 1'!AY790</f>
        <v/>
      </c>
      <c r="H788" s="53" t="str">
        <f>'Form responses 1'!AW790</f>
        <v/>
      </c>
      <c r="I788" s="4" t="str">
        <f>'Form responses 1'!AS790</f>
        <v/>
      </c>
      <c r="J788" s="4" t="str">
        <f>'Form responses 1'!J790</f>
        <v/>
      </c>
      <c r="K788" s="4" t="str">
        <f>'Form responses 1'!G790</f>
        <v/>
      </c>
      <c r="L788" s="4" t="str">
        <f>'Form responses 1'!F790</f>
        <v/>
      </c>
      <c r="M788" s="4" t="str">
        <f>'Form responses 1'!U790</f>
        <v>Sathyaprasad</v>
      </c>
      <c r="N788" s="4">
        <f>'Form responses 1'!V790</f>
        <v>7013883666</v>
      </c>
      <c r="O788" s="4" t="str">
        <f>'Form responses 1'!W790</f>
        <v>na</v>
      </c>
      <c r="P788" s="4" t="str">
        <f>'Form responses 1'!X790</f>
        <v/>
      </c>
      <c r="Q788" s="4" t="str">
        <f>'Form responses 1'!Y790</f>
        <v/>
      </c>
      <c r="R788" s="4" t="str">
        <f>'Form responses 1'!Z790</f>
        <v/>
      </c>
      <c r="S788" s="4" t="str">
        <f>'Form responses 1'!AC790</f>
        <v/>
      </c>
      <c r="T788" s="4" t="str">
        <f>'Form responses 1'!AE790</f>
        <v/>
      </c>
      <c r="U788" s="4" t="str">
        <f>'Form responses 1'!AG790</f>
        <v/>
      </c>
      <c r="V788" s="4" t="str">
        <f>'Form responses 1'!AI790</f>
        <v/>
      </c>
      <c r="W788" s="4" t="str">
        <f>'Form responses 1'!AJ790</f>
        <v/>
      </c>
      <c r="X788" s="4" t="str">
        <f>'Form responses 1'!AK790</f>
        <v/>
      </c>
      <c r="Y788" s="4">
        <f t="shared" ref="Y788:AD788" si="787">if(S788&gt;0,1,0)</f>
        <v>0</v>
      </c>
      <c r="Z788" s="4">
        <f t="shared" si="787"/>
        <v>0</v>
      </c>
      <c r="AA788" s="4">
        <f t="shared" si="787"/>
        <v>0</v>
      </c>
      <c r="AB788" s="4">
        <f t="shared" si="787"/>
        <v>0</v>
      </c>
      <c r="AC788" s="4">
        <f t="shared" si="787"/>
        <v>0</v>
      </c>
      <c r="AD788" s="4">
        <f t="shared" si="787"/>
        <v>0</v>
      </c>
      <c r="AE788" s="4" t="str">
        <f>'Form responses 1'!AN790</f>
        <v/>
      </c>
      <c r="AF788" s="4" t="str">
        <f>'Form responses 1'!AO1909</f>
        <v/>
      </c>
      <c r="AG788" s="4" t="str">
        <f>'Form responses 1'!AP1909</f>
        <v/>
      </c>
      <c r="AH788" s="4" t="str">
        <f>'Form responses 1'!AQ1909</f>
        <v/>
      </c>
      <c r="AI788" s="4" t="str">
        <f>'Form responses 1'!AR1909</f>
        <v/>
      </c>
    </row>
    <row r="789">
      <c r="A789" s="26">
        <f>'Form responses 1'!B791</f>
        <v>46074</v>
      </c>
      <c r="B789" s="4" t="str">
        <f>'Form responses 1'!AZ791</f>
        <v>greeshma.vanneldas@capsdelivery.com</v>
      </c>
      <c r="C789" s="4" t="str">
        <f>'Form responses 1'!BR791</f>
        <v>Balaji villas </v>
      </c>
      <c r="D789" s="4" t="str">
        <f>'Form responses 1'!AT791</f>
        <v>They had payment issues before with other online platform so now they are not interested in any online platform</v>
      </c>
      <c r="E789" s="4" t="str">
        <f>'Form responses 1'!AU791</f>
        <v>No</v>
      </c>
      <c r="F789" s="4" t="str">
        <f>'Form responses 1'!AX791</f>
        <v/>
      </c>
      <c r="G789" s="4" t="str">
        <f>'Form responses 1'!AY791</f>
        <v/>
      </c>
      <c r="H789" s="53" t="str">
        <f>'Form responses 1'!AW791</f>
        <v/>
      </c>
      <c r="I789" s="4" t="str">
        <f>'Form responses 1'!AS791</f>
        <v/>
      </c>
      <c r="J789" s="4" t="str">
        <f>'Form responses 1'!J791</f>
        <v>Tier-2 (AOV &lt;400)</v>
      </c>
      <c r="K789" s="4">
        <f>'Form responses 1'!G791</f>
        <v>200</v>
      </c>
      <c r="L789" s="4">
        <f>'Form responses 1'!F791</f>
        <v>20</v>
      </c>
      <c r="M789" s="4" t="str">
        <f>'Form responses 1'!U791</f>
        <v>na</v>
      </c>
      <c r="N789" s="4" t="str">
        <f>'Form responses 1'!V791</f>
        <v>na</v>
      </c>
      <c r="O789" s="4" t="str">
        <f>'Form responses 1'!W791</f>
        <v>na</v>
      </c>
      <c r="P789" s="4" t="str">
        <f>'Form responses 1'!X791</f>
        <v/>
      </c>
      <c r="Q789" s="4" t="str">
        <f>'Form responses 1'!Y791</f>
        <v/>
      </c>
      <c r="R789" s="4" t="str">
        <f>'Form responses 1'!Z791</f>
        <v/>
      </c>
      <c r="S789" s="4" t="str">
        <f>'Form responses 1'!AC791</f>
        <v/>
      </c>
      <c r="T789" s="4" t="str">
        <f>'Form responses 1'!AE791</f>
        <v/>
      </c>
      <c r="U789" s="4" t="str">
        <f>'Form responses 1'!AG791</f>
        <v/>
      </c>
      <c r="V789" s="4" t="str">
        <f>'Form responses 1'!AI791</f>
        <v/>
      </c>
      <c r="W789" s="4" t="str">
        <f>'Form responses 1'!AJ791</f>
        <v/>
      </c>
      <c r="X789" s="4" t="str">
        <f>'Form responses 1'!AK791</f>
        <v/>
      </c>
      <c r="Y789" s="4">
        <f t="shared" ref="Y789:AD789" si="788">if(S789&gt;0,1,0)</f>
        <v>0</v>
      </c>
      <c r="Z789" s="4">
        <f t="shared" si="788"/>
        <v>0</v>
      </c>
      <c r="AA789" s="4">
        <f t="shared" si="788"/>
        <v>0</v>
      </c>
      <c r="AB789" s="4">
        <f t="shared" si="788"/>
        <v>0</v>
      </c>
      <c r="AC789" s="4">
        <f t="shared" si="788"/>
        <v>0</v>
      </c>
      <c r="AD789" s="4">
        <f t="shared" si="788"/>
        <v>0</v>
      </c>
      <c r="AE789" s="4" t="str">
        <f>'Form responses 1'!AN791</f>
        <v/>
      </c>
      <c r="AF789" s="4" t="str">
        <f>'Form responses 1'!AO1910</f>
        <v/>
      </c>
      <c r="AG789" s="4" t="str">
        <f>'Form responses 1'!AP1910</f>
        <v/>
      </c>
      <c r="AH789" s="4" t="str">
        <f>'Form responses 1'!AQ1910</f>
        <v/>
      </c>
      <c r="AI789" s="4" t="str">
        <f>'Form responses 1'!AR1910</f>
        <v/>
      </c>
    </row>
    <row r="790">
      <c r="A790" s="26">
        <f>'Form responses 1'!B792</f>
        <v>46074</v>
      </c>
      <c r="B790" s="4" t="str">
        <f>'Form responses 1'!AZ792</f>
        <v>greeshma.vanneldas@capsdelivery.com</v>
      </c>
      <c r="C790" s="4" t="str">
        <f>'Form responses 1'!BR792</f>
        <v>Ike cafe the tasty bakery</v>
      </c>
      <c r="D790" s="4" t="str">
        <f>'Form responses 1'!AT792</f>
        <v>NOt interested in any online platyform</v>
      </c>
      <c r="E790" s="4" t="str">
        <f>'Form responses 1'!AU792</f>
        <v>No</v>
      </c>
      <c r="F790" s="4" t="str">
        <f>'Form responses 1'!AX792</f>
        <v/>
      </c>
      <c r="G790" s="4" t="str">
        <f>'Form responses 1'!AY792</f>
        <v/>
      </c>
      <c r="H790" s="53" t="str">
        <f>'Form responses 1'!AW792</f>
        <v/>
      </c>
      <c r="I790" s="4" t="str">
        <f>'Form responses 1'!AS792</f>
        <v/>
      </c>
      <c r="J790" s="4" t="str">
        <f>'Form responses 1'!J792</f>
        <v>Tier-1(AOV&gt;400)</v>
      </c>
      <c r="K790" s="4">
        <f>'Form responses 1'!G792</f>
        <v>500</v>
      </c>
      <c r="L790" s="4">
        <f>'Form responses 1'!F792</f>
        <v>20</v>
      </c>
      <c r="M790" s="4" t="str">
        <f>'Form responses 1'!U792</f>
        <v>na</v>
      </c>
      <c r="N790" s="4" t="str">
        <f>'Form responses 1'!V792</f>
        <v>na</v>
      </c>
      <c r="O790" s="4" t="str">
        <f>'Form responses 1'!W792</f>
        <v>na</v>
      </c>
      <c r="P790" s="4" t="str">
        <f>'Form responses 1'!X792</f>
        <v/>
      </c>
      <c r="Q790" s="4" t="str">
        <f>'Form responses 1'!Y792</f>
        <v/>
      </c>
      <c r="R790" s="4" t="str">
        <f>'Form responses 1'!Z792</f>
        <v/>
      </c>
      <c r="S790" s="4" t="str">
        <f>'Form responses 1'!AC792</f>
        <v/>
      </c>
      <c r="T790" s="4" t="str">
        <f>'Form responses 1'!AE792</f>
        <v/>
      </c>
      <c r="U790" s="4" t="str">
        <f>'Form responses 1'!AG792</f>
        <v/>
      </c>
      <c r="V790" s="4" t="str">
        <f>'Form responses 1'!AI792</f>
        <v/>
      </c>
      <c r="W790" s="4" t="str">
        <f>'Form responses 1'!AJ792</f>
        <v/>
      </c>
      <c r="X790" s="4" t="str">
        <f>'Form responses 1'!AK792</f>
        <v/>
      </c>
      <c r="Y790" s="4">
        <f t="shared" ref="Y790:AD790" si="789">if(S790&gt;0,1,0)</f>
        <v>0</v>
      </c>
      <c r="Z790" s="4">
        <f t="shared" si="789"/>
        <v>0</v>
      </c>
      <c r="AA790" s="4">
        <f t="shared" si="789"/>
        <v>0</v>
      </c>
      <c r="AB790" s="4">
        <f t="shared" si="789"/>
        <v>0</v>
      </c>
      <c r="AC790" s="4">
        <f t="shared" si="789"/>
        <v>0</v>
      </c>
      <c r="AD790" s="4">
        <f t="shared" si="789"/>
        <v>0</v>
      </c>
      <c r="AE790" s="4" t="str">
        <f>'Form responses 1'!AN792</f>
        <v/>
      </c>
      <c r="AF790" s="4" t="str">
        <f>'Form responses 1'!AO1911</f>
        <v/>
      </c>
      <c r="AG790" s="4" t="str">
        <f>'Form responses 1'!AP1911</f>
        <v/>
      </c>
      <c r="AH790" s="4" t="str">
        <f>'Form responses 1'!AQ1911</f>
        <v/>
      </c>
      <c r="AI790" s="4" t="str">
        <f>'Form responses 1'!AR1911</f>
        <v/>
      </c>
    </row>
    <row r="791">
      <c r="A791" s="26">
        <f>'Form responses 1'!B793</f>
        <v>46074</v>
      </c>
      <c r="B791" s="4" t="str">
        <f>'Form responses 1'!AZ793</f>
        <v>greeshma.vanneldas@capsdelivery.com</v>
      </c>
      <c r="C791" s="4" t="str">
        <f>'Form responses 1'!BR793</f>
        <v>Tealogy cafe</v>
      </c>
      <c r="D791" s="4" t="str">
        <f>'Form responses 1'!AT793</f>
        <v>Owner was not avilable, need to follow up for meeting schedule</v>
      </c>
      <c r="E791" s="4" t="str">
        <f>'Form responses 1'!AU793</f>
        <v>Yes</v>
      </c>
      <c r="F791" s="4" t="str">
        <f>'Form responses 1'!AX793</f>
        <v/>
      </c>
      <c r="G791" s="4" t="str">
        <f>'Form responses 1'!AY793</f>
        <v/>
      </c>
      <c r="H791" s="53" t="str">
        <f>'Form responses 1'!AW793</f>
        <v/>
      </c>
      <c r="I791" s="4" t="str">
        <f>'Form responses 1'!AS793</f>
        <v/>
      </c>
      <c r="J791" s="4" t="str">
        <f>'Form responses 1'!J793</f>
        <v/>
      </c>
      <c r="K791" s="4" t="str">
        <f>'Form responses 1'!G793</f>
        <v/>
      </c>
      <c r="L791" s="4" t="str">
        <f>'Form responses 1'!F793</f>
        <v/>
      </c>
      <c r="M791" s="4" t="str">
        <f>'Form responses 1'!U793</f>
        <v>Kamesh</v>
      </c>
      <c r="N791" s="4">
        <f>'Form responses 1'!V793</f>
        <v>9966658080</v>
      </c>
      <c r="O791" s="4" t="str">
        <f>'Form responses 1'!W793</f>
        <v>na</v>
      </c>
      <c r="P791" s="4" t="str">
        <f>'Form responses 1'!X793</f>
        <v/>
      </c>
      <c r="Q791" s="4" t="str">
        <f>'Form responses 1'!Y793</f>
        <v/>
      </c>
      <c r="R791" s="4" t="str">
        <f>'Form responses 1'!Z793</f>
        <v/>
      </c>
      <c r="S791" s="4" t="str">
        <f>'Form responses 1'!AC793</f>
        <v/>
      </c>
      <c r="T791" s="4" t="str">
        <f>'Form responses 1'!AE793</f>
        <v/>
      </c>
      <c r="U791" s="4" t="str">
        <f>'Form responses 1'!AG793</f>
        <v/>
      </c>
      <c r="V791" s="4" t="str">
        <f>'Form responses 1'!AI793</f>
        <v/>
      </c>
      <c r="W791" s="4" t="str">
        <f>'Form responses 1'!AJ793</f>
        <v/>
      </c>
      <c r="X791" s="4" t="str">
        <f>'Form responses 1'!AK793</f>
        <v/>
      </c>
      <c r="Y791" s="4">
        <f t="shared" ref="Y791:AD791" si="790">if(S791&gt;0,1,0)</f>
        <v>0</v>
      </c>
      <c r="Z791" s="4">
        <f t="shared" si="790"/>
        <v>0</v>
      </c>
      <c r="AA791" s="4">
        <f t="shared" si="790"/>
        <v>0</v>
      </c>
      <c r="AB791" s="4">
        <f t="shared" si="790"/>
        <v>0</v>
      </c>
      <c r="AC791" s="4">
        <f t="shared" si="790"/>
        <v>0</v>
      </c>
      <c r="AD791" s="4">
        <f t="shared" si="790"/>
        <v>0</v>
      </c>
      <c r="AE791" s="4" t="str">
        <f>'Form responses 1'!AN793</f>
        <v/>
      </c>
      <c r="AF791" s="4" t="str">
        <f>'Form responses 1'!AO1912</f>
        <v/>
      </c>
      <c r="AG791" s="4" t="str">
        <f>'Form responses 1'!AP1912</f>
        <v/>
      </c>
      <c r="AH791" s="4" t="str">
        <f>'Form responses 1'!AQ1912</f>
        <v/>
      </c>
      <c r="AI791" s="4" t="str">
        <f>'Form responses 1'!AR1912</f>
        <v/>
      </c>
    </row>
    <row r="792">
      <c r="A792" s="26">
        <f>'Form responses 1'!B794</f>
        <v>46074</v>
      </c>
      <c r="B792" s="4" t="str">
        <f>'Form responses 1'!AZ794</f>
        <v>greeshma.vanneldas@capsdelivery.com</v>
      </c>
      <c r="C792" s="4" t="str">
        <f>'Form responses 1'!BR794</f>
        <v>Hotel annamayya</v>
      </c>
      <c r="D792" s="4" t="str">
        <f>'Form responses 1'!AT794</f>
        <v>no one was for discussion didnt shared the contact details</v>
      </c>
      <c r="E792" s="4" t="str">
        <f>'Form responses 1'!AU794</f>
        <v>Yes</v>
      </c>
      <c r="F792" s="4" t="str">
        <f>'Form responses 1'!AX794</f>
        <v/>
      </c>
      <c r="G792" s="4" t="str">
        <f>'Form responses 1'!AY794</f>
        <v/>
      </c>
      <c r="H792" s="53" t="str">
        <f>'Form responses 1'!AW794</f>
        <v/>
      </c>
      <c r="I792" s="4" t="str">
        <f>'Form responses 1'!AS794</f>
        <v/>
      </c>
      <c r="J792" s="4" t="str">
        <f>'Form responses 1'!J794</f>
        <v/>
      </c>
      <c r="K792" s="4" t="str">
        <f>'Form responses 1'!G794</f>
        <v/>
      </c>
      <c r="L792" s="4" t="str">
        <f>'Form responses 1'!F794</f>
        <v/>
      </c>
      <c r="M792" s="4" t="str">
        <f>'Form responses 1'!U794</f>
        <v>na</v>
      </c>
      <c r="N792" s="4" t="str">
        <f>'Form responses 1'!V794</f>
        <v>na</v>
      </c>
      <c r="O792" s="4" t="str">
        <f>'Form responses 1'!W794</f>
        <v>na</v>
      </c>
      <c r="P792" s="4" t="str">
        <f>'Form responses 1'!X794</f>
        <v/>
      </c>
      <c r="Q792" s="4" t="str">
        <f>'Form responses 1'!Y794</f>
        <v/>
      </c>
      <c r="R792" s="4" t="str">
        <f>'Form responses 1'!Z794</f>
        <v/>
      </c>
      <c r="S792" s="4" t="str">
        <f>'Form responses 1'!AC794</f>
        <v/>
      </c>
      <c r="T792" s="4" t="str">
        <f>'Form responses 1'!AE794</f>
        <v/>
      </c>
      <c r="U792" s="4" t="str">
        <f>'Form responses 1'!AG794</f>
        <v/>
      </c>
      <c r="V792" s="4" t="str">
        <f>'Form responses 1'!AI794</f>
        <v/>
      </c>
      <c r="W792" s="4" t="str">
        <f>'Form responses 1'!AJ794</f>
        <v/>
      </c>
      <c r="X792" s="4" t="str">
        <f>'Form responses 1'!AK794</f>
        <v/>
      </c>
      <c r="Y792" s="4">
        <f t="shared" ref="Y792:AD792" si="791">if(S792&gt;0,1,0)</f>
        <v>0</v>
      </c>
      <c r="Z792" s="4">
        <f t="shared" si="791"/>
        <v>0</v>
      </c>
      <c r="AA792" s="4">
        <f t="shared" si="791"/>
        <v>0</v>
      </c>
      <c r="AB792" s="4">
        <f t="shared" si="791"/>
        <v>0</v>
      </c>
      <c r="AC792" s="4">
        <f t="shared" si="791"/>
        <v>0</v>
      </c>
      <c r="AD792" s="4">
        <f t="shared" si="791"/>
        <v>0</v>
      </c>
      <c r="AE792" s="4" t="str">
        <f>'Form responses 1'!AN794</f>
        <v/>
      </c>
      <c r="AF792" s="4" t="str">
        <f>'Form responses 1'!AO1913</f>
        <v/>
      </c>
      <c r="AG792" s="4" t="str">
        <f>'Form responses 1'!AP1913</f>
        <v/>
      </c>
      <c r="AH792" s="4" t="str">
        <f>'Form responses 1'!AQ1913</f>
        <v/>
      </c>
      <c r="AI792" s="4" t="str">
        <f>'Form responses 1'!AR1913</f>
        <v/>
      </c>
    </row>
    <row r="793">
      <c r="A793" s="26">
        <f>'Form responses 1'!B795</f>
        <v>46074</v>
      </c>
      <c r="B793" s="4" t="str">
        <f>'Form responses 1'!AZ795</f>
        <v>greeshma.vanneldas@capsdelivery.com</v>
      </c>
      <c r="C793" s="4" t="str">
        <f>'Form responses 1'!BR795</f>
        <v>Chickpet donne biryani house</v>
      </c>
      <c r="D793" s="4" t="str">
        <f>'Form responses 1'!AT795</f>
        <v>Discussion done with manager,need to follow up for schedule meeting with owner</v>
      </c>
      <c r="E793" s="4" t="str">
        <f>'Form responses 1'!AU795</f>
        <v>No</v>
      </c>
      <c r="F793" s="4" t="str">
        <f>'Form responses 1'!AX795</f>
        <v/>
      </c>
      <c r="G793" s="4" t="str">
        <f>'Form responses 1'!AY795</f>
        <v/>
      </c>
      <c r="H793" s="53" t="str">
        <f>'Form responses 1'!AW795</f>
        <v/>
      </c>
      <c r="I793" s="4" t="str">
        <f>'Form responses 1'!AS795</f>
        <v/>
      </c>
      <c r="J793" s="4" t="str">
        <f>'Form responses 1'!J795</f>
        <v/>
      </c>
      <c r="K793" s="4" t="str">
        <f>'Form responses 1'!G795</f>
        <v/>
      </c>
      <c r="L793" s="4" t="str">
        <f>'Form responses 1'!F795</f>
        <v/>
      </c>
      <c r="M793" s="4" t="str">
        <f>'Form responses 1'!U795</f>
        <v>Krishna mohan</v>
      </c>
      <c r="N793" s="4">
        <f>'Form responses 1'!V795</f>
        <v>9440049220</v>
      </c>
      <c r="O793" s="4" t="str">
        <f>'Form responses 1'!W795</f>
        <v>na</v>
      </c>
      <c r="P793" s="4" t="str">
        <f>'Form responses 1'!X795</f>
        <v/>
      </c>
      <c r="Q793" s="4" t="str">
        <f>'Form responses 1'!Y795</f>
        <v/>
      </c>
      <c r="R793" s="4" t="str">
        <f>'Form responses 1'!Z795</f>
        <v/>
      </c>
      <c r="S793" s="4" t="str">
        <f>'Form responses 1'!AC795</f>
        <v/>
      </c>
      <c r="T793" s="4" t="str">
        <f>'Form responses 1'!AE795</f>
        <v/>
      </c>
      <c r="U793" s="4" t="str">
        <f>'Form responses 1'!AG795</f>
        <v/>
      </c>
      <c r="V793" s="4" t="str">
        <f>'Form responses 1'!AI795</f>
        <v/>
      </c>
      <c r="W793" s="4" t="str">
        <f>'Form responses 1'!AJ795</f>
        <v/>
      </c>
      <c r="X793" s="4" t="str">
        <f>'Form responses 1'!AK795</f>
        <v/>
      </c>
      <c r="Y793" s="4">
        <f t="shared" ref="Y793:AD793" si="792">if(S793&gt;0,1,0)</f>
        <v>0</v>
      </c>
      <c r="Z793" s="4">
        <f t="shared" si="792"/>
        <v>0</v>
      </c>
      <c r="AA793" s="4">
        <f t="shared" si="792"/>
        <v>0</v>
      </c>
      <c r="AB793" s="4">
        <f t="shared" si="792"/>
        <v>0</v>
      </c>
      <c r="AC793" s="4">
        <f t="shared" si="792"/>
        <v>0</v>
      </c>
      <c r="AD793" s="4">
        <f t="shared" si="792"/>
        <v>0</v>
      </c>
      <c r="AE793" s="4" t="str">
        <f>'Form responses 1'!AN795</f>
        <v/>
      </c>
      <c r="AF793" s="4" t="str">
        <f>'Form responses 1'!AO1914</f>
        <v/>
      </c>
      <c r="AG793" s="4" t="str">
        <f>'Form responses 1'!AP1914</f>
        <v/>
      </c>
      <c r="AH793" s="4" t="str">
        <f>'Form responses 1'!AQ1914</f>
        <v/>
      </c>
      <c r="AI793" s="4" t="str">
        <f>'Form responses 1'!AR1914</f>
        <v/>
      </c>
    </row>
    <row r="794">
      <c r="A794" s="26">
        <f>'Form responses 1'!B796</f>
        <v>46074</v>
      </c>
      <c r="B794" s="4" t="str">
        <f>'Form responses 1'!AZ796</f>
        <v>greeshma.vanneldas@capsdelivery.com</v>
      </c>
      <c r="C794" s="4" t="str">
        <f>'Form responses 1'!BR796</f>
        <v>Dhaba food court</v>
      </c>
      <c r="D794" s="4" t="str">
        <f>'Form responses 1'!AT796</f>
        <v>need to follow up to schedule meeting</v>
      </c>
      <c r="E794" s="4" t="str">
        <f>'Form responses 1'!AU796</f>
        <v>Yes</v>
      </c>
      <c r="F794" s="4" t="str">
        <f>'Form responses 1'!AX796</f>
        <v/>
      </c>
      <c r="G794" s="4" t="str">
        <f>'Form responses 1'!AY796</f>
        <v/>
      </c>
      <c r="H794" s="53" t="str">
        <f>'Form responses 1'!AW796</f>
        <v/>
      </c>
      <c r="I794" s="4" t="str">
        <f>'Form responses 1'!AS796</f>
        <v/>
      </c>
      <c r="J794" s="4" t="str">
        <f>'Form responses 1'!J796</f>
        <v/>
      </c>
      <c r="K794" s="4" t="str">
        <f>'Form responses 1'!G796</f>
        <v/>
      </c>
      <c r="L794" s="4" t="str">
        <f>'Form responses 1'!F796</f>
        <v/>
      </c>
      <c r="M794" s="4" t="str">
        <f>'Form responses 1'!U796</f>
        <v>Sudhakar</v>
      </c>
      <c r="N794" s="4">
        <f>'Form responses 1'!V796</f>
        <v>9912733258</v>
      </c>
      <c r="O794" s="4" t="str">
        <f>'Form responses 1'!W796</f>
        <v>na</v>
      </c>
      <c r="P794" s="4" t="str">
        <f>'Form responses 1'!X796</f>
        <v/>
      </c>
      <c r="Q794" s="4" t="str">
        <f>'Form responses 1'!Y796</f>
        <v/>
      </c>
      <c r="R794" s="4" t="str">
        <f>'Form responses 1'!Z796</f>
        <v/>
      </c>
      <c r="S794" s="4" t="str">
        <f>'Form responses 1'!AC796</f>
        <v/>
      </c>
      <c r="T794" s="4" t="str">
        <f>'Form responses 1'!AE796</f>
        <v/>
      </c>
      <c r="U794" s="4" t="str">
        <f>'Form responses 1'!AG796</f>
        <v/>
      </c>
      <c r="V794" s="4" t="str">
        <f>'Form responses 1'!AI796</f>
        <v/>
      </c>
      <c r="W794" s="4" t="str">
        <f>'Form responses 1'!AJ796</f>
        <v/>
      </c>
      <c r="X794" s="4" t="str">
        <f>'Form responses 1'!AK796</f>
        <v/>
      </c>
      <c r="Y794" s="4">
        <f t="shared" ref="Y794:AD794" si="793">if(S794&gt;0,1,0)</f>
        <v>0</v>
      </c>
      <c r="Z794" s="4">
        <f t="shared" si="793"/>
        <v>0</v>
      </c>
      <c r="AA794" s="4">
        <f t="shared" si="793"/>
        <v>0</v>
      </c>
      <c r="AB794" s="4">
        <f t="shared" si="793"/>
        <v>0</v>
      </c>
      <c r="AC794" s="4">
        <f t="shared" si="793"/>
        <v>0</v>
      </c>
      <c r="AD794" s="4">
        <f t="shared" si="793"/>
        <v>0</v>
      </c>
      <c r="AE794" s="4" t="str">
        <f>'Form responses 1'!AN796</f>
        <v/>
      </c>
      <c r="AF794" s="4" t="str">
        <f>'Form responses 1'!AO1915</f>
        <v/>
      </c>
      <c r="AG794" s="4" t="str">
        <f>'Form responses 1'!AP1915</f>
        <v/>
      </c>
      <c r="AH794" s="4" t="str">
        <f>'Form responses 1'!AQ1915</f>
        <v/>
      </c>
      <c r="AI794" s="4" t="str">
        <f>'Form responses 1'!AR1915</f>
        <v/>
      </c>
    </row>
    <row r="795">
      <c r="A795" s="26">
        <f>'Form responses 1'!B797</f>
        <v>46074</v>
      </c>
      <c r="B795" s="4" t="str">
        <f>'Form responses 1'!AZ797</f>
        <v>greeshma.vanneldas@capsdelivery.com</v>
      </c>
      <c r="C795" s="4" t="str">
        <f>'Form responses 1'!BR797</f>
        <v>sRI GOWRAS KITCHEN</v>
      </c>
      <c r="D795" s="4" t="str">
        <f>'Form responses 1'!AT797</f>
        <v>Scheduled meeting on monday after 14:30</v>
      </c>
      <c r="E795" s="4" t="str">
        <f>'Form responses 1'!AU797</f>
        <v>Yes</v>
      </c>
      <c r="F795" s="26">
        <f>'Form responses 1'!AX797</f>
        <v>46076</v>
      </c>
      <c r="G795" s="52">
        <f>'Form responses 1'!AY797</f>
        <v>0.625</v>
      </c>
      <c r="H795" s="53" t="str">
        <f>'Form responses 1'!AW797</f>
        <v/>
      </c>
      <c r="I795" s="4" t="str">
        <f>'Form responses 1'!AS797</f>
        <v/>
      </c>
      <c r="J795" s="4" t="str">
        <f>'Form responses 1'!J797</f>
        <v/>
      </c>
      <c r="K795" s="4" t="str">
        <f>'Form responses 1'!G797</f>
        <v/>
      </c>
      <c r="L795" s="4" t="str">
        <f>'Form responses 1'!F797</f>
        <v/>
      </c>
      <c r="M795" s="4" t="str">
        <f>'Form responses 1'!U797</f>
        <v>Shekar</v>
      </c>
      <c r="N795" s="4">
        <f>'Form responses 1'!V797</f>
        <v>9640067678</v>
      </c>
      <c r="O795" s="4" t="str">
        <f>'Form responses 1'!W797</f>
        <v>na</v>
      </c>
      <c r="P795" s="4" t="str">
        <f>'Form responses 1'!X797</f>
        <v/>
      </c>
      <c r="Q795" s="4" t="str">
        <f>'Form responses 1'!Y797</f>
        <v/>
      </c>
      <c r="R795" s="4" t="str">
        <f>'Form responses 1'!Z797</f>
        <v/>
      </c>
      <c r="S795" s="4" t="str">
        <f>'Form responses 1'!AC797</f>
        <v/>
      </c>
      <c r="T795" s="4" t="str">
        <f>'Form responses 1'!AE797</f>
        <v/>
      </c>
      <c r="U795" s="4" t="str">
        <f>'Form responses 1'!AG797</f>
        <v/>
      </c>
      <c r="V795" s="4" t="str">
        <f>'Form responses 1'!AI797</f>
        <v/>
      </c>
      <c r="W795" s="4" t="str">
        <f>'Form responses 1'!AJ797</f>
        <v/>
      </c>
      <c r="X795" s="4" t="str">
        <f>'Form responses 1'!AK797</f>
        <v/>
      </c>
      <c r="Y795" s="4">
        <f t="shared" ref="Y795:AD795" si="794">if(S795&gt;0,1,0)</f>
        <v>0</v>
      </c>
      <c r="Z795" s="4">
        <f t="shared" si="794"/>
        <v>0</v>
      </c>
      <c r="AA795" s="4">
        <f t="shared" si="794"/>
        <v>0</v>
      </c>
      <c r="AB795" s="4">
        <f t="shared" si="794"/>
        <v>0</v>
      </c>
      <c r="AC795" s="4">
        <f t="shared" si="794"/>
        <v>0</v>
      </c>
      <c r="AD795" s="4">
        <f t="shared" si="794"/>
        <v>0</v>
      </c>
      <c r="AE795" s="4" t="str">
        <f>'Form responses 1'!AN797</f>
        <v/>
      </c>
      <c r="AF795" s="4" t="str">
        <f>'Form responses 1'!AO1916</f>
        <v/>
      </c>
      <c r="AG795" s="4" t="str">
        <f>'Form responses 1'!AP1916</f>
        <v/>
      </c>
      <c r="AH795" s="4" t="str">
        <f>'Form responses 1'!AQ1916</f>
        <v/>
      </c>
      <c r="AI795" s="4" t="str">
        <f>'Form responses 1'!AR1916</f>
        <v/>
      </c>
    </row>
    <row r="796">
      <c r="A796" s="26">
        <f>'Form responses 1'!B798</f>
        <v>46074</v>
      </c>
      <c r="B796" s="4" t="str">
        <f>'Form responses 1'!AZ798</f>
        <v>greeshma.vanneldas@capsdelivery.com</v>
      </c>
      <c r="C796" s="4" t="str">
        <f>'Form responses 1'!BR798</f>
        <v>Tiffin kottu</v>
      </c>
      <c r="D796" s="4" t="str">
        <f>'Form responses 1'!AT798</f>
        <v>Need to follow up</v>
      </c>
      <c r="E796" s="4" t="str">
        <f>'Form responses 1'!AU798</f>
        <v>Yes</v>
      </c>
      <c r="F796" s="4" t="str">
        <f>'Form responses 1'!AX798</f>
        <v/>
      </c>
      <c r="G796" s="4" t="str">
        <f>'Form responses 1'!AY798</f>
        <v/>
      </c>
      <c r="H796" s="53" t="str">
        <f>'Form responses 1'!AW798</f>
        <v/>
      </c>
      <c r="I796" s="4" t="str">
        <f>'Form responses 1'!AS798</f>
        <v/>
      </c>
      <c r="J796" s="4" t="str">
        <f>'Form responses 1'!J798</f>
        <v/>
      </c>
      <c r="K796" s="4" t="str">
        <f>'Form responses 1'!G798</f>
        <v/>
      </c>
      <c r="L796" s="4" t="str">
        <f>'Form responses 1'!F798</f>
        <v/>
      </c>
      <c r="M796" s="4" t="str">
        <f>'Form responses 1'!U798</f>
        <v>GOPI</v>
      </c>
      <c r="N796" s="4">
        <f>'Form responses 1'!V798</f>
        <v>7995740832</v>
      </c>
      <c r="O796" s="4" t="str">
        <f>'Form responses 1'!W798</f>
        <v>na</v>
      </c>
      <c r="P796" s="4" t="str">
        <f>'Form responses 1'!X798</f>
        <v/>
      </c>
      <c r="Q796" s="4" t="str">
        <f>'Form responses 1'!Y798</f>
        <v/>
      </c>
      <c r="R796" s="4" t="str">
        <f>'Form responses 1'!Z798</f>
        <v/>
      </c>
      <c r="S796" s="4" t="str">
        <f>'Form responses 1'!AC798</f>
        <v/>
      </c>
      <c r="T796" s="4" t="str">
        <f>'Form responses 1'!AE798</f>
        <v/>
      </c>
      <c r="U796" s="4" t="str">
        <f>'Form responses 1'!AG798</f>
        <v/>
      </c>
      <c r="V796" s="4" t="str">
        <f>'Form responses 1'!AI798</f>
        <v/>
      </c>
      <c r="W796" s="4" t="str">
        <f>'Form responses 1'!AJ798</f>
        <v/>
      </c>
      <c r="X796" s="4" t="str">
        <f>'Form responses 1'!AK798</f>
        <v/>
      </c>
      <c r="Y796" s="4">
        <f t="shared" ref="Y796:AD796" si="795">if(S796&gt;0,1,0)</f>
        <v>0</v>
      </c>
      <c r="Z796" s="4">
        <f t="shared" si="795"/>
        <v>0</v>
      </c>
      <c r="AA796" s="4">
        <f t="shared" si="795"/>
        <v>0</v>
      </c>
      <c r="AB796" s="4">
        <f t="shared" si="795"/>
        <v>0</v>
      </c>
      <c r="AC796" s="4">
        <f t="shared" si="795"/>
        <v>0</v>
      </c>
      <c r="AD796" s="4">
        <f t="shared" si="795"/>
        <v>0</v>
      </c>
      <c r="AE796" s="4" t="str">
        <f>'Form responses 1'!AN798</f>
        <v/>
      </c>
      <c r="AF796" s="4" t="str">
        <f>'Form responses 1'!AO1917</f>
        <v/>
      </c>
      <c r="AG796" s="4" t="str">
        <f>'Form responses 1'!AP1917</f>
        <v/>
      </c>
      <c r="AH796" s="4" t="str">
        <f>'Form responses 1'!AQ1917</f>
        <v/>
      </c>
      <c r="AI796" s="4" t="str">
        <f>'Form responses 1'!AR1917</f>
        <v/>
      </c>
    </row>
    <row r="797">
      <c r="A797" s="26">
        <f>'Form responses 1'!B799</f>
        <v>46074</v>
      </c>
      <c r="B797" s="4" t="str">
        <f>'Form responses 1'!AZ799</f>
        <v>greeshma.vanneldas@capsdelivery.com</v>
      </c>
      <c r="C797" s="4" t="str">
        <f>'Form responses 1'!BR799</f>
        <v>Giri food court</v>
      </c>
      <c r="D797" s="4" t="str">
        <f>'Form responses 1'!AT799</f>
        <v>Owner was not available need to follow up</v>
      </c>
      <c r="E797" s="4" t="str">
        <f>'Form responses 1'!AU799</f>
        <v>Yes</v>
      </c>
      <c r="F797" s="4" t="str">
        <f>'Form responses 1'!AX799</f>
        <v/>
      </c>
      <c r="G797" s="4" t="str">
        <f>'Form responses 1'!AY799</f>
        <v/>
      </c>
      <c r="H797" s="53" t="str">
        <f>'Form responses 1'!AW799</f>
        <v/>
      </c>
      <c r="I797" s="4" t="str">
        <f>'Form responses 1'!AS799</f>
        <v/>
      </c>
      <c r="J797" s="4" t="str">
        <f>'Form responses 1'!J799</f>
        <v/>
      </c>
      <c r="K797" s="4" t="str">
        <f>'Form responses 1'!G799</f>
        <v/>
      </c>
      <c r="L797" s="4" t="str">
        <f>'Form responses 1'!F799</f>
        <v/>
      </c>
      <c r="M797" s="4" t="str">
        <f>'Form responses 1'!U799</f>
        <v>Shiva</v>
      </c>
      <c r="N797" s="4">
        <f>'Form responses 1'!V799</f>
        <v>8886120080</v>
      </c>
      <c r="O797" s="4" t="str">
        <f>'Form responses 1'!W799</f>
        <v>na</v>
      </c>
      <c r="P797" s="4" t="str">
        <f>'Form responses 1'!X799</f>
        <v/>
      </c>
      <c r="Q797" s="4" t="str">
        <f>'Form responses 1'!Y799</f>
        <v/>
      </c>
      <c r="R797" s="4" t="str">
        <f>'Form responses 1'!Z799</f>
        <v/>
      </c>
      <c r="S797" s="4" t="str">
        <f>'Form responses 1'!AC799</f>
        <v/>
      </c>
      <c r="T797" s="4" t="str">
        <f>'Form responses 1'!AE799</f>
        <v/>
      </c>
      <c r="U797" s="4" t="str">
        <f>'Form responses 1'!AG799</f>
        <v/>
      </c>
      <c r="V797" s="4" t="str">
        <f>'Form responses 1'!AI799</f>
        <v/>
      </c>
      <c r="W797" s="4" t="str">
        <f>'Form responses 1'!AJ799</f>
        <v/>
      </c>
      <c r="X797" s="4" t="str">
        <f>'Form responses 1'!AK799</f>
        <v/>
      </c>
      <c r="Y797" s="4">
        <f t="shared" ref="Y797:AD797" si="796">if(S797&gt;0,1,0)</f>
        <v>0</v>
      </c>
      <c r="Z797" s="4">
        <f t="shared" si="796"/>
        <v>0</v>
      </c>
      <c r="AA797" s="4">
        <f t="shared" si="796"/>
        <v>0</v>
      </c>
      <c r="AB797" s="4">
        <f t="shared" si="796"/>
        <v>0</v>
      </c>
      <c r="AC797" s="4">
        <f t="shared" si="796"/>
        <v>0</v>
      </c>
      <c r="AD797" s="4">
        <f t="shared" si="796"/>
        <v>0</v>
      </c>
      <c r="AE797" s="4" t="str">
        <f>'Form responses 1'!AN799</f>
        <v/>
      </c>
      <c r="AF797" s="4" t="str">
        <f>'Form responses 1'!AO1918</f>
        <v/>
      </c>
      <c r="AG797" s="4" t="str">
        <f>'Form responses 1'!AP1918</f>
        <v/>
      </c>
      <c r="AH797" s="4" t="str">
        <f>'Form responses 1'!AQ1918</f>
        <v/>
      </c>
      <c r="AI797" s="4" t="str">
        <f>'Form responses 1'!AR1918</f>
        <v/>
      </c>
    </row>
    <row r="798">
      <c r="A798" s="26">
        <f>'Form responses 1'!B800</f>
        <v>46074</v>
      </c>
      <c r="B798" s="4" t="str">
        <f>'Form responses 1'!AZ800</f>
        <v>greeshma.vanneldas@capsdelivery.com</v>
      </c>
      <c r="C798" s="4" t="str">
        <f>'Form responses 1'!BR800</f>
        <v>Mathru sree athidhidevobhavaMathru sree athidhidevobhava</v>
      </c>
      <c r="D798" s="4" t="str">
        <f>'Form responses 1'!AT800</f>
        <v>Present they are not interested, need to follow up after launch</v>
      </c>
      <c r="E798" s="4" t="str">
        <f>'Form responses 1'!AU800</f>
        <v>Yes</v>
      </c>
      <c r="F798" s="4" t="str">
        <f>'Form responses 1'!AX800</f>
        <v/>
      </c>
      <c r="G798" s="4" t="str">
        <f>'Form responses 1'!AY800</f>
        <v/>
      </c>
      <c r="H798" s="53" t="str">
        <f>'Form responses 1'!AW800</f>
        <v/>
      </c>
      <c r="I798" s="4" t="str">
        <f>'Form responses 1'!AS800</f>
        <v/>
      </c>
      <c r="J798" s="4" t="str">
        <f>'Form responses 1'!J800</f>
        <v/>
      </c>
      <c r="K798" s="4" t="str">
        <f>'Form responses 1'!G800</f>
        <v/>
      </c>
      <c r="L798" s="4" t="str">
        <f>'Form responses 1'!F800</f>
        <v/>
      </c>
      <c r="M798" s="4" t="str">
        <f>'Form responses 1'!U800</f>
        <v>na</v>
      </c>
      <c r="N798" s="4">
        <f>'Form responses 1'!V800</f>
        <v>7993346699</v>
      </c>
      <c r="O798" s="4" t="str">
        <f>'Form responses 1'!W800</f>
        <v>na</v>
      </c>
      <c r="P798" s="4" t="str">
        <f>'Form responses 1'!X800</f>
        <v/>
      </c>
      <c r="Q798" s="4" t="str">
        <f>'Form responses 1'!Y800</f>
        <v/>
      </c>
      <c r="R798" s="4" t="str">
        <f>'Form responses 1'!Z800</f>
        <v/>
      </c>
      <c r="S798" s="4" t="str">
        <f>'Form responses 1'!AC800</f>
        <v/>
      </c>
      <c r="T798" s="4" t="str">
        <f>'Form responses 1'!AE800</f>
        <v/>
      </c>
      <c r="U798" s="4" t="str">
        <f>'Form responses 1'!AG800</f>
        <v/>
      </c>
      <c r="V798" s="4" t="str">
        <f>'Form responses 1'!AI800</f>
        <v/>
      </c>
      <c r="W798" s="4" t="str">
        <f>'Form responses 1'!AJ800</f>
        <v/>
      </c>
      <c r="X798" s="4" t="str">
        <f>'Form responses 1'!AK800</f>
        <v/>
      </c>
      <c r="Y798" s="4">
        <f t="shared" ref="Y798:AD798" si="797">if(S798&gt;0,1,0)</f>
        <v>0</v>
      </c>
      <c r="Z798" s="4">
        <f t="shared" si="797"/>
        <v>0</v>
      </c>
      <c r="AA798" s="4">
        <f t="shared" si="797"/>
        <v>0</v>
      </c>
      <c r="AB798" s="4">
        <f t="shared" si="797"/>
        <v>0</v>
      </c>
      <c r="AC798" s="4">
        <f t="shared" si="797"/>
        <v>0</v>
      </c>
      <c r="AD798" s="4">
        <f t="shared" si="797"/>
        <v>0</v>
      </c>
      <c r="AE798" s="4" t="str">
        <f>'Form responses 1'!AN800</f>
        <v/>
      </c>
      <c r="AF798" s="4" t="str">
        <f>'Form responses 1'!AO1919</f>
        <v/>
      </c>
      <c r="AG798" s="4" t="str">
        <f>'Form responses 1'!AP1919</f>
        <v/>
      </c>
      <c r="AH798" s="4" t="str">
        <f>'Form responses 1'!AQ1919</f>
        <v/>
      </c>
      <c r="AI798" s="4" t="str">
        <f>'Form responses 1'!AR1919</f>
        <v/>
      </c>
    </row>
    <row r="799">
      <c r="A799" s="26">
        <f>'Form responses 1'!B801</f>
        <v>46074</v>
      </c>
      <c r="B799" s="4" t="str">
        <f>'Form responses 1'!AZ801</f>
        <v>greeshma.vanneldas@capsdelivery.com</v>
      </c>
      <c r="C799" s="4" t="str">
        <f>'Form responses 1'!BR801</f>
        <v>Induru spice kitchenInduru spice kitchen</v>
      </c>
      <c r="D799" s="4" t="str">
        <f>'Form responses 1'!AT801</f>
        <v>Meeting scheduled on tuesday after 14:00</v>
      </c>
      <c r="E799" s="4" t="str">
        <f>'Form responses 1'!AU801</f>
        <v>Yes</v>
      </c>
      <c r="F799" s="26">
        <f>'Form responses 1'!AX801</f>
        <v>46077</v>
      </c>
      <c r="G799" s="52">
        <f>'Form responses 1'!AY801</f>
        <v>0.5833333333</v>
      </c>
      <c r="H799" s="53" t="str">
        <f>'Form responses 1'!AW801</f>
        <v/>
      </c>
      <c r="I799" s="4" t="str">
        <f>'Form responses 1'!AS801</f>
        <v/>
      </c>
      <c r="J799" s="4" t="str">
        <f>'Form responses 1'!J801</f>
        <v/>
      </c>
      <c r="K799" s="4" t="str">
        <f>'Form responses 1'!G801</f>
        <v/>
      </c>
      <c r="L799" s="4" t="str">
        <f>'Form responses 1'!F801</f>
        <v/>
      </c>
      <c r="M799" s="4" t="str">
        <f>'Form responses 1'!U801</f>
        <v>Avinay sharma</v>
      </c>
      <c r="N799" s="4">
        <f>'Form responses 1'!V801</f>
        <v>9382653120</v>
      </c>
      <c r="O799" s="4" t="str">
        <f>'Form responses 1'!W801</f>
        <v>na</v>
      </c>
      <c r="P799" s="4" t="str">
        <f>'Form responses 1'!X801</f>
        <v/>
      </c>
      <c r="Q799" s="4" t="str">
        <f>'Form responses 1'!Y801</f>
        <v/>
      </c>
      <c r="R799" s="4" t="str">
        <f>'Form responses 1'!Z801</f>
        <v/>
      </c>
      <c r="S799" s="4" t="str">
        <f>'Form responses 1'!AC801</f>
        <v/>
      </c>
      <c r="T799" s="4" t="str">
        <f>'Form responses 1'!AE801</f>
        <v/>
      </c>
      <c r="U799" s="4" t="str">
        <f>'Form responses 1'!AG801</f>
        <v/>
      </c>
      <c r="V799" s="4" t="str">
        <f>'Form responses 1'!AI801</f>
        <v/>
      </c>
      <c r="W799" s="4" t="str">
        <f>'Form responses 1'!AJ801</f>
        <v/>
      </c>
      <c r="X799" s="4" t="str">
        <f>'Form responses 1'!AK801</f>
        <v/>
      </c>
      <c r="Y799" s="4">
        <f t="shared" ref="Y799:AD799" si="798">if(S799&gt;0,1,0)</f>
        <v>0</v>
      </c>
      <c r="Z799" s="4">
        <f t="shared" si="798"/>
        <v>0</v>
      </c>
      <c r="AA799" s="4">
        <f t="shared" si="798"/>
        <v>0</v>
      </c>
      <c r="AB799" s="4">
        <f t="shared" si="798"/>
        <v>0</v>
      </c>
      <c r="AC799" s="4">
        <f t="shared" si="798"/>
        <v>0</v>
      </c>
      <c r="AD799" s="4">
        <f t="shared" si="798"/>
        <v>0</v>
      </c>
      <c r="AE799" s="4" t="str">
        <f>'Form responses 1'!AN801</f>
        <v/>
      </c>
      <c r="AF799" s="4" t="str">
        <f>'Form responses 1'!AO1920</f>
        <v/>
      </c>
      <c r="AG799" s="4" t="str">
        <f>'Form responses 1'!AP1920</f>
        <v/>
      </c>
      <c r="AH799" s="4" t="str">
        <f>'Form responses 1'!AQ1920</f>
        <v/>
      </c>
      <c r="AI799" s="4" t="str">
        <f>'Form responses 1'!AR1920</f>
        <v/>
      </c>
    </row>
    <row r="800">
      <c r="A800" s="26">
        <f>'Form responses 1'!B802</f>
        <v>46074</v>
      </c>
      <c r="B800" s="4" t="str">
        <f>'Form responses 1'!AZ802</f>
        <v>greeshma.vanneldas@capsdelivery.com</v>
      </c>
      <c r="C800" s="4" t="str">
        <f>'Form responses 1'!BR802</f>
        <v>Thakshashila curries </v>
      </c>
      <c r="D800" s="4" t="str">
        <f>'Form responses 1'!AT802</f>
        <v>NEED TO FOLLOW UP FOR DISCUSSION</v>
      </c>
      <c r="E800" s="4" t="str">
        <f>'Form responses 1'!AU802</f>
        <v>Yes</v>
      </c>
      <c r="F800" s="4" t="str">
        <f>'Form responses 1'!AX802</f>
        <v/>
      </c>
      <c r="G800" s="4" t="str">
        <f>'Form responses 1'!AY802</f>
        <v/>
      </c>
      <c r="H800" s="53" t="str">
        <f>'Form responses 1'!AW802</f>
        <v/>
      </c>
      <c r="I800" s="4" t="str">
        <f>'Form responses 1'!AS802</f>
        <v/>
      </c>
      <c r="J800" s="4" t="str">
        <f>'Form responses 1'!J802</f>
        <v/>
      </c>
      <c r="K800" s="4" t="str">
        <f>'Form responses 1'!G802</f>
        <v/>
      </c>
      <c r="L800" s="4" t="str">
        <f>'Form responses 1'!F802</f>
        <v/>
      </c>
      <c r="M800" s="4" t="str">
        <f>'Form responses 1'!U802</f>
        <v>HIMAVANTH</v>
      </c>
      <c r="N800" s="4">
        <f>'Form responses 1'!V802</f>
        <v>8886363573</v>
      </c>
      <c r="O800" s="4" t="str">
        <f>'Form responses 1'!W802</f>
        <v>NA</v>
      </c>
      <c r="P800" s="4" t="str">
        <f>'Form responses 1'!X802</f>
        <v/>
      </c>
      <c r="Q800" s="4" t="str">
        <f>'Form responses 1'!Y802</f>
        <v/>
      </c>
      <c r="R800" s="4" t="str">
        <f>'Form responses 1'!Z802</f>
        <v/>
      </c>
      <c r="S800" s="4" t="str">
        <f>'Form responses 1'!AC802</f>
        <v/>
      </c>
      <c r="T800" s="4" t="str">
        <f>'Form responses 1'!AE802</f>
        <v/>
      </c>
      <c r="U800" s="4" t="str">
        <f>'Form responses 1'!AG802</f>
        <v/>
      </c>
      <c r="V800" s="4" t="str">
        <f>'Form responses 1'!AI802</f>
        <v/>
      </c>
      <c r="W800" s="4" t="str">
        <f>'Form responses 1'!AJ802</f>
        <v/>
      </c>
      <c r="X800" s="4" t="str">
        <f>'Form responses 1'!AK802</f>
        <v/>
      </c>
      <c r="Y800" s="4">
        <f t="shared" ref="Y800:AD800" si="799">if(S800&gt;0,1,0)</f>
        <v>0</v>
      </c>
      <c r="Z800" s="4">
        <f t="shared" si="799"/>
        <v>0</v>
      </c>
      <c r="AA800" s="4">
        <f t="shared" si="799"/>
        <v>0</v>
      </c>
      <c r="AB800" s="4">
        <f t="shared" si="799"/>
        <v>0</v>
      </c>
      <c r="AC800" s="4">
        <f t="shared" si="799"/>
        <v>0</v>
      </c>
      <c r="AD800" s="4">
        <f t="shared" si="799"/>
        <v>0</v>
      </c>
      <c r="AE800" s="4" t="str">
        <f>'Form responses 1'!AN802</f>
        <v/>
      </c>
      <c r="AF800" s="4" t="str">
        <f>'Form responses 1'!AO1921</f>
        <v/>
      </c>
      <c r="AG800" s="4" t="str">
        <f>'Form responses 1'!AP1921</f>
        <v/>
      </c>
      <c r="AH800" s="4" t="str">
        <f>'Form responses 1'!AQ1921</f>
        <v/>
      </c>
      <c r="AI800" s="4" t="str">
        <f>'Form responses 1'!AR1921</f>
        <v/>
      </c>
    </row>
    <row r="801">
      <c r="A801" s="26">
        <f>'Form responses 1'!B803</f>
        <v>46074</v>
      </c>
      <c r="B801" s="4" t="str">
        <f>'Form responses 1'!AZ803</f>
        <v>greeshma.vanneldas@capsdelivery.com</v>
      </c>
      <c r="C801" s="4" t="str">
        <f>'Form responses 1'!BR803</f>
        <v>Irawath kitchenIrawath kitchen</v>
      </c>
      <c r="D801" s="4" t="str">
        <f>'Form responses 1'!AT803</f>
        <v>I didnt recevied all the documents yet</v>
      </c>
      <c r="E801" s="4" t="str">
        <f>'Form responses 1'!AU803</f>
        <v>No</v>
      </c>
      <c r="F801" s="4" t="str">
        <f>'Form responses 1'!AX803</f>
        <v/>
      </c>
      <c r="G801" s="4" t="str">
        <f>'Form responses 1'!AY803</f>
        <v/>
      </c>
      <c r="H801" s="53" t="str">
        <f>'Form responses 1'!AW803</f>
        <v/>
      </c>
      <c r="I801" s="4" t="str">
        <f>'Form responses 1'!AS803</f>
        <v/>
      </c>
      <c r="J801" s="4" t="str">
        <f>'Form responses 1'!J803</f>
        <v/>
      </c>
      <c r="K801" s="4" t="str">
        <f>'Form responses 1'!G803</f>
        <v/>
      </c>
      <c r="L801" s="4" t="str">
        <f>'Form responses 1'!F803</f>
        <v/>
      </c>
      <c r="M801" s="4" t="str">
        <f>'Form responses 1'!U803</f>
        <v>NA</v>
      </c>
      <c r="N801" s="4" t="str">
        <f>'Form responses 1'!V803</f>
        <v>NA</v>
      </c>
      <c r="O801" s="4" t="str">
        <f>'Form responses 1'!W803</f>
        <v>NA</v>
      </c>
      <c r="P801" s="4" t="str">
        <f>'Form responses 1'!X803</f>
        <v/>
      </c>
      <c r="Q801" s="4" t="str">
        <f>'Form responses 1'!Y803</f>
        <v/>
      </c>
      <c r="R801" s="4" t="str">
        <f>'Form responses 1'!Z803</f>
        <v/>
      </c>
      <c r="S801" s="4" t="str">
        <f>'Form responses 1'!AC803</f>
        <v/>
      </c>
      <c r="T801" s="4" t="str">
        <f>'Form responses 1'!AE803</f>
        <v/>
      </c>
      <c r="U801" s="4" t="str">
        <f>'Form responses 1'!AG803</f>
        <v/>
      </c>
      <c r="V801" s="4" t="str">
        <f>'Form responses 1'!AI803</f>
        <v/>
      </c>
      <c r="W801" s="4" t="str">
        <f>'Form responses 1'!AJ803</f>
        <v/>
      </c>
      <c r="X801" s="4" t="str">
        <f>'Form responses 1'!AK803</f>
        <v/>
      </c>
      <c r="Y801" s="4">
        <f t="shared" ref="Y801:AD801" si="800">if(S801&gt;0,1,0)</f>
        <v>0</v>
      </c>
      <c r="Z801" s="4">
        <f t="shared" si="800"/>
        <v>0</v>
      </c>
      <c r="AA801" s="4">
        <f t="shared" si="800"/>
        <v>0</v>
      </c>
      <c r="AB801" s="4">
        <f t="shared" si="800"/>
        <v>0</v>
      </c>
      <c r="AC801" s="4">
        <f t="shared" si="800"/>
        <v>0</v>
      </c>
      <c r="AD801" s="4">
        <f t="shared" si="800"/>
        <v>0</v>
      </c>
      <c r="AE801" s="4" t="str">
        <f>'Form responses 1'!AN803</f>
        <v/>
      </c>
      <c r="AF801" s="4" t="str">
        <f>'Form responses 1'!AO1922</f>
        <v/>
      </c>
      <c r="AG801" s="4" t="str">
        <f>'Form responses 1'!AP1922</f>
        <v/>
      </c>
      <c r="AH801" s="4" t="str">
        <f>'Form responses 1'!AQ1922</f>
        <v/>
      </c>
      <c r="AI801" s="4" t="str">
        <f>'Form responses 1'!AR1922</f>
        <v/>
      </c>
    </row>
    <row r="802">
      <c r="A802" s="26">
        <f>'Form responses 1'!B804</f>
        <v>46074</v>
      </c>
      <c r="B802" s="4" t="str">
        <f>'Form responses 1'!AZ804</f>
        <v>greeshma.vanneldas@capsdelivery.com</v>
      </c>
      <c r="C802" s="4" t="str">
        <f>'Form responses 1'!BR804</f>
        <v>Ruchullo rarraju</v>
      </c>
      <c r="D802" s="4" t="str">
        <f>'Form responses 1'!AT804</f>
        <v>Discussion done with one parnter need to follow to schedule meeting with other partmer</v>
      </c>
      <c r="E802" s="4" t="str">
        <f>'Form responses 1'!AU804</f>
        <v>Yes</v>
      </c>
      <c r="F802" s="4" t="str">
        <f>'Form responses 1'!AX804</f>
        <v/>
      </c>
      <c r="G802" s="4" t="str">
        <f>'Form responses 1'!AY804</f>
        <v/>
      </c>
      <c r="H802" s="53" t="str">
        <f>'Form responses 1'!AW804</f>
        <v/>
      </c>
      <c r="I802" s="4" t="str">
        <f>'Form responses 1'!AS804</f>
        <v/>
      </c>
      <c r="J802" s="4" t="str">
        <f>'Form responses 1'!J804</f>
        <v/>
      </c>
      <c r="K802" s="4" t="str">
        <f>'Form responses 1'!G804</f>
        <v/>
      </c>
      <c r="L802" s="4" t="str">
        <f>'Form responses 1'!F804</f>
        <v/>
      </c>
      <c r="M802" s="4" t="str">
        <f>'Form responses 1'!U804</f>
        <v>Ravi</v>
      </c>
      <c r="N802" s="4">
        <f>'Form responses 1'!V804</f>
        <v>9177585800</v>
      </c>
      <c r="O802" s="4" t="str">
        <f>'Form responses 1'!W804</f>
        <v>na</v>
      </c>
      <c r="P802" s="4" t="str">
        <f>'Form responses 1'!X804</f>
        <v/>
      </c>
      <c r="Q802" s="4" t="str">
        <f>'Form responses 1'!Y804</f>
        <v/>
      </c>
      <c r="R802" s="4" t="str">
        <f>'Form responses 1'!Z804</f>
        <v/>
      </c>
      <c r="S802" s="4" t="str">
        <f>'Form responses 1'!AC804</f>
        <v/>
      </c>
      <c r="T802" s="4" t="str">
        <f>'Form responses 1'!AE804</f>
        <v/>
      </c>
      <c r="U802" s="4" t="str">
        <f>'Form responses 1'!AG804</f>
        <v/>
      </c>
      <c r="V802" s="4" t="str">
        <f>'Form responses 1'!AI804</f>
        <v/>
      </c>
      <c r="W802" s="4" t="str">
        <f>'Form responses 1'!AJ804</f>
        <v/>
      </c>
      <c r="X802" s="4" t="str">
        <f>'Form responses 1'!AK804</f>
        <v/>
      </c>
      <c r="Y802" s="4">
        <f t="shared" ref="Y802:AD802" si="801">if(S802&gt;0,1,0)</f>
        <v>0</v>
      </c>
      <c r="Z802" s="4">
        <f t="shared" si="801"/>
        <v>0</v>
      </c>
      <c r="AA802" s="4">
        <f t="shared" si="801"/>
        <v>0</v>
      </c>
      <c r="AB802" s="4">
        <f t="shared" si="801"/>
        <v>0</v>
      </c>
      <c r="AC802" s="4">
        <f t="shared" si="801"/>
        <v>0</v>
      </c>
      <c r="AD802" s="4">
        <f t="shared" si="801"/>
        <v>0</v>
      </c>
      <c r="AE802" s="4" t="str">
        <f>'Form responses 1'!AN804</f>
        <v/>
      </c>
      <c r="AF802" s="4" t="str">
        <f>'Form responses 1'!AO1923</f>
        <v/>
      </c>
      <c r="AG802" s="4" t="str">
        <f>'Form responses 1'!AP1923</f>
        <v/>
      </c>
      <c r="AH802" s="4" t="str">
        <f>'Form responses 1'!AQ1923</f>
        <v/>
      </c>
      <c r="AI802" s="4" t="str">
        <f>'Form responses 1'!AR1923</f>
        <v/>
      </c>
    </row>
    <row r="803">
      <c r="A803" s="26">
        <f>'Form responses 1'!B805</f>
        <v>46074</v>
      </c>
      <c r="B803" s="4" t="str">
        <f>'Form responses 1'!AZ805</f>
        <v>greeshma.vanneldas@capsdelivery.com</v>
      </c>
      <c r="C803" s="4" t="str">
        <f>'Form responses 1'!BR805</f>
        <v>Sri venkateswara food courtSri venkateswara food court</v>
      </c>
      <c r="D803" s="4" t="str">
        <f>'Form responses 1'!AT805</f>
        <v>Need to follow up for documents collection</v>
      </c>
      <c r="E803" s="4" t="str">
        <f>'Form responses 1'!AU805</f>
        <v>Yes</v>
      </c>
      <c r="F803" s="4" t="str">
        <f>'Form responses 1'!AX805</f>
        <v/>
      </c>
      <c r="G803" s="4" t="str">
        <f>'Form responses 1'!AY805</f>
        <v/>
      </c>
      <c r="H803" s="53" t="str">
        <f>'Form responses 1'!AW805</f>
        <v/>
      </c>
      <c r="I803" s="4" t="str">
        <f>'Form responses 1'!AS805</f>
        <v/>
      </c>
      <c r="J803" s="4" t="str">
        <f>'Form responses 1'!J805</f>
        <v/>
      </c>
      <c r="K803" s="4" t="str">
        <f>'Form responses 1'!G805</f>
        <v/>
      </c>
      <c r="L803" s="4" t="str">
        <f>'Form responses 1'!F805</f>
        <v/>
      </c>
      <c r="M803" s="4" t="str">
        <f>'Form responses 1'!U805</f>
        <v>Thirupathi</v>
      </c>
      <c r="N803" s="4">
        <f>'Form responses 1'!V805</f>
        <v>9866983997</v>
      </c>
      <c r="O803" s="4" t="str">
        <f>'Form responses 1'!W805</f>
        <v>na</v>
      </c>
      <c r="P803" s="4" t="str">
        <f>'Form responses 1'!X805</f>
        <v/>
      </c>
      <c r="Q803" s="4" t="str">
        <f>'Form responses 1'!Y805</f>
        <v/>
      </c>
      <c r="R803" s="4" t="str">
        <f>'Form responses 1'!Z805</f>
        <v/>
      </c>
      <c r="S803" s="4" t="str">
        <f>'Form responses 1'!AC805</f>
        <v/>
      </c>
      <c r="T803" s="4" t="str">
        <f>'Form responses 1'!AE805</f>
        <v/>
      </c>
      <c r="U803" s="4" t="str">
        <f>'Form responses 1'!AG805</f>
        <v/>
      </c>
      <c r="V803" s="4" t="str">
        <f>'Form responses 1'!AI805</f>
        <v/>
      </c>
      <c r="W803" s="4" t="str">
        <f>'Form responses 1'!AJ805</f>
        <v/>
      </c>
      <c r="X803" s="4" t="str">
        <f>'Form responses 1'!AK805</f>
        <v/>
      </c>
      <c r="Y803" s="4">
        <f t="shared" ref="Y803:AD803" si="802">if(S803&gt;0,1,0)</f>
        <v>0</v>
      </c>
      <c r="Z803" s="4">
        <f t="shared" si="802"/>
        <v>0</v>
      </c>
      <c r="AA803" s="4">
        <f t="shared" si="802"/>
        <v>0</v>
      </c>
      <c r="AB803" s="4">
        <f t="shared" si="802"/>
        <v>0</v>
      </c>
      <c r="AC803" s="4">
        <f t="shared" si="802"/>
        <v>0</v>
      </c>
      <c r="AD803" s="4">
        <f t="shared" si="802"/>
        <v>0</v>
      </c>
      <c r="AE803" s="4" t="str">
        <f>'Form responses 1'!AN805</f>
        <v/>
      </c>
      <c r="AF803" s="4" t="str">
        <f>'Form responses 1'!AO1924</f>
        <v/>
      </c>
      <c r="AG803" s="4" t="str">
        <f>'Form responses 1'!AP1924</f>
        <v/>
      </c>
      <c r="AH803" s="4" t="str">
        <f>'Form responses 1'!AQ1924</f>
        <v/>
      </c>
      <c r="AI803" s="4" t="str">
        <f>'Form responses 1'!AR1924</f>
        <v/>
      </c>
    </row>
    <row r="804">
      <c r="A804" s="26">
        <f>'Form responses 1'!B806</f>
        <v>46074</v>
      </c>
      <c r="B804" s="4" t="str">
        <f>'Form responses 1'!AZ806</f>
        <v>sumadhur.mummadi@capsdelivery.com</v>
      </c>
      <c r="C804" s="4" t="str">
        <f>'Form responses 1'!BR806</f>
        <v>Perch 24 cafePerch 24 cafe</v>
      </c>
      <c r="D804" s="4" t="str">
        <f>'Form responses 1'!AT806</f>
        <v>He said he will talk to the owner and onboard </v>
      </c>
      <c r="E804" s="4" t="str">
        <f>'Form responses 1'!AU806</f>
        <v>Yes</v>
      </c>
      <c r="F804" s="26">
        <f>'Form responses 1'!AX806</f>
        <v>46076</v>
      </c>
      <c r="G804" s="52">
        <f>'Form responses 1'!AY806</f>
        <v>0.75</v>
      </c>
      <c r="H804" s="53" t="str">
        <f>'Form responses 1'!AW806</f>
        <v/>
      </c>
      <c r="I804" s="4" t="str">
        <f>'Form responses 1'!AS806</f>
        <v/>
      </c>
      <c r="J804" s="4" t="str">
        <f>'Form responses 1'!J806</f>
        <v/>
      </c>
      <c r="K804" s="4" t="str">
        <f>'Form responses 1'!G806</f>
        <v/>
      </c>
      <c r="L804" s="4" t="str">
        <f>'Form responses 1'!F806</f>
        <v/>
      </c>
      <c r="M804" s="4" t="str">
        <f>'Form responses 1'!U806</f>
        <v>Saurabh yadav</v>
      </c>
      <c r="N804" s="4" t="str">
        <f>'Form responses 1'!V806</f>
        <v>+916284003952</v>
      </c>
      <c r="O804" s="4" t="str">
        <f>'Form responses 1'!W806</f>
        <v>NA </v>
      </c>
      <c r="P804" s="4" t="str">
        <f>'Form responses 1'!X806</f>
        <v/>
      </c>
      <c r="Q804" s="4" t="str">
        <f>'Form responses 1'!Y806</f>
        <v/>
      </c>
      <c r="R804" s="4" t="str">
        <f>'Form responses 1'!Z806</f>
        <v/>
      </c>
      <c r="S804" s="4" t="str">
        <f>'Form responses 1'!AC806</f>
        <v/>
      </c>
      <c r="T804" s="4" t="str">
        <f>'Form responses 1'!AE806</f>
        <v/>
      </c>
      <c r="U804" s="4" t="str">
        <f>'Form responses 1'!AG806</f>
        <v/>
      </c>
      <c r="V804" s="4" t="str">
        <f>'Form responses 1'!AI806</f>
        <v/>
      </c>
      <c r="W804" s="4" t="str">
        <f>'Form responses 1'!AJ806</f>
        <v/>
      </c>
      <c r="X804" s="4" t="str">
        <f>'Form responses 1'!AK806</f>
        <v/>
      </c>
      <c r="Y804" s="4">
        <f t="shared" ref="Y804:AD804" si="803">if(S804&gt;0,1,0)</f>
        <v>0</v>
      </c>
      <c r="Z804" s="4">
        <f t="shared" si="803"/>
        <v>0</v>
      </c>
      <c r="AA804" s="4">
        <f t="shared" si="803"/>
        <v>0</v>
      </c>
      <c r="AB804" s="4">
        <f t="shared" si="803"/>
        <v>0</v>
      </c>
      <c r="AC804" s="4">
        <f t="shared" si="803"/>
        <v>0</v>
      </c>
      <c r="AD804" s="4">
        <f t="shared" si="803"/>
        <v>0</v>
      </c>
      <c r="AE804" s="4" t="str">
        <f>'Form responses 1'!AN806</f>
        <v/>
      </c>
      <c r="AF804" s="4" t="str">
        <f>'Form responses 1'!AO1925</f>
        <v/>
      </c>
      <c r="AG804" s="4" t="str">
        <f>'Form responses 1'!AP1925</f>
        <v/>
      </c>
      <c r="AH804" s="4" t="str">
        <f>'Form responses 1'!AQ1925</f>
        <v/>
      </c>
      <c r="AI804" s="4" t="str">
        <f>'Form responses 1'!AR1925</f>
        <v/>
      </c>
    </row>
    <row r="805">
      <c r="A805" s="26">
        <f>'Form responses 1'!B807</f>
        <v>46074</v>
      </c>
      <c r="B805" s="4" t="str">
        <f>'Form responses 1'!AZ807</f>
        <v>sumadhur.mummadi@capsdelivery.com</v>
      </c>
      <c r="C805" s="4" t="str">
        <f>'Form responses 1'!BR807</f>
        <v>Sree teja food court </v>
      </c>
      <c r="D805" s="4" t="str">
        <f>'Form responses 1'!AT807</f>
        <v>The owner will return on 25th</v>
      </c>
      <c r="E805" s="4" t="str">
        <f>'Form responses 1'!AU807</f>
        <v>Yes</v>
      </c>
      <c r="F805" s="26">
        <f>'Form responses 1'!AX807</f>
        <v>46078</v>
      </c>
      <c r="G805" s="52">
        <f>'Form responses 1'!AY807</f>
        <v>0.7083333333</v>
      </c>
      <c r="H805" s="53" t="str">
        <f>'Form responses 1'!AW807</f>
        <v/>
      </c>
      <c r="I805" s="4" t="str">
        <f>'Form responses 1'!AS807</f>
        <v/>
      </c>
      <c r="J805" s="4" t="str">
        <f>'Form responses 1'!J807</f>
        <v/>
      </c>
      <c r="K805" s="4" t="str">
        <f>'Form responses 1'!G807</f>
        <v/>
      </c>
      <c r="L805" s="4" t="str">
        <f>'Form responses 1'!F807</f>
        <v/>
      </c>
      <c r="M805" s="4" t="str">
        <f>'Form responses 1'!U807</f>
        <v>NA </v>
      </c>
      <c r="N805" s="4">
        <f>'Form responses 1'!V807</f>
        <v>8125178871</v>
      </c>
      <c r="O805" s="4" t="str">
        <f>'Form responses 1'!W807</f>
        <v>NA </v>
      </c>
      <c r="P805" s="4" t="str">
        <f>'Form responses 1'!X807</f>
        <v/>
      </c>
      <c r="Q805" s="4" t="str">
        <f>'Form responses 1'!Y807</f>
        <v/>
      </c>
      <c r="R805" s="4" t="str">
        <f>'Form responses 1'!Z807</f>
        <v/>
      </c>
      <c r="S805" s="4" t="str">
        <f>'Form responses 1'!AC807</f>
        <v/>
      </c>
      <c r="T805" s="4" t="str">
        <f>'Form responses 1'!AE807</f>
        <v/>
      </c>
      <c r="U805" s="4" t="str">
        <f>'Form responses 1'!AG807</f>
        <v/>
      </c>
      <c r="V805" s="4" t="str">
        <f>'Form responses 1'!AI807</f>
        <v/>
      </c>
      <c r="W805" s="4" t="str">
        <f>'Form responses 1'!AJ807</f>
        <v/>
      </c>
      <c r="X805" s="4" t="str">
        <f>'Form responses 1'!AK807</f>
        <v/>
      </c>
      <c r="Y805" s="4">
        <f t="shared" ref="Y805:AD805" si="804">if(S805&gt;0,1,0)</f>
        <v>0</v>
      </c>
      <c r="Z805" s="4">
        <f t="shared" si="804"/>
        <v>0</v>
      </c>
      <c r="AA805" s="4">
        <f t="shared" si="804"/>
        <v>0</v>
      </c>
      <c r="AB805" s="4">
        <f t="shared" si="804"/>
        <v>0</v>
      </c>
      <c r="AC805" s="4">
        <f t="shared" si="804"/>
        <v>0</v>
      </c>
      <c r="AD805" s="4">
        <f t="shared" si="804"/>
        <v>0</v>
      </c>
      <c r="AE805" s="4" t="str">
        <f>'Form responses 1'!AN807</f>
        <v/>
      </c>
      <c r="AF805" s="4" t="str">
        <f>'Form responses 1'!AO1926</f>
        <v/>
      </c>
      <c r="AG805" s="4" t="str">
        <f>'Form responses 1'!AP1926</f>
        <v/>
      </c>
      <c r="AH805" s="4" t="str">
        <f>'Form responses 1'!AQ1926</f>
        <v/>
      </c>
      <c r="AI805" s="4" t="str">
        <f>'Form responses 1'!AR1926</f>
        <v/>
      </c>
    </row>
    <row r="806">
      <c r="A806" s="26">
        <f>'Form responses 1'!B808</f>
        <v>46074</v>
      </c>
      <c r="B806" s="4" t="str">
        <f>'Form responses 1'!AZ808</f>
        <v>sumadhur.mummadi@capsdelivery.com</v>
      </c>
      <c r="C806" s="4" t="str">
        <f>'Form responses 1'!BR808</f>
        <v>Padmavathi food court </v>
      </c>
      <c r="D806" s="4" t="str">
        <f>'Form responses 1'!AT808</f>
        <v>The manage is convinced, he agreed to onboard on Tues </v>
      </c>
      <c r="E806" s="4" t="str">
        <f>'Form responses 1'!AU808</f>
        <v>Yes</v>
      </c>
      <c r="F806" s="26">
        <f>'Form responses 1'!AX808</f>
        <v>46077</v>
      </c>
      <c r="G806" s="52">
        <f>'Form responses 1'!AY808</f>
        <v>0.7083333333</v>
      </c>
      <c r="H806" s="53" t="str">
        <f>'Form responses 1'!AW808</f>
        <v/>
      </c>
      <c r="I806" s="4" t="str">
        <f>'Form responses 1'!AS808</f>
        <v/>
      </c>
      <c r="J806" s="4" t="str">
        <f>'Form responses 1'!J808</f>
        <v/>
      </c>
      <c r="K806" s="4" t="str">
        <f>'Form responses 1'!G808</f>
        <v/>
      </c>
      <c r="L806" s="4" t="str">
        <f>'Form responses 1'!F808</f>
        <v/>
      </c>
      <c r="M806" s="4" t="str">
        <f>'Form responses 1'!U808</f>
        <v>NA </v>
      </c>
      <c r="N806" s="4">
        <f>'Form responses 1'!V808</f>
        <v>8121749748</v>
      </c>
      <c r="O806" s="4" t="str">
        <f>'Form responses 1'!W808</f>
        <v>NA </v>
      </c>
      <c r="P806" s="4" t="str">
        <f>'Form responses 1'!X808</f>
        <v/>
      </c>
      <c r="Q806" s="4" t="str">
        <f>'Form responses 1'!Y808</f>
        <v/>
      </c>
      <c r="R806" s="4" t="str">
        <f>'Form responses 1'!Z808</f>
        <v/>
      </c>
      <c r="S806" s="4" t="str">
        <f>'Form responses 1'!AC808</f>
        <v/>
      </c>
      <c r="T806" s="4" t="str">
        <f>'Form responses 1'!AE808</f>
        <v/>
      </c>
      <c r="U806" s="4" t="str">
        <f>'Form responses 1'!AG808</f>
        <v/>
      </c>
      <c r="V806" s="4" t="str">
        <f>'Form responses 1'!AI808</f>
        <v/>
      </c>
      <c r="W806" s="4" t="str">
        <f>'Form responses 1'!AJ808</f>
        <v/>
      </c>
      <c r="X806" s="4" t="str">
        <f>'Form responses 1'!AK808</f>
        <v/>
      </c>
      <c r="Y806" s="4">
        <f t="shared" ref="Y806:AD806" si="805">if(S806&gt;0,1,0)</f>
        <v>0</v>
      </c>
      <c r="Z806" s="4">
        <f t="shared" si="805"/>
        <v>0</v>
      </c>
      <c r="AA806" s="4">
        <f t="shared" si="805"/>
        <v>0</v>
      </c>
      <c r="AB806" s="4">
        <f t="shared" si="805"/>
        <v>0</v>
      </c>
      <c r="AC806" s="4">
        <f t="shared" si="805"/>
        <v>0</v>
      </c>
      <c r="AD806" s="4">
        <f t="shared" si="805"/>
        <v>0</v>
      </c>
      <c r="AE806" s="4" t="str">
        <f>'Form responses 1'!AN808</f>
        <v/>
      </c>
      <c r="AF806" s="4" t="str">
        <f>'Form responses 1'!AO1927</f>
        <v/>
      </c>
      <c r="AG806" s="4" t="str">
        <f>'Form responses 1'!AP1927</f>
        <v/>
      </c>
      <c r="AH806" s="4" t="str">
        <f>'Form responses 1'!AQ1927</f>
        <v/>
      </c>
      <c r="AI806" s="4" t="str">
        <f>'Form responses 1'!AR1927</f>
        <v/>
      </c>
    </row>
    <row r="807">
      <c r="A807" s="26">
        <f>'Form responses 1'!B809</f>
        <v>46074</v>
      </c>
      <c r="B807" s="4" t="str">
        <f>'Form responses 1'!AZ809</f>
        <v>sumadhur.mummadi@capsdelivery.com</v>
      </c>
      <c r="C807" s="4" t="str">
        <f>'Form responses 1'!BR809</f>
        <v>The organic creamery </v>
      </c>
      <c r="D807" s="4" t="str">
        <f>'Form responses 1'!AT809</f>
        <v>We should call to the decision makers who live in nellore and talk to them. I have listed their number in the form</v>
      </c>
      <c r="E807" s="4" t="str">
        <f>'Form responses 1'!AU809</f>
        <v>Yes</v>
      </c>
      <c r="F807" s="4" t="str">
        <f>'Form responses 1'!AX809</f>
        <v/>
      </c>
      <c r="G807" s="4" t="str">
        <f>'Form responses 1'!AY809</f>
        <v/>
      </c>
      <c r="H807" s="53" t="str">
        <f>'Form responses 1'!AW809</f>
        <v/>
      </c>
      <c r="I807" s="4" t="str">
        <f>'Form responses 1'!AS809</f>
        <v/>
      </c>
      <c r="J807" s="4" t="str">
        <f>'Form responses 1'!J809</f>
        <v/>
      </c>
      <c r="K807" s="4" t="str">
        <f>'Form responses 1'!G809</f>
        <v/>
      </c>
      <c r="L807" s="4" t="str">
        <f>'Form responses 1'!F809</f>
        <v/>
      </c>
      <c r="M807" s="4" t="str">
        <f>'Form responses 1'!U809</f>
        <v>Pandu</v>
      </c>
      <c r="N807" s="56">
        <f>'Form responses 1'!V809</f>
        <v>9.50275E+19</v>
      </c>
      <c r="O807" s="4" t="str">
        <f>'Form responses 1'!W809</f>
        <v>NA </v>
      </c>
      <c r="P807" s="4" t="str">
        <f>'Form responses 1'!X809</f>
        <v/>
      </c>
      <c r="Q807" s="4" t="str">
        <f>'Form responses 1'!Y809</f>
        <v/>
      </c>
      <c r="R807" s="4" t="str">
        <f>'Form responses 1'!Z809</f>
        <v/>
      </c>
      <c r="S807" s="4" t="str">
        <f>'Form responses 1'!AC809</f>
        <v/>
      </c>
      <c r="T807" s="4" t="str">
        <f>'Form responses 1'!AE809</f>
        <v/>
      </c>
      <c r="U807" s="4" t="str">
        <f>'Form responses 1'!AG809</f>
        <v/>
      </c>
      <c r="V807" s="4" t="str">
        <f>'Form responses 1'!AI809</f>
        <v/>
      </c>
      <c r="W807" s="4" t="str">
        <f>'Form responses 1'!AJ809</f>
        <v/>
      </c>
      <c r="X807" s="4" t="str">
        <f>'Form responses 1'!AK809</f>
        <v/>
      </c>
      <c r="Y807" s="4">
        <f t="shared" ref="Y807:AD807" si="806">if(S807&gt;0,1,0)</f>
        <v>0</v>
      </c>
      <c r="Z807" s="4">
        <f t="shared" si="806"/>
        <v>0</v>
      </c>
      <c r="AA807" s="4">
        <f t="shared" si="806"/>
        <v>0</v>
      </c>
      <c r="AB807" s="4">
        <f t="shared" si="806"/>
        <v>0</v>
      </c>
      <c r="AC807" s="4">
        <f t="shared" si="806"/>
        <v>0</v>
      </c>
      <c r="AD807" s="4">
        <f t="shared" si="806"/>
        <v>0</v>
      </c>
      <c r="AE807" s="4" t="str">
        <f>'Form responses 1'!AN809</f>
        <v/>
      </c>
      <c r="AF807" s="4" t="str">
        <f>'Form responses 1'!AO1928</f>
        <v/>
      </c>
      <c r="AG807" s="4" t="str">
        <f>'Form responses 1'!AP1928</f>
        <v/>
      </c>
      <c r="AH807" s="4" t="str">
        <f>'Form responses 1'!AQ1928</f>
        <v/>
      </c>
      <c r="AI807" s="4" t="str">
        <f>'Form responses 1'!AR1928</f>
        <v/>
      </c>
    </row>
    <row r="808">
      <c r="A808" s="26">
        <f>'Form responses 1'!B810</f>
        <v>46074</v>
      </c>
      <c r="B808" s="4" t="str">
        <f>'Form responses 1'!AZ810</f>
        <v>sumadhur.mummadi@capsdelivery.com</v>
      </c>
      <c r="C808" s="4" t="str">
        <f>'Form responses 1'!BR810</f>
        <v>Cranelle </v>
      </c>
      <c r="D808" s="4" t="str">
        <f>'Form responses 1'!AT810</f>
        <v>Mr Kousiks sister is the owner and she will be available on Monday </v>
      </c>
      <c r="E808" s="4" t="str">
        <f>'Form responses 1'!AU810</f>
        <v>Yes</v>
      </c>
      <c r="F808" s="26">
        <f>'Form responses 1'!AX810</f>
        <v>46076</v>
      </c>
      <c r="G808" s="52">
        <f>'Form responses 1'!AY810</f>
        <v>0.7083333333</v>
      </c>
      <c r="H808" s="53" t="str">
        <f>'Form responses 1'!AW810</f>
        <v/>
      </c>
      <c r="I808" s="4" t="str">
        <f>'Form responses 1'!AS810</f>
        <v/>
      </c>
      <c r="J808" s="4" t="str">
        <f>'Form responses 1'!J810</f>
        <v/>
      </c>
      <c r="K808" s="4" t="str">
        <f>'Form responses 1'!G810</f>
        <v/>
      </c>
      <c r="L808" s="4" t="str">
        <f>'Form responses 1'!F810</f>
        <v/>
      </c>
      <c r="M808" s="4" t="str">
        <f>'Form responses 1'!U810</f>
        <v>Koushik </v>
      </c>
      <c r="N808" s="4">
        <f>'Form responses 1'!V810</f>
        <v>8639727263</v>
      </c>
      <c r="O808" s="4" t="str">
        <f>'Form responses 1'!W810</f>
        <v>NA </v>
      </c>
      <c r="P808" s="4" t="str">
        <f>'Form responses 1'!X810</f>
        <v/>
      </c>
      <c r="Q808" s="4" t="str">
        <f>'Form responses 1'!Y810</f>
        <v/>
      </c>
      <c r="R808" s="4" t="str">
        <f>'Form responses 1'!Z810</f>
        <v/>
      </c>
      <c r="S808" s="4" t="str">
        <f>'Form responses 1'!AC810</f>
        <v/>
      </c>
      <c r="T808" s="4" t="str">
        <f>'Form responses 1'!AE810</f>
        <v/>
      </c>
      <c r="U808" s="4" t="str">
        <f>'Form responses 1'!AG810</f>
        <v/>
      </c>
      <c r="V808" s="4" t="str">
        <f>'Form responses 1'!AI810</f>
        <v/>
      </c>
      <c r="W808" s="4" t="str">
        <f>'Form responses 1'!AJ810</f>
        <v/>
      </c>
      <c r="X808" s="4" t="str">
        <f>'Form responses 1'!AK810</f>
        <v/>
      </c>
      <c r="Y808" s="4">
        <f t="shared" ref="Y808:AD808" si="807">if(S808&gt;0,1,0)</f>
        <v>0</v>
      </c>
      <c r="Z808" s="4">
        <f t="shared" si="807"/>
        <v>0</v>
      </c>
      <c r="AA808" s="4">
        <f t="shared" si="807"/>
        <v>0</v>
      </c>
      <c r="AB808" s="4">
        <f t="shared" si="807"/>
        <v>0</v>
      </c>
      <c r="AC808" s="4">
        <f t="shared" si="807"/>
        <v>0</v>
      </c>
      <c r="AD808" s="4">
        <f t="shared" si="807"/>
        <v>0</v>
      </c>
      <c r="AE808" s="4" t="str">
        <f>'Form responses 1'!AN810</f>
        <v/>
      </c>
      <c r="AF808" s="4" t="str">
        <f>'Form responses 1'!AO1929</f>
        <v/>
      </c>
      <c r="AG808" s="4" t="str">
        <f>'Form responses 1'!AP1929</f>
        <v/>
      </c>
      <c r="AH808" s="4" t="str">
        <f>'Form responses 1'!AQ1929</f>
        <v/>
      </c>
      <c r="AI808" s="4" t="str">
        <f>'Form responses 1'!AR1929</f>
        <v/>
      </c>
    </row>
    <row r="809">
      <c r="A809" s="26">
        <f>'Form responses 1'!B811</f>
        <v>46074</v>
      </c>
      <c r="B809" s="4" t="str">
        <f>'Form responses 1'!AZ811</f>
        <v>sumadhur.mummadi@capsdelivery.com</v>
      </c>
      <c r="C809" s="4" t="str">
        <f>'Form responses 1'!BR811</f>
        <v>Aditya kitchen </v>
      </c>
      <c r="D809" s="4" t="str">
        <f>'Form responses 1'!AT811</f>
        <v>The owner is not interested in delivery apps</v>
      </c>
      <c r="E809" s="4" t="str">
        <f>'Form responses 1'!AU811</f>
        <v>No</v>
      </c>
      <c r="F809" s="4" t="str">
        <f>'Form responses 1'!AX811</f>
        <v/>
      </c>
      <c r="G809" s="4" t="str">
        <f>'Form responses 1'!AY811</f>
        <v/>
      </c>
      <c r="H809" s="53" t="str">
        <f>'Form responses 1'!AW811</f>
        <v/>
      </c>
      <c r="I809" s="4" t="str">
        <f>'Form responses 1'!AS811</f>
        <v/>
      </c>
      <c r="J809" s="4" t="str">
        <f>'Form responses 1'!J811</f>
        <v/>
      </c>
      <c r="K809" s="4" t="str">
        <f>'Form responses 1'!G811</f>
        <v/>
      </c>
      <c r="L809" s="4" t="str">
        <f>'Form responses 1'!F811</f>
        <v/>
      </c>
      <c r="M809" s="4" t="str">
        <f>'Form responses 1'!U811</f>
        <v>NA </v>
      </c>
      <c r="N809" s="4" t="str">
        <f>'Form responses 1'!V811</f>
        <v>NA </v>
      </c>
      <c r="O809" s="4" t="str">
        <f>'Form responses 1'!W811</f>
        <v>NA </v>
      </c>
      <c r="P809" s="4" t="str">
        <f>'Form responses 1'!X811</f>
        <v/>
      </c>
      <c r="Q809" s="4" t="str">
        <f>'Form responses 1'!Y811</f>
        <v/>
      </c>
      <c r="R809" s="4" t="str">
        <f>'Form responses 1'!Z811</f>
        <v/>
      </c>
      <c r="S809" s="4" t="str">
        <f>'Form responses 1'!AC811</f>
        <v/>
      </c>
      <c r="T809" s="4" t="str">
        <f>'Form responses 1'!AE811</f>
        <v/>
      </c>
      <c r="U809" s="4" t="str">
        <f>'Form responses 1'!AG811</f>
        <v/>
      </c>
      <c r="V809" s="4" t="str">
        <f>'Form responses 1'!AI811</f>
        <v/>
      </c>
      <c r="W809" s="4" t="str">
        <f>'Form responses 1'!AJ811</f>
        <v/>
      </c>
      <c r="X809" s="4" t="str">
        <f>'Form responses 1'!AK811</f>
        <v/>
      </c>
      <c r="Y809" s="4">
        <f t="shared" ref="Y809:AD809" si="808">if(S809&gt;0,1,0)</f>
        <v>0</v>
      </c>
      <c r="Z809" s="4">
        <f t="shared" si="808"/>
        <v>0</v>
      </c>
      <c r="AA809" s="4">
        <f t="shared" si="808"/>
        <v>0</v>
      </c>
      <c r="AB809" s="4">
        <f t="shared" si="808"/>
        <v>0</v>
      </c>
      <c r="AC809" s="4">
        <f t="shared" si="808"/>
        <v>0</v>
      </c>
      <c r="AD809" s="4">
        <f t="shared" si="808"/>
        <v>0</v>
      </c>
      <c r="AE809" s="4" t="str">
        <f>'Form responses 1'!AN811</f>
        <v/>
      </c>
      <c r="AF809" s="4" t="str">
        <f>'Form responses 1'!AO1930</f>
        <v/>
      </c>
      <c r="AG809" s="4" t="str">
        <f>'Form responses 1'!AP1930</f>
        <v/>
      </c>
      <c r="AH809" s="4" t="str">
        <f>'Form responses 1'!AQ1930</f>
        <v/>
      </c>
      <c r="AI809" s="4" t="str">
        <f>'Form responses 1'!AR1930</f>
        <v/>
      </c>
    </row>
    <row r="810">
      <c r="A810" s="26">
        <f>'Form responses 1'!B812</f>
        <v>46073</v>
      </c>
      <c r="B810" s="4" t="str">
        <f>'Form responses 1'!AZ812</f>
        <v>ankitha.baske@capsdelivery.com</v>
      </c>
      <c r="C810" s="4" t="str">
        <f>'Form responses 1'!BR812</f>
        <v>Raju Gari Bhimavaram Biryani</v>
      </c>
      <c r="D810" s="4" t="str">
        <f>'Form responses 1'!AT812</f>
        <v>Menu and Bank details are pending</v>
      </c>
      <c r="E810" s="4" t="str">
        <f>'Form responses 1'!AU812</f>
        <v>Yes</v>
      </c>
      <c r="F810" s="4" t="str">
        <f>'Form responses 1'!AX812</f>
        <v/>
      </c>
      <c r="G810" s="4" t="str">
        <f>'Form responses 1'!AY812</f>
        <v/>
      </c>
      <c r="H810" s="53" t="str">
        <f>'Form responses 1'!AW812</f>
        <v/>
      </c>
      <c r="I810" s="4" t="str">
        <f>'Form responses 1'!AS812</f>
        <v>Yes</v>
      </c>
      <c r="J810" s="4" t="str">
        <f>'Form responses 1'!J812</f>
        <v>Tier-2 (AOV &lt;400)</v>
      </c>
      <c r="K810" s="4">
        <f>'Form responses 1'!G812</f>
        <v>300</v>
      </c>
      <c r="L810" s="4">
        <f>'Form responses 1'!F812</f>
        <v>40</v>
      </c>
      <c r="M810" s="4" t="str">
        <f>'Form responses 1'!U812</f>
        <v>Ajay Kumar</v>
      </c>
      <c r="N810" s="4">
        <f>'Form responses 1'!V812</f>
        <v>0</v>
      </c>
      <c r="O810" s="4" t="str">
        <f>'Form responses 1'!W812</f>
        <v>NA</v>
      </c>
      <c r="P810" s="4" t="str">
        <f>'Form responses 1'!X812</f>
        <v/>
      </c>
      <c r="Q810" s="4" t="str">
        <f>'Form responses 1'!Y812</f>
        <v/>
      </c>
      <c r="R810" s="4" t="str">
        <f>'Form responses 1'!Z812</f>
        <v/>
      </c>
      <c r="S810" s="54" t="str">
        <f>'Form responses 1'!AC812</f>
        <v>https://drive.google.com/open?id=1p0EP3qh90HYIFgre-tk0LkewVFMbKRdA</v>
      </c>
      <c r="T810" s="4" t="str">
        <f>'Form responses 1'!AE812</f>
        <v/>
      </c>
      <c r="U810" s="54" t="str">
        <f>'Form responses 1'!AG812</f>
        <v>https://drive.google.com/open?id=1v2azjikW30IslxTYOt5Ug-p8vp0xLrgW</v>
      </c>
      <c r="V810" s="4" t="str">
        <f>'Form responses 1'!AI812</f>
        <v/>
      </c>
      <c r="W810" s="4" t="str">
        <f>'Form responses 1'!AJ812</f>
        <v/>
      </c>
      <c r="X810" s="4" t="str">
        <f>'Form responses 1'!AK812</f>
        <v/>
      </c>
      <c r="Y810" s="4">
        <f t="shared" ref="Y810:AD810" si="809">if(S810&gt;0,1,0)</f>
        <v>1</v>
      </c>
      <c r="Z810" s="4">
        <f t="shared" si="809"/>
        <v>0</v>
      </c>
      <c r="AA810" s="4">
        <f t="shared" si="809"/>
        <v>1</v>
      </c>
      <c r="AB810" s="4">
        <f t="shared" si="809"/>
        <v>0</v>
      </c>
      <c r="AC810" s="4">
        <f t="shared" si="809"/>
        <v>0</v>
      </c>
      <c r="AD810" s="4">
        <f t="shared" si="809"/>
        <v>0</v>
      </c>
      <c r="AE810" s="4" t="str">
        <f>'Form responses 1'!AN812</f>
        <v/>
      </c>
      <c r="AF810" s="4" t="str">
        <f>'Form responses 1'!AO1931</f>
        <v/>
      </c>
      <c r="AG810" s="4" t="str">
        <f>'Form responses 1'!AP1931</f>
        <v/>
      </c>
      <c r="AH810" s="4" t="str">
        <f>'Form responses 1'!AQ1931</f>
        <v/>
      </c>
      <c r="AI810" s="4" t="str">
        <f>'Form responses 1'!AR1931</f>
        <v/>
      </c>
    </row>
    <row r="811">
      <c r="A811" s="26">
        <f>'Form responses 1'!B813</f>
        <v>46073</v>
      </c>
      <c r="B811" s="4" t="str">
        <f>'Form responses 1'!AZ813</f>
        <v>ankitha.baske@capsdelivery.com</v>
      </c>
      <c r="C811" s="4" t="str">
        <f>'Form responses 1'!BR813</f>
        <v>Dosa Hut</v>
      </c>
      <c r="D811" s="4" t="str">
        <f>'Form responses 1'!AT813</f>
        <v>Owner will be available at 7 pm</v>
      </c>
      <c r="E811" s="4" t="str">
        <f>'Form responses 1'!AU813</f>
        <v>Yes</v>
      </c>
      <c r="F811" s="4" t="str">
        <f>'Form responses 1'!AX813</f>
        <v/>
      </c>
      <c r="G811" s="4" t="str">
        <f>'Form responses 1'!AY813</f>
        <v/>
      </c>
      <c r="H811" s="53" t="str">
        <f>'Form responses 1'!AW813</f>
        <v/>
      </c>
      <c r="I811" s="4" t="str">
        <f>'Form responses 1'!AS813</f>
        <v/>
      </c>
      <c r="J811" s="4" t="str">
        <f>'Form responses 1'!J813</f>
        <v/>
      </c>
      <c r="K811" s="4" t="str">
        <f>'Form responses 1'!G813</f>
        <v/>
      </c>
      <c r="L811" s="4" t="str">
        <f>'Form responses 1'!F813</f>
        <v/>
      </c>
      <c r="M811" s="4" t="str">
        <f>'Form responses 1'!U813</f>
        <v>Kalyan</v>
      </c>
      <c r="N811" s="4">
        <f>'Form responses 1'!V813</f>
        <v>0</v>
      </c>
      <c r="O811" s="4" t="str">
        <f>'Form responses 1'!W813</f>
        <v>Na</v>
      </c>
      <c r="P811" s="4" t="str">
        <f>'Form responses 1'!X813</f>
        <v/>
      </c>
      <c r="Q811" s="4" t="str">
        <f>'Form responses 1'!Y813</f>
        <v/>
      </c>
      <c r="R811" s="4" t="str">
        <f>'Form responses 1'!Z813</f>
        <v/>
      </c>
      <c r="S811" s="4" t="str">
        <f>'Form responses 1'!AC813</f>
        <v/>
      </c>
      <c r="T811" s="4" t="str">
        <f>'Form responses 1'!AE813</f>
        <v/>
      </c>
      <c r="U811" s="4" t="str">
        <f>'Form responses 1'!AG813</f>
        <v/>
      </c>
      <c r="V811" s="4" t="str">
        <f>'Form responses 1'!AI813</f>
        <v/>
      </c>
      <c r="W811" s="4" t="str">
        <f>'Form responses 1'!AJ813</f>
        <v/>
      </c>
      <c r="X811" s="4" t="str">
        <f>'Form responses 1'!AK813</f>
        <v/>
      </c>
      <c r="Y811" s="4">
        <f t="shared" ref="Y811:AD811" si="810">if(S811&gt;0,1,0)</f>
        <v>0</v>
      </c>
      <c r="Z811" s="4">
        <f t="shared" si="810"/>
        <v>0</v>
      </c>
      <c r="AA811" s="4">
        <f t="shared" si="810"/>
        <v>0</v>
      </c>
      <c r="AB811" s="4">
        <f t="shared" si="810"/>
        <v>0</v>
      </c>
      <c r="AC811" s="4">
        <f t="shared" si="810"/>
        <v>0</v>
      </c>
      <c r="AD811" s="4">
        <f t="shared" si="810"/>
        <v>0</v>
      </c>
      <c r="AE811" s="4" t="str">
        <f>'Form responses 1'!AN813</f>
        <v/>
      </c>
      <c r="AF811" s="4" t="str">
        <f>'Form responses 1'!AO1932</f>
        <v/>
      </c>
      <c r="AG811" s="4" t="str">
        <f>'Form responses 1'!AP1932</f>
        <v/>
      </c>
      <c r="AH811" s="4" t="str">
        <f>'Form responses 1'!AQ1932</f>
        <v/>
      </c>
      <c r="AI811" s="4" t="str">
        <f>'Form responses 1'!AR1932</f>
        <v/>
      </c>
    </row>
    <row r="812">
      <c r="A812" s="26">
        <f>'Form responses 1'!B814</f>
        <v>46073</v>
      </c>
      <c r="B812" s="4" t="str">
        <f>'Form responses 1'!AZ814</f>
        <v>ankitha.baske@capsdelivery.com</v>
      </c>
      <c r="C812" s="4" t="str">
        <f>'Form responses 1'!BR814</f>
        <v>Upasana's Kitchen</v>
      </c>
      <c r="D812" s="4" t="str">
        <f>'Form responses 1'!AT814</f>
        <v>Owner will be available at night</v>
      </c>
      <c r="E812" s="4" t="str">
        <f>'Form responses 1'!AU814</f>
        <v>Yes</v>
      </c>
      <c r="F812" s="4" t="str">
        <f>'Form responses 1'!AX814</f>
        <v/>
      </c>
      <c r="G812" s="4" t="str">
        <f>'Form responses 1'!AY814</f>
        <v/>
      </c>
      <c r="H812" s="53" t="str">
        <f>'Form responses 1'!AW814</f>
        <v/>
      </c>
      <c r="I812" s="4" t="str">
        <f>'Form responses 1'!AS814</f>
        <v/>
      </c>
      <c r="J812" s="4" t="str">
        <f>'Form responses 1'!J814</f>
        <v/>
      </c>
      <c r="K812" s="4" t="str">
        <f>'Form responses 1'!G814</f>
        <v/>
      </c>
      <c r="L812" s="4" t="str">
        <f>'Form responses 1'!F814</f>
        <v/>
      </c>
      <c r="M812" s="4" t="str">
        <f>'Form responses 1'!U814</f>
        <v>Srinivas</v>
      </c>
      <c r="N812" s="4">
        <f>'Form responses 1'!V814</f>
        <v>8977779072</v>
      </c>
      <c r="O812" s="4" t="str">
        <f>'Form responses 1'!W814</f>
        <v>Na</v>
      </c>
      <c r="P812" s="4" t="str">
        <f>'Form responses 1'!X814</f>
        <v/>
      </c>
      <c r="Q812" s="4" t="str">
        <f>'Form responses 1'!Y814</f>
        <v/>
      </c>
      <c r="R812" s="4" t="str">
        <f>'Form responses 1'!Z814</f>
        <v/>
      </c>
      <c r="S812" s="4" t="str">
        <f>'Form responses 1'!AC814</f>
        <v/>
      </c>
      <c r="T812" s="4" t="str">
        <f>'Form responses 1'!AE814</f>
        <v/>
      </c>
      <c r="U812" s="4" t="str">
        <f>'Form responses 1'!AG814</f>
        <v/>
      </c>
      <c r="V812" s="4" t="str">
        <f>'Form responses 1'!AI814</f>
        <v/>
      </c>
      <c r="W812" s="4" t="str">
        <f>'Form responses 1'!AJ814</f>
        <v/>
      </c>
      <c r="X812" s="4" t="str">
        <f>'Form responses 1'!AK814</f>
        <v/>
      </c>
      <c r="Y812" s="4">
        <f t="shared" ref="Y812:AD812" si="811">if(S812&gt;0,1,0)</f>
        <v>0</v>
      </c>
      <c r="Z812" s="4">
        <f t="shared" si="811"/>
        <v>0</v>
      </c>
      <c r="AA812" s="4">
        <f t="shared" si="811"/>
        <v>0</v>
      </c>
      <c r="AB812" s="4">
        <f t="shared" si="811"/>
        <v>0</v>
      </c>
      <c r="AC812" s="4">
        <f t="shared" si="811"/>
        <v>0</v>
      </c>
      <c r="AD812" s="4">
        <f t="shared" si="811"/>
        <v>0</v>
      </c>
      <c r="AE812" s="4" t="str">
        <f>'Form responses 1'!AN814</f>
        <v/>
      </c>
      <c r="AF812" s="4" t="str">
        <f>'Form responses 1'!AO1933</f>
        <v/>
      </c>
      <c r="AG812" s="4" t="str">
        <f>'Form responses 1'!AP1933</f>
        <v/>
      </c>
      <c r="AH812" s="4" t="str">
        <f>'Form responses 1'!AQ1933</f>
        <v/>
      </c>
      <c r="AI812" s="4" t="str">
        <f>'Form responses 1'!AR1933</f>
        <v/>
      </c>
    </row>
    <row r="813">
      <c r="A813" s="26">
        <f>'Form responses 1'!B815</f>
        <v>46073</v>
      </c>
      <c r="B813" s="4" t="str">
        <f>'Form responses 1'!AZ815</f>
        <v>ankitha.baske@capsdelivery.com</v>
      </c>
      <c r="C813" s="4" t="str">
        <f>'Form responses 1'!BR815</f>
        <v>BFC Crispy And Spicy</v>
      </c>
      <c r="D813" s="4" t="str">
        <f>'Form responses 1'!AT815</f>
        <v>Owner will be available at night</v>
      </c>
      <c r="E813" s="4" t="str">
        <f>'Form responses 1'!AU815</f>
        <v>Yes</v>
      </c>
      <c r="F813" s="4" t="str">
        <f>'Form responses 1'!AX815</f>
        <v/>
      </c>
      <c r="G813" s="4" t="str">
        <f>'Form responses 1'!AY815</f>
        <v/>
      </c>
      <c r="H813" s="53" t="str">
        <f>'Form responses 1'!AW815</f>
        <v/>
      </c>
      <c r="I813" s="4" t="str">
        <f>'Form responses 1'!AS815</f>
        <v/>
      </c>
      <c r="J813" s="4" t="str">
        <f>'Form responses 1'!J815</f>
        <v/>
      </c>
      <c r="K813" s="4" t="str">
        <f>'Form responses 1'!G815</f>
        <v/>
      </c>
      <c r="L813" s="4" t="str">
        <f>'Form responses 1'!F815</f>
        <v/>
      </c>
      <c r="M813" s="4" t="str">
        <f>'Form responses 1'!U815</f>
        <v>na</v>
      </c>
      <c r="N813" s="4">
        <f>'Form responses 1'!V815</f>
        <v>0</v>
      </c>
      <c r="O813" s="4" t="str">
        <f>'Form responses 1'!W815</f>
        <v>na</v>
      </c>
      <c r="P813" s="4" t="str">
        <f>'Form responses 1'!X815</f>
        <v/>
      </c>
      <c r="Q813" s="4" t="str">
        <f>'Form responses 1'!Y815</f>
        <v/>
      </c>
      <c r="R813" s="4" t="str">
        <f>'Form responses 1'!Z815</f>
        <v/>
      </c>
      <c r="S813" s="4" t="str">
        <f>'Form responses 1'!AC815</f>
        <v/>
      </c>
      <c r="T813" s="4" t="str">
        <f>'Form responses 1'!AE815</f>
        <v/>
      </c>
      <c r="U813" s="4" t="str">
        <f>'Form responses 1'!AG815</f>
        <v/>
      </c>
      <c r="V813" s="4" t="str">
        <f>'Form responses 1'!AI815</f>
        <v/>
      </c>
      <c r="W813" s="4" t="str">
        <f>'Form responses 1'!AJ815</f>
        <v/>
      </c>
      <c r="X813" s="4" t="str">
        <f>'Form responses 1'!AK815</f>
        <v/>
      </c>
      <c r="Y813" s="4">
        <f t="shared" ref="Y813:AD813" si="812">if(S813&gt;0,1,0)</f>
        <v>0</v>
      </c>
      <c r="Z813" s="4">
        <f t="shared" si="812"/>
        <v>0</v>
      </c>
      <c r="AA813" s="4">
        <f t="shared" si="812"/>
        <v>0</v>
      </c>
      <c r="AB813" s="4">
        <f t="shared" si="812"/>
        <v>0</v>
      </c>
      <c r="AC813" s="4">
        <f t="shared" si="812"/>
        <v>0</v>
      </c>
      <c r="AD813" s="4">
        <f t="shared" si="812"/>
        <v>0</v>
      </c>
      <c r="AE813" s="4" t="str">
        <f>'Form responses 1'!AN815</f>
        <v/>
      </c>
      <c r="AF813" s="4" t="str">
        <f>'Form responses 1'!AO1934</f>
        <v/>
      </c>
      <c r="AG813" s="4" t="str">
        <f>'Form responses 1'!AP1934</f>
        <v/>
      </c>
      <c r="AH813" s="4" t="str">
        <f>'Form responses 1'!AQ1934</f>
        <v/>
      </c>
      <c r="AI813" s="4" t="str">
        <f>'Form responses 1'!AR1934</f>
        <v/>
      </c>
    </row>
    <row r="814">
      <c r="A814" s="26">
        <f>'Form responses 1'!B816</f>
        <v>46073</v>
      </c>
      <c r="B814" s="4" t="str">
        <f>'Form responses 1'!AZ816</f>
        <v>ankitha.baske@capsdelivery.com</v>
      </c>
      <c r="C814" s="4" t="str">
        <f>'Form responses 1'!BR816</f>
        <v>Pakka Local Food Court</v>
      </c>
      <c r="D814" s="4" t="str">
        <f>'Form responses 1'!AT816</f>
        <v>Owner will be available at night</v>
      </c>
      <c r="E814" s="4" t="str">
        <f>'Form responses 1'!AU816</f>
        <v>Yes</v>
      </c>
      <c r="F814" s="4" t="str">
        <f>'Form responses 1'!AX816</f>
        <v/>
      </c>
      <c r="G814" s="4" t="str">
        <f>'Form responses 1'!AY816</f>
        <v/>
      </c>
      <c r="H814" s="53" t="str">
        <f>'Form responses 1'!AW816</f>
        <v/>
      </c>
      <c r="I814" s="4" t="str">
        <f>'Form responses 1'!AS816</f>
        <v/>
      </c>
      <c r="J814" s="4" t="str">
        <f>'Form responses 1'!J816</f>
        <v/>
      </c>
      <c r="K814" s="4" t="str">
        <f>'Form responses 1'!G816</f>
        <v/>
      </c>
      <c r="L814" s="4" t="str">
        <f>'Form responses 1'!F816</f>
        <v/>
      </c>
      <c r="M814" s="4" t="str">
        <f>'Form responses 1'!U816</f>
        <v>NA</v>
      </c>
      <c r="N814" s="4">
        <f>'Form responses 1'!V816</f>
        <v>0</v>
      </c>
      <c r="O814" s="4" t="str">
        <f>'Form responses 1'!W816</f>
        <v>Na</v>
      </c>
      <c r="P814" s="4" t="str">
        <f>'Form responses 1'!X816</f>
        <v/>
      </c>
      <c r="Q814" s="4" t="str">
        <f>'Form responses 1'!Y816</f>
        <v/>
      </c>
      <c r="R814" s="4" t="str">
        <f>'Form responses 1'!Z816</f>
        <v/>
      </c>
      <c r="S814" s="4" t="str">
        <f>'Form responses 1'!AC816</f>
        <v/>
      </c>
      <c r="T814" s="4" t="str">
        <f>'Form responses 1'!AE816</f>
        <v/>
      </c>
      <c r="U814" s="4" t="str">
        <f>'Form responses 1'!AG816</f>
        <v/>
      </c>
      <c r="V814" s="4" t="str">
        <f>'Form responses 1'!AI816</f>
        <v/>
      </c>
      <c r="W814" s="4" t="str">
        <f>'Form responses 1'!AJ816</f>
        <v/>
      </c>
      <c r="X814" s="4" t="str">
        <f>'Form responses 1'!AK816</f>
        <v/>
      </c>
      <c r="Y814" s="4">
        <f t="shared" ref="Y814:AD814" si="813">if(S814&gt;0,1,0)</f>
        <v>0</v>
      </c>
      <c r="Z814" s="4">
        <f t="shared" si="813"/>
        <v>0</v>
      </c>
      <c r="AA814" s="4">
        <f t="shared" si="813"/>
        <v>0</v>
      </c>
      <c r="AB814" s="4">
        <f t="shared" si="813"/>
        <v>0</v>
      </c>
      <c r="AC814" s="4">
        <f t="shared" si="813"/>
        <v>0</v>
      </c>
      <c r="AD814" s="4">
        <f t="shared" si="813"/>
        <v>0</v>
      </c>
      <c r="AE814" s="4" t="str">
        <f>'Form responses 1'!AN816</f>
        <v/>
      </c>
      <c r="AF814" s="4" t="str">
        <f>'Form responses 1'!AO1935</f>
        <v/>
      </c>
      <c r="AG814" s="4" t="str">
        <f>'Form responses 1'!AP1935</f>
        <v/>
      </c>
      <c r="AH814" s="4" t="str">
        <f>'Form responses 1'!AQ1935</f>
        <v/>
      </c>
      <c r="AI814" s="4" t="str">
        <f>'Form responses 1'!AR1935</f>
        <v/>
      </c>
    </row>
    <row r="815">
      <c r="A815" s="26">
        <f>'Form responses 1'!B817</f>
        <v>46073</v>
      </c>
      <c r="B815" s="4" t="str">
        <f>'Form responses 1'!AZ817</f>
        <v>ankitha.baske@capsdelivery.com</v>
      </c>
      <c r="C815" s="4" t="str">
        <f>'Form responses 1'!BR817</f>
        <v>Highway Resturant</v>
      </c>
      <c r="D815" s="4" t="str">
        <f>'Form responses 1'!AT817</f>
        <v>I send him the proposal ,need time to think</v>
      </c>
      <c r="E815" s="4" t="str">
        <f>'Form responses 1'!AU817</f>
        <v>Yes</v>
      </c>
      <c r="F815" s="4" t="str">
        <f>'Form responses 1'!AX817</f>
        <v/>
      </c>
      <c r="G815" s="4" t="str">
        <f>'Form responses 1'!AY817</f>
        <v/>
      </c>
      <c r="H815" s="53" t="str">
        <f>'Form responses 1'!AW817</f>
        <v/>
      </c>
      <c r="I815" s="4" t="str">
        <f>'Form responses 1'!AS817</f>
        <v/>
      </c>
      <c r="J815" s="4" t="str">
        <f>'Form responses 1'!J817</f>
        <v/>
      </c>
      <c r="K815" s="4" t="str">
        <f>'Form responses 1'!G817</f>
        <v/>
      </c>
      <c r="L815" s="4" t="str">
        <f>'Form responses 1'!F817</f>
        <v/>
      </c>
      <c r="M815" s="4" t="str">
        <f>'Form responses 1'!U817</f>
        <v>Likith</v>
      </c>
      <c r="N815" s="4">
        <f>'Form responses 1'!V817</f>
        <v>8074507215</v>
      </c>
      <c r="O815" s="4" t="str">
        <f>'Form responses 1'!W817</f>
        <v>Na</v>
      </c>
      <c r="P815" s="4" t="str">
        <f>'Form responses 1'!X817</f>
        <v/>
      </c>
      <c r="Q815" s="4" t="str">
        <f>'Form responses 1'!Y817</f>
        <v/>
      </c>
      <c r="R815" s="4" t="str">
        <f>'Form responses 1'!Z817</f>
        <v/>
      </c>
      <c r="S815" s="4" t="str">
        <f>'Form responses 1'!AC817</f>
        <v/>
      </c>
      <c r="T815" s="4" t="str">
        <f>'Form responses 1'!AE817</f>
        <v/>
      </c>
      <c r="U815" s="4" t="str">
        <f>'Form responses 1'!AG817</f>
        <v/>
      </c>
      <c r="V815" s="4" t="str">
        <f>'Form responses 1'!AI817</f>
        <v/>
      </c>
      <c r="W815" s="4" t="str">
        <f>'Form responses 1'!AJ817</f>
        <v/>
      </c>
      <c r="X815" s="4" t="str">
        <f>'Form responses 1'!AK817</f>
        <v/>
      </c>
      <c r="Y815" s="4">
        <f t="shared" ref="Y815:AD815" si="814">if(S815&gt;0,1,0)</f>
        <v>0</v>
      </c>
      <c r="Z815" s="4">
        <f t="shared" si="814"/>
        <v>0</v>
      </c>
      <c r="AA815" s="4">
        <f t="shared" si="814"/>
        <v>0</v>
      </c>
      <c r="AB815" s="4">
        <f t="shared" si="814"/>
        <v>0</v>
      </c>
      <c r="AC815" s="4">
        <f t="shared" si="814"/>
        <v>0</v>
      </c>
      <c r="AD815" s="4">
        <f t="shared" si="814"/>
        <v>0</v>
      </c>
      <c r="AE815" s="4" t="str">
        <f>'Form responses 1'!AN817</f>
        <v/>
      </c>
      <c r="AF815" s="4" t="str">
        <f>'Form responses 1'!AO1936</f>
        <v/>
      </c>
      <c r="AG815" s="4" t="str">
        <f>'Form responses 1'!AP1936</f>
        <v/>
      </c>
      <c r="AH815" s="4" t="str">
        <f>'Form responses 1'!AQ1936</f>
        <v/>
      </c>
      <c r="AI815" s="4" t="str">
        <f>'Form responses 1'!AR1936</f>
        <v/>
      </c>
    </row>
    <row r="816">
      <c r="A816" s="26">
        <f>'Form responses 1'!B818</f>
        <v>46073</v>
      </c>
      <c r="B816" s="4" t="str">
        <f>'Form responses 1'!AZ818</f>
        <v>ankitha.baske@capsdelivery.com</v>
      </c>
      <c r="C816" s="4" t="str">
        <f>'Form responses 1'!BR818</f>
        <v>Ulavacharu</v>
      </c>
      <c r="D816" s="4" t="str">
        <f>'Form responses 1'!AT818</f>
        <v>He want to discuss with his brother</v>
      </c>
      <c r="E816" s="4" t="str">
        <f>'Form responses 1'!AU818</f>
        <v>Yes</v>
      </c>
      <c r="F816" s="26">
        <f>'Form responses 1'!AX818</f>
        <v>46076</v>
      </c>
      <c r="G816" s="4" t="str">
        <f>'Form responses 1'!AY818</f>
        <v/>
      </c>
      <c r="H816" s="53" t="str">
        <f>'Form responses 1'!AW818</f>
        <v/>
      </c>
      <c r="I816" s="4" t="str">
        <f>'Form responses 1'!AS818</f>
        <v/>
      </c>
      <c r="J816" s="4" t="str">
        <f>'Form responses 1'!J818</f>
        <v/>
      </c>
      <c r="K816" s="4" t="str">
        <f>'Form responses 1'!G818</f>
        <v/>
      </c>
      <c r="L816" s="4" t="str">
        <f>'Form responses 1'!F818</f>
        <v/>
      </c>
      <c r="M816" s="4" t="str">
        <f>'Form responses 1'!U818</f>
        <v>NA</v>
      </c>
      <c r="N816" s="4">
        <f>'Form responses 1'!V818</f>
        <v>9441162225</v>
      </c>
      <c r="O816" s="4" t="str">
        <f>'Form responses 1'!W818</f>
        <v>Na</v>
      </c>
      <c r="P816" s="4" t="str">
        <f>'Form responses 1'!X818</f>
        <v/>
      </c>
      <c r="Q816" s="4" t="str">
        <f>'Form responses 1'!Y818</f>
        <v/>
      </c>
      <c r="R816" s="4" t="str">
        <f>'Form responses 1'!Z818</f>
        <v/>
      </c>
      <c r="S816" s="4" t="str">
        <f>'Form responses 1'!AC818</f>
        <v/>
      </c>
      <c r="T816" s="4" t="str">
        <f>'Form responses 1'!AE818</f>
        <v/>
      </c>
      <c r="U816" s="4" t="str">
        <f>'Form responses 1'!AG818</f>
        <v/>
      </c>
      <c r="V816" s="4" t="str">
        <f>'Form responses 1'!AI818</f>
        <v/>
      </c>
      <c r="W816" s="4" t="str">
        <f>'Form responses 1'!AJ818</f>
        <v/>
      </c>
      <c r="X816" s="4" t="str">
        <f>'Form responses 1'!AK818</f>
        <v/>
      </c>
      <c r="Y816" s="4">
        <f t="shared" ref="Y816:AD816" si="815">if(S816&gt;0,1,0)</f>
        <v>0</v>
      </c>
      <c r="Z816" s="4">
        <f t="shared" si="815"/>
        <v>0</v>
      </c>
      <c r="AA816" s="4">
        <f t="shared" si="815"/>
        <v>0</v>
      </c>
      <c r="AB816" s="4">
        <f t="shared" si="815"/>
        <v>0</v>
      </c>
      <c r="AC816" s="4">
        <f t="shared" si="815"/>
        <v>0</v>
      </c>
      <c r="AD816" s="4">
        <f t="shared" si="815"/>
        <v>0</v>
      </c>
      <c r="AE816" s="4" t="str">
        <f>'Form responses 1'!AN818</f>
        <v/>
      </c>
      <c r="AF816" s="4" t="str">
        <f>'Form responses 1'!AO1937</f>
        <v/>
      </c>
      <c r="AG816" s="4" t="str">
        <f>'Form responses 1'!AP1937</f>
        <v/>
      </c>
      <c r="AH816" s="4" t="str">
        <f>'Form responses 1'!AQ1937</f>
        <v/>
      </c>
      <c r="AI816" s="4" t="str">
        <f>'Form responses 1'!AR1937</f>
        <v/>
      </c>
    </row>
    <row r="817">
      <c r="A817" s="26">
        <f>'Form responses 1'!B819</f>
        <v>46073</v>
      </c>
      <c r="B817" s="4" t="str">
        <f>'Form responses 1'!AZ819</f>
        <v>ankitha.baske@capsdelivery.com</v>
      </c>
      <c r="C817" s="4" t="str">
        <f>'Form responses 1'!BR819</f>
        <v>Kakatiya Home Foods</v>
      </c>
      <c r="D817" s="4" t="str">
        <f>'Form responses 1'!AT819</f>
        <v>Owner will be available at 7pm</v>
      </c>
      <c r="E817" s="4" t="str">
        <f>'Form responses 1'!AU819</f>
        <v>Yes</v>
      </c>
      <c r="F817" s="4" t="str">
        <f>'Form responses 1'!AX819</f>
        <v/>
      </c>
      <c r="G817" s="4" t="str">
        <f>'Form responses 1'!AY819</f>
        <v/>
      </c>
      <c r="H817" s="53" t="str">
        <f>'Form responses 1'!AW819</f>
        <v/>
      </c>
      <c r="I817" s="4" t="str">
        <f>'Form responses 1'!AS819</f>
        <v/>
      </c>
      <c r="J817" s="4" t="str">
        <f>'Form responses 1'!J819</f>
        <v/>
      </c>
      <c r="K817" s="4" t="str">
        <f>'Form responses 1'!G819</f>
        <v/>
      </c>
      <c r="L817" s="4" t="str">
        <f>'Form responses 1'!F819</f>
        <v/>
      </c>
      <c r="M817" s="4" t="str">
        <f>'Form responses 1'!U819</f>
        <v>Virababu</v>
      </c>
      <c r="N817" s="4">
        <f>'Form responses 1'!V819</f>
        <v>9618541680</v>
      </c>
      <c r="O817" s="4" t="str">
        <f>'Form responses 1'!W819</f>
        <v>Na</v>
      </c>
      <c r="P817" s="4" t="str">
        <f>'Form responses 1'!X819</f>
        <v/>
      </c>
      <c r="Q817" s="4" t="str">
        <f>'Form responses 1'!Y819</f>
        <v/>
      </c>
      <c r="R817" s="4" t="str">
        <f>'Form responses 1'!Z819</f>
        <v/>
      </c>
      <c r="S817" s="4" t="str">
        <f>'Form responses 1'!AC819</f>
        <v/>
      </c>
      <c r="T817" s="4" t="str">
        <f>'Form responses 1'!AE819</f>
        <v/>
      </c>
      <c r="U817" s="4" t="str">
        <f>'Form responses 1'!AG819</f>
        <v/>
      </c>
      <c r="V817" s="4" t="str">
        <f>'Form responses 1'!AI819</f>
        <v/>
      </c>
      <c r="W817" s="4" t="str">
        <f>'Form responses 1'!AJ819</f>
        <v/>
      </c>
      <c r="X817" s="4" t="str">
        <f>'Form responses 1'!AK819</f>
        <v/>
      </c>
      <c r="Y817" s="4">
        <f t="shared" ref="Y817:AD817" si="816">if(S817&gt;0,1,0)</f>
        <v>0</v>
      </c>
      <c r="Z817" s="4">
        <f t="shared" si="816"/>
        <v>0</v>
      </c>
      <c r="AA817" s="4">
        <f t="shared" si="816"/>
        <v>0</v>
      </c>
      <c r="AB817" s="4">
        <f t="shared" si="816"/>
        <v>0</v>
      </c>
      <c r="AC817" s="4">
        <f t="shared" si="816"/>
        <v>0</v>
      </c>
      <c r="AD817" s="4">
        <f t="shared" si="816"/>
        <v>0</v>
      </c>
      <c r="AE817" s="4" t="str">
        <f>'Form responses 1'!AN819</f>
        <v/>
      </c>
      <c r="AF817" s="4" t="str">
        <f>'Form responses 1'!AO1938</f>
        <v/>
      </c>
      <c r="AG817" s="4" t="str">
        <f>'Form responses 1'!AP1938</f>
        <v/>
      </c>
      <c r="AH817" s="4" t="str">
        <f>'Form responses 1'!AQ1938</f>
        <v/>
      </c>
      <c r="AI817" s="4" t="str">
        <f>'Form responses 1'!AR1938</f>
        <v/>
      </c>
    </row>
    <row r="818">
      <c r="A818" s="26">
        <f>'Form responses 1'!B820</f>
        <v>46073</v>
      </c>
      <c r="B818" s="4" t="str">
        <f>'Form responses 1'!AZ820</f>
        <v>ankitha.baske@capsdelivery.com</v>
      </c>
      <c r="C818" s="4" t="str">
        <f>'Form responses 1'!BR820</f>
        <v>Sri Ragavendra Vihar</v>
      </c>
      <c r="D818" s="4" t="str">
        <f>'Form responses 1'!AT820</f>
        <v>Owner is  not available,They are not ready to give number</v>
      </c>
      <c r="E818" s="4" t="str">
        <f>'Form responses 1'!AU820</f>
        <v>Yes</v>
      </c>
      <c r="F818" s="4" t="str">
        <f>'Form responses 1'!AX820</f>
        <v/>
      </c>
      <c r="G818" s="4" t="str">
        <f>'Form responses 1'!AY820</f>
        <v/>
      </c>
      <c r="H818" s="53" t="str">
        <f>'Form responses 1'!AW820</f>
        <v/>
      </c>
      <c r="I818" s="4" t="str">
        <f>'Form responses 1'!AS820</f>
        <v/>
      </c>
      <c r="J818" s="4" t="str">
        <f>'Form responses 1'!J820</f>
        <v/>
      </c>
      <c r="K818" s="4" t="str">
        <f>'Form responses 1'!G820</f>
        <v/>
      </c>
      <c r="L818" s="4" t="str">
        <f>'Form responses 1'!F820</f>
        <v/>
      </c>
      <c r="M818" s="4" t="str">
        <f>'Form responses 1'!U820</f>
        <v>Na0</v>
      </c>
      <c r="N818" s="4">
        <f>'Form responses 1'!V820</f>
        <v>0</v>
      </c>
      <c r="O818" s="4" t="str">
        <f>'Form responses 1'!W820</f>
        <v>Na</v>
      </c>
      <c r="P818" s="4" t="str">
        <f>'Form responses 1'!X820</f>
        <v/>
      </c>
      <c r="Q818" s="4" t="str">
        <f>'Form responses 1'!Y820</f>
        <v/>
      </c>
      <c r="R818" s="4" t="str">
        <f>'Form responses 1'!Z820</f>
        <v/>
      </c>
      <c r="S818" s="4" t="str">
        <f>'Form responses 1'!AC820</f>
        <v/>
      </c>
      <c r="T818" s="4" t="str">
        <f>'Form responses 1'!AE820</f>
        <v/>
      </c>
      <c r="U818" s="4" t="str">
        <f>'Form responses 1'!AG820</f>
        <v/>
      </c>
      <c r="V818" s="4" t="str">
        <f>'Form responses 1'!AI820</f>
        <v/>
      </c>
      <c r="W818" s="4" t="str">
        <f>'Form responses 1'!AJ820</f>
        <v/>
      </c>
      <c r="X818" s="4" t="str">
        <f>'Form responses 1'!AK820</f>
        <v/>
      </c>
      <c r="Y818" s="4">
        <f t="shared" ref="Y818:AD818" si="817">if(S818&gt;0,1,0)</f>
        <v>0</v>
      </c>
      <c r="Z818" s="4">
        <f t="shared" si="817"/>
        <v>0</v>
      </c>
      <c r="AA818" s="4">
        <f t="shared" si="817"/>
        <v>0</v>
      </c>
      <c r="AB818" s="4">
        <f t="shared" si="817"/>
        <v>0</v>
      </c>
      <c r="AC818" s="4">
        <f t="shared" si="817"/>
        <v>0</v>
      </c>
      <c r="AD818" s="4">
        <f t="shared" si="817"/>
        <v>0</v>
      </c>
      <c r="AE818" s="4" t="str">
        <f>'Form responses 1'!AN820</f>
        <v/>
      </c>
      <c r="AF818" s="4" t="str">
        <f>'Form responses 1'!AO1939</f>
        <v/>
      </c>
      <c r="AG818" s="4" t="str">
        <f>'Form responses 1'!AP1939</f>
        <v/>
      </c>
      <c r="AH818" s="4" t="str">
        <f>'Form responses 1'!AQ1939</f>
        <v/>
      </c>
      <c r="AI818" s="4" t="str">
        <f>'Form responses 1'!AR1939</f>
        <v/>
      </c>
    </row>
    <row r="819">
      <c r="A819" s="26">
        <f>'Form responses 1'!B821</f>
        <v>46073</v>
      </c>
      <c r="B819" s="4" t="str">
        <f>'Form responses 1'!AZ821</f>
        <v>ankitha.baske@capsdelivery.com</v>
      </c>
      <c r="C819" s="4" t="str">
        <f>'Form responses 1'!BR821</f>
        <v>The Spicy Unions</v>
      </c>
      <c r="D819" s="4" t="str">
        <f>'Form responses 1'!AT821</f>
        <v>We need to send details in Whatsapp</v>
      </c>
      <c r="E819" s="4" t="str">
        <f>'Form responses 1'!AU821</f>
        <v>Yes</v>
      </c>
      <c r="F819" s="4" t="str">
        <f>'Form responses 1'!AX821</f>
        <v/>
      </c>
      <c r="G819" s="4" t="str">
        <f>'Form responses 1'!AY821</f>
        <v/>
      </c>
      <c r="H819" s="53" t="str">
        <f>'Form responses 1'!AW821</f>
        <v/>
      </c>
      <c r="I819" s="4" t="str">
        <f>'Form responses 1'!AS821</f>
        <v/>
      </c>
      <c r="J819" s="4" t="str">
        <f>'Form responses 1'!J821</f>
        <v/>
      </c>
      <c r="K819" s="4" t="str">
        <f>'Form responses 1'!G821</f>
        <v/>
      </c>
      <c r="L819" s="4" t="str">
        <f>'Form responses 1'!F821</f>
        <v/>
      </c>
      <c r="M819" s="4" t="str">
        <f>'Form responses 1'!U821</f>
        <v>Kishore</v>
      </c>
      <c r="N819" s="4">
        <f>'Form responses 1'!V821</f>
        <v>8179825296</v>
      </c>
      <c r="O819" s="4" t="str">
        <f>'Form responses 1'!W821</f>
        <v>Na</v>
      </c>
      <c r="P819" s="4" t="str">
        <f>'Form responses 1'!X821</f>
        <v/>
      </c>
      <c r="Q819" s="4" t="str">
        <f>'Form responses 1'!Y821</f>
        <v/>
      </c>
      <c r="R819" s="4" t="str">
        <f>'Form responses 1'!Z821</f>
        <v/>
      </c>
      <c r="S819" s="4" t="str">
        <f>'Form responses 1'!AC821</f>
        <v/>
      </c>
      <c r="T819" s="4" t="str">
        <f>'Form responses 1'!AE821</f>
        <v/>
      </c>
      <c r="U819" s="4" t="str">
        <f>'Form responses 1'!AG821</f>
        <v/>
      </c>
      <c r="V819" s="4" t="str">
        <f>'Form responses 1'!AI821</f>
        <v/>
      </c>
      <c r="W819" s="4" t="str">
        <f>'Form responses 1'!AJ821</f>
        <v/>
      </c>
      <c r="X819" s="4" t="str">
        <f>'Form responses 1'!AK821</f>
        <v/>
      </c>
      <c r="Y819" s="4">
        <f t="shared" ref="Y819:AD819" si="818">if(S819&gt;0,1,0)</f>
        <v>0</v>
      </c>
      <c r="Z819" s="4">
        <f t="shared" si="818"/>
        <v>0</v>
      </c>
      <c r="AA819" s="4">
        <f t="shared" si="818"/>
        <v>0</v>
      </c>
      <c r="AB819" s="4">
        <f t="shared" si="818"/>
        <v>0</v>
      </c>
      <c r="AC819" s="4">
        <f t="shared" si="818"/>
        <v>0</v>
      </c>
      <c r="AD819" s="4">
        <f t="shared" si="818"/>
        <v>0</v>
      </c>
      <c r="AE819" s="4" t="str">
        <f>'Form responses 1'!AN821</f>
        <v/>
      </c>
      <c r="AF819" s="4" t="str">
        <f>'Form responses 1'!AO1940</f>
        <v/>
      </c>
      <c r="AG819" s="4" t="str">
        <f>'Form responses 1'!AP1940</f>
        <v/>
      </c>
      <c r="AH819" s="4" t="str">
        <f>'Form responses 1'!AQ1940</f>
        <v/>
      </c>
      <c r="AI819" s="4" t="str">
        <f>'Form responses 1'!AR1940</f>
        <v/>
      </c>
    </row>
    <row r="820">
      <c r="A820" s="26">
        <f>'Form responses 1'!B822</f>
        <v>46073</v>
      </c>
      <c r="B820" s="4" t="str">
        <f>'Form responses 1'!AZ822</f>
        <v>ankitha.baske@capsdelivery.com</v>
      </c>
      <c r="C820" s="4" t="str">
        <f>'Form responses 1'!BR822</f>
        <v>Sai Mumbai Famous</v>
      </c>
      <c r="D820" s="4" t="str">
        <f>'Form responses 1'!AT822</f>
        <v>Pan Card,Menu and Bank Details Are Pending</v>
      </c>
      <c r="E820" s="4" t="str">
        <f>'Form responses 1'!AU822</f>
        <v>Yes</v>
      </c>
      <c r="F820" s="4" t="str">
        <f>'Form responses 1'!AX822</f>
        <v/>
      </c>
      <c r="G820" s="4" t="str">
        <f>'Form responses 1'!AY822</f>
        <v/>
      </c>
      <c r="H820" s="53" t="str">
        <f>'Form responses 1'!AW822</f>
        <v/>
      </c>
      <c r="I820" s="4" t="str">
        <f>'Form responses 1'!AS822</f>
        <v>Yes</v>
      </c>
      <c r="J820" s="4" t="str">
        <f>'Form responses 1'!J822</f>
        <v>Tier-3 ( AOV&lt;200 )</v>
      </c>
      <c r="K820" s="4">
        <f>'Form responses 1'!G822</f>
        <v>150</v>
      </c>
      <c r="L820" s="4">
        <f>'Form responses 1'!F822</f>
        <v>20</v>
      </c>
      <c r="M820" s="4" t="str">
        <f>'Form responses 1'!U822</f>
        <v>NA</v>
      </c>
      <c r="N820" s="4">
        <f>'Form responses 1'!V822</f>
        <v>0</v>
      </c>
      <c r="O820" s="4" t="str">
        <f>'Form responses 1'!W822</f>
        <v>Na</v>
      </c>
      <c r="P820" s="4" t="str">
        <f>'Form responses 1'!X822</f>
        <v/>
      </c>
      <c r="Q820" s="4" t="str">
        <f>'Form responses 1'!Y822</f>
        <v/>
      </c>
      <c r="R820" s="4" t="str">
        <f>'Form responses 1'!Z822</f>
        <v/>
      </c>
      <c r="S820" s="54" t="str">
        <f>'Form responses 1'!AC822</f>
        <v>https://drive.google.com/open?id=1dCLs2DtvSUrxj10Ah6RkKP8Fl1ZdDrwy</v>
      </c>
      <c r="T820" s="4" t="str">
        <f>'Form responses 1'!AE822</f>
        <v/>
      </c>
      <c r="U820" s="4" t="str">
        <f>'Form responses 1'!AG822</f>
        <v/>
      </c>
      <c r="V820" s="4" t="str">
        <f>'Form responses 1'!AI822</f>
        <v/>
      </c>
      <c r="W820" s="4" t="str">
        <f>'Form responses 1'!AJ822</f>
        <v/>
      </c>
      <c r="X820" s="4" t="str">
        <f>'Form responses 1'!AK822</f>
        <v/>
      </c>
      <c r="Y820" s="4">
        <f t="shared" ref="Y820:AD820" si="819">if(S820&gt;0,1,0)</f>
        <v>1</v>
      </c>
      <c r="Z820" s="4">
        <f t="shared" si="819"/>
        <v>0</v>
      </c>
      <c r="AA820" s="4">
        <f t="shared" si="819"/>
        <v>0</v>
      </c>
      <c r="AB820" s="4">
        <f t="shared" si="819"/>
        <v>0</v>
      </c>
      <c r="AC820" s="4">
        <f t="shared" si="819"/>
        <v>0</v>
      </c>
      <c r="AD820" s="4">
        <f t="shared" si="819"/>
        <v>0</v>
      </c>
      <c r="AE820" s="4" t="str">
        <f>'Form responses 1'!AN822</f>
        <v/>
      </c>
      <c r="AF820" s="4" t="str">
        <f>'Form responses 1'!AO1941</f>
        <v/>
      </c>
      <c r="AG820" s="4" t="str">
        <f>'Form responses 1'!AP1941</f>
        <v/>
      </c>
      <c r="AH820" s="4" t="str">
        <f>'Form responses 1'!AQ1941</f>
        <v/>
      </c>
      <c r="AI820" s="4" t="str">
        <f>'Form responses 1'!AR1941</f>
        <v/>
      </c>
    </row>
    <row r="821">
      <c r="A821" s="26">
        <f>'Form responses 1'!B823</f>
        <v>46076</v>
      </c>
      <c r="B821" s="4" t="str">
        <f>'Form responses 1'!AZ823</f>
        <v>anisha.poddar@capsdelivery.com</v>
      </c>
      <c r="C821" s="4" t="str">
        <f>'Form responses 1'!BR823</f>
        <v>Bheema Restaurant </v>
      </c>
      <c r="D821" s="4" t="str">
        <f>'Form responses 1'!AT823</f>
        <v>Need to follow up with the owner</v>
      </c>
      <c r="E821" s="4" t="str">
        <f>'Form responses 1'!AU823</f>
        <v>Yes</v>
      </c>
      <c r="F821" s="4" t="str">
        <f>'Form responses 1'!AX823</f>
        <v/>
      </c>
      <c r="G821" s="4" t="str">
        <f>'Form responses 1'!AY823</f>
        <v/>
      </c>
      <c r="H821" s="53" t="str">
        <f>'Form responses 1'!AW823</f>
        <v/>
      </c>
      <c r="I821" s="4" t="str">
        <f>'Form responses 1'!AS823</f>
        <v/>
      </c>
      <c r="J821" s="4" t="str">
        <f>'Form responses 1'!J823</f>
        <v/>
      </c>
      <c r="K821" s="4" t="str">
        <f>'Form responses 1'!G823</f>
        <v/>
      </c>
      <c r="L821" s="4" t="str">
        <f>'Form responses 1'!F823</f>
        <v/>
      </c>
      <c r="M821" s="4" t="str">
        <f>'Form responses 1'!U823</f>
        <v>Nagendra</v>
      </c>
      <c r="N821" s="4">
        <f>'Form responses 1'!V823</f>
        <v>999</v>
      </c>
      <c r="O821" s="4" t="str">
        <f>'Form responses 1'!W823</f>
        <v>Na</v>
      </c>
      <c r="P821" s="4" t="str">
        <f>'Form responses 1'!X823</f>
        <v/>
      </c>
      <c r="Q821" s="4" t="str">
        <f>'Form responses 1'!Y823</f>
        <v/>
      </c>
      <c r="R821" s="4" t="str">
        <f>'Form responses 1'!Z823</f>
        <v/>
      </c>
      <c r="S821" s="4" t="str">
        <f>'Form responses 1'!AC823</f>
        <v/>
      </c>
      <c r="T821" s="4" t="str">
        <f>'Form responses 1'!AE823</f>
        <v/>
      </c>
      <c r="U821" s="4" t="str">
        <f>'Form responses 1'!AG823</f>
        <v/>
      </c>
      <c r="V821" s="4" t="str">
        <f>'Form responses 1'!AI823</f>
        <v/>
      </c>
      <c r="W821" s="4" t="str">
        <f>'Form responses 1'!AJ823</f>
        <v/>
      </c>
      <c r="X821" s="4" t="str">
        <f>'Form responses 1'!AK823</f>
        <v/>
      </c>
      <c r="Y821" s="4">
        <f t="shared" ref="Y821:AD821" si="820">if(S821&gt;0,1,0)</f>
        <v>0</v>
      </c>
      <c r="Z821" s="4">
        <f t="shared" si="820"/>
        <v>0</v>
      </c>
      <c r="AA821" s="4">
        <f t="shared" si="820"/>
        <v>0</v>
      </c>
      <c r="AB821" s="4">
        <f t="shared" si="820"/>
        <v>0</v>
      </c>
      <c r="AC821" s="4">
        <f t="shared" si="820"/>
        <v>0</v>
      </c>
      <c r="AD821" s="4">
        <f t="shared" si="820"/>
        <v>0</v>
      </c>
      <c r="AE821" s="4" t="str">
        <f>'Form responses 1'!AN823</f>
        <v/>
      </c>
      <c r="AF821" s="4" t="str">
        <f>'Form responses 1'!AO1942</f>
        <v/>
      </c>
      <c r="AG821" s="4" t="str">
        <f>'Form responses 1'!AP1942</f>
        <v/>
      </c>
      <c r="AH821" s="4" t="str">
        <f>'Form responses 1'!AQ1942</f>
        <v/>
      </c>
      <c r="AI821" s="4" t="str">
        <f>'Form responses 1'!AR1942</f>
        <v/>
      </c>
    </row>
    <row r="822">
      <c r="A822" s="26">
        <f>'Form responses 1'!B824</f>
        <v>46076</v>
      </c>
      <c r="B822" s="4" t="str">
        <f>'Form responses 1'!AZ824</f>
        <v>anisha.poddar@capsdelivery.com</v>
      </c>
      <c r="C822" s="4" t="str">
        <f>'Form responses 1'!BR824</f>
        <v>Farasha restaurant </v>
      </c>
      <c r="D822" s="4" t="str">
        <f>'Form responses 1'!AT824</f>
        <v>Follow up with owner</v>
      </c>
      <c r="E822" s="4" t="str">
        <f>'Form responses 1'!AU824</f>
        <v>Yes</v>
      </c>
      <c r="F822" s="4" t="str">
        <f>'Form responses 1'!AX824</f>
        <v/>
      </c>
      <c r="G822" s="4" t="str">
        <f>'Form responses 1'!AY824</f>
        <v/>
      </c>
      <c r="H822" s="53" t="str">
        <f>'Form responses 1'!AW824</f>
        <v/>
      </c>
      <c r="I822" s="4" t="str">
        <f>'Form responses 1'!AS824</f>
        <v/>
      </c>
      <c r="J822" s="4" t="str">
        <f>'Form responses 1'!J824</f>
        <v/>
      </c>
      <c r="K822" s="4" t="str">
        <f>'Form responses 1'!G824</f>
        <v/>
      </c>
      <c r="L822" s="4" t="str">
        <f>'Form responses 1'!F824</f>
        <v/>
      </c>
      <c r="M822" s="4" t="str">
        <f>'Form responses 1'!U824</f>
        <v>Syed</v>
      </c>
      <c r="N822" s="4">
        <f>'Form responses 1'!V824</f>
        <v>8121825518</v>
      </c>
      <c r="O822" s="4" t="str">
        <f>'Form responses 1'!W824</f>
        <v>Na</v>
      </c>
      <c r="P822" s="4" t="str">
        <f>'Form responses 1'!X824</f>
        <v/>
      </c>
      <c r="Q822" s="4" t="str">
        <f>'Form responses 1'!Y824</f>
        <v/>
      </c>
      <c r="R822" s="4" t="str">
        <f>'Form responses 1'!Z824</f>
        <v/>
      </c>
      <c r="S822" s="4" t="str">
        <f>'Form responses 1'!AC824</f>
        <v/>
      </c>
      <c r="T822" s="4" t="str">
        <f>'Form responses 1'!AE824</f>
        <v/>
      </c>
      <c r="U822" s="4" t="str">
        <f>'Form responses 1'!AG824</f>
        <v/>
      </c>
      <c r="V822" s="4" t="str">
        <f>'Form responses 1'!AI824</f>
        <v/>
      </c>
      <c r="W822" s="4" t="str">
        <f>'Form responses 1'!AJ824</f>
        <v/>
      </c>
      <c r="X822" s="4" t="str">
        <f>'Form responses 1'!AK824</f>
        <v/>
      </c>
      <c r="Y822" s="4">
        <f t="shared" ref="Y822:AD822" si="821">if(S822&gt;0,1,0)</f>
        <v>0</v>
      </c>
      <c r="Z822" s="4">
        <f t="shared" si="821"/>
        <v>0</v>
      </c>
      <c r="AA822" s="4">
        <f t="shared" si="821"/>
        <v>0</v>
      </c>
      <c r="AB822" s="4">
        <f t="shared" si="821"/>
        <v>0</v>
      </c>
      <c r="AC822" s="4">
        <f t="shared" si="821"/>
        <v>0</v>
      </c>
      <c r="AD822" s="4">
        <f t="shared" si="821"/>
        <v>0</v>
      </c>
      <c r="AE822" s="4" t="str">
        <f>'Form responses 1'!AN824</f>
        <v/>
      </c>
      <c r="AF822" s="4" t="str">
        <f>'Form responses 1'!AO1943</f>
        <v/>
      </c>
      <c r="AG822" s="4" t="str">
        <f>'Form responses 1'!AP1943</f>
        <v/>
      </c>
      <c r="AH822" s="4" t="str">
        <f>'Form responses 1'!AQ1943</f>
        <v/>
      </c>
      <c r="AI822" s="4" t="str">
        <f>'Form responses 1'!AR1943</f>
        <v/>
      </c>
    </row>
    <row r="823">
      <c r="A823" s="26">
        <f>'Form responses 1'!B825</f>
        <v>46076</v>
      </c>
      <c r="B823" s="4" t="str">
        <f>'Form responses 1'!AZ825</f>
        <v>anisha.poddar@capsdelivery.com</v>
      </c>
      <c r="C823" s="4" t="str">
        <f>'Form responses 1'!BR825</f>
        <v>Arabian mandi</v>
      </c>
      <c r="D823" s="4" t="str">
        <f>'Form responses 1'!AT825</f>
        <v>Meeting with owner</v>
      </c>
      <c r="E823" s="4" t="str">
        <f>'Form responses 1'!AU825</f>
        <v>Yes</v>
      </c>
      <c r="F823" s="4" t="str">
        <f>'Form responses 1'!AX825</f>
        <v/>
      </c>
      <c r="G823" s="4" t="str">
        <f>'Form responses 1'!AY825</f>
        <v/>
      </c>
      <c r="H823" s="53" t="str">
        <f>'Form responses 1'!AW825</f>
        <v/>
      </c>
      <c r="I823" s="4" t="str">
        <f>'Form responses 1'!AS825</f>
        <v/>
      </c>
      <c r="J823" s="4" t="str">
        <f>'Form responses 1'!J825</f>
        <v/>
      </c>
      <c r="K823" s="4" t="str">
        <f>'Form responses 1'!G825</f>
        <v/>
      </c>
      <c r="L823" s="4" t="str">
        <f>'Form responses 1'!F825</f>
        <v/>
      </c>
      <c r="M823" s="4" t="str">
        <f>'Form responses 1'!U825</f>
        <v>Arman</v>
      </c>
      <c r="N823" s="4">
        <f>'Form responses 1'!V825</f>
        <v>9686943703</v>
      </c>
      <c r="O823" s="4" t="str">
        <f>'Form responses 1'!W825</f>
        <v>Na</v>
      </c>
      <c r="P823" s="4" t="str">
        <f>'Form responses 1'!X825</f>
        <v/>
      </c>
      <c r="Q823" s="4" t="str">
        <f>'Form responses 1'!Y825</f>
        <v/>
      </c>
      <c r="R823" s="4" t="str">
        <f>'Form responses 1'!Z825</f>
        <v/>
      </c>
      <c r="S823" s="4" t="str">
        <f>'Form responses 1'!AC825</f>
        <v/>
      </c>
      <c r="T823" s="4" t="str">
        <f>'Form responses 1'!AE825</f>
        <v/>
      </c>
      <c r="U823" s="4" t="str">
        <f>'Form responses 1'!AG825</f>
        <v/>
      </c>
      <c r="V823" s="4" t="str">
        <f>'Form responses 1'!AI825</f>
        <v/>
      </c>
      <c r="W823" s="4" t="str">
        <f>'Form responses 1'!AJ825</f>
        <v/>
      </c>
      <c r="X823" s="4" t="str">
        <f>'Form responses 1'!AK825</f>
        <v/>
      </c>
      <c r="Y823" s="4">
        <f t="shared" ref="Y823:AD823" si="822">if(S823&gt;0,1,0)</f>
        <v>0</v>
      </c>
      <c r="Z823" s="4">
        <f t="shared" si="822"/>
        <v>0</v>
      </c>
      <c r="AA823" s="4">
        <f t="shared" si="822"/>
        <v>0</v>
      </c>
      <c r="AB823" s="4">
        <f t="shared" si="822"/>
        <v>0</v>
      </c>
      <c r="AC823" s="4">
        <f t="shared" si="822"/>
        <v>0</v>
      </c>
      <c r="AD823" s="4">
        <f t="shared" si="822"/>
        <v>0</v>
      </c>
      <c r="AE823" s="4" t="str">
        <f>'Form responses 1'!AN825</f>
        <v/>
      </c>
      <c r="AF823" s="4" t="str">
        <f>'Form responses 1'!AO1944</f>
        <v/>
      </c>
      <c r="AG823" s="4" t="str">
        <f>'Form responses 1'!AP1944</f>
        <v/>
      </c>
      <c r="AH823" s="4" t="str">
        <f>'Form responses 1'!AQ1944</f>
        <v/>
      </c>
      <c r="AI823" s="4" t="str">
        <f>'Form responses 1'!AR1944</f>
        <v/>
      </c>
    </row>
    <row r="824">
      <c r="A824" s="26">
        <f>'Form responses 1'!B826</f>
        <v>46076</v>
      </c>
      <c r="B824" s="4" t="str">
        <f>'Form responses 1'!AZ826</f>
        <v>parthive.maganti@capsdelivery.com</v>
      </c>
      <c r="C824" s="4" t="str">
        <f>'Form responses 1'!BR826</f>
        <v>Bakely cafe</v>
      </c>
      <c r="D824" s="4" t="str">
        <f>'Form responses 1'!AT826</f>
        <v>Na</v>
      </c>
      <c r="E824" s="4" t="str">
        <f>'Form responses 1'!AU826</f>
        <v>No</v>
      </c>
      <c r="F824" s="4" t="str">
        <f>'Form responses 1'!AX826</f>
        <v/>
      </c>
      <c r="G824" s="4" t="str">
        <f>'Form responses 1'!AY826</f>
        <v/>
      </c>
      <c r="H824" s="53" t="str">
        <f>'Form responses 1'!AW826</f>
        <v/>
      </c>
      <c r="I824" s="4" t="str">
        <f>'Form responses 1'!AS826</f>
        <v>Yes</v>
      </c>
      <c r="J824" s="4" t="str">
        <f>'Form responses 1'!J826</f>
        <v>Tier-2 (AOV &lt;400)</v>
      </c>
      <c r="K824" s="4">
        <f>'Form responses 1'!G826</f>
        <v>350</v>
      </c>
      <c r="L824" s="4">
        <f>'Form responses 1'!F826</f>
        <v>10</v>
      </c>
      <c r="M824" s="4" t="str">
        <f>'Form responses 1'!U826</f>
        <v>Sumanth</v>
      </c>
      <c r="N824" s="4" t="str">
        <f>'Form responses 1'!V826</f>
        <v>9394 141282</v>
      </c>
      <c r="O824" s="4" t="str">
        <f>'Form responses 1'!W826</f>
        <v>Na</v>
      </c>
      <c r="P824" s="4" t="str">
        <f>'Form responses 1'!X826</f>
        <v/>
      </c>
      <c r="Q824" s="4" t="str">
        <f>'Form responses 1'!Y826</f>
        <v/>
      </c>
      <c r="R824" s="4" t="str">
        <f>'Form responses 1'!Z826</f>
        <v/>
      </c>
      <c r="S824" s="54" t="str">
        <f>'Form responses 1'!AC826</f>
        <v>https://drive.google.com/open?id=1HJGX_svu90CwIK68w9IGPfdhDRpFWrqH</v>
      </c>
      <c r="T824" s="54" t="str">
        <f>'Form responses 1'!AE826</f>
        <v>https://drive.google.com/open?id=187v22aA0xNfGlmPAZh9n_16ShklAhoDj</v>
      </c>
      <c r="U824" s="54" t="str">
        <f>'Form responses 1'!AG826</f>
        <v>https://drive.google.com/open?id=1wjDPbjKlLQoYE8u69vV_LFQ71g-3bjbM</v>
      </c>
      <c r="V824" s="4" t="str">
        <f>'Form responses 1'!AI826</f>
        <v/>
      </c>
      <c r="W824" s="4" t="str">
        <f>'Form responses 1'!AJ826</f>
        <v/>
      </c>
      <c r="X824" s="54" t="str">
        <f>'Form responses 1'!AK826</f>
        <v>https://drive.google.com/open?id=1iFWqFpvXzhdgWHC7QJbB04xfKRRCZ6XI</v>
      </c>
      <c r="Y824" s="4">
        <f t="shared" ref="Y824:AD824" si="823">if(S824&gt;0,1,0)</f>
        <v>1</v>
      </c>
      <c r="Z824" s="4">
        <f t="shared" si="823"/>
        <v>1</v>
      </c>
      <c r="AA824" s="4">
        <f t="shared" si="823"/>
        <v>1</v>
      </c>
      <c r="AB824" s="4">
        <f t="shared" si="823"/>
        <v>0</v>
      </c>
      <c r="AC824" s="4">
        <f t="shared" si="823"/>
        <v>0</v>
      </c>
      <c r="AD824" s="4">
        <f t="shared" si="823"/>
        <v>1</v>
      </c>
      <c r="AE824" s="4" t="str">
        <f>'Form responses 1'!AN826</f>
        <v>The bakely</v>
      </c>
      <c r="AF824" s="4" t="str">
        <f>'Form responses 1'!AO1945</f>
        <v/>
      </c>
      <c r="AG824" s="4" t="str">
        <f>'Form responses 1'!AP1945</f>
        <v/>
      </c>
      <c r="AH824" s="4" t="str">
        <f>'Form responses 1'!AQ1945</f>
        <v/>
      </c>
      <c r="AI824" s="4" t="str">
        <f>'Form responses 1'!AR1945</f>
        <v/>
      </c>
    </row>
    <row r="825">
      <c r="A825" s="26">
        <f>'Form responses 1'!B827</f>
        <v>46076</v>
      </c>
      <c r="B825" s="4" t="str">
        <f>'Form responses 1'!AZ827</f>
        <v>parthive.maganti@capsdelivery.com</v>
      </c>
      <c r="C825" s="4" t="str">
        <f>'Form responses 1'!BR827</f>
        <v>The Bakely bakersThe bakely</v>
      </c>
      <c r="D825" s="4" t="str">
        <f>'Form responses 1'!AT827</f>
        <v>Na</v>
      </c>
      <c r="E825" s="4" t="str">
        <f>'Form responses 1'!AU827</f>
        <v>No</v>
      </c>
      <c r="F825" s="4" t="str">
        <f>'Form responses 1'!AX827</f>
        <v/>
      </c>
      <c r="G825" s="4" t="str">
        <f>'Form responses 1'!AY827</f>
        <v/>
      </c>
      <c r="H825" s="53" t="str">
        <f>'Form responses 1'!AW827</f>
        <v/>
      </c>
      <c r="I825" s="4" t="str">
        <f>'Form responses 1'!AS827</f>
        <v>Yes</v>
      </c>
      <c r="J825" s="4" t="str">
        <f>'Form responses 1'!J827</f>
        <v/>
      </c>
      <c r="K825" s="4" t="str">
        <f>'Form responses 1'!G827</f>
        <v/>
      </c>
      <c r="L825" s="4" t="str">
        <f>'Form responses 1'!F827</f>
        <v/>
      </c>
      <c r="M825" s="4" t="str">
        <f>'Form responses 1'!U827</f>
        <v>SUMANTH </v>
      </c>
      <c r="N825" s="4">
        <f>'Form responses 1'!V827</f>
        <v>9394141282</v>
      </c>
      <c r="O825" s="4" t="str">
        <f>'Form responses 1'!W827</f>
        <v>Na</v>
      </c>
      <c r="P825" s="4" t="str">
        <f>'Form responses 1'!X827</f>
        <v/>
      </c>
      <c r="Q825" s="4" t="str">
        <f>'Form responses 1'!Y827</f>
        <v/>
      </c>
      <c r="R825" s="4" t="str">
        <f>'Form responses 1'!Z827</f>
        <v/>
      </c>
      <c r="S825" s="54" t="str">
        <f>'Form responses 1'!AC827</f>
        <v>https://drive.google.com/open?id=18F5QkGfb2iE-oL-r98unRi2bzST-d0TS</v>
      </c>
      <c r="T825" s="54" t="str">
        <f>'Form responses 1'!AE827</f>
        <v>https://drive.google.com/open?id=1pOv4Zdu0lqow7rXLOJueAjWaFCeReO13</v>
      </c>
      <c r="U825" s="54" t="str">
        <f>'Form responses 1'!AG827</f>
        <v>https://drive.google.com/open?id=1ux7aC5lwsqUjooJ1TI0c3bkstcoRDbjy</v>
      </c>
      <c r="V825" s="4" t="str">
        <f>'Form responses 1'!AI827</f>
        <v/>
      </c>
      <c r="W825" s="4" t="str">
        <f>'Form responses 1'!AJ827</f>
        <v/>
      </c>
      <c r="X825" s="54" t="str">
        <f>'Form responses 1'!AK827</f>
        <v>https://drive.google.com/open?id=1YveRWqKuQSveB578ZRwwNhhBR7WmMX_t</v>
      </c>
      <c r="Y825" s="4">
        <f t="shared" ref="Y825:AD825" si="824">if(S825&gt;0,1,0)</f>
        <v>1</v>
      </c>
      <c r="Z825" s="4">
        <f t="shared" si="824"/>
        <v>1</v>
      </c>
      <c r="AA825" s="4">
        <f t="shared" si="824"/>
        <v>1</v>
      </c>
      <c r="AB825" s="4">
        <f t="shared" si="824"/>
        <v>0</v>
      </c>
      <c r="AC825" s="4">
        <f t="shared" si="824"/>
        <v>0</v>
      </c>
      <c r="AD825" s="4">
        <f t="shared" si="824"/>
        <v>1</v>
      </c>
      <c r="AE825" s="4" t="str">
        <f>'Form responses 1'!AN827</f>
        <v>The bakely</v>
      </c>
      <c r="AF825" s="4" t="str">
        <f>'Form responses 1'!AO1946</f>
        <v/>
      </c>
      <c r="AG825" s="4" t="str">
        <f>'Form responses 1'!AP1946</f>
        <v/>
      </c>
      <c r="AH825" s="4" t="str">
        <f>'Form responses 1'!AQ1946</f>
        <v/>
      </c>
      <c r="AI825" s="4" t="str">
        <f>'Form responses 1'!AR1946</f>
        <v/>
      </c>
    </row>
    <row r="826">
      <c r="A826" s="26">
        <f>'Form responses 1'!B828</f>
        <v>46076</v>
      </c>
      <c r="B826" s="4" t="str">
        <f>'Form responses 1'!AZ828</f>
        <v>anisha.poddar@capsdelivery.com</v>
      </c>
      <c r="C826" s="4" t="str">
        <f>'Form responses 1'!BR828</f>
        <v>Aura telegu kitchen</v>
      </c>
      <c r="D826" s="4" t="str">
        <f>'Form responses 1'!AT828</f>
        <v>Need to follow up</v>
      </c>
      <c r="E826" s="4" t="str">
        <f>'Form responses 1'!AU828</f>
        <v>Yes</v>
      </c>
      <c r="F826" s="4" t="str">
        <f>'Form responses 1'!AX828</f>
        <v/>
      </c>
      <c r="G826" s="4" t="str">
        <f>'Form responses 1'!AY828</f>
        <v/>
      </c>
      <c r="H826" s="53" t="str">
        <f>'Form responses 1'!AW828</f>
        <v/>
      </c>
      <c r="I826" s="4" t="str">
        <f>'Form responses 1'!AS828</f>
        <v/>
      </c>
      <c r="J826" s="4" t="str">
        <f>'Form responses 1'!J828</f>
        <v>Tier-2 (AOV &lt;400)</v>
      </c>
      <c r="K826" s="4">
        <f>'Form responses 1'!G828</f>
        <v>250</v>
      </c>
      <c r="L826" s="4">
        <f>'Form responses 1'!F828</f>
        <v>100</v>
      </c>
      <c r="M826" s="4" t="str">
        <f>'Form responses 1'!U828</f>
        <v>Srinivas </v>
      </c>
      <c r="N826" s="4" t="str">
        <f>'Form responses 1'!V828</f>
        <v>00000</v>
      </c>
      <c r="O826" s="4" t="str">
        <f>'Form responses 1'!W828</f>
        <v>Na</v>
      </c>
      <c r="P826" s="4" t="str">
        <f>'Form responses 1'!X828</f>
        <v/>
      </c>
      <c r="Q826" s="4" t="str">
        <f>'Form responses 1'!Y828</f>
        <v/>
      </c>
      <c r="R826" s="4" t="str">
        <f>'Form responses 1'!Z828</f>
        <v/>
      </c>
      <c r="S826" s="4" t="str">
        <f>'Form responses 1'!AC828</f>
        <v/>
      </c>
      <c r="T826" s="4" t="str">
        <f>'Form responses 1'!AE828</f>
        <v/>
      </c>
      <c r="U826" s="4" t="str">
        <f>'Form responses 1'!AG828</f>
        <v/>
      </c>
      <c r="V826" s="4" t="str">
        <f>'Form responses 1'!AI828</f>
        <v/>
      </c>
      <c r="W826" s="4" t="str">
        <f>'Form responses 1'!AJ828</f>
        <v/>
      </c>
      <c r="X826" s="4" t="str">
        <f>'Form responses 1'!AK828</f>
        <v/>
      </c>
      <c r="Y826" s="4">
        <f t="shared" ref="Y826:AD826" si="825">if(S826&gt;0,1,0)</f>
        <v>0</v>
      </c>
      <c r="Z826" s="4">
        <f t="shared" si="825"/>
        <v>0</v>
      </c>
      <c r="AA826" s="4">
        <f t="shared" si="825"/>
        <v>0</v>
      </c>
      <c r="AB826" s="4">
        <f t="shared" si="825"/>
        <v>0</v>
      </c>
      <c r="AC826" s="4">
        <f t="shared" si="825"/>
        <v>0</v>
      </c>
      <c r="AD826" s="4">
        <f t="shared" si="825"/>
        <v>0</v>
      </c>
      <c r="AE826" s="4" t="str">
        <f>'Form responses 1'!AN828</f>
        <v/>
      </c>
      <c r="AF826" s="4" t="str">
        <f>'Form responses 1'!AO1947</f>
        <v/>
      </c>
      <c r="AG826" s="4" t="str">
        <f>'Form responses 1'!AP1947</f>
        <v/>
      </c>
      <c r="AH826" s="4" t="str">
        <f>'Form responses 1'!AQ1947</f>
        <v/>
      </c>
      <c r="AI826" s="4" t="str">
        <f>'Form responses 1'!AR1947</f>
        <v/>
      </c>
    </row>
    <row r="827">
      <c r="A827" s="26">
        <f>'Form responses 1'!B829</f>
        <v>46076</v>
      </c>
      <c r="B827" s="4" t="str">
        <f>'Form responses 1'!AZ829</f>
        <v>anisha.poddar@capsdelivery.com</v>
      </c>
      <c r="C827" s="4" t="str">
        <f>'Form responses 1'!BR829</f>
        <v>Chinese Chinese kitchen </v>
      </c>
      <c r="D827" s="4" t="str">
        <f>'Form responses 1'!AT829</f>
        <v>Need to follow up with the owner for onboarding</v>
      </c>
      <c r="E827" s="4" t="str">
        <f>'Form responses 1'!AU829</f>
        <v>Yes</v>
      </c>
      <c r="F827" s="4" t="str">
        <f>'Form responses 1'!AX829</f>
        <v/>
      </c>
      <c r="G827" s="4" t="str">
        <f>'Form responses 1'!AY829</f>
        <v/>
      </c>
      <c r="H827" s="53" t="str">
        <f>'Form responses 1'!AW829</f>
        <v/>
      </c>
      <c r="I827" s="4" t="str">
        <f>'Form responses 1'!AS829</f>
        <v/>
      </c>
      <c r="J827" s="4" t="str">
        <f>'Form responses 1'!J829</f>
        <v>Tier-1(AOV&gt;400)</v>
      </c>
      <c r="K827" s="4">
        <f>'Form responses 1'!G829</f>
        <v>400</v>
      </c>
      <c r="L827" s="4">
        <f>'Form responses 1'!F829</f>
        <v>46</v>
      </c>
      <c r="M827" s="4" t="str">
        <f>'Form responses 1'!U829</f>
        <v>Dharma</v>
      </c>
      <c r="N827" s="4">
        <f>'Form responses 1'!V829</f>
        <v>9833858958</v>
      </c>
      <c r="O827" s="4" t="str">
        <f>'Form responses 1'!W829</f>
        <v>Na </v>
      </c>
      <c r="P827" s="4" t="str">
        <f>'Form responses 1'!X829</f>
        <v/>
      </c>
      <c r="Q827" s="4" t="str">
        <f>'Form responses 1'!Y829</f>
        <v/>
      </c>
      <c r="R827" s="4" t="str">
        <f>'Form responses 1'!Z829</f>
        <v/>
      </c>
      <c r="S827" s="4" t="str">
        <f>'Form responses 1'!AC829</f>
        <v/>
      </c>
      <c r="T827" s="4" t="str">
        <f>'Form responses 1'!AE829</f>
        <v/>
      </c>
      <c r="U827" s="4" t="str">
        <f>'Form responses 1'!AG829</f>
        <v/>
      </c>
      <c r="V827" s="4" t="str">
        <f>'Form responses 1'!AI829</f>
        <v/>
      </c>
      <c r="W827" s="4" t="str">
        <f>'Form responses 1'!AJ829</f>
        <v/>
      </c>
      <c r="X827" s="4" t="str">
        <f>'Form responses 1'!AK829</f>
        <v/>
      </c>
      <c r="Y827" s="4">
        <f t="shared" ref="Y827:AD827" si="826">if(S827&gt;0,1,0)</f>
        <v>0</v>
      </c>
      <c r="Z827" s="4">
        <f t="shared" si="826"/>
        <v>0</v>
      </c>
      <c r="AA827" s="4">
        <f t="shared" si="826"/>
        <v>0</v>
      </c>
      <c r="AB827" s="4">
        <f t="shared" si="826"/>
        <v>0</v>
      </c>
      <c r="AC827" s="4">
        <f t="shared" si="826"/>
        <v>0</v>
      </c>
      <c r="AD827" s="4">
        <f t="shared" si="826"/>
        <v>0</v>
      </c>
      <c r="AE827" s="4" t="str">
        <f>'Form responses 1'!AN829</f>
        <v/>
      </c>
      <c r="AF827" s="4" t="str">
        <f>'Form responses 1'!AO1948</f>
        <v/>
      </c>
      <c r="AG827" s="4" t="str">
        <f>'Form responses 1'!AP1948</f>
        <v/>
      </c>
      <c r="AH827" s="4" t="str">
        <f>'Form responses 1'!AQ1948</f>
        <v/>
      </c>
      <c r="AI827" s="4" t="str">
        <f>'Form responses 1'!AR1948</f>
        <v/>
      </c>
    </row>
    <row r="828">
      <c r="A828" s="26">
        <f>'Form responses 1'!B830</f>
        <v>46076</v>
      </c>
      <c r="B828" s="4" t="str">
        <f>'Form responses 1'!AZ830</f>
        <v>anisha.poddar@capsdelivery.com</v>
      </c>
      <c r="C828" s="4" t="str">
        <f>'Form responses 1'!BR830</f>
        <v>Biriyani &amp; bagara</v>
      </c>
      <c r="D828" s="4" t="str">
        <f>'Form responses 1'!AT830</f>
        <v>Need to follow up with the owner</v>
      </c>
      <c r="E828" s="4" t="str">
        <f>'Form responses 1'!AU830</f>
        <v>Yes</v>
      </c>
      <c r="F828" s="4" t="str">
        <f>'Form responses 1'!AX830</f>
        <v/>
      </c>
      <c r="G828" s="4" t="str">
        <f>'Form responses 1'!AY830</f>
        <v/>
      </c>
      <c r="H828" s="53" t="str">
        <f>'Form responses 1'!AW830</f>
        <v/>
      </c>
      <c r="I828" s="4" t="str">
        <f>'Form responses 1'!AS830</f>
        <v/>
      </c>
      <c r="J828" s="4" t="str">
        <f>'Form responses 1'!J830</f>
        <v/>
      </c>
      <c r="K828" s="4" t="str">
        <f>'Form responses 1'!G830</f>
        <v/>
      </c>
      <c r="L828" s="4" t="str">
        <f>'Form responses 1'!F830</f>
        <v/>
      </c>
      <c r="M828" s="4" t="str">
        <f>'Form responses 1'!U830</f>
        <v>Harika</v>
      </c>
      <c r="N828" s="4">
        <f>'Form responses 1'!V830</f>
        <v>7993021641</v>
      </c>
      <c r="O828" s="4" t="str">
        <f>'Form responses 1'!W830</f>
        <v>Na</v>
      </c>
      <c r="P828" s="4" t="str">
        <f>'Form responses 1'!X830</f>
        <v/>
      </c>
      <c r="Q828" s="4" t="str">
        <f>'Form responses 1'!Y830</f>
        <v/>
      </c>
      <c r="R828" s="4" t="str">
        <f>'Form responses 1'!Z830</f>
        <v/>
      </c>
      <c r="S828" s="4" t="str">
        <f>'Form responses 1'!AC830</f>
        <v/>
      </c>
      <c r="T828" s="4" t="str">
        <f>'Form responses 1'!AE830</f>
        <v/>
      </c>
      <c r="U828" s="4" t="str">
        <f>'Form responses 1'!AG830</f>
        <v/>
      </c>
      <c r="V828" s="4" t="str">
        <f>'Form responses 1'!AI830</f>
        <v/>
      </c>
      <c r="W828" s="4" t="str">
        <f>'Form responses 1'!AJ830</f>
        <v/>
      </c>
      <c r="X828" s="4" t="str">
        <f>'Form responses 1'!AK830</f>
        <v/>
      </c>
      <c r="Y828" s="4">
        <f t="shared" ref="Y828:AD828" si="827">if(S828&gt;0,1,0)</f>
        <v>0</v>
      </c>
      <c r="Z828" s="4">
        <f t="shared" si="827"/>
        <v>0</v>
      </c>
      <c r="AA828" s="4">
        <f t="shared" si="827"/>
        <v>0</v>
      </c>
      <c r="AB828" s="4">
        <f t="shared" si="827"/>
        <v>0</v>
      </c>
      <c r="AC828" s="4">
        <f t="shared" si="827"/>
        <v>0</v>
      </c>
      <c r="AD828" s="4">
        <f t="shared" si="827"/>
        <v>0</v>
      </c>
      <c r="AE828" s="4" t="str">
        <f>'Form responses 1'!AN830</f>
        <v/>
      </c>
      <c r="AF828" s="4" t="str">
        <f>'Form responses 1'!AO1949</f>
        <v/>
      </c>
      <c r="AG828" s="4" t="str">
        <f>'Form responses 1'!AP1949</f>
        <v/>
      </c>
      <c r="AH828" s="4" t="str">
        <f>'Form responses 1'!AQ1949</f>
        <v/>
      </c>
      <c r="AI828" s="4" t="str">
        <f>'Form responses 1'!AR1949</f>
        <v/>
      </c>
    </row>
    <row r="829">
      <c r="A829" s="26">
        <f>'Form responses 1'!B831</f>
        <v>46076</v>
      </c>
      <c r="B829" s="4" t="str">
        <f>'Form responses 1'!AZ831</f>
        <v>anisha.poddar@capsdelivery.com</v>
      </c>
      <c r="C829" s="4" t="str">
        <f>'Form responses 1'!BR831</f>
        <v>Sri Mama"s kitchen</v>
      </c>
      <c r="D829" s="4" t="str">
        <f>'Form responses 1'!AT831</f>
        <v>Need to follow up on Next monday</v>
      </c>
      <c r="E829" s="4" t="str">
        <f>'Form responses 1'!AU831</f>
        <v>Yes</v>
      </c>
      <c r="F829" s="4" t="str">
        <f>'Form responses 1'!AX831</f>
        <v/>
      </c>
      <c r="G829" s="4" t="str">
        <f>'Form responses 1'!AY831</f>
        <v/>
      </c>
      <c r="H829" s="53" t="str">
        <f>'Form responses 1'!AW831</f>
        <v/>
      </c>
      <c r="I829" s="4" t="str">
        <f>'Form responses 1'!AS831</f>
        <v/>
      </c>
      <c r="J829" s="4" t="str">
        <f>'Form responses 1'!J831</f>
        <v>Tier-2 (AOV &lt;400)</v>
      </c>
      <c r="K829" s="4">
        <f>'Form responses 1'!G831</f>
        <v>250</v>
      </c>
      <c r="L829" s="4">
        <f>'Form responses 1'!F831</f>
        <v>42</v>
      </c>
      <c r="M829" s="4" t="str">
        <f>'Form responses 1'!U831</f>
        <v>Ankaiya</v>
      </c>
      <c r="N829" s="4" t="str">
        <f>'Form responses 1'!V831</f>
        <v>0000</v>
      </c>
      <c r="O829" s="4" t="str">
        <f>'Form responses 1'!W831</f>
        <v>ankaiah85@gmail.com</v>
      </c>
      <c r="P829" s="4" t="str">
        <f>'Form responses 1'!X831</f>
        <v/>
      </c>
      <c r="Q829" s="4" t="str">
        <f>'Form responses 1'!Y831</f>
        <v/>
      </c>
      <c r="R829" s="4" t="str">
        <f>'Form responses 1'!Z831</f>
        <v/>
      </c>
      <c r="S829" s="4" t="str">
        <f>'Form responses 1'!AC831</f>
        <v/>
      </c>
      <c r="T829" s="4" t="str">
        <f>'Form responses 1'!AE831</f>
        <v/>
      </c>
      <c r="U829" s="4" t="str">
        <f>'Form responses 1'!AG831</f>
        <v/>
      </c>
      <c r="V829" s="4" t="str">
        <f>'Form responses 1'!AI831</f>
        <v/>
      </c>
      <c r="W829" s="4" t="str">
        <f>'Form responses 1'!AJ831</f>
        <v/>
      </c>
      <c r="X829" s="4" t="str">
        <f>'Form responses 1'!AK831</f>
        <v/>
      </c>
      <c r="Y829" s="4">
        <f t="shared" ref="Y829:AD829" si="828">if(S829&gt;0,1,0)</f>
        <v>0</v>
      </c>
      <c r="Z829" s="4">
        <f t="shared" si="828"/>
        <v>0</v>
      </c>
      <c r="AA829" s="4">
        <f t="shared" si="828"/>
        <v>0</v>
      </c>
      <c r="AB829" s="4">
        <f t="shared" si="828"/>
        <v>0</v>
      </c>
      <c r="AC829" s="4">
        <f t="shared" si="828"/>
        <v>0</v>
      </c>
      <c r="AD829" s="4">
        <f t="shared" si="828"/>
        <v>0</v>
      </c>
      <c r="AE829" s="4" t="str">
        <f>'Form responses 1'!AN831</f>
        <v/>
      </c>
      <c r="AF829" s="4" t="str">
        <f>'Form responses 1'!AO1950</f>
        <v/>
      </c>
      <c r="AG829" s="4" t="str">
        <f>'Form responses 1'!AP1950</f>
        <v/>
      </c>
      <c r="AH829" s="4" t="str">
        <f>'Form responses 1'!AQ1950</f>
        <v/>
      </c>
      <c r="AI829" s="4" t="str">
        <f>'Form responses 1'!AR1950</f>
        <v/>
      </c>
    </row>
    <row r="830">
      <c r="A830" s="26">
        <f>'Form responses 1'!B832</f>
        <v>46076</v>
      </c>
      <c r="B830" s="4" t="str">
        <f>'Form responses 1'!AZ832</f>
        <v>anisha.poddar@capsdelivery.com</v>
      </c>
      <c r="C830" s="4" t="str">
        <f>'Form responses 1'!BR832</f>
        <v>Alfa MadrEat</v>
      </c>
      <c r="D830" s="4" t="str">
        <f>'Form responses 1'!AT832</f>
        <v>Need to follow up with the owner</v>
      </c>
      <c r="E830" s="4" t="str">
        <f>'Form responses 1'!AU832</f>
        <v>Yes</v>
      </c>
      <c r="F830" s="4" t="str">
        <f>'Form responses 1'!AX832</f>
        <v/>
      </c>
      <c r="G830" s="4" t="str">
        <f>'Form responses 1'!AY832</f>
        <v/>
      </c>
      <c r="H830" s="53" t="str">
        <f>'Form responses 1'!AW832</f>
        <v/>
      </c>
      <c r="I830" s="4" t="str">
        <f>'Form responses 1'!AS832</f>
        <v/>
      </c>
      <c r="J830" s="4" t="str">
        <f>'Form responses 1'!J832</f>
        <v/>
      </c>
      <c r="K830" s="4" t="str">
        <f>'Form responses 1'!G832</f>
        <v/>
      </c>
      <c r="L830" s="4" t="str">
        <f>'Form responses 1'!F832</f>
        <v/>
      </c>
      <c r="M830" s="4" t="str">
        <f>'Form responses 1'!U832</f>
        <v>Irfan</v>
      </c>
      <c r="N830" s="4">
        <f>'Form responses 1'!V832</f>
        <v>6301481281</v>
      </c>
      <c r="O830" s="54" t="str">
        <f>'Form responses 1'!W832</f>
        <v>www.alfamadreat.com</v>
      </c>
      <c r="P830" s="4" t="str">
        <f>'Form responses 1'!X832</f>
        <v/>
      </c>
      <c r="Q830" s="4" t="str">
        <f>'Form responses 1'!Y832</f>
        <v/>
      </c>
      <c r="R830" s="4" t="str">
        <f>'Form responses 1'!Z832</f>
        <v/>
      </c>
      <c r="S830" s="4" t="str">
        <f>'Form responses 1'!AC832</f>
        <v/>
      </c>
      <c r="T830" s="4" t="str">
        <f>'Form responses 1'!AE832</f>
        <v/>
      </c>
      <c r="U830" s="4" t="str">
        <f>'Form responses 1'!AG832</f>
        <v/>
      </c>
      <c r="V830" s="4" t="str">
        <f>'Form responses 1'!AI832</f>
        <v/>
      </c>
      <c r="W830" s="4" t="str">
        <f>'Form responses 1'!AJ832</f>
        <v/>
      </c>
      <c r="X830" s="4" t="str">
        <f>'Form responses 1'!AK832</f>
        <v/>
      </c>
      <c r="Y830" s="4">
        <f t="shared" ref="Y830:AD830" si="829">if(S830&gt;0,1,0)</f>
        <v>0</v>
      </c>
      <c r="Z830" s="4">
        <f t="shared" si="829"/>
        <v>0</v>
      </c>
      <c r="AA830" s="4">
        <f t="shared" si="829"/>
        <v>0</v>
      </c>
      <c r="AB830" s="4">
        <f t="shared" si="829"/>
        <v>0</v>
      </c>
      <c r="AC830" s="4">
        <f t="shared" si="829"/>
        <v>0</v>
      </c>
      <c r="AD830" s="4">
        <f t="shared" si="829"/>
        <v>0</v>
      </c>
      <c r="AE830" s="4" t="str">
        <f>'Form responses 1'!AN832</f>
        <v/>
      </c>
      <c r="AF830" s="4" t="str">
        <f>'Form responses 1'!AO1951</f>
        <v/>
      </c>
      <c r="AG830" s="4" t="str">
        <f>'Form responses 1'!AP1951</f>
        <v/>
      </c>
      <c r="AH830" s="4" t="str">
        <f>'Form responses 1'!AQ1951</f>
        <v/>
      </c>
      <c r="AI830" s="4" t="str">
        <f>'Form responses 1'!AR1951</f>
        <v/>
      </c>
    </row>
    <row r="831">
      <c r="A831" s="26">
        <f>'Form responses 1'!B833</f>
        <v>46076</v>
      </c>
      <c r="B831" s="4" t="str">
        <f>'Form responses 1'!AZ833</f>
        <v>parthive.maganti@capsdelivery.com</v>
      </c>
      <c r="C831" s="4" t="str">
        <f>'Form responses 1'!BR833</f>
        <v>Dostan Meals &amp; snacks</v>
      </c>
      <c r="D831" s="4" t="str">
        <f>'Form responses 1'!AT833</f>
        <v>Na</v>
      </c>
      <c r="E831" s="4" t="str">
        <f>'Form responses 1'!AU833</f>
        <v>No</v>
      </c>
      <c r="F831" s="4" t="str">
        <f>'Form responses 1'!AX833</f>
        <v/>
      </c>
      <c r="G831" s="4" t="str">
        <f>'Form responses 1'!AY833</f>
        <v/>
      </c>
      <c r="H831" s="53" t="str">
        <f>'Form responses 1'!AW833</f>
        <v/>
      </c>
      <c r="I831" s="4" t="str">
        <f>'Form responses 1'!AS833</f>
        <v>Yes</v>
      </c>
      <c r="J831" s="4" t="str">
        <f>'Form responses 1'!J833</f>
        <v>Tier-2 (AOV &lt;400)</v>
      </c>
      <c r="K831" s="4">
        <f>'Form responses 1'!G833</f>
        <v>300</v>
      </c>
      <c r="L831" s="4">
        <f>'Form responses 1'!F833</f>
        <v>100</v>
      </c>
      <c r="M831" s="4" t="str">
        <f>'Form responses 1'!U833</f>
        <v>Anil kumar</v>
      </c>
      <c r="N831" s="4">
        <f>'Form responses 1'!V833</f>
        <v>7032209668</v>
      </c>
      <c r="O831" s="4" t="str">
        <f>'Form responses 1'!W833</f>
        <v>Na</v>
      </c>
      <c r="P831" s="4" t="str">
        <f>'Form responses 1'!X833</f>
        <v/>
      </c>
      <c r="Q831" s="4" t="str">
        <f>'Form responses 1'!Y833</f>
        <v/>
      </c>
      <c r="R831" s="4" t="str">
        <f>'Form responses 1'!Z833</f>
        <v/>
      </c>
      <c r="S831" s="54" t="str">
        <f>'Form responses 1'!AC833</f>
        <v>https://drive.google.com/open?id=1a_4H2_9CknTE0d_ON89ybjkve64jWQor</v>
      </c>
      <c r="T831" s="4" t="str">
        <f>'Form responses 1'!AE833</f>
        <v/>
      </c>
      <c r="U831" s="54" t="str">
        <f>'Form responses 1'!AG833</f>
        <v>https://drive.google.com/open?id=1IcLcoA65m0XFP3qZjF2SsWwBsqCQdqsm</v>
      </c>
      <c r="V831" s="4" t="str">
        <f>'Form responses 1'!AI833</f>
        <v/>
      </c>
      <c r="W831" s="4" t="str">
        <f>'Form responses 1'!AJ833</f>
        <v/>
      </c>
      <c r="X831" s="54" t="str">
        <f>'Form responses 1'!AK833</f>
        <v>https://drive.google.com/open?id=1TQ8Yzk_vYM49ejCMETCOPr4RFK0U5R2D</v>
      </c>
      <c r="Y831" s="4">
        <f t="shared" ref="Y831:AD831" si="830">if(S831&gt;0,1,0)</f>
        <v>1</v>
      </c>
      <c r="Z831" s="4">
        <f t="shared" si="830"/>
        <v>0</v>
      </c>
      <c r="AA831" s="4">
        <f t="shared" si="830"/>
        <v>1</v>
      </c>
      <c r="AB831" s="4">
        <f t="shared" si="830"/>
        <v>0</v>
      </c>
      <c r="AC831" s="4">
        <f t="shared" si="830"/>
        <v>0</v>
      </c>
      <c r="AD831" s="4">
        <f t="shared" si="830"/>
        <v>1</v>
      </c>
      <c r="AE831" s="4" t="str">
        <f>'Form responses 1'!AN833</f>
        <v>D Indra </v>
      </c>
      <c r="AF831" s="4" t="str">
        <f>'Form responses 1'!AO1952</f>
        <v/>
      </c>
      <c r="AG831" s="4" t="str">
        <f>'Form responses 1'!AP1952</f>
        <v/>
      </c>
      <c r="AH831" s="4" t="str">
        <f>'Form responses 1'!AQ1952</f>
        <v/>
      </c>
      <c r="AI831" s="4" t="str">
        <f>'Form responses 1'!AR1952</f>
        <v/>
      </c>
    </row>
    <row r="832">
      <c r="A832" s="26">
        <f>'Form responses 1'!B834</f>
        <v>46076</v>
      </c>
      <c r="B832" s="4" t="str">
        <f>'Form responses 1'!AZ834</f>
        <v>anisha.poddar@capsdelivery.com</v>
      </c>
      <c r="C832" s="4" t="str">
        <f>'Form responses 1'!BR834</f>
        <v>fushion xps</v>
      </c>
      <c r="D832" s="4" t="str">
        <f>'Form responses 1'!AT834</f>
        <v>Owner needs to discuss and come back</v>
      </c>
      <c r="E832" s="4" t="str">
        <f>'Form responses 1'!AU834</f>
        <v>Yes</v>
      </c>
      <c r="F832" s="4" t="str">
        <f>'Form responses 1'!AX834</f>
        <v/>
      </c>
      <c r="G832" s="4" t="str">
        <f>'Form responses 1'!AY834</f>
        <v/>
      </c>
      <c r="H832" s="53" t="str">
        <f>'Form responses 1'!AW834</f>
        <v/>
      </c>
      <c r="I832" s="4" t="str">
        <f>'Form responses 1'!AS834</f>
        <v/>
      </c>
      <c r="J832" s="4" t="str">
        <f>'Form responses 1'!J834</f>
        <v>Tier-2 (AOV &lt;400)</v>
      </c>
      <c r="K832" s="4">
        <f>'Form responses 1'!G834</f>
        <v>300</v>
      </c>
      <c r="L832" s="4">
        <f>'Form responses 1'!F834</f>
        <v>20</v>
      </c>
      <c r="M832" s="4" t="str">
        <f>'Form responses 1'!U834</f>
        <v>Syed</v>
      </c>
      <c r="N832" s="4">
        <f>'Form responses 1'!V834</f>
        <v>9177844625</v>
      </c>
      <c r="O832" s="4" t="str">
        <f>'Form responses 1'!W834</f>
        <v>Na</v>
      </c>
      <c r="P832" s="4" t="str">
        <f>'Form responses 1'!X834</f>
        <v/>
      </c>
      <c r="Q832" s="4" t="str">
        <f>'Form responses 1'!Y834</f>
        <v/>
      </c>
      <c r="R832" s="4" t="str">
        <f>'Form responses 1'!Z834</f>
        <v/>
      </c>
      <c r="S832" s="4" t="str">
        <f>'Form responses 1'!AC834</f>
        <v/>
      </c>
      <c r="T832" s="4" t="str">
        <f>'Form responses 1'!AE834</f>
        <v/>
      </c>
      <c r="U832" s="4" t="str">
        <f>'Form responses 1'!AG834</f>
        <v/>
      </c>
      <c r="V832" s="4" t="str">
        <f>'Form responses 1'!AI834</f>
        <v/>
      </c>
      <c r="W832" s="4" t="str">
        <f>'Form responses 1'!AJ834</f>
        <v/>
      </c>
      <c r="X832" s="4" t="str">
        <f>'Form responses 1'!AK834</f>
        <v/>
      </c>
      <c r="Y832" s="4">
        <f t="shared" ref="Y832:AD832" si="831">if(S832&gt;0,1,0)</f>
        <v>0</v>
      </c>
      <c r="Z832" s="4">
        <f t="shared" si="831"/>
        <v>0</v>
      </c>
      <c r="AA832" s="4">
        <f t="shared" si="831"/>
        <v>0</v>
      </c>
      <c r="AB832" s="4">
        <f t="shared" si="831"/>
        <v>0</v>
      </c>
      <c r="AC832" s="4">
        <f t="shared" si="831"/>
        <v>0</v>
      </c>
      <c r="AD832" s="4">
        <f t="shared" si="831"/>
        <v>0</v>
      </c>
      <c r="AE832" s="4" t="str">
        <f>'Form responses 1'!AN834</f>
        <v/>
      </c>
      <c r="AF832" s="4" t="str">
        <f>'Form responses 1'!AO1953</f>
        <v/>
      </c>
      <c r="AG832" s="4" t="str">
        <f>'Form responses 1'!AP1953</f>
        <v/>
      </c>
      <c r="AH832" s="4" t="str">
        <f>'Form responses 1'!AQ1953</f>
        <v/>
      </c>
      <c r="AI832" s="4" t="str">
        <f>'Form responses 1'!AR1953</f>
        <v/>
      </c>
    </row>
    <row r="833">
      <c r="A833" s="26">
        <f>'Form responses 1'!B835</f>
        <v>46076</v>
      </c>
      <c r="B833" s="4" t="str">
        <f>'Form responses 1'!AZ835</f>
        <v>parthive.maganti@capsdelivery.com</v>
      </c>
      <c r="C833" s="4" t="str">
        <f>'Form responses 1'!BR835</f>
        <v>Dostan Fast food </v>
      </c>
      <c r="D833" s="4" t="str">
        <f>'Form responses 1'!AT835</f>
        <v>Na</v>
      </c>
      <c r="E833" s="4" t="str">
        <f>'Form responses 1'!AU835</f>
        <v>No</v>
      </c>
      <c r="F833" s="4" t="str">
        <f>'Form responses 1'!AX835</f>
        <v/>
      </c>
      <c r="G833" s="4" t="str">
        <f>'Form responses 1'!AY835</f>
        <v/>
      </c>
      <c r="H833" s="53" t="str">
        <f>'Form responses 1'!AW835</f>
        <v/>
      </c>
      <c r="I833" s="4" t="str">
        <f>'Form responses 1'!AS835</f>
        <v>Yes</v>
      </c>
      <c r="J833" s="4" t="str">
        <f>'Form responses 1'!J835</f>
        <v>Tier-2 (AOV &lt;400)</v>
      </c>
      <c r="K833" s="4">
        <f>'Form responses 1'!G835</f>
        <v>300</v>
      </c>
      <c r="L833" s="4">
        <f>'Form responses 1'!F835</f>
        <v>100</v>
      </c>
      <c r="M833" s="4" t="str">
        <f>'Form responses 1'!U835</f>
        <v>Anil Kumar</v>
      </c>
      <c r="N833" s="4">
        <f>'Form responses 1'!V835</f>
        <v>7032209667</v>
      </c>
      <c r="O833" s="4" t="str">
        <f>'Form responses 1'!W835</f>
        <v>Na</v>
      </c>
      <c r="P833" s="4" t="str">
        <f>'Form responses 1'!X835</f>
        <v/>
      </c>
      <c r="Q833" s="4" t="str">
        <f>'Form responses 1'!Y835</f>
        <v/>
      </c>
      <c r="R833" s="4" t="str">
        <f>'Form responses 1'!Z835</f>
        <v/>
      </c>
      <c r="S833" s="54" t="str">
        <f>'Form responses 1'!AC835</f>
        <v>https://drive.google.com/open?id=1QtpPmtQ2GmKhyIwRqjT1D_J7nAdTaTI1</v>
      </c>
      <c r="T833" s="4" t="str">
        <f>'Form responses 1'!AE835</f>
        <v/>
      </c>
      <c r="U833" s="4" t="str">
        <f>'Form responses 1'!AG835</f>
        <v/>
      </c>
      <c r="V833" s="54" t="str">
        <f>'Form responses 1'!AI835</f>
        <v>https://drive.google.com/open?id=1lZk9Mia_V5B7OxDVWY4dSqga4JVxiyvG</v>
      </c>
      <c r="W833" s="4" t="str">
        <f>'Form responses 1'!AJ835</f>
        <v/>
      </c>
      <c r="X833" s="54" t="str">
        <f>'Form responses 1'!AK835</f>
        <v>https://drive.google.com/open?id=1SXiJmvMSwMpmmTquzUuPQb56rv-arqLv</v>
      </c>
      <c r="Y833" s="4">
        <f t="shared" ref="Y833:AD833" si="832">if(S833&gt;0,1,0)</f>
        <v>1</v>
      </c>
      <c r="Z833" s="4">
        <f t="shared" si="832"/>
        <v>0</v>
      </c>
      <c r="AA833" s="4">
        <f t="shared" si="832"/>
        <v>0</v>
      </c>
      <c r="AB833" s="4">
        <f t="shared" si="832"/>
        <v>1</v>
      </c>
      <c r="AC833" s="4">
        <f t="shared" si="832"/>
        <v>0</v>
      </c>
      <c r="AD833" s="4">
        <f t="shared" si="832"/>
        <v>1</v>
      </c>
      <c r="AE833" s="4" t="str">
        <f>'Form responses 1'!AN835</f>
        <v>D Indira</v>
      </c>
      <c r="AF833" s="4" t="str">
        <f>'Form responses 1'!AO1954</f>
        <v/>
      </c>
      <c r="AG833" s="4" t="str">
        <f>'Form responses 1'!AP1954</f>
        <v/>
      </c>
      <c r="AH833" s="4" t="str">
        <f>'Form responses 1'!AQ1954</f>
        <v/>
      </c>
      <c r="AI833" s="4" t="str">
        <f>'Form responses 1'!AR1954</f>
        <v/>
      </c>
    </row>
    <row r="834">
      <c r="A834" s="26">
        <f>'Form responses 1'!B836</f>
        <v>46076</v>
      </c>
      <c r="B834" s="4" t="str">
        <f>'Form responses 1'!AZ836</f>
        <v>parthive.maganti@capsdelivery.com</v>
      </c>
      <c r="C834" s="4" t="str">
        <f>'Form responses 1'!BR836</f>
        <v>Dostan Tiffins</v>
      </c>
      <c r="D834" s="4" t="str">
        <f>'Form responses 1'!AT836</f>
        <v>Na</v>
      </c>
      <c r="E834" s="4" t="str">
        <f>'Form responses 1'!AU836</f>
        <v>No</v>
      </c>
      <c r="F834" s="4" t="str">
        <f>'Form responses 1'!AX836</f>
        <v/>
      </c>
      <c r="G834" s="4" t="str">
        <f>'Form responses 1'!AY836</f>
        <v/>
      </c>
      <c r="H834" s="53" t="str">
        <f>'Form responses 1'!AW836</f>
        <v/>
      </c>
      <c r="I834" s="4" t="str">
        <f>'Form responses 1'!AS836</f>
        <v>Yes</v>
      </c>
      <c r="J834" s="4" t="str">
        <f>'Form responses 1'!J836</f>
        <v>Tier-2 (AOV &lt;400)</v>
      </c>
      <c r="K834" s="4">
        <f>'Form responses 1'!G836</f>
        <v>300</v>
      </c>
      <c r="L834" s="4">
        <f>'Form responses 1'!F836</f>
        <v>100</v>
      </c>
      <c r="M834" s="4" t="str">
        <f>'Form responses 1'!U836</f>
        <v>Anil kumar</v>
      </c>
      <c r="N834" s="4">
        <f>'Form responses 1'!V836</f>
        <v>7032209668</v>
      </c>
      <c r="O834" s="4" t="str">
        <f>'Form responses 1'!W836</f>
        <v>Na</v>
      </c>
      <c r="P834" s="4" t="str">
        <f>'Form responses 1'!X836</f>
        <v/>
      </c>
      <c r="Q834" s="4" t="str">
        <f>'Form responses 1'!Y836</f>
        <v/>
      </c>
      <c r="R834" s="4" t="str">
        <f>'Form responses 1'!Z836</f>
        <v/>
      </c>
      <c r="S834" s="54" t="str">
        <f>'Form responses 1'!AC836</f>
        <v>https://drive.google.com/open?id=1SeRPTsRYQVU6SkqR9ic9_CMF0KvW45tR</v>
      </c>
      <c r="T834" s="4" t="str">
        <f>'Form responses 1'!AE836</f>
        <v/>
      </c>
      <c r="U834" s="54" t="str">
        <f>'Form responses 1'!AG836</f>
        <v>https://drive.google.com/open?id=1WR5kN81INs4UxikzdQZvdQ0EUOcCKs0y</v>
      </c>
      <c r="V834" s="4" t="str">
        <f>'Form responses 1'!AI836</f>
        <v/>
      </c>
      <c r="W834" s="4" t="str">
        <f>'Form responses 1'!AJ836</f>
        <v/>
      </c>
      <c r="X834" s="54" t="str">
        <f>'Form responses 1'!AK836</f>
        <v>https://drive.google.com/open?id=129B7kMmSpA4mZCafFz_8IRegXJt-_4J9</v>
      </c>
      <c r="Y834" s="4">
        <f t="shared" ref="Y834:AD834" si="833">if(S834&gt;0,1,0)</f>
        <v>1</v>
      </c>
      <c r="Z834" s="4">
        <f t="shared" si="833"/>
        <v>0</v>
      </c>
      <c r="AA834" s="4">
        <f t="shared" si="833"/>
        <v>1</v>
      </c>
      <c r="AB834" s="4">
        <f t="shared" si="833"/>
        <v>0</v>
      </c>
      <c r="AC834" s="4">
        <f t="shared" si="833"/>
        <v>0</v>
      </c>
      <c r="AD834" s="4">
        <f t="shared" si="833"/>
        <v>1</v>
      </c>
      <c r="AE834" s="4" t="str">
        <f>'Form responses 1'!AN836</f>
        <v>D Indira</v>
      </c>
      <c r="AF834" s="4" t="str">
        <f>'Form responses 1'!AO1955</f>
        <v/>
      </c>
      <c r="AG834" s="4" t="str">
        <f>'Form responses 1'!AP1955</f>
        <v/>
      </c>
      <c r="AH834" s="4" t="str">
        <f>'Form responses 1'!AQ1955</f>
        <v/>
      </c>
      <c r="AI834" s="4" t="str">
        <f>'Form responses 1'!AR1955</f>
        <v/>
      </c>
    </row>
    <row r="835">
      <c r="A835" s="26" t="str">
        <f>'Form responses 1'!B1678</f>
        <v/>
      </c>
      <c r="B835" s="4" t="str">
        <f>'Form responses 1'!AZ1678</f>
        <v/>
      </c>
      <c r="C835" s="4" t="str">
        <f>'Form responses 1'!BR1678</f>
        <v/>
      </c>
      <c r="D835" s="4" t="str">
        <f>'Form responses 1'!AT1678</f>
        <v/>
      </c>
      <c r="E835" s="4" t="str">
        <f>'Form responses 1'!AU1678</f>
        <v/>
      </c>
      <c r="F835" s="4" t="str">
        <f>'Form responses 1'!AX1678</f>
        <v/>
      </c>
      <c r="G835" s="4" t="str">
        <f>'Form responses 1'!AY1678</f>
        <v/>
      </c>
      <c r="H835" s="53" t="str">
        <f>'Form responses 1'!AW1678</f>
        <v/>
      </c>
      <c r="I835" s="4" t="str">
        <f>'Form responses 1'!AS1678</f>
        <v/>
      </c>
      <c r="J835" s="4" t="str">
        <f>'Form responses 1'!J1678</f>
        <v/>
      </c>
      <c r="K835" s="4" t="str">
        <f>'Form responses 1'!G1678</f>
        <v/>
      </c>
      <c r="L835" s="4" t="str">
        <f>'Form responses 1'!F1678</f>
        <v/>
      </c>
      <c r="M835" s="4" t="str">
        <f>'Form responses 1'!U1678</f>
        <v/>
      </c>
      <c r="N835" s="4" t="str">
        <f>'Form responses 1'!V1678</f>
        <v/>
      </c>
      <c r="O835" s="4" t="str">
        <f>'Form responses 1'!W1678</f>
        <v/>
      </c>
      <c r="P835" s="4" t="str">
        <f>'Form responses 1'!X1678</f>
        <v/>
      </c>
      <c r="Q835" s="4" t="str">
        <f>'Form responses 1'!Y1678</f>
        <v/>
      </c>
      <c r="R835" s="4" t="str">
        <f>'Form responses 1'!Z1678</f>
        <v/>
      </c>
      <c r="S835" s="4" t="str">
        <f>'Form responses 1'!AC1678</f>
        <v/>
      </c>
      <c r="T835" s="4" t="str">
        <f>'Form responses 1'!AE1678</f>
        <v/>
      </c>
      <c r="U835" s="4" t="str">
        <f>'Form responses 1'!AG1678</f>
        <v/>
      </c>
      <c r="V835" s="4" t="str">
        <f>'Form responses 1'!AI1678</f>
        <v/>
      </c>
      <c r="W835" s="4" t="str">
        <f>'Form responses 1'!AJ1678</f>
        <v/>
      </c>
      <c r="X835" s="4" t="str">
        <f>'Form responses 1'!AK1678</f>
        <v/>
      </c>
      <c r="Y835" s="4">
        <f t="shared" ref="Y835:AD835" si="834">if(S835&gt;0,1,0)</f>
        <v>0</v>
      </c>
      <c r="Z835" s="4">
        <f t="shared" si="834"/>
        <v>0</v>
      </c>
      <c r="AA835" s="4">
        <f t="shared" si="834"/>
        <v>0</v>
      </c>
      <c r="AB835" s="4">
        <f t="shared" si="834"/>
        <v>0</v>
      </c>
      <c r="AC835" s="4">
        <f t="shared" si="834"/>
        <v>0</v>
      </c>
      <c r="AD835" s="4">
        <f t="shared" si="834"/>
        <v>0</v>
      </c>
      <c r="AE835" s="4" t="str">
        <f>'Form responses 1'!AN1678</f>
        <v/>
      </c>
      <c r="AF835" s="4" t="str">
        <f>'Form responses 1'!AO1959</f>
        <v/>
      </c>
      <c r="AG835" s="4" t="str">
        <f>'Form responses 1'!AP1959</f>
        <v/>
      </c>
      <c r="AH835" s="4" t="str">
        <f>'Form responses 1'!AQ1959</f>
        <v/>
      </c>
      <c r="AI835" s="4" t="str">
        <f>'Form responses 1'!AR1959</f>
        <v/>
      </c>
    </row>
    <row r="836">
      <c r="A836" s="26" t="str">
        <f>'Form responses 1'!B1679</f>
        <v/>
      </c>
      <c r="B836" s="4" t="str">
        <f>'Form responses 1'!AZ1679</f>
        <v/>
      </c>
      <c r="C836" s="4" t="str">
        <f>'Form responses 1'!BR1679</f>
        <v/>
      </c>
      <c r="D836" s="4" t="str">
        <f>'Form responses 1'!AT1679</f>
        <v/>
      </c>
      <c r="E836" s="4" t="str">
        <f>'Form responses 1'!AU1679</f>
        <v/>
      </c>
      <c r="F836" s="4" t="str">
        <f>'Form responses 1'!AX1679</f>
        <v/>
      </c>
      <c r="G836" s="4" t="str">
        <f>'Form responses 1'!AY1679</f>
        <v/>
      </c>
      <c r="H836" s="53" t="str">
        <f>'Form responses 1'!AW1679</f>
        <v/>
      </c>
      <c r="I836" s="4" t="str">
        <f>'Form responses 1'!AS1679</f>
        <v/>
      </c>
      <c r="J836" s="4" t="str">
        <f>'Form responses 1'!J1679</f>
        <v/>
      </c>
      <c r="K836" s="4" t="str">
        <f>'Form responses 1'!G1679</f>
        <v/>
      </c>
      <c r="L836" s="4" t="str">
        <f>'Form responses 1'!F1679</f>
        <v/>
      </c>
      <c r="M836" s="4" t="str">
        <f>'Form responses 1'!U1679</f>
        <v/>
      </c>
      <c r="N836" s="4" t="str">
        <f>'Form responses 1'!V1679</f>
        <v/>
      </c>
      <c r="O836" s="4" t="str">
        <f>'Form responses 1'!W1679</f>
        <v/>
      </c>
      <c r="P836" s="4" t="str">
        <f>'Form responses 1'!X1679</f>
        <v/>
      </c>
      <c r="Q836" s="4" t="str">
        <f>'Form responses 1'!Y1679</f>
        <v/>
      </c>
      <c r="R836" s="4" t="str">
        <f>'Form responses 1'!Z1679</f>
        <v/>
      </c>
      <c r="S836" s="4" t="str">
        <f>'Form responses 1'!AC1679</f>
        <v/>
      </c>
      <c r="T836" s="4" t="str">
        <f>'Form responses 1'!AE1679</f>
        <v/>
      </c>
      <c r="U836" s="4" t="str">
        <f>'Form responses 1'!AG1679</f>
        <v/>
      </c>
      <c r="V836" s="4" t="str">
        <f>'Form responses 1'!AI1679</f>
        <v/>
      </c>
      <c r="W836" s="4" t="str">
        <f>'Form responses 1'!AJ1679</f>
        <v/>
      </c>
      <c r="X836" s="4" t="str">
        <f>'Form responses 1'!AK1679</f>
        <v/>
      </c>
      <c r="Y836" s="4">
        <f t="shared" ref="Y836:AD836" si="835">if(S836&gt;0,1,0)</f>
        <v>0</v>
      </c>
      <c r="Z836" s="4">
        <f t="shared" si="835"/>
        <v>0</v>
      </c>
      <c r="AA836" s="4">
        <f t="shared" si="835"/>
        <v>0</v>
      </c>
      <c r="AB836" s="4">
        <f t="shared" si="835"/>
        <v>0</v>
      </c>
      <c r="AC836" s="4">
        <f t="shared" si="835"/>
        <v>0</v>
      </c>
      <c r="AD836" s="4">
        <f t="shared" si="835"/>
        <v>0</v>
      </c>
      <c r="AE836" s="4" t="str">
        <f>'Form responses 1'!AN1679</f>
        <v/>
      </c>
      <c r="AF836" s="4" t="str">
        <f>'Form responses 1'!AO1960</f>
        <v/>
      </c>
      <c r="AG836" s="4" t="str">
        <f>'Form responses 1'!AP1960</f>
        <v/>
      </c>
      <c r="AH836" s="4" t="str">
        <f>'Form responses 1'!AQ1960</f>
        <v/>
      </c>
      <c r="AI836" s="4" t="str">
        <f>'Form responses 1'!AR1960</f>
        <v/>
      </c>
    </row>
    <row r="837">
      <c r="A837" s="26" t="str">
        <f>'Form responses 1'!B1680</f>
        <v/>
      </c>
      <c r="B837" s="4" t="str">
        <f>'Form responses 1'!AZ1680</f>
        <v/>
      </c>
      <c r="C837" s="4" t="str">
        <f>'Form responses 1'!BR1680</f>
        <v/>
      </c>
      <c r="D837" s="4" t="str">
        <f>'Form responses 1'!AT1680</f>
        <v/>
      </c>
      <c r="E837" s="4" t="str">
        <f>'Form responses 1'!AU1680</f>
        <v/>
      </c>
      <c r="F837" s="4" t="str">
        <f>'Form responses 1'!AX1680</f>
        <v/>
      </c>
      <c r="G837" s="4" t="str">
        <f>'Form responses 1'!AY1680</f>
        <v/>
      </c>
      <c r="H837" s="53" t="str">
        <f>'Form responses 1'!AW1680</f>
        <v/>
      </c>
      <c r="I837" s="4" t="str">
        <f>'Form responses 1'!AS1680</f>
        <v/>
      </c>
      <c r="J837" s="4" t="str">
        <f>'Form responses 1'!J1680</f>
        <v/>
      </c>
      <c r="K837" s="4" t="str">
        <f>'Form responses 1'!G1680</f>
        <v/>
      </c>
      <c r="L837" s="4" t="str">
        <f>'Form responses 1'!F1680</f>
        <v/>
      </c>
      <c r="M837" s="4" t="str">
        <f>'Form responses 1'!U1680</f>
        <v/>
      </c>
      <c r="N837" s="4" t="str">
        <f>'Form responses 1'!V1680</f>
        <v/>
      </c>
      <c r="O837" s="4" t="str">
        <f>'Form responses 1'!W1680</f>
        <v/>
      </c>
      <c r="P837" s="4" t="str">
        <f>'Form responses 1'!X1680</f>
        <v/>
      </c>
      <c r="Q837" s="4" t="str">
        <f>'Form responses 1'!Y1680</f>
        <v/>
      </c>
      <c r="R837" s="4" t="str">
        <f>'Form responses 1'!Z1680</f>
        <v/>
      </c>
      <c r="S837" s="4" t="str">
        <f>'Form responses 1'!AC1680</f>
        <v/>
      </c>
      <c r="T837" s="4" t="str">
        <f>'Form responses 1'!AE1680</f>
        <v/>
      </c>
      <c r="U837" s="4" t="str">
        <f>'Form responses 1'!AG1680</f>
        <v/>
      </c>
      <c r="V837" s="4" t="str">
        <f>'Form responses 1'!AI1680</f>
        <v/>
      </c>
      <c r="W837" s="4" t="str">
        <f>'Form responses 1'!AJ1680</f>
        <v/>
      </c>
      <c r="X837" s="4" t="str">
        <f>'Form responses 1'!AK1680</f>
        <v/>
      </c>
      <c r="Y837" s="4">
        <f t="shared" ref="Y837:AD837" si="836">if(S837&gt;0,1,0)</f>
        <v>0</v>
      </c>
      <c r="Z837" s="4">
        <f t="shared" si="836"/>
        <v>0</v>
      </c>
      <c r="AA837" s="4">
        <f t="shared" si="836"/>
        <v>0</v>
      </c>
      <c r="AB837" s="4">
        <f t="shared" si="836"/>
        <v>0</v>
      </c>
      <c r="AC837" s="4">
        <f t="shared" si="836"/>
        <v>0</v>
      </c>
      <c r="AD837" s="4">
        <f t="shared" si="836"/>
        <v>0</v>
      </c>
      <c r="AE837" s="4" t="str">
        <f>'Form responses 1'!AN1680</f>
        <v/>
      </c>
      <c r="AF837" s="4" t="str">
        <f>'Form responses 1'!AO1961</f>
        <v/>
      </c>
      <c r="AG837" s="4" t="str">
        <f>'Form responses 1'!AP1961</f>
        <v/>
      </c>
      <c r="AH837" s="4" t="str">
        <f>'Form responses 1'!AQ1961</f>
        <v/>
      </c>
      <c r="AI837" s="4" t="str">
        <f>'Form responses 1'!AR1961</f>
        <v/>
      </c>
    </row>
    <row r="838">
      <c r="A838" s="26" t="str">
        <f>'Form responses 1'!B1681</f>
        <v/>
      </c>
      <c r="B838" s="4" t="str">
        <f>'Form responses 1'!AZ1681</f>
        <v/>
      </c>
      <c r="C838" s="4" t="str">
        <f>'Form responses 1'!BR1681</f>
        <v/>
      </c>
      <c r="D838" s="4" t="str">
        <f>'Form responses 1'!AT1681</f>
        <v/>
      </c>
      <c r="E838" s="4" t="str">
        <f>'Form responses 1'!AU1681</f>
        <v/>
      </c>
      <c r="F838" s="4" t="str">
        <f>'Form responses 1'!AX1681</f>
        <v/>
      </c>
      <c r="G838" s="4" t="str">
        <f>'Form responses 1'!AY1681</f>
        <v/>
      </c>
      <c r="H838" s="53" t="str">
        <f>'Form responses 1'!AW1681</f>
        <v/>
      </c>
      <c r="I838" s="4" t="str">
        <f>'Form responses 1'!AS1681</f>
        <v/>
      </c>
      <c r="J838" s="4" t="str">
        <f>'Form responses 1'!J1681</f>
        <v/>
      </c>
      <c r="K838" s="4" t="str">
        <f>'Form responses 1'!G1681</f>
        <v/>
      </c>
      <c r="L838" s="4" t="str">
        <f>'Form responses 1'!F1681</f>
        <v/>
      </c>
      <c r="M838" s="4" t="str">
        <f>'Form responses 1'!U1681</f>
        <v/>
      </c>
      <c r="N838" s="4" t="str">
        <f>'Form responses 1'!V1681</f>
        <v/>
      </c>
      <c r="O838" s="4" t="str">
        <f>'Form responses 1'!W1681</f>
        <v/>
      </c>
      <c r="P838" s="4" t="str">
        <f>'Form responses 1'!X1681</f>
        <v/>
      </c>
      <c r="Q838" s="4" t="str">
        <f>'Form responses 1'!Y1681</f>
        <v/>
      </c>
      <c r="R838" s="4" t="str">
        <f>'Form responses 1'!Z1681</f>
        <v/>
      </c>
      <c r="S838" s="4" t="str">
        <f>'Form responses 1'!AC1681</f>
        <v/>
      </c>
      <c r="T838" s="4" t="str">
        <f>'Form responses 1'!AE1681</f>
        <v/>
      </c>
      <c r="U838" s="4" t="str">
        <f>'Form responses 1'!AG1681</f>
        <v/>
      </c>
      <c r="V838" s="4" t="str">
        <f>'Form responses 1'!AI1681</f>
        <v/>
      </c>
      <c r="W838" s="4" t="str">
        <f>'Form responses 1'!AJ1681</f>
        <v/>
      </c>
      <c r="X838" s="4" t="str">
        <f>'Form responses 1'!AK1681</f>
        <v/>
      </c>
      <c r="Y838" s="4">
        <f t="shared" ref="Y838:AD838" si="837">if(S838&gt;0,1,0)</f>
        <v>0</v>
      </c>
      <c r="Z838" s="4">
        <f t="shared" si="837"/>
        <v>0</v>
      </c>
      <c r="AA838" s="4">
        <f t="shared" si="837"/>
        <v>0</v>
      </c>
      <c r="AB838" s="4">
        <f t="shared" si="837"/>
        <v>0</v>
      </c>
      <c r="AC838" s="4">
        <f t="shared" si="837"/>
        <v>0</v>
      </c>
      <c r="AD838" s="4">
        <f t="shared" si="837"/>
        <v>0</v>
      </c>
      <c r="AE838" s="4" t="str">
        <f>'Form responses 1'!AN1681</f>
        <v/>
      </c>
      <c r="AF838" s="4" t="str">
        <f>'Form responses 1'!AO1962</f>
        <v/>
      </c>
      <c r="AG838" s="4" t="str">
        <f>'Form responses 1'!AP1962</f>
        <v/>
      </c>
      <c r="AH838" s="4" t="str">
        <f>'Form responses 1'!AQ1962</f>
        <v/>
      </c>
      <c r="AI838" s="4" t="str">
        <f>'Form responses 1'!AR1962</f>
        <v/>
      </c>
    </row>
    <row r="839">
      <c r="A839" s="26" t="str">
        <f>'Form responses 1'!B1682</f>
        <v/>
      </c>
      <c r="B839" s="4" t="str">
        <f>'Form responses 1'!AZ1682</f>
        <v/>
      </c>
      <c r="C839" s="4" t="str">
        <f>'Form responses 1'!BR1682</f>
        <v/>
      </c>
      <c r="D839" s="4" t="str">
        <f>'Form responses 1'!AT1682</f>
        <v/>
      </c>
      <c r="E839" s="4" t="str">
        <f>'Form responses 1'!AU1682</f>
        <v/>
      </c>
      <c r="F839" s="4" t="str">
        <f>'Form responses 1'!AX1682</f>
        <v/>
      </c>
      <c r="G839" s="4" t="str">
        <f>'Form responses 1'!AY1682</f>
        <v/>
      </c>
      <c r="H839" s="53" t="str">
        <f>'Form responses 1'!AW1682</f>
        <v/>
      </c>
      <c r="I839" s="4" t="str">
        <f>'Form responses 1'!AS1682</f>
        <v/>
      </c>
      <c r="J839" s="4" t="str">
        <f>'Form responses 1'!J1682</f>
        <v/>
      </c>
      <c r="K839" s="4" t="str">
        <f>'Form responses 1'!G1682</f>
        <v/>
      </c>
      <c r="L839" s="4" t="str">
        <f>'Form responses 1'!F1682</f>
        <v/>
      </c>
      <c r="M839" s="4" t="str">
        <f>'Form responses 1'!U1682</f>
        <v/>
      </c>
      <c r="N839" s="4" t="str">
        <f>'Form responses 1'!V1682</f>
        <v/>
      </c>
      <c r="O839" s="4" t="str">
        <f>'Form responses 1'!W1682</f>
        <v/>
      </c>
      <c r="P839" s="4" t="str">
        <f>'Form responses 1'!X1682</f>
        <v/>
      </c>
      <c r="Q839" s="4" t="str">
        <f>'Form responses 1'!Y1682</f>
        <v/>
      </c>
      <c r="R839" s="4" t="str">
        <f>'Form responses 1'!Z1682</f>
        <v/>
      </c>
      <c r="S839" s="4" t="str">
        <f>'Form responses 1'!AC1682</f>
        <v/>
      </c>
      <c r="T839" s="4" t="str">
        <f>'Form responses 1'!AE1682</f>
        <v/>
      </c>
      <c r="U839" s="4" t="str">
        <f>'Form responses 1'!AG1682</f>
        <v/>
      </c>
      <c r="V839" s="4" t="str">
        <f>'Form responses 1'!AI1682</f>
        <v/>
      </c>
      <c r="W839" s="4" t="str">
        <f>'Form responses 1'!AJ1682</f>
        <v/>
      </c>
      <c r="X839" s="4" t="str">
        <f>'Form responses 1'!AK1682</f>
        <v/>
      </c>
      <c r="Y839" s="4">
        <f t="shared" ref="Y839:AD839" si="838">if(S839&gt;0,1,0)</f>
        <v>0</v>
      </c>
      <c r="Z839" s="4">
        <f t="shared" si="838"/>
        <v>0</v>
      </c>
      <c r="AA839" s="4">
        <f t="shared" si="838"/>
        <v>0</v>
      </c>
      <c r="AB839" s="4">
        <f t="shared" si="838"/>
        <v>0</v>
      </c>
      <c r="AC839" s="4">
        <f t="shared" si="838"/>
        <v>0</v>
      </c>
      <c r="AD839" s="4">
        <f t="shared" si="838"/>
        <v>0</v>
      </c>
      <c r="AE839" s="4" t="str">
        <f>'Form responses 1'!AN1682</f>
        <v/>
      </c>
      <c r="AF839" s="4" t="str">
        <f>'Form responses 1'!AO1963</f>
        <v/>
      </c>
      <c r="AG839" s="4" t="str">
        <f>'Form responses 1'!AP1963</f>
        <v/>
      </c>
      <c r="AH839" s="4" t="str">
        <f>'Form responses 1'!AQ1963</f>
        <v/>
      </c>
      <c r="AI839" s="4" t="str">
        <f>'Form responses 1'!AR1963</f>
        <v/>
      </c>
    </row>
    <row r="840">
      <c r="A840" s="26" t="str">
        <f>'Form responses 1'!B1683</f>
        <v/>
      </c>
      <c r="B840" s="4" t="str">
        <f>'Form responses 1'!AZ1683</f>
        <v/>
      </c>
      <c r="C840" s="4" t="str">
        <f>'Form responses 1'!BR1683</f>
        <v/>
      </c>
      <c r="D840" s="4" t="str">
        <f>'Form responses 1'!AT1683</f>
        <v/>
      </c>
      <c r="E840" s="4" t="str">
        <f>'Form responses 1'!AU1683</f>
        <v/>
      </c>
      <c r="F840" s="4" t="str">
        <f>'Form responses 1'!AX1683</f>
        <v/>
      </c>
      <c r="G840" s="4" t="str">
        <f>'Form responses 1'!AY1683</f>
        <v/>
      </c>
      <c r="H840" s="53" t="str">
        <f>'Form responses 1'!AW1683</f>
        <v/>
      </c>
      <c r="I840" s="4" t="str">
        <f>'Form responses 1'!AS1683</f>
        <v/>
      </c>
      <c r="J840" s="4" t="str">
        <f>'Form responses 1'!J1683</f>
        <v/>
      </c>
      <c r="K840" s="4" t="str">
        <f>'Form responses 1'!G1683</f>
        <v/>
      </c>
      <c r="L840" s="4" t="str">
        <f>'Form responses 1'!F1683</f>
        <v/>
      </c>
      <c r="M840" s="4" t="str">
        <f>'Form responses 1'!U1683</f>
        <v/>
      </c>
      <c r="N840" s="4" t="str">
        <f>'Form responses 1'!V1683</f>
        <v/>
      </c>
      <c r="O840" s="4" t="str">
        <f>'Form responses 1'!W1683</f>
        <v/>
      </c>
      <c r="P840" s="4" t="str">
        <f>'Form responses 1'!X1683</f>
        <v/>
      </c>
      <c r="Q840" s="4" t="str">
        <f>'Form responses 1'!Y1683</f>
        <v/>
      </c>
      <c r="R840" s="4" t="str">
        <f>'Form responses 1'!Z1683</f>
        <v/>
      </c>
      <c r="S840" s="4" t="str">
        <f>'Form responses 1'!AC1683</f>
        <v/>
      </c>
      <c r="T840" s="4" t="str">
        <f>'Form responses 1'!AE1683</f>
        <v/>
      </c>
      <c r="U840" s="4" t="str">
        <f>'Form responses 1'!AG1683</f>
        <v/>
      </c>
      <c r="V840" s="4" t="str">
        <f>'Form responses 1'!AI1683</f>
        <v/>
      </c>
      <c r="W840" s="4" t="str">
        <f>'Form responses 1'!AJ1683</f>
        <v/>
      </c>
      <c r="X840" s="4" t="str">
        <f>'Form responses 1'!AK1683</f>
        <v/>
      </c>
      <c r="Y840" s="4">
        <f t="shared" ref="Y840:AD840" si="839">if(S840&gt;0,1,0)</f>
        <v>0</v>
      </c>
      <c r="Z840" s="4">
        <f t="shared" si="839"/>
        <v>0</v>
      </c>
      <c r="AA840" s="4">
        <f t="shared" si="839"/>
        <v>0</v>
      </c>
      <c r="AB840" s="4">
        <f t="shared" si="839"/>
        <v>0</v>
      </c>
      <c r="AC840" s="4">
        <f t="shared" si="839"/>
        <v>0</v>
      </c>
      <c r="AD840" s="4">
        <f t="shared" si="839"/>
        <v>0</v>
      </c>
      <c r="AE840" s="4" t="str">
        <f>'Form responses 1'!AN1683</f>
        <v/>
      </c>
      <c r="AF840" s="4" t="str">
        <f>'Form responses 1'!AO1964</f>
        <v/>
      </c>
      <c r="AG840" s="4" t="str">
        <f>'Form responses 1'!AP1964</f>
        <v/>
      </c>
      <c r="AH840" s="4" t="str">
        <f>'Form responses 1'!AQ1964</f>
        <v/>
      </c>
      <c r="AI840" s="4" t="str">
        <f>'Form responses 1'!AR1964</f>
        <v/>
      </c>
    </row>
    <row r="841">
      <c r="A841" s="26" t="str">
        <f>'Form responses 1'!B1684</f>
        <v/>
      </c>
      <c r="B841" s="4" t="str">
        <f>'Form responses 1'!AZ1684</f>
        <v/>
      </c>
      <c r="C841" s="4" t="str">
        <f>'Form responses 1'!BR1684</f>
        <v/>
      </c>
      <c r="D841" s="4" t="str">
        <f>'Form responses 1'!AT1684</f>
        <v/>
      </c>
      <c r="E841" s="4" t="str">
        <f>'Form responses 1'!AU1684</f>
        <v/>
      </c>
      <c r="F841" s="4" t="str">
        <f>'Form responses 1'!AX1684</f>
        <v/>
      </c>
      <c r="G841" s="4" t="str">
        <f>'Form responses 1'!AY1684</f>
        <v/>
      </c>
      <c r="H841" s="53" t="str">
        <f>'Form responses 1'!AW1684</f>
        <v/>
      </c>
      <c r="I841" s="4" t="str">
        <f>'Form responses 1'!AS1684</f>
        <v/>
      </c>
      <c r="J841" s="4" t="str">
        <f>'Form responses 1'!J1684</f>
        <v/>
      </c>
      <c r="K841" s="4" t="str">
        <f>'Form responses 1'!G1684</f>
        <v/>
      </c>
      <c r="L841" s="4" t="str">
        <f>'Form responses 1'!F1684</f>
        <v/>
      </c>
      <c r="M841" s="4" t="str">
        <f>'Form responses 1'!U1684</f>
        <v/>
      </c>
      <c r="N841" s="4" t="str">
        <f>'Form responses 1'!V1684</f>
        <v/>
      </c>
      <c r="O841" s="4" t="str">
        <f>'Form responses 1'!W1684</f>
        <v/>
      </c>
      <c r="P841" s="4" t="str">
        <f>'Form responses 1'!X1684</f>
        <v/>
      </c>
      <c r="Q841" s="4" t="str">
        <f>'Form responses 1'!Y1684</f>
        <v/>
      </c>
      <c r="R841" s="4" t="str">
        <f>'Form responses 1'!Z1684</f>
        <v/>
      </c>
      <c r="S841" s="4" t="str">
        <f>'Form responses 1'!AC1684</f>
        <v/>
      </c>
      <c r="T841" s="4" t="str">
        <f>'Form responses 1'!AE1684</f>
        <v/>
      </c>
      <c r="U841" s="4" t="str">
        <f>'Form responses 1'!AG1684</f>
        <v/>
      </c>
      <c r="V841" s="4" t="str">
        <f>'Form responses 1'!AI1684</f>
        <v/>
      </c>
      <c r="W841" s="4" t="str">
        <f>'Form responses 1'!AJ1684</f>
        <v/>
      </c>
      <c r="X841" s="4" t="str">
        <f>'Form responses 1'!AK1684</f>
        <v/>
      </c>
      <c r="Y841" s="4">
        <f t="shared" ref="Y841:AD841" si="840">if(S841&gt;0,1,0)</f>
        <v>0</v>
      </c>
      <c r="Z841" s="4">
        <f t="shared" si="840"/>
        <v>0</v>
      </c>
      <c r="AA841" s="4">
        <f t="shared" si="840"/>
        <v>0</v>
      </c>
      <c r="AB841" s="4">
        <f t="shared" si="840"/>
        <v>0</v>
      </c>
      <c r="AC841" s="4">
        <f t="shared" si="840"/>
        <v>0</v>
      </c>
      <c r="AD841" s="4">
        <f t="shared" si="840"/>
        <v>0</v>
      </c>
      <c r="AE841" s="4" t="str">
        <f>'Form responses 1'!AN1684</f>
        <v/>
      </c>
      <c r="AF841" s="4" t="str">
        <f>'Form responses 1'!AO1965</f>
        <v/>
      </c>
      <c r="AG841" s="4" t="str">
        <f>'Form responses 1'!AP1965</f>
        <v/>
      </c>
      <c r="AH841" s="4" t="str">
        <f>'Form responses 1'!AQ1965</f>
        <v/>
      </c>
      <c r="AI841" s="4" t="str">
        <f>'Form responses 1'!AR1965</f>
        <v/>
      </c>
    </row>
    <row r="842">
      <c r="A842" s="26" t="str">
        <f>'Form responses 1'!B1685</f>
        <v/>
      </c>
      <c r="B842" s="4" t="str">
        <f>'Form responses 1'!AZ1685</f>
        <v/>
      </c>
      <c r="C842" s="4" t="str">
        <f>'Form responses 1'!BR1685</f>
        <v/>
      </c>
      <c r="D842" s="4" t="str">
        <f>'Form responses 1'!AT1685</f>
        <v/>
      </c>
      <c r="E842" s="4" t="str">
        <f>'Form responses 1'!AU1685</f>
        <v/>
      </c>
      <c r="F842" s="4" t="str">
        <f>'Form responses 1'!AX1685</f>
        <v/>
      </c>
      <c r="G842" s="4" t="str">
        <f>'Form responses 1'!AY1685</f>
        <v/>
      </c>
      <c r="H842" s="53" t="str">
        <f>'Form responses 1'!AW1685</f>
        <v/>
      </c>
      <c r="I842" s="4" t="str">
        <f>'Form responses 1'!AS1685</f>
        <v/>
      </c>
      <c r="J842" s="4" t="str">
        <f>'Form responses 1'!J1685</f>
        <v/>
      </c>
      <c r="K842" s="4" t="str">
        <f>'Form responses 1'!G1685</f>
        <v/>
      </c>
      <c r="L842" s="4" t="str">
        <f>'Form responses 1'!F1685</f>
        <v/>
      </c>
      <c r="M842" s="4" t="str">
        <f>'Form responses 1'!U1685</f>
        <v/>
      </c>
      <c r="N842" s="4" t="str">
        <f>'Form responses 1'!V1685</f>
        <v/>
      </c>
      <c r="O842" s="4" t="str">
        <f>'Form responses 1'!W1685</f>
        <v/>
      </c>
      <c r="P842" s="4" t="str">
        <f>'Form responses 1'!X1685</f>
        <v/>
      </c>
      <c r="Q842" s="4" t="str">
        <f>'Form responses 1'!Y1685</f>
        <v/>
      </c>
      <c r="R842" s="4" t="str">
        <f>'Form responses 1'!Z1685</f>
        <v/>
      </c>
      <c r="S842" s="4" t="str">
        <f>'Form responses 1'!AC1685</f>
        <v/>
      </c>
      <c r="T842" s="4" t="str">
        <f>'Form responses 1'!AE1685</f>
        <v/>
      </c>
      <c r="U842" s="4" t="str">
        <f>'Form responses 1'!AG1685</f>
        <v/>
      </c>
      <c r="V842" s="4" t="str">
        <f>'Form responses 1'!AI1685</f>
        <v/>
      </c>
      <c r="W842" s="4" t="str">
        <f>'Form responses 1'!AJ1685</f>
        <v/>
      </c>
      <c r="X842" s="4" t="str">
        <f>'Form responses 1'!AK1685</f>
        <v/>
      </c>
      <c r="Y842" s="4">
        <f t="shared" ref="Y842:AD842" si="841">if(S842&gt;0,1,0)</f>
        <v>0</v>
      </c>
      <c r="Z842" s="4">
        <f t="shared" si="841"/>
        <v>0</v>
      </c>
      <c r="AA842" s="4">
        <f t="shared" si="841"/>
        <v>0</v>
      </c>
      <c r="AB842" s="4">
        <f t="shared" si="841"/>
        <v>0</v>
      </c>
      <c r="AC842" s="4">
        <f t="shared" si="841"/>
        <v>0</v>
      </c>
      <c r="AD842" s="4">
        <f t="shared" si="841"/>
        <v>0</v>
      </c>
      <c r="AE842" s="4" t="str">
        <f>'Form responses 1'!AN1685</f>
        <v/>
      </c>
      <c r="AF842" s="4" t="str">
        <f>'Form responses 1'!AO1966</f>
        <v/>
      </c>
      <c r="AG842" s="4" t="str">
        <f>'Form responses 1'!AP1966</f>
        <v/>
      </c>
      <c r="AH842" s="4" t="str">
        <f>'Form responses 1'!AQ1966</f>
        <v/>
      </c>
      <c r="AI842" s="4" t="str">
        <f>'Form responses 1'!AR1966</f>
        <v/>
      </c>
    </row>
    <row r="843">
      <c r="A843" s="26" t="str">
        <f>'Form responses 1'!B1686</f>
        <v/>
      </c>
      <c r="B843" s="4" t="str">
        <f>'Form responses 1'!AZ1686</f>
        <v/>
      </c>
      <c r="C843" s="4" t="str">
        <f>'Form responses 1'!BR1686</f>
        <v/>
      </c>
      <c r="D843" s="4" t="str">
        <f>'Form responses 1'!AT1686</f>
        <v/>
      </c>
      <c r="E843" s="4" t="str">
        <f>'Form responses 1'!AU1686</f>
        <v/>
      </c>
      <c r="F843" s="4" t="str">
        <f>'Form responses 1'!AX1686</f>
        <v/>
      </c>
      <c r="G843" s="4" t="str">
        <f>'Form responses 1'!AY1686</f>
        <v/>
      </c>
      <c r="H843" s="53" t="str">
        <f>'Form responses 1'!AW1686</f>
        <v/>
      </c>
      <c r="I843" s="4" t="str">
        <f>'Form responses 1'!AS1686</f>
        <v/>
      </c>
      <c r="J843" s="4" t="str">
        <f>'Form responses 1'!J1686</f>
        <v/>
      </c>
      <c r="K843" s="4" t="str">
        <f>'Form responses 1'!G1686</f>
        <v/>
      </c>
      <c r="L843" s="4" t="str">
        <f>'Form responses 1'!F1686</f>
        <v/>
      </c>
      <c r="M843" s="4" t="str">
        <f>'Form responses 1'!U1686</f>
        <v/>
      </c>
      <c r="N843" s="4" t="str">
        <f>'Form responses 1'!V1686</f>
        <v/>
      </c>
      <c r="O843" s="4" t="str">
        <f>'Form responses 1'!W1686</f>
        <v/>
      </c>
      <c r="P843" s="4" t="str">
        <f>'Form responses 1'!X1686</f>
        <v/>
      </c>
      <c r="Q843" s="4" t="str">
        <f>'Form responses 1'!Y1686</f>
        <v/>
      </c>
      <c r="R843" s="4" t="str">
        <f>'Form responses 1'!Z1686</f>
        <v/>
      </c>
      <c r="S843" s="4" t="str">
        <f>'Form responses 1'!AC1686</f>
        <v/>
      </c>
      <c r="T843" s="4" t="str">
        <f>'Form responses 1'!AE1686</f>
        <v/>
      </c>
      <c r="U843" s="4" t="str">
        <f>'Form responses 1'!AG1686</f>
        <v/>
      </c>
      <c r="V843" s="4" t="str">
        <f>'Form responses 1'!AI1686</f>
        <v/>
      </c>
      <c r="W843" s="4" t="str">
        <f>'Form responses 1'!AJ1686</f>
        <v/>
      </c>
      <c r="X843" s="4" t="str">
        <f>'Form responses 1'!AK1686</f>
        <v/>
      </c>
      <c r="Y843" s="4">
        <f t="shared" ref="Y843:AD843" si="842">if(S843&gt;0,1,0)</f>
        <v>0</v>
      </c>
      <c r="Z843" s="4">
        <f t="shared" si="842"/>
        <v>0</v>
      </c>
      <c r="AA843" s="4">
        <f t="shared" si="842"/>
        <v>0</v>
      </c>
      <c r="AB843" s="4">
        <f t="shared" si="842"/>
        <v>0</v>
      </c>
      <c r="AC843" s="4">
        <f t="shared" si="842"/>
        <v>0</v>
      </c>
      <c r="AD843" s="4">
        <f t="shared" si="842"/>
        <v>0</v>
      </c>
      <c r="AE843" s="4" t="str">
        <f>'Form responses 1'!AN1686</f>
        <v/>
      </c>
      <c r="AF843" s="4" t="str">
        <f>'Form responses 1'!AO1967</f>
        <v/>
      </c>
      <c r="AG843" s="4" t="str">
        <f>'Form responses 1'!AP1967</f>
        <v/>
      </c>
      <c r="AH843" s="4" t="str">
        <f>'Form responses 1'!AQ1967</f>
        <v/>
      </c>
      <c r="AI843" s="4" t="str">
        <f>'Form responses 1'!AR1967</f>
        <v/>
      </c>
    </row>
    <row r="844">
      <c r="A844" s="26" t="str">
        <f>'Form responses 1'!B1687</f>
        <v/>
      </c>
      <c r="B844" s="4" t="str">
        <f>'Form responses 1'!AZ1687</f>
        <v/>
      </c>
      <c r="C844" s="4" t="str">
        <f>'Form responses 1'!BR1687</f>
        <v/>
      </c>
      <c r="D844" s="4" t="str">
        <f>'Form responses 1'!AT1687</f>
        <v/>
      </c>
      <c r="E844" s="4" t="str">
        <f>'Form responses 1'!AU1687</f>
        <v/>
      </c>
      <c r="F844" s="4" t="str">
        <f>'Form responses 1'!AX1687</f>
        <v/>
      </c>
      <c r="G844" s="4" t="str">
        <f>'Form responses 1'!AY1687</f>
        <v/>
      </c>
      <c r="H844" s="53" t="str">
        <f>'Form responses 1'!AW1687</f>
        <v/>
      </c>
      <c r="I844" s="4" t="str">
        <f>'Form responses 1'!AS1687</f>
        <v/>
      </c>
      <c r="J844" s="4" t="str">
        <f>'Form responses 1'!J1687</f>
        <v/>
      </c>
      <c r="K844" s="4" t="str">
        <f>'Form responses 1'!G1687</f>
        <v/>
      </c>
      <c r="L844" s="4" t="str">
        <f>'Form responses 1'!F1687</f>
        <v/>
      </c>
      <c r="M844" s="4" t="str">
        <f>'Form responses 1'!U1687</f>
        <v/>
      </c>
      <c r="N844" s="4" t="str">
        <f>'Form responses 1'!V1687</f>
        <v/>
      </c>
      <c r="O844" s="4" t="str">
        <f>'Form responses 1'!W1687</f>
        <v/>
      </c>
      <c r="P844" s="4" t="str">
        <f>'Form responses 1'!X1687</f>
        <v/>
      </c>
      <c r="Q844" s="4" t="str">
        <f>'Form responses 1'!Y1687</f>
        <v/>
      </c>
      <c r="R844" s="4" t="str">
        <f>'Form responses 1'!Z1687</f>
        <v/>
      </c>
      <c r="S844" s="4" t="str">
        <f>'Form responses 1'!AC1687</f>
        <v/>
      </c>
      <c r="T844" s="4" t="str">
        <f>'Form responses 1'!AE1687</f>
        <v/>
      </c>
      <c r="U844" s="4" t="str">
        <f>'Form responses 1'!AG1687</f>
        <v/>
      </c>
      <c r="V844" s="4" t="str">
        <f>'Form responses 1'!AI1687</f>
        <v/>
      </c>
      <c r="W844" s="4" t="str">
        <f>'Form responses 1'!AJ1687</f>
        <v/>
      </c>
      <c r="X844" s="4" t="str">
        <f>'Form responses 1'!AK1687</f>
        <v/>
      </c>
      <c r="Y844" s="4">
        <f t="shared" ref="Y844:AD844" si="843">if(S844&gt;0,1,0)</f>
        <v>0</v>
      </c>
      <c r="Z844" s="4">
        <f t="shared" si="843"/>
        <v>0</v>
      </c>
      <c r="AA844" s="4">
        <f t="shared" si="843"/>
        <v>0</v>
      </c>
      <c r="AB844" s="4">
        <f t="shared" si="843"/>
        <v>0</v>
      </c>
      <c r="AC844" s="4">
        <f t="shared" si="843"/>
        <v>0</v>
      </c>
      <c r="AD844" s="4">
        <f t="shared" si="843"/>
        <v>0</v>
      </c>
      <c r="AE844" s="4" t="str">
        <f>'Form responses 1'!AN1687</f>
        <v/>
      </c>
      <c r="AF844" s="4" t="str">
        <f>'Form responses 1'!AO1968</f>
        <v/>
      </c>
      <c r="AG844" s="4" t="str">
        <f>'Form responses 1'!AP1968</f>
        <v/>
      </c>
      <c r="AH844" s="4" t="str">
        <f>'Form responses 1'!AQ1968</f>
        <v/>
      </c>
      <c r="AI844" s="4" t="str">
        <f>'Form responses 1'!AR1968</f>
        <v/>
      </c>
    </row>
    <row r="845">
      <c r="A845" s="26" t="str">
        <f>'Form responses 1'!B1688</f>
        <v/>
      </c>
      <c r="B845" s="4" t="str">
        <f>'Form responses 1'!AZ1688</f>
        <v/>
      </c>
      <c r="C845" s="4" t="str">
        <f>'Form responses 1'!BR1688</f>
        <v/>
      </c>
      <c r="D845" s="4" t="str">
        <f>'Form responses 1'!AT1688</f>
        <v/>
      </c>
      <c r="E845" s="4" t="str">
        <f>'Form responses 1'!AU1688</f>
        <v/>
      </c>
      <c r="F845" s="4" t="str">
        <f>'Form responses 1'!AX1688</f>
        <v/>
      </c>
      <c r="G845" s="4" t="str">
        <f>'Form responses 1'!AY1688</f>
        <v/>
      </c>
      <c r="H845" s="53" t="str">
        <f>'Form responses 1'!AW1688</f>
        <v/>
      </c>
      <c r="I845" s="4" t="str">
        <f>'Form responses 1'!AS1688</f>
        <v/>
      </c>
      <c r="J845" s="4" t="str">
        <f>'Form responses 1'!J1688</f>
        <v/>
      </c>
      <c r="K845" s="4" t="str">
        <f>'Form responses 1'!G1688</f>
        <v/>
      </c>
      <c r="L845" s="4" t="str">
        <f>'Form responses 1'!F1688</f>
        <v/>
      </c>
      <c r="M845" s="4" t="str">
        <f>'Form responses 1'!U1688</f>
        <v/>
      </c>
      <c r="N845" s="4" t="str">
        <f>'Form responses 1'!V1688</f>
        <v/>
      </c>
      <c r="O845" s="4" t="str">
        <f>'Form responses 1'!W1688</f>
        <v/>
      </c>
      <c r="P845" s="4" t="str">
        <f>'Form responses 1'!X1688</f>
        <v/>
      </c>
      <c r="Q845" s="4" t="str">
        <f>'Form responses 1'!Y1688</f>
        <v/>
      </c>
      <c r="R845" s="4" t="str">
        <f>'Form responses 1'!Z1688</f>
        <v/>
      </c>
      <c r="S845" s="4" t="str">
        <f>'Form responses 1'!AC1688</f>
        <v/>
      </c>
      <c r="T845" s="4" t="str">
        <f>'Form responses 1'!AE1688</f>
        <v/>
      </c>
      <c r="U845" s="4" t="str">
        <f>'Form responses 1'!AG1688</f>
        <v/>
      </c>
      <c r="V845" s="4" t="str">
        <f>'Form responses 1'!AI1688</f>
        <v/>
      </c>
      <c r="W845" s="4" t="str">
        <f>'Form responses 1'!AJ1688</f>
        <v/>
      </c>
      <c r="X845" s="4" t="str">
        <f>'Form responses 1'!AK1688</f>
        <v/>
      </c>
      <c r="Y845" s="4">
        <f t="shared" ref="Y845:AD845" si="844">if(S845&gt;0,1,0)</f>
        <v>0</v>
      </c>
      <c r="Z845" s="4">
        <f t="shared" si="844"/>
        <v>0</v>
      </c>
      <c r="AA845" s="4">
        <f t="shared" si="844"/>
        <v>0</v>
      </c>
      <c r="AB845" s="4">
        <f t="shared" si="844"/>
        <v>0</v>
      </c>
      <c r="AC845" s="4">
        <f t="shared" si="844"/>
        <v>0</v>
      </c>
      <c r="AD845" s="4">
        <f t="shared" si="844"/>
        <v>0</v>
      </c>
      <c r="AE845" s="4" t="str">
        <f>'Form responses 1'!AN1688</f>
        <v/>
      </c>
      <c r="AF845" s="4" t="str">
        <f>'Form responses 1'!AO1969</f>
        <v/>
      </c>
      <c r="AG845" s="4" t="str">
        <f>'Form responses 1'!AP1969</f>
        <v/>
      </c>
      <c r="AH845" s="4" t="str">
        <f>'Form responses 1'!AQ1969</f>
        <v/>
      </c>
      <c r="AI845" s="4" t="str">
        <f>'Form responses 1'!AR1969</f>
        <v/>
      </c>
    </row>
    <row r="846">
      <c r="A846" s="26" t="str">
        <f>'Form responses 1'!B1689</f>
        <v/>
      </c>
      <c r="B846" s="4" t="str">
        <f>'Form responses 1'!AZ1689</f>
        <v/>
      </c>
      <c r="C846" s="4" t="str">
        <f>'Form responses 1'!BR1689</f>
        <v/>
      </c>
      <c r="D846" s="4" t="str">
        <f>'Form responses 1'!AT1689</f>
        <v/>
      </c>
      <c r="E846" s="4" t="str">
        <f>'Form responses 1'!AU1689</f>
        <v/>
      </c>
      <c r="F846" s="4" t="str">
        <f>'Form responses 1'!AX1689</f>
        <v/>
      </c>
      <c r="G846" s="4" t="str">
        <f>'Form responses 1'!AY1689</f>
        <v/>
      </c>
      <c r="H846" s="53" t="str">
        <f>'Form responses 1'!AW1689</f>
        <v/>
      </c>
      <c r="I846" s="4" t="str">
        <f>'Form responses 1'!AS1689</f>
        <v/>
      </c>
      <c r="J846" s="4" t="str">
        <f>'Form responses 1'!J1689</f>
        <v/>
      </c>
      <c r="K846" s="4" t="str">
        <f>'Form responses 1'!G1689</f>
        <v/>
      </c>
      <c r="L846" s="4" t="str">
        <f>'Form responses 1'!F1689</f>
        <v/>
      </c>
      <c r="M846" s="4" t="str">
        <f>'Form responses 1'!U1689</f>
        <v/>
      </c>
      <c r="N846" s="4" t="str">
        <f>'Form responses 1'!V1689</f>
        <v/>
      </c>
      <c r="O846" s="4" t="str">
        <f>'Form responses 1'!W1689</f>
        <v/>
      </c>
      <c r="P846" s="4" t="str">
        <f>'Form responses 1'!X1689</f>
        <v/>
      </c>
      <c r="Q846" s="4" t="str">
        <f>'Form responses 1'!Y1689</f>
        <v/>
      </c>
      <c r="R846" s="4" t="str">
        <f>'Form responses 1'!Z1689</f>
        <v/>
      </c>
      <c r="S846" s="4" t="str">
        <f>'Form responses 1'!AC1689</f>
        <v/>
      </c>
      <c r="T846" s="4" t="str">
        <f>'Form responses 1'!AE1689</f>
        <v/>
      </c>
      <c r="U846" s="4" t="str">
        <f>'Form responses 1'!AG1689</f>
        <v/>
      </c>
      <c r="V846" s="4" t="str">
        <f>'Form responses 1'!AI1689</f>
        <v/>
      </c>
      <c r="W846" s="4" t="str">
        <f>'Form responses 1'!AJ1689</f>
        <v/>
      </c>
      <c r="X846" s="4" t="str">
        <f>'Form responses 1'!AK1689</f>
        <v/>
      </c>
      <c r="Y846" s="4">
        <f t="shared" ref="Y846:AD846" si="845">if(S846&gt;0,1,0)</f>
        <v>0</v>
      </c>
      <c r="Z846" s="4">
        <f t="shared" si="845"/>
        <v>0</v>
      </c>
      <c r="AA846" s="4">
        <f t="shared" si="845"/>
        <v>0</v>
      </c>
      <c r="AB846" s="4">
        <f t="shared" si="845"/>
        <v>0</v>
      </c>
      <c r="AC846" s="4">
        <f t="shared" si="845"/>
        <v>0</v>
      </c>
      <c r="AD846" s="4">
        <f t="shared" si="845"/>
        <v>0</v>
      </c>
      <c r="AE846" s="4" t="str">
        <f>'Form responses 1'!AN1689</f>
        <v/>
      </c>
      <c r="AF846" s="4" t="str">
        <f>'Form responses 1'!AO1970</f>
        <v/>
      </c>
      <c r="AG846" s="4" t="str">
        <f>'Form responses 1'!AP1970</f>
        <v/>
      </c>
      <c r="AH846" s="4" t="str">
        <f>'Form responses 1'!AQ1970</f>
        <v/>
      </c>
      <c r="AI846" s="4" t="str">
        <f>'Form responses 1'!AR1970</f>
        <v/>
      </c>
    </row>
    <row r="847">
      <c r="A847" s="26" t="str">
        <f>'Form responses 1'!B1690</f>
        <v/>
      </c>
      <c r="B847" s="4" t="str">
        <f>'Form responses 1'!AZ1690</f>
        <v/>
      </c>
      <c r="C847" s="4" t="str">
        <f>'Form responses 1'!BR1690</f>
        <v/>
      </c>
      <c r="D847" s="4" t="str">
        <f>'Form responses 1'!AT1690</f>
        <v/>
      </c>
      <c r="E847" s="4" t="str">
        <f>'Form responses 1'!AU1690</f>
        <v/>
      </c>
      <c r="F847" s="4" t="str">
        <f>'Form responses 1'!AX1690</f>
        <v/>
      </c>
      <c r="G847" s="4" t="str">
        <f>'Form responses 1'!AY1690</f>
        <v/>
      </c>
      <c r="H847" s="53" t="str">
        <f>'Form responses 1'!AW1690</f>
        <v/>
      </c>
      <c r="I847" s="4" t="str">
        <f>'Form responses 1'!AS1690</f>
        <v/>
      </c>
      <c r="J847" s="4" t="str">
        <f>'Form responses 1'!J1690</f>
        <v/>
      </c>
      <c r="K847" s="4" t="str">
        <f>'Form responses 1'!G1690</f>
        <v/>
      </c>
      <c r="L847" s="4" t="str">
        <f>'Form responses 1'!F1690</f>
        <v/>
      </c>
      <c r="M847" s="4" t="str">
        <f>'Form responses 1'!U1690</f>
        <v/>
      </c>
      <c r="N847" s="4" t="str">
        <f>'Form responses 1'!V1690</f>
        <v/>
      </c>
      <c r="O847" s="4" t="str">
        <f>'Form responses 1'!W1690</f>
        <v/>
      </c>
      <c r="P847" s="4" t="str">
        <f>'Form responses 1'!X1690</f>
        <v/>
      </c>
      <c r="Q847" s="4" t="str">
        <f>'Form responses 1'!Y1690</f>
        <v/>
      </c>
      <c r="R847" s="4" t="str">
        <f>'Form responses 1'!Z1690</f>
        <v/>
      </c>
      <c r="S847" s="4" t="str">
        <f>'Form responses 1'!AC1690</f>
        <v/>
      </c>
      <c r="T847" s="4" t="str">
        <f>'Form responses 1'!AE1690</f>
        <v/>
      </c>
      <c r="U847" s="4" t="str">
        <f>'Form responses 1'!AG1690</f>
        <v/>
      </c>
      <c r="V847" s="4" t="str">
        <f>'Form responses 1'!AI1690</f>
        <v/>
      </c>
      <c r="W847" s="4" t="str">
        <f>'Form responses 1'!AJ1690</f>
        <v/>
      </c>
      <c r="X847" s="4" t="str">
        <f>'Form responses 1'!AK1690</f>
        <v/>
      </c>
      <c r="Y847" s="4">
        <f t="shared" ref="Y847:AD847" si="846">if(S847&gt;0,1,0)</f>
        <v>0</v>
      </c>
      <c r="Z847" s="4">
        <f t="shared" si="846"/>
        <v>0</v>
      </c>
      <c r="AA847" s="4">
        <f t="shared" si="846"/>
        <v>0</v>
      </c>
      <c r="AB847" s="4">
        <f t="shared" si="846"/>
        <v>0</v>
      </c>
      <c r="AC847" s="4">
        <f t="shared" si="846"/>
        <v>0</v>
      </c>
      <c r="AD847" s="4">
        <f t="shared" si="846"/>
        <v>0</v>
      </c>
      <c r="AE847" s="4" t="str">
        <f>'Form responses 1'!AN1690</f>
        <v/>
      </c>
      <c r="AF847" s="4" t="str">
        <f>'Form responses 1'!AO1971</f>
        <v/>
      </c>
      <c r="AG847" s="4" t="str">
        <f>'Form responses 1'!AP1971</f>
        <v/>
      </c>
      <c r="AH847" s="4" t="str">
        <f>'Form responses 1'!AQ1971</f>
        <v/>
      </c>
      <c r="AI847" s="4" t="str">
        <f>'Form responses 1'!AR1971</f>
        <v/>
      </c>
    </row>
    <row r="848">
      <c r="A848" s="26" t="str">
        <f>'Form responses 1'!B1691</f>
        <v/>
      </c>
      <c r="B848" s="4" t="str">
        <f>'Form responses 1'!AZ1691</f>
        <v/>
      </c>
      <c r="C848" s="4" t="str">
        <f>'Form responses 1'!BR1691</f>
        <v/>
      </c>
      <c r="D848" s="4" t="str">
        <f>'Form responses 1'!AT1691</f>
        <v/>
      </c>
      <c r="E848" s="4" t="str">
        <f>'Form responses 1'!AU1691</f>
        <v/>
      </c>
      <c r="F848" s="4" t="str">
        <f>'Form responses 1'!AX1691</f>
        <v/>
      </c>
      <c r="G848" s="4" t="str">
        <f>'Form responses 1'!AY1691</f>
        <v/>
      </c>
      <c r="H848" s="53" t="str">
        <f>'Form responses 1'!AW1691</f>
        <v/>
      </c>
      <c r="I848" s="4" t="str">
        <f>'Form responses 1'!AS1691</f>
        <v/>
      </c>
      <c r="J848" s="4" t="str">
        <f>'Form responses 1'!J1691</f>
        <v/>
      </c>
      <c r="K848" s="4" t="str">
        <f>'Form responses 1'!G1691</f>
        <v/>
      </c>
      <c r="L848" s="4" t="str">
        <f>'Form responses 1'!F1691</f>
        <v/>
      </c>
      <c r="M848" s="4" t="str">
        <f>'Form responses 1'!U1691</f>
        <v/>
      </c>
      <c r="N848" s="4" t="str">
        <f>'Form responses 1'!V1691</f>
        <v/>
      </c>
      <c r="O848" s="4" t="str">
        <f>'Form responses 1'!W1691</f>
        <v/>
      </c>
      <c r="P848" s="4" t="str">
        <f>'Form responses 1'!X1691</f>
        <v/>
      </c>
      <c r="Q848" s="4" t="str">
        <f>'Form responses 1'!Y1691</f>
        <v/>
      </c>
      <c r="R848" s="4" t="str">
        <f>'Form responses 1'!Z1691</f>
        <v/>
      </c>
      <c r="S848" s="4" t="str">
        <f>'Form responses 1'!AC1691</f>
        <v/>
      </c>
      <c r="T848" s="4" t="str">
        <f>'Form responses 1'!AE1691</f>
        <v/>
      </c>
      <c r="U848" s="4" t="str">
        <f>'Form responses 1'!AG1691</f>
        <v/>
      </c>
      <c r="V848" s="4" t="str">
        <f>'Form responses 1'!AI1691</f>
        <v/>
      </c>
      <c r="W848" s="4" t="str">
        <f>'Form responses 1'!AJ1691</f>
        <v/>
      </c>
      <c r="X848" s="4" t="str">
        <f>'Form responses 1'!AK1691</f>
        <v/>
      </c>
      <c r="Y848" s="4">
        <f t="shared" ref="Y848:AD848" si="847">if(S848&gt;0,1,0)</f>
        <v>0</v>
      </c>
      <c r="Z848" s="4">
        <f t="shared" si="847"/>
        <v>0</v>
      </c>
      <c r="AA848" s="4">
        <f t="shared" si="847"/>
        <v>0</v>
      </c>
      <c r="AB848" s="4">
        <f t="shared" si="847"/>
        <v>0</v>
      </c>
      <c r="AC848" s="4">
        <f t="shared" si="847"/>
        <v>0</v>
      </c>
      <c r="AD848" s="4">
        <f t="shared" si="847"/>
        <v>0</v>
      </c>
      <c r="AE848" s="4" t="str">
        <f>'Form responses 1'!AN1691</f>
        <v/>
      </c>
      <c r="AF848" s="4" t="str">
        <f>'Form responses 1'!AO1972</f>
        <v/>
      </c>
      <c r="AG848" s="4" t="str">
        <f>'Form responses 1'!AP1972</f>
        <v/>
      </c>
      <c r="AH848" s="4" t="str">
        <f>'Form responses 1'!AQ1972</f>
        <v/>
      </c>
      <c r="AI848" s="4" t="str">
        <f>'Form responses 1'!AR1972</f>
        <v/>
      </c>
    </row>
    <row r="849">
      <c r="A849" s="26" t="str">
        <f>'Form responses 1'!B1692</f>
        <v/>
      </c>
      <c r="B849" s="4" t="str">
        <f>'Form responses 1'!AZ1692</f>
        <v/>
      </c>
      <c r="C849" s="4" t="str">
        <f>'Form responses 1'!BR1692</f>
        <v/>
      </c>
      <c r="D849" s="4" t="str">
        <f>'Form responses 1'!AT1692</f>
        <v/>
      </c>
      <c r="E849" s="4" t="str">
        <f>'Form responses 1'!AU1692</f>
        <v/>
      </c>
      <c r="F849" s="4" t="str">
        <f>'Form responses 1'!AX1692</f>
        <v/>
      </c>
      <c r="G849" s="4" t="str">
        <f>'Form responses 1'!AY1692</f>
        <v/>
      </c>
      <c r="H849" s="53" t="str">
        <f>'Form responses 1'!AW1692</f>
        <v/>
      </c>
      <c r="I849" s="4" t="str">
        <f>'Form responses 1'!AS1692</f>
        <v/>
      </c>
      <c r="J849" s="4" t="str">
        <f>'Form responses 1'!J1692</f>
        <v/>
      </c>
      <c r="K849" s="4" t="str">
        <f>'Form responses 1'!G1692</f>
        <v/>
      </c>
      <c r="L849" s="4" t="str">
        <f>'Form responses 1'!F1692</f>
        <v/>
      </c>
      <c r="M849" s="4" t="str">
        <f>'Form responses 1'!U1692</f>
        <v/>
      </c>
      <c r="N849" s="4" t="str">
        <f>'Form responses 1'!V1692</f>
        <v/>
      </c>
      <c r="O849" s="4" t="str">
        <f>'Form responses 1'!W1692</f>
        <v/>
      </c>
      <c r="P849" s="4" t="str">
        <f>'Form responses 1'!X1692</f>
        <v/>
      </c>
      <c r="Q849" s="4" t="str">
        <f>'Form responses 1'!Y1692</f>
        <v/>
      </c>
      <c r="R849" s="4" t="str">
        <f>'Form responses 1'!Z1692</f>
        <v/>
      </c>
      <c r="S849" s="4" t="str">
        <f>'Form responses 1'!AC1692</f>
        <v/>
      </c>
      <c r="T849" s="4" t="str">
        <f>'Form responses 1'!AE1692</f>
        <v/>
      </c>
      <c r="U849" s="4" t="str">
        <f>'Form responses 1'!AG1692</f>
        <v/>
      </c>
      <c r="V849" s="4" t="str">
        <f>'Form responses 1'!AI1692</f>
        <v/>
      </c>
      <c r="W849" s="4" t="str">
        <f>'Form responses 1'!AJ1692</f>
        <v/>
      </c>
      <c r="X849" s="4" t="str">
        <f>'Form responses 1'!AK1692</f>
        <v/>
      </c>
      <c r="Y849" s="4">
        <f t="shared" ref="Y849:AD849" si="848">if(S849&gt;0,1,0)</f>
        <v>0</v>
      </c>
      <c r="Z849" s="4">
        <f t="shared" si="848"/>
        <v>0</v>
      </c>
      <c r="AA849" s="4">
        <f t="shared" si="848"/>
        <v>0</v>
      </c>
      <c r="AB849" s="4">
        <f t="shared" si="848"/>
        <v>0</v>
      </c>
      <c r="AC849" s="4">
        <f t="shared" si="848"/>
        <v>0</v>
      </c>
      <c r="AD849" s="4">
        <f t="shared" si="848"/>
        <v>0</v>
      </c>
      <c r="AE849" s="4" t="str">
        <f>'Form responses 1'!AN1692</f>
        <v/>
      </c>
      <c r="AF849" s="4" t="str">
        <f>'Form responses 1'!AO1973</f>
        <v/>
      </c>
      <c r="AG849" s="4" t="str">
        <f>'Form responses 1'!AP1973</f>
        <v/>
      </c>
      <c r="AH849" s="4" t="str">
        <f>'Form responses 1'!AQ1973</f>
        <v/>
      </c>
      <c r="AI849" s="4" t="str">
        <f>'Form responses 1'!AR1973</f>
        <v/>
      </c>
    </row>
    <row r="850">
      <c r="A850" s="26" t="str">
        <f>'Form responses 1'!B1693</f>
        <v/>
      </c>
      <c r="B850" s="4" t="str">
        <f>'Form responses 1'!AZ1693</f>
        <v/>
      </c>
      <c r="C850" s="4" t="str">
        <f>'Form responses 1'!BR1693</f>
        <v/>
      </c>
      <c r="D850" s="4" t="str">
        <f>'Form responses 1'!AT1693</f>
        <v/>
      </c>
      <c r="E850" s="4" t="str">
        <f>'Form responses 1'!AU1693</f>
        <v/>
      </c>
      <c r="F850" s="4" t="str">
        <f>'Form responses 1'!AX1693</f>
        <v/>
      </c>
      <c r="G850" s="4" t="str">
        <f>'Form responses 1'!AY1693</f>
        <v/>
      </c>
      <c r="H850" s="53" t="str">
        <f>'Form responses 1'!AW1693</f>
        <v/>
      </c>
      <c r="I850" s="4" t="str">
        <f>'Form responses 1'!AS1693</f>
        <v/>
      </c>
      <c r="J850" s="4" t="str">
        <f>'Form responses 1'!J1693</f>
        <v/>
      </c>
      <c r="K850" s="4" t="str">
        <f>'Form responses 1'!G1693</f>
        <v/>
      </c>
      <c r="L850" s="4" t="str">
        <f>'Form responses 1'!F1693</f>
        <v/>
      </c>
      <c r="M850" s="4" t="str">
        <f>'Form responses 1'!U1693</f>
        <v/>
      </c>
      <c r="N850" s="4" t="str">
        <f>'Form responses 1'!V1693</f>
        <v/>
      </c>
      <c r="O850" s="4" t="str">
        <f>'Form responses 1'!W1693</f>
        <v/>
      </c>
      <c r="P850" s="4" t="str">
        <f>'Form responses 1'!X1693</f>
        <v/>
      </c>
      <c r="Q850" s="4" t="str">
        <f>'Form responses 1'!Y1693</f>
        <v/>
      </c>
      <c r="R850" s="4" t="str">
        <f>'Form responses 1'!Z1693</f>
        <v/>
      </c>
      <c r="S850" s="4" t="str">
        <f>'Form responses 1'!AC1693</f>
        <v/>
      </c>
      <c r="T850" s="4" t="str">
        <f>'Form responses 1'!AE1693</f>
        <v/>
      </c>
      <c r="U850" s="4" t="str">
        <f>'Form responses 1'!AG1693</f>
        <v/>
      </c>
      <c r="V850" s="4" t="str">
        <f>'Form responses 1'!AI1693</f>
        <v/>
      </c>
      <c r="W850" s="4" t="str">
        <f>'Form responses 1'!AJ1693</f>
        <v/>
      </c>
      <c r="X850" s="4" t="str">
        <f>'Form responses 1'!AK1693</f>
        <v/>
      </c>
      <c r="Y850" s="4">
        <f t="shared" ref="Y850:AD850" si="849">if(S850&gt;0,1,0)</f>
        <v>0</v>
      </c>
      <c r="Z850" s="4">
        <f t="shared" si="849"/>
        <v>0</v>
      </c>
      <c r="AA850" s="4">
        <f t="shared" si="849"/>
        <v>0</v>
      </c>
      <c r="AB850" s="4">
        <f t="shared" si="849"/>
        <v>0</v>
      </c>
      <c r="AC850" s="4">
        <f t="shared" si="849"/>
        <v>0</v>
      </c>
      <c r="AD850" s="4">
        <f t="shared" si="849"/>
        <v>0</v>
      </c>
      <c r="AE850" s="4" t="str">
        <f>'Form responses 1'!AN1693</f>
        <v/>
      </c>
      <c r="AF850" s="4" t="str">
        <f>'Form responses 1'!AO1974</f>
        <v/>
      </c>
      <c r="AG850" s="4" t="str">
        <f>'Form responses 1'!AP1974</f>
        <v/>
      </c>
      <c r="AH850" s="4" t="str">
        <f>'Form responses 1'!AQ1974</f>
        <v/>
      </c>
      <c r="AI850" s="4" t="str">
        <f>'Form responses 1'!AR1974</f>
        <v/>
      </c>
    </row>
    <row r="851">
      <c r="A851" s="26" t="str">
        <f>'Form responses 1'!B1694</f>
        <v/>
      </c>
      <c r="B851" s="4" t="str">
        <f>'Form responses 1'!AZ1694</f>
        <v/>
      </c>
      <c r="C851" s="4" t="str">
        <f>'Form responses 1'!BR1694</f>
        <v/>
      </c>
      <c r="D851" s="4" t="str">
        <f>'Form responses 1'!AT1694</f>
        <v/>
      </c>
      <c r="E851" s="4" t="str">
        <f>'Form responses 1'!AU1694</f>
        <v/>
      </c>
      <c r="F851" s="4" t="str">
        <f>'Form responses 1'!AX1694</f>
        <v/>
      </c>
      <c r="G851" s="4" t="str">
        <f>'Form responses 1'!AY1694</f>
        <v/>
      </c>
      <c r="H851" s="53" t="str">
        <f>'Form responses 1'!AW1694</f>
        <v/>
      </c>
      <c r="I851" s="4" t="str">
        <f>'Form responses 1'!AS1694</f>
        <v/>
      </c>
      <c r="J851" s="4" t="str">
        <f>'Form responses 1'!J1694</f>
        <v/>
      </c>
      <c r="K851" s="4" t="str">
        <f>'Form responses 1'!G1694</f>
        <v/>
      </c>
      <c r="L851" s="4" t="str">
        <f>'Form responses 1'!F1694</f>
        <v/>
      </c>
      <c r="M851" s="4" t="str">
        <f>'Form responses 1'!U1694</f>
        <v/>
      </c>
      <c r="N851" s="4" t="str">
        <f>'Form responses 1'!V1694</f>
        <v/>
      </c>
      <c r="O851" s="4" t="str">
        <f>'Form responses 1'!W1694</f>
        <v/>
      </c>
      <c r="P851" s="4" t="str">
        <f>'Form responses 1'!X1694</f>
        <v/>
      </c>
      <c r="Q851" s="4" t="str">
        <f>'Form responses 1'!Y1694</f>
        <v/>
      </c>
      <c r="R851" s="4" t="str">
        <f>'Form responses 1'!Z1694</f>
        <v/>
      </c>
      <c r="S851" s="4" t="str">
        <f>'Form responses 1'!AC1694</f>
        <v/>
      </c>
      <c r="T851" s="4" t="str">
        <f>'Form responses 1'!AE1694</f>
        <v/>
      </c>
      <c r="U851" s="4" t="str">
        <f>'Form responses 1'!AG1694</f>
        <v/>
      </c>
      <c r="V851" s="4" t="str">
        <f>'Form responses 1'!AI1694</f>
        <v/>
      </c>
      <c r="W851" s="4" t="str">
        <f>'Form responses 1'!AJ1694</f>
        <v/>
      </c>
      <c r="X851" s="4" t="str">
        <f>'Form responses 1'!AK1694</f>
        <v/>
      </c>
      <c r="Y851" s="4">
        <f t="shared" ref="Y851:AD851" si="850">if(S851&gt;0,1,0)</f>
        <v>0</v>
      </c>
      <c r="Z851" s="4">
        <f t="shared" si="850"/>
        <v>0</v>
      </c>
      <c r="AA851" s="4">
        <f t="shared" si="850"/>
        <v>0</v>
      </c>
      <c r="AB851" s="4">
        <f t="shared" si="850"/>
        <v>0</v>
      </c>
      <c r="AC851" s="4">
        <f t="shared" si="850"/>
        <v>0</v>
      </c>
      <c r="AD851" s="4">
        <f t="shared" si="850"/>
        <v>0</v>
      </c>
      <c r="AE851" s="4" t="str">
        <f>'Form responses 1'!AN1694</f>
        <v/>
      </c>
      <c r="AF851" s="4" t="str">
        <f>'Form responses 1'!AO1975</f>
        <v/>
      </c>
      <c r="AG851" s="4" t="str">
        <f>'Form responses 1'!AP1975</f>
        <v/>
      </c>
      <c r="AH851" s="4" t="str">
        <f>'Form responses 1'!AQ1975</f>
        <v/>
      </c>
      <c r="AI851" s="4" t="str">
        <f>'Form responses 1'!AR1975</f>
        <v/>
      </c>
    </row>
    <row r="852">
      <c r="A852" s="26" t="str">
        <f>'Form responses 1'!B1695</f>
        <v/>
      </c>
      <c r="B852" s="4" t="str">
        <f>'Form responses 1'!AZ1695</f>
        <v/>
      </c>
      <c r="C852" s="4" t="str">
        <f>'Form responses 1'!BR1695</f>
        <v/>
      </c>
      <c r="D852" s="4" t="str">
        <f>'Form responses 1'!AT1695</f>
        <v/>
      </c>
      <c r="E852" s="4" t="str">
        <f>'Form responses 1'!AU1695</f>
        <v/>
      </c>
      <c r="F852" s="4" t="str">
        <f>'Form responses 1'!AX1695</f>
        <v/>
      </c>
      <c r="G852" s="4" t="str">
        <f>'Form responses 1'!AY1695</f>
        <v/>
      </c>
      <c r="H852" s="53" t="str">
        <f>'Form responses 1'!AW1695</f>
        <v/>
      </c>
      <c r="I852" s="4" t="str">
        <f>'Form responses 1'!AS1695</f>
        <v/>
      </c>
      <c r="J852" s="4" t="str">
        <f>'Form responses 1'!J1695</f>
        <v/>
      </c>
      <c r="K852" s="4" t="str">
        <f>'Form responses 1'!G1695</f>
        <v/>
      </c>
      <c r="L852" s="4" t="str">
        <f>'Form responses 1'!F1695</f>
        <v/>
      </c>
      <c r="M852" s="4" t="str">
        <f>'Form responses 1'!U1695</f>
        <v/>
      </c>
      <c r="N852" s="4" t="str">
        <f>'Form responses 1'!V1695</f>
        <v/>
      </c>
      <c r="O852" s="4" t="str">
        <f>'Form responses 1'!W1695</f>
        <v/>
      </c>
      <c r="P852" s="4" t="str">
        <f>'Form responses 1'!X1695</f>
        <v/>
      </c>
      <c r="Q852" s="4" t="str">
        <f>'Form responses 1'!Y1695</f>
        <v/>
      </c>
      <c r="R852" s="4" t="str">
        <f>'Form responses 1'!Z1695</f>
        <v/>
      </c>
      <c r="S852" s="4" t="str">
        <f>'Form responses 1'!AC1695</f>
        <v/>
      </c>
      <c r="T852" s="4" t="str">
        <f>'Form responses 1'!AE1695</f>
        <v/>
      </c>
      <c r="U852" s="4" t="str">
        <f>'Form responses 1'!AG1695</f>
        <v/>
      </c>
      <c r="V852" s="4" t="str">
        <f>'Form responses 1'!AI1695</f>
        <v/>
      </c>
      <c r="W852" s="4" t="str">
        <f>'Form responses 1'!AJ1695</f>
        <v/>
      </c>
      <c r="X852" s="4" t="str">
        <f>'Form responses 1'!AK1695</f>
        <v/>
      </c>
      <c r="Y852" s="4">
        <f t="shared" ref="Y852:AD852" si="851">if(S852&gt;0,1,0)</f>
        <v>0</v>
      </c>
      <c r="Z852" s="4">
        <f t="shared" si="851"/>
        <v>0</v>
      </c>
      <c r="AA852" s="4">
        <f t="shared" si="851"/>
        <v>0</v>
      </c>
      <c r="AB852" s="4">
        <f t="shared" si="851"/>
        <v>0</v>
      </c>
      <c r="AC852" s="4">
        <f t="shared" si="851"/>
        <v>0</v>
      </c>
      <c r="AD852" s="4">
        <f t="shared" si="851"/>
        <v>0</v>
      </c>
      <c r="AE852" s="4" t="str">
        <f>'Form responses 1'!AN1695</f>
        <v/>
      </c>
      <c r="AF852" s="4" t="str">
        <f>'Form responses 1'!AO1976</f>
        <v/>
      </c>
      <c r="AG852" s="4" t="str">
        <f>'Form responses 1'!AP1976</f>
        <v/>
      </c>
      <c r="AH852" s="4" t="str">
        <f>'Form responses 1'!AQ1976</f>
        <v/>
      </c>
      <c r="AI852" s="4" t="str">
        <f>'Form responses 1'!AR1976</f>
        <v/>
      </c>
    </row>
    <row r="853">
      <c r="A853" s="26" t="str">
        <f>'Form responses 1'!B1696</f>
        <v/>
      </c>
      <c r="B853" s="4" t="str">
        <f>'Form responses 1'!AZ1696</f>
        <v/>
      </c>
      <c r="C853" s="4" t="str">
        <f>'Form responses 1'!BR1696</f>
        <v/>
      </c>
      <c r="D853" s="4" t="str">
        <f>'Form responses 1'!AT1696</f>
        <v/>
      </c>
      <c r="E853" s="4" t="str">
        <f>'Form responses 1'!AU1696</f>
        <v/>
      </c>
      <c r="F853" s="4" t="str">
        <f>'Form responses 1'!AX1696</f>
        <v/>
      </c>
      <c r="G853" s="4" t="str">
        <f>'Form responses 1'!AY1696</f>
        <v/>
      </c>
      <c r="H853" s="53" t="str">
        <f>'Form responses 1'!AW1696</f>
        <v/>
      </c>
      <c r="I853" s="4" t="str">
        <f>'Form responses 1'!AS1696</f>
        <v/>
      </c>
      <c r="J853" s="4" t="str">
        <f>'Form responses 1'!J1696</f>
        <v/>
      </c>
      <c r="K853" s="4" t="str">
        <f>'Form responses 1'!G1696</f>
        <v/>
      </c>
      <c r="L853" s="4" t="str">
        <f>'Form responses 1'!F1696</f>
        <v/>
      </c>
      <c r="M853" s="4" t="str">
        <f>'Form responses 1'!U1696</f>
        <v/>
      </c>
      <c r="N853" s="4" t="str">
        <f>'Form responses 1'!V1696</f>
        <v/>
      </c>
      <c r="O853" s="4" t="str">
        <f>'Form responses 1'!W1696</f>
        <v/>
      </c>
      <c r="P853" s="4" t="str">
        <f>'Form responses 1'!X1696</f>
        <v/>
      </c>
      <c r="Q853" s="4" t="str">
        <f>'Form responses 1'!Y1696</f>
        <v/>
      </c>
      <c r="R853" s="4" t="str">
        <f>'Form responses 1'!Z1696</f>
        <v/>
      </c>
      <c r="S853" s="4" t="str">
        <f>'Form responses 1'!AC1696</f>
        <v/>
      </c>
      <c r="T853" s="4" t="str">
        <f>'Form responses 1'!AE1696</f>
        <v/>
      </c>
      <c r="U853" s="4" t="str">
        <f>'Form responses 1'!AG1696</f>
        <v/>
      </c>
      <c r="V853" s="4" t="str">
        <f>'Form responses 1'!AI1696</f>
        <v/>
      </c>
      <c r="W853" s="4" t="str">
        <f>'Form responses 1'!AJ1696</f>
        <v/>
      </c>
      <c r="X853" s="4" t="str">
        <f>'Form responses 1'!AK1696</f>
        <v/>
      </c>
      <c r="Y853" s="4">
        <f t="shared" ref="Y853:AD853" si="852">if(S853&gt;0,1,0)</f>
        <v>0</v>
      </c>
      <c r="Z853" s="4">
        <f t="shared" si="852"/>
        <v>0</v>
      </c>
      <c r="AA853" s="4">
        <f t="shared" si="852"/>
        <v>0</v>
      </c>
      <c r="AB853" s="4">
        <f t="shared" si="852"/>
        <v>0</v>
      </c>
      <c r="AC853" s="4">
        <f t="shared" si="852"/>
        <v>0</v>
      </c>
      <c r="AD853" s="4">
        <f t="shared" si="852"/>
        <v>0</v>
      </c>
      <c r="AE853" s="4" t="str">
        <f>'Form responses 1'!AN1696</f>
        <v/>
      </c>
      <c r="AF853" s="4" t="str">
        <f>'Form responses 1'!AO1977</f>
        <v/>
      </c>
      <c r="AG853" s="4" t="str">
        <f>'Form responses 1'!AP1977</f>
        <v/>
      </c>
      <c r="AH853" s="4" t="str">
        <f>'Form responses 1'!AQ1977</f>
        <v/>
      </c>
      <c r="AI853" s="4" t="str">
        <f>'Form responses 1'!AR1977</f>
        <v/>
      </c>
    </row>
    <row r="854">
      <c r="A854" s="26" t="str">
        <f>'Form responses 1'!B1697</f>
        <v/>
      </c>
      <c r="B854" s="4" t="str">
        <f>'Form responses 1'!AZ1697</f>
        <v/>
      </c>
      <c r="C854" s="4" t="str">
        <f>'Form responses 1'!BR1697</f>
        <v/>
      </c>
      <c r="D854" s="4" t="str">
        <f>'Form responses 1'!AT1697</f>
        <v/>
      </c>
      <c r="E854" s="4" t="str">
        <f>'Form responses 1'!AU1697</f>
        <v/>
      </c>
      <c r="F854" s="4" t="str">
        <f>'Form responses 1'!AX1697</f>
        <v/>
      </c>
      <c r="G854" s="4" t="str">
        <f>'Form responses 1'!AY1697</f>
        <v/>
      </c>
      <c r="H854" s="53" t="str">
        <f>'Form responses 1'!AW1697</f>
        <v/>
      </c>
      <c r="I854" s="4" t="str">
        <f>'Form responses 1'!AS1697</f>
        <v/>
      </c>
      <c r="J854" s="4" t="str">
        <f>'Form responses 1'!J1697</f>
        <v/>
      </c>
      <c r="K854" s="4" t="str">
        <f>'Form responses 1'!G1697</f>
        <v/>
      </c>
      <c r="L854" s="4" t="str">
        <f>'Form responses 1'!F1697</f>
        <v/>
      </c>
      <c r="M854" s="4" t="str">
        <f>'Form responses 1'!U1697</f>
        <v/>
      </c>
      <c r="N854" s="4" t="str">
        <f>'Form responses 1'!V1697</f>
        <v/>
      </c>
      <c r="O854" s="4" t="str">
        <f>'Form responses 1'!W1697</f>
        <v/>
      </c>
      <c r="P854" s="4" t="str">
        <f>'Form responses 1'!X1697</f>
        <v/>
      </c>
      <c r="Q854" s="4" t="str">
        <f>'Form responses 1'!Y1697</f>
        <v/>
      </c>
      <c r="R854" s="4" t="str">
        <f>'Form responses 1'!Z1697</f>
        <v/>
      </c>
      <c r="S854" s="4" t="str">
        <f>'Form responses 1'!AC1697</f>
        <v/>
      </c>
      <c r="T854" s="4" t="str">
        <f>'Form responses 1'!AE1697</f>
        <v/>
      </c>
      <c r="U854" s="4" t="str">
        <f>'Form responses 1'!AG1697</f>
        <v/>
      </c>
      <c r="V854" s="4" t="str">
        <f>'Form responses 1'!AI1697</f>
        <v/>
      </c>
      <c r="W854" s="4" t="str">
        <f>'Form responses 1'!AJ1697</f>
        <v/>
      </c>
      <c r="X854" s="4" t="str">
        <f>'Form responses 1'!AK1697</f>
        <v/>
      </c>
      <c r="Y854" s="4">
        <f t="shared" ref="Y854:AD854" si="853">if(S854&gt;0,1,0)</f>
        <v>0</v>
      </c>
      <c r="Z854" s="4">
        <f t="shared" si="853"/>
        <v>0</v>
      </c>
      <c r="AA854" s="4">
        <f t="shared" si="853"/>
        <v>0</v>
      </c>
      <c r="AB854" s="4">
        <f t="shared" si="853"/>
        <v>0</v>
      </c>
      <c r="AC854" s="4">
        <f t="shared" si="853"/>
        <v>0</v>
      </c>
      <c r="AD854" s="4">
        <f t="shared" si="853"/>
        <v>0</v>
      </c>
      <c r="AE854" s="4" t="str">
        <f>'Form responses 1'!AN1697</f>
        <v/>
      </c>
      <c r="AF854" s="4" t="str">
        <f>'Form responses 1'!AO1978</f>
        <v/>
      </c>
      <c r="AG854" s="4" t="str">
        <f>'Form responses 1'!AP1978</f>
        <v/>
      </c>
      <c r="AH854" s="4" t="str">
        <f>'Form responses 1'!AQ1978</f>
        <v/>
      </c>
      <c r="AI854" s="4" t="str">
        <f>'Form responses 1'!AR1978</f>
        <v/>
      </c>
    </row>
    <row r="855">
      <c r="A855" s="26" t="str">
        <f>'Form responses 1'!B1698</f>
        <v/>
      </c>
      <c r="B855" s="4" t="str">
        <f>'Form responses 1'!AZ1698</f>
        <v/>
      </c>
      <c r="C855" s="4" t="str">
        <f>'Form responses 1'!BR1698</f>
        <v/>
      </c>
      <c r="D855" s="4" t="str">
        <f>'Form responses 1'!AT1698</f>
        <v/>
      </c>
      <c r="E855" s="4" t="str">
        <f>'Form responses 1'!AU1698</f>
        <v/>
      </c>
      <c r="F855" s="4" t="str">
        <f>'Form responses 1'!AX1698</f>
        <v/>
      </c>
      <c r="G855" s="4" t="str">
        <f>'Form responses 1'!AY1698</f>
        <v/>
      </c>
      <c r="H855" s="53" t="str">
        <f>'Form responses 1'!AW1698</f>
        <v/>
      </c>
      <c r="I855" s="4" t="str">
        <f>'Form responses 1'!AS1698</f>
        <v/>
      </c>
      <c r="J855" s="4" t="str">
        <f>'Form responses 1'!J1698</f>
        <v/>
      </c>
      <c r="K855" s="4" t="str">
        <f>'Form responses 1'!G1698</f>
        <v/>
      </c>
      <c r="L855" s="4" t="str">
        <f>'Form responses 1'!F1698</f>
        <v/>
      </c>
      <c r="M855" s="4" t="str">
        <f>'Form responses 1'!U1698</f>
        <v/>
      </c>
      <c r="N855" s="4" t="str">
        <f>'Form responses 1'!V1698</f>
        <v/>
      </c>
      <c r="O855" s="4" t="str">
        <f>'Form responses 1'!W1698</f>
        <v/>
      </c>
      <c r="P855" s="4" t="str">
        <f>'Form responses 1'!X1698</f>
        <v/>
      </c>
      <c r="Q855" s="4" t="str">
        <f>'Form responses 1'!Y1698</f>
        <v/>
      </c>
      <c r="R855" s="4" t="str">
        <f>'Form responses 1'!Z1698</f>
        <v/>
      </c>
      <c r="S855" s="4" t="str">
        <f>'Form responses 1'!AC1698</f>
        <v/>
      </c>
      <c r="T855" s="4" t="str">
        <f>'Form responses 1'!AE1698</f>
        <v/>
      </c>
      <c r="U855" s="4" t="str">
        <f>'Form responses 1'!AG1698</f>
        <v/>
      </c>
      <c r="V855" s="4" t="str">
        <f>'Form responses 1'!AI1698</f>
        <v/>
      </c>
      <c r="W855" s="4" t="str">
        <f>'Form responses 1'!AJ1698</f>
        <v/>
      </c>
      <c r="X855" s="4" t="str">
        <f>'Form responses 1'!AK1698</f>
        <v/>
      </c>
      <c r="Y855" s="4">
        <f t="shared" ref="Y855:AD855" si="854">if(S855&gt;0,1,0)</f>
        <v>0</v>
      </c>
      <c r="Z855" s="4">
        <f t="shared" si="854"/>
        <v>0</v>
      </c>
      <c r="AA855" s="4">
        <f t="shared" si="854"/>
        <v>0</v>
      </c>
      <c r="AB855" s="4">
        <f t="shared" si="854"/>
        <v>0</v>
      </c>
      <c r="AC855" s="4">
        <f t="shared" si="854"/>
        <v>0</v>
      </c>
      <c r="AD855" s="4">
        <f t="shared" si="854"/>
        <v>0</v>
      </c>
      <c r="AE855" s="4" t="str">
        <f>'Form responses 1'!AN1698</f>
        <v/>
      </c>
      <c r="AF855" s="4" t="str">
        <f>'Form responses 1'!AO1979</f>
        <v/>
      </c>
      <c r="AG855" s="4" t="str">
        <f>'Form responses 1'!AP1979</f>
        <v/>
      </c>
      <c r="AH855" s="4" t="str">
        <f>'Form responses 1'!AQ1979</f>
        <v/>
      </c>
      <c r="AI855" s="4" t="str">
        <f>'Form responses 1'!AR1979</f>
        <v/>
      </c>
    </row>
    <row r="856">
      <c r="A856" s="26" t="str">
        <f>'Form responses 1'!B1699</f>
        <v/>
      </c>
      <c r="B856" s="4" t="str">
        <f>'Form responses 1'!AZ1699</f>
        <v/>
      </c>
      <c r="C856" s="4" t="str">
        <f>'Form responses 1'!BR1699</f>
        <v/>
      </c>
      <c r="D856" s="4" t="str">
        <f>'Form responses 1'!AT1699</f>
        <v/>
      </c>
      <c r="E856" s="4" t="str">
        <f>'Form responses 1'!AU1699</f>
        <v/>
      </c>
      <c r="F856" s="4" t="str">
        <f>'Form responses 1'!AX1699</f>
        <v/>
      </c>
      <c r="G856" s="4" t="str">
        <f>'Form responses 1'!AY1699</f>
        <v/>
      </c>
      <c r="H856" s="53" t="str">
        <f>'Form responses 1'!AW1699</f>
        <v/>
      </c>
      <c r="I856" s="4" t="str">
        <f>'Form responses 1'!AS1699</f>
        <v/>
      </c>
      <c r="J856" s="4" t="str">
        <f>'Form responses 1'!J1699</f>
        <v/>
      </c>
      <c r="K856" s="4" t="str">
        <f>'Form responses 1'!G1699</f>
        <v/>
      </c>
      <c r="L856" s="4" t="str">
        <f>'Form responses 1'!F1699</f>
        <v/>
      </c>
      <c r="M856" s="4" t="str">
        <f>'Form responses 1'!U1699</f>
        <v/>
      </c>
      <c r="N856" s="4" t="str">
        <f>'Form responses 1'!V1699</f>
        <v/>
      </c>
      <c r="O856" s="4" t="str">
        <f>'Form responses 1'!W1699</f>
        <v/>
      </c>
      <c r="P856" s="4" t="str">
        <f>'Form responses 1'!X1699</f>
        <v/>
      </c>
      <c r="Q856" s="4" t="str">
        <f>'Form responses 1'!Y1699</f>
        <v/>
      </c>
      <c r="R856" s="4" t="str">
        <f>'Form responses 1'!Z1699</f>
        <v/>
      </c>
      <c r="S856" s="4" t="str">
        <f>'Form responses 1'!AC1699</f>
        <v/>
      </c>
      <c r="T856" s="4" t="str">
        <f>'Form responses 1'!AE1699</f>
        <v/>
      </c>
      <c r="U856" s="4" t="str">
        <f>'Form responses 1'!AG1699</f>
        <v/>
      </c>
      <c r="V856" s="4" t="str">
        <f>'Form responses 1'!AI1699</f>
        <v/>
      </c>
      <c r="W856" s="4" t="str">
        <f>'Form responses 1'!AJ1699</f>
        <v/>
      </c>
      <c r="X856" s="4" t="str">
        <f>'Form responses 1'!AK1699</f>
        <v/>
      </c>
      <c r="Y856" s="4">
        <f t="shared" ref="Y856:AD856" si="855">if(S856&gt;0,1,0)</f>
        <v>0</v>
      </c>
      <c r="Z856" s="4">
        <f t="shared" si="855"/>
        <v>0</v>
      </c>
      <c r="AA856" s="4">
        <f t="shared" si="855"/>
        <v>0</v>
      </c>
      <c r="AB856" s="4">
        <f t="shared" si="855"/>
        <v>0</v>
      </c>
      <c r="AC856" s="4">
        <f t="shared" si="855"/>
        <v>0</v>
      </c>
      <c r="AD856" s="4">
        <f t="shared" si="855"/>
        <v>0</v>
      </c>
      <c r="AE856" s="4" t="str">
        <f>'Form responses 1'!AN1699</f>
        <v/>
      </c>
      <c r="AF856" s="4" t="str">
        <f>'Form responses 1'!AO1980</f>
        <v/>
      </c>
      <c r="AG856" s="4" t="str">
        <f>'Form responses 1'!AP1980</f>
        <v/>
      </c>
      <c r="AH856" s="4" t="str">
        <f>'Form responses 1'!AQ1980</f>
        <v/>
      </c>
      <c r="AI856" s="4" t="str">
        <f>'Form responses 1'!AR1980</f>
        <v/>
      </c>
    </row>
    <row r="857">
      <c r="A857" s="26" t="str">
        <f>'Form responses 1'!B1700</f>
        <v/>
      </c>
      <c r="B857" s="4" t="str">
        <f>'Form responses 1'!AZ1700</f>
        <v/>
      </c>
      <c r="C857" s="4" t="str">
        <f>'Form responses 1'!BR1700</f>
        <v/>
      </c>
      <c r="D857" s="4" t="str">
        <f>'Form responses 1'!AT1700</f>
        <v/>
      </c>
      <c r="E857" s="4" t="str">
        <f>'Form responses 1'!AU1700</f>
        <v/>
      </c>
      <c r="F857" s="4" t="str">
        <f>'Form responses 1'!AX1700</f>
        <v/>
      </c>
      <c r="G857" s="4" t="str">
        <f>'Form responses 1'!AY1700</f>
        <v/>
      </c>
      <c r="H857" s="53" t="str">
        <f>'Form responses 1'!AW1700</f>
        <v/>
      </c>
      <c r="I857" s="4" t="str">
        <f>'Form responses 1'!AS1700</f>
        <v/>
      </c>
      <c r="J857" s="4" t="str">
        <f>'Form responses 1'!J1700</f>
        <v/>
      </c>
      <c r="K857" s="4" t="str">
        <f>'Form responses 1'!G1700</f>
        <v/>
      </c>
      <c r="L857" s="4" t="str">
        <f>'Form responses 1'!F1700</f>
        <v/>
      </c>
      <c r="M857" s="4" t="str">
        <f>'Form responses 1'!U1700</f>
        <v/>
      </c>
      <c r="N857" s="4" t="str">
        <f>'Form responses 1'!V1700</f>
        <v/>
      </c>
      <c r="O857" s="4" t="str">
        <f>'Form responses 1'!W1700</f>
        <v/>
      </c>
      <c r="P857" s="4" t="str">
        <f>'Form responses 1'!X1700</f>
        <v/>
      </c>
      <c r="Q857" s="4" t="str">
        <f>'Form responses 1'!Y1700</f>
        <v/>
      </c>
      <c r="R857" s="4" t="str">
        <f>'Form responses 1'!Z1700</f>
        <v/>
      </c>
      <c r="S857" s="4" t="str">
        <f>'Form responses 1'!AC1700</f>
        <v/>
      </c>
      <c r="T857" s="4" t="str">
        <f>'Form responses 1'!AE1700</f>
        <v/>
      </c>
      <c r="U857" s="4" t="str">
        <f>'Form responses 1'!AG1700</f>
        <v/>
      </c>
      <c r="V857" s="4" t="str">
        <f>'Form responses 1'!AI1700</f>
        <v/>
      </c>
      <c r="W857" s="4" t="str">
        <f>'Form responses 1'!AJ1700</f>
        <v/>
      </c>
      <c r="X857" s="4" t="str">
        <f>'Form responses 1'!AK1700</f>
        <v/>
      </c>
      <c r="Y857" s="4">
        <f t="shared" ref="Y857:AD857" si="856">if(S857&gt;0,1,0)</f>
        <v>0</v>
      </c>
      <c r="Z857" s="4">
        <f t="shared" si="856"/>
        <v>0</v>
      </c>
      <c r="AA857" s="4">
        <f t="shared" si="856"/>
        <v>0</v>
      </c>
      <c r="AB857" s="4">
        <f t="shared" si="856"/>
        <v>0</v>
      </c>
      <c r="AC857" s="4">
        <f t="shared" si="856"/>
        <v>0</v>
      </c>
      <c r="AD857" s="4">
        <f t="shared" si="856"/>
        <v>0</v>
      </c>
      <c r="AE857" s="4" t="str">
        <f>'Form responses 1'!AN1700</f>
        <v/>
      </c>
      <c r="AF857" s="4" t="str">
        <f>'Form responses 1'!AO1981</f>
        <v/>
      </c>
      <c r="AG857" s="4" t="str">
        <f>'Form responses 1'!AP1981</f>
        <v/>
      </c>
      <c r="AH857" s="4" t="str">
        <f>'Form responses 1'!AQ1981</f>
        <v/>
      </c>
      <c r="AI857" s="4" t="str">
        <f>'Form responses 1'!AR1981</f>
        <v/>
      </c>
    </row>
    <row r="858">
      <c r="A858" s="26" t="str">
        <f>'Form responses 1'!B1701</f>
        <v/>
      </c>
      <c r="B858" s="4" t="str">
        <f>'Form responses 1'!AZ1701</f>
        <v/>
      </c>
      <c r="C858" s="4" t="str">
        <f>'Form responses 1'!BR1701</f>
        <v/>
      </c>
      <c r="D858" s="4" t="str">
        <f>'Form responses 1'!AT1701</f>
        <v/>
      </c>
      <c r="E858" s="4" t="str">
        <f>'Form responses 1'!AU1701</f>
        <v/>
      </c>
      <c r="F858" s="4" t="str">
        <f>'Form responses 1'!AX1701</f>
        <v/>
      </c>
      <c r="G858" s="4" t="str">
        <f>'Form responses 1'!AY1701</f>
        <v/>
      </c>
      <c r="H858" s="53" t="str">
        <f>'Form responses 1'!AW1701</f>
        <v/>
      </c>
      <c r="I858" s="4" t="str">
        <f>'Form responses 1'!AS1701</f>
        <v/>
      </c>
      <c r="J858" s="4" t="str">
        <f>'Form responses 1'!J1701</f>
        <v/>
      </c>
      <c r="K858" s="4" t="str">
        <f>'Form responses 1'!G1701</f>
        <v/>
      </c>
      <c r="L858" s="4" t="str">
        <f>'Form responses 1'!F1701</f>
        <v/>
      </c>
      <c r="M858" s="4" t="str">
        <f>'Form responses 1'!U1701</f>
        <v/>
      </c>
      <c r="N858" s="4" t="str">
        <f>'Form responses 1'!V1701</f>
        <v/>
      </c>
      <c r="O858" s="4" t="str">
        <f>'Form responses 1'!W1701</f>
        <v/>
      </c>
      <c r="P858" s="4" t="str">
        <f>'Form responses 1'!X1701</f>
        <v/>
      </c>
      <c r="Q858" s="4" t="str">
        <f>'Form responses 1'!Y1701</f>
        <v/>
      </c>
      <c r="R858" s="4" t="str">
        <f>'Form responses 1'!Z1701</f>
        <v/>
      </c>
      <c r="S858" s="4" t="str">
        <f>'Form responses 1'!AC1701</f>
        <v/>
      </c>
      <c r="T858" s="4" t="str">
        <f>'Form responses 1'!AE1701</f>
        <v/>
      </c>
      <c r="U858" s="4" t="str">
        <f>'Form responses 1'!AG1701</f>
        <v/>
      </c>
      <c r="V858" s="4" t="str">
        <f>'Form responses 1'!AI1701</f>
        <v/>
      </c>
      <c r="W858" s="4" t="str">
        <f>'Form responses 1'!AJ1701</f>
        <v/>
      </c>
      <c r="X858" s="4" t="str">
        <f>'Form responses 1'!AK1701</f>
        <v/>
      </c>
      <c r="Y858" s="4">
        <f t="shared" ref="Y858:AD858" si="857">if(S858&gt;0,1,0)</f>
        <v>0</v>
      </c>
      <c r="Z858" s="4">
        <f t="shared" si="857"/>
        <v>0</v>
      </c>
      <c r="AA858" s="4">
        <f t="shared" si="857"/>
        <v>0</v>
      </c>
      <c r="AB858" s="4">
        <f t="shared" si="857"/>
        <v>0</v>
      </c>
      <c r="AC858" s="4">
        <f t="shared" si="857"/>
        <v>0</v>
      </c>
      <c r="AD858" s="4">
        <f t="shared" si="857"/>
        <v>0</v>
      </c>
      <c r="AE858" s="4" t="str">
        <f>'Form responses 1'!AN1701</f>
        <v/>
      </c>
      <c r="AF858" s="4" t="str">
        <f>'Form responses 1'!AO1982</f>
        <v/>
      </c>
      <c r="AG858" s="4" t="str">
        <f>'Form responses 1'!AP1982</f>
        <v/>
      </c>
      <c r="AH858" s="4" t="str">
        <f>'Form responses 1'!AQ1982</f>
        <v/>
      </c>
      <c r="AI858" s="4" t="str">
        <f>'Form responses 1'!AR1982</f>
        <v/>
      </c>
    </row>
    <row r="859">
      <c r="A859" s="26" t="str">
        <f>'Form responses 1'!B1702</f>
        <v/>
      </c>
      <c r="B859" s="4" t="str">
        <f>'Form responses 1'!AZ1702</f>
        <v/>
      </c>
      <c r="C859" s="4" t="str">
        <f>'Form responses 1'!BR1702</f>
        <v/>
      </c>
      <c r="D859" s="4" t="str">
        <f>'Form responses 1'!AT1702</f>
        <v/>
      </c>
      <c r="E859" s="4" t="str">
        <f>'Form responses 1'!AU1702</f>
        <v/>
      </c>
      <c r="F859" s="4" t="str">
        <f>'Form responses 1'!AX1702</f>
        <v/>
      </c>
      <c r="G859" s="4" t="str">
        <f>'Form responses 1'!AY1702</f>
        <v/>
      </c>
      <c r="H859" s="53" t="str">
        <f>'Form responses 1'!AW1702</f>
        <v/>
      </c>
      <c r="I859" s="4" t="str">
        <f>'Form responses 1'!AS1702</f>
        <v/>
      </c>
      <c r="J859" s="4" t="str">
        <f>'Form responses 1'!J1702</f>
        <v/>
      </c>
      <c r="K859" s="4" t="str">
        <f>'Form responses 1'!G1702</f>
        <v/>
      </c>
      <c r="L859" s="4" t="str">
        <f>'Form responses 1'!F1702</f>
        <v/>
      </c>
      <c r="M859" s="4" t="str">
        <f>'Form responses 1'!U1702</f>
        <v/>
      </c>
      <c r="N859" s="4" t="str">
        <f>'Form responses 1'!V1702</f>
        <v/>
      </c>
      <c r="O859" s="4" t="str">
        <f>'Form responses 1'!W1702</f>
        <v/>
      </c>
      <c r="P859" s="4" t="str">
        <f>'Form responses 1'!X1702</f>
        <v/>
      </c>
      <c r="Q859" s="4" t="str">
        <f>'Form responses 1'!Y1702</f>
        <v/>
      </c>
      <c r="R859" s="4" t="str">
        <f>'Form responses 1'!Z1702</f>
        <v/>
      </c>
      <c r="S859" s="4" t="str">
        <f>'Form responses 1'!AC1702</f>
        <v/>
      </c>
      <c r="T859" s="4" t="str">
        <f>'Form responses 1'!AE1702</f>
        <v/>
      </c>
      <c r="U859" s="4" t="str">
        <f>'Form responses 1'!AG1702</f>
        <v/>
      </c>
      <c r="V859" s="4" t="str">
        <f>'Form responses 1'!AI1702</f>
        <v/>
      </c>
      <c r="W859" s="4" t="str">
        <f>'Form responses 1'!AJ1702</f>
        <v/>
      </c>
      <c r="X859" s="4" t="str">
        <f>'Form responses 1'!AK1702</f>
        <v/>
      </c>
      <c r="Y859" s="4">
        <f t="shared" ref="Y859:AD859" si="858">if(S859&gt;0,1,0)</f>
        <v>0</v>
      </c>
      <c r="Z859" s="4">
        <f t="shared" si="858"/>
        <v>0</v>
      </c>
      <c r="AA859" s="4">
        <f t="shared" si="858"/>
        <v>0</v>
      </c>
      <c r="AB859" s="4">
        <f t="shared" si="858"/>
        <v>0</v>
      </c>
      <c r="AC859" s="4">
        <f t="shared" si="858"/>
        <v>0</v>
      </c>
      <c r="AD859" s="4">
        <f t="shared" si="858"/>
        <v>0</v>
      </c>
      <c r="AE859" s="4" t="str">
        <f>'Form responses 1'!AN1702</f>
        <v/>
      </c>
      <c r="AF859" s="4" t="str">
        <f>'Form responses 1'!AO1983</f>
        <v/>
      </c>
      <c r="AG859" s="4" t="str">
        <f>'Form responses 1'!AP1983</f>
        <v/>
      </c>
      <c r="AH859" s="4" t="str">
        <f>'Form responses 1'!AQ1983</f>
        <v/>
      </c>
      <c r="AI859" s="4" t="str">
        <f>'Form responses 1'!AR1983</f>
        <v/>
      </c>
    </row>
    <row r="860">
      <c r="A860" s="26" t="str">
        <f>'Form responses 1'!B1703</f>
        <v/>
      </c>
      <c r="B860" s="4" t="str">
        <f>'Form responses 1'!AZ1703</f>
        <v/>
      </c>
      <c r="C860" s="4" t="str">
        <f>'Form responses 1'!BR1703</f>
        <v/>
      </c>
      <c r="D860" s="4" t="str">
        <f>'Form responses 1'!AT1703</f>
        <v/>
      </c>
      <c r="E860" s="4" t="str">
        <f>'Form responses 1'!AU1703</f>
        <v/>
      </c>
      <c r="F860" s="4" t="str">
        <f>'Form responses 1'!AX1703</f>
        <v/>
      </c>
      <c r="G860" s="4" t="str">
        <f>'Form responses 1'!AY1703</f>
        <v/>
      </c>
      <c r="H860" s="53" t="str">
        <f>'Form responses 1'!AW1703</f>
        <v/>
      </c>
      <c r="I860" s="4" t="str">
        <f>'Form responses 1'!AS1703</f>
        <v/>
      </c>
      <c r="J860" s="4" t="str">
        <f>'Form responses 1'!J1703</f>
        <v/>
      </c>
      <c r="K860" s="4" t="str">
        <f>'Form responses 1'!G1703</f>
        <v/>
      </c>
      <c r="L860" s="4" t="str">
        <f>'Form responses 1'!F1703</f>
        <v/>
      </c>
      <c r="M860" s="4" t="str">
        <f>'Form responses 1'!U1703</f>
        <v/>
      </c>
      <c r="N860" s="4" t="str">
        <f>'Form responses 1'!V1703</f>
        <v/>
      </c>
      <c r="O860" s="4" t="str">
        <f>'Form responses 1'!W1703</f>
        <v/>
      </c>
      <c r="P860" s="4" t="str">
        <f>'Form responses 1'!X1703</f>
        <v/>
      </c>
      <c r="Q860" s="4" t="str">
        <f>'Form responses 1'!Y1703</f>
        <v/>
      </c>
      <c r="R860" s="4" t="str">
        <f>'Form responses 1'!Z1703</f>
        <v/>
      </c>
      <c r="S860" s="4" t="str">
        <f>'Form responses 1'!AC1703</f>
        <v/>
      </c>
      <c r="T860" s="4" t="str">
        <f>'Form responses 1'!AE1703</f>
        <v/>
      </c>
      <c r="U860" s="4" t="str">
        <f>'Form responses 1'!AG1703</f>
        <v/>
      </c>
      <c r="V860" s="4" t="str">
        <f>'Form responses 1'!AI1703</f>
        <v/>
      </c>
      <c r="W860" s="4" t="str">
        <f>'Form responses 1'!AJ1703</f>
        <v/>
      </c>
      <c r="X860" s="4" t="str">
        <f>'Form responses 1'!AK1703</f>
        <v/>
      </c>
      <c r="Y860" s="4">
        <f t="shared" ref="Y860:AD860" si="859">if(S860&gt;0,1,0)</f>
        <v>0</v>
      </c>
      <c r="Z860" s="4">
        <f t="shared" si="859"/>
        <v>0</v>
      </c>
      <c r="AA860" s="4">
        <f t="shared" si="859"/>
        <v>0</v>
      </c>
      <c r="AB860" s="4">
        <f t="shared" si="859"/>
        <v>0</v>
      </c>
      <c r="AC860" s="4">
        <f t="shared" si="859"/>
        <v>0</v>
      </c>
      <c r="AD860" s="4">
        <f t="shared" si="859"/>
        <v>0</v>
      </c>
      <c r="AE860" s="4" t="str">
        <f>'Form responses 1'!AN1703</f>
        <v/>
      </c>
      <c r="AF860" s="4" t="str">
        <f>'Form responses 1'!AO1984</f>
        <v/>
      </c>
      <c r="AG860" s="4" t="str">
        <f>'Form responses 1'!AP1984</f>
        <v/>
      </c>
      <c r="AH860" s="4" t="str">
        <f>'Form responses 1'!AQ1984</f>
        <v/>
      </c>
      <c r="AI860" s="4" t="str">
        <f>'Form responses 1'!AR1984</f>
        <v/>
      </c>
    </row>
    <row r="861">
      <c r="A861" s="26" t="str">
        <f>'Form responses 1'!B1704</f>
        <v/>
      </c>
      <c r="B861" s="4" t="str">
        <f>'Form responses 1'!AZ1704</f>
        <v/>
      </c>
      <c r="C861" s="4" t="str">
        <f>'Form responses 1'!BR1704</f>
        <v/>
      </c>
      <c r="D861" s="4" t="str">
        <f>'Form responses 1'!AT1704</f>
        <v/>
      </c>
      <c r="E861" s="4" t="str">
        <f>'Form responses 1'!AU1704</f>
        <v/>
      </c>
      <c r="F861" s="4" t="str">
        <f>'Form responses 1'!AX1704</f>
        <v/>
      </c>
      <c r="G861" s="4" t="str">
        <f>'Form responses 1'!AY1704</f>
        <v/>
      </c>
      <c r="H861" s="53" t="str">
        <f>'Form responses 1'!AW1704</f>
        <v/>
      </c>
      <c r="I861" s="4" t="str">
        <f>'Form responses 1'!AS1704</f>
        <v/>
      </c>
      <c r="J861" s="4" t="str">
        <f>'Form responses 1'!J1704</f>
        <v/>
      </c>
      <c r="K861" s="4" t="str">
        <f>'Form responses 1'!G1704</f>
        <v/>
      </c>
      <c r="L861" s="4" t="str">
        <f>'Form responses 1'!F1704</f>
        <v/>
      </c>
      <c r="M861" s="4" t="str">
        <f>'Form responses 1'!U1704</f>
        <v/>
      </c>
      <c r="N861" s="4" t="str">
        <f>'Form responses 1'!V1704</f>
        <v/>
      </c>
      <c r="O861" s="4" t="str">
        <f>'Form responses 1'!W1704</f>
        <v/>
      </c>
      <c r="P861" s="4" t="str">
        <f>'Form responses 1'!X1704</f>
        <v/>
      </c>
      <c r="Q861" s="4" t="str">
        <f>'Form responses 1'!Y1704</f>
        <v/>
      </c>
      <c r="R861" s="4" t="str">
        <f>'Form responses 1'!Z1704</f>
        <v/>
      </c>
      <c r="S861" s="4" t="str">
        <f>'Form responses 1'!AC1704</f>
        <v/>
      </c>
      <c r="T861" s="4" t="str">
        <f>'Form responses 1'!AE1704</f>
        <v/>
      </c>
      <c r="U861" s="4" t="str">
        <f>'Form responses 1'!AG1704</f>
        <v/>
      </c>
      <c r="V861" s="4" t="str">
        <f>'Form responses 1'!AI1704</f>
        <v/>
      </c>
      <c r="W861" s="4" t="str">
        <f>'Form responses 1'!AJ1704</f>
        <v/>
      </c>
      <c r="X861" s="4" t="str">
        <f>'Form responses 1'!AK1704</f>
        <v/>
      </c>
      <c r="Y861" s="4">
        <f t="shared" ref="Y861:AD861" si="860">if(S861&gt;0,1,0)</f>
        <v>0</v>
      </c>
      <c r="Z861" s="4">
        <f t="shared" si="860"/>
        <v>0</v>
      </c>
      <c r="AA861" s="4">
        <f t="shared" si="860"/>
        <v>0</v>
      </c>
      <c r="AB861" s="4">
        <f t="shared" si="860"/>
        <v>0</v>
      </c>
      <c r="AC861" s="4">
        <f t="shared" si="860"/>
        <v>0</v>
      </c>
      <c r="AD861" s="4">
        <f t="shared" si="860"/>
        <v>0</v>
      </c>
      <c r="AE861" s="4" t="str">
        <f>'Form responses 1'!AN1704</f>
        <v/>
      </c>
      <c r="AF861" s="4" t="str">
        <f>'Form responses 1'!AO1985</f>
        <v/>
      </c>
      <c r="AG861" s="4" t="str">
        <f>'Form responses 1'!AP1985</f>
        <v/>
      </c>
      <c r="AH861" s="4" t="str">
        <f>'Form responses 1'!AQ1985</f>
        <v/>
      </c>
      <c r="AI861" s="4" t="str">
        <f>'Form responses 1'!AR1985</f>
        <v/>
      </c>
    </row>
    <row r="862">
      <c r="A862" s="26" t="str">
        <f>'Form responses 1'!B1705</f>
        <v/>
      </c>
      <c r="B862" s="4" t="str">
        <f>'Form responses 1'!AZ1705</f>
        <v/>
      </c>
      <c r="C862" s="4" t="str">
        <f>'Form responses 1'!BR1705</f>
        <v/>
      </c>
      <c r="D862" s="4" t="str">
        <f>'Form responses 1'!AT1705</f>
        <v/>
      </c>
      <c r="E862" s="4" t="str">
        <f>'Form responses 1'!AU1705</f>
        <v/>
      </c>
      <c r="F862" s="4" t="str">
        <f>'Form responses 1'!AX1705</f>
        <v/>
      </c>
      <c r="G862" s="4" t="str">
        <f>'Form responses 1'!AY1705</f>
        <v/>
      </c>
      <c r="H862" s="53" t="str">
        <f>'Form responses 1'!AW1705</f>
        <v/>
      </c>
      <c r="I862" s="4" t="str">
        <f>'Form responses 1'!AS1705</f>
        <v/>
      </c>
      <c r="J862" s="4" t="str">
        <f>'Form responses 1'!J1705</f>
        <v/>
      </c>
      <c r="K862" s="4" t="str">
        <f>'Form responses 1'!G1705</f>
        <v/>
      </c>
      <c r="L862" s="4" t="str">
        <f>'Form responses 1'!F1705</f>
        <v/>
      </c>
      <c r="M862" s="4" t="str">
        <f>'Form responses 1'!U1705</f>
        <v/>
      </c>
      <c r="N862" s="4" t="str">
        <f>'Form responses 1'!V1705</f>
        <v/>
      </c>
      <c r="O862" s="4" t="str">
        <f>'Form responses 1'!W1705</f>
        <v/>
      </c>
      <c r="P862" s="4" t="str">
        <f>'Form responses 1'!X1705</f>
        <v/>
      </c>
      <c r="Q862" s="4" t="str">
        <f>'Form responses 1'!Y1705</f>
        <v/>
      </c>
      <c r="R862" s="4" t="str">
        <f>'Form responses 1'!Z1705</f>
        <v/>
      </c>
      <c r="S862" s="4" t="str">
        <f>'Form responses 1'!AC1705</f>
        <v/>
      </c>
      <c r="T862" s="4" t="str">
        <f>'Form responses 1'!AE1705</f>
        <v/>
      </c>
      <c r="U862" s="4" t="str">
        <f>'Form responses 1'!AG1705</f>
        <v/>
      </c>
      <c r="V862" s="4" t="str">
        <f>'Form responses 1'!AI1705</f>
        <v/>
      </c>
      <c r="W862" s="4" t="str">
        <f>'Form responses 1'!AJ1705</f>
        <v/>
      </c>
      <c r="X862" s="4" t="str">
        <f>'Form responses 1'!AK1705</f>
        <v/>
      </c>
      <c r="Y862" s="4">
        <f t="shared" ref="Y862:AD862" si="861">if(S862&gt;0,1,0)</f>
        <v>0</v>
      </c>
      <c r="Z862" s="4">
        <f t="shared" si="861"/>
        <v>0</v>
      </c>
      <c r="AA862" s="4">
        <f t="shared" si="861"/>
        <v>0</v>
      </c>
      <c r="AB862" s="4">
        <f t="shared" si="861"/>
        <v>0</v>
      </c>
      <c r="AC862" s="4">
        <f t="shared" si="861"/>
        <v>0</v>
      </c>
      <c r="AD862" s="4">
        <f t="shared" si="861"/>
        <v>0</v>
      </c>
      <c r="AE862" s="4" t="str">
        <f>'Form responses 1'!AN1705</f>
        <v/>
      </c>
      <c r="AF862" s="4" t="str">
        <f>'Form responses 1'!AO1986</f>
        <v/>
      </c>
      <c r="AG862" s="4" t="str">
        <f>'Form responses 1'!AP1986</f>
        <v/>
      </c>
      <c r="AH862" s="4" t="str">
        <f>'Form responses 1'!AQ1986</f>
        <v/>
      </c>
      <c r="AI862" s="4" t="str">
        <f>'Form responses 1'!AR1986</f>
        <v/>
      </c>
    </row>
    <row r="863">
      <c r="A863" s="26" t="str">
        <f>'Form responses 1'!B1706</f>
        <v/>
      </c>
      <c r="B863" s="4" t="str">
        <f>'Form responses 1'!AZ1706</f>
        <v/>
      </c>
      <c r="C863" s="4" t="str">
        <f>'Form responses 1'!BR1706</f>
        <v/>
      </c>
      <c r="D863" s="4" t="str">
        <f>'Form responses 1'!AT1706</f>
        <v/>
      </c>
      <c r="E863" s="4" t="str">
        <f>'Form responses 1'!AU1706</f>
        <v/>
      </c>
      <c r="F863" s="4" t="str">
        <f>'Form responses 1'!AX1706</f>
        <v/>
      </c>
      <c r="G863" s="4" t="str">
        <f>'Form responses 1'!AY1706</f>
        <v/>
      </c>
      <c r="H863" s="53" t="str">
        <f>'Form responses 1'!AW1706</f>
        <v/>
      </c>
      <c r="I863" s="4" t="str">
        <f>'Form responses 1'!AS1706</f>
        <v/>
      </c>
      <c r="J863" s="4" t="str">
        <f>'Form responses 1'!J1706</f>
        <v/>
      </c>
      <c r="K863" s="4" t="str">
        <f>'Form responses 1'!G1706</f>
        <v/>
      </c>
      <c r="L863" s="4" t="str">
        <f>'Form responses 1'!F1706</f>
        <v/>
      </c>
      <c r="M863" s="4" t="str">
        <f>'Form responses 1'!U1706</f>
        <v/>
      </c>
      <c r="N863" s="4" t="str">
        <f>'Form responses 1'!V1706</f>
        <v/>
      </c>
      <c r="O863" s="4" t="str">
        <f>'Form responses 1'!W1706</f>
        <v/>
      </c>
      <c r="P863" s="4" t="str">
        <f>'Form responses 1'!X1706</f>
        <v/>
      </c>
      <c r="Q863" s="4" t="str">
        <f>'Form responses 1'!Y1706</f>
        <v/>
      </c>
      <c r="R863" s="4" t="str">
        <f>'Form responses 1'!Z1706</f>
        <v/>
      </c>
      <c r="S863" s="4" t="str">
        <f>'Form responses 1'!AC1706</f>
        <v/>
      </c>
      <c r="T863" s="4" t="str">
        <f>'Form responses 1'!AE1706</f>
        <v/>
      </c>
      <c r="U863" s="4" t="str">
        <f>'Form responses 1'!AG1706</f>
        <v/>
      </c>
      <c r="V863" s="4" t="str">
        <f>'Form responses 1'!AI1706</f>
        <v/>
      </c>
      <c r="W863" s="4" t="str">
        <f>'Form responses 1'!AJ1706</f>
        <v/>
      </c>
      <c r="X863" s="4" t="str">
        <f>'Form responses 1'!AK1706</f>
        <v/>
      </c>
      <c r="Y863" s="4">
        <f t="shared" ref="Y863:AD863" si="862">if(S863&gt;0,1,0)</f>
        <v>0</v>
      </c>
      <c r="Z863" s="4">
        <f t="shared" si="862"/>
        <v>0</v>
      </c>
      <c r="AA863" s="4">
        <f t="shared" si="862"/>
        <v>0</v>
      </c>
      <c r="AB863" s="4">
        <f t="shared" si="862"/>
        <v>0</v>
      </c>
      <c r="AC863" s="4">
        <f t="shared" si="862"/>
        <v>0</v>
      </c>
      <c r="AD863" s="4">
        <f t="shared" si="862"/>
        <v>0</v>
      </c>
      <c r="AE863" s="4" t="str">
        <f>'Form responses 1'!AN1706</f>
        <v/>
      </c>
      <c r="AF863" s="4" t="str">
        <f>'Form responses 1'!AO1987</f>
        <v/>
      </c>
      <c r="AG863" s="4" t="str">
        <f>'Form responses 1'!AP1987</f>
        <v/>
      </c>
      <c r="AH863" s="4" t="str">
        <f>'Form responses 1'!AQ1987</f>
        <v/>
      </c>
      <c r="AI863" s="4" t="str">
        <f>'Form responses 1'!AR1987</f>
        <v/>
      </c>
    </row>
    <row r="864">
      <c r="A864" s="26" t="str">
        <f>'Form responses 1'!B1707</f>
        <v/>
      </c>
      <c r="B864" s="4" t="str">
        <f>'Form responses 1'!AZ1707</f>
        <v/>
      </c>
      <c r="C864" s="4" t="str">
        <f>'Form responses 1'!BR1707</f>
        <v/>
      </c>
      <c r="D864" s="4" t="str">
        <f>'Form responses 1'!AT1707</f>
        <v/>
      </c>
      <c r="E864" s="4" t="str">
        <f>'Form responses 1'!AU1707</f>
        <v/>
      </c>
      <c r="F864" s="4" t="str">
        <f>'Form responses 1'!AX1707</f>
        <v/>
      </c>
      <c r="G864" s="4" t="str">
        <f>'Form responses 1'!AY1707</f>
        <v/>
      </c>
      <c r="H864" s="53" t="str">
        <f>'Form responses 1'!AW1707</f>
        <v/>
      </c>
      <c r="I864" s="4" t="str">
        <f>'Form responses 1'!AS1707</f>
        <v/>
      </c>
      <c r="J864" s="4" t="str">
        <f>'Form responses 1'!J1707</f>
        <v/>
      </c>
      <c r="K864" s="4" t="str">
        <f>'Form responses 1'!G1707</f>
        <v/>
      </c>
      <c r="L864" s="4" t="str">
        <f>'Form responses 1'!F1707</f>
        <v/>
      </c>
      <c r="M864" s="4" t="str">
        <f>'Form responses 1'!U1707</f>
        <v/>
      </c>
      <c r="N864" s="4" t="str">
        <f>'Form responses 1'!V1707</f>
        <v/>
      </c>
      <c r="O864" s="4" t="str">
        <f>'Form responses 1'!W1707</f>
        <v/>
      </c>
      <c r="P864" s="4" t="str">
        <f>'Form responses 1'!X1707</f>
        <v/>
      </c>
      <c r="Q864" s="4" t="str">
        <f>'Form responses 1'!Y1707</f>
        <v/>
      </c>
      <c r="R864" s="4" t="str">
        <f>'Form responses 1'!Z1707</f>
        <v/>
      </c>
      <c r="S864" s="4" t="str">
        <f>'Form responses 1'!AC1707</f>
        <v/>
      </c>
      <c r="T864" s="4" t="str">
        <f>'Form responses 1'!AE1707</f>
        <v/>
      </c>
      <c r="U864" s="4" t="str">
        <f>'Form responses 1'!AG1707</f>
        <v/>
      </c>
      <c r="V864" s="4" t="str">
        <f>'Form responses 1'!AI1707</f>
        <v/>
      </c>
      <c r="W864" s="4" t="str">
        <f>'Form responses 1'!AJ1707</f>
        <v/>
      </c>
      <c r="X864" s="4" t="str">
        <f>'Form responses 1'!AK1707</f>
        <v/>
      </c>
      <c r="Y864" s="4">
        <f t="shared" ref="Y864:AD864" si="863">if(S864&gt;0,1,0)</f>
        <v>0</v>
      </c>
      <c r="Z864" s="4">
        <f t="shared" si="863"/>
        <v>0</v>
      </c>
      <c r="AA864" s="4">
        <f t="shared" si="863"/>
        <v>0</v>
      </c>
      <c r="AB864" s="4">
        <f t="shared" si="863"/>
        <v>0</v>
      </c>
      <c r="AC864" s="4">
        <f t="shared" si="863"/>
        <v>0</v>
      </c>
      <c r="AD864" s="4">
        <f t="shared" si="863"/>
        <v>0</v>
      </c>
      <c r="AE864" s="4" t="str">
        <f>'Form responses 1'!AN1707</f>
        <v/>
      </c>
      <c r="AF864" s="4" t="str">
        <f>'Form responses 1'!AO1988</f>
        <v/>
      </c>
      <c r="AG864" s="4" t="str">
        <f>'Form responses 1'!AP1988</f>
        <v/>
      </c>
      <c r="AH864" s="4" t="str">
        <f>'Form responses 1'!AQ1988</f>
        <v/>
      </c>
      <c r="AI864" s="4" t="str">
        <f>'Form responses 1'!AR1988</f>
        <v/>
      </c>
    </row>
    <row r="865">
      <c r="A865" s="26" t="str">
        <f>'Form responses 1'!B1708</f>
        <v/>
      </c>
      <c r="B865" s="4" t="str">
        <f>'Form responses 1'!AZ1708</f>
        <v/>
      </c>
      <c r="C865" s="4" t="str">
        <f>'Form responses 1'!BR1708</f>
        <v/>
      </c>
      <c r="D865" s="4" t="str">
        <f>'Form responses 1'!AT1708</f>
        <v/>
      </c>
      <c r="E865" s="4" t="str">
        <f>'Form responses 1'!AU1708</f>
        <v/>
      </c>
      <c r="F865" s="4" t="str">
        <f>'Form responses 1'!AX1708</f>
        <v/>
      </c>
      <c r="G865" s="4" t="str">
        <f>'Form responses 1'!AY1708</f>
        <v/>
      </c>
      <c r="H865" s="53" t="str">
        <f>'Form responses 1'!AW1708</f>
        <v/>
      </c>
      <c r="I865" s="4" t="str">
        <f>'Form responses 1'!AS1708</f>
        <v/>
      </c>
      <c r="J865" s="4" t="str">
        <f>'Form responses 1'!J1708</f>
        <v/>
      </c>
      <c r="K865" s="4" t="str">
        <f>'Form responses 1'!G1708</f>
        <v/>
      </c>
      <c r="L865" s="4" t="str">
        <f>'Form responses 1'!F1708</f>
        <v/>
      </c>
      <c r="M865" s="4" t="str">
        <f>'Form responses 1'!U1708</f>
        <v/>
      </c>
      <c r="N865" s="4" t="str">
        <f>'Form responses 1'!V1708</f>
        <v/>
      </c>
      <c r="O865" s="4" t="str">
        <f>'Form responses 1'!W1708</f>
        <v/>
      </c>
      <c r="P865" s="4" t="str">
        <f>'Form responses 1'!X1708</f>
        <v/>
      </c>
      <c r="Q865" s="4" t="str">
        <f>'Form responses 1'!Y1708</f>
        <v/>
      </c>
      <c r="R865" s="4" t="str">
        <f>'Form responses 1'!Z1708</f>
        <v/>
      </c>
      <c r="S865" s="4" t="str">
        <f>'Form responses 1'!AC1708</f>
        <v/>
      </c>
      <c r="T865" s="4" t="str">
        <f>'Form responses 1'!AE1708</f>
        <v/>
      </c>
      <c r="U865" s="4" t="str">
        <f>'Form responses 1'!AG1708</f>
        <v/>
      </c>
      <c r="V865" s="4" t="str">
        <f>'Form responses 1'!AI1708</f>
        <v/>
      </c>
      <c r="W865" s="4" t="str">
        <f>'Form responses 1'!AJ1708</f>
        <v/>
      </c>
      <c r="X865" s="4" t="str">
        <f>'Form responses 1'!AK1708</f>
        <v/>
      </c>
      <c r="Y865" s="4">
        <f t="shared" ref="Y865:AD865" si="864">if(S865&gt;0,1,0)</f>
        <v>0</v>
      </c>
      <c r="Z865" s="4">
        <f t="shared" si="864"/>
        <v>0</v>
      </c>
      <c r="AA865" s="4">
        <f t="shared" si="864"/>
        <v>0</v>
      </c>
      <c r="AB865" s="4">
        <f t="shared" si="864"/>
        <v>0</v>
      </c>
      <c r="AC865" s="4">
        <f t="shared" si="864"/>
        <v>0</v>
      </c>
      <c r="AD865" s="4">
        <f t="shared" si="864"/>
        <v>0</v>
      </c>
      <c r="AE865" s="4" t="str">
        <f>'Form responses 1'!AN1708</f>
        <v/>
      </c>
      <c r="AF865" s="4" t="str">
        <f>'Form responses 1'!AO1989</f>
        <v/>
      </c>
      <c r="AG865" s="4" t="str">
        <f>'Form responses 1'!AP1989</f>
        <v/>
      </c>
      <c r="AH865" s="4" t="str">
        <f>'Form responses 1'!AQ1989</f>
        <v/>
      </c>
      <c r="AI865" s="4" t="str">
        <f>'Form responses 1'!AR1989</f>
        <v/>
      </c>
    </row>
    <row r="866">
      <c r="A866" s="26" t="str">
        <f>'Form responses 1'!B1709</f>
        <v/>
      </c>
      <c r="B866" s="4" t="str">
        <f>'Form responses 1'!AZ1709</f>
        <v/>
      </c>
      <c r="C866" s="4" t="str">
        <f>'Form responses 1'!BR1709</f>
        <v/>
      </c>
      <c r="D866" s="4" t="str">
        <f>'Form responses 1'!AT1709</f>
        <v/>
      </c>
      <c r="E866" s="4" t="str">
        <f>'Form responses 1'!AU1709</f>
        <v/>
      </c>
      <c r="F866" s="4" t="str">
        <f>'Form responses 1'!AX1709</f>
        <v/>
      </c>
      <c r="G866" s="4" t="str">
        <f>'Form responses 1'!AY1709</f>
        <v/>
      </c>
      <c r="H866" s="53" t="str">
        <f>'Form responses 1'!AW1709</f>
        <v/>
      </c>
      <c r="I866" s="4" t="str">
        <f>'Form responses 1'!AS1709</f>
        <v/>
      </c>
      <c r="J866" s="4" t="str">
        <f>'Form responses 1'!J1709</f>
        <v/>
      </c>
      <c r="K866" s="4" t="str">
        <f>'Form responses 1'!G1709</f>
        <v/>
      </c>
      <c r="L866" s="4" t="str">
        <f>'Form responses 1'!F1709</f>
        <v/>
      </c>
      <c r="M866" s="4" t="str">
        <f>'Form responses 1'!U1709</f>
        <v/>
      </c>
      <c r="N866" s="4" t="str">
        <f>'Form responses 1'!V1709</f>
        <v/>
      </c>
      <c r="O866" s="4" t="str">
        <f>'Form responses 1'!W1709</f>
        <v/>
      </c>
      <c r="P866" s="4" t="str">
        <f>'Form responses 1'!X1709</f>
        <v/>
      </c>
      <c r="Q866" s="4" t="str">
        <f>'Form responses 1'!Y1709</f>
        <v/>
      </c>
      <c r="R866" s="4" t="str">
        <f>'Form responses 1'!Z1709</f>
        <v/>
      </c>
      <c r="S866" s="4" t="str">
        <f>'Form responses 1'!AC1709</f>
        <v/>
      </c>
      <c r="T866" s="4" t="str">
        <f>'Form responses 1'!AE1709</f>
        <v/>
      </c>
      <c r="U866" s="4" t="str">
        <f>'Form responses 1'!AG1709</f>
        <v/>
      </c>
      <c r="V866" s="4" t="str">
        <f>'Form responses 1'!AI1709</f>
        <v/>
      </c>
      <c r="W866" s="4" t="str">
        <f>'Form responses 1'!AJ1709</f>
        <v/>
      </c>
      <c r="X866" s="4" t="str">
        <f>'Form responses 1'!AK1709</f>
        <v/>
      </c>
      <c r="Y866" s="4">
        <f t="shared" ref="Y866:AD866" si="865">if(S866&gt;0,1,0)</f>
        <v>0</v>
      </c>
      <c r="Z866" s="4">
        <f t="shared" si="865"/>
        <v>0</v>
      </c>
      <c r="AA866" s="4">
        <f t="shared" si="865"/>
        <v>0</v>
      </c>
      <c r="AB866" s="4">
        <f t="shared" si="865"/>
        <v>0</v>
      </c>
      <c r="AC866" s="4">
        <f t="shared" si="865"/>
        <v>0</v>
      </c>
      <c r="AD866" s="4">
        <f t="shared" si="865"/>
        <v>0</v>
      </c>
      <c r="AE866" s="4" t="str">
        <f>'Form responses 1'!AN1709</f>
        <v/>
      </c>
      <c r="AF866" s="4" t="str">
        <f>'Form responses 1'!AO1990</f>
        <v/>
      </c>
      <c r="AG866" s="4" t="str">
        <f>'Form responses 1'!AP1990</f>
        <v/>
      </c>
      <c r="AH866" s="4" t="str">
        <f>'Form responses 1'!AQ1990</f>
        <v/>
      </c>
      <c r="AI866" s="4" t="str">
        <f>'Form responses 1'!AR1990</f>
        <v/>
      </c>
    </row>
    <row r="867">
      <c r="A867" s="26" t="str">
        <f>'Form responses 1'!B1710</f>
        <v/>
      </c>
      <c r="B867" s="4" t="str">
        <f>'Form responses 1'!AZ1710</f>
        <v/>
      </c>
      <c r="C867" s="4" t="str">
        <f>'Form responses 1'!BR1710</f>
        <v/>
      </c>
      <c r="D867" s="4" t="str">
        <f>'Form responses 1'!AT1710</f>
        <v/>
      </c>
      <c r="E867" s="4" t="str">
        <f>'Form responses 1'!AU1710</f>
        <v/>
      </c>
      <c r="F867" s="4" t="str">
        <f>'Form responses 1'!AX1710</f>
        <v/>
      </c>
      <c r="G867" s="4" t="str">
        <f>'Form responses 1'!AY1710</f>
        <v/>
      </c>
      <c r="H867" s="53" t="str">
        <f>'Form responses 1'!AW1710</f>
        <v/>
      </c>
      <c r="I867" s="4" t="str">
        <f>'Form responses 1'!AS1710</f>
        <v/>
      </c>
      <c r="J867" s="4" t="str">
        <f>'Form responses 1'!J1710</f>
        <v/>
      </c>
      <c r="K867" s="4" t="str">
        <f>'Form responses 1'!G1710</f>
        <v/>
      </c>
      <c r="L867" s="4" t="str">
        <f>'Form responses 1'!F1710</f>
        <v/>
      </c>
      <c r="M867" s="4" t="str">
        <f>'Form responses 1'!U1710</f>
        <v/>
      </c>
      <c r="N867" s="4" t="str">
        <f>'Form responses 1'!V1710</f>
        <v/>
      </c>
      <c r="O867" s="4" t="str">
        <f>'Form responses 1'!W1710</f>
        <v/>
      </c>
      <c r="P867" s="4" t="str">
        <f>'Form responses 1'!X1710</f>
        <v/>
      </c>
      <c r="Q867" s="4" t="str">
        <f>'Form responses 1'!Y1710</f>
        <v/>
      </c>
      <c r="R867" s="4" t="str">
        <f>'Form responses 1'!Z1710</f>
        <v/>
      </c>
      <c r="S867" s="4" t="str">
        <f>'Form responses 1'!AC1710</f>
        <v/>
      </c>
      <c r="T867" s="4" t="str">
        <f>'Form responses 1'!AE1710</f>
        <v/>
      </c>
      <c r="U867" s="4" t="str">
        <f>'Form responses 1'!AG1710</f>
        <v/>
      </c>
      <c r="V867" s="4" t="str">
        <f>'Form responses 1'!AI1710</f>
        <v/>
      </c>
      <c r="W867" s="4" t="str">
        <f>'Form responses 1'!AJ1710</f>
        <v/>
      </c>
      <c r="X867" s="4" t="str">
        <f>'Form responses 1'!AK1710</f>
        <v/>
      </c>
      <c r="Y867" s="4">
        <f t="shared" ref="Y867:AD867" si="866">if(S867&gt;0,1,0)</f>
        <v>0</v>
      </c>
      <c r="Z867" s="4">
        <f t="shared" si="866"/>
        <v>0</v>
      </c>
      <c r="AA867" s="4">
        <f t="shared" si="866"/>
        <v>0</v>
      </c>
      <c r="AB867" s="4">
        <f t="shared" si="866"/>
        <v>0</v>
      </c>
      <c r="AC867" s="4">
        <f t="shared" si="866"/>
        <v>0</v>
      </c>
      <c r="AD867" s="4">
        <f t="shared" si="866"/>
        <v>0</v>
      </c>
      <c r="AE867" s="4" t="str">
        <f>'Form responses 1'!AN1710</f>
        <v/>
      </c>
      <c r="AF867" s="4" t="str">
        <f>'Form responses 1'!AO1991</f>
        <v/>
      </c>
      <c r="AG867" s="4" t="str">
        <f>'Form responses 1'!AP1991</f>
        <v/>
      </c>
      <c r="AH867" s="4" t="str">
        <f>'Form responses 1'!AQ1991</f>
        <v/>
      </c>
      <c r="AI867" s="4" t="str">
        <f>'Form responses 1'!AR1991</f>
        <v/>
      </c>
    </row>
    <row r="868">
      <c r="A868" s="26" t="str">
        <f>'Form responses 1'!B1711</f>
        <v/>
      </c>
      <c r="B868" s="4" t="str">
        <f>'Form responses 1'!AZ1711</f>
        <v/>
      </c>
      <c r="C868" s="4" t="str">
        <f>'Form responses 1'!BR1711</f>
        <v/>
      </c>
      <c r="D868" s="4" t="str">
        <f>'Form responses 1'!AT1711</f>
        <v/>
      </c>
      <c r="E868" s="4" t="str">
        <f>'Form responses 1'!AU1711</f>
        <v/>
      </c>
      <c r="F868" s="4" t="str">
        <f>'Form responses 1'!AX1711</f>
        <v/>
      </c>
      <c r="G868" s="4" t="str">
        <f>'Form responses 1'!AY1711</f>
        <v/>
      </c>
      <c r="H868" s="53" t="str">
        <f>'Form responses 1'!AW1711</f>
        <v/>
      </c>
      <c r="I868" s="4" t="str">
        <f>'Form responses 1'!AS1711</f>
        <v/>
      </c>
      <c r="J868" s="4" t="str">
        <f>'Form responses 1'!J1711</f>
        <v/>
      </c>
      <c r="K868" s="4" t="str">
        <f>'Form responses 1'!G1711</f>
        <v/>
      </c>
      <c r="L868" s="4" t="str">
        <f>'Form responses 1'!F1711</f>
        <v/>
      </c>
      <c r="M868" s="4" t="str">
        <f>'Form responses 1'!U1711</f>
        <v/>
      </c>
      <c r="N868" s="4" t="str">
        <f>'Form responses 1'!V1711</f>
        <v/>
      </c>
      <c r="O868" s="4" t="str">
        <f>'Form responses 1'!W1711</f>
        <v/>
      </c>
      <c r="P868" s="4" t="str">
        <f>'Form responses 1'!X1711</f>
        <v/>
      </c>
      <c r="Q868" s="4" t="str">
        <f>'Form responses 1'!Y1711</f>
        <v/>
      </c>
      <c r="R868" s="4" t="str">
        <f>'Form responses 1'!Z1711</f>
        <v/>
      </c>
      <c r="S868" s="4" t="str">
        <f>'Form responses 1'!AC1711</f>
        <v/>
      </c>
      <c r="T868" s="4" t="str">
        <f>'Form responses 1'!AE1711</f>
        <v/>
      </c>
      <c r="U868" s="4" t="str">
        <f>'Form responses 1'!AG1711</f>
        <v/>
      </c>
      <c r="V868" s="4" t="str">
        <f>'Form responses 1'!AI1711</f>
        <v/>
      </c>
      <c r="W868" s="4" t="str">
        <f>'Form responses 1'!AJ1711</f>
        <v/>
      </c>
      <c r="X868" s="4" t="str">
        <f>'Form responses 1'!AK1711</f>
        <v/>
      </c>
      <c r="Y868" s="4">
        <f t="shared" ref="Y868:AD868" si="867">if(S868&gt;0,1,0)</f>
        <v>0</v>
      </c>
      <c r="Z868" s="4">
        <f t="shared" si="867"/>
        <v>0</v>
      </c>
      <c r="AA868" s="4">
        <f t="shared" si="867"/>
        <v>0</v>
      </c>
      <c r="AB868" s="4">
        <f t="shared" si="867"/>
        <v>0</v>
      </c>
      <c r="AC868" s="4">
        <f t="shared" si="867"/>
        <v>0</v>
      </c>
      <c r="AD868" s="4">
        <f t="shared" si="867"/>
        <v>0</v>
      </c>
      <c r="AE868" s="4" t="str">
        <f>'Form responses 1'!AN1711</f>
        <v/>
      </c>
      <c r="AF868" s="4" t="str">
        <f>'Form responses 1'!AO1992</f>
        <v/>
      </c>
      <c r="AG868" s="4" t="str">
        <f>'Form responses 1'!AP1992</f>
        <v/>
      </c>
      <c r="AH868" s="4" t="str">
        <f>'Form responses 1'!AQ1992</f>
        <v/>
      </c>
      <c r="AI868" s="4" t="str">
        <f>'Form responses 1'!AR1992</f>
        <v/>
      </c>
    </row>
    <row r="869">
      <c r="A869" s="26" t="str">
        <f>'Form responses 1'!B1712</f>
        <v/>
      </c>
      <c r="B869" s="4" t="str">
        <f>'Form responses 1'!AZ1712</f>
        <v/>
      </c>
      <c r="C869" s="4" t="str">
        <f>'Form responses 1'!BR1712</f>
        <v/>
      </c>
      <c r="D869" s="4" t="str">
        <f>'Form responses 1'!AT1712</f>
        <v/>
      </c>
      <c r="E869" s="4" t="str">
        <f>'Form responses 1'!AU1712</f>
        <v/>
      </c>
      <c r="F869" s="4" t="str">
        <f>'Form responses 1'!AX1712</f>
        <v/>
      </c>
      <c r="G869" s="4" t="str">
        <f>'Form responses 1'!AY1712</f>
        <v/>
      </c>
      <c r="H869" s="53" t="str">
        <f>'Form responses 1'!AW1712</f>
        <v/>
      </c>
      <c r="I869" s="4" t="str">
        <f>'Form responses 1'!AS1712</f>
        <v/>
      </c>
      <c r="J869" s="4" t="str">
        <f>'Form responses 1'!J1712</f>
        <v/>
      </c>
      <c r="K869" s="4" t="str">
        <f>'Form responses 1'!G1712</f>
        <v/>
      </c>
      <c r="L869" s="4" t="str">
        <f>'Form responses 1'!F1712</f>
        <v/>
      </c>
      <c r="M869" s="4" t="str">
        <f>'Form responses 1'!U1712</f>
        <v/>
      </c>
      <c r="N869" s="4" t="str">
        <f>'Form responses 1'!V1712</f>
        <v/>
      </c>
      <c r="O869" s="4" t="str">
        <f>'Form responses 1'!W1712</f>
        <v/>
      </c>
      <c r="P869" s="4" t="str">
        <f>'Form responses 1'!X1712</f>
        <v/>
      </c>
      <c r="Q869" s="4" t="str">
        <f>'Form responses 1'!Y1712</f>
        <v/>
      </c>
      <c r="R869" s="4" t="str">
        <f>'Form responses 1'!Z1712</f>
        <v/>
      </c>
      <c r="S869" s="4" t="str">
        <f>'Form responses 1'!AC1712</f>
        <v/>
      </c>
      <c r="T869" s="4" t="str">
        <f>'Form responses 1'!AE1712</f>
        <v/>
      </c>
      <c r="U869" s="4" t="str">
        <f>'Form responses 1'!AG1712</f>
        <v/>
      </c>
      <c r="V869" s="4" t="str">
        <f>'Form responses 1'!AI1712</f>
        <v/>
      </c>
      <c r="W869" s="4" t="str">
        <f>'Form responses 1'!AJ1712</f>
        <v/>
      </c>
      <c r="X869" s="4" t="str">
        <f>'Form responses 1'!AK1712</f>
        <v/>
      </c>
      <c r="Y869" s="4">
        <f t="shared" ref="Y869:AD869" si="868">if(S869&gt;0,1,0)</f>
        <v>0</v>
      </c>
      <c r="Z869" s="4">
        <f t="shared" si="868"/>
        <v>0</v>
      </c>
      <c r="AA869" s="4">
        <f t="shared" si="868"/>
        <v>0</v>
      </c>
      <c r="AB869" s="4">
        <f t="shared" si="868"/>
        <v>0</v>
      </c>
      <c r="AC869" s="4">
        <f t="shared" si="868"/>
        <v>0</v>
      </c>
      <c r="AD869" s="4">
        <f t="shared" si="868"/>
        <v>0</v>
      </c>
      <c r="AE869" s="4" t="str">
        <f>'Form responses 1'!AN1712</f>
        <v/>
      </c>
      <c r="AF869" s="4" t="str">
        <f>'Form responses 1'!AO1993</f>
        <v/>
      </c>
      <c r="AG869" s="4" t="str">
        <f>'Form responses 1'!AP1993</f>
        <v/>
      </c>
      <c r="AH869" s="4" t="str">
        <f>'Form responses 1'!AQ1993</f>
        <v/>
      </c>
      <c r="AI869" s="4" t="str">
        <f>'Form responses 1'!AR1993</f>
        <v/>
      </c>
    </row>
    <row r="870">
      <c r="A870" s="26" t="str">
        <f>'Form responses 1'!B1713</f>
        <v/>
      </c>
      <c r="B870" s="4" t="str">
        <f>'Form responses 1'!AZ1713</f>
        <v/>
      </c>
      <c r="C870" s="4" t="str">
        <f>'Form responses 1'!BR1713</f>
        <v/>
      </c>
      <c r="D870" s="4" t="str">
        <f>'Form responses 1'!AT1713</f>
        <v/>
      </c>
      <c r="E870" s="4" t="str">
        <f>'Form responses 1'!AU1713</f>
        <v/>
      </c>
      <c r="F870" s="4" t="str">
        <f>'Form responses 1'!AX1713</f>
        <v/>
      </c>
      <c r="G870" s="4" t="str">
        <f>'Form responses 1'!AY1713</f>
        <v/>
      </c>
      <c r="H870" s="53" t="str">
        <f>'Form responses 1'!AW1713</f>
        <v/>
      </c>
      <c r="I870" s="4" t="str">
        <f>'Form responses 1'!AS1713</f>
        <v/>
      </c>
      <c r="J870" s="4" t="str">
        <f>'Form responses 1'!J1713</f>
        <v/>
      </c>
      <c r="K870" s="4" t="str">
        <f>'Form responses 1'!G1713</f>
        <v/>
      </c>
      <c r="L870" s="4" t="str">
        <f>'Form responses 1'!F1713</f>
        <v/>
      </c>
      <c r="M870" s="4" t="str">
        <f>'Form responses 1'!U1713</f>
        <v/>
      </c>
      <c r="N870" s="4" t="str">
        <f>'Form responses 1'!V1713</f>
        <v/>
      </c>
      <c r="O870" s="4" t="str">
        <f>'Form responses 1'!W1713</f>
        <v/>
      </c>
      <c r="P870" s="4" t="str">
        <f>'Form responses 1'!X1713</f>
        <v/>
      </c>
      <c r="Q870" s="4" t="str">
        <f>'Form responses 1'!Y1713</f>
        <v/>
      </c>
      <c r="R870" s="4" t="str">
        <f>'Form responses 1'!Z1713</f>
        <v/>
      </c>
      <c r="S870" s="4" t="str">
        <f>'Form responses 1'!AC1713</f>
        <v/>
      </c>
      <c r="T870" s="4" t="str">
        <f>'Form responses 1'!AE1713</f>
        <v/>
      </c>
      <c r="U870" s="4" t="str">
        <f>'Form responses 1'!AG1713</f>
        <v/>
      </c>
      <c r="V870" s="4" t="str">
        <f>'Form responses 1'!AI1713</f>
        <v/>
      </c>
      <c r="W870" s="4" t="str">
        <f>'Form responses 1'!AJ1713</f>
        <v/>
      </c>
      <c r="X870" s="4" t="str">
        <f>'Form responses 1'!AK1713</f>
        <v/>
      </c>
      <c r="Y870" s="4">
        <f t="shared" ref="Y870:AD870" si="869">if(S870&gt;0,1,0)</f>
        <v>0</v>
      </c>
      <c r="Z870" s="4">
        <f t="shared" si="869"/>
        <v>0</v>
      </c>
      <c r="AA870" s="4">
        <f t="shared" si="869"/>
        <v>0</v>
      </c>
      <c r="AB870" s="4">
        <f t="shared" si="869"/>
        <v>0</v>
      </c>
      <c r="AC870" s="4">
        <f t="shared" si="869"/>
        <v>0</v>
      </c>
      <c r="AD870" s="4">
        <f t="shared" si="869"/>
        <v>0</v>
      </c>
      <c r="AE870" s="4" t="str">
        <f>'Form responses 1'!AN1713</f>
        <v/>
      </c>
      <c r="AF870" s="4" t="str">
        <f>'Form responses 1'!AO1994</f>
        <v/>
      </c>
      <c r="AG870" s="4" t="str">
        <f>'Form responses 1'!AP1994</f>
        <v/>
      </c>
      <c r="AH870" s="4" t="str">
        <f>'Form responses 1'!AQ1994</f>
        <v/>
      </c>
      <c r="AI870" s="4" t="str">
        <f>'Form responses 1'!AR1994</f>
        <v/>
      </c>
    </row>
    <row r="871">
      <c r="A871" s="26" t="str">
        <f>'Form responses 1'!B1714</f>
        <v/>
      </c>
      <c r="B871" s="4" t="str">
        <f>'Form responses 1'!AZ1714</f>
        <v/>
      </c>
      <c r="C871" s="4" t="str">
        <f>'Form responses 1'!BR1714</f>
        <v/>
      </c>
      <c r="D871" s="4" t="str">
        <f>'Form responses 1'!AT1714</f>
        <v/>
      </c>
      <c r="E871" s="4" t="str">
        <f>'Form responses 1'!AU1714</f>
        <v/>
      </c>
      <c r="F871" s="4" t="str">
        <f>'Form responses 1'!AX1714</f>
        <v/>
      </c>
      <c r="G871" s="4" t="str">
        <f>'Form responses 1'!AY1714</f>
        <v/>
      </c>
      <c r="H871" s="53" t="str">
        <f>'Form responses 1'!AW1714</f>
        <v/>
      </c>
      <c r="I871" s="4" t="str">
        <f>'Form responses 1'!AS1714</f>
        <v/>
      </c>
      <c r="J871" s="4" t="str">
        <f>'Form responses 1'!J1714</f>
        <v/>
      </c>
      <c r="K871" s="4" t="str">
        <f>'Form responses 1'!G1714</f>
        <v/>
      </c>
      <c r="L871" s="4" t="str">
        <f>'Form responses 1'!F1714</f>
        <v/>
      </c>
      <c r="M871" s="4" t="str">
        <f>'Form responses 1'!U1714</f>
        <v/>
      </c>
      <c r="N871" s="4" t="str">
        <f>'Form responses 1'!V1714</f>
        <v/>
      </c>
      <c r="O871" s="4" t="str">
        <f>'Form responses 1'!W1714</f>
        <v/>
      </c>
      <c r="P871" s="4" t="str">
        <f>'Form responses 1'!X1714</f>
        <v/>
      </c>
      <c r="Q871" s="4" t="str">
        <f>'Form responses 1'!Y1714</f>
        <v/>
      </c>
      <c r="R871" s="4" t="str">
        <f>'Form responses 1'!Z1714</f>
        <v/>
      </c>
      <c r="S871" s="4" t="str">
        <f>'Form responses 1'!AC1714</f>
        <v/>
      </c>
      <c r="T871" s="4" t="str">
        <f>'Form responses 1'!AE1714</f>
        <v/>
      </c>
      <c r="U871" s="4" t="str">
        <f>'Form responses 1'!AG1714</f>
        <v/>
      </c>
      <c r="V871" s="4" t="str">
        <f>'Form responses 1'!AI1714</f>
        <v/>
      </c>
      <c r="W871" s="4" t="str">
        <f>'Form responses 1'!AJ1714</f>
        <v/>
      </c>
      <c r="X871" s="4" t="str">
        <f>'Form responses 1'!AK1714</f>
        <v/>
      </c>
      <c r="Y871" s="4">
        <f t="shared" ref="Y871:AD871" si="870">if(S871&gt;0,1,0)</f>
        <v>0</v>
      </c>
      <c r="Z871" s="4">
        <f t="shared" si="870"/>
        <v>0</v>
      </c>
      <c r="AA871" s="4">
        <f t="shared" si="870"/>
        <v>0</v>
      </c>
      <c r="AB871" s="4">
        <f t="shared" si="870"/>
        <v>0</v>
      </c>
      <c r="AC871" s="4">
        <f t="shared" si="870"/>
        <v>0</v>
      </c>
      <c r="AD871" s="4">
        <f t="shared" si="870"/>
        <v>0</v>
      </c>
      <c r="AE871" s="4" t="str">
        <f>'Form responses 1'!AN1714</f>
        <v/>
      </c>
      <c r="AF871" s="4" t="str">
        <f>'Form responses 1'!AO1995</f>
        <v/>
      </c>
      <c r="AG871" s="4" t="str">
        <f>'Form responses 1'!AP1995</f>
        <v/>
      </c>
      <c r="AH871" s="4" t="str">
        <f>'Form responses 1'!AQ1995</f>
        <v/>
      </c>
      <c r="AI871" s="4" t="str">
        <f>'Form responses 1'!AR1995</f>
        <v/>
      </c>
    </row>
    <row r="872">
      <c r="A872" s="26" t="str">
        <f>'Form responses 1'!B1715</f>
        <v/>
      </c>
      <c r="B872" s="4" t="str">
        <f>'Form responses 1'!AZ1715</f>
        <v/>
      </c>
      <c r="C872" s="4" t="str">
        <f>'Form responses 1'!BR1715</f>
        <v/>
      </c>
      <c r="D872" s="4" t="str">
        <f>'Form responses 1'!AT1715</f>
        <v/>
      </c>
      <c r="E872" s="4" t="str">
        <f>'Form responses 1'!AU1715</f>
        <v/>
      </c>
      <c r="F872" s="4" t="str">
        <f>'Form responses 1'!AX1715</f>
        <v/>
      </c>
      <c r="G872" s="4" t="str">
        <f>'Form responses 1'!AY1715</f>
        <v/>
      </c>
      <c r="H872" s="53" t="str">
        <f>'Form responses 1'!AW1715</f>
        <v/>
      </c>
      <c r="I872" s="4" t="str">
        <f>'Form responses 1'!AS1715</f>
        <v/>
      </c>
      <c r="J872" s="4" t="str">
        <f>'Form responses 1'!J1715</f>
        <v/>
      </c>
      <c r="K872" s="4" t="str">
        <f>'Form responses 1'!G1715</f>
        <v/>
      </c>
      <c r="L872" s="4" t="str">
        <f>'Form responses 1'!F1715</f>
        <v/>
      </c>
      <c r="M872" s="4" t="str">
        <f>'Form responses 1'!U1715</f>
        <v/>
      </c>
      <c r="N872" s="4" t="str">
        <f>'Form responses 1'!V1715</f>
        <v/>
      </c>
      <c r="O872" s="4" t="str">
        <f>'Form responses 1'!W1715</f>
        <v/>
      </c>
      <c r="P872" s="4" t="str">
        <f>'Form responses 1'!X1715</f>
        <v/>
      </c>
      <c r="Q872" s="4" t="str">
        <f>'Form responses 1'!Y1715</f>
        <v/>
      </c>
      <c r="R872" s="4" t="str">
        <f>'Form responses 1'!Z1715</f>
        <v/>
      </c>
      <c r="S872" s="4" t="str">
        <f>'Form responses 1'!AC1715</f>
        <v/>
      </c>
      <c r="T872" s="4" t="str">
        <f>'Form responses 1'!AE1715</f>
        <v/>
      </c>
      <c r="U872" s="4" t="str">
        <f>'Form responses 1'!AG1715</f>
        <v/>
      </c>
      <c r="V872" s="4" t="str">
        <f>'Form responses 1'!AI1715</f>
        <v/>
      </c>
      <c r="W872" s="4" t="str">
        <f>'Form responses 1'!AJ1715</f>
        <v/>
      </c>
      <c r="X872" s="4" t="str">
        <f>'Form responses 1'!AK1715</f>
        <v/>
      </c>
      <c r="Y872" s="4">
        <f t="shared" ref="Y872:AD872" si="871">if(S872&gt;0,1,0)</f>
        <v>0</v>
      </c>
      <c r="Z872" s="4">
        <f t="shared" si="871"/>
        <v>0</v>
      </c>
      <c r="AA872" s="4">
        <f t="shared" si="871"/>
        <v>0</v>
      </c>
      <c r="AB872" s="4">
        <f t="shared" si="871"/>
        <v>0</v>
      </c>
      <c r="AC872" s="4">
        <f t="shared" si="871"/>
        <v>0</v>
      </c>
      <c r="AD872" s="4">
        <f t="shared" si="871"/>
        <v>0</v>
      </c>
      <c r="AE872" s="4" t="str">
        <f>'Form responses 1'!AN1715</f>
        <v/>
      </c>
      <c r="AF872" s="4" t="str">
        <f>'Form responses 1'!AO1996</f>
        <v/>
      </c>
      <c r="AG872" s="4" t="str">
        <f>'Form responses 1'!AP1996</f>
        <v/>
      </c>
      <c r="AH872" s="4" t="str">
        <f>'Form responses 1'!AQ1996</f>
        <v/>
      </c>
      <c r="AI872" s="4" t="str">
        <f>'Form responses 1'!AR1996</f>
        <v/>
      </c>
    </row>
    <row r="873">
      <c r="A873" s="26" t="str">
        <f>'Form responses 1'!B1716</f>
        <v/>
      </c>
      <c r="B873" s="4" t="str">
        <f>'Form responses 1'!AZ1716</f>
        <v/>
      </c>
      <c r="C873" s="4" t="str">
        <f>'Form responses 1'!BR1716</f>
        <v/>
      </c>
      <c r="D873" s="4" t="str">
        <f>'Form responses 1'!AT1716</f>
        <v/>
      </c>
      <c r="E873" s="4" t="str">
        <f>'Form responses 1'!AU1716</f>
        <v/>
      </c>
      <c r="F873" s="4" t="str">
        <f>'Form responses 1'!AX1716</f>
        <v/>
      </c>
      <c r="G873" s="4" t="str">
        <f>'Form responses 1'!AY1716</f>
        <v/>
      </c>
      <c r="H873" s="53" t="str">
        <f>'Form responses 1'!AW1716</f>
        <v/>
      </c>
      <c r="I873" s="4" t="str">
        <f>'Form responses 1'!AS1716</f>
        <v/>
      </c>
      <c r="J873" s="4" t="str">
        <f>'Form responses 1'!J1716</f>
        <v/>
      </c>
      <c r="K873" s="4" t="str">
        <f>'Form responses 1'!G1716</f>
        <v/>
      </c>
      <c r="L873" s="4" t="str">
        <f>'Form responses 1'!F1716</f>
        <v/>
      </c>
      <c r="M873" s="4" t="str">
        <f>'Form responses 1'!U1716</f>
        <v/>
      </c>
      <c r="N873" s="4" t="str">
        <f>'Form responses 1'!V1716</f>
        <v/>
      </c>
      <c r="O873" s="4" t="str">
        <f>'Form responses 1'!W1716</f>
        <v/>
      </c>
      <c r="P873" s="4" t="str">
        <f>'Form responses 1'!X1716</f>
        <v/>
      </c>
      <c r="Q873" s="4" t="str">
        <f>'Form responses 1'!Y1716</f>
        <v/>
      </c>
      <c r="R873" s="4" t="str">
        <f>'Form responses 1'!Z1716</f>
        <v/>
      </c>
      <c r="S873" s="4" t="str">
        <f>'Form responses 1'!AC1716</f>
        <v/>
      </c>
      <c r="T873" s="4" t="str">
        <f>'Form responses 1'!AE1716</f>
        <v/>
      </c>
      <c r="U873" s="4" t="str">
        <f>'Form responses 1'!AG1716</f>
        <v/>
      </c>
      <c r="V873" s="4" t="str">
        <f>'Form responses 1'!AI1716</f>
        <v/>
      </c>
      <c r="W873" s="4" t="str">
        <f>'Form responses 1'!AJ1716</f>
        <v/>
      </c>
      <c r="X873" s="4" t="str">
        <f>'Form responses 1'!AK1716</f>
        <v/>
      </c>
      <c r="Y873" s="4">
        <f t="shared" ref="Y873:AD873" si="872">if(S873&gt;0,1,0)</f>
        <v>0</v>
      </c>
      <c r="Z873" s="4">
        <f t="shared" si="872"/>
        <v>0</v>
      </c>
      <c r="AA873" s="4">
        <f t="shared" si="872"/>
        <v>0</v>
      </c>
      <c r="AB873" s="4">
        <f t="shared" si="872"/>
        <v>0</v>
      </c>
      <c r="AC873" s="4">
        <f t="shared" si="872"/>
        <v>0</v>
      </c>
      <c r="AD873" s="4">
        <f t="shared" si="872"/>
        <v>0</v>
      </c>
      <c r="AE873" s="4" t="str">
        <f>'Form responses 1'!AN1716</f>
        <v/>
      </c>
      <c r="AF873" s="4" t="str">
        <f>'Form responses 1'!AO1997</f>
        <v/>
      </c>
      <c r="AG873" s="4" t="str">
        <f>'Form responses 1'!AP1997</f>
        <v/>
      </c>
      <c r="AH873" s="4" t="str">
        <f>'Form responses 1'!AQ1997</f>
        <v/>
      </c>
      <c r="AI873" s="4" t="str">
        <f>'Form responses 1'!AR1997</f>
        <v/>
      </c>
    </row>
    <row r="874">
      <c r="A874" s="26" t="str">
        <f>'Form responses 1'!B1717</f>
        <v/>
      </c>
      <c r="B874" s="4" t="str">
        <f>'Form responses 1'!AZ1717</f>
        <v/>
      </c>
      <c r="C874" s="4" t="str">
        <f>'Form responses 1'!BR1717</f>
        <v/>
      </c>
      <c r="D874" s="4" t="str">
        <f>'Form responses 1'!AT1717</f>
        <v/>
      </c>
      <c r="E874" s="4" t="str">
        <f>'Form responses 1'!AU1717</f>
        <v/>
      </c>
      <c r="F874" s="4" t="str">
        <f>'Form responses 1'!AX1717</f>
        <v/>
      </c>
      <c r="G874" s="4" t="str">
        <f>'Form responses 1'!AY1717</f>
        <v/>
      </c>
      <c r="H874" s="53" t="str">
        <f>'Form responses 1'!AW1717</f>
        <v/>
      </c>
      <c r="I874" s="4" t="str">
        <f>'Form responses 1'!AS1717</f>
        <v/>
      </c>
      <c r="J874" s="4" t="str">
        <f>'Form responses 1'!J1717</f>
        <v/>
      </c>
      <c r="K874" s="4" t="str">
        <f>'Form responses 1'!G1717</f>
        <v/>
      </c>
      <c r="L874" s="4" t="str">
        <f>'Form responses 1'!F1717</f>
        <v/>
      </c>
      <c r="M874" s="4" t="str">
        <f>'Form responses 1'!U1717</f>
        <v/>
      </c>
      <c r="N874" s="4" t="str">
        <f>'Form responses 1'!V1717</f>
        <v/>
      </c>
      <c r="O874" s="4" t="str">
        <f>'Form responses 1'!W1717</f>
        <v/>
      </c>
      <c r="P874" s="4" t="str">
        <f>'Form responses 1'!X1717</f>
        <v/>
      </c>
      <c r="Q874" s="4" t="str">
        <f>'Form responses 1'!Y1717</f>
        <v/>
      </c>
      <c r="R874" s="4" t="str">
        <f>'Form responses 1'!Z1717</f>
        <v/>
      </c>
      <c r="S874" s="4" t="str">
        <f>'Form responses 1'!AC1717</f>
        <v/>
      </c>
      <c r="T874" s="4" t="str">
        <f>'Form responses 1'!AE1717</f>
        <v/>
      </c>
      <c r="U874" s="4" t="str">
        <f>'Form responses 1'!AG1717</f>
        <v/>
      </c>
      <c r="V874" s="4" t="str">
        <f>'Form responses 1'!AI1717</f>
        <v/>
      </c>
      <c r="W874" s="4" t="str">
        <f>'Form responses 1'!AJ1717</f>
        <v/>
      </c>
      <c r="X874" s="4" t="str">
        <f>'Form responses 1'!AK1717</f>
        <v/>
      </c>
      <c r="Y874" s="4">
        <f t="shared" ref="Y874:AD874" si="873">if(S874&gt;0,1,0)</f>
        <v>0</v>
      </c>
      <c r="Z874" s="4">
        <f t="shared" si="873"/>
        <v>0</v>
      </c>
      <c r="AA874" s="4">
        <f t="shared" si="873"/>
        <v>0</v>
      </c>
      <c r="AB874" s="4">
        <f t="shared" si="873"/>
        <v>0</v>
      </c>
      <c r="AC874" s="4">
        <f t="shared" si="873"/>
        <v>0</v>
      </c>
      <c r="AD874" s="4">
        <f t="shared" si="873"/>
        <v>0</v>
      </c>
      <c r="AE874" s="4" t="str">
        <f>'Form responses 1'!AN1717</f>
        <v/>
      </c>
      <c r="AF874" s="4" t="str">
        <f>'Form responses 1'!AO1998</f>
        <v/>
      </c>
      <c r="AG874" s="4" t="str">
        <f>'Form responses 1'!AP1998</f>
        <v/>
      </c>
      <c r="AH874" s="4" t="str">
        <f>'Form responses 1'!AQ1998</f>
        <v/>
      </c>
      <c r="AI874" s="4" t="str">
        <f>'Form responses 1'!AR1998</f>
        <v/>
      </c>
    </row>
    <row r="875">
      <c r="A875" s="26" t="str">
        <f>'Form responses 1'!B1718</f>
        <v/>
      </c>
      <c r="B875" s="4" t="str">
        <f>'Form responses 1'!AZ1718</f>
        <v/>
      </c>
      <c r="C875" s="4" t="str">
        <f>'Form responses 1'!BR1718</f>
        <v/>
      </c>
      <c r="D875" s="4" t="str">
        <f>'Form responses 1'!AT1718</f>
        <v/>
      </c>
      <c r="E875" s="4" t="str">
        <f>'Form responses 1'!AU1718</f>
        <v/>
      </c>
      <c r="F875" s="4" t="str">
        <f>'Form responses 1'!AX1718</f>
        <v/>
      </c>
      <c r="G875" s="4" t="str">
        <f>'Form responses 1'!AY1718</f>
        <v/>
      </c>
      <c r="H875" s="53" t="str">
        <f>'Form responses 1'!AW1718</f>
        <v/>
      </c>
      <c r="I875" s="4" t="str">
        <f>'Form responses 1'!AS1718</f>
        <v/>
      </c>
      <c r="J875" s="4" t="str">
        <f>'Form responses 1'!J1718</f>
        <v/>
      </c>
      <c r="K875" s="4" t="str">
        <f>'Form responses 1'!G1718</f>
        <v/>
      </c>
      <c r="L875" s="4" t="str">
        <f>'Form responses 1'!F1718</f>
        <v/>
      </c>
      <c r="M875" s="4" t="str">
        <f>'Form responses 1'!U1718</f>
        <v/>
      </c>
      <c r="N875" s="4" t="str">
        <f>'Form responses 1'!V1718</f>
        <v/>
      </c>
      <c r="O875" s="4" t="str">
        <f>'Form responses 1'!W1718</f>
        <v/>
      </c>
      <c r="P875" s="4" t="str">
        <f>'Form responses 1'!X1718</f>
        <v/>
      </c>
      <c r="Q875" s="4" t="str">
        <f>'Form responses 1'!Y1718</f>
        <v/>
      </c>
      <c r="R875" s="4" t="str">
        <f>'Form responses 1'!Z1718</f>
        <v/>
      </c>
      <c r="S875" s="4" t="str">
        <f>'Form responses 1'!AC1718</f>
        <v/>
      </c>
      <c r="T875" s="4" t="str">
        <f>'Form responses 1'!AE1718</f>
        <v/>
      </c>
      <c r="U875" s="4" t="str">
        <f>'Form responses 1'!AG1718</f>
        <v/>
      </c>
      <c r="V875" s="4" t="str">
        <f>'Form responses 1'!AI1718</f>
        <v/>
      </c>
      <c r="W875" s="4" t="str">
        <f>'Form responses 1'!AJ1718</f>
        <v/>
      </c>
      <c r="X875" s="4" t="str">
        <f>'Form responses 1'!AK1718</f>
        <v/>
      </c>
      <c r="Y875" s="4">
        <f t="shared" ref="Y875:AD875" si="874">if(S875&gt;0,1,0)</f>
        <v>0</v>
      </c>
      <c r="Z875" s="4">
        <f t="shared" si="874"/>
        <v>0</v>
      </c>
      <c r="AA875" s="4">
        <f t="shared" si="874"/>
        <v>0</v>
      </c>
      <c r="AB875" s="4">
        <f t="shared" si="874"/>
        <v>0</v>
      </c>
      <c r="AC875" s="4">
        <f t="shared" si="874"/>
        <v>0</v>
      </c>
      <c r="AD875" s="4">
        <f t="shared" si="874"/>
        <v>0</v>
      </c>
      <c r="AE875" s="4" t="str">
        <f>'Form responses 1'!AN1718</f>
        <v/>
      </c>
      <c r="AF875" s="4" t="str">
        <f>'Form responses 1'!AO1999</f>
        <v/>
      </c>
      <c r="AG875" s="4" t="str">
        <f>'Form responses 1'!AP1999</f>
        <v/>
      </c>
      <c r="AH875" s="4" t="str">
        <f>'Form responses 1'!AQ1999</f>
        <v/>
      </c>
      <c r="AI875" s="4" t="str">
        <f>'Form responses 1'!AR1999</f>
        <v/>
      </c>
    </row>
    <row r="876">
      <c r="A876" s="26" t="str">
        <f>'Form responses 1'!B1719</f>
        <v/>
      </c>
      <c r="B876" s="4" t="str">
        <f>'Form responses 1'!AZ1719</f>
        <v/>
      </c>
      <c r="C876" s="4" t="str">
        <f>'Form responses 1'!BR1719</f>
        <v/>
      </c>
      <c r="D876" s="4" t="str">
        <f>'Form responses 1'!AT1719</f>
        <v/>
      </c>
      <c r="E876" s="4" t="str">
        <f>'Form responses 1'!AU1719</f>
        <v/>
      </c>
      <c r="F876" s="4" t="str">
        <f>'Form responses 1'!AX1719</f>
        <v/>
      </c>
      <c r="G876" s="4" t="str">
        <f>'Form responses 1'!AY1719</f>
        <v/>
      </c>
      <c r="H876" s="53" t="str">
        <f>'Form responses 1'!AW1719</f>
        <v/>
      </c>
      <c r="I876" s="4" t="str">
        <f>'Form responses 1'!AS1719</f>
        <v/>
      </c>
      <c r="J876" s="4" t="str">
        <f>'Form responses 1'!J1719</f>
        <v/>
      </c>
      <c r="K876" s="4" t="str">
        <f>'Form responses 1'!G1719</f>
        <v/>
      </c>
      <c r="L876" s="4" t="str">
        <f>'Form responses 1'!F1719</f>
        <v/>
      </c>
      <c r="M876" s="4" t="str">
        <f>'Form responses 1'!U1719</f>
        <v/>
      </c>
      <c r="N876" s="4" t="str">
        <f>'Form responses 1'!V1719</f>
        <v/>
      </c>
      <c r="O876" s="4" t="str">
        <f>'Form responses 1'!W1719</f>
        <v/>
      </c>
      <c r="P876" s="4" t="str">
        <f>'Form responses 1'!X1719</f>
        <v/>
      </c>
      <c r="Q876" s="4" t="str">
        <f>'Form responses 1'!Y1719</f>
        <v/>
      </c>
      <c r="R876" s="4" t="str">
        <f>'Form responses 1'!Z1719</f>
        <v/>
      </c>
      <c r="S876" s="4" t="str">
        <f>'Form responses 1'!AC1719</f>
        <v/>
      </c>
      <c r="T876" s="4" t="str">
        <f>'Form responses 1'!AE1719</f>
        <v/>
      </c>
      <c r="U876" s="4" t="str">
        <f>'Form responses 1'!AG1719</f>
        <v/>
      </c>
      <c r="V876" s="4" t="str">
        <f>'Form responses 1'!AI1719</f>
        <v/>
      </c>
      <c r="W876" s="4" t="str">
        <f>'Form responses 1'!AJ1719</f>
        <v/>
      </c>
      <c r="X876" s="4" t="str">
        <f>'Form responses 1'!AK1719</f>
        <v/>
      </c>
      <c r="Y876" s="4">
        <f t="shared" ref="Y876:AD876" si="875">if(S876&gt;0,1,0)</f>
        <v>0</v>
      </c>
      <c r="Z876" s="4">
        <f t="shared" si="875"/>
        <v>0</v>
      </c>
      <c r="AA876" s="4">
        <f t="shared" si="875"/>
        <v>0</v>
      </c>
      <c r="AB876" s="4">
        <f t="shared" si="875"/>
        <v>0</v>
      </c>
      <c r="AC876" s="4">
        <f t="shared" si="875"/>
        <v>0</v>
      </c>
      <c r="AD876" s="4">
        <f t="shared" si="875"/>
        <v>0</v>
      </c>
      <c r="AE876" s="4" t="str">
        <f>'Form responses 1'!AN1719</f>
        <v/>
      </c>
      <c r="AF876" s="4" t="str">
        <f>'Form responses 1'!AO2000</f>
        <v/>
      </c>
      <c r="AG876" s="4" t="str">
        <f>'Form responses 1'!AP2000</f>
        <v/>
      </c>
      <c r="AH876" s="4" t="str">
        <f>'Form responses 1'!AQ2000</f>
        <v/>
      </c>
      <c r="AI876" s="4" t="str">
        <f>'Form responses 1'!AR2000</f>
        <v/>
      </c>
    </row>
    <row r="877">
      <c r="A877" s="26" t="str">
        <f>'Form responses 1'!B1720</f>
        <v/>
      </c>
      <c r="B877" s="4" t="str">
        <f>'Form responses 1'!AZ1720</f>
        <v/>
      </c>
      <c r="C877" s="4" t="str">
        <f>'Form responses 1'!BR1720</f>
        <v/>
      </c>
      <c r="D877" s="4" t="str">
        <f>'Form responses 1'!AT1720</f>
        <v/>
      </c>
      <c r="E877" s="4" t="str">
        <f>'Form responses 1'!AU1720</f>
        <v/>
      </c>
      <c r="F877" s="4" t="str">
        <f>'Form responses 1'!AX1720</f>
        <v/>
      </c>
      <c r="G877" s="4" t="str">
        <f>'Form responses 1'!AY1720</f>
        <v/>
      </c>
      <c r="H877" s="53" t="str">
        <f>'Form responses 1'!AW1720</f>
        <v/>
      </c>
      <c r="I877" s="4" t="str">
        <f>'Form responses 1'!AS1720</f>
        <v/>
      </c>
      <c r="J877" s="4" t="str">
        <f>'Form responses 1'!J1720</f>
        <v/>
      </c>
      <c r="K877" s="4" t="str">
        <f>'Form responses 1'!G1720</f>
        <v/>
      </c>
      <c r="L877" s="4" t="str">
        <f>'Form responses 1'!F1720</f>
        <v/>
      </c>
      <c r="M877" s="4" t="str">
        <f>'Form responses 1'!U1720</f>
        <v/>
      </c>
      <c r="N877" s="4" t="str">
        <f>'Form responses 1'!V1720</f>
        <v/>
      </c>
      <c r="O877" s="4" t="str">
        <f>'Form responses 1'!W1720</f>
        <v/>
      </c>
      <c r="P877" s="4" t="str">
        <f>'Form responses 1'!X1720</f>
        <v/>
      </c>
      <c r="Q877" s="4" t="str">
        <f>'Form responses 1'!Y1720</f>
        <v/>
      </c>
      <c r="R877" s="4" t="str">
        <f>'Form responses 1'!Z1720</f>
        <v/>
      </c>
      <c r="S877" s="4" t="str">
        <f>'Form responses 1'!AC1720</f>
        <v/>
      </c>
      <c r="T877" s="4" t="str">
        <f>'Form responses 1'!AE1720</f>
        <v/>
      </c>
      <c r="U877" s="4" t="str">
        <f>'Form responses 1'!AG1720</f>
        <v/>
      </c>
      <c r="V877" s="4" t="str">
        <f>'Form responses 1'!AI1720</f>
        <v/>
      </c>
      <c r="W877" s="4" t="str">
        <f>'Form responses 1'!AJ1720</f>
        <v/>
      </c>
      <c r="X877" s="4" t="str">
        <f>'Form responses 1'!AK1720</f>
        <v/>
      </c>
      <c r="Y877" s="4">
        <f t="shared" ref="Y877:AD877" si="876">if(S877&gt;0,1,0)</f>
        <v>0</v>
      </c>
      <c r="Z877" s="4">
        <f t="shared" si="876"/>
        <v>0</v>
      </c>
      <c r="AA877" s="4">
        <f t="shared" si="876"/>
        <v>0</v>
      </c>
      <c r="AB877" s="4">
        <f t="shared" si="876"/>
        <v>0</v>
      </c>
      <c r="AC877" s="4">
        <f t="shared" si="876"/>
        <v>0</v>
      </c>
      <c r="AD877" s="4">
        <f t="shared" si="876"/>
        <v>0</v>
      </c>
      <c r="AE877" s="4" t="str">
        <f>'Form responses 1'!AN1720</f>
        <v/>
      </c>
      <c r="AF877" s="4" t="str">
        <f>'Form responses 1'!AO2001</f>
        <v/>
      </c>
      <c r="AG877" s="4" t="str">
        <f>'Form responses 1'!AP2001</f>
        <v/>
      </c>
      <c r="AH877" s="4" t="str">
        <f>'Form responses 1'!AQ2001</f>
        <v/>
      </c>
      <c r="AI877" s="4" t="str">
        <f>'Form responses 1'!AR2001</f>
        <v/>
      </c>
    </row>
    <row r="878">
      <c r="A878" s="26" t="str">
        <f>'Form responses 1'!B1721</f>
        <v/>
      </c>
      <c r="B878" s="4" t="str">
        <f>'Form responses 1'!AZ1721</f>
        <v/>
      </c>
      <c r="C878" s="4" t="str">
        <f>'Form responses 1'!BR1721</f>
        <v/>
      </c>
      <c r="D878" s="4" t="str">
        <f>'Form responses 1'!AT1721</f>
        <v/>
      </c>
      <c r="E878" s="4" t="str">
        <f>'Form responses 1'!AU1721</f>
        <v/>
      </c>
      <c r="F878" s="4" t="str">
        <f>'Form responses 1'!AX1721</f>
        <v/>
      </c>
      <c r="G878" s="4" t="str">
        <f>'Form responses 1'!AY1721</f>
        <v/>
      </c>
      <c r="H878" s="53" t="str">
        <f>'Form responses 1'!AW1721</f>
        <v/>
      </c>
      <c r="I878" s="4" t="str">
        <f>'Form responses 1'!AS1721</f>
        <v/>
      </c>
      <c r="J878" s="4" t="str">
        <f>'Form responses 1'!J1721</f>
        <v/>
      </c>
      <c r="K878" s="4" t="str">
        <f>'Form responses 1'!G1721</f>
        <v/>
      </c>
      <c r="L878" s="4" t="str">
        <f>'Form responses 1'!F1721</f>
        <v/>
      </c>
      <c r="M878" s="4" t="str">
        <f>'Form responses 1'!U1721</f>
        <v/>
      </c>
      <c r="N878" s="4" t="str">
        <f>'Form responses 1'!V1721</f>
        <v/>
      </c>
      <c r="O878" s="4" t="str">
        <f>'Form responses 1'!W1721</f>
        <v/>
      </c>
      <c r="P878" s="4" t="str">
        <f>'Form responses 1'!X1721</f>
        <v/>
      </c>
      <c r="Q878" s="4" t="str">
        <f>'Form responses 1'!Y1721</f>
        <v/>
      </c>
      <c r="R878" s="4" t="str">
        <f>'Form responses 1'!Z1721</f>
        <v/>
      </c>
      <c r="S878" s="4" t="str">
        <f>'Form responses 1'!AC1721</f>
        <v/>
      </c>
      <c r="T878" s="4" t="str">
        <f>'Form responses 1'!AE1721</f>
        <v/>
      </c>
      <c r="U878" s="4" t="str">
        <f>'Form responses 1'!AG1721</f>
        <v/>
      </c>
      <c r="V878" s="4" t="str">
        <f>'Form responses 1'!AI1721</f>
        <v/>
      </c>
      <c r="W878" s="4" t="str">
        <f>'Form responses 1'!AJ1721</f>
        <v/>
      </c>
      <c r="X878" s="4" t="str">
        <f>'Form responses 1'!AK1721</f>
        <v/>
      </c>
      <c r="Y878" s="4">
        <f t="shared" ref="Y878:AD878" si="877">if(S878&gt;0,1,0)</f>
        <v>0</v>
      </c>
      <c r="Z878" s="4">
        <f t="shared" si="877"/>
        <v>0</v>
      </c>
      <c r="AA878" s="4">
        <f t="shared" si="877"/>
        <v>0</v>
      </c>
      <c r="AB878" s="4">
        <f t="shared" si="877"/>
        <v>0</v>
      </c>
      <c r="AC878" s="4">
        <f t="shared" si="877"/>
        <v>0</v>
      </c>
      <c r="AD878" s="4">
        <f t="shared" si="877"/>
        <v>0</v>
      </c>
      <c r="AE878" s="4" t="str">
        <f>'Form responses 1'!AN1721</f>
        <v/>
      </c>
      <c r="AF878" s="4" t="str">
        <f>'Form responses 1'!AO2002</f>
        <v/>
      </c>
      <c r="AG878" s="4" t="str">
        <f>'Form responses 1'!AP2002</f>
        <v/>
      </c>
      <c r="AH878" s="4" t="str">
        <f>'Form responses 1'!AQ2002</f>
        <v/>
      </c>
      <c r="AI878" s="4" t="str">
        <f>'Form responses 1'!AR2002</f>
        <v/>
      </c>
    </row>
    <row r="879">
      <c r="A879" s="26" t="str">
        <f>'Form responses 1'!B1722</f>
        <v/>
      </c>
      <c r="B879" s="4" t="str">
        <f>'Form responses 1'!AZ1722</f>
        <v/>
      </c>
      <c r="C879" s="4" t="str">
        <f>'Form responses 1'!BR1722</f>
        <v/>
      </c>
      <c r="D879" s="4" t="str">
        <f>'Form responses 1'!AT1722</f>
        <v/>
      </c>
      <c r="E879" s="4" t="str">
        <f>'Form responses 1'!AU1722</f>
        <v/>
      </c>
      <c r="F879" s="4" t="str">
        <f>'Form responses 1'!AX1722</f>
        <v/>
      </c>
      <c r="G879" s="4" t="str">
        <f>'Form responses 1'!AY1722</f>
        <v/>
      </c>
      <c r="H879" s="53" t="str">
        <f>'Form responses 1'!AW1722</f>
        <v/>
      </c>
      <c r="I879" s="4" t="str">
        <f>'Form responses 1'!AS1722</f>
        <v/>
      </c>
      <c r="J879" s="4" t="str">
        <f>'Form responses 1'!J1722</f>
        <v/>
      </c>
      <c r="K879" s="4" t="str">
        <f>'Form responses 1'!G1722</f>
        <v/>
      </c>
      <c r="L879" s="4" t="str">
        <f>'Form responses 1'!F1722</f>
        <v/>
      </c>
      <c r="M879" s="4" t="str">
        <f>'Form responses 1'!U1722</f>
        <v/>
      </c>
      <c r="N879" s="4" t="str">
        <f>'Form responses 1'!V1722</f>
        <v/>
      </c>
      <c r="O879" s="4" t="str">
        <f>'Form responses 1'!W1722</f>
        <v/>
      </c>
      <c r="P879" s="4" t="str">
        <f>'Form responses 1'!X1722</f>
        <v/>
      </c>
      <c r="Q879" s="4" t="str">
        <f>'Form responses 1'!Y1722</f>
        <v/>
      </c>
      <c r="R879" s="4" t="str">
        <f>'Form responses 1'!Z1722</f>
        <v/>
      </c>
      <c r="S879" s="4" t="str">
        <f>'Form responses 1'!AC1722</f>
        <v/>
      </c>
      <c r="T879" s="4" t="str">
        <f>'Form responses 1'!AE1722</f>
        <v/>
      </c>
      <c r="U879" s="4" t="str">
        <f>'Form responses 1'!AG1722</f>
        <v/>
      </c>
      <c r="V879" s="4" t="str">
        <f>'Form responses 1'!AI1722</f>
        <v/>
      </c>
      <c r="W879" s="4" t="str">
        <f>'Form responses 1'!AJ1722</f>
        <v/>
      </c>
      <c r="X879" s="4" t="str">
        <f>'Form responses 1'!AK1722</f>
        <v/>
      </c>
      <c r="Y879" s="4">
        <f t="shared" ref="Y879:AD879" si="878">if(S879&gt;0,1,0)</f>
        <v>0</v>
      </c>
      <c r="Z879" s="4">
        <f t="shared" si="878"/>
        <v>0</v>
      </c>
      <c r="AA879" s="4">
        <f t="shared" si="878"/>
        <v>0</v>
      </c>
      <c r="AB879" s="4">
        <f t="shared" si="878"/>
        <v>0</v>
      </c>
      <c r="AC879" s="4">
        <f t="shared" si="878"/>
        <v>0</v>
      </c>
      <c r="AD879" s="4">
        <f t="shared" si="878"/>
        <v>0</v>
      </c>
      <c r="AE879" s="4" t="str">
        <f>'Form responses 1'!AN1722</f>
        <v/>
      </c>
      <c r="AF879" s="4" t="str">
        <f>'Form responses 1'!AO2003</f>
        <v/>
      </c>
      <c r="AG879" s="4" t="str">
        <f>'Form responses 1'!AP2003</f>
        <v/>
      </c>
      <c r="AH879" s="4" t="str">
        <f>'Form responses 1'!AQ2003</f>
        <v/>
      </c>
      <c r="AI879" s="4" t="str">
        <f>'Form responses 1'!AR2003</f>
        <v/>
      </c>
    </row>
    <row r="880">
      <c r="A880" s="26" t="str">
        <f>'Form responses 1'!B1723</f>
        <v/>
      </c>
      <c r="B880" s="4" t="str">
        <f>'Form responses 1'!AZ1723</f>
        <v/>
      </c>
      <c r="C880" s="4" t="str">
        <f>'Form responses 1'!BR1723</f>
        <v/>
      </c>
      <c r="D880" s="4" t="str">
        <f>'Form responses 1'!AT1723</f>
        <v/>
      </c>
      <c r="E880" s="4" t="str">
        <f>'Form responses 1'!AU1723</f>
        <v/>
      </c>
      <c r="F880" s="4" t="str">
        <f>'Form responses 1'!AX1723</f>
        <v/>
      </c>
      <c r="G880" s="4" t="str">
        <f>'Form responses 1'!AY1723</f>
        <v/>
      </c>
      <c r="H880" s="53" t="str">
        <f>'Form responses 1'!AW1723</f>
        <v/>
      </c>
      <c r="I880" s="4" t="str">
        <f>'Form responses 1'!AS1723</f>
        <v/>
      </c>
      <c r="J880" s="4" t="str">
        <f>'Form responses 1'!J1723</f>
        <v/>
      </c>
      <c r="K880" s="4" t="str">
        <f>'Form responses 1'!G1723</f>
        <v/>
      </c>
      <c r="L880" s="4" t="str">
        <f>'Form responses 1'!F1723</f>
        <v/>
      </c>
      <c r="M880" s="4" t="str">
        <f>'Form responses 1'!U1723</f>
        <v/>
      </c>
      <c r="N880" s="4" t="str">
        <f>'Form responses 1'!V1723</f>
        <v/>
      </c>
      <c r="O880" s="4" t="str">
        <f>'Form responses 1'!W1723</f>
        <v/>
      </c>
      <c r="P880" s="4" t="str">
        <f>'Form responses 1'!X1723</f>
        <v/>
      </c>
      <c r="Q880" s="4" t="str">
        <f>'Form responses 1'!Y1723</f>
        <v/>
      </c>
      <c r="R880" s="4" t="str">
        <f>'Form responses 1'!Z1723</f>
        <v/>
      </c>
      <c r="S880" s="4" t="str">
        <f>'Form responses 1'!AC1723</f>
        <v/>
      </c>
      <c r="T880" s="4" t="str">
        <f>'Form responses 1'!AE1723</f>
        <v/>
      </c>
      <c r="U880" s="4" t="str">
        <f>'Form responses 1'!AG1723</f>
        <v/>
      </c>
      <c r="V880" s="4" t="str">
        <f>'Form responses 1'!AI1723</f>
        <v/>
      </c>
      <c r="W880" s="4" t="str">
        <f>'Form responses 1'!AJ1723</f>
        <v/>
      </c>
      <c r="X880" s="4" t="str">
        <f>'Form responses 1'!AK1723</f>
        <v/>
      </c>
      <c r="Y880" s="4">
        <f t="shared" ref="Y880:AD880" si="879">if(S880&gt;0,1,0)</f>
        <v>0</v>
      </c>
      <c r="Z880" s="4">
        <f t="shared" si="879"/>
        <v>0</v>
      </c>
      <c r="AA880" s="4">
        <f t="shared" si="879"/>
        <v>0</v>
      </c>
      <c r="AB880" s="4">
        <f t="shared" si="879"/>
        <v>0</v>
      </c>
      <c r="AC880" s="4">
        <f t="shared" si="879"/>
        <v>0</v>
      </c>
      <c r="AD880" s="4">
        <f t="shared" si="879"/>
        <v>0</v>
      </c>
      <c r="AE880" s="4" t="str">
        <f>'Form responses 1'!AN1723</f>
        <v/>
      </c>
      <c r="AF880" s="4" t="str">
        <f>'Form responses 1'!AO2004</f>
        <v/>
      </c>
      <c r="AG880" s="4" t="str">
        <f>'Form responses 1'!AP2004</f>
        <v/>
      </c>
      <c r="AH880" s="4" t="str">
        <f>'Form responses 1'!AQ2004</f>
        <v/>
      </c>
      <c r="AI880" s="4" t="str">
        <f>'Form responses 1'!AR2004</f>
        <v/>
      </c>
    </row>
    <row r="881">
      <c r="A881" s="26" t="str">
        <f>'Form responses 1'!B1724</f>
        <v/>
      </c>
      <c r="B881" s="4" t="str">
        <f>'Form responses 1'!AZ1724</f>
        <v/>
      </c>
      <c r="C881" s="4" t="str">
        <f>'Form responses 1'!BR1724</f>
        <v/>
      </c>
      <c r="D881" s="4" t="str">
        <f>'Form responses 1'!AT1724</f>
        <v/>
      </c>
      <c r="E881" s="4" t="str">
        <f>'Form responses 1'!AU1724</f>
        <v/>
      </c>
      <c r="F881" s="4" t="str">
        <f>'Form responses 1'!AX1724</f>
        <v/>
      </c>
      <c r="G881" s="4" t="str">
        <f>'Form responses 1'!AY1724</f>
        <v/>
      </c>
      <c r="H881" s="53" t="str">
        <f>'Form responses 1'!AW1724</f>
        <v/>
      </c>
      <c r="I881" s="4" t="str">
        <f>'Form responses 1'!AS1724</f>
        <v/>
      </c>
      <c r="J881" s="4" t="str">
        <f>'Form responses 1'!J1724</f>
        <v/>
      </c>
      <c r="K881" s="4" t="str">
        <f>'Form responses 1'!G1724</f>
        <v/>
      </c>
      <c r="L881" s="4" t="str">
        <f>'Form responses 1'!F1724</f>
        <v/>
      </c>
      <c r="M881" s="4" t="str">
        <f>'Form responses 1'!U1724</f>
        <v/>
      </c>
      <c r="N881" s="4" t="str">
        <f>'Form responses 1'!V1724</f>
        <v/>
      </c>
      <c r="O881" s="4" t="str">
        <f>'Form responses 1'!W1724</f>
        <v/>
      </c>
      <c r="P881" s="4" t="str">
        <f>'Form responses 1'!X1724</f>
        <v/>
      </c>
      <c r="Q881" s="4" t="str">
        <f>'Form responses 1'!Y1724</f>
        <v/>
      </c>
      <c r="R881" s="4" t="str">
        <f>'Form responses 1'!Z1724</f>
        <v/>
      </c>
      <c r="S881" s="4" t="str">
        <f>'Form responses 1'!AC1724</f>
        <v/>
      </c>
      <c r="T881" s="4" t="str">
        <f>'Form responses 1'!AE1724</f>
        <v/>
      </c>
      <c r="U881" s="4" t="str">
        <f>'Form responses 1'!AG1724</f>
        <v/>
      </c>
      <c r="V881" s="4" t="str">
        <f>'Form responses 1'!AI1724</f>
        <v/>
      </c>
      <c r="W881" s="4" t="str">
        <f>'Form responses 1'!AJ1724</f>
        <v/>
      </c>
      <c r="X881" s="4" t="str">
        <f>'Form responses 1'!AK1724</f>
        <v/>
      </c>
      <c r="Y881" s="4">
        <f t="shared" ref="Y881:AD881" si="880">if(S881&gt;0,1,0)</f>
        <v>0</v>
      </c>
      <c r="Z881" s="4">
        <f t="shared" si="880"/>
        <v>0</v>
      </c>
      <c r="AA881" s="4">
        <f t="shared" si="880"/>
        <v>0</v>
      </c>
      <c r="AB881" s="4">
        <f t="shared" si="880"/>
        <v>0</v>
      </c>
      <c r="AC881" s="4">
        <f t="shared" si="880"/>
        <v>0</v>
      </c>
      <c r="AD881" s="4">
        <f t="shared" si="880"/>
        <v>0</v>
      </c>
      <c r="AE881" s="4" t="str">
        <f>'Form responses 1'!AN1724</f>
        <v/>
      </c>
      <c r="AF881" s="4" t="str">
        <f>'Form responses 1'!AO2005</f>
        <v/>
      </c>
      <c r="AG881" s="4" t="str">
        <f>'Form responses 1'!AP2005</f>
        <v/>
      </c>
      <c r="AH881" s="4" t="str">
        <f>'Form responses 1'!AQ2005</f>
        <v/>
      </c>
      <c r="AI881" s="4" t="str">
        <f>'Form responses 1'!AR2005</f>
        <v/>
      </c>
    </row>
    <row r="882">
      <c r="A882" s="26" t="str">
        <f>'Form responses 1'!B1725</f>
        <v/>
      </c>
      <c r="B882" s="4" t="str">
        <f>'Form responses 1'!AZ1725</f>
        <v/>
      </c>
      <c r="C882" s="4" t="str">
        <f>'Form responses 1'!BR1725</f>
        <v/>
      </c>
      <c r="D882" s="4" t="str">
        <f>'Form responses 1'!AT1725</f>
        <v/>
      </c>
      <c r="E882" s="4" t="str">
        <f>'Form responses 1'!AU1725</f>
        <v/>
      </c>
      <c r="F882" s="4" t="str">
        <f>'Form responses 1'!AX1725</f>
        <v/>
      </c>
      <c r="G882" s="4" t="str">
        <f>'Form responses 1'!AY1725</f>
        <v/>
      </c>
      <c r="H882" s="53" t="str">
        <f>'Form responses 1'!AW1725</f>
        <v/>
      </c>
      <c r="I882" s="4" t="str">
        <f>'Form responses 1'!AS1725</f>
        <v/>
      </c>
      <c r="J882" s="4" t="str">
        <f>'Form responses 1'!J1725</f>
        <v/>
      </c>
      <c r="K882" s="4" t="str">
        <f>'Form responses 1'!G1725</f>
        <v/>
      </c>
      <c r="L882" s="4" t="str">
        <f>'Form responses 1'!F1725</f>
        <v/>
      </c>
      <c r="M882" s="4" t="str">
        <f>'Form responses 1'!U1725</f>
        <v/>
      </c>
      <c r="N882" s="4" t="str">
        <f>'Form responses 1'!V1725</f>
        <v/>
      </c>
      <c r="O882" s="4" t="str">
        <f>'Form responses 1'!W1725</f>
        <v/>
      </c>
      <c r="P882" s="4" t="str">
        <f>'Form responses 1'!X1725</f>
        <v/>
      </c>
      <c r="Q882" s="4" t="str">
        <f>'Form responses 1'!Y1725</f>
        <v/>
      </c>
      <c r="R882" s="4" t="str">
        <f>'Form responses 1'!Z1725</f>
        <v/>
      </c>
      <c r="S882" s="4" t="str">
        <f>'Form responses 1'!AC1725</f>
        <v/>
      </c>
      <c r="T882" s="4" t="str">
        <f>'Form responses 1'!AE1725</f>
        <v/>
      </c>
      <c r="U882" s="4" t="str">
        <f>'Form responses 1'!AG1725</f>
        <v/>
      </c>
      <c r="V882" s="4" t="str">
        <f>'Form responses 1'!AI1725</f>
        <v/>
      </c>
      <c r="W882" s="4" t="str">
        <f>'Form responses 1'!AJ1725</f>
        <v/>
      </c>
      <c r="X882" s="4" t="str">
        <f>'Form responses 1'!AK1725</f>
        <v/>
      </c>
      <c r="Y882" s="4">
        <f t="shared" ref="Y882:AD882" si="881">if(S882&gt;0,1,0)</f>
        <v>0</v>
      </c>
      <c r="Z882" s="4">
        <f t="shared" si="881"/>
        <v>0</v>
      </c>
      <c r="AA882" s="4">
        <f t="shared" si="881"/>
        <v>0</v>
      </c>
      <c r="AB882" s="4">
        <f t="shared" si="881"/>
        <v>0</v>
      </c>
      <c r="AC882" s="4">
        <f t="shared" si="881"/>
        <v>0</v>
      </c>
      <c r="AD882" s="4">
        <f t="shared" si="881"/>
        <v>0</v>
      </c>
      <c r="AE882" s="4" t="str">
        <f>'Form responses 1'!AN1725</f>
        <v/>
      </c>
      <c r="AF882" s="4" t="str">
        <f>'Form responses 1'!AO2006</f>
        <v/>
      </c>
      <c r="AG882" s="4" t="str">
        <f>'Form responses 1'!AP2006</f>
        <v/>
      </c>
      <c r="AH882" s="4" t="str">
        <f>'Form responses 1'!AQ2006</f>
        <v/>
      </c>
      <c r="AI882" s="4" t="str">
        <f>'Form responses 1'!AR2006</f>
        <v/>
      </c>
    </row>
    <row r="883">
      <c r="A883" s="26" t="str">
        <f>'Form responses 1'!B1726</f>
        <v/>
      </c>
      <c r="B883" s="4" t="str">
        <f>'Form responses 1'!AZ1726</f>
        <v/>
      </c>
      <c r="C883" s="4" t="str">
        <f>'Form responses 1'!BR1726</f>
        <v/>
      </c>
      <c r="D883" s="4" t="str">
        <f>'Form responses 1'!AT1726</f>
        <v/>
      </c>
      <c r="E883" s="4" t="str">
        <f>'Form responses 1'!AU1726</f>
        <v/>
      </c>
      <c r="F883" s="4" t="str">
        <f>'Form responses 1'!AX1726</f>
        <v/>
      </c>
      <c r="G883" s="4" t="str">
        <f>'Form responses 1'!AY1726</f>
        <v/>
      </c>
      <c r="H883" s="53" t="str">
        <f>'Form responses 1'!AW1726</f>
        <v/>
      </c>
      <c r="I883" s="4" t="str">
        <f>'Form responses 1'!AS1726</f>
        <v/>
      </c>
      <c r="J883" s="4" t="str">
        <f>'Form responses 1'!J1726</f>
        <v/>
      </c>
      <c r="K883" s="4" t="str">
        <f>'Form responses 1'!G1726</f>
        <v/>
      </c>
      <c r="L883" s="4" t="str">
        <f>'Form responses 1'!F1726</f>
        <v/>
      </c>
      <c r="M883" s="4" t="str">
        <f>'Form responses 1'!U1726</f>
        <v/>
      </c>
      <c r="N883" s="4" t="str">
        <f>'Form responses 1'!V1726</f>
        <v/>
      </c>
      <c r="O883" s="4" t="str">
        <f>'Form responses 1'!W1726</f>
        <v/>
      </c>
      <c r="P883" s="4" t="str">
        <f>'Form responses 1'!X1726</f>
        <v/>
      </c>
      <c r="Q883" s="4" t="str">
        <f>'Form responses 1'!Y1726</f>
        <v/>
      </c>
      <c r="R883" s="4" t="str">
        <f>'Form responses 1'!Z1726</f>
        <v/>
      </c>
      <c r="S883" s="4" t="str">
        <f>'Form responses 1'!AC1726</f>
        <v/>
      </c>
      <c r="T883" s="4" t="str">
        <f>'Form responses 1'!AE1726</f>
        <v/>
      </c>
      <c r="U883" s="4" t="str">
        <f>'Form responses 1'!AG1726</f>
        <v/>
      </c>
      <c r="V883" s="4" t="str">
        <f>'Form responses 1'!AI1726</f>
        <v/>
      </c>
      <c r="W883" s="4" t="str">
        <f>'Form responses 1'!AJ1726</f>
        <v/>
      </c>
      <c r="X883" s="4" t="str">
        <f>'Form responses 1'!AK1726</f>
        <v/>
      </c>
      <c r="Y883" s="4">
        <f t="shared" ref="Y883:AD883" si="882">if(S883&gt;0,1,0)</f>
        <v>0</v>
      </c>
      <c r="Z883" s="4">
        <f t="shared" si="882"/>
        <v>0</v>
      </c>
      <c r="AA883" s="4">
        <f t="shared" si="882"/>
        <v>0</v>
      </c>
      <c r="AB883" s="4">
        <f t="shared" si="882"/>
        <v>0</v>
      </c>
      <c r="AC883" s="4">
        <f t="shared" si="882"/>
        <v>0</v>
      </c>
      <c r="AD883" s="4">
        <f t="shared" si="882"/>
        <v>0</v>
      </c>
      <c r="AE883" s="4" t="str">
        <f>'Form responses 1'!AN1726</f>
        <v/>
      </c>
      <c r="AF883" s="4" t="str">
        <f>'Form responses 1'!AO2007</f>
        <v/>
      </c>
      <c r="AG883" s="4" t="str">
        <f>'Form responses 1'!AP2007</f>
        <v/>
      </c>
      <c r="AH883" s="4" t="str">
        <f>'Form responses 1'!AQ2007</f>
        <v/>
      </c>
      <c r="AI883" s="4" t="str">
        <f>'Form responses 1'!AR2007</f>
        <v/>
      </c>
    </row>
    <row r="884">
      <c r="A884" s="26" t="str">
        <f>'Form responses 1'!B1727</f>
        <v/>
      </c>
      <c r="B884" s="4" t="str">
        <f>'Form responses 1'!AZ1727</f>
        <v/>
      </c>
      <c r="C884" s="4" t="str">
        <f>'Form responses 1'!BR1727</f>
        <v/>
      </c>
      <c r="D884" s="4" t="str">
        <f>'Form responses 1'!AT1727</f>
        <v/>
      </c>
      <c r="E884" s="4" t="str">
        <f>'Form responses 1'!AU1727</f>
        <v/>
      </c>
      <c r="F884" s="4" t="str">
        <f>'Form responses 1'!AX1727</f>
        <v/>
      </c>
      <c r="G884" s="4" t="str">
        <f>'Form responses 1'!AY1727</f>
        <v/>
      </c>
      <c r="H884" s="53" t="str">
        <f>'Form responses 1'!AW1727</f>
        <v/>
      </c>
      <c r="I884" s="4" t="str">
        <f>'Form responses 1'!AS1727</f>
        <v/>
      </c>
      <c r="J884" s="4" t="str">
        <f>'Form responses 1'!J1727</f>
        <v/>
      </c>
      <c r="K884" s="4" t="str">
        <f>'Form responses 1'!G1727</f>
        <v/>
      </c>
      <c r="L884" s="4" t="str">
        <f>'Form responses 1'!F1727</f>
        <v/>
      </c>
      <c r="M884" s="4" t="str">
        <f>'Form responses 1'!U1727</f>
        <v/>
      </c>
      <c r="N884" s="4" t="str">
        <f>'Form responses 1'!V1727</f>
        <v/>
      </c>
      <c r="O884" s="4" t="str">
        <f>'Form responses 1'!W1727</f>
        <v/>
      </c>
      <c r="P884" s="4" t="str">
        <f>'Form responses 1'!X1727</f>
        <v/>
      </c>
      <c r="Q884" s="4" t="str">
        <f>'Form responses 1'!Y1727</f>
        <v/>
      </c>
      <c r="R884" s="4" t="str">
        <f>'Form responses 1'!Z1727</f>
        <v/>
      </c>
      <c r="S884" s="4" t="str">
        <f>'Form responses 1'!AC1727</f>
        <v/>
      </c>
      <c r="T884" s="4" t="str">
        <f>'Form responses 1'!AE1727</f>
        <v/>
      </c>
      <c r="U884" s="4" t="str">
        <f>'Form responses 1'!AG1727</f>
        <v/>
      </c>
      <c r="V884" s="4" t="str">
        <f>'Form responses 1'!AI1727</f>
        <v/>
      </c>
      <c r="W884" s="4" t="str">
        <f>'Form responses 1'!AJ1727</f>
        <v/>
      </c>
      <c r="X884" s="4" t="str">
        <f>'Form responses 1'!AK1727</f>
        <v/>
      </c>
      <c r="Y884" s="4">
        <f t="shared" ref="Y884:AD884" si="883">if(S884&gt;0,1,0)</f>
        <v>0</v>
      </c>
      <c r="Z884" s="4">
        <f t="shared" si="883"/>
        <v>0</v>
      </c>
      <c r="AA884" s="4">
        <f t="shared" si="883"/>
        <v>0</v>
      </c>
      <c r="AB884" s="4">
        <f t="shared" si="883"/>
        <v>0</v>
      </c>
      <c r="AC884" s="4">
        <f t="shared" si="883"/>
        <v>0</v>
      </c>
      <c r="AD884" s="4">
        <f t="shared" si="883"/>
        <v>0</v>
      </c>
      <c r="AE884" s="4" t="str">
        <f>'Form responses 1'!AN1727</f>
        <v/>
      </c>
      <c r="AF884" s="4" t="str">
        <f>'Form responses 1'!AO2008</f>
        <v/>
      </c>
      <c r="AG884" s="4" t="str">
        <f>'Form responses 1'!AP2008</f>
        <v/>
      </c>
      <c r="AH884" s="4" t="str">
        <f>'Form responses 1'!AQ2008</f>
        <v/>
      </c>
      <c r="AI884" s="4" t="str">
        <f>'Form responses 1'!AR2008</f>
        <v/>
      </c>
    </row>
    <row r="885">
      <c r="A885" s="26" t="str">
        <f>'Form responses 1'!B1728</f>
        <v/>
      </c>
      <c r="B885" s="4" t="str">
        <f>'Form responses 1'!AZ1728</f>
        <v/>
      </c>
      <c r="C885" s="4" t="str">
        <f>'Form responses 1'!BR1728</f>
        <v/>
      </c>
      <c r="D885" s="4" t="str">
        <f>'Form responses 1'!AT1728</f>
        <v/>
      </c>
      <c r="E885" s="4" t="str">
        <f>'Form responses 1'!AU1728</f>
        <v/>
      </c>
      <c r="F885" s="4" t="str">
        <f>'Form responses 1'!AX1728</f>
        <v/>
      </c>
      <c r="G885" s="4" t="str">
        <f>'Form responses 1'!AY1728</f>
        <v/>
      </c>
      <c r="H885" s="53" t="str">
        <f>'Form responses 1'!AW1728</f>
        <v/>
      </c>
      <c r="I885" s="4" t="str">
        <f>'Form responses 1'!AS1728</f>
        <v/>
      </c>
      <c r="J885" s="4" t="str">
        <f>'Form responses 1'!J1728</f>
        <v/>
      </c>
      <c r="K885" s="4" t="str">
        <f>'Form responses 1'!G1728</f>
        <v/>
      </c>
      <c r="L885" s="4" t="str">
        <f>'Form responses 1'!F1728</f>
        <v/>
      </c>
      <c r="M885" s="4" t="str">
        <f>'Form responses 1'!U1728</f>
        <v/>
      </c>
      <c r="N885" s="4" t="str">
        <f>'Form responses 1'!V1728</f>
        <v/>
      </c>
      <c r="O885" s="4" t="str">
        <f>'Form responses 1'!W1728</f>
        <v/>
      </c>
      <c r="P885" s="4" t="str">
        <f>'Form responses 1'!X1728</f>
        <v/>
      </c>
      <c r="Q885" s="4" t="str">
        <f>'Form responses 1'!Y1728</f>
        <v/>
      </c>
      <c r="R885" s="4" t="str">
        <f>'Form responses 1'!Z1728</f>
        <v/>
      </c>
      <c r="S885" s="4" t="str">
        <f>'Form responses 1'!AC1728</f>
        <v/>
      </c>
      <c r="T885" s="4" t="str">
        <f>'Form responses 1'!AE1728</f>
        <v/>
      </c>
      <c r="U885" s="4" t="str">
        <f>'Form responses 1'!AG1728</f>
        <v/>
      </c>
      <c r="V885" s="4" t="str">
        <f>'Form responses 1'!AI1728</f>
        <v/>
      </c>
      <c r="W885" s="4" t="str">
        <f>'Form responses 1'!AJ1728</f>
        <v/>
      </c>
      <c r="X885" s="4" t="str">
        <f>'Form responses 1'!AK1728</f>
        <v/>
      </c>
      <c r="Y885" s="4">
        <f t="shared" ref="Y885:AD885" si="884">if(S885&gt;0,1,0)</f>
        <v>0</v>
      </c>
      <c r="Z885" s="4">
        <f t="shared" si="884"/>
        <v>0</v>
      </c>
      <c r="AA885" s="4">
        <f t="shared" si="884"/>
        <v>0</v>
      </c>
      <c r="AB885" s="4">
        <f t="shared" si="884"/>
        <v>0</v>
      </c>
      <c r="AC885" s="4">
        <f t="shared" si="884"/>
        <v>0</v>
      </c>
      <c r="AD885" s="4">
        <f t="shared" si="884"/>
        <v>0</v>
      </c>
      <c r="AE885" s="4" t="str">
        <f>'Form responses 1'!AN1728</f>
        <v/>
      </c>
      <c r="AF885" s="4" t="str">
        <f>'Form responses 1'!AO2009</f>
        <v/>
      </c>
      <c r="AG885" s="4" t="str">
        <f>'Form responses 1'!AP2009</f>
        <v/>
      </c>
      <c r="AH885" s="4" t="str">
        <f>'Form responses 1'!AQ2009</f>
        <v/>
      </c>
      <c r="AI885" s="4" t="str">
        <f>'Form responses 1'!AR2009</f>
        <v/>
      </c>
    </row>
    <row r="886">
      <c r="A886" s="26" t="str">
        <f>'Form responses 1'!B1729</f>
        <v/>
      </c>
      <c r="B886" s="4" t="str">
        <f>'Form responses 1'!AZ1729</f>
        <v/>
      </c>
      <c r="C886" s="4" t="str">
        <f>'Form responses 1'!BR1729</f>
        <v/>
      </c>
      <c r="D886" s="4" t="str">
        <f>'Form responses 1'!AT1729</f>
        <v/>
      </c>
      <c r="E886" s="4" t="str">
        <f>'Form responses 1'!AU1729</f>
        <v/>
      </c>
      <c r="F886" s="4" t="str">
        <f>'Form responses 1'!AX1729</f>
        <v/>
      </c>
      <c r="G886" s="4" t="str">
        <f>'Form responses 1'!AY1729</f>
        <v/>
      </c>
      <c r="H886" s="53" t="str">
        <f>'Form responses 1'!AW1729</f>
        <v/>
      </c>
      <c r="I886" s="4" t="str">
        <f>'Form responses 1'!AS1729</f>
        <v/>
      </c>
      <c r="J886" s="4" t="str">
        <f>'Form responses 1'!J1729</f>
        <v/>
      </c>
      <c r="K886" s="4" t="str">
        <f>'Form responses 1'!G1729</f>
        <v/>
      </c>
      <c r="L886" s="4" t="str">
        <f>'Form responses 1'!F1729</f>
        <v/>
      </c>
      <c r="M886" s="4" t="str">
        <f>'Form responses 1'!U1729</f>
        <v/>
      </c>
      <c r="N886" s="4" t="str">
        <f>'Form responses 1'!V1729</f>
        <v/>
      </c>
      <c r="O886" s="4" t="str">
        <f>'Form responses 1'!W1729</f>
        <v/>
      </c>
      <c r="P886" s="4" t="str">
        <f>'Form responses 1'!X1729</f>
        <v/>
      </c>
      <c r="Q886" s="4" t="str">
        <f>'Form responses 1'!Y1729</f>
        <v/>
      </c>
      <c r="R886" s="4" t="str">
        <f>'Form responses 1'!Z1729</f>
        <v/>
      </c>
      <c r="S886" s="4" t="str">
        <f>'Form responses 1'!AC1729</f>
        <v/>
      </c>
      <c r="T886" s="4" t="str">
        <f>'Form responses 1'!AE1729</f>
        <v/>
      </c>
      <c r="U886" s="4" t="str">
        <f>'Form responses 1'!AG1729</f>
        <v/>
      </c>
      <c r="V886" s="4" t="str">
        <f>'Form responses 1'!AI1729</f>
        <v/>
      </c>
      <c r="W886" s="4" t="str">
        <f>'Form responses 1'!AJ1729</f>
        <v/>
      </c>
      <c r="X886" s="4" t="str">
        <f>'Form responses 1'!AK1729</f>
        <v/>
      </c>
      <c r="Y886" s="4">
        <f t="shared" ref="Y886:AD886" si="885">if(S886&gt;0,1,0)</f>
        <v>0</v>
      </c>
      <c r="Z886" s="4">
        <f t="shared" si="885"/>
        <v>0</v>
      </c>
      <c r="AA886" s="4">
        <f t="shared" si="885"/>
        <v>0</v>
      </c>
      <c r="AB886" s="4">
        <f t="shared" si="885"/>
        <v>0</v>
      </c>
      <c r="AC886" s="4">
        <f t="shared" si="885"/>
        <v>0</v>
      </c>
      <c r="AD886" s="4">
        <f t="shared" si="885"/>
        <v>0</v>
      </c>
      <c r="AE886" s="4" t="str">
        <f>'Form responses 1'!AN1729</f>
        <v/>
      </c>
      <c r="AF886" s="4" t="str">
        <f>'Form responses 1'!AO2010</f>
        <v/>
      </c>
      <c r="AG886" s="4" t="str">
        <f>'Form responses 1'!AP2010</f>
        <v/>
      </c>
      <c r="AH886" s="4" t="str">
        <f>'Form responses 1'!AQ2010</f>
        <v/>
      </c>
      <c r="AI886" s="4" t="str">
        <f>'Form responses 1'!AR2010</f>
        <v/>
      </c>
    </row>
    <row r="887">
      <c r="A887" s="26" t="str">
        <f>'Form responses 1'!B1730</f>
        <v/>
      </c>
      <c r="B887" s="4" t="str">
        <f>'Form responses 1'!AZ1730</f>
        <v/>
      </c>
      <c r="C887" s="4" t="str">
        <f>'Form responses 1'!BR1730</f>
        <v/>
      </c>
      <c r="D887" s="4" t="str">
        <f>'Form responses 1'!AT1730</f>
        <v/>
      </c>
      <c r="E887" s="4" t="str">
        <f>'Form responses 1'!AU1730</f>
        <v/>
      </c>
      <c r="F887" s="4" t="str">
        <f>'Form responses 1'!AX1730</f>
        <v/>
      </c>
      <c r="G887" s="4" t="str">
        <f>'Form responses 1'!AY1730</f>
        <v/>
      </c>
      <c r="H887" s="53" t="str">
        <f>'Form responses 1'!AW1730</f>
        <v/>
      </c>
      <c r="I887" s="4" t="str">
        <f>'Form responses 1'!AS1730</f>
        <v/>
      </c>
      <c r="J887" s="4" t="str">
        <f>'Form responses 1'!J1730</f>
        <v/>
      </c>
      <c r="K887" s="4" t="str">
        <f>'Form responses 1'!G1730</f>
        <v/>
      </c>
      <c r="L887" s="4" t="str">
        <f>'Form responses 1'!F1730</f>
        <v/>
      </c>
      <c r="M887" s="4" t="str">
        <f>'Form responses 1'!U1730</f>
        <v/>
      </c>
      <c r="N887" s="4" t="str">
        <f>'Form responses 1'!V1730</f>
        <v/>
      </c>
      <c r="O887" s="4" t="str">
        <f>'Form responses 1'!W1730</f>
        <v/>
      </c>
      <c r="P887" s="4" t="str">
        <f>'Form responses 1'!X1730</f>
        <v/>
      </c>
      <c r="Q887" s="4" t="str">
        <f>'Form responses 1'!Y1730</f>
        <v/>
      </c>
      <c r="R887" s="4" t="str">
        <f>'Form responses 1'!Z1730</f>
        <v/>
      </c>
      <c r="S887" s="4" t="str">
        <f>'Form responses 1'!AC1730</f>
        <v/>
      </c>
      <c r="T887" s="4" t="str">
        <f>'Form responses 1'!AE1730</f>
        <v/>
      </c>
      <c r="U887" s="4" t="str">
        <f>'Form responses 1'!AG1730</f>
        <v/>
      </c>
      <c r="V887" s="4" t="str">
        <f>'Form responses 1'!AI1730</f>
        <v/>
      </c>
      <c r="W887" s="4" t="str">
        <f>'Form responses 1'!AJ1730</f>
        <v/>
      </c>
      <c r="X887" s="4" t="str">
        <f>'Form responses 1'!AK1730</f>
        <v/>
      </c>
      <c r="Y887" s="4">
        <f t="shared" ref="Y887:AD887" si="886">if(S887&gt;0,1,0)</f>
        <v>0</v>
      </c>
      <c r="Z887" s="4">
        <f t="shared" si="886"/>
        <v>0</v>
      </c>
      <c r="AA887" s="4">
        <f t="shared" si="886"/>
        <v>0</v>
      </c>
      <c r="AB887" s="4">
        <f t="shared" si="886"/>
        <v>0</v>
      </c>
      <c r="AC887" s="4">
        <f t="shared" si="886"/>
        <v>0</v>
      </c>
      <c r="AD887" s="4">
        <f t="shared" si="886"/>
        <v>0</v>
      </c>
      <c r="AE887" s="4" t="str">
        <f>'Form responses 1'!AN1730</f>
        <v/>
      </c>
      <c r="AF887" s="4" t="str">
        <f>'Form responses 1'!AO2011</f>
        <v/>
      </c>
      <c r="AG887" s="4" t="str">
        <f>'Form responses 1'!AP2011</f>
        <v/>
      </c>
      <c r="AH887" s="4" t="str">
        <f>'Form responses 1'!AQ2011</f>
        <v/>
      </c>
      <c r="AI887" s="4" t="str">
        <f>'Form responses 1'!AR2011</f>
        <v/>
      </c>
    </row>
    <row r="888">
      <c r="A888" s="26" t="str">
        <f>'Form responses 1'!B1731</f>
        <v/>
      </c>
      <c r="B888" s="4" t="str">
        <f>'Form responses 1'!AZ1731</f>
        <v/>
      </c>
      <c r="C888" s="4" t="str">
        <f>'Form responses 1'!BR1731</f>
        <v/>
      </c>
      <c r="D888" s="4" t="str">
        <f>'Form responses 1'!AT1731</f>
        <v/>
      </c>
      <c r="E888" s="4" t="str">
        <f>'Form responses 1'!AU1731</f>
        <v/>
      </c>
      <c r="F888" s="4" t="str">
        <f>'Form responses 1'!AX1731</f>
        <v/>
      </c>
      <c r="G888" s="4" t="str">
        <f>'Form responses 1'!AY1731</f>
        <v/>
      </c>
      <c r="H888" s="53" t="str">
        <f>'Form responses 1'!AW1731</f>
        <v/>
      </c>
      <c r="I888" s="4" t="str">
        <f>'Form responses 1'!AS1731</f>
        <v/>
      </c>
      <c r="J888" s="4" t="str">
        <f>'Form responses 1'!J1731</f>
        <v/>
      </c>
      <c r="K888" s="4" t="str">
        <f>'Form responses 1'!G1731</f>
        <v/>
      </c>
      <c r="L888" s="4" t="str">
        <f>'Form responses 1'!F1731</f>
        <v/>
      </c>
      <c r="M888" s="4" t="str">
        <f>'Form responses 1'!U1731</f>
        <v/>
      </c>
      <c r="N888" s="4" t="str">
        <f>'Form responses 1'!V1731</f>
        <v/>
      </c>
      <c r="O888" s="4" t="str">
        <f>'Form responses 1'!W1731</f>
        <v/>
      </c>
      <c r="P888" s="4" t="str">
        <f>'Form responses 1'!X1731</f>
        <v/>
      </c>
      <c r="Q888" s="4" t="str">
        <f>'Form responses 1'!Y1731</f>
        <v/>
      </c>
      <c r="R888" s="4" t="str">
        <f>'Form responses 1'!Z1731</f>
        <v/>
      </c>
      <c r="S888" s="4" t="str">
        <f>'Form responses 1'!AC1731</f>
        <v/>
      </c>
      <c r="T888" s="4" t="str">
        <f>'Form responses 1'!AE1731</f>
        <v/>
      </c>
      <c r="U888" s="4" t="str">
        <f>'Form responses 1'!AG1731</f>
        <v/>
      </c>
      <c r="V888" s="4" t="str">
        <f>'Form responses 1'!AI1731</f>
        <v/>
      </c>
      <c r="W888" s="4" t="str">
        <f>'Form responses 1'!AJ1731</f>
        <v/>
      </c>
      <c r="X888" s="4" t="str">
        <f>'Form responses 1'!AK1731</f>
        <v/>
      </c>
      <c r="Y888" s="4">
        <f t="shared" ref="Y888:AD888" si="887">if(S888&gt;0,1,0)</f>
        <v>0</v>
      </c>
      <c r="Z888" s="4">
        <f t="shared" si="887"/>
        <v>0</v>
      </c>
      <c r="AA888" s="4">
        <f t="shared" si="887"/>
        <v>0</v>
      </c>
      <c r="AB888" s="4">
        <f t="shared" si="887"/>
        <v>0</v>
      </c>
      <c r="AC888" s="4">
        <f t="shared" si="887"/>
        <v>0</v>
      </c>
      <c r="AD888" s="4">
        <f t="shared" si="887"/>
        <v>0</v>
      </c>
      <c r="AE888" s="4" t="str">
        <f>'Form responses 1'!AN1731</f>
        <v/>
      </c>
      <c r="AF888" s="4" t="str">
        <f>'Form responses 1'!AO2012</f>
        <v/>
      </c>
      <c r="AG888" s="4" t="str">
        <f>'Form responses 1'!AP2012</f>
        <v/>
      </c>
      <c r="AH888" s="4" t="str">
        <f>'Form responses 1'!AQ2012</f>
        <v/>
      </c>
      <c r="AI888" s="4" t="str">
        <f>'Form responses 1'!AR2012</f>
        <v/>
      </c>
    </row>
    <row r="889">
      <c r="A889" s="26" t="str">
        <f>'Form responses 1'!B1732</f>
        <v/>
      </c>
      <c r="B889" s="4" t="str">
        <f>'Form responses 1'!AZ1732</f>
        <v/>
      </c>
      <c r="C889" s="4" t="str">
        <f>'Form responses 1'!BR1732</f>
        <v/>
      </c>
      <c r="D889" s="4" t="str">
        <f>'Form responses 1'!AT1732</f>
        <v/>
      </c>
      <c r="E889" s="4" t="str">
        <f>'Form responses 1'!AU1732</f>
        <v/>
      </c>
      <c r="F889" s="4" t="str">
        <f>'Form responses 1'!AX1732</f>
        <v/>
      </c>
      <c r="G889" s="4" t="str">
        <f>'Form responses 1'!AY1732</f>
        <v/>
      </c>
      <c r="H889" s="53" t="str">
        <f>'Form responses 1'!AW1732</f>
        <v/>
      </c>
      <c r="I889" s="4" t="str">
        <f>'Form responses 1'!AS1732</f>
        <v/>
      </c>
      <c r="J889" s="4" t="str">
        <f>'Form responses 1'!J1732</f>
        <v/>
      </c>
      <c r="K889" s="4" t="str">
        <f>'Form responses 1'!G1732</f>
        <v/>
      </c>
      <c r="L889" s="4" t="str">
        <f>'Form responses 1'!F1732</f>
        <v/>
      </c>
      <c r="M889" s="4" t="str">
        <f>'Form responses 1'!U1732</f>
        <v/>
      </c>
      <c r="N889" s="4" t="str">
        <f>'Form responses 1'!V1732</f>
        <v/>
      </c>
      <c r="O889" s="4" t="str">
        <f>'Form responses 1'!W1732</f>
        <v/>
      </c>
      <c r="P889" s="4" t="str">
        <f>'Form responses 1'!X1732</f>
        <v/>
      </c>
      <c r="Q889" s="4" t="str">
        <f>'Form responses 1'!Y1732</f>
        <v/>
      </c>
      <c r="R889" s="4" t="str">
        <f>'Form responses 1'!Z1732</f>
        <v/>
      </c>
      <c r="S889" s="4" t="str">
        <f>'Form responses 1'!AC1732</f>
        <v/>
      </c>
      <c r="T889" s="4" t="str">
        <f>'Form responses 1'!AE1732</f>
        <v/>
      </c>
      <c r="U889" s="4" t="str">
        <f>'Form responses 1'!AG1732</f>
        <v/>
      </c>
      <c r="V889" s="4" t="str">
        <f>'Form responses 1'!AI1732</f>
        <v/>
      </c>
      <c r="W889" s="4" t="str">
        <f>'Form responses 1'!AJ1732</f>
        <v/>
      </c>
      <c r="X889" s="4" t="str">
        <f>'Form responses 1'!AK1732</f>
        <v/>
      </c>
      <c r="Y889" s="4">
        <f t="shared" ref="Y889:AD889" si="888">if(S889&gt;0,1,0)</f>
        <v>0</v>
      </c>
      <c r="Z889" s="4">
        <f t="shared" si="888"/>
        <v>0</v>
      </c>
      <c r="AA889" s="4">
        <f t="shared" si="888"/>
        <v>0</v>
      </c>
      <c r="AB889" s="4">
        <f t="shared" si="888"/>
        <v>0</v>
      </c>
      <c r="AC889" s="4">
        <f t="shared" si="888"/>
        <v>0</v>
      </c>
      <c r="AD889" s="4">
        <f t="shared" si="888"/>
        <v>0</v>
      </c>
      <c r="AE889" s="4" t="str">
        <f>'Form responses 1'!AN1732</f>
        <v/>
      </c>
      <c r="AF889" s="4" t="str">
        <f>'Form responses 1'!AO2013</f>
        <v/>
      </c>
      <c r="AG889" s="4" t="str">
        <f>'Form responses 1'!AP2013</f>
        <v/>
      </c>
      <c r="AH889" s="4" t="str">
        <f>'Form responses 1'!AQ2013</f>
        <v/>
      </c>
      <c r="AI889" s="4" t="str">
        <f>'Form responses 1'!AR2013</f>
        <v/>
      </c>
    </row>
    <row r="890">
      <c r="A890" s="26" t="str">
        <f>'Form responses 1'!B1733</f>
        <v/>
      </c>
      <c r="B890" s="4" t="str">
        <f>'Form responses 1'!AZ1733</f>
        <v/>
      </c>
      <c r="C890" s="4" t="str">
        <f>'Form responses 1'!BR1733</f>
        <v/>
      </c>
      <c r="D890" s="4" t="str">
        <f>'Form responses 1'!AT1733</f>
        <v/>
      </c>
      <c r="E890" s="4" t="str">
        <f>'Form responses 1'!AU1733</f>
        <v/>
      </c>
      <c r="F890" s="4" t="str">
        <f>'Form responses 1'!AX1733</f>
        <v/>
      </c>
      <c r="G890" s="4" t="str">
        <f>'Form responses 1'!AY1733</f>
        <v/>
      </c>
      <c r="H890" s="53" t="str">
        <f>'Form responses 1'!AW1733</f>
        <v/>
      </c>
      <c r="I890" s="4" t="str">
        <f>'Form responses 1'!AS1733</f>
        <v/>
      </c>
      <c r="J890" s="4" t="str">
        <f>'Form responses 1'!J1733</f>
        <v/>
      </c>
      <c r="K890" s="4" t="str">
        <f>'Form responses 1'!G1733</f>
        <v/>
      </c>
      <c r="L890" s="4" t="str">
        <f>'Form responses 1'!F1733</f>
        <v/>
      </c>
      <c r="M890" s="4" t="str">
        <f>'Form responses 1'!U1733</f>
        <v/>
      </c>
      <c r="N890" s="4" t="str">
        <f>'Form responses 1'!V1733</f>
        <v/>
      </c>
      <c r="O890" s="4" t="str">
        <f>'Form responses 1'!W1733</f>
        <v/>
      </c>
      <c r="P890" s="4" t="str">
        <f>'Form responses 1'!X1733</f>
        <v/>
      </c>
      <c r="Q890" s="4" t="str">
        <f>'Form responses 1'!Y1733</f>
        <v/>
      </c>
      <c r="R890" s="4" t="str">
        <f>'Form responses 1'!Z1733</f>
        <v/>
      </c>
      <c r="S890" s="4" t="str">
        <f>'Form responses 1'!AC1733</f>
        <v/>
      </c>
      <c r="T890" s="4" t="str">
        <f>'Form responses 1'!AE1733</f>
        <v/>
      </c>
      <c r="U890" s="4" t="str">
        <f>'Form responses 1'!AG1733</f>
        <v/>
      </c>
      <c r="V890" s="4" t="str">
        <f>'Form responses 1'!AI1733</f>
        <v/>
      </c>
      <c r="W890" s="4" t="str">
        <f>'Form responses 1'!AJ1733</f>
        <v/>
      </c>
      <c r="X890" s="4" t="str">
        <f>'Form responses 1'!AK1733</f>
        <v/>
      </c>
      <c r="Y890" s="4">
        <f t="shared" ref="Y890:AD890" si="889">if(S890&gt;0,1,0)</f>
        <v>0</v>
      </c>
      <c r="Z890" s="4">
        <f t="shared" si="889"/>
        <v>0</v>
      </c>
      <c r="AA890" s="4">
        <f t="shared" si="889"/>
        <v>0</v>
      </c>
      <c r="AB890" s="4">
        <f t="shared" si="889"/>
        <v>0</v>
      </c>
      <c r="AC890" s="4">
        <f t="shared" si="889"/>
        <v>0</v>
      </c>
      <c r="AD890" s="4">
        <f t="shared" si="889"/>
        <v>0</v>
      </c>
      <c r="AE890" s="4" t="str">
        <f>'Form responses 1'!AN1733</f>
        <v/>
      </c>
      <c r="AF890" s="4" t="str">
        <f>'Form responses 1'!AO2014</f>
        <v/>
      </c>
      <c r="AG890" s="4" t="str">
        <f>'Form responses 1'!AP2014</f>
        <v/>
      </c>
      <c r="AH890" s="4" t="str">
        <f>'Form responses 1'!AQ2014</f>
        <v/>
      </c>
      <c r="AI890" s="4" t="str">
        <f>'Form responses 1'!AR2014</f>
        <v/>
      </c>
    </row>
    <row r="891">
      <c r="A891" s="26" t="str">
        <f>'Form responses 1'!B1734</f>
        <v/>
      </c>
      <c r="B891" s="4" t="str">
        <f>'Form responses 1'!AZ1734</f>
        <v/>
      </c>
      <c r="C891" s="4" t="str">
        <f>'Form responses 1'!BR1734</f>
        <v/>
      </c>
      <c r="D891" s="4" t="str">
        <f>'Form responses 1'!AT1734</f>
        <v/>
      </c>
      <c r="E891" s="4" t="str">
        <f>'Form responses 1'!AU1734</f>
        <v/>
      </c>
      <c r="F891" s="4" t="str">
        <f>'Form responses 1'!AX1734</f>
        <v/>
      </c>
      <c r="G891" s="4" t="str">
        <f>'Form responses 1'!AY1734</f>
        <v/>
      </c>
      <c r="H891" s="53" t="str">
        <f>'Form responses 1'!AW1734</f>
        <v/>
      </c>
      <c r="I891" s="4" t="str">
        <f>'Form responses 1'!AS1734</f>
        <v/>
      </c>
      <c r="J891" s="4" t="str">
        <f>'Form responses 1'!J1734</f>
        <v/>
      </c>
      <c r="K891" s="4" t="str">
        <f>'Form responses 1'!G1734</f>
        <v/>
      </c>
      <c r="L891" s="4" t="str">
        <f>'Form responses 1'!F1734</f>
        <v/>
      </c>
      <c r="M891" s="4" t="str">
        <f>'Form responses 1'!U1734</f>
        <v/>
      </c>
      <c r="N891" s="4" t="str">
        <f>'Form responses 1'!V1734</f>
        <v/>
      </c>
      <c r="O891" s="4" t="str">
        <f>'Form responses 1'!W1734</f>
        <v/>
      </c>
      <c r="P891" s="4" t="str">
        <f>'Form responses 1'!X1734</f>
        <v/>
      </c>
      <c r="Q891" s="4" t="str">
        <f>'Form responses 1'!Y1734</f>
        <v/>
      </c>
      <c r="R891" s="4" t="str">
        <f>'Form responses 1'!Z1734</f>
        <v/>
      </c>
      <c r="S891" s="4" t="str">
        <f>'Form responses 1'!AC1734</f>
        <v/>
      </c>
      <c r="T891" s="4" t="str">
        <f>'Form responses 1'!AE1734</f>
        <v/>
      </c>
      <c r="U891" s="4" t="str">
        <f>'Form responses 1'!AG1734</f>
        <v/>
      </c>
      <c r="V891" s="4" t="str">
        <f>'Form responses 1'!AI1734</f>
        <v/>
      </c>
      <c r="W891" s="4" t="str">
        <f>'Form responses 1'!AJ1734</f>
        <v/>
      </c>
      <c r="X891" s="4" t="str">
        <f>'Form responses 1'!AK1734</f>
        <v/>
      </c>
      <c r="Y891" s="4">
        <f t="shared" ref="Y891:AD891" si="890">if(S891&gt;0,1,0)</f>
        <v>0</v>
      </c>
      <c r="Z891" s="4">
        <f t="shared" si="890"/>
        <v>0</v>
      </c>
      <c r="AA891" s="4">
        <f t="shared" si="890"/>
        <v>0</v>
      </c>
      <c r="AB891" s="4">
        <f t="shared" si="890"/>
        <v>0</v>
      </c>
      <c r="AC891" s="4">
        <f t="shared" si="890"/>
        <v>0</v>
      </c>
      <c r="AD891" s="4">
        <f t="shared" si="890"/>
        <v>0</v>
      </c>
      <c r="AE891" s="4" t="str">
        <f>'Form responses 1'!AN1734</f>
        <v/>
      </c>
      <c r="AF891" s="4" t="str">
        <f>'Form responses 1'!AO2015</f>
        <v/>
      </c>
      <c r="AG891" s="4" t="str">
        <f>'Form responses 1'!AP2015</f>
        <v/>
      </c>
      <c r="AH891" s="4" t="str">
        <f>'Form responses 1'!AQ2015</f>
        <v/>
      </c>
      <c r="AI891" s="4" t="str">
        <f>'Form responses 1'!AR2015</f>
        <v/>
      </c>
    </row>
    <row r="892">
      <c r="A892" s="26" t="str">
        <f>'Form responses 1'!B1735</f>
        <v/>
      </c>
      <c r="B892" s="4" t="str">
        <f>'Form responses 1'!AZ1735</f>
        <v/>
      </c>
      <c r="C892" s="4" t="str">
        <f>'Form responses 1'!BR1735</f>
        <v/>
      </c>
      <c r="D892" s="4" t="str">
        <f>'Form responses 1'!AT1735</f>
        <v/>
      </c>
      <c r="E892" s="4" t="str">
        <f>'Form responses 1'!AU1735</f>
        <v/>
      </c>
      <c r="F892" s="4" t="str">
        <f>'Form responses 1'!AX1735</f>
        <v/>
      </c>
      <c r="G892" s="4" t="str">
        <f>'Form responses 1'!AY1735</f>
        <v/>
      </c>
      <c r="H892" s="53" t="str">
        <f>'Form responses 1'!AW1735</f>
        <v/>
      </c>
      <c r="I892" s="4" t="str">
        <f>'Form responses 1'!AS1735</f>
        <v/>
      </c>
      <c r="J892" s="4" t="str">
        <f>'Form responses 1'!J1735</f>
        <v/>
      </c>
      <c r="K892" s="4" t="str">
        <f>'Form responses 1'!G1735</f>
        <v/>
      </c>
      <c r="L892" s="4" t="str">
        <f>'Form responses 1'!F1735</f>
        <v/>
      </c>
      <c r="M892" s="4" t="str">
        <f>'Form responses 1'!U1735</f>
        <v/>
      </c>
      <c r="N892" s="4" t="str">
        <f>'Form responses 1'!V1735</f>
        <v/>
      </c>
      <c r="O892" s="4" t="str">
        <f>'Form responses 1'!W1735</f>
        <v/>
      </c>
      <c r="P892" s="4" t="str">
        <f>'Form responses 1'!X1735</f>
        <v/>
      </c>
      <c r="Q892" s="4" t="str">
        <f>'Form responses 1'!Y1735</f>
        <v/>
      </c>
      <c r="R892" s="4" t="str">
        <f>'Form responses 1'!Z1735</f>
        <v/>
      </c>
      <c r="S892" s="4" t="str">
        <f>'Form responses 1'!AC1735</f>
        <v/>
      </c>
      <c r="T892" s="4" t="str">
        <f>'Form responses 1'!AE1735</f>
        <v/>
      </c>
      <c r="U892" s="4" t="str">
        <f>'Form responses 1'!AG1735</f>
        <v/>
      </c>
      <c r="V892" s="4" t="str">
        <f>'Form responses 1'!AI1735</f>
        <v/>
      </c>
      <c r="W892" s="4" t="str">
        <f>'Form responses 1'!AJ1735</f>
        <v/>
      </c>
      <c r="X892" s="4" t="str">
        <f>'Form responses 1'!AK1735</f>
        <v/>
      </c>
      <c r="Y892" s="4">
        <f t="shared" ref="Y892:AD892" si="891">if(S892&gt;0,1,0)</f>
        <v>0</v>
      </c>
      <c r="Z892" s="4">
        <f t="shared" si="891"/>
        <v>0</v>
      </c>
      <c r="AA892" s="4">
        <f t="shared" si="891"/>
        <v>0</v>
      </c>
      <c r="AB892" s="4">
        <f t="shared" si="891"/>
        <v>0</v>
      </c>
      <c r="AC892" s="4">
        <f t="shared" si="891"/>
        <v>0</v>
      </c>
      <c r="AD892" s="4">
        <f t="shared" si="891"/>
        <v>0</v>
      </c>
      <c r="AE892" s="4" t="str">
        <f>'Form responses 1'!AN1735</f>
        <v/>
      </c>
      <c r="AF892" s="4" t="str">
        <f>'Form responses 1'!AO2016</f>
        <v/>
      </c>
      <c r="AG892" s="4" t="str">
        <f>'Form responses 1'!AP2016</f>
        <v/>
      </c>
      <c r="AH892" s="4" t="str">
        <f>'Form responses 1'!AQ2016</f>
        <v/>
      </c>
      <c r="AI892" s="4" t="str">
        <f>'Form responses 1'!AR2016</f>
        <v/>
      </c>
    </row>
    <row r="893">
      <c r="A893" s="26" t="str">
        <f>'Form responses 1'!B1736</f>
        <v/>
      </c>
      <c r="B893" s="4" t="str">
        <f>'Form responses 1'!AZ1736</f>
        <v/>
      </c>
      <c r="C893" s="4" t="str">
        <f>'Form responses 1'!BR1736</f>
        <v/>
      </c>
      <c r="D893" s="4" t="str">
        <f>'Form responses 1'!AT1736</f>
        <v/>
      </c>
      <c r="E893" s="4" t="str">
        <f>'Form responses 1'!AU1736</f>
        <v/>
      </c>
      <c r="F893" s="4" t="str">
        <f>'Form responses 1'!AX1736</f>
        <v/>
      </c>
      <c r="G893" s="4" t="str">
        <f>'Form responses 1'!AY1736</f>
        <v/>
      </c>
      <c r="H893" s="53" t="str">
        <f>'Form responses 1'!AW1736</f>
        <v/>
      </c>
      <c r="I893" s="4" t="str">
        <f>'Form responses 1'!AS1736</f>
        <v/>
      </c>
      <c r="J893" s="4" t="str">
        <f>'Form responses 1'!J1736</f>
        <v/>
      </c>
      <c r="K893" s="4" t="str">
        <f>'Form responses 1'!G1736</f>
        <v/>
      </c>
      <c r="L893" s="4" t="str">
        <f>'Form responses 1'!F1736</f>
        <v/>
      </c>
      <c r="M893" s="4" t="str">
        <f>'Form responses 1'!U1736</f>
        <v/>
      </c>
      <c r="N893" s="4" t="str">
        <f>'Form responses 1'!V1736</f>
        <v/>
      </c>
      <c r="O893" s="4" t="str">
        <f>'Form responses 1'!W1736</f>
        <v/>
      </c>
      <c r="P893" s="4" t="str">
        <f>'Form responses 1'!X1736</f>
        <v/>
      </c>
      <c r="Q893" s="4" t="str">
        <f>'Form responses 1'!Y1736</f>
        <v/>
      </c>
      <c r="R893" s="4" t="str">
        <f>'Form responses 1'!Z1736</f>
        <v/>
      </c>
      <c r="S893" s="4" t="str">
        <f>'Form responses 1'!AC1736</f>
        <v/>
      </c>
      <c r="T893" s="4" t="str">
        <f>'Form responses 1'!AE1736</f>
        <v/>
      </c>
      <c r="U893" s="4" t="str">
        <f>'Form responses 1'!AG1736</f>
        <v/>
      </c>
      <c r="V893" s="4" t="str">
        <f>'Form responses 1'!AI1736</f>
        <v/>
      </c>
      <c r="W893" s="4" t="str">
        <f>'Form responses 1'!AJ1736</f>
        <v/>
      </c>
      <c r="X893" s="4" t="str">
        <f>'Form responses 1'!AK1736</f>
        <v/>
      </c>
      <c r="Y893" s="4">
        <f t="shared" ref="Y893:AD893" si="892">if(S893&gt;0,1,0)</f>
        <v>0</v>
      </c>
      <c r="Z893" s="4">
        <f t="shared" si="892"/>
        <v>0</v>
      </c>
      <c r="AA893" s="4">
        <f t="shared" si="892"/>
        <v>0</v>
      </c>
      <c r="AB893" s="4">
        <f t="shared" si="892"/>
        <v>0</v>
      </c>
      <c r="AC893" s="4">
        <f t="shared" si="892"/>
        <v>0</v>
      </c>
      <c r="AD893" s="4">
        <f t="shared" si="892"/>
        <v>0</v>
      </c>
      <c r="AE893" s="4" t="str">
        <f>'Form responses 1'!AN1736</f>
        <v/>
      </c>
      <c r="AF893" s="4" t="str">
        <f>'Form responses 1'!AO2017</f>
        <v/>
      </c>
      <c r="AG893" s="4" t="str">
        <f>'Form responses 1'!AP2017</f>
        <v/>
      </c>
      <c r="AH893" s="4" t="str">
        <f>'Form responses 1'!AQ2017</f>
        <v/>
      </c>
      <c r="AI893" s="4" t="str">
        <f>'Form responses 1'!AR2017</f>
        <v/>
      </c>
    </row>
    <row r="894">
      <c r="A894" s="26" t="str">
        <f>'Form responses 1'!B1737</f>
        <v/>
      </c>
      <c r="B894" s="4" t="str">
        <f>'Form responses 1'!AZ1737</f>
        <v/>
      </c>
      <c r="C894" s="4" t="str">
        <f>'Form responses 1'!BR1737</f>
        <v/>
      </c>
      <c r="D894" s="4" t="str">
        <f>'Form responses 1'!AT1737</f>
        <v/>
      </c>
      <c r="E894" s="4" t="str">
        <f>'Form responses 1'!AU1737</f>
        <v/>
      </c>
      <c r="F894" s="4" t="str">
        <f>'Form responses 1'!AX1737</f>
        <v/>
      </c>
      <c r="G894" s="4" t="str">
        <f>'Form responses 1'!AY1737</f>
        <v/>
      </c>
      <c r="H894" s="53" t="str">
        <f>'Form responses 1'!AW1737</f>
        <v/>
      </c>
      <c r="I894" s="4" t="str">
        <f>'Form responses 1'!AS1737</f>
        <v/>
      </c>
      <c r="J894" s="4" t="str">
        <f>'Form responses 1'!J1737</f>
        <v/>
      </c>
      <c r="K894" s="4" t="str">
        <f>'Form responses 1'!G1737</f>
        <v/>
      </c>
      <c r="L894" s="4" t="str">
        <f>'Form responses 1'!F1737</f>
        <v/>
      </c>
      <c r="M894" s="4" t="str">
        <f>'Form responses 1'!U1737</f>
        <v/>
      </c>
      <c r="N894" s="4" t="str">
        <f>'Form responses 1'!V1737</f>
        <v/>
      </c>
      <c r="O894" s="4" t="str">
        <f>'Form responses 1'!W1737</f>
        <v/>
      </c>
      <c r="P894" s="4" t="str">
        <f>'Form responses 1'!X1737</f>
        <v/>
      </c>
      <c r="Q894" s="4" t="str">
        <f>'Form responses 1'!Y1737</f>
        <v/>
      </c>
      <c r="R894" s="4" t="str">
        <f>'Form responses 1'!Z1737</f>
        <v/>
      </c>
      <c r="S894" s="4" t="str">
        <f>'Form responses 1'!AC1737</f>
        <v/>
      </c>
      <c r="T894" s="4" t="str">
        <f>'Form responses 1'!AE1737</f>
        <v/>
      </c>
      <c r="U894" s="4" t="str">
        <f>'Form responses 1'!AG1737</f>
        <v/>
      </c>
      <c r="V894" s="4" t="str">
        <f>'Form responses 1'!AI1737</f>
        <v/>
      </c>
      <c r="W894" s="4" t="str">
        <f>'Form responses 1'!AJ1737</f>
        <v/>
      </c>
      <c r="X894" s="4" t="str">
        <f>'Form responses 1'!AK1737</f>
        <v/>
      </c>
      <c r="Y894" s="4">
        <f t="shared" ref="Y894:AD894" si="893">if(S894&gt;0,1,0)</f>
        <v>0</v>
      </c>
      <c r="Z894" s="4">
        <f t="shared" si="893"/>
        <v>0</v>
      </c>
      <c r="AA894" s="4">
        <f t="shared" si="893"/>
        <v>0</v>
      </c>
      <c r="AB894" s="4">
        <f t="shared" si="893"/>
        <v>0</v>
      </c>
      <c r="AC894" s="4">
        <f t="shared" si="893"/>
        <v>0</v>
      </c>
      <c r="AD894" s="4">
        <f t="shared" si="893"/>
        <v>0</v>
      </c>
      <c r="AE894" s="4" t="str">
        <f>'Form responses 1'!AN1737</f>
        <v/>
      </c>
      <c r="AF894" s="4" t="str">
        <f>'Form responses 1'!AO2018</f>
        <v/>
      </c>
      <c r="AG894" s="4" t="str">
        <f>'Form responses 1'!AP2018</f>
        <v/>
      </c>
      <c r="AH894" s="4" t="str">
        <f>'Form responses 1'!AQ2018</f>
        <v/>
      </c>
      <c r="AI894" s="4" t="str">
        <f>'Form responses 1'!AR2018</f>
        <v/>
      </c>
    </row>
    <row r="895">
      <c r="A895" s="26" t="str">
        <f>'Form responses 1'!B1738</f>
        <v/>
      </c>
      <c r="B895" s="4" t="str">
        <f>'Form responses 1'!AZ1738</f>
        <v/>
      </c>
      <c r="C895" s="4" t="str">
        <f>'Form responses 1'!BR1738</f>
        <v/>
      </c>
      <c r="D895" s="4" t="str">
        <f>'Form responses 1'!AT1738</f>
        <v/>
      </c>
      <c r="E895" s="4" t="str">
        <f>'Form responses 1'!AU1738</f>
        <v/>
      </c>
      <c r="F895" s="4" t="str">
        <f>'Form responses 1'!AX1738</f>
        <v/>
      </c>
      <c r="G895" s="4" t="str">
        <f>'Form responses 1'!AY1738</f>
        <v/>
      </c>
      <c r="H895" s="53" t="str">
        <f>'Form responses 1'!AW1738</f>
        <v/>
      </c>
      <c r="I895" s="4" t="str">
        <f>'Form responses 1'!AS1738</f>
        <v/>
      </c>
      <c r="J895" s="4" t="str">
        <f>'Form responses 1'!J1738</f>
        <v/>
      </c>
      <c r="K895" s="4" t="str">
        <f>'Form responses 1'!G1738</f>
        <v/>
      </c>
      <c r="L895" s="4" t="str">
        <f>'Form responses 1'!F1738</f>
        <v/>
      </c>
      <c r="M895" s="4" t="str">
        <f>'Form responses 1'!U1738</f>
        <v/>
      </c>
      <c r="N895" s="4" t="str">
        <f>'Form responses 1'!V1738</f>
        <v/>
      </c>
      <c r="O895" s="4" t="str">
        <f>'Form responses 1'!W1738</f>
        <v/>
      </c>
      <c r="P895" s="4" t="str">
        <f>'Form responses 1'!X1738</f>
        <v/>
      </c>
      <c r="Q895" s="4" t="str">
        <f>'Form responses 1'!Y1738</f>
        <v/>
      </c>
      <c r="R895" s="4" t="str">
        <f>'Form responses 1'!Z1738</f>
        <v/>
      </c>
      <c r="S895" s="4" t="str">
        <f>'Form responses 1'!AC1738</f>
        <v/>
      </c>
      <c r="T895" s="4" t="str">
        <f>'Form responses 1'!AE1738</f>
        <v/>
      </c>
      <c r="U895" s="4" t="str">
        <f>'Form responses 1'!AG1738</f>
        <v/>
      </c>
      <c r="V895" s="4" t="str">
        <f>'Form responses 1'!AI1738</f>
        <v/>
      </c>
      <c r="W895" s="4" t="str">
        <f>'Form responses 1'!AJ1738</f>
        <v/>
      </c>
      <c r="X895" s="4" t="str">
        <f>'Form responses 1'!AK1738</f>
        <v/>
      </c>
      <c r="Y895" s="4">
        <f t="shared" ref="Y895:AD895" si="894">if(S895&gt;0,1,0)</f>
        <v>0</v>
      </c>
      <c r="Z895" s="4">
        <f t="shared" si="894"/>
        <v>0</v>
      </c>
      <c r="AA895" s="4">
        <f t="shared" si="894"/>
        <v>0</v>
      </c>
      <c r="AB895" s="4">
        <f t="shared" si="894"/>
        <v>0</v>
      </c>
      <c r="AC895" s="4">
        <f t="shared" si="894"/>
        <v>0</v>
      </c>
      <c r="AD895" s="4">
        <f t="shared" si="894"/>
        <v>0</v>
      </c>
      <c r="AE895" s="4" t="str">
        <f>'Form responses 1'!AN1738</f>
        <v/>
      </c>
      <c r="AF895" s="4" t="str">
        <f>'Form responses 1'!AO2019</f>
        <v/>
      </c>
      <c r="AG895" s="4" t="str">
        <f>'Form responses 1'!AP2019</f>
        <v/>
      </c>
      <c r="AH895" s="4" t="str">
        <f>'Form responses 1'!AQ2019</f>
        <v/>
      </c>
      <c r="AI895" s="4" t="str">
        <f>'Form responses 1'!AR2019</f>
        <v/>
      </c>
    </row>
    <row r="896">
      <c r="A896" s="26" t="str">
        <f>'Form responses 1'!B1739</f>
        <v/>
      </c>
      <c r="B896" s="4" t="str">
        <f>'Form responses 1'!AZ1739</f>
        <v/>
      </c>
      <c r="C896" s="4" t="str">
        <f>'Form responses 1'!BR1739</f>
        <v/>
      </c>
      <c r="D896" s="4" t="str">
        <f>'Form responses 1'!AT1739</f>
        <v/>
      </c>
      <c r="E896" s="4" t="str">
        <f>'Form responses 1'!AU1739</f>
        <v/>
      </c>
      <c r="F896" s="4" t="str">
        <f>'Form responses 1'!AX1739</f>
        <v/>
      </c>
      <c r="G896" s="4" t="str">
        <f>'Form responses 1'!AY1739</f>
        <v/>
      </c>
      <c r="H896" s="53" t="str">
        <f>'Form responses 1'!AW1739</f>
        <v/>
      </c>
      <c r="I896" s="4" t="str">
        <f>'Form responses 1'!AS1739</f>
        <v/>
      </c>
      <c r="J896" s="4" t="str">
        <f>'Form responses 1'!J1739</f>
        <v/>
      </c>
      <c r="K896" s="4" t="str">
        <f>'Form responses 1'!G1739</f>
        <v/>
      </c>
      <c r="L896" s="4" t="str">
        <f>'Form responses 1'!F1739</f>
        <v/>
      </c>
      <c r="M896" s="4" t="str">
        <f>'Form responses 1'!U1739</f>
        <v/>
      </c>
      <c r="N896" s="4" t="str">
        <f>'Form responses 1'!V1739</f>
        <v/>
      </c>
      <c r="O896" s="4" t="str">
        <f>'Form responses 1'!W1739</f>
        <v/>
      </c>
      <c r="P896" s="4" t="str">
        <f>'Form responses 1'!X1739</f>
        <v/>
      </c>
      <c r="Q896" s="4" t="str">
        <f>'Form responses 1'!Y1739</f>
        <v/>
      </c>
      <c r="R896" s="4" t="str">
        <f>'Form responses 1'!Z1739</f>
        <v/>
      </c>
      <c r="S896" s="4" t="str">
        <f>'Form responses 1'!AC1739</f>
        <v/>
      </c>
      <c r="T896" s="4" t="str">
        <f>'Form responses 1'!AE1739</f>
        <v/>
      </c>
      <c r="U896" s="4" t="str">
        <f>'Form responses 1'!AG1739</f>
        <v/>
      </c>
      <c r="V896" s="4" t="str">
        <f>'Form responses 1'!AI1739</f>
        <v/>
      </c>
      <c r="W896" s="4" t="str">
        <f>'Form responses 1'!AJ1739</f>
        <v/>
      </c>
      <c r="X896" s="4" t="str">
        <f>'Form responses 1'!AK1739</f>
        <v/>
      </c>
      <c r="Y896" s="4">
        <f t="shared" ref="Y896:AD896" si="895">if(S896&gt;0,1,0)</f>
        <v>0</v>
      </c>
      <c r="Z896" s="4">
        <f t="shared" si="895"/>
        <v>0</v>
      </c>
      <c r="AA896" s="4">
        <f t="shared" si="895"/>
        <v>0</v>
      </c>
      <c r="AB896" s="4">
        <f t="shared" si="895"/>
        <v>0</v>
      </c>
      <c r="AC896" s="4">
        <f t="shared" si="895"/>
        <v>0</v>
      </c>
      <c r="AD896" s="4">
        <f t="shared" si="895"/>
        <v>0</v>
      </c>
      <c r="AE896" s="4" t="str">
        <f>'Form responses 1'!AN1739</f>
        <v/>
      </c>
      <c r="AF896" s="4" t="str">
        <f>'Form responses 1'!AO2020</f>
        <v/>
      </c>
      <c r="AG896" s="4" t="str">
        <f>'Form responses 1'!AP2020</f>
        <v/>
      </c>
      <c r="AH896" s="4" t="str">
        <f>'Form responses 1'!AQ2020</f>
        <v/>
      </c>
      <c r="AI896" s="4" t="str">
        <f>'Form responses 1'!AR2020</f>
        <v/>
      </c>
    </row>
    <row r="897">
      <c r="A897" s="26" t="str">
        <f>'Form responses 1'!B1740</f>
        <v/>
      </c>
      <c r="B897" s="4" t="str">
        <f>'Form responses 1'!AZ1740</f>
        <v/>
      </c>
      <c r="C897" s="4" t="str">
        <f>'Form responses 1'!BR1740</f>
        <v/>
      </c>
      <c r="D897" s="4" t="str">
        <f>'Form responses 1'!AT1740</f>
        <v/>
      </c>
      <c r="E897" s="4" t="str">
        <f>'Form responses 1'!AU1740</f>
        <v/>
      </c>
      <c r="F897" s="4" t="str">
        <f>'Form responses 1'!AX1740</f>
        <v/>
      </c>
      <c r="G897" s="4" t="str">
        <f>'Form responses 1'!AY1740</f>
        <v/>
      </c>
      <c r="H897" s="53" t="str">
        <f>'Form responses 1'!AW1740</f>
        <v/>
      </c>
      <c r="I897" s="4" t="str">
        <f>'Form responses 1'!AS1740</f>
        <v/>
      </c>
      <c r="J897" s="4" t="str">
        <f>'Form responses 1'!J1740</f>
        <v/>
      </c>
      <c r="K897" s="4" t="str">
        <f>'Form responses 1'!G1740</f>
        <v/>
      </c>
      <c r="L897" s="4" t="str">
        <f>'Form responses 1'!F1740</f>
        <v/>
      </c>
      <c r="M897" s="4" t="str">
        <f>'Form responses 1'!U1740</f>
        <v/>
      </c>
      <c r="N897" s="4" t="str">
        <f>'Form responses 1'!V1740</f>
        <v/>
      </c>
      <c r="O897" s="4" t="str">
        <f>'Form responses 1'!W1740</f>
        <v/>
      </c>
      <c r="P897" s="4" t="str">
        <f>'Form responses 1'!X1740</f>
        <v/>
      </c>
      <c r="Q897" s="4" t="str">
        <f>'Form responses 1'!Y1740</f>
        <v/>
      </c>
      <c r="R897" s="4" t="str">
        <f>'Form responses 1'!Z1740</f>
        <v/>
      </c>
      <c r="S897" s="4" t="str">
        <f>'Form responses 1'!AC1740</f>
        <v/>
      </c>
      <c r="T897" s="4" t="str">
        <f>'Form responses 1'!AE1740</f>
        <v/>
      </c>
      <c r="U897" s="4" t="str">
        <f>'Form responses 1'!AG1740</f>
        <v/>
      </c>
      <c r="V897" s="4" t="str">
        <f>'Form responses 1'!AI1740</f>
        <v/>
      </c>
      <c r="W897" s="4" t="str">
        <f>'Form responses 1'!AJ1740</f>
        <v/>
      </c>
      <c r="X897" s="4" t="str">
        <f>'Form responses 1'!AK1740</f>
        <v/>
      </c>
      <c r="Y897" s="4">
        <f t="shared" ref="Y897:AD897" si="896">if(S897&gt;0,1,0)</f>
        <v>0</v>
      </c>
      <c r="Z897" s="4">
        <f t="shared" si="896"/>
        <v>0</v>
      </c>
      <c r="AA897" s="4">
        <f t="shared" si="896"/>
        <v>0</v>
      </c>
      <c r="AB897" s="4">
        <f t="shared" si="896"/>
        <v>0</v>
      </c>
      <c r="AC897" s="4">
        <f t="shared" si="896"/>
        <v>0</v>
      </c>
      <c r="AD897" s="4">
        <f t="shared" si="896"/>
        <v>0</v>
      </c>
      <c r="AE897" s="4" t="str">
        <f>'Form responses 1'!AN1740</f>
        <v/>
      </c>
      <c r="AF897" s="4" t="str">
        <f>'Form responses 1'!AO2021</f>
        <v/>
      </c>
      <c r="AG897" s="4" t="str">
        <f>'Form responses 1'!AP2021</f>
        <v/>
      </c>
      <c r="AH897" s="4" t="str">
        <f>'Form responses 1'!AQ2021</f>
        <v/>
      </c>
      <c r="AI897" s="4" t="str">
        <f>'Form responses 1'!AR2021</f>
        <v/>
      </c>
    </row>
    <row r="898">
      <c r="A898" s="26" t="str">
        <f>'Form responses 1'!B1741</f>
        <v/>
      </c>
      <c r="B898" s="4" t="str">
        <f>'Form responses 1'!AZ1741</f>
        <v/>
      </c>
      <c r="C898" s="4" t="str">
        <f>'Form responses 1'!BR1741</f>
        <v/>
      </c>
      <c r="D898" s="4" t="str">
        <f>'Form responses 1'!AT1741</f>
        <v/>
      </c>
      <c r="E898" s="4" t="str">
        <f>'Form responses 1'!AU1741</f>
        <v/>
      </c>
      <c r="F898" s="4" t="str">
        <f>'Form responses 1'!AX1741</f>
        <v/>
      </c>
      <c r="G898" s="4" t="str">
        <f>'Form responses 1'!AY1741</f>
        <v/>
      </c>
      <c r="H898" s="53" t="str">
        <f>'Form responses 1'!AW1741</f>
        <v/>
      </c>
      <c r="I898" s="4" t="str">
        <f>'Form responses 1'!AS1741</f>
        <v/>
      </c>
      <c r="J898" s="4" t="str">
        <f>'Form responses 1'!J1741</f>
        <v/>
      </c>
      <c r="K898" s="4" t="str">
        <f>'Form responses 1'!G1741</f>
        <v/>
      </c>
      <c r="L898" s="4" t="str">
        <f>'Form responses 1'!F1741</f>
        <v/>
      </c>
      <c r="M898" s="4" t="str">
        <f>'Form responses 1'!U1741</f>
        <v/>
      </c>
      <c r="N898" s="4" t="str">
        <f>'Form responses 1'!V1741</f>
        <v/>
      </c>
      <c r="O898" s="4" t="str">
        <f>'Form responses 1'!W1741</f>
        <v/>
      </c>
      <c r="P898" s="4" t="str">
        <f>'Form responses 1'!X1741</f>
        <v/>
      </c>
      <c r="Q898" s="4" t="str">
        <f>'Form responses 1'!Y1741</f>
        <v/>
      </c>
      <c r="R898" s="4" t="str">
        <f>'Form responses 1'!Z1741</f>
        <v/>
      </c>
      <c r="S898" s="4" t="str">
        <f>'Form responses 1'!AC1741</f>
        <v/>
      </c>
      <c r="T898" s="4" t="str">
        <f>'Form responses 1'!AE1741</f>
        <v/>
      </c>
      <c r="U898" s="4" t="str">
        <f>'Form responses 1'!AG1741</f>
        <v/>
      </c>
      <c r="V898" s="4" t="str">
        <f>'Form responses 1'!AI1741</f>
        <v/>
      </c>
      <c r="W898" s="4" t="str">
        <f>'Form responses 1'!AJ1741</f>
        <v/>
      </c>
      <c r="X898" s="4" t="str">
        <f>'Form responses 1'!AK1741</f>
        <v/>
      </c>
      <c r="Y898" s="4">
        <f t="shared" ref="Y898:AD898" si="897">if(S898&gt;0,1,0)</f>
        <v>0</v>
      </c>
      <c r="Z898" s="4">
        <f t="shared" si="897"/>
        <v>0</v>
      </c>
      <c r="AA898" s="4">
        <f t="shared" si="897"/>
        <v>0</v>
      </c>
      <c r="AB898" s="4">
        <f t="shared" si="897"/>
        <v>0</v>
      </c>
      <c r="AC898" s="4">
        <f t="shared" si="897"/>
        <v>0</v>
      </c>
      <c r="AD898" s="4">
        <f t="shared" si="897"/>
        <v>0</v>
      </c>
      <c r="AE898" s="4" t="str">
        <f>'Form responses 1'!AN1741</f>
        <v/>
      </c>
      <c r="AF898" s="4" t="str">
        <f>'Form responses 1'!AO2022</f>
        <v/>
      </c>
      <c r="AG898" s="4" t="str">
        <f>'Form responses 1'!AP2022</f>
        <v/>
      </c>
      <c r="AH898" s="4" t="str">
        <f>'Form responses 1'!AQ2022</f>
        <v/>
      </c>
      <c r="AI898" s="4" t="str">
        <f>'Form responses 1'!AR2022</f>
        <v/>
      </c>
    </row>
    <row r="899">
      <c r="A899" s="26" t="str">
        <f>'Form responses 1'!B1742</f>
        <v/>
      </c>
      <c r="B899" s="4" t="str">
        <f>'Form responses 1'!AZ1742</f>
        <v/>
      </c>
      <c r="C899" s="4" t="str">
        <f>'Form responses 1'!BR1742</f>
        <v/>
      </c>
      <c r="D899" s="4" t="str">
        <f>'Form responses 1'!AT1742</f>
        <v/>
      </c>
      <c r="E899" s="4" t="str">
        <f>'Form responses 1'!AU1742</f>
        <v/>
      </c>
      <c r="F899" s="4" t="str">
        <f>'Form responses 1'!AX1742</f>
        <v/>
      </c>
      <c r="G899" s="4" t="str">
        <f>'Form responses 1'!AY1742</f>
        <v/>
      </c>
      <c r="H899" s="53" t="str">
        <f>'Form responses 1'!AW1742</f>
        <v/>
      </c>
      <c r="I899" s="4" t="str">
        <f>'Form responses 1'!AS1742</f>
        <v/>
      </c>
      <c r="J899" s="4" t="str">
        <f>'Form responses 1'!J1742</f>
        <v/>
      </c>
      <c r="K899" s="4" t="str">
        <f>'Form responses 1'!G1742</f>
        <v/>
      </c>
      <c r="L899" s="4" t="str">
        <f>'Form responses 1'!F1742</f>
        <v/>
      </c>
      <c r="M899" s="4" t="str">
        <f>'Form responses 1'!U1742</f>
        <v/>
      </c>
      <c r="N899" s="4" t="str">
        <f>'Form responses 1'!V1742</f>
        <v/>
      </c>
      <c r="O899" s="4" t="str">
        <f>'Form responses 1'!W1742</f>
        <v/>
      </c>
      <c r="P899" s="4" t="str">
        <f>'Form responses 1'!X1742</f>
        <v/>
      </c>
      <c r="Q899" s="4" t="str">
        <f>'Form responses 1'!Y1742</f>
        <v/>
      </c>
      <c r="R899" s="4" t="str">
        <f>'Form responses 1'!Z1742</f>
        <v/>
      </c>
      <c r="S899" s="4" t="str">
        <f>'Form responses 1'!AC1742</f>
        <v/>
      </c>
      <c r="T899" s="4" t="str">
        <f>'Form responses 1'!AE1742</f>
        <v/>
      </c>
      <c r="U899" s="4" t="str">
        <f>'Form responses 1'!AG1742</f>
        <v/>
      </c>
      <c r="V899" s="4" t="str">
        <f>'Form responses 1'!AI1742</f>
        <v/>
      </c>
      <c r="W899" s="4" t="str">
        <f>'Form responses 1'!AJ1742</f>
        <v/>
      </c>
      <c r="X899" s="4" t="str">
        <f>'Form responses 1'!AK1742</f>
        <v/>
      </c>
      <c r="Y899" s="4">
        <f t="shared" ref="Y899:AD899" si="898">if(S899&gt;0,1,0)</f>
        <v>0</v>
      </c>
      <c r="Z899" s="4">
        <f t="shared" si="898"/>
        <v>0</v>
      </c>
      <c r="AA899" s="4">
        <f t="shared" si="898"/>
        <v>0</v>
      </c>
      <c r="AB899" s="4">
        <f t="shared" si="898"/>
        <v>0</v>
      </c>
      <c r="AC899" s="4">
        <f t="shared" si="898"/>
        <v>0</v>
      </c>
      <c r="AD899" s="4">
        <f t="shared" si="898"/>
        <v>0</v>
      </c>
      <c r="AE899" s="4" t="str">
        <f>'Form responses 1'!AN1742</f>
        <v/>
      </c>
      <c r="AF899" s="4" t="str">
        <f>'Form responses 1'!AO2023</f>
        <v/>
      </c>
      <c r="AG899" s="4" t="str">
        <f>'Form responses 1'!AP2023</f>
        <v/>
      </c>
      <c r="AH899" s="4" t="str">
        <f>'Form responses 1'!AQ2023</f>
        <v/>
      </c>
      <c r="AI899" s="4" t="str">
        <f>'Form responses 1'!AR2023</f>
        <v/>
      </c>
    </row>
    <row r="900">
      <c r="A900" s="26" t="str">
        <f>'Form responses 1'!B1743</f>
        <v/>
      </c>
      <c r="B900" s="4" t="str">
        <f>'Form responses 1'!AZ1743</f>
        <v/>
      </c>
      <c r="C900" s="4" t="str">
        <f>'Form responses 1'!BR1743</f>
        <v/>
      </c>
      <c r="D900" s="4" t="str">
        <f>'Form responses 1'!AT1743</f>
        <v/>
      </c>
      <c r="E900" s="4" t="str">
        <f>'Form responses 1'!AU1743</f>
        <v/>
      </c>
      <c r="F900" s="4" t="str">
        <f>'Form responses 1'!AX1743</f>
        <v/>
      </c>
      <c r="G900" s="4" t="str">
        <f>'Form responses 1'!AY1743</f>
        <v/>
      </c>
      <c r="H900" s="53" t="str">
        <f>'Form responses 1'!AW1743</f>
        <v/>
      </c>
      <c r="I900" s="4" t="str">
        <f>'Form responses 1'!AS1743</f>
        <v/>
      </c>
      <c r="J900" s="4" t="str">
        <f>'Form responses 1'!J1743</f>
        <v/>
      </c>
      <c r="K900" s="4" t="str">
        <f>'Form responses 1'!G1743</f>
        <v/>
      </c>
      <c r="L900" s="4" t="str">
        <f>'Form responses 1'!F1743</f>
        <v/>
      </c>
      <c r="M900" s="4" t="str">
        <f>'Form responses 1'!U1743</f>
        <v/>
      </c>
      <c r="N900" s="4" t="str">
        <f>'Form responses 1'!V1743</f>
        <v/>
      </c>
      <c r="O900" s="4" t="str">
        <f>'Form responses 1'!W1743</f>
        <v/>
      </c>
      <c r="P900" s="4" t="str">
        <f>'Form responses 1'!X1743</f>
        <v/>
      </c>
      <c r="Q900" s="4" t="str">
        <f>'Form responses 1'!Y1743</f>
        <v/>
      </c>
      <c r="R900" s="4" t="str">
        <f>'Form responses 1'!Z1743</f>
        <v/>
      </c>
      <c r="S900" s="4" t="str">
        <f>'Form responses 1'!AC1743</f>
        <v/>
      </c>
      <c r="T900" s="4" t="str">
        <f>'Form responses 1'!AE1743</f>
        <v/>
      </c>
      <c r="U900" s="4" t="str">
        <f>'Form responses 1'!AG1743</f>
        <v/>
      </c>
      <c r="V900" s="4" t="str">
        <f>'Form responses 1'!AI1743</f>
        <v/>
      </c>
      <c r="W900" s="4" t="str">
        <f>'Form responses 1'!AJ1743</f>
        <v/>
      </c>
      <c r="X900" s="4" t="str">
        <f>'Form responses 1'!AK1743</f>
        <v/>
      </c>
      <c r="Y900" s="4">
        <f t="shared" ref="Y900:AD900" si="899">if(S900&gt;0,1,0)</f>
        <v>0</v>
      </c>
      <c r="Z900" s="4">
        <f t="shared" si="899"/>
        <v>0</v>
      </c>
      <c r="AA900" s="4">
        <f t="shared" si="899"/>
        <v>0</v>
      </c>
      <c r="AB900" s="4">
        <f t="shared" si="899"/>
        <v>0</v>
      </c>
      <c r="AC900" s="4">
        <f t="shared" si="899"/>
        <v>0</v>
      </c>
      <c r="AD900" s="4">
        <f t="shared" si="899"/>
        <v>0</v>
      </c>
      <c r="AE900" s="4" t="str">
        <f>'Form responses 1'!AN1743</f>
        <v/>
      </c>
      <c r="AF900" s="4" t="str">
        <f>'Form responses 1'!AO2024</f>
        <v/>
      </c>
      <c r="AG900" s="4" t="str">
        <f>'Form responses 1'!AP2024</f>
        <v/>
      </c>
      <c r="AH900" s="4" t="str">
        <f>'Form responses 1'!AQ2024</f>
        <v/>
      </c>
      <c r="AI900" s="4" t="str">
        <f>'Form responses 1'!AR2024</f>
        <v/>
      </c>
    </row>
    <row r="901">
      <c r="A901" s="26" t="str">
        <f>'Form responses 1'!B1744</f>
        <v/>
      </c>
      <c r="B901" s="4" t="str">
        <f>'Form responses 1'!AZ1744</f>
        <v/>
      </c>
      <c r="C901" s="4" t="str">
        <f>'Form responses 1'!BR1744</f>
        <v/>
      </c>
      <c r="D901" s="4" t="str">
        <f>'Form responses 1'!AT1744</f>
        <v/>
      </c>
      <c r="E901" s="4" t="str">
        <f>'Form responses 1'!AU1744</f>
        <v/>
      </c>
      <c r="F901" s="4" t="str">
        <f>'Form responses 1'!AX1744</f>
        <v/>
      </c>
      <c r="G901" s="4" t="str">
        <f>'Form responses 1'!AY1744</f>
        <v/>
      </c>
      <c r="H901" s="53" t="str">
        <f>'Form responses 1'!AW1744</f>
        <v/>
      </c>
      <c r="I901" s="4" t="str">
        <f>'Form responses 1'!AS1744</f>
        <v/>
      </c>
      <c r="J901" s="4" t="str">
        <f>'Form responses 1'!J1744</f>
        <v/>
      </c>
      <c r="K901" s="4" t="str">
        <f>'Form responses 1'!G1744</f>
        <v/>
      </c>
      <c r="L901" s="4" t="str">
        <f>'Form responses 1'!F1744</f>
        <v/>
      </c>
      <c r="M901" s="4" t="str">
        <f>'Form responses 1'!U1744</f>
        <v/>
      </c>
      <c r="N901" s="4" t="str">
        <f>'Form responses 1'!V1744</f>
        <v/>
      </c>
      <c r="O901" s="4" t="str">
        <f>'Form responses 1'!W1744</f>
        <v/>
      </c>
      <c r="P901" s="4" t="str">
        <f>'Form responses 1'!X1744</f>
        <v/>
      </c>
      <c r="Q901" s="4" t="str">
        <f>'Form responses 1'!Y1744</f>
        <v/>
      </c>
      <c r="R901" s="4" t="str">
        <f>'Form responses 1'!Z1744</f>
        <v/>
      </c>
      <c r="S901" s="4" t="str">
        <f>'Form responses 1'!AC1744</f>
        <v/>
      </c>
      <c r="T901" s="4" t="str">
        <f>'Form responses 1'!AE1744</f>
        <v/>
      </c>
      <c r="U901" s="4" t="str">
        <f>'Form responses 1'!AG1744</f>
        <v/>
      </c>
      <c r="V901" s="4" t="str">
        <f>'Form responses 1'!AI1744</f>
        <v/>
      </c>
      <c r="W901" s="4" t="str">
        <f>'Form responses 1'!AJ1744</f>
        <v/>
      </c>
      <c r="X901" s="4" t="str">
        <f>'Form responses 1'!AK1744</f>
        <v/>
      </c>
      <c r="Y901" s="4">
        <f t="shared" ref="Y901:AD901" si="900">if(S901&gt;0,1,0)</f>
        <v>0</v>
      </c>
      <c r="Z901" s="4">
        <f t="shared" si="900"/>
        <v>0</v>
      </c>
      <c r="AA901" s="4">
        <f t="shared" si="900"/>
        <v>0</v>
      </c>
      <c r="AB901" s="4">
        <f t="shared" si="900"/>
        <v>0</v>
      </c>
      <c r="AC901" s="4">
        <f t="shared" si="900"/>
        <v>0</v>
      </c>
      <c r="AD901" s="4">
        <f t="shared" si="900"/>
        <v>0</v>
      </c>
      <c r="AE901" s="4" t="str">
        <f>'Form responses 1'!AN1744</f>
        <v/>
      </c>
      <c r="AF901" s="4" t="str">
        <f>'Form responses 1'!AO2025</f>
        <v/>
      </c>
      <c r="AG901" s="4" t="str">
        <f>'Form responses 1'!AP2025</f>
        <v/>
      </c>
      <c r="AH901" s="4" t="str">
        <f>'Form responses 1'!AQ2025</f>
        <v/>
      </c>
      <c r="AI901" s="4" t="str">
        <f>'Form responses 1'!AR2025</f>
        <v/>
      </c>
    </row>
    <row r="902">
      <c r="A902" s="26" t="str">
        <f>'Form responses 1'!B1745</f>
        <v/>
      </c>
      <c r="B902" s="4" t="str">
        <f>'Form responses 1'!AZ1745</f>
        <v/>
      </c>
      <c r="C902" s="4" t="str">
        <f>'Form responses 1'!BR1745</f>
        <v/>
      </c>
      <c r="D902" s="4" t="str">
        <f>'Form responses 1'!AT1745</f>
        <v/>
      </c>
      <c r="E902" s="4" t="str">
        <f>'Form responses 1'!AU1745</f>
        <v/>
      </c>
      <c r="F902" s="4" t="str">
        <f>'Form responses 1'!AX1745</f>
        <v/>
      </c>
      <c r="G902" s="4" t="str">
        <f>'Form responses 1'!AY1745</f>
        <v/>
      </c>
      <c r="H902" s="53" t="str">
        <f>'Form responses 1'!AW1745</f>
        <v/>
      </c>
      <c r="I902" s="4" t="str">
        <f>'Form responses 1'!AS1745</f>
        <v/>
      </c>
      <c r="J902" s="4" t="str">
        <f>'Form responses 1'!J1745</f>
        <v/>
      </c>
      <c r="K902" s="4" t="str">
        <f>'Form responses 1'!G1745</f>
        <v/>
      </c>
      <c r="L902" s="4" t="str">
        <f>'Form responses 1'!F1745</f>
        <v/>
      </c>
      <c r="M902" s="4" t="str">
        <f>'Form responses 1'!U1745</f>
        <v/>
      </c>
      <c r="N902" s="4" t="str">
        <f>'Form responses 1'!V1745</f>
        <v/>
      </c>
      <c r="O902" s="4" t="str">
        <f>'Form responses 1'!W1745</f>
        <v/>
      </c>
      <c r="P902" s="4" t="str">
        <f>'Form responses 1'!X1745</f>
        <v/>
      </c>
      <c r="Q902" s="4" t="str">
        <f>'Form responses 1'!Y1745</f>
        <v/>
      </c>
      <c r="R902" s="4" t="str">
        <f>'Form responses 1'!Z1745</f>
        <v/>
      </c>
      <c r="S902" s="4" t="str">
        <f>'Form responses 1'!AC1745</f>
        <v/>
      </c>
      <c r="T902" s="4" t="str">
        <f>'Form responses 1'!AE1745</f>
        <v/>
      </c>
      <c r="U902" s="4" t="str">
        <f>'Form responses 1'!AG1745</f>
        <v/>
      </c>
      <c r="V902" s="4" t="str">
        <f>'Form responses 1'!AI1745</f>
        <v/>
      </c>
      <c r="W902" s="4" t="str">
        <f>'Form responses 1'!AJ1745</f>
        <v/>
      </c>
      <c r="X902" s="4" t="str">
        <f>'Form responses 1'!AK1745</f>
        <v/>
      </c>
      <c r="Y902" s="4">
        <f t="shared" ref="Y902:AD902" si="901">if(S902&gt;0,1,0)</f>
        <v>0</v>
      </c>
      <c r="Z902" s="4">
        <f t="shared" si="901"/>
        <v>0</v>
      </c>
      <c r="AA902" s="4">
        <f t="shared" si="901"/>
        <v>0</v>
      </c>
      <c r="AB902" s="4">
        <f t="shared" si="901"/>
        <v>0</v>
      </c>
      <c r="AC902" s="4">
        <f t="shared" si="901"/>
        <v>0</v>
      </c>
      <c r="AD902" s="4">
        <f t="shared" si="901"/>
        <v>0</v>
      </c>
      <c r="AE902" s="4" t="str">
        <f>'Form responses 1'!AN1745</f>
        <v/>
      </c>
      <c r="AF902" s="4" t="str">
        <f>'Form responses 1'!AO2026</f>
        <v/>
      </c>
      <c r="AG902" s="4" t="str">
        <f>'Form responses 1'!AP2026</f>
        <v/>
      </c>
      <c r="AH902" s="4" t="str">
        <f>'Form responses 1'!AQ2026</f>
        <v/>
      </c>
      <c r="AI902" s="4" t="str">
        <f>'Form responses 1'!AR2026</f>
        <v/>
      </c>
    </row>
    <row r="903">
      <c r="A903" s="26" t="str">
        <f>'Form responses 1'!B1746</f>
        <v/>
      </c>
      <c r="B903" s="4" t="str">
        <f>'Form responses 1'!AZ1746</f>
        <v/>
      </c>
      <c r="C903" s="4" t="str">
        <f>'Form responses 1'!BR1746</f>
        <v/>
      </c>
      <c r="D903" s="4" t="str">
        <f>'Form responses 1'!AT1746</f>
        <v/>
      </c>
      <c r="E903" s="4" t="str">
        <f>'Form responses 1'!AU1746</f>
        <v/>
      </c>
      <c r="F903" s="4" t="str">
        <f>'Form responses 1'!AX1746</f>
        <v/>
      </c>
      <c r="G903" s="4" t="str">
        <f>'Form responses 1'!AY1746</f>
        <v/>
      </c>
      <c r="H903" s="53" t="str">
        <f>'Form responses 1'!AW1746</f>
        <v/>
      </c>
      <c r="I903" s="4" t="str">
        <f>'Form responses 1'!AS1746</f>
        <v/>
      </c>
      <c r="J903" s="4" t="str">
        <f>'Form responses 1'!J1746</f>
        <v/>
      </c>
      <c r="K903" s="4" t="str">
        <f>'Form responses 1'!G1746</f>
        <v/>
      </c>
      <c r="L903" s="4" t="str">
        <f>'Form responses 1'!F1746</f>
        <v/>
      </c>
      <c r="M903" s="4" t="str">
        <f>'Form responses 1'!U1746</f>
        <v/>
      </c>
      <c r="N903" s="4" t="str">
        <f>'Form responses 1'!V1746</f>
        <v/>
      </c>
      <c r="O903" s="4" t="str">
        <f>'Form responses 1'!W1746</f>
        <v/>
      </c>
      <c r="P903" s="4" t="str">
        <f>'Form responses 1'!X1746</f>
        <v/>
      </c>
      <c r="Q903" s="4" t="str">
        <f>'Form responses 1'!Y1746</f>
        <v/>
      </c>
      <c r="R903" s="4" t="str">
        <f>'Form responses 1'!Z1746</f>
        <v/>
      </c>
      <c r="S903" s="4" t="str">
        <f>'Form responses 1'!AC1746</f>
        <v/>
      </c>
      <c r="T903" s="4" t="str">
        <f>'Form responses 1'!AE1746</f>
        <v/>
      </c>
      <c r="U903" s="4" t="str">
        <f>'Form responses 1'!AG1746</f>
        <v/>
      </c>
      <c r="V903" s="4" t="str">
        <f>'Form responses 1'!AI1746</f>
        <v/>
      </c>
      <c r="W903" s="4" t="str">
        <f>'Form responses 1'!AJ1746</f>
        <v/>
      </c>
      <c r="X903" s="4" t="str">
        <f>'Form responses 1'!AK1746</f>
        <v/>
      </c>
      <c r="Y903" s="4">
        <f t="shared" ref="Y903:AD903" si="902">if(S903&gt;0,1,0)</f>
        <v>0</v>
      </c>
      <c r="Z903" s="4">
        <f t="shared" si="902"/>
        <v>0</v>
      </c>
      <c r="AA903" s="4">
        <f t="shared" si="902"/>
        <v>0</v>
      </c>
      <c r="AB903" s="4">
        <f t="shared" si="902"/>
        <v>0</v>
      </c>
      <c r="AC903" s="4">
        <f t="shared" si="902"/>
        <v>0</v>
      </c>
      <c r="AD903" s="4">
        <f t="shared" si="902"/>
        <v>0</v>
      </c>
      <c r="AE903" s="4" t="str">
        <f>'Form responses 1'!AN1746</f>
        <v/>
      </c>
      <c r="AF903" s="4" t="str">
        <f>'Form responses 1'!AO2027</f>
        <v/>
      </c>
      <c r="AG903" s="4" t="str">
        <f>'Form responses 1'!AP2027</f>
        <v/>
      </c>
      <c r="AH903" s="4" t="str">
        <f>'Form responses 1'!AQ2027</f>
        <v/>
      </c>
      <c r="AI903" s="4" t="str">
        <f>'Form responses 1'!AR2027</f>
        <v/>
      </c>
    </row>
    <row r="904">
      <c r="A904" s="26" t="str">
        <f>'Form responses 1'!B1747</f>
        <v/>
      </c>
      <c r="B904" s="4" t="str">
        <f>'Form responses 1'!AZ1747</f>
        <v/>
      </c>
      <c r="C904" s="4" t="str">
        <f>'Form responses 1'!BR1747</f>
        <v/>
      </c>
      <c r="D904" s="4" t="str">
        <f>'Form responses 1'!AT1747</f>
        <v/>
      </c>
      <c r="E904" s="4" t="str">
        <f>'Form responses 1'!AU1747</f>
        <v/>
      </c>
      <c r="F904" s="4" t="str">
        <f>'Form responses 1'!AX1747</f>
        <v/>
      </c>
      <c r="G904" s="4" t="str">
        <f>'Form responses 1'!AY1747</f>
        <v/>
      </c>
      <c r="H904" s="53" t="str">
        <f>'Form responses 1'!AW1747</f>
        <v/>
      </c>
      <c r="I904" s="4" t="str">
        <f>'Form responses 1'!AS1747</f>
        <v/>
      </c>
      <c r="J904" s="4" t="str">
        <f>'Form responses 1'!J1747</f>
        <v/>
      </c>
      <c r="K904" s="4" t="str">
        <f>'Form responses 1'!G1747</f>
        <v/>
      </c>
      <c r="L904" s="4" t="str">
        <f>'Form responses 1'!F1747</f>
        <v/>
      </c>
      <c r="M904" s="4" t="str">
        <f>'Form responses 1'!U1747</f>
        <v/>
      </c>
      <c r="N904" s="4" t="str">
        <f>'Form responses 1'!V1747</f>
        <v/>
      </c>
      <c r="O904" s="4" t="str">
        <f>'Form responses 1'!W1747</f>
        <v/>
      </c>
      <c r="P904" s="4" t="str">
        <f>'Form responses 1'!X1747</f>
        <v/>
      </c>
      <c r="Q904" s="4" t="str">
        <f>'Form responses 1'!Y1747</f>
        <v/>
      </c>
      <c r="R904" s="4" t="str">
        <f>'Form responses 1'!Z1747</f>
        <v/>
      </c>
      <c r="S904" s="4" t="str">
        <f>'Form responses 1'!AC1747</f>
        <v/>
      </c>
      <c r="T904" s="4" t="str">
        <f>'Form responses 1'!AE1747</f>
        <v/>
      </c>
      <c r="U904" s="4" t="str">
        <f>'Form responses 1'!AG1747</f>
        <v/>
      </c>
      <c r="V904" s="4" t="str">
        <f>'Form responses 1'!AI1747</f>
        <v/>
      </c>
      <c r="W904" s="4" t="str">
        <f>'Form responses 1'!AJ1747</f>
        <v/>
      </c>
      <c r="X904" s="4" t="str">
        <f>'Form responses 1'!AK1747</f>
        <v/>
      </c>
      <c r="Y904" s="4">
        <f t="shared" ref="Y904:AD904" si="903">if(S904&gt;0,1,0)</f>
        <v>0</v>
      </c>
      <c r="Z904" s="4">
        <f t="shared" si="903"/>
        <v>0</v>
      </c>
      <c r="AA904" s="4">
        <f t="shared" si="903"/>
        <v>0</v>
      </c>
      <c r="AB904" s="4">
        <f t="shared" si="903"/>
        <v>0</v>
      </c>
      <c r="AC904" s="4">
        <f t="shared" si="903"/>
        <v>0</v>
      </c>
      <c r="AD904" s="4">
        <f t="shared" si="903"/>
        <v>0</v>
      </c>
      <c r="AE904" s="4" t="str">
        <f>'Form responses 1'!AN1747</f>
        <v/>
      </c>
      <c r="AF904" s="4" t="str">
        <f>'Form responses 1'!AO2028</f>
        <v/>
      </c>
      <c r="AG904" s="4" t="str">
        <f>'Form responses 1'!AP2028</f>
        <v/>
      </c>
      <c r="AH904" s="4" t="str">
        <f>'Form responses 1'!AQ2028</f>
        <v/>
      </c>
      <c r="AI904" s="4" t="str">
        <f>'Form responses 1'!AR2028</f>
        <v/>
      </c>
    </row>
    <row r="905">
      <c r="A905" s="26" t="str">
        <f>'Form responses 1'!B1748</f>
        <v/>
      </c>
      <c r="B905" s="4" t="str">
        <f>'Form responses 1'!AZ1748</f>
        <v/>
      </c>
      <c r="C905" s="4" t="str">
        <f>'Form responses 1'!BR1748</f>
        <v/>
      </c>
      <c r="D905" s="4" t="str">
        <f>'Form responses 1'!AT1748</f>
        <v/>
      </c>
      <c r="E905" s="4" t="str">
        <f>'Form responses 1'!AU1748</f>
        <v/>
      </c>
      <c r="F905" s="4" t="str">
        <f>'Form responses 1'!AX1748</f>
        <v/>
      </c>
      <c r="G905" s="4" t="str">
        <f>'Form responses 1'!AY1748</f>
        <v/>
      </c>
      <c r="H905" s="53" t="str">
        <f>'Form responses 1'!AW1748</f>
        <v/>
      </c>
      <c r="I905" s="4" t="str">
        <f>'Form responses 1'!AS1748</f>
        <v/>
      </c>
      <c r="J905" s="4" t="str">
        <f>'Form responses 1'!J1748</f>
        <v/>
      </c>
      <c r="K905" s="4" t="str">
        <f>'Form responses 1'!G1748</f>
        <v/>
      </c>
      <c r="L905" s="4" t="str">
        <f>'Form responses 1'!F1748</f>
        <v/>
      </c>
      <c r="M905" s="4" t="str">
        <f>'Form responses 1'!U1748</f>
        <v/>
      </c>
      <c r="N905" s="4" t="str">
        <f>'Form responses 1'!V1748</f>
        <v/>
      </c>
      <c r="O905" s="4" t="str">
        <f>'Form responses 1'!W1748</f>
        <v/>
      </c>
      <c r="P905" s="4" t="str">
        <f>'Form responses 1'!X1748</f>
        <v/>
      </c>
      <c r="Q905" s="4" t="str">
        <f>'Form responses 1'!Y1748</f>
        <v/>
      </c>
      <c r="R905" s="4" t="str">
        <f>'Form responses 1'!Z1748</f>
        <v/>
      </c>
      <c r="S905" s="4" t="str">
        <f>'Form responses 1'!AC1748</f>
        <v/>
      </c>
      <c r="T905" s="4" t="str">
        <f>'Form responses 1'!AE1748</f>
        <v/>
      </c>
      <c r="U905" s="4" t="str">
        <f>'Form responses 1'!AG1748</f>
        <v/>
      </c>
      <c r="V905" s="4" t="str">
        <f>'Form responses 1'!AI1748</f>
        <v/>
      </c>
      <c r="W905" s="4" t="str">
        <f>'Form responses 1'!AJ1748</f>
        <v/>
      </c>
      <c r="X905" s="4" t="str">
        <f>'Form responses 1'!AK1748</f>
        <v/>
      </c>
      <c r="Y905" s="4">
        <f t="shared" ref="Y905:AD905" si="904">if(S905&gt;0,1,0)</f>
        <v>0</v>
      </c>
      <c r="Z905" s="4">
        <f t="shared" si="904"/>
        <v>0</v>
      </c>
      <c r="AA905" s="4">
        <f t="shared" si="904"/>
        <v>0</v>
      </c>
      <c r="AB905" s="4">
        <f t="shared" si="904"/>
        <v>0</v>
      </c>
      <c r="AC905" s="4">
        <f t="shared" si="904"/>
        <v>0</v>
      </c>
      <c r="AD905" s="4">
        <f t="shared" si="904"/>
        <v>0</v>
      </c>
      <c r="AE905" s="4" t="str">
        <f>'Form responses 1'!AN1748</f>
        <v/>
      </c>
      <c r="AF905" s="4" t="str">
        <f>'Form responses 1'!AO2029</f>
        <v/>
      </c>
      <c r="AG905" s="4" t="str">
        <f>'Form responses 1'!AP2029</f>
        <v/>
      </c>
      <c r="AH905" s="4" t="str">
        <f>'Form responses 1'!AQ2029</f>
        <v/>
      </c>
      <c r="AI905" s="4" t="str">
        <f>'Form responses 1'!AR2029</f>
        <v/>
      </c>
    </row>
    <row r="906">
      <c r="A906" s="26" t="str">
        <f>'Form responses 1'!B1749</f>
        <v/>
      </c>
      <c r="B906" s="4" t="str">
        <f>'Form responses 1'!AZ1749</f>
        <v/>
      </c>
      <c r="C906" s="4" t="str">
        <f>'Form responses 1'!BR1749</f>
        <v/>
      </c>
      <c r="D906" s="4" t="str">
        <f>'Form responses 1'!AT1749</f>
        <v/>
      </c>
      <c r="E906" s="4" t="str">
        <f>'Form responses 1'!AU1749</f>
        <v/>
      </c>
      <c r="F906" s="4" t="str">
        <f>'Form responses 1'!AX1749</f>
        <v/>
      </c>
      <c r="G906" s="4" t="str">
        <f>'Form responses 1'!AY1749</f>
        <v/>
      </c>
      <c r="H906" s="53" t="str">
        <f>'Form responses 1'!AW1749</f>
        <v/>
      </c>
      <c r="I906" s="4" t="str">
        <f>'Form responses 1'!AS1749</f>
        <v/>
      </c>
      <c r="J906" s="4" t="str">
        <f>'Form responses 1'!J1749</f>
        <v/>
      </c>
      <c r="K906" s="4" t="str">
        <f>'Form responses 1'!G1749</f>
        <v/>
      </c>
      <c r="L906" s="4" t="str">
        <f>'Form responses 1'!F1749</f>
        <v/>
      </c>
      <c r="M906" s="4" t="str">
        <f>'Form responses 1'!U1749</f>
        <v/>
      </c>
      <c r="N906" s="4" t="str">
        <f>'Form responses 1'!V1749</f>
        <v/>
      </c>
      <c r="O906" s="4" t="str">
        <f>'Form responses 1'!W1749</f>
        <v/>
      </c>
      <c r="P906" s="4" t="str">
        <f>'Form responses 1'!X1749</f>
        <v/>
      </c>
      <c r="Q906" s="4" t="str">
        <f>'Form responses 1'!Y1749</f>
        <v/>
      </c>
      <c r="R906" s="4" t="str">
        <f>'Form responses 1'!Z1749</f>
        <v/>
      </c>
      <c r="S906" s="4" t="str">
        <f>'Form responses 1'!AC1749</f>
        <v/>
      </c>
      <c r="T906" s="4" t="str">
        <f>'Form responses 1'!AE1749</f>
        <v/>
      </c>
      <c r="U906" s="4" t="str">
        <f>'Form responses 1'!AG1749</f>
        <v/>
      </c>
      <c r="V906" s="4" t="str">
        <f>'Form responses 1'!AI1749</f>
        <v/>
      </c>
      <c r="W906" s="4" t="str">
        <f>'Form responses 1'!AJ1749</f>
        <v/>
      </c>
      <c r="X906" s="4" t="str">
        <f>'Form responses 1'!AK1749</f>
        <v/>
      </c>
      <c r="Y906" s="4">
        <f t="shared" ref="Y906:AD906" si="905">if(S906&gt;0,1,0)</f>
        <v>0</v>
      </c>
      <c r="Z906" s="4">
        <f t="shared" si="905"/>
        <v>0</v>
      </c>
      <c r="AA906" s="4">
        <f t="shared" si="905"/>
        <v>0</v>
      </c>
      <c r="AB906" s="4">
        <f t="shared" si="905"/>
        <v>0</v>
      </c>
      <c r="AC906" s="4">
        <f t="shared" si="905"/>
        <v>0</v>
      </c>
      <c r="AD906" s="4">
        <f t="shared" si="905"/>
        <v>0</v>
      </c>
      <c r="AE906" s="4" t="str">
        <f>'Form responses 1'!AN1749</f>
        <v/>
      </c>
      <c r="AF906" s="4" t="str">
        <f>'Form responses 1'!AO2030</f>
        <v/>
      </c>
      <c r="AG906" s="4" t="str">
        <f>'Form responses 1'!AP2030</f>
        <v/>
      </c>
      <c r="AH906" s="4" t="str">
        <f>'Form responses 1'!AQ2030</f>
        <v/>
      </c>
      <c r="AI906" s="4" t="str">
        <f>'Form responses 1'!AR2030</f>
        <v/>
      </c>
    </row>
    <row r="907">
      <c r="A907" s="26" t="str">
        <f>'Form responses 1'!B1750</f>
        <v/>
      </c>
      <c r="B907" s="4" t="str">
        <f>'Form responses 1'!AZ1750</f>
        <v/>
      </c>
      <c r="C907" s="4" t="str">
        <f>'Form responses 1'!BR1750</f>
        <v/>
      </c>
      <c r="D907" s="4" t="str">
        <f>'Form responses 1'!AT1750</f>
        <v/>
      </c>
      <c r="E907" s="4" t="str">
        <f>'Form responses 1'!AU1750</f>
        <v/>
      </c>
      <c r="F907" s="4" t="str">
        <f>'Form responses 1'!AX1750</f>
        <v/>
      </c>
      <c r="G907" s="4" t="str">
        <f>'Form responses 1'!AY1750</f>
        <v/>
      </c>
      <c r="H907" s="53" t="str">
        <f>'Form responses 1'!AW1750</f>
        <v/>
      </c>
      <c r="I907" s="4" t="str">
        <f>'Form responses 1'!AS1750</f>
        <v/>
      </c>
      <c r="J907" s="4" t="str">
        <f>'Form responses 1'!J1750</f>
        <v/>
      </c>
      <c r="K907" s="4" t="str">
        <f>'Form responses 1'!G1750</f>
        <v/>
      </c>
      <c r="L907" s="4" t="str">
        <f>'Form responses 1'!F1750</f>
        <v/>
      </c>
      <c r="M907" s="4" t="str">
        <f>'Form responses 1'!U1750</f>
        <v/>
      </c>
      <c r="N907" s="4" t="str">
        <f>'Form responses 1'!V1750</f>
        <v/>
      </c>
      <c r="O907" s="4" t="str">
        <f>'Form responses 1'!W1750</f>
        <v/>
      </c>
      <c r="P907" s="4" t="str">
        <f>'Form responses 1'!X1750</f>
        <v/>
      </c>
      <c r="Q907" s="4" t="str">
        <f>'Form responses 1'!Y1750</f>
        <v/>
      </c>
      <c r="R907" s="4" t="str">
        <f>'Form responses 1'!Z1750</f>
        <v/>
      </c>
      <c r="S907" s="4" t="str">
        <f>'Form responses 1'!AC1750</f>
        <v/>
      </c>
      <c r="T907" s="4" t="str">
        <f>'Form responses 1'!AE1750</f>
        <v/>
      </c>
      <c r="U907" s="4" t="str">
        <f>'Form responses 1'!AG1750</f>
        <v/>
      </c>
      <c r="V907" s="4" t="str">
        <f>'Form responses 1'!AI1750</f>
        <v/>
      </c>
      <c r="W907" s="4" t="str">
        <f>'Form responses 1'!AJ1750</f>
        <v/>
      </c>
      <c r="X907" s="4" t="str">
        <f>'Form responses 1'!AK1750</f>
        <v/>
      </c>
      <c r="Y907" s="4">
        <f t="shared" ref="Y907:AD907" si="906">if(S907&gt;0,1,0)</f>
        <v>0</v>
      </c>
      <c r="Z907" s="4">
        <f t="shared" si="906"/>
        <v>0</v>
      </c>
      <c r="AA907" s="4">
        <f t="shared" si="906"/>
        <v>0</v>
      </c>
      <c r="AB907" s="4">
        <f t="shared" si="906"/>
        <v>0</v>
      </c>
      <c r="AC907" s="4">
        <f t="shared" si="906"/>
        <v>0</v>
      </c>
      <c r="AD907" s="4">
        <f t="shared" si="906"/>
        <v>0</v>
      </c>
      <c r="AE907" s="4" t="str">
        <f>'Form responses 1'!AN1750</f>
        <v/>
      </c>
      <c r="AF907" s="4" t="str">
        <f>'Form responses 1'!AO2031</f>
        <v/>
      </c>
      <c r="AG907" s="4" t="str">
        <f>'Form responses 1'!AP2031</f>
        <v/>
      </c>
      <c r="AH907" s="4" t="str">
        <f>'Form responses 1'!AQ2031</f>
        <v/>
      </c>
      <c r="AI907" s="4" t="str">
        <f>'Form responses 1'!AR2031</f>
        <v/>
      </c>
    </row>
    <row r="908">
      <c r="A908" s="26" t="str">
        <f>'Form responses 1'!B1751</f>
        <v/>
      </c>
      <c r="B908" s="4" t="str">
        <f>'Form responses 1'!AZ1751</f>
        <v/>
      </c>
      <c r="C908" s="4" t="str">
        <f>'Form responses 1'!BR1751</f>
        <v/>
      </c>
      <c r="D908" s="4" t="str">
        <f>'Form responses 1'!AT1751</f>
        <v/>
      </c>
      <c r="E908" s="4" t="str">
        <f>'Form responses 1'!AU1751</f>
        <v/>
      </c>
      <c r="F908" s="4" t="str">
        <f>'Form responses 1'!AX1751</f>
        <v/>
      </c>
      <c r="G908" s="4" t="str">
        <f>'Form responses 1'!AY1751</f>
        <v/>
      </c>
      <c r="H908" s="53" t="str">
        <f>'Form responses 1'!AW1751</f>
        <v/>
      </c>
      <c r="I908" s="4" t="str">
        <f>'Form responses 1'!AS1751</f>
        <v/>
      </c>
      <c r="J908" s="4" t="str">
        <f>'Form responses 1'!J1751</f>
        <v/>
      </c>
      <c r="K908" s="4" t="str">
        <f>'Form responses 1'!G1751</f>
        <v/>
      </c>
      <c r="L908" s="4" t="str">
        <f>'Form responses 1'!F1751</f>
        <v/>
      </c>
      <c r="M908" s="4" t="str">
        <f>'Form responses 1'!U1751</f>
        <v/>
      </c>
      <c r="N908" s="4" t="str">
        <f>'Form responses 1'!V1751</f>
        <v/>
      </c>
      <c r="O908" s="4" t="str">
        <f>'Form responses 1'!W1751</f>
        <v/>
      </c>
      <c r="P908" s="4" t="str">
        <f>'Form responses 1'!X1751</f>
        <v/>
      </c>
      <c r="Q908" s="4" t="str">
        <f>'Form responses 1'!Y1751</f>
        <v/>
      </c>
      <c r="R908" s="4" t="str">
        <f>'Form responses 1'!Z1751</f>
        <v/>
      </c>
      <c r="S908" s="4" t="str">
        <f>'Form responses 1'!AC1751</f>
        <v/>
      </c>
      <c r="T908" s="4" t="str">
        <f>'Form responses 1'!AE1751</f>
        <v/>
      </c>
      <c r="U908" s="4" t="str">
        <f>'Form responses 1'!AG1751</f>
        <v/>
      </c>
      <c r="V908" s="4" t="str">
        <f>'Form responses 1'!AI1751</f>
        <v/>
      </c>
      <c r="W908" s="4" t="str">
        <f>'Form responses 1'!AJ1751</f>
        <v/>
      </c>
      <c r="X908" s="4" t="str">
        <f>'Form responses 1'!AK1751</f>
        <v/>
      </c>
      <c r="Y908" s="4">
        <f t="shared" ref="Y908:AD908" si="907">if(S908&gt;0,1,0)</f>
        <v>0</v>
      </c>
      <c r="Z908" s="4">
        <f t="shared" si="907"/>
        <v>0</v>
      </c>
      <c r="AA908" s="4">
        <f t="shared" si="907"/>
        <v>0</v>
      </c>
      <c r="AB908" s="4">
        <f t="shared" si="907"/>
        <v>0</v>
      </c>
      <c r="AC908" s="4">
        <f t="shared" si="907"/>
        <v>0</v>
      </c>
      <c r="AD908" s="4">
        <f t="shared" si="907"/>
        <v>0</v>
      </c>
      <c r="AE908" s="4" t="str">
        <f>'Form responses 1'!AN1751</f>
        <v/>
      </c>
      <c r="AF908" s="4" t="str">
        <f>'Form responses 1'!AO2032</f>
        <v/>
      </c>
      <c r="AG908" s="4" t="str">
        <f>'Form responses 1'!AP2032</f>
        <v/>
      </c>
      <c r="AH908" s="4" t="str">
        <f>'Form responses 1'!AQ2032</f>
        <v/>
      </c>
      <c r="AI908" s="4" t="str">
        <f>'Form responses 1'!AR2032</f>
        <v/>
      </c>
    </row>
    <row r="909">
      <c r="A909" s="26" t="str">
        <f>'Form responses 1'!B1752</f>
        <v/>
      </c>
      <c r="B909" s="4" t="str">
        <f>'Form responses 1'!AZ1752</f>
        <v/>
      </c>
      <c r="C909" s="4" t="str">
        <f>'Form responses 1'!BR1752</f>
        <v/>
      </c>
      <c r="D909" s="4" t="str">
        <f>'Form responses 1'!AT1752</f>
        <v/>
      </c>
      <c r="E909" s="4" t="str">
        <f>'Form responses 1'!AU1752</f>
        <v/>
      </c>
      <c r="F909" s="4" t="str">
        <f>'Form responses 1'!AX1752</f>
        <v/>
      </c>
      <c r="G909" s="4" t="str">
        <f>'Form responses 1'!AY1752</f>
        <v/>
      </c>
      <c r="H909" s="53" t="str">
        <f>'Form responses 1'!AW1752</f>
        <v/>
      </c>
      <c r="I909" s="4" t="str">
        <f>'Form responses 1'!AS1752</f>
        <v/>
      </c>
      <c r="J909" s="4" t="str">
        <f>'Form responses 1'!J1752</f>
        <v/>
      </c>
      <c r="K909" s="4" t="str">
        <f>'Form responses 1'!G1752</f>
        <v/>
      </c>
      <c r="L909" s="4" t="str">
        <f>'Form responses 1'!F1752</f>
        <v/>
      </c>
      <c r="M909" s="4" t="str">
        <f>'Form responses 1'!U1752</f>
        <v/>
      </c>
      <c r="N909" s="4" t="str">
        <f>'Form responses 1'!V1752</f>
        <v/>
      </c>
      <c r="O909" s="4" t="str">
        <f>'Form responses 1'!W1752</f>
        <v/>
      </c>
      <c r="P909" s="4" t="str">
        <f>'Form responses 1'!X1752</f>
        <v/>
      </c>
      <c r="Q909" s="4" t="str">
        <f>'Form responses 1'!Y1752</f>
        <v/>
      </c>
      <c r="R909" s="4" t="str">
        <f>'Form responses 1'!Z1752</f>
        <v/>
      </c>
      <c r="S909" s="4" t="str">
        <f>'Form responses 1'!AC1752</f>
        <v/>
      </c>
      <c r="T909" s="4" t="str">
        <f>'Form responses 1'!AE1752</f>
        <v/>
      </c>
      <c r="U909" s="4" t="str">
        <f>'Form responses 1'!AG1752</f>
        <v/>
      </c>
      <c r="V909" s="4" t="str">
        <f>'Form responses 1'!AI1752</f>
        <v/>
      </c>
      <c r="W909" s="4" t="str">
        <f>'Form responses 1'!AJ1752</f>
        <v/>
      </c>
      <c r="X909" s="4" t="str">
        <f>'Form responses 1'!AK1752</f>
        <v/>
      </c>
      <c r="Y909" s="4">
        <f t="shared" ref="Y909:AD909" si="908">if(S909&gt;0,1,0)</f>
        <v>0</v>
      </c>
      <c r="Z909" s="4">
        <f t="shared" si="908"/>
        <v>0</v>
      </c>
      <c r="AA909" s="4">
        <f t="shared" si="908"/>
        <v>0</v>
      </c>
      <c r="AB909" s="4">
        <f t="shared" si="908"/>
        <v>0</v>
      </c>
      <c r="AC909" s="4">
        <f t="shared" si="908"/>
        <v>0</v>
      </c>
      <c r="AD909" s="4">
        <f t="shared" si="908"/>
        <v>0</v>
      </c>
      <c r="AE909" s="4" t="str">
        <f>'Form responses 1'!AN1752</f>
        <v/>
      </c>
      <c r="AF909" s="4" t="str">
        <f>'Form responses 1'!AO2033</f>
        <v/>
      </c>
      <c r="AG909" s="4" t="str">
        <f>'Form responses 1'!AP2033</f>
        <v/>
      </c>
      <c r="AH909" s="4" t="str">
        <f>'Form responses 1'!AQ2033</f>
        <v/>
      </c>
      <c r="AI909" s="4" t="str">
        <f>'Form responses 1'!AR2033</f>
        <v/>
      </c>
    </row>
    <row r="910">
      <c r="A910" s="26" t="str">
        <f>'Form responses 1'!B1753</f>
        <v/>
      </c>
      <c r="B910" s="4" t="str">
        <f>'Form responses 1'!AZ1753</f>
        <v/>
      </c>
      <c r="C910" s="4" t="str">
        <f>'Form responses 1'!BR1753</f>
        <v/>
      </c>
      <c r="D910" s="4" t="str">
        <f>'Form responses 1'!AT1753</f>
        <v/>
      </c>
      <c r="E910" s="4" t="str">
        <f>'Form responses 1'!AU1753</f>
        <v/>
      </c>
      <c r="F910" s="4" t="str">
        <f>'Form responses 1'!AX1753</f>
        <v/>
      </c>
      <c r="G910" s="4" t="str">
        <f>'Form responses 1'!AY1753</f>
        <v/>
      </c>
      <c r="H910" s="53" t="str">
        <f>'Form responses 1'!AW1753</f>
        <v/>
      </c>
      <c r="I910" s="4" t="str">
        <f>'Form responses 1'!AS1753</f>
        <v/>
      </c>
      <c r="J910" s="4" t="str">
        <f>'Form responses 1'!J1753</f>
        <v/>
      </c>
      <c r="K910" s="4" t="str">
        <f>'Form responses 1'!G1753</f>
        <v/>
      </c>
      <c r="L910" s="4" t="str">
        <f>'Form responses 1'!F1753</f>
        <v/>
      </c>
      <c r="M910" s="4" t="str">
        <f>'Form responses 1'!U1753</f>
        <v/>
      </c>
      <c r="N910" s="4" t="str">
        <f>'Form responses 1'!V1753</f>
        <v/>
      </c>
      <c r="O910" s="4" t="str">
        <f>'Form responses 1'!W1753</f>
        <v/>
      </c>
      <c r="P910" s="4" t="str">
        <f>'Form responses 1'!X1753</f>
        <v/>
      </c>
      <c r="Q910" s="4" t="str">
        <f>'Form responses 1'!Y1753</f>
        <v/>
      </c>
      <c r="R910" s="4" t="str">
        <f>'Form responses 1'!Z1753</f>
        <v/>
      </c>
      <c r="S910" s="4" t="str">
        <f>'Form responses 1'!AC1753</f>
        <v/>
      </c>
      <c r="T910" s="4" t="str">
        <f>'Form responses 1'!AE1753</f>
        <v/>
      </c>
      <c r="U910" s="4" t="str">
        <f>'Form responses 1'!AG1753</f>
        <v/>
      </c>
      <c r="V910" s="4" t="str">
        <f>'Form responses 1'!AI1753</f>
        <v/>
      </c>
      <c r="W910" s="4" t="str">
        <f>'Form responses 1'!AJ1753</f>
        <v/>
      </c>
      <c r="X910" s="4" t="str">
        <f>'Form responses 1'!AK1753</f>
        <v/>
      </c>
      <c r="Y910" s="4">
        <f t="shared" ref="Y910:AD910" si="909">if(S910&gt;0,1,0)</f>
        <v>0</v>
      </c>
      <c r="Z910" s="4">
        <f t="shared" si="909"/>
        <v>0</v>
      </c>
      <c r="AA910" s="4">
        <f t="shared" si="909"/>
        <v>0</v>
      </c>
      <c r="AB910" s="4">
        <f t="shared" si="909"/>
        <v>0</v>
      </c>
      <c r="AC910" s="4">
        <f t="shared" si="909"/>
        <v>0</v>
      </c>
      <c r="AD910" s="4">
        <f t="shared" si="909"/>
        <v>0</v>
      </c>
      <c r="AE910" s="4" t="str">
        <f>'Form responses 1'!AN1753</f>
        <v/>
      </c>
      <c r="AF910" s="4" t="str">
        <f>'Form responses 1'!AO2034</f>
        <v/>
      </c>
      <c r="AG910" s="4" t="str">
        <f>'Form responses 1'!AP2034</f>
        <v/>
      </c>
      <c r="AH910" s="4" t="str">
        <f>'Form responses 1'!AQ2034</f>
        <v/>
      </c>
      <c r="AI910" s="4" t="str">
        <f>'Form responses 1'!AR2034</f>
        <v/>
      </c>
    </row>
    <row r="911">
      <c r="A911" s="26" t="str">
        <f>'Form responses 1'!B1754</f>
        <v/>
      </c>
      <c r="B911" s="4" t="str">
        <f>'Form responses 1'!AZ1754</f>
        <v/>
      </c>
      <c r="C911" s="4" t="str">
        <f>'Form responses 1'!BR1754</f>
        <v/>
      </c>
      <c r="D911" s="4" t="str">
        <f>'Form responses 1'!AT1754</f>
        <v/>
      </c>
      <c r="E911" s="4" t="str">
        <f>'Form responses 1'!AU1754</f>
        <v/>
      </c>
      <c r="F911" s="4" t="str">
        <f>'Form responses 1'!AX1754</f>
        <v/>
      </c>
      <c r="G911" s="4" t="str">
        <f>'Form responses 1'!AY1754</f>
        <v/>
      </c>
      <c r="H911" s="53" t="str">
        <f>'Form responses 1'!AW1754</f>
        <v/>
      </c>
      <c r="I911" s="4" t="str">
        <f>'Form responses 1'!AS1754</f>
        <v/>
      </c>
      <c r="J911" s="4" t="str">
        <f>'Form responses 1'!J1754</f>
        <v/>
      </c>
      <c r="K911" s="4" t="str">
        <f>'Form responses 1'!G1754</f>
        <v/>
      </c>
      <c r="L911" s="4" t="str">
        <f>'Form responses 1'!F1754</f>
        <v/>
      </c>
      <c r="M911" s="4" t="str">
        <f>'Form responses 1'!U1754</f>
        <v/>
      </c>
      <c r="N911" s="4" t="str">
        <f>'Form responses 1'!V1754</f>
        <v/>
      </c>
      <c r="O911" s="4" t="str">
        <f>'Form responses 1'!W1754</f>
        <v/>
      </c>
      <c r="P911" s="4" t="str">
        <f>'Form responses 1'!X1754</f>
        <v/>
      </c>
      <c r="Q911" s="4" t="str">
        <f>'Form responses 1'!Y1754</f>
        <v/>
      </c>
      <c r="R911" s="4" t="str">
        <f>'Form responses 1'!Z1754</f>
        <v/>
      </c>
      <c r="S911" s="4" t="str">
        <f>'Form responses 1'!AC1754</f>
        <v/>
      </c>
      <c r="T911" s="4" t="str">
        <f>'Form responses 1'!AE1754</f>
        <v/>
      </c>
      <c r="U911" s="4" t="str">
        <f>'Form responses 1'!AG1754</f>
        <v/>
      </c>
      <c r="V911" s="4" t="str">
        <f>'Form responses 1'!AI1754</f>
        <v/>
      </c>
      <c r="W911" s="4" t="str">
        <f>'Form responses 1'!AJ1754</f>
        <v/>
      </c>
      <c r="X911" s="4" t="str">
        <f>'Form responses 1'!AK1754</f>
        <v/>
      </c>
      <c r="Y911" s="4">
        <f t="shared" ref="Y911:AD911" si="910">if(S911&gt;0,1,0)</f>
        <v>0</v>
      </c>
      <c r="Z911" s="4">
        <f t="shared" si="910"/>
        <v>0</v>
      </c>
      <c r="AA911" s="4">
        <f t="shared" si="910"/>
        <v>0</v>
      </c>
      <c r="AB911" s="4">
        <f t="shared" si="910"/>
        <v>0</v>
      </c>
      <c r="AC911" s="4">
        <f t="shared" si="910"/>
        <v>0</v>
      </c>
      <c r="AD911" s="4">
        <f t="shared" si="910"/>
        <v>0</v>
      </c>
      <c r="AE911" s="4" t="str">
        <f>'Form responses 1'!AN1754</f>
        <v/>
      </c>
      <c r="AF911" s="4" t="str">
        <f>'Form responses 1'!AO2035</f>
        <v/>
      </c>
      <c r="AG911" s="4" t="str">
        <f>'Form responses 1'!AP2035</f>
        <v/>
      </c>
      <c r="AH911" s="4" t="str">
        <f>'Form responses 1'!AQ2035</f>
        <v/>
      </c>
      <c r="AI911" s="4" t="str">
        <f>'Form responses 1'!AR2035</f>
        <v/>
      </c>
    </row>
    <row r="912">
      <c r="A912" s="26" t="str">
        <f>'Form responses 1'!B1755</f>
        <v/>
      </c>
      <c r="B912" s="4" t="str">
        <f>'Form responses 1'!AZ1755</f>
        <v/>
      </c>
      <c r="C912" s="4" t="str">
        <f>'Form responses 1'!BR1755</f>
        <v/>
      </c>
      <c r="D912" s="4" t="str">
        <f>'Form responses 1'!AT1755</f>
        <v/>
      </c>
      <c r="E912" s="4" t="str">
        <f>'Form responses 1'!AU1755</f>
        <v/>
      </c>
      <c r="F912" s="4" t="str">
        <f>'Form responses 1'!AX1755</f>
        <v/>
      </c>
      <c r="G912" s="4" t="str">
        <f>'Form responses 1'!AY1755</f>
        <v/>
      </c>
      <c r="H912" s="53" t="str">
        <f>'Form responses 1'!AW1755</f>
        <v/>
      </c>
      <c r="I912" s="4" t="str">
        <f>'Form responses 1'!AS1755</f>
        <v/>
      </c>
      <c r="J912" s="4" t="str">
        <f>'Form responses 1'!J1755</f>
        <v/>
      </c>
      <c r="K912" s="4" t="str">
        <f>'Form responses 1'!G1755</f>
        <v/>
      </c>
      <c r="L912" s="4" t="str">
        <f>'Form responses 1'!F1755</f>
        <v/>
      </c>
      <c r="M912" s="4" t="str">
        <f>'Form responses 1'!U1755</f>
        <v/>
      </c>
      <c r="N912" s="4" t="str">
        <f>'Form responses 1'!V1755</f>
        <v/>
      </c>
      <c r="O912" s="4" t="str">
        <f>'Form responses 1'!W1755</f>
        <v/>
      </c>
      <c r="P912" s="4" t="str">
        <f>'Form responses 1'!X1755</f>
        <v/>
      </c>
      <c r="Q912" s="4" t="str">
        <f>'Form responses 1'!Y1755</f>
        <v/>
      </c>
      <c r="R912" s="4" t="str">
        <f>'Form responses 1'!Z1755</f>
        <v/>
      </c>
      <c r="S912" s="4" t="str">
        <f>'Form responses 1'!AC1755</f>
        <v/>
      </c>
      <c r="T912" s="4" t="str">
        <f>'Form responses 1'!AE1755</f>
        <v/>
      </c>
      <c r="U912" s="4" t="str">
        <f>'Form responses 1'!AG1755</f>
        <v/>
      </c>
      <c r="V912" s="4" t="str">
        <f>'Form responses 1'!AI1755</f>
        <v/>
      </c>
      <c r="W912" s="4" t="str">
        <f>'Form responses 1'!AJ1755</f>
        <v/>
      </c>
      <c r="X912" s="4" t="str">
        <f>'Form responses 1'!AK1755</f>
        <v/>
      </c>
      <c r="Y912" s="4">
        <f t="shared" ref="Y912:AD912" si="911">if(S912&gt;0,1,0)</f>
        <v>0</v>
      </c>
      <c r="Z912" s="4">
        <f t="shared" si="911"/>
        <v>0</v>
      </c>
      <c r="AA912" s="4">
        <f t="shared" si="911"/>
        <v>0</v>
      </c>
      <c r="AB912" s="4">
        <f t="shared" si="911"/>
        <v>0</v>
      </c>
      <c r="AC912" s="4">
        <f t="shared" si="911"/>
        <v>0</v>
      </c>
      <c r="AD912" s="4">
        <f t="shared" si="911"/>
        <v>0</v>
      </c>
      <c r="AE912" s="4" t="str">
        <f>'Form responses 1'!AN1755</f>
        <v/>
      </c>
      <c r="AF912" s="4" t="str">
        <f>'Form responses 1'!AO2036</f>
        <v/>
      </c>
      <c r="AG912" s="4" t="str">
        <f>'Form responses 1'!AP2036</f>
        <v/>
      </c>
      <c r="AH912" s="4" t="str">
        <f>'Form responses 1'!AQ2036</f>
        <v/>
      </c>
      <c r="AI912" s="4" t="str">
        <f>'Form responses 1'!AR2036</f>
        <v/>
      </c>
    </row>
    <row r="913">
      <c r="A913" s="26" t="str">
        <f>'Form responses 1'!B1756</f>
        <v/>
      </c>
      <c r="B913" s="4" t="str">
        <f>'Form responses 1'!AZ1756</f>
        <v/>
      </c>
      <c r="C913" s="4" t="str">
        <f>'Form responses 1'!BR1756</f>
        <v/>
      </c>
      <c r="D913" s="4" t="str">
        <f>'Form responses 1'!AT1756</f>
        <v/>
      </c>
      <c r="E913" s="4" t="str">
        <f>'Form responses 1'!AU1756</f>
        <v/>
      </c>
      <c r="F913" s="4" t="str">
        <f>'Form responses 1'!AX1756</f>
        <v/>
      </c>
      <c r="G913" s="4" t="str">
        <f>'Form responses 1'!AY1756</f>
        <v/>
      </c>
      <c r="H913" s="53" t="str">
        <f>'Form responses 1'!AW1756</f>
        <v/>
      </c>
      <c r="I913" s="4" t="str">
        <f>'Form responses 1'!AS1756</f>
        <v/>
      </c>
      <c r="J913" s="4" t="str">
        <f>'Form responses 1'!J1756</f>
        <v/>
      </c>
      <c r="K913" s="4" t="str">
        <f>'Form responses 1'!G1756</f>
        <v/>
      </c>
      <c r="L913" s="4" t="str">
        <f>'Form responses 1'!F1756</f>
        <v/>
      </c>
      <c r="M913" s="4" t="str">
        <f>'Form responses 1'!U1756</f>
        <v/>
      </c>
      <c r="N913" s="4" t="str">
        <f>'Form responses 1'!V1756</f>
        <v/>
      </c>
      <c r="O913" s="4" t="str">
        <f>'Form responses 1'!W1756</f>
        <v/>
      </c>
      <c r="P913" s="4" t="str">
        <f>'Form responses 1'!X1756</f>
        <v/>
      </c>
      <c r="Q913" s="4" t="str">
        <f>'Form responses 1'!Y1756</f>
        <v/>
      </c>
      <c r="R913" s="4" t="str">
        <f>'Form responses 1'!Z1756</f>
        <v/>
      </c>
      <c r="S913" s="4" t="str">
        <f>'Form responses 1'!AC1756</f>
        <v/>
      </c>
      <c r="T913" s="4" t="str">
        <f>'Form responses 1'!AE1756</f>
        <v/>
      </c>
      <c r="U913" s="4" t="str">
        <f>'Form responses 1'!AG1756</f>
        <v/>
      </c>
      <c r="V913" s="4" t="str">
        <f>'Form responses 1'!AI1756</f>
        <v/>
      </c>
      <c r="W913" s="4" t="str">
        <f>'Form responses 1'!AJ1756</f>
        <v/>
      </c>
      <c r="X913" s="4" t="str">
        <f>'Form responses 1'!AK1756</f>
        <v/>
      </c>
      <c r="Y913" s="4">
        <f t="shared" ref="Y913:AD913" si="912">if(S913&gt;0,1,0)</f>
        <v>0</v>
      </c>
      <c r="Z913" s="4">
        <f t="shared" si="912"/>
        <v>0</v>
      </c>
      <c r="AA913" s="4">
        <f t="shared" si="912"/>
        <v>0</v>
      </c>
      <c r="AB913" s="4">
        <f t="shared" si="912"/>
        <v>0</v>
      </c>
      <c r="AC913" s="4">
        <f t="shared" si="912"/>
        <v>0</v>
      </c>
      <c r="AD913" s="4">
        <f t="shared" si="912"/>
        <v>0</v>
      </c>
      <c r="AE913" s="4" t="str">
        <f>'Form responses 1'!AN1756</f>
        <v/>
      </c>
      <c r="AF913" s="4" t="str">
        <f>'Form responses 1'!AO2037</f>
        <v/>
      </c>
      <c r="AG913" s="4" t="str">
        <f>'Form responses 1'!AP2037</f>
        <v/>
      </c>
      <c r="AH913" s="4" t="str">
        <f>'Form responses 1'!AQ2037</f>
        <v/>
      </c>
      <c r="AI913" s="4" t="str">
        <f>'Form responses 1'!AR2037</f>
        <v/>
      </c>
    </row>
    <row r="914">
      <c r="A914" s="26" t="str">
        <f>'Form responses 1'!B1757</f>
        <v/>
      </c>
      <c r="B914" s="4" t="str">
        <f>'Form responses 1'!AZ1757</f>
        <v/>
      </c>
      <c r="C914" s="4" t="str">
        <f>'Form responses 1'!BR1757</f>
        <v/>
      </c>
      <c r="D914" s="4" t="str">
        <f>'Form responses 1'!AT1757</f>
        <v/>
      </c>
      <c r="E914" s="4" t="str">
        <f>'Form responses 1'!AU1757</f>
        <v/>
      </c>
      <c r="F914" s="4" t="str">
        <f>'Form responses 1'!AX1757</f>
        <v/>
      </c>
      <c r="G914" s="4" t="str">
        <f>'Form responses 1'!AY1757</f>
        <v/>
      </c>
      <c r="H914" s="53" t="str">
        <f>'Form responses 1'!AW1757</f>
        <v/>
      </c>
      <c r="I914" s="4" t="str">
        <f>'Form responses 1'!AS1757</f>
        <v/>
      </c>
      <c r="J914" s="4" t="str">
        <f>'Form responses 1'!J1757</f>
        <v/>
      </c>
      <c r="K914" s="4" t="str">
        <f>'Form responses 1'!G1757</f>
        <v/>
      </c>
      <c r="L914" s="4" t="str">
        <f>'Form responses 1'!F1757</f>
        <v/>
      </c>
      <c r="M914" s="4" t="str">
        <f>'Form responses 1'!U1757</f>
        <v/>
      </c>
      <c r="N914" s="4" t="str">
        <f>'Form responses 1'!V1757</f>
        <v/>
      </c>
      <c r="O914" s="4" t="str">
        <f>'Form responses 1'!W1757</f>
        <v/>
      </c>
      <c r="P914" s="4" t="str">
        <f>'Form responses 1'!X1757</f>
        <v/>
      </c>
      <c r="Q914" s="4" t="str">
        <f>'Form responses 1'!Y1757</f>
        <v/>
      </c>
      <c r="R914" s="4" t="str">
        <f>'Form responses 1'!Z1757</f>
        <v/>
      </c>
      <c r="S914" s="4" t="str">
        <f>'Form responses 1'!AC1757</f>
        <v/>
      </c>
      <c r="T914" s="4" t="str">
        <f>'Form responses 1'!AE1757</f>
        <v/>
      </c>
      <c r="U914" s="4" t="str">
        <f>'Form responses 1'!AG1757</f>
        <v/>
      </c>
      <c r="V914" s="4" t="str">
        <f>'Form responses 1'!AI1757</f>
        <v/>
      </c>
      <c r="W914" s="4" t="str">
        <f>'Form responses 1'!AJ1757</f>
        <v/>
      </c>
      <c r="X914" s="4" t="str">
        <f>'Form responses 1'!AK1757</f>
        <v/>
      </c>
      <c r="Y914" s="4">
        <f t="shared" ref="Y914:AD914" si="913">if(S914&gt;0,1,0)</f>
        <v>0</v>
      </c>
      <c r="Z914" s="4">
        <f t="shared" si="913"/>
        <v>0</v>
      </c>
      <c r="AA914" s="4">
        <f t="shared" si="913"/>
        <v>0</v>
      </c>
      <c r="AB914" s="4">
        <f t="shared" si="913"/>
        <v>0</v>
      </c>
      <c r="AC914" s="4">
        <f t="shared" si="913"/>
        <v>0</v>
      </c>
      <c r="AD914" s="4">
        <f t="shared" si="913"/>
        <v>0</v>
      </c>
      <c r="AE914" s="4" t="str">
        <f>'Form responses 1'!AN1757</f>
        <v/>
      </c>
      <c r="AF914" s="4" t="str">
        <f>'Form responses 1'!AO2038</f>
        <v/>
      </c>
      <c r="AG914" s="4" t="str">
        <f>'Form responses 1'!AP2038</f>
        <v/>
      </c>
      <c r="AH914" s="4" t="str">
        <f>'Form responses 1'!AQ2038</f>
        <v/>
      </c>
      <c r="AI914" s="4" t="str">
        <f>'Form responses 1'!AR2038</f>
        <v/>
      </c>
    </row>
    <row r="915">
      <c r="A915" s="26" t="str">
        <f>'Form responses 1'!B1758</f>
        <v/>
      </c>
      <c r="B915" s="4" t="str">
        <f>'Form responses 1'!AZ1758</f>
        <v/>
      </c>
      <c r="C915" s="4" t="str">
        <f>'Form responses 1'!BR1758</f>
        <v/>
      </c>
      <c r="D915" s="4" t="str">
        <f>'Form responses 1'!AT1758</f>
        <v/>
      </c>
      <c r="E915" s="4" t="str">
        <f>'Form responses 1'!AU1758</f>
        <v/>
      </c>
      <c r="F915" s="4" t="str">
        <f>'Form responses 1'!AX1758</f>
        <v/>
      </c>
      <c r="G915" s="4" t="str">
        <f>'Form responses 1'!AY1758</f>
        <v/>
      </c>
      <c r="H915" s="53" t="str">
        <f>'Form responses 1'!AW1758</f>
        <v/>
      </c>
      <c r="I915" s="4" t="str">
        <f>'Form responses 1'!AS1758</f>
        <v/>
      </c>
      <c r="J915" s="4" t="str">
        <f>'Form responses 1'!J1758</f>
        <v/>
      </c>
      <c r="K915" s="4" t="str">
        <f>'Form responses 1'!G1758</f>
        <v/>
      </c>
      <c r="L915" s="4" t="str">
        <f>'Form responses 1'!F1758</f>
        <v/>
      </c>
      <c r="M915" s="4" t="str">
        <f>'Form responses 1'!U1758</f>
        <v/>
      </c>
      <c r="N915" s="4" t="str">
        <f>'Form responses 1'!V1758</f>
        <v/>
      </c>
      <c r="O915" s="4" t="str">
        <f>'Form responses 1'!W1758</f>
        <v/>
      </c>
      <c r="P915" s="4" t="str">
        <f>'Form responses 1'!X1758</f>
        <v/>
      </c>
      <c r="Q915" s="4" t="str">
        <f>'Form responses 1'!Y1758</f>
        <v/>
      </c>
      <c r="R915" s="4" t="str">
        <f>'Form responses 1'!Z1758</f>
        <v/>
      </c>
      <c r="S915" s="4" t="str">
        <f>'Form responses 1'!AC1758</f>
        <v/>
      </c>
      <c r="T915" s="4" t="str">
        <f>'Form responses 1'!AE1758</f>
        <v/>
      </c>
      <c r="U915" s="4" t="str">
        <f>'Form responses 1'!AG1758</f>
        <v/>
      </c>
      <c r="V915" s="4" t="str">
        <f>'Form responses 1'!AI1758</f>
        <v/>
      </c>
      <c r="W915" s="4" t="str">
        <f>'Form responses 1'!AJ1758</f>
        <v/>
      </c>
      <c r="X915" s="4" t="str">
        <f>'Form responses 1'!AK1758</f>
        <v/>
      </c>
      <c r="Y915" s="4">
        <f t="shared" ref="Y915:AD915" si="914">if(S915&gt;0,1,0)</f>
        <v>0</v>
      </c>
      <c r="Z915" s="4">
        <f t="shared" si="914"/>
        <v>0</v>
      </c>
      <c r="AA915" s="4">
        <f t="shared" si="914"/>
        <v>0</v>
      </c>
      <c r="AB915" s="4">
        <f t="shared" si="914"/>
        <v>0</v>
      </c>
      <c r="AC915" s="4">
        <f t="shared" si="914"/>
        <v>0</v>
      </c>
      <c r="AD915" s="4">
        <f t="shared" si="914"/>
        <v>0</v>
      </c>
      <c r="AE915" s="4" t="str">
        <f>'Form responses 1'!AN1758</f>
        <v/>
      </c>
      <c r="AF915" s="4" t="str">
        <f>'Form responses 1'!AO2039</f>
        <v/>
      </c>
      <c r="AG915" s="4" t="str">
        <f>'Form responses 1'!AP2039</f>
        <v/>
      </c>
      <c r="AH915" s="4" t="str">
        <f>'Form responses 1'!AQ2039</f>
        <v/>
      </c>
      <c r="AI915" s="4" t="str">
        <f>'Form responses 1'!AR2039</f>
        <v/>
      </c>
    </row>
    <row r="916">
      <c r="A916" s="26" t="str">
        <f>'Form responses 1'!B1759</f>
        <v/>
      </c>
      <c r="B916" s="4" t="str">
        <f>'Form responses 1'!AZ1759</f>
        <v/>
      </c>
      <c r="C916" s="4" t="str">
        <f>'Form responses 1'!BR1759</f>
        <v/>
      </c>
      <c r="D916" s="4" t="str">
        <f>'Form responses 1'!AT1759</f>
        <v/>
      </c>
      <c r="E916" s="4" t="str">
        <f>'Form responses 1'!AU1759</f>
        <v/>
      </c>
      <c r="F916" s="4" t="str">
        <f>'Form responses 1'!AX1759</f>
        <v/>
      </c>
      <c r="G916" s="4" t="str">
        <f>'Form responses 1'!AY1759</f>
        <v/>
      </c>
      <c r="H916" s="53" t="str">
        <f>'Form responses 1'!AW1759</f>
        <v/>
      </c>
      <c r="I916" s="4" t="str">
        <f>'Form responses 1'!AS1759</f>
        <v/>
      </c>
      <c r="J916" s="4" t="str">
        <f>'Form responses 1'!J1759</f>
        <v/>
      </c>
      <c r="K916" s="4" t="str">
        <f>'Form responses 1'!G1759</f>
        <v/>
      </c>
      <c r="L916" s="4" t="str">
        <f>'Form responses 1'!F1759</f>
        <v/>
      </c>
      <c r="M916" s="4" t="str">
        <f>'Form responses 1'!U1759</f>
        <v/>
      </c>
      <c r="N916" s="4" t="str">
        <f>'Form responses 1'!V1759</f>
        <v/>
      </c>
      <c r="O916" s="4" t="str">
        <f>'Form responses 1'!W1759</f>
        <v/>
      </c>
      <c r="P916" s="4" t="str">
        <f>'Form responses 1'!X1759</f>
        <v/>
      </c>
      <c r="Q916" s="4" t="str">
        <f>'Form responses 1'!Y1759</f>
        <v/>
      </c>
      <c r="R916" s="4" t="str">
        <f>'Form responses 1'!Z1759</f>
        <v/>
      </c>
      <c r="S916" s="4" t="str">
        <f>'Form responses 1'!AC1759</f>
        <v/>
      </c>
      <c r="T916" s="4" t="str">
        <f>'Form responses 1'!AE1759</f>
        <v/>
      </c>
      <c r="U916" s="4" t="str">
        <f>'Form responses 1'!AG1759</f>
        <v/>
      </c>
      <c r="V916" s="4" t="str">
        <f>'Form responses 1'!AI1759</f>
        <v/>
      </c>
      <c r="W916" s="4" t="str">
        <f>'Form responses 1'!AJ1759</f>
        <v/>
      </c>
      <c r="X916" s="4" t="str">
        <f>'Form responses 1'!AK1759</f>
        <v/>
      </c>
      <c r="Y916" s="4">
        <f t="shared" ref="Y916:AD916" si="915">if(S916&gt;0,1,0)</f>
        <v>0</v>
      </c>
      <c r="Z916" s="4">
        <f t="shared" si="915"/>
        <v>0</v>
      </c>
      <c r="AA916" s="4">
        <f t="shared" si="915"/>
        <v>0</v>
      </c>
      <c r="AB916" s="4">
        <f t="shared" si="915"/>
        <v>0</v>
      </c>
      <c r="AC916" s="4">
        <f t="shared" si="915"/>
        <v>0</v>
      </c>
      <c r="AD916" s="4">
        <f t="shared" si="915"/>
        <v>0</v>
      </c>
      <c r="AE916" s="4" t="str">
        <f>'Form responses 1'!AN1759</f>
        <v/>
      </c>
      <c r="AF916" s="4" t="str">
        <f>'Form responses 1'!AO2040</f>
        <v/>
      </c>
      <c r="AG916" s="4" t="str">
        <f>'Form responses 1'!AP2040</f>
        <v/>
      </c>
      <c r="AH916" s="4" t="str">
        <f>'Form responses 1'!AQ2040</f>
        <v/>
      </c>
      <c r="AI916" s="4" t="str">
        <f>'Form responses 1'!AR2040</f>
        <v/>
      </c>
    </row>
    <row r="917">
      <c r="A917" s="26" t="str">
        <f>'Form responses 1'!B1760</f>
        <v/>
      </c>
      <c r="B917" s="4" t="str">
        <f>'Form responses 1'!AZ1760</f>
        <v/>
      </c>
      <c r="C917" s="4" t="str">
        <f>'Form responses 1'!BR1760</f>
        <v/>
      </c>
      <c r="D917" s="4" t="str">
        <f>'Form responses 1'!AT1760</f>
        <v/>
      </c>
      <c r="E917" s="4" t="str">
        <f>'Form responses 1'!AU1760</f>
        <v/>
      </c>
      <c r="F917" s="4" t="str">
        <f>'Form responses 1'!AX1760</f>
        <v/>
      </c>
      <c r="G917" s="4" t="str">
        <f>'Form responses 1'!AY1760</f>
        <v/>
      </c>
      <c r="H917" s="53" t="str">
        <f>'Form responses 1'!AW1760</f>
        <v/>
      </c>
      <c r="I917" s="4" t="str">
        <f>'Form responses 1'!AS1760</f>
        <v/>
      </c>
      <c r="J917" s="4" t="str">
        <f>'Form responses 1'!J1760</f>
        <v/>
      </c>
      <c r="K917" s="4" t="str">
        <f>'Form responses 1'!G1760</f>
        <v/>
      </c>
      <c r="L917" s="4" t="str">
        <f>'Form responses 1'!F1760</f>
        <v/>
      </c>
      <c r="M917" s="4" t="str">
        <f>'Form responses 1'!U1760</f>
        <v/>
      </c>
      <c r="N917" s="4" t="str">
        <f>'Form responses 1'!V1760</f>
        <v/>
      </c>
      <c r="O917" s="4" t="str">
        <f>'Form responses 1'!W1760</f>
        <v/>
      </c>
      <c r="P917" s="4" t="str">
        <f>'Form responses 1'!X1760</f>
        <v/>
      </c>
      <c r="Q917" s="4" t="str">
        <f>'Form responses 1'!Y1760</f>
        <v/>
      </c>
      <c r="R917" s="4" t="str">
        <f>'Form responses 1'!Z1760</f>
        <v/>
      </c>
      <c r="S917" s="4" t="str">
        <f>'Form responses 1'!AC1760</f>
        <v/>
      </c>
      <c r="T917" s="4" t="str">
        <f>'Form responses 1'!AE1760</f>
        <v/>
      </c>
      <c r="U917" s="4" t="str">
        <f>'Form responses 1'!AG1760</f>
        <v/>
      </c>
      <c r="V917" s="4" t="str">
        <f>'Form responses 1'!AI1760</f>
        <v/>
      </c>
      <c r="W917" s="4" t="str">
        <f>'Form responses 1'!AJ1760</f>
        <v/>
      </c>
      <c r="X917" s="4" t="str">
        <f>'Form responses 1'!AK1760</f>
        <v/>
      </c>
      <c r="Y917" s="4">
        <f t="shared" ref="Y917:AD917" si="916">if(S917&gt;0,1,0)</f>
        <v>0</v>
      </c>
      <c r="Z917" s="4">
        <f t="shared" si="916"/>
        <v>0</v>
      </c>
      <c r="AA917" s="4">
        <f t="shared" si="916"/>
        <v>0</v>
      </c>
      <c r="AB917" s="4">
        <f t="shared" si="916"/>
        <v>0</v>
      </c>
      <c r="AC917" s="4">
        <f t="shared" si="916"/>
        <v>0</v>
      </c>
      <c r="AD917" s="4">
        <f t="shared" si="916"/>
        <v>0</v>
      </c>
      <c r="AE917" s="4" t="str">
        <f>'Form responses 1'!AN1760</f>
        <v/>
      </c>
      <c r="AF917" s="4" t="str">
        <f>'Form responses 1'!AO2041</f>
        <v/>
      </c>
      <c r="AG917" s="4" t="str">
        <f>'Form responses 1'!AP2041</f>
        <v/>
      </c>
      <c r="AH917" s="4" t="str">
        <f>'Form responses 1'!AQ2041</f>
        <v/>
      </c>
      <c r="AI917" s="4" t="str">
        <f>'Form responses 1'!AR2041</f>
        <v/>
      </c>
    </row>
    <row r="918">
      <c r="A918" s="26" t="str">
        <f>'Form responses 1'!B1761</f>
        <v/>
      </c>
      <c r="B918" s="4" t="str">
        <f>'Form responses 1'!AZ1761</f>
        <v/>
      </c>
      <c r="C918" s="4" t="str">
        <f>'Form responses 1'!BR1761</f>
        <v/>
      </c>
      <c r="D918" s="4" t="str">
        <f>'Form responses 1'!AT1761</f>
        <v/>
      </c>
      <c r="E918" s="4" t="str">
        <f>'Form responses 1'!AU1761</f>
        <v/>
      </c>
      <c r="F918" s="4" t="str">
        <f>'Form responses 1'!AX1761</f>
        <v/>
      </c>
      <c r="G918" s="4" t="str">
        <f>'Form responses 1'!AY1761</f>
        <v/>
      </c>
      <c r="H918" s="53" t="str">
        <f>'Form responses 1'!AW1761</f>
        <v/>
      </c>
      <c r="I918" s="4" t="str">
        <f>'Form responses 1'!AS1761</f>
        <v/>
      </c>
      <c r="J918" s="4" t="str">
        <f>'Form responses 1'!J1761</f>
        <v/>
      </c>
      <c r="K918" s="4" t="str">
        <f>'Form responses 1'!G1761</f>
        <v/>
      </c>
      <c r="L918" s="4" t="str">
        <f>'Form responses 1'!F1761</f>
        <v/>
      </c>
      <c r="M918" s="4" t="str">
        <f>'Form responses 1'!U1761</f>
        <v/>
      </c>
      <c r="N918" s="4" t="str">
        <f>'Form responses 1'!V1761</f>
        <v/>
      </c>
      <c r="O918" s="4" t="str">
        <f>'Form responses 1'!W1761</f>
        <v/>
      </c>
      <c r="P918" s="4" t="str">
        <f>'Form responses 1'!X1761</f>
        <v/>
      </c>
      <c r="Q918" s="4" t="str">
        <f>'Form responses 1'!Y1761</f>
        <v/>
      </c>
      <c r="R918" s="4" t="str">
        <f>'Form responses 1'!Z1761</f>
        <v/>
      </c>
      <c r="S918" s="4" t="str">
        <f>'Form responses 1'!AC1761</f>
        <v/>
      </c>
      <c r="T918" s="4" t="str">
        <f>'Form responses 1'!AE1761</f>
        <v/>
      </c>
      <c r="U918" s="4" t="str">
        <f>'Form responses 1'!AG1761</f>
        <v/>
      </c>
      <c r="V918" s="4" t="str">
        <f>'Form responses 1'!AI1761</f>
        <v/>
      </c>
      <c r="W918" s="4" t="str">
        <f>'Form responses 1'!AJ1761</f>
        <v/>
      </c>
      <c r="X918" s="4" t="str">
        <f>'Form responses 1'!AK1761</f>
        <v/>
      </c>
      <c r="Y918" s="4">
        <f t="shared" ref="Y918:AD918" si="917">if(S918&gt;0,1,0)</f>
        <v>0</v>
      </c>
      <c r="Z918" s="4">
        <f t="shared" si="917"/>
        <v>0</v>
      </c>
      <c r="AA918" s="4">
        <f t="shared" si="917"/>
        <v>0</v>
      </c>
      <c r="AB918" s="4">
        <f t="shared" si="917"/>
        <v>0</v>
      </c>
      <c r="AC918" s="4">
        <f t="shared" si="917"/>
        <v>0</v>
      </c>
      <c r="AD918" s="4">
        <f t="shared" si="917"/>
        <v>0</v>
      </c>
      <c r="AE918" s="4" t="str">
        <f>'Form responses 1'!AN1761</f>
        <v/>
      </c>
      <c r="AF918" s="4" t="str">
        <f>'Form responses 1'!AO2042</f>
        <v/>
      </c>
      <c r="AG918" s="4" t="str">
        <f>'Form responses 1'!AP2042</f>
        <v/>
      </c>
      <c r="AH918" s="4" t="str">
        <f>'Form responses 1'!AQ2042</f>
        <v/>
      </c>
      <c r="AI918" s="4" t="str">
        <f>'Form responses 1'!AR2042</f>
        <v/>
      </c>
    </row>
    <row r="919">
      <c r="A919" s="26" t="str">
        <f>'Form responses 1'!B1762</f>
        <v/>
      </c>
      <c r="B919" s="4" t="str">
        <f>'Form responses 1'!AZ1762</f>
        <v/>
      </c>
      <c r="C919" s="4" t="str">
        <f>'Form responses 1'!BR1762</f>
        <v/>
      </c>
      <c r="D919" s="4" t="str">
        <f>'Form responses 1'!AT1762</f>
        <v/>
      </c>
      <c r="E919" s="4" t="str">
        <f>'Form responses 1'!AU1762</f>
        <v/>
      </c>
      <c r="F919" s="4" t="str">
        <f>'Form responses 1'!AX1762</f>
        <v/>
      </c>
      <c r="G919" s="4" t="str">
        <f>'Form responses 1'!AY1762</f>
        <v/>
      </c>
      <c r="H919" s="53" t="str">
        <f>'Form responses 1'!AW1762</f>
        <v/>
      </c>
      <c r="I919" s="4" t="str">
        <f>'Form responses 1'!AS1762</f>
        <v/>
      </c>
      <c r="J919" s="4" t="str">
        <f>'Form responses 1'!J1762</f>
        <v/>
      </c>
      <c r="K919" s="4" t="str">
        <f>'Form responses 1'!G1762</f>
        <v/>
      </c>
      <c r="L919" s="4" t="str">
        <f>'Form responses 1'!F1762</f>
        <v/>
      </c>
      <c r="M919" s="4" t="str">
        <f>'Form responses 1'!U1762</f>
        <v/>
      </c>
      <c r="N919" s="4" t="str">
        <f>'Form responses 1'!V1762</f>
        <v/>
      </c>
      <c r="O919" s="4" t="str">
        <f>'Form responses 1'!W1762</f>
        <v/>
      </c>
      <c r="P919" s="4" t="str">
        <f>'Form responses 1'!X1762</f>
        <v/>
      </c>
      <c r="Q919" s="4" t="str">
        <f>'Form responses 1'!Y1762</f>
        <v/>
      </c>
      <c r="R919" s="4" t="str">
        <f>'Form responses 1'!Z1762</f>
        <v/>
      </c>
      <c r="S919" s="4" t="str">
        <f>'Form responses 1'!AC1762</f>
        <v/>
      </c>
      <c r="T919" s="4" t="str">
        <f>'Form responses 1'!AE1762</f>
        <v/>
      </c>
      <c r="U919" s="4" t="str">
        <f>'Form responses 1'!AG1762</f>
        <v/>
      </c>
      <c r="V919" s="4" t="str">
        <f>'Form responses 1'!AI1762</f>
        <v/>
      </c>
      <c r="W919" s="4" t="str">
        <f>'Form responses 1'!AJ1762</f>
        <v/>
      </c>
      <c r="X919" s="4" t="str">
        <f>'Form responses 1'!AK1762</f>
        <v/>
      </c>
      <c r="Y919" s="4">
        <f t="shared" ref="Y919:AD919" si="918">if(S919&gt;0,1,0)</f>
        <v>0</v>
      </c>
      <c r="Z919" s="4">
        <f t="shared" si="918"/>
        <v>0</v>
      </c>
      <c r="AA919" s="4">
        <f t="shared" si="918"/>
        <v>0</v>
      </c>
      <c r="AB919" s="4">
        <f t="shared" si="918"/>
        <v>0</v>
      </c>
      <c r="AC919" s="4">
        <f t="shared" si="918"/>
        <v>0</v>
      </c>
      <c r="AD919" s="4">
        <f t="shared" si="918"/>
        <v>0</v>
      </c>
      <c r="AE919" s="4" t="str">
        <f>'Form responses 1'!AN1762</f>
        <v/>
      </c>
      <c r="AF919" s="4" t="str">
        <f>'Form responses 1'!AO2043</f>
        <v/>
      </c>
      <c r="AG919" s="4" t="str">
        <f>'Form responses 1'!AP2043</f>
        <v/>
      </c>
      <c r="AH919" s="4" t="str">
        <f>'Form responses 1'!AQ2043</f>
        <v/>
      </c>
      <c r="AI919" s="4" t="str">
        <f>'Form responses 1'!AR2043</f>
        <v/>
      </c>
    </row>
    <row r="920">
      <c r="A920" s="26" t="str">
        <f>'Form responses 1'!B1763</f>
        <v/>
      </c>
      <c r="B920" s="4" t="str">
        <f>'Form responses 1'!AZ1763</f>
        <v/>
      </c>
      <c r="C920" s="4" t="str">
        <f>'Form responses 1'!BR1763</f>
        <v/>
      </c>
      <c r="D920" s="4" t="str">
        <f>'Form responses 1'!AT1763</f>
        <v/>
      </c>
      <c r="E920" s="4" t="str">
        <f>'Form responses 1'!AU1763</f>
        <v/>
      </c>
      <c r="F920" s="4" t="str">
        <f>'Form responses 1'!AX1763</f>
        <v/>
      </c>
      <c r="G920" s="4" t="str">
        <f>'Form responses 1'!AY1763</f>
        <v/>
      </c>
      <c r="H920" s="53" t="str">
        <f>'Form responses 1'!AW1763</f>
        <v/>
      </c>
      <c r="I920" s="4" t="str">
        <f>'Form responses 1'!AS1763</f>
        <v/>
      </c>
      <c r="J920" s="4" t="str">
        <f>'Form responses 1'!J1763</f>
        <v/>
      </c>
      <c r="K920" s="4" t="str">
        <f>'Form responses 1'!G1763</f>
        <v/>
      </c>
      <c r="L920" s="4" t="str">
        <f>'Form responses 1'!F1763</f>
        <v/>
      </c>
      <c r="M920" s="4" t="str">
        <f>'Form responses 1'!U1763</f>
        <v/>
      </c>
      <c r="N920" s="4" t="str">
        <f>'Form responses 1'!V1763</f>
        <v/>
      </c>
      <c r="O920" s="4" t="str">
        <f>'Form responses 1'!W1763</f>
        <v/>
      </c>
      <c r="P920" s="4" t="str">
        <f>'Form responses 1'!X1763</f>
        <v/>
      </c>
      <c r="Q920" s="4" t="str">
        <f>'Form responses 1'!Y1763</f>
        <v/>
      </c>
      <c r="R920" s="4" t="str">
        <f>'Form responses 1'!Z1763</f>
        <v/>
      </c>
      <c r="S920" s="4" t="str">
        <f>'Form responses 1'!AC1763</f>
        <v/>
      </c>
      <c r="T920" s="4" t="str">
        <f>'Form responses 1'!AE1763</f>
        <v/>
      </c>
      <c r="U920" s="4" t="str">
        <f>'Form responses 1'!AG1763</f>
        <v/>
      </c>
      <c r="V920" s="4" t="str">
        <f>'Form responses 1'!AI1763</f>
        <v/>
      </c>
      <c r="W920" s="4" t="str">
        <f>'Form responses 1'!AJ1763</f>
        <v/>
      </c>
      <c r="X920" s="4" t="str">
        <f>'Form responses 1'!AK1763</f>
        <v/>
      </c>
      <c r="Y920" s="4">
        <f t="shared" ref="Y920:AD920" si="919">if(S920&gt;0,1,0)</f>
        <v>0</v>
      </c>
      <c r="Z920" s="4">
        <f t="shared" si="919"/>
        <v>0</v>
      </c>
      <c r="AA920" s="4">
        <f t="shared" si="919"/>
        <v>0</v>
      </c>
      <c r="AB920" s="4">
        <f t="shared" si="919"/>
        <v>0</v>
      </c>
      <c r="AC920" s="4">
        <f t="shared" si="919"/>
        <v>0</v>
      </c>
      <c r="AD920" s="4">
        <f t="shared" si="919"/>
        <v>0</v>
      </c>
      <c r="AE920" s="4" t="str">
        <f>'Form responses 1'!AN1763</f>
        <v/>
      </c>
      <c r="AF920" s="4" t="str">
        <f>'Form responses 1'!AO2044</f>
        <v/>
      </c>
      <c r="AG920" s="4" t="str">
        <f>'Form responses 1'!AP2044</f>
        <v/>
      </c>
      <c r="AH920" s="4" t="str">
        <f>'Form responses 1'!AQ2044</f>
        <v/>
      </c>
      <c r="AI920" s="4" t="str">
        <f>'Form responses 1'!AR2044</f>
        <v/>
      </c>
    </row>
    <row r="921">
      <c r="A921" s="26" t="str">
        <f>'Form responses 1'!B1764</f>
        <v/>
      </c>
      <c r="B921" s="4" t="str">
        <f>'Form responses 1'!AZ1764</f>
        <v/>
      </c>
      <c r="C921" s="4" t="str">
        <f>'Form responses 1'!BR1764</f>
        <v/>
      </c>
      <c r="D921" s="4" t="str">
        <f>'Form responses 1'!AT1764</f>
        <v/>
      </c>
      <c r="E921" s="4" t="str">
        <f>'Form responses 1'!AU1764</f>
        <v/>
      </c>
      <c r="F921" s="4" t="str">
        <f>'Form responses 1'!AX1764</f>
        <v/>
      </c>
      <c r="G921" s="4" t="str">
        <f>'Form responses 1'!AY1764</f>
        <v/>
      </c>
      <c r="H921" s="53" t="str">
        <f>'Form responses 1'!AW1764</f>
        <v/>
      </c>
      <c r="I921" s="4" t="str">
        <f>'Form responses 1'!AS1764</f>
        <v/>
      </c>
      <c r="J921" s="4" t="str">
        <f>'Form responses 1'!J1764</f>
        <v/>
      </c>
      <c r="K921" s="4" t="str">
        <f>'Form responses 1'!G1764</f>
        <v/>
      </c>
      <c r="L921" s="4" t="str">
        <f>'Form responses 1'!F1764</f>
        <v/>
      </c>
      <c r="M921" s="4" t="str">
        <f>'Form responses 1'!U1764</f>
        <v/>
      </c>
      <c r="N921" s="4" t="str">
        <f>'Form responses 1'!V1764</f>
        <v/>
      </c>
      <c r="O921" s="4" t="str">
        <f>'Form responses 1'!W1764</f>
        <v/>
      </c>
      <c r="P921" s="4" t="str">
        <f>'Form responses 1'!X1764</f>
        <v/>
      </c>
      <c r="Q921" s="4" t="str">
        <f>'Form responses 1'!Y1764</f>
        <v/>
      </c>
      <c r="R921" s="4" t="str">
        <f>'Form responses 1'!Z1764</f>
        <v/>
      </c>
      <c r="S921" s="4" t="str">
        <f>'Form responses 1'!AC1764</f>
        <v/>
      </c>
      <c r="T921" s="4" t="str">
        <f>'Form responses 1'!AE1764</f>
        <v/>
      </c>
      <c r="U921" s="4" t="str">
        <f>'Form responses 1'!AG1764</f>
        <v/>
      </c>
      <c r="V921" s="4" t="str">
        <f>'Form responses 1'!AI1764</f>
        <v/>
      </c>
      <c r="W921" s="4" t="str">
        <f>'Form responses 1'!AJ1764</f>
        <v/>
      </c>
      <c r="X921" s="4" t="str">
        <f>'Form responses 1'!AK1764</f>
        <v/>
      </c>
      <c r="Y921" s="4">
        <f t="shared" ref="Y921:AD921" si="920">if(S921&gt;0,1,0)</f>
        <v>0</v>
      </c>
      <c r="Z921" s="4">
        <f t="shared" si="920"/>
        <v>0</v>
      </c>
      <c r="AA921" s="4">
        <f t="shared" si="920"/>
        <v>0</v>
      </c>
      <c r="AB921" s="4">
        <f t="shared" si="920"/>
        <v>0</v>
      </c>
      <c r="AC921" s="4">
        <f t="shared" si="920"/>
        <v>0</v>
      </c>
      <c r="AD921" s="4">
        <f t="shared" si="920"/>
        <v>0</v>
      </c>
      <c r="AE921" s="4" t="str">
        <f>'Form responses 1'!AN1764</f>
        <v/>
      </c>
      <c r="AF921" s="4" t="str">
        <f>'Form responses 1'!AO2045</f>
        <v/>
      </c>
      <c r="AG921" s="4" t="str">
        <f>'Form responses 1'!AP2045</f>
        <v/>
      </c>
      <c r="AH921" s="4" t="str">
        <f>'Form responses 1'!AQ2045</f>
        <v/>
      </c>
      <c r="AI921" s="4" t="str">
        <f>'Form responses 1'!AR2045</f>
        <v/>
      </c>
    </row>
    <row r="922">
      <c r="A922" s="26" t="str">
        <f>'Form responses 1'!B1765</f>
        <v/>
      </c>
      <c r="B922" s="4" t="str">
        <f>'Form responses 1'!AZ1765</f>
        <v/>
      </c>
      <c r="C922" s="4" t="str">
        <f>'Form responses 1'!BR1765</f>
        <v/>
      </c>
      <c r="D922" s="4" t="str">
        <f>'Form responses 1'!AT1765</f>
        <v/>
      </c>
      <c r="E922" s="4" t="str">
        <f>'Form responses 1'!AU1765</f>
        <v/>
      </c>
      <c r="F922" s="4" t="str">
        <f>'Form responses 1'!AX1765</f>
        <v/>
      </c>
      <c r="G922" s="4" t="str">
        <f>'Form responses 1'!AY1765</f>
        <v/>
      </c>
      <c r="H922" s="53" t="str">
        <f>'Form responses 1'!AW1765</f>
        <v/>
      </c>
      <c r="I922" s="4" t="str">
        <f>'Form responses 1'!AS1765</f>
        <v/>
      </c>
      <c r="J922" s="4" t="str">
        <f>'Form responses 1'!J1765</f>
        <v/>
      </c>
      <c r="K922" s="4" t="str">
        <f>'Form responses 1'!G1765</f>
        <v/>
      </c>
      <c r="L922" s="4" t="str">
        <f>'Form responses 1'!F1765</f>
        <v/>
      </c>
      <c r="M922" s="4" t="str">
        <f>'Form responses 1'!U1765</f>
        <v/>
      </c>
      <c r="N922" s="4" t="str">
        <f>'Form responses 1'!V1765</f>
        <v/>
      </c>
      <c r="O922" s="4" t="str">
        <f>'Form responses 1'!W1765</f>
        <v/>
      </c>
      <c r="P922" s="4" t="str">
        <f>'Form responses 1'!X1765</f>
        <v/>
      </c>
      <c r="Q922" s="4" t="str">
        <f>'Form responses 1'!Y1765</f>
        <v/>
      </c>
      <c r="R922" s="4" t="str">
        <f>'Form responses 1'!Z1765</f>
        <v/>
      </c>
      <c r="S922" s="4" t="str">
        <f>'Form responses 1'!AC1765</f>
        <v/>
      </c>
      <c r="T922" s="4" t="str">
        <f>'Form responses 1'!AE1765</f>
        <v/>
      </c>
      <c r="U922" s="4" t="str">
        <f>'Form responses 1'!AG1765</f>
        <v/>
      </c>
      <c r="V922" s="4" t="str">
        <f>'Form responses 1'!AI1765</f>
        <v/>
      </c>
      <c r="W922" s="4" t="str">
        <f>'Form responses 1'!AJ1765</f>
        <v/>
      </c>
      <c r="X922" s="4" t="str">
        <f>'Form responses 1'!AK1765</f>
        <v/>
      </c>
      <c r="Y922" s="4">
        <f t="shared" ref="Y922:AD922" si="921">if(S922&gt;0,1,0)</f>
        <v>0</v>
      </c>
      <c r="Z922" s="4">
        <f t="shared" si="921"/>
        <v>0</v>
      </c>
      <c r="AA922" s="4">
        <f t="shared" si="921"/>
        <v>0</v>
      </c>
      <c r="AB922" s="4">
        <f t="shared" si="921"/>
        <v>0</v>
      </c>
      <c r="AC922" s="4">
        <f t="shared" si="921"/>
        <v>0</v>
      </c>
      <c r="AD922" s="4">
        <f t="shared" si="921"/>
        <v>0</v>
      </c>
      <c r="AE922" s="4" t="str">
        <f>'Form responses 1'!AN1765</f>
        <v/>
      </c>
      <c r="AF922" s="4" t="str">
        <f>'Form responses 1'!AO2046</f>
        <v/>
      </c>
      <c r="AG922" s="4" t="str">
        <f>'Form responses 1'!AP2046</f>
        <v/>
      </c>
      <c r="AH922" s="4" t="str">
        <f>'Form responses 1'!AQ2046</f>
        <v/>
      </c>
      <c r="AI922" s="4" t="str">
        <f>'Form responses 1'!AR2046</f>
        <v/>
      </c>
    </row>
    <row r="923">
      <c r="A923" s="26" t="str">
        <f>'Form responses 1'!B1766</f>
        <v/>
      </c>
      <c r="B923" s="4" t="str">
        <f>'Form responses 1'!AZ1766</f>
        <v/>
      </c>
      <c r="C923" s="4" t="str">
        <f>'Form responses 1'!BR1766</f>
        <v/>
      </c>
      <c r="D923" s="4" t="str">
        <f>'Form responses 1'!AT1766</f>
        <v/>
      </c>
      <c r="E923" s="4" t="str">
        <f>'Form responses 1'!AU1766</f>
        <v/>
      </c>
      <c r="F923" s="4" t="str">
        <f>'Form responses 1'!AX1766</f>
        <v/>
      </c>
      <c r="G923" s="4" t="str">
        <f>'Form responses 1'!AY1766</f>
        <v/>
      </c>
      <c r="H923" s="53" t="str">
        <f>'Form responses 1'!AW1766</f>
        <v/>
      </c>
      <c r="I923" s="4" t="str">
        <f>'Form responses 1'!AS1766</f>
        <v/>
      </c>
      <c r="J923" s="4" t="str">
        <f>'Form responses 1'!J1766</f>
        <v/>
      </c>
      <c r="K923" s="4" t="str">
        <f>'Form responses 1'!G1766</f>
        <v/>
      </c>
      <c r="L923" s="4" t="str">
        <f>'Form responses 1'!F1766</f>
        <v/>
      </c>
      <c r="M923" s="4" t="str">
        <f>'Form responses 1'!U1766</f>
        <v/>
      </c>
      <c r="N923" s="4" t="str">
        <f>'Form responses 1'!V1766</f>
        <v/>
      </c>
      <c r="O923" s="4" t="str">
        <f>'Form responses 1'!W1766</f>
        <v/>
      </c>
      <c r="P923" s="4" t="str">
        <f>'Form responses 1'!X1766</f>
        <v/>
      </c>
      <c r="Q923" s="4" t="str">
        <f>'Form responses 1'!Y1766</f>
        <v/>
      </c>
      <c r="R923" s="4" t="str">
        <f>'Form responses 1'!Z1766</f>
        <v/>
      </c>
      <c r="S923" s="4" t="str">
        <f>'Form responses 1'!AC1766</f>
        <v/>
      </c>
      <c r="T923" s="4" t="str">
        <f>'Form responses 1'!AE1766</f>
        <v/>
      </c>
      <c r="U923" s="4" t="str">
        <f>'Form responses 1'!AG1766</f>
        <v/>
      </c>
      <c r="V923" s="4" t="str">
        <f>'Form responses 1'!AI1766</f>
        <v/>
      </c>
      <c r="W923" s="4" t="str">
        <f>'Form responses 1'!AJ1766</f>
        <v/>
      </c>
      <c r="X923" s="4" t="str">
        <f>'Form responses 1'!AK1766</f>
        <v/>
      </c>
      <c r="Y923" s="4">
        <f t="shared" ref="Y923:AD923" si="922">if(S923&gt;0,1,0)</f>
        <v>0</v>
      </c>
      <c r="Z923" s="4">
        <f t="shared" si="922"/>
        <v>0</v>
      </c>
      <c r="AA923" s="4">
        <f t="shared" si="922"/>
        <v>0</v>
      </c>
      <c r="AB923" s="4">
        <f t="shared" si="922"/>
        <v>0</v>
      </c>
      <c r="AC923" s="4">
        <f t="shared" si="922"/>
        <v>0</v>
      </c>
      <c r="AD923" s="4">
        <f t="shared" si="922"/>
        <v>0</v>
      </c>
      <c r="AE923" s="4" t="str">
        <f>'Form responses 1'!AN1766</f>
        <v/>
      </c>
      <c r="AF923" s="4" t="str">
        <f>'Form responses 1'!AO2047</f>
        <v/>
      </c>
      <c r="AG923" s="4" t="str">
        <f>'Form responses 1'!AP2047</f>
        <v/>
      </c>
      <c r="AH923" s="4" t="str">
        <f>'Form responses 1'!AQ2047</f>
        <v/>
      </c>
      <c r="AI923" s="4" t="str">
        <f>'Form responses 1'!AR2047</f>
        <v/>
      </c>
    </row>
    <row r="924">
      <c r="A924" s="26" t="str">
        <f>'Form responses 1'!B1767</f>
        <v/>
      </c>
      <c r="B924" s="4" t="str">
        <f>'Form responses 1'!AZ1767</f>
        <v/>
      </c>
      <c r="C924" s="4" t="str">
        <f>'Form responses 1'!BR1767</f>
        <v/>
      </c>
      <c r="D924" s="4" t="str">
        <f>'Form responses 1'!AT1767</f>
        <v/>
      </c>
      <c r="E924" s="4" t="str">
        <f>'Form responses 1'!AU1767</f>
        <v/>
      </c>
      <c r="F924" s="4" t="str">
        <f>'Form responses 1'!AX1767</f>
        <v/>
      </c>
      <c r="G924" s="4" t="str">
        <f>'Form responses 1'!AY1767</f>
        <v/>
      </c>
      <c r="H924" s="53" t="str">
        <f>'Form responses 1'!AW1767</f>
        <v/>
      </c>
      <c r="I924" s="4" t="str">
        <f>'Form responses 1'!AS1767</f>
        <v/>
      </c>
      <c r="J924" s="4" t="str">
        <f>'Form responses 1'!J1767</f>
        <v/>
      </c>
      <c r="K924" s="4" t="str">
        <f>'Form responses 1'!G1767</f>
        <v/>
      </c>
      <c r="L924" s="4" t="str">
        <f>'Form responses 1'!F1767</f>
        <v/>
      </c>
      <c r="M924" s="4" t="str">
        <f>'Form responses 1'!U1767</f>
        <v/>
      </c>
      <c r="N924" s="4" t="str">
        <f>'Form responses 1'!V1767</f>
        <v/>
      </c>
      <c r="O924" s="4" t="str">
        <f>'Form responses 1'!W1767</f>
        <v/>
      </c>
      <c r="P924" s="4" t="str">
        <f>'Form responses 1'!X1767</f>
        <v/>
      </c>
      <c r="Q924" s="4" t="str">
        <f>'Form responses 1'!Y1767</f>
        <v/>
      </c>
      <c r="R924" s="4" t="str">
        <f>'Form responses 1'!Z1767</f>
        <v/>
      </c>
      <c r="S924" s="4" t="str">
        <f>'Form responses 1'!AC1767</f>
        <v/>
      </c>
      <c r="T924" s="4" t="str">
        <f>'Form responses 1'!AE1767</f>
        <v/>
      </c>
      <c r="U924" s="4" t="str">
        <f>'Form responses 1'!AG1767</f>
        <v/>
      </c>
      <c r="V924" s="4" t="str">
        <f>'Form responses 1'!AI1767</f>
        <v/>
      </c>
      <c r="W924" s="4" t="str">
        <f>'Form responses 1'!AJ1767</f>
        <v/>
      </c>
      <c r="X924" s="4" t="str">
        <f>'Form responses 1'!AK1767</f>
        <v/>
      </c>
      <c r="Y924" s="4">
        <f t="shared" ref="Y924:AD924" si="923">if(S924&gt;0,1,0)</f>
        <v>0</v>
      </c>
      <c r="Z924" s="4">
        <f t="shared" si="923"/>
        <v>0</v>
      </c>
      <c r="AA924" s="4">
        <f t="shared" si="923"/>
        <v>0</v>
      </c>
      <c r="AB924" s="4">
        <f t="shared" si="923"/>
        <v>0</v>
      </c>
      <c r="AC924" s="4">
        <f t="shared" si="923"/>
        <v>0</v>
      </c>
      <c r="AD924" s="4">
        <f t="shared" si="923"/>
        <v>0</v>
      </c>
      <c r="AE924" s="4" t="str">
        <f>'Form responses 1'!AN1767</f>
        <v/>
      </c>
      <c r="AF924" s="4" t="str">
        <f>'Form responses 1'!AO2048</f>
        <v/>
      </c>
      <c r="AG924" s="4" t="str">
        <f>'Form responses 1'!AP2048</f>
        <v/>
      </c>
      <c r="AH924" s="4" t="str">
        <f>'Form responses 1'!AQ2048</f>
        <v/>
      </c>
      <c r="AI924" s="4" t="str">
        <f>'Form responses 1'!AR2048</f>
        <v/>
      </c>
    </row>
    <row r="925">
      <c r="A925" s="26" t="str">
        <f>'Form responses 1'!B1768</f>
        <v/>
      </c>
      <c r="B925" s="4" t="str">
        <f>'Form responses 1'!AZ1768</f>
        <v/>
      </c>
      <c r="C925" s="4" t="str">
        <f>'Form responses 1'!BR1768</f>
        <v/>
      </c>
      <c r="D925" s="4" t="str">
        <f>'Form responses 1'!AT1768</f>
        <v/>
      </c>
      <c r="E925" s="4" t="str">
        <f>'Form responses 1'!AU1768</f>
        <v/>
      </c>
      <c r="F925" s="4" t="str">
        <f>'Form responses 1'!AX1768</f>
        <v/>
      </c>
      <c r="G925" s="4" t="str">
        <f>'Form responses 1'!AY1768</f>
        <v/>
      </c>
      <c r="H925" s="53" t="str">
        <f>'Form responses 1'!AW1768</f>
        <v/>
      </c>
      <c r="I925" s="4" t="str">
        <f>'Form responses 1'!AS1768</f>
        <v/>
      </c>
      <c r="J925" s="4" t="str">
        <f>'Form responses 1'!J1768</f>
        <v/>
      </c>
      <c r="K925" s="4" t="str">
        <f>'Form responses 1'!G1768</f>
        <v/>
      </c>
      <c r="L925" s="4" t="str">
        <f>'Form responses 1'!F1768</f>
        <v/>
      </c>
      <c r="M925" s="4" t="str">
        <f>'Form responses 1'!U1768</f>
        <v/>
      </c>
      <c r="N925" s="4" t="str">
        <f>'Form responses 1'!V1768</f>
        <v/>
      </c>
      <c r="O925" s="4" t="str">
        <f>'Form responses 1'!W1768</f>
        <v/>
      </c>
      <c r="P925" s="4" t="str">
        <f>'Form responses 1'!X1768</f>
        <v/>
      </c>
      <c r="Q925" s="4" t="str">
        <f>'Form responses 1'!Y1768</f>
        <v/>
      </c>
      <c r="R925" s="4" t="str">
        <f>'Form responses 1'!Z1768</f>
        <v/>
      </c>
      <c r="S925" s="4" t="str">
        <f>'Form responses 1'!AC1768</f>
        <v/>
      </c>
      <c r="T925" s="4" t="str">
        <f>'Form responses 1'!AE1768</f>
        <v/>
      </c>
      <c r="U925" s="4" t="str">
        <f>'Form responses 1'!AG1768</f>
        <v/>
      </c>
      <c r="V925" s="4" t="str">
        <f>'Form responses 1'!AI1768</f>
        <v/>
      </c>
      <c r="W925" s="4" t="str">
        <f>'Form responses 1'!AJ1768</f>
        <v/>
      </c>
      <c r="X925" s="4" t="str">
        <f>'Form responses 1'!AK1768</f>
        <v/>
      </c>
      <c r="Y925" s="4">
        <f t="shared" ref="Y925:AD925" si="924">if(S925&gt;0,1,0)</f>
        <v>0</v>
      </c>
      <c r="Z925" s="4">
        <f t="shared" si="924"/>
        <v>0</v>
      </c>
      <c r="AA925" s="4">
        <f t="shared" si="924"/>
        <v>0</v>
      </c>
      <c r="AB925" s="4">
        <f t="shared" si="924"/>
        <v>0</v>
      </c>
      <c r="AC925" s="4">
        <f t="shared" si="924"/>
        <v>0</v>
      </c>
      <c r="AD925" s="4">
        <f t="shared" si="924"/>
        <v>0</v>
      </c>
      <c r="AE925" s="4" t="str">
        <f>'Form responses 1'!AN1768</f>
        <v/>
      </c>
      <c r="AF925" s="4" t="str">
        <f>'Form responses 1'!AO2049</f>
        <v/>
      </c>
      <c r="AG925" s="4" t="str">
        <f>'Form responses 1'!AP2049</f>
        <v/>
      </c>
      <c r="AH925" s="4" t="str">
        <f>'Form responses 1'!AQ2049</f>
        <v/>
      </c>
      <c r="AI925" s="4" t="str">
        <f>'Form responses 1'!AR2049</f>
        <v/>
      </c>
    </row>
    <row r="926">
      <c r="A926" s="26" t="str">
        <f>'Form responses 1'!B1769</f>
        <v/>
      </c>
      <c r="B926" s="4" t="str">
        <f>'Form responses 1'!AZ1769</f>
        <v/>
      </c>
      <c r="C926" s="4" t="str">
        <f>'Form responses 1'!BR1769</f>
        <v/>
      </c>
      <c r="D926" s="4" t="str">
        <f>'Form responses 1'!AT1769</f>
        <v/>
      </c>
      <c r="E926" s="4" t="str">
        <f>'Form responses 1'!AU1769</f>
        <v/>
      </c>
      <c r="F926" s="4" t="str">
        <f>'Form responses 1'!AX1769</f>
        <v/>
      </c>
      <c r="G926" s="4" t="str">
        <f>'Form responses 1'!AY1769</f>
        <v/>
      </c>
      <c r="H926" s="53" t="str">
        <f>'Form responses 1'!AW1769</f>
        <v/>
      </c>
      <c r="I926" s="4" t="str">
        <f>'Form responses 1'!AS1769</f>
        <v/>
      </c>
      <c r="J926" s="4" t="str">
        <f>'Form responses 1'!J1769</f>
        <v/>
      </c>
      <c r="K926" s="4" t="str">
        <f>'Form responses 1'!G1769</f>
        <v/>
      </c>
      <c r="L926" s="4" t="str">
        <f>'Form responses 1'!F1769</f>
        <v/>
      </c>
      <c r="M926" s="4" t="str">
        <f>'Form responses 1'!U1769</f>
        <v/>
      </c>
      <c r="N926" s="4" t="str">
        <f>'Form responses 1'!V1769</f>
        <v/>
      </c>
      <c r="O926" s="4" t="str">
        <f>'Form responses 1'!W1769</f>
        <v/>
      </c>
      <c r="P926" s="4" t="str">
        <f>'Form responses 1'!X1769</f>
        <v/>
      </c>
      <c r="Q926" s="4" t="str">
        <f>'Form responses 1'!Y1769</f>
        <v/>
      </c>
      <c r="R926" s="4" t="str">
        <f>'Form responses 1'!Z1769</f>
        <v/>
      </c>
      <c r="S926" s="4" t="str">
        <f>'Form responses 1'!AC1769</f>
        <v/>
      </c>
      <c r="T926" s="4" t="str">
        <f>'Form responses 1'!AE1769</f>
        <v/>
      </c>
      <c r="U926" s="4" t="str">
        <f>'Form responses 1'!AG1769</f>
        <v/>
      </c>
      <c r="V926" s="4" t="str">
        <f>'Form responses 1'!AI1769</f>
        <v/>
      </c>
      <c r="W926" s="4" t="str">
        <f>'Form responses 1'!AJ1769</f>
        <v/>
      </c>
      <c r="X926" s="4" t="str">
        <f>'Form responses 1'!AK1769</f>
        <v/>
      </c>
      <c r="Y926" s="4">
        <f t="shared" ref="Y926:AD926" si="925">if(S926&gt;0,1,0)</f>
        <v>0</v>
      </c>
      <c r="Z926" s="4">
        <f t="shared" si="925"/>
        <v>0</v>
      </c>
      <c r="AA926" s="4">
        <f t="shared" si="925"/>
        <v>0</v>
      </c>
      <c r="AB926" s="4">
        <f t="shared" si="925"/>
        <v>0</v>
      </c>
      <c r="AC926" s="4">
        <f t="shared" si="925"/>
        <v>0</v>
      </c>
      <c r="AD926" s="4">
        <f t="shared" si="925"/>
        <v>0</v>
      </c>
      <c r="AE926" s="4" t="str">
        <f>'Form responses 1'!AN1769</f>
        <v/>
      </c>
      <c r="AF926" s="4" t="str">
        <f>'Form responses 1'!AO2050</f>
        <v/>
      </c>
      <c r="AG926" s="4" t="str">
        <f>'Form responses 1'!AP2050</f>
        <v/>
      </c>
      <c r="AH926" s="4" t="str">
        <f>'Form responses 1'!AQ2050</f>
        <v/>
      </c>
      <c r="AI926" s="4" t="str">
        <f>'Form responses 1'!AR2050</f>
        <v/>
      </c>
    </row>
    <row r="927">
      <c r="A927" s="26" t="str">
        <f>'Form responses 1'!B1770</f>
        <v/>
      </c>
      <c r="B927" s="4" t="str">
        <f>'Form responses 1'!AZ1770</f>
        <v/>
      </c>
      <c r="C927" s="4" t="str">
        <f>'Form responses 1'!BR1770</f>
        <v/>
      </c>
      <c r="D927" s="4" t="str">
        <f>'Form responses 1'!AT1770</f>
        <v/>
      </c>
      <c r="E927" s="4" t="str">
        <f>'Form responses 1'!AU1770</f>
        <v/>
      </c>
      <c r="F927" s="4" t="str">
        <f>'Form responses 1'!AX1770</f>
        <v/>
      </c>
      <c r="G927" s="4" t="str">
        <f>'Form responses 1'!AY1770</f>
        <v/>
      </c>
      <c r="H927" s="53" t="str">
        <f>'Form responses 1'!AW1770</f>
        <v/>
      </c>
      <c r="I927" s="4" t="str">
        <f>'Form responses 1'!AS1770</f>
        <v/>
      </c>
      <c r="J927" s="4" t="str">
        <f>'Form responses 1'!J1770</f>
        <v/>
      </c>
      <c r="K927" s="4" t="str">
        <f>'Form responses 1'!G1770</f>
        <v/>
      </c>
      <c r="L927" s="4" t="str">
        <f>'Form responses 1'!F1770</f>
        <v/>
      </c>
      <c r="M927" s="4" t="str">
        <f>'Form responses 1'!U1770</f>
        <v/>
      </c>
      <c r="N927" s="4" t="str">
        <f>'Form responses 1'!V1770</f>
        <v/>
      </c>
      <c r="O927" s="4" t="str">
        <f>'Form responses 1'!W1770</f>
        <v/>
      </c>
      <c r="P927" s="4" t="str">
        <f>'Form responses 1'!X1770</f>
        <v/>
      </c>
      <c r="Q927" s="4" t="str">
        <f>'Form responses 1'!Y1770</f>
        <v/>
      </c>
      <c r="R927" s="4" t="str">
        <f>'Form responses 1'!Z1770</f>
        <v/>
      </c>
      <c r="S927" s="4" t="str">
        <f>'Form responses 1'!AC1770</f>
        <v/>
      </c>
      <c r="T927" s="4" t="str">
        <f>'Form responses 1'!AE1770</f>
        <v/>
      </c>
      <c r="U927" s="4" t="str">
        <f>'Form responses 1'!AG1770</f>
        <v/>
      </c>
      <c r="V927" s="4" t="str">
        <f>'Form responses 1'!AI1770</f>
        <v/>
      </c>
      <c r="W927" s="4" t="str">
        <f>'Form responses 1'!AJ1770</f>
        <v/>
      </c>
      <c r="X927" s="4" t="str">
        <f>'Form responses 1'!AK1770</f>
        <v/>
      </c>
      <c r="Y927" s="4">
        <f t="shared" ref="Y927:AD927" si="926">if(S927&gt;0,1,0)</f>
        <v>0</v>
      </c>
      <c r="Z927" s="4">
        <f t="shared" si="926"/>
        <v>0</v>
      </c>
      <c r="AA927" s="4">
        <f t="shared" si="926"/>
        <v>0</v>
      </c>
      <c r="AB927" s="4">
        <f t="shared" si="926"/>
        <v>0</v>
      </c>
      <c r="AC927" s="4">
        <f t="shared" si="926"/>
        <v>0</v>
      </c>
      <c r="AD927" s="4">
        <f t="shared" si="926"/>
        <v>0</v>
      </c>
      <c r="AE927" s="4" t="str">
        <f>'Form responses 1'!AN1770</f>
        <v/>
      </c>
      <c r="AF927" s="4" t="str">
        <f>'Form responses 1'!AO2051</f>
        <v/>
      </c>
      <c r="AG927" s="4" t="str">
        <f>'Form responses 1'!AP2051</f>
        <v/>
      </c>
      <c r="AH927" s="4" t="str">
        <f>'Form responses 1'!AQ2051</f>
        <v/>
      </c>
      <c r="AI927" s="4" t="str">
        <f>'Form responses 1'!AR2051</f>
        <v/>
      </c>
    </row>
    <row r="928">
      <c r="A928" s="26" t="str">
        <f>'Form responses 1'!B1771</f>
        <v/>
      </c>
      <c r="B928" s="4" t="str">
        <f>'Form responses 1'!AZ1771</f>
        <v/>
      </c>
      <c r="C928" s="4" t="str">
        <f>'Form responses 1'!BR1771</f>
        <v/>
      </c>
      <c r="D928" s="4" t="str">
        <f>'Form responses 1'!AT1771</f>
        <v/>
      </c>
      <c r="E928" s="4" t="str">
        <f>'Form responses 1'!AU1771</f>
        <v/>
      </c>
      <c r="F928" s="4" t="str">
        <f>'Form responses 1'!AX1771</f>
        <v/>
      </c>
      <c r="G928" s="4" t="str">
        <f>'Form responses 1'!AY1771</f>
        <v/>
      </c>
      <c r="H928" s="53" t="str">
        <f>'Form responses 1'!AW1771</f>
        <v/>
      </c>
      <c r="I928" s="4" t="str">
        <f>'Form responses 1'!AS1771</f>
        <v/>
      </c>
      <c r="J928" s="4" t="str">
        <f>'Form responses 1'!J1771</f>
        <v/>
      </c>
      <c r="K928" s="4" t="str">
        <f>'Form responses 1'!G1771</f>
        <v/>
      </c>
      <c r="L928" s="4" t="str">
        <f>'Form responses 1'!F1771</f>
        <v/>
      </c>
      <c r="M928" s="4" t="str">
        <f>'Form responses 1'!U1771</f>
        <v/>
      </c>
      <c r="N928" s="4" t="str">
        <f>'Form responses 1'!V1771</f>
        <v/>
      </c>
      <c r="O928" s="4" t="str">
        <f>'Form responses 1'!W1771</f>
        <v/>
      </c>
      <c r="P928" s="4" t="str">
        <f>'Form responses 1'!X1771</f>
        <v/>
      </c>
      <c r="Q928" s="4" t="str">
        <f>'Form responses 1'!Y1771</f>
        <v/>
      </c>
      <c r="R928" s="4" t="str">
        <f>'Form responses 1'!Z1771</f>
        <v/>
      </c>
      <c r="S928" s="4" t="str">
        <f>'Form responses 1'!AC1771</f>
        <v/>
      </c>
      <c r="T928" s="4" t="str">
        <f>'Form responses 1'!AE1771</f>
        <v/>
      </c>
      <c r="U928" s="4" t="str">
        <f>'Form responses 1'!AG1771</f>
        <v/>
      </c>
      <c r="V928" s="4" t="str">
        <f>'Form responses 1'!AI1771</f>
        <v/>
      </c>
      <c r="W928" s="4" t="str">
        <f>'Form responses 1'!AJ1771</f>
        <v/>
      </c>
      <c r="X928" s="4" t="str">
        <f>'Form responses 1'!AK1771</f>
        <v/>
      </c>
      <c r="Y928" s="4">
        <f t="shared" ref="Y928:AD928" si="927">if(S928&gt;0,1,0)</f>
        <v>0</v>
      </c>
      <c r="Z928" s="4">
        <f t="shared" si="927"/>
        <v>0</v>
      </c>
      <c r="AA928" s="4">
        <f t="shared" si="927"/>
        <v>0</v>
      </c>
      <c r="AB928" s="4">
        <f t="shared" si="927"/>
        <v>0</v>
      </c>
      <c r="AC928" s="4">
        <f t="shared" si="927"/>
        <v>0</v>
      </c>
      <c r="AD928" s="4">
        <f t="shared" si="927"/>
        <v>0</v>
      </c>
      <c r="AE928" s="4" t="str">
        <f>'Form responses 1'!AN1771</f>
        <v/>
      </c>
      <c r="AF928" s="4" t="str">
        <f>'Form responses 1'!AO2052</f>
        <v/>
      </c>
      <c r="AG928" s="4" t="str">
        <f>'Form responses 1'!AP2052</f>
        <v/>
      </c>
      <c r="AH928" s="4" t="str">
        <f>'Form responses 1'!AQ2052</f>
        <v/>
      </c>
      <c r="AI928" s="4" t="str">
        <f>'Form responses 1'!AR2052</f>
        <v/>
      </c>
    </row>
    <row r="929">
      <c r="A929" s="26" t="str">
        <f>'Form responses 1'!B1772</f>
        <v/>
      </c>
      <c r="B929" s="4" t="str">
        <f>'Form responses 1'!AZ1772</f>
        <v/>
      </c>
      <c r="C929" s="4" t="str">
        <f>'Form responses 1'!BR1772</f>
        <v/>
      </c>
      <c r="D929" s="4" t="str">
        <f>'Form responses 1'!AT1772</f>
        <v/>
      </c>
      <c r="E929" s="4" t="str">
        <f>'Form responses 1'!AU1772</f>
        <v/>
      </c>
      <c r="F929" s="4" t="str">
        <f>'Form responses 1'!AX1772</f>
        <v/>
      </c>
      <c r="G929" s="4" t="str">
        <f>'Form responses 1'!AY1772</f>
        <v/>
      </c>
      <c r="H929" s="53" t="str">
        <f>'Form responses 1'!AW1772</f>
        <v/>
      </c>
      <c r="I929" s="4" t="str">
        <f>'Form responses 1'!AS1772</f>
        <v/>
      </c>
      <c r="J929" s="4" t="str">
        <f>'Form responses 1'!J1772</f>
        <v/>
      </c>
      <c r="K929" s="4" t="str">
        <f>'Form responses 1'!G1772</f>
        <v/>
      </c>
      <c r="L929" s="4" t="str">
        <f>'Form responses 1'!F1772</f>
        <v/>
      </c>
      <c r="M929" s="4" t="str">
        <f>'Form responses 1'!U1772</f>
        <v/>
      </c>
      <c r="N929" s="4" t="str">
        <f>'Form responses 1'!V1772</f>
        <v/>
      </c>
      <c r="O929" s="4" t="str">
        <f>'Form responses 1'!W1772</f>
        <v/>
      </c>
      <c r="P929" s="4" t="str">
        <f>'Form responses 1'!X1772</f>
        <v/>
      </c>
      <c r="Q929" s="4" t="str">
        <f>'Form responses 1'!Y1772</f>
        <v/>
      </c>
      <c r="R929" s="4" t="str">
        <f>'Form responses 1'!Z1772</f>
        <v/>
      </c>
      <c r="S929" s="4" t="str">
        <f>'Form responses 1'!AC1772</f>
        <v/>
      </c>
      <c r="T929" s="4" t="str">
        <f>'Form responses 1'!AE1772</f>
        <v/>
      </c>
      <c r="U929" s="4" t="str">
        <f>'Form responses 1'!AG1772</f>
        <v/>
      </c>
      <c r="V929" s="4" t="str">
        <f>'Form responses 1'!AI1772</f>
        <v/>
      </c>
      <c r="W929" s="4" t="str">
        <f>'Form responses 1'!AJ1772</f>
        <v/>
      </c>
      <c r="X929" s="4" t="str">
        <f>'Form responses 1'!AK1772</f>
        <v/>
      </c>
      <c r="Y929" s="4">
        <f t="shared" ref="Y929:AD929" si="928">if(S929&gt;0,1,0)</f>
        <v>0</v>
      </c>
      <c r="Z929" s="4">
        <f t="shared" si="928"/>
        <v>0</v>
      </c>
      <c r="AA929" s="4">
        <f t="shared" si="928"/>
        <v>0</v>
      </c>
      <c r="AB929" s="4">
        <f t="shared" si="928"/>
        <v>0</v>
      </c>
      <c r="AC929" s="4">
        <f t="shared" si="928"/>
        <v>0</v>
      </c>
      <c r="AD929" s="4">
        <f t="shared" si="928"/>
        <v>0</v>
      </c>
      <c r="AE929" s="4" t="str">
        <f>'Form responses 1'!AN1772</f>
        <v/>
      </c>
      <c r="AF929" s="4" t="str">
        <f>'Form responses 1'!AO2053</f>
        <v/>
      </c>
      <c r="AG929" s="4" t="str">
        <f>'Form responses 1'!AP2053</f>
        <v/>
      </c>
      <c r="AH929" s="4" t="str">
        <f>'Form responses 1'!AQ2053</f>
        <v/>
      </c>
      <c r="AI929" s="4" t="str">
        <f>'Form responses 1'!AR2053</f>
        <v/>
      </c>
    </row>
    <row r="930">
      <c r="A930" s="26" t="str">
        <f>'Form responses 1'!B1773</f>
        <v/>
      </c>
      <c r="B930" s="4" t="str">
        <f>'Form responses 1'!AZ1773</f>
        <v/>
      </c>
      <c r="C930" s="4" t="str">
        <f>'Form responses 1'!BR1773</f>
        <v/>
      </c>
      <c r="D930" s="4" t="str">
        <f>'Form responses 1'!AT1773</f>
        <v/>
      </c>
      <c r="E930" s="4" t="str">
        <f>'Form responses 1'!AU1773</f>
        <v/>
      </c>
      <c r="F930" s="4" t="str">
        <f>'Form responses 1'!AX1773</f>
        <v/>
      </c>
      <c r="G930" s="4" t="str">
        <f>'Form responses 1'!AY1773</f>
        <v/>
      </c>
      <c r="H930" s="53" t="str">
        <f>'Form responses 1'!AW1773</f>
        <v/>
      </c>
      <c r="I930" s="4" t="str">
        <f>'Form responses 1'!AS1773</f>
        <v/>
      </c>
      <c r="J930" s="4" t="str">
        <f>'Form responses 1'!J1773</f>
        <v/>
      </c>
      <c r="K930" s="4" t="str">
        <f>'Form responses 1'!G1773</f>
        <v/>
      </c>
      <c r="L930" s="4" t="str">
        <f>'Form responses 1'!F1773</f>
        <v/>
      </c>
      <c r="M930" s="4" t="str">
        <f>'Form responses 1'!U1773</f>
        <v/>
      </c>
      <c r="N930" s="4" t="str">
        <f>'Form responses 1'!V1773</f>
        <v/>
      </c>
      <c r="O930" s="4" t="str">
        <f>'Form responses 1'!W1773</f>
        <v/>
      </c>
      <c r="P930" s="4" t="str">
        <f>'Form responses 1'!X1773</f>
        <v/>
      </c>
      <c r="Q930" s="4" t="str">
        <f>'Form responses 1'!Y1773</f>
        <v/>
      </c>
      <c r="R930" s="4" t="str">
        <f>'Form responses 1'!Z1773</f>
        <v/>
      </c>
      <c r="S930" s="4" t="str">
        <f>'Form responses 1'!AC1773</f>
        <v/>
      </c>
      <c r="T930" s="4" t="str">
        <f>'Form responses 1'!AE1773</f>
        <v/>
      </c>
      <c r="U930" s="4" t="str">
        <f>'Form responses 1'!AG1773</f>
        <v/>
      </c>
      <c r="V930" s="4" t="str">
        <f>'Form responses 1'!AI1773</f>
        <v/>
      </c>
      <c r="W930" s="4" t="str">
        <f>'Form responses 1'!AJ1773</f>
        <v/>
      </c>
      <c r="X930" s="4" t="str">
        <f>'Form responses 1'!AK1773</f>
        <v/>
      </c>
      <c r="Y930" s="4">
        <f t="shared" ref="Y930:AD930" si="929">if(S930&gt;0,1,0)</f>
        <v>0</v>
      </c>
      <c r="Z930" s="4">
        <f t="shared" si="929"/>
        <v>0</v>
      </c>
      <c r="AA930" s="4">
        <f t="shared" si="929"/>
        <v>0</v>
      </c>
      <c r="AB930" s="4">
        <f t="shared" si="929"/>
        <v>0</v>
      </c>
      <c r="AC930" s="4">
        <f t="shared" si="929"/>
        <v>0</v>
      </c>
      <c r="AD930" s="4">
        <f t="shared" si="929"/>
        <v>0</v>
      </c>
      <c r="AE930" s="4" t="str">
        <f>'Form responses 1'!AN1773</f>
        <v/>
      </c>
      <c r="AF930" s="4" t="str">
        <f>'Form responses 1'!AO2054</f>
        <v/>
      </c>
      <c r="AG930" s="4" t="str">
        <f>'Form responses 1'!AP2054</f>
        <v/>
      </c>
      <c r="AH930" s="4" t="str">
        <f>'Form responses 1'!AQ2054</f>
        <v/>
      </c>
      <c r="AI930" s="4" t="str">
        <f>'Form responses 1'!AR2054</f>
        <v/>
      </c>
    </row>
    <row r="931">
      <c r="A931" s="26" t="str">
        <f>'Form responses 1'!B1774</f>
        <v/>
      </c>
      <c r="B931" s="4" t="str">
        <f>'Form responses 1'!AZ1774</f>
        <v/>
      </c>
      <c r="C931" s="4" t="str">
        <f>'Form responses 1'!BR1774</f>
        <v/>
      </c>
      <c r="D931" s="4" t="str">
        <f>'Form responses 1'!AT1774</f>
        <v/>
      </c>
      <c r="E931" s="4" t="str">
        <f>'Form responses 1'!AU1774</f>
        <v/>
      </c>
      <c r="F931" s="4" t="str">
        <f>'Form responses 1'!AX1774</f>
        <v/>
      </c>
      <c r="G931" s="4" t="str">
        <f>'Form responses 1'!AY1774</f>
        <v/>
      </c>
      <c r="H931" s="53" t="str">
        <f>'Form responses 1'!AW1774</f>
        <v/>
      </c>
      <c r="I931" s="4" t="str">
        <f>'Form responses 1'!AS1774</f>
        <v/>
      </c>
      <c r="J931" s="4" t="str">
        <f>'Form responses 1'!J1774</f>
        <v/>
      </c>
      <c r="K931" s="4" t="str">
        <f>'Form responses 1'!G1774</f>
        <v/>
      </c>
      <c r="L931" s="4" t="str">
        <f>'Form responses 1'!F1774</f>
        <v/>
      </c>
      <c r="M931" s="4" t="str">
        <f>'Form responses 1'!U1774</f>
        <v/>
      </c>
      <c r="N931" s="4" t="str">
        <f>'Form responses 1'!V1774</f>
        <v/>
      </c>
      <c r="O931" s="4" t="str">
        <f>'Form responses 1'!W1774</f>
        <v/>
      </c>
      <c r="P931" s="4" t="str">
        <f>'Form responses 1'!X1774</f>
        <v/>
      </c>
      <c r="Q931" s="4" t="str">
        <f>'Form responses 1'!Y1774</f>
        <v/>
      </c>
      <c r="R931" s="4" t="str">
        <f>'Form responses 1'!Z1774</f>
        <v/>
      </c>
      <c r="S931" s="4" t="str">
        <f>'Form responses 1'!AC1774</f>
        <v/>
      </c>
      <c r="T931" s="4" t="str">
        <f>'Form responses 1'!AE1774</f>
        <v/>
      </c>
      <c r="U931" s="4" t="str">
        <f>'Form responses 1'!AG1774</f>
        <v/>
      </c>
      <c r="V931" s="4" t="str">
        <f>'Form responses 1'!AI1774</f>
        <v/>
      </c>
      <c r="W931" s="4" t="str">
        <f>'Form responses 1'!AJ1774</f>
        <v/>
      </c>
      <c r="X931" s="4" t="str">
        <f>'Form responses 1'!AK1774</f>
        <v/>
      </c>
      <c r="Y931" s="4">
        <f t="shared" ref="Y931:AD931" si="930">if(S931&gt;0,1,0)</f>
        <v>0</v>
      </c>
      <c r="Z931" s="4">
        <f t="shared" si="930"/>
        <v>0</v>
      </c>
      <c r="AA931" s="4">
        <f t="shared" si="930"/>
        <v>0</v>
      </c>
      <c r="AB931" s="4">
        <f t="shared" si="930"/>
        <v>0</v>
      </c>
      <c r="AC931" s="4">
        <f t="shared" si="930"/>
        <v>0</v>
      </c>
      <c r="AD931" s="4">
        <f t="shared" si="930"/>
        <v>0</v>
      </c>
      <c r="AE931" s="4" t="str">
        <f>'Form responses 1'!AN1774</f>
        <v/>
      </c>
      <c r="AF931" s="4" t="str">
        <f>'Form responses 1'!AO2055</f>
        <v/>
      </c>
      <c r="AG931" s="4" t="str">
        <f>'Form responses 1'!AP2055</f>
        <v/>
      </c>
      <c r="AH931" s="4" t="str">
        <f>'Form responses 1'!AQ2055</f>
        <v/>
      </c>
      <c r="AI931" s="4" t="str">
        <f>'Form responses 1'!AR2055</f>
        <v/>
      </c>
    </row>
    <row r="932">
      <c r="A932" s="26" t="str">
        <f>'Form responses 1'!B1775</f>
        <v/>
      </c>
      <c r="B932" s="4" t="str">
        <f>'Form responses 1'!AZ1775</f>
        <v/>
      </c>
      <c r="C932" s="4" t="str">
        <f>'Form responses 1'!BR1775</f>
        <v/>
      </c>
      <c r="D932" s="4" t="str">
        <f>'Form responses 1'!AT1775</f>
        <v/>
      </c>
      <c r="E932" s="4" t="str">
        <f>'Form responses 1'!AU1775</f>
        <v/>
      </c>
      <c r="F932" s="4" t="str">
        <f>'Form responses 1'!AX1775</f>
        <v/>
      </c>
      <c r="G932" s="4" t="str">
        <f>'Form responses 1'!AY1775</f>
        <v/>
      </c>
      <c r="H932" s="53" t="str">
        <f>'Form responses 1'!AW1775</f>
        <v/>
      </c>
      <c r="I932" s="4" t="str">
        <f>'Form responses 1'!AS1775</f>
        <v/>
      </c>
      <c r="J932" s="4" t="str">
        <f>'Form responses 1'!J1775</f>
        <v/>
      </c>
      <c r="K932" s="4" t="str">
        <f>'Form responses 1'!G1775</f>
        <v/>
      </c>
      <c r="L932" s="4" t="str">
        <f>'Form responses 1'!F1775</f>
        <v/>
      </c>
      <c r="M932" s="4" t="str">
        <f>'Form responses 1'!U1775</f>
        <v/>
      </c>
      <c r="N932" s="4" t="str">
        <f>'Form responses 1'!V1775</f>
        <v/>
      </c>
      <c r="O932" s="4" t="str">
        <f>'Form responses 1'!W1775</f>
        <v/>
      </c>
      <c r="P932" s="4" t="str">
        <f>'Form responses 1'!X1775</f>
        <v/>
      </c>
      <c r="Q932" s="4" t="str">
        <f>'Form responses 1'!Y1775</f>
        <v/>
      </c>
      <c r="R932" s="4" t="str">
        <f>'Form responses 1'!Z1775</f>
        <v/>
      </c>
      <c r="S932" s="4" t="str">
        <f>'Form responses 1'!AC1775</f>
        <v/>
      </c>
      <c r="T932" s="4" t="str">
        <f>'Form responses 1'!AE1775</f>
        <v/>
      </c>
      <c r="U932" s="4" t="str">
        <f>'Form responses 1'!AG1775</f>
        <v/>
      </c>
      <c r="V932" s="4" t="str">
        <f>'Form responses 1'!AI1775</f>
        <v/>
      </c>
      <c r="W932" s="4" t="str">
        <f>'Form responses 1'!AJ1775</f>
        <v/>
      </c>
      <c r="X932" s="4" t="str">
        <f>'Form responses 1'!AK1775</f>
        <v/>
      </c>
      <c r="Y932" s="4">
        <f t="shared" ref="Y932:AD932" si="931">if(S932&gt;0,1,0)</f>
        <v>0</v>
      </c>
      <c r="Z932" s="4">
        <f t="shared" si="931"/>
        <v>0</v>
      </c>
      <c r="AA932" s="4">
        <f t="shared" si="931"/>
        <v>0</v>
      </c>
      <c r="AB932" s="4">
        <f t="shared" si="931"/>
        <v>0</v>
      </c>
      <c r="AC932" s="4">
        <f t="shared" si="931"/>
        <v>0</v>
      </c>
      <c r="AD932" s="4">
        <f t="shared" si="931"/>
        <v>0</v>
      </c>
      <c r="AE932" s="4" t="str">
        <f>'Form responses 1'!AN1775</f>
        <v/>
      </c>
      <c r="AF932" s="4" t="str">
        <f>'Form responses 1'!AO2056</f>
        <v/>
      </c>
      <c r="AG932" s="4" t="str">
        <f>'Form responses 1'!AP2056</f>
        <v/>
      </c>
      <c r="AH932" s="4" t="str">
        <f>'Form responses 1'!AQ2056</f>
        <v/>
      </c>
      <c r="AI932" s="4" t="str">
        <f>'Form responses 1'!AR2056</f>
        <v/>
      </c>
    </row>
    <row r="933">
      <c r="A933" s="26" t="str">
        <f>'Form responses 1'!B1776</f>
        <v/>
      </c>
      <c r="B933" s="4" t="str">
        <f>'Form responses 1'!AZ1776</f>
        <v/>
      </c>
      <c r="C933" s="4" t="str">
        <f>'Form responses 1'!BR1776</f>
        <v/>
      </c>
      <c r="D933" s="4" t="str">
        <f>'Form responses 1'!AT1776</f>
        <v/>
      </c>
      <c r="E933" s="4" t="str">
        <f>'Form responses 1'!AU1776</f>
        <v/>
      </c>
      <c r="F933" s="4" t="str">
        <f>'Form responses 1'!AX1776</f>
        <v/>
      </c>
      <c r="G933" s="4" t="str">
        <f>'Form responses 1'!AY1776</f>
        <v/>
      </c>
      <c r="H933" s="53" t="str">
        <f>'Form responses 1'!AW1776</f>
        <v/>
      </c>
      <c r="I933" s="4" t="str">
        <f>'Form responses 1'!AS1776</f>
        <v/>
      </c>
      <c r="J933" s="4" t="str">
        <f>'Form responses 1'!J1776</f>
        <v/>
      </c>
      <c r="K933" s="4" t="str">
        <f>'Form responses 1'!G1776</f>
        <v/>
      </c>
      <c r="L933" s="4" t="str">
        <f>'Form responses 1'!F1776</f>
        <v/>
      </c>
      <c r="M933" s="4" t="str">
        <f>'Form responses 1'!U1776</f>
        <v/>
      </c>
      <c r="N933" s="4" t="str">
        <f>'Form responses 1'!V1776</f>
        <v/>
      </c>
      <c r="O933" s="4" t="str">
        <f>'Form responses 1'!W1776</f>
        <v/>
      </c>
      <c r="P933" s="4" t="str">
        <f>'Form responses 1'!X1776</f>
        <v/>
      </c>
      <c r="Q933" s="4" t="str">
        <f>'Form responses 1'!Y1776</f>
        <v/>
      </c>
      <c r="R933" s="4" t="str">
        <f>'Form responses 1'!Z1776</f>
        <v/>
      </c>
      <c r="S933" s="4" t="str">
        <f>'Form responses 1'!AC1776</f>
        <v/>
      </c>
      <c r="T933" s="4" t="str">
        <f>'Form responses 1'!AE1776</f>
        <v/>
      </c>
      <c r="U933" s="4" t="str">
        <f>'Form responses 1'!AG1776</f>
        <v/>
      </c>
      <c r="V933" s="4" t="str">
        <f>'Form responses 1'!AI1776</f>
        <v/>
      </c>
      <c r="W933" s="4" t="str">
        <f>'Form responses 1'!AJ1776</f>
        <v/>
      </c>
      <c r="X933" s="4" t="str">
        <f>'Form responses 1'!AK1776</f>
        <v/>
      </c>
      <c r="Y933" s="4">
        <f t="shared" ref="Y933:AD933" si="932">if(S933&gt;0,1,0)</f>
        <v>0</v>
      </c>
      <c r="Z933" s="4">
        <f t="shared" si="932"/>
        <v>0</v>
      </c>
      <c r="AA933" s="4">
        <f t="shared" si="932"/>
        <v>0</v>
      </c>
      <c r="AB933" s="4">
        <f t="shared" si="932"/>
        <v>0</v>
      </c>
      <c r="AC933" s="4">
        <f t="shared" si="932"/>
        <v>0</v>
      </c>
      <c r="AD933" s="4">
        <f t="shared" si="932"/>
        <v>0</v>
      </c>
      <c r="AE933" s="4" t="str">
        <f>'Form responses 1'!AN1776</f>
        <v/>
      </c>
      <c r="AF933" s="4" t="str">
        <f>'Form responses 1'!AO2057</f>
        <v/>
      </c>
      <c r="AG933" s="4" t="str">
        <f>'Form responses 1'!AP2057</f>
        <v/>
      </c>
      <c r="AH933" s="4" t="str">
        <f>'Form responses 1'!AQ2057</f>
        <v/>
      </c>
      <c r="AI933" s="4" t="str">
        <f>'Form responses 1'!AR2057</f>
        <v/>
      </c>
    </row>
    <row r="934">
      <c r="A934" s="26" t="str">
        <f>'Form responses 1'!B1777</f>
        <v/>
      </c>
      <c r="B934" s="4" t="str">
        <f>'Form responses 1'!AZ1777</f>
        <v/>
      </c>
      <c r="C934" s="4" t="str">
        <f>'Form responses 1'!BR1777</f>
        <v/>
      </c>
      <c r="D934" s="4" t="str">
        <f>'Form responses 1'!AT1777</f>
        <v/>
      </c>
      <c r="E934" s="4" t="str">
        <f>'Form responses 1'!AU1777</f>
        <v/>
      </c>
      <c r="F934" s="4" t="str">
        <f>'Form responses 1'!AX1777</f>
        <v/>
      </c>
      <c r="G934" s="4" t="str">
        <f>'Form responses 1'!AY1777</f>
        <v/>
      </c>
      <c r="H934" s="53" t="str">
        <f>'Form responses 1'!AW1777</f>
        <v/>
      </c>
      <c r="I934" s="4" t="str">
        <f>'Form responses 1'!AS1777</f>
        <v/>
      </c>
      <c r="J934" s="4" t="str">
        <f>'Form responses 1'!J1777</f>
        <v/>
      </c>
      <c r="K934" s="4" t="str">
        <f>'Form responses 1'!G1777</f>
        <v/>
      </c>
      <c r="L934" s="4" t="str">
        <f>'Form responses 1'!F1777</f>
        <v/>
      </c>
      <c r="M934" s="4" t="str">
        <f>'Form responses 1'!U1777</f>
        <v/>
      </c>
      <c r="N934" s="4" t="str">
        <f>'Form responses 1'!V1777</f>
        <v/>
      </c>
      <c r="O934" s="4" t="str">
        <f>'Form responses 1'!W1777</f>
        <v/>
      </c>
      <c r="P934" s="4" t="str">
        <f>'Form responses 1'!X1777</f>
        <v/>
      </c>
      <c r="Q934" s="4" t="str">
        <f>'Form responses 1'!Y1777</f>
        <v/>
      </c>
      <c r="R934" s="4" t="str">
        <f>'Form responses 1'!Z1777</f>
        <v/>
      </c>
      <c r="S934" s="4" t="str">
        <f>'Form responses 1'!AC1777</f>
        <v/>
      </c>
      <c r="T934" s="4" t="str">
        <f>'Form responses 1'!AE1777</f>
        <v/>
      </c>
      <c r="U934" s="4" t="str">
        <f>'Form responses 1'!AG1777</f>
        <v/>
      </c>
      <c r="V934" s="4" t="str">
        <f>'Form responses 1'!AI1777</f>
        <v/>
      </c>
      <c r="W934" s="4" t="str">
        <f>'Form responses 1'!AJ1777</f>
        <v/>
      </c>
      <c r="X934" s="4" t="str">
        <f>'Form responses 1'!AK1777</f>
        <v/>
      </c>
      <c r="Y934" s="4">
        <f t="shared" ref="Y934:AD934" si="933">if(S934&gt;0,1,0)</f>
        <v>0</v>
      </c>
      <c r="Z934" s="4">
        <f t="shared" si="933"/>
        <v>0</v>
      </c>
      <c r="AA934" s="4">
        <f t="shared" si="933"/>
        <v>0</v>
      </c>
      <c r="AB934" s="4">
        <f t="shared" si="933"/>
        <v>0</v>
      </c>
      <c r="AC934" s="4">
        <f t="shared" si="933"/>
        <v>0</v>
      </c>
      <c r="AD934" s="4">
        <f t="shared" si="933"/>
        <v>0</v>
      </c>
      <c r="AE934" s="4" t="str">
        <f>'Form responses 1'!AN1777</f>
        <v/>
      </c>
      <c r="AF934" s="4" t="str">
        <f>'Form responses 1'!AO2058</f>
        <v/>
      </c>
      <c r="AG934" s="4" t="str">
        <f>'Form responses 1'!AP2058</f>
        <v/>
      </c>
      <c r="AH934" s="4" t="str">
        <f>'Form responses 1'!AQ2058</f>
        <v/>
      </c>
      <c r="AI934" s="4" t="str">
        <f>'Form responses 1'!AR2058</f>
        <v/>
      </c>
    </row>
    <row r="935">
      <c r="A935" s="4" t="str">
        <f>'Form responses 1'!B1778</f>
        <v/>
      </c>
      <c r="B935" s="4" t="str">
        <f>'Form responses 1'!AZ1778</f>
        <v/>
      </c>
      <c r="C935" s="4" t="str">
        <f>'Form responses 1'!BR1778</f>
        <v/>
      </c>
      <c r="D935" s="4" t="str">
        <f>'Form responses 1'!AT1778</f>
        <v/>
      </c>
      <c r="E935" s="4" t="str">
        <f>'Form responses 1'!AU1778</f>
        <v/>
      </c>
      <c r="F935" s="4" t="str">
        <f>'Form responses 1'!AX1778</f>
        <v/>
      </c>
      <c r="G935" s="4" t="str">
        <f>'Form responses 1'!AY1778</f>
        <v/>
      </c>
      <c r="H935" s="53" t="str">
        <f>'Form responses 1'!AW1778</f>
        <v/>
      </c>
      <c r="I935" s="4" t="str">
        <f>'Form responses 1'!AS1778</f>
        <v/>
      </c>
      <c r="J935" s="4" t="str">
        <f>'Form responses 1'!J1778</f>
        <v/>
      </c>
      <c r="K935" s="4" t="str">
        <f>'Form responses 1'!G1778</f>
        <v/>
      </c>
      <c r="L935" s="4" t="str">
        <f>'Form responses 1'!F1778</f>
        <v/>
      </c>
      <c r="M935" s="4" t="str">
        <f>'Form responses 1'!U1778</f>
        <v/>
      </c>
      <c r="N935" s="4" t="str">
        <f>'Form responses 1'!V1778</f>
        <v/>
      </c>
      <c r="O935" s="4" t="str">
        <f>'Form responses 1'!W1778</f>
        <v/>
      </c>
      <c r="P935" s="4" t="str">
        <f>'Form responses 1'!X1778</f>
        <v/>
      </c>
      <c r="Q935" s="4" t="str">
        <f>'Form responses 1'!Y1778</f>
        <v/>
      </c>
      <c r="R935" s="4" t="str">
        <f>'Form responses 1'!Z1778</f>
        <v/>
      </c>
      <c r="S935" s="4" t="str">
        <f>'Form responses 1'!AC1778</f>
        <v/>
      </c>
      <c r="T935" s="4" t="str">
        <f>'Form responses 1'!AE1778</f>
        <v/>
      </c>
      <c r="U935" s="4" t="str">
        <f>'Form responses 1'!AG1778</f>
        <v/>
      </c>
      <c r="V935" s="4" t="str">
        <f>'Form responses 1'!AI1778</f>
        <v/>
      </c>
      <c r="W935" s="4" t="str">
        <f>'Form responses 1'!AJ1778</f>
        <v/>
      </c>
      <c r="X935" s="4" t="str">
        <f>'Form responses 1'!AK1778</f>
        <v/>
      </c>
      <c r="Y935" s="4">
        <f t="shared" ref="Y935:AD935" si="934">if(S935&gt;0,1,0)</f>
        <v>0</v>
      </c>
      <c r="Z935" s="4">
        <f t="shared" si="934"/>
        <v>0</v>
      </c>
      <c r="AA935" s="4">
        <f t="shared" si="934"/>
        <v>0</v>
      </c>
      <c r="AB935" s="4">
        <f t="shared" si="934"/>
        <v>0</v>
      </c>
      <c r="AC935" s="4">
        <f t="shared" si="934"/>
        <v>0</v>
      </c>
      <c r="AD935" s="4">
        <f t="shared" si="934"/>
        <v>0</v>
      </c>
      <c r="AE935" s="4" t="str">
        <f>'Form responses 1'!AN1778</f>
        <v/>
      </c>
      <c r="AF935" s="4" t="str">
        <f>'Form responses 1'!AO2059</f>
        <v/>
      </c>
      <c r="AG935" s="4" t="str">
        <f>'Form responses 1'!AP2059</f>
        <v/>
      </c>
      <c r="AH935" s="4" t="str">
        <f>'Form responses 1'!AQ2059</f>
        <v/>
      </c>
      <c r="AI935" s="4" t="str">
        <f>'Form responses 1'!AR2059</f>
        <v/>
      </c>
    </row>
    <row r="936">
      <c r="A936" s="4" t="str">
        <f>'Form responses 1'!B1779</f>
        <v/>
      </c>
      <c r="B936" s="4" t="str">
        <f>'Form responses 1'!AZ1779</f>
        <v/>
      </c>
      <c r="C936" s="4" t="str">
        <f>'Form responses 1'!BR1779</f>
        <v/>
      </c>
      <c r="D936" s="4" t="str">
        <f>'Form responses 1'!AT1779</f>
        <v/>
      </c>
      <c r="E936" s="4" t="str">
        <f>'Form responses 1'!AU1779</f>
        <v/>
      </c>
      <c r="F936" s="4" t="str">
        <f>'Form responses 1'!AX1779</f>
        <v/>
      </c>
      <c r="G936" s="4" t="str">
        <f>'Form responses 1'!AY1779</f>
        <v/>
      </c>
      <c r="H936" s="53" t="str">
        <f>'Form responses 1'!AW1779</f>
        <v/>
      </c>
      <c r="I936" s="4" t="str">
        <f>'Form responses 1'!AS1779</f>
        <v/>
      </c>
      <c r="J936" s="4" t="str">
        <f>'Form responses 1'!J1779</f>
        <v/>
      </c>
      <c r="K936" s="4" t="str">
        <f>'Form responses 1'!G1779</f>
        <v/>
      </c>
      <c r="L936" s="4" t="str">
        <f>'Form responses 1'!F1779</f>
        <v/>
      </c>
      <c r="M936" s="4" t="str">
        <f>'Form responses 1'!U1779</f>
        <v/>
      </c>
      <c r="N936" s="4" t="str">
        <f>'Form responses 1'!V1779</f>
        <v/>
      </c>
      <c r="O936" s="4" t="str">
        <f>'Form responses 1'!W1779</f>
        <v/>
      </c>
      <c r="P936" s="4" t="str">
        <f>'Form responses 1'!X1779</f>
        <v/>
      </c>
      <c r="Q936" s="4" t="str">
        <f>'Form responses 1'!Y1779</f>
        <v/>
      </c>
      <c r="R936" s="4" t="str">
        <f>'Form responses 1'!Z1779</f>
        <v/>
      </c>
      <c r="S936" s="4" t="str">
        <f>'Form responses 1'!AC1779</f>
        <v/>
      </c>
      <c r="T936" s="4" t="str">
        <f>'Form responses 1'!AE1779</f>
        <v/>
      </c>
      <c r="U936" s="4" t="str">
        <f>'Form responses 1'!AG1779</f>
        <v/>
      </c>
      <c r="V936" s="4" t="str">
        <f>'Form responses 1'!AI1779</f>
        <v/>
      </c>
      <c r="W936" s="4" t="str">
        <f>'Form responses 1'!AJ1779</f>
        <v/>
      </c>
      <c r="X936" s="4" t="str">
        <f>'Form responses 1'!AK1779</f>
        <v/>
      </c>
      <c r="Y936" s="4">
        <f t="shared" ref="Y936:AD936" si="935">if(S936&gt;0,1,0)</f>
        <v>0</v>
      </c>
      <c r="Z936" s="4">
        <f t="shared" si="935"/>
        <v>0</v>
      </c>
      <c r="AA936" s="4">
        <f t="shared" si="935"/>
        <v>0</v>
      </c>
      <c r="AB936" s="4">
        <f t="shared" si="935"/>
        <v>0</v>
      </c>
      <c r="AC936" s="4">
        <f t="shared" si="935"/>
        <v>0</v>
      </c>
      <c r="AD936" s="4">
        <f t="shared" si="935"/>
        <v>0</v>
      </c>
      <c r="AE936" s="4" t="str">
        <f>'Form responses 1'!AN1779</f>
        <v/>
      </c>
      <c r="AF936" s="4" t="str">
        <f>'Form responses 1'!AO2060</f>
        <v/>
      </c>
      <c r="AG936" s="4" t="str">
        <f>'Form responses 1'!AP2060</f>
        <v/>
      </c>
      <c r="AH936" s="4" t="str">
        <f>'Form responses 1'!AQ2060</f>
        <v/>
      </c>
      <c r="AI936" s="4" t="str">
        <f>'Form responses 1'!AR2060</f>
        <v/>
      </c>
    </row>
    <row r="937">
      <c r="A937" s="4" t="str">
        <f>'Form responses 1'!B1780</f>
        <v/>
      </c>
      <c r="B937" s="4" t="str">
        <f>'Form responses 1'!AZ1780</f>
        <v/>
      </c>
      <c r="C937" s="4" t="str">
        <f>'Form responses 1'!BR1780</f>
        <v/>
      </c>
      <c r="D937" s="4" t="str">
        <f>'Form responses 1'!AT1780</f>
        <v/>
      </c>
      <c r="E937" s="4" t="str">
        <f>'Form responses 1'!AU1780</f>
        <v/>
      </c>
      <c r="F937" s="4" t="str">
        <f>'Form responses 1'!AX1780</f>
        <v/>
      </c>
      <c r="G937" s="4" t="str">
        <f>'Form responses 1'!AY1780</f>
        <v/>
      </c>
      <c r="H937" s="53" t="str">
        <f>'Form responses 1'!AW1780</f>
        <v/>
      </c>
      <c r="I937" s="4" t="str">
        <f>'Form responses 1'!AS1780</f>
        <v/>
      </c>
      <c r="J937" s="4" t="str">
        <f>'Form responses 1'!J1780</f>
        <v/>
      </c>
      <c r="K937" s="4" t="str">
        <f>'Form responses 1'!G1780</f>
        <v/>
      </c>
      <c r="L937" s="4" t="str">
        <f>'Form responses 1'!F1780</f>
        <v/>
      </c>
      <c r="M937" s="4" t="str">
        <f>'Form responses 1'!U1780</f>
        <v/>
      </c>
      <c r="N937" s="4" t="str">
        <f>'Form responses 1'!V1780</f>
        <v/>
      </c>
      <c r="O937" s="4" t="str">
        <f>'Form responses 1'!W1780</f>
        <v/>
      </c>
      <c r="P937" s="4" t="str">
        <f>'Form responses 1'!X1780</f>
        <v/>
      </c>
      <c r="Q937" s="4" t="str">
        <f>'Form responses 1'!Y1780</f>
        <v/>
      </c>
      <c r="R937" s="4" t="str">
        <f>'Form responses 1'!Z1780</f>
        <v/>
      </c>
      <c r="S937" s="4" t="str">
        <f>'Form responses 1'!AC1780</f>
        <v/>
      </c>
      <c r="T937" s="4" t="str">
        <f>'Form responses 1'!AE1780</f>
        <v/>
      </c>
      <c r="U937" s="4" t="str">
        <f>'Form responses 1'!AG1780</f>
        <v/>
      </c>
      <c r="V937" s="4" t="str">
        <f>'Form responses 1'!AI1780</f>
        <v/>
      </c>
      <c r="W937" s="4" t="str">
        <f>'Form responses 1'!AJ1780</f>
        <v/>
      </c>
      <c r="X937" s="4" t="str">
        <f>'Form responses 1'!AK1780</f>
        <v/>
      </c>
      <c r="Y937" s="4">
        <f t="shared" ref="Y937:AD937" si="936">if(S937&gt;0,1,0)</f>
        <v>0</v>
      </c>
      <c r="Z937" s="4">
        <f t="shared" si="936"/>
        <v>0</v>
      </c>
      <c r="AA937" s="4">
        <f t="shared" si="936"/>
        <v>0</v>
      </c>
      <c r="AB937" s="4">
        <f t="shared" si="936"/>
        <v>0</v>
      </c>
      <c r="AC937" s="4">
        <f t="shared" si="936"/>
        <v>0</v>
      </c>
      <c r="AD937" s="4">
        <f t="shared" si="936"/>
        <v>0</v>
      </c>
      <c r="AE937" s="4" t="str">
        <f>'Form responses 1'!AN1780</f>
        <v/>
      </c>
      <c r="AF937" s="4" t="str">
        <f>'Form responses 1'!AO2061</f>
        <v/>
      </c>
      <c r="AG937" s="4" t="str">
        <f>'Form responses 1'!AP2061</f>
        <v/>
      </c>
      <c r="AH937" s="4" t="str">
        <f>'Form responses 1'!AQ2061</f>
        <v/>
      </c>
      <c r="AI937" s="4" t="str">
        <f>'Form responses 1'!AR2061</f>
        <v/>
      </c>
    </row>
    <row r="938">
      <c r="A938" s="4" t="str">
        <f>'Form responses 1'!B1781</f>
        <v/>
      </c>
      <c r="B938" s="4" t="str">
        <f>'Form responses 1'!AZ1781</f>
        <v/>
      </c>
      <c r="C938" s="4" t="str">
        <f>'Form responses 1'!BR1781</f>
        <v/>
      </c>
      <c r="D938" s="4" t="str">
        <f>'Form responses 1'!AT1781</f>
        <v/>
      </c>
      <c r="E938" s="4" t="str">
        <f>'Form responses 1'!AU1781</f>
        <v/>
      </c>
      <c r="F938" s="4" t="str">
        <f>'Form responses 1'!AX1781</f>
        <v/>
      </c>
      <c r="G938" s="4" t="str">
        <f>'Form responses 1'!AY1781</f>
        <v/>
      </c>
      <c r="H938" s="53" t="str">
        <f>'Form responses 1'!AW1781</f>
        <v/>
      </c>
      <c r="I938" s="4" t="str">
        <f>'Form responses 1'!AS1781</f>
        <v/>
      </c>
      <c r="J938" s="4" t="str">
        <f>'Form responses 1'!J1781</f>
        <v/>
      </c>
      <c r="K938" s="4" t="str">
        <f>'Form responses 1'!G1781</f>
        <v/>
      </c>
      <c r="L938" s="4" t="str">
        <f>'Form responses 1'!F1781</f>
        <v/>
      </c>
      <c r="M938" s="4" t="str">
        <f>'Form responses 1'!U1781</f>
        <v/>
      </c>
      <c r="N938" s="4" t="str">
        <f>'Form responses 1'!V1781</f>
        <v/>
      </c>
      <c r="O938" s="4" t="str">
        <f>'Form responses 1'!W1781</f>
        <v/>
      </c>
      <c r="P938" s="4" t="str">
        <f>'Form responses 1'!X1781</f>
        <v/>
      </c>
      <c r="Q938" s="4" t="str">
        <f>'Form responses 1'!Y1781</f>
        <v/>
      </c>
      <c r="R938" s="4" t="str">
        <f>'Form responses 1'!Z1781</f>
        <v/>
      </c>
      <c r="S938" s="4" t="str">
        <f>'Form responses 1'!AC1781</f>
        <v/>
      </c>
      <c r="T938" s="4" t="str">
        <f>'Form responses 1'!AE1781</f>
        <v/>
      </c>
      <c r="U938" s="4" t="str">
        <f>'Form responses 1'!AG1781</f>
        <v/>
      </c>
      <c r="V938" s="4" t="str">
        <f>'Form responses 1'!AI1781</f>
        <v/>
      </c>
      <c r="W938" s="4" t="str">
        <f>'Form responses 1'!AJ1781</f>
        <v/>
      </c>
      <c r="X938" s="4" t="str">
        <f>'Form responses 1'!AK1781</f>
        <v/>
      </c>
      <c r="Y938" s="4">
        <f t="shared" ref="Y938:AD938" si="937">if(S938&gt;0,1,0)</f>
        <v>0</v>
      </c>
      <c r="Z938" s="4">
        <f t="shared" si="937"/>
        <v>0</v>
      </c>
      <c r="AA938" s="4">
        <f t="shared" si="937"/>
        <v>0</v>
      </c>
      <c r="AB938" s="4">
        <f t="shared" si="937"/>
        <v>0</v>
      </c>
      <c r="AC938" s="4">
        <f t="shared" si="937"/>
        <v>0</v>
      </c>
      <c r="AD938" s="4">
        <f t="shared" si="937"/>
        <v>0</v>
      </c>
      <c r="AE938" s="4" t="str">
        <f>'Form responses 1'!AN1781</f>
        <v/>
      </c>
      <c r="AF938" s="4" t="str">
        <f>'Form responses 1'!AO2062</f>
        <v/>
      </c>
      <c r="AG938" s="4" t="str">
        <f>'Form responses 1'!AP2062</f>
        <v/>
      </c>
      <c r="AH938" s="4" t="str">
        <f>'Form responses 1'!AQ2062</f>
        <v/>
      </c>
      <c r="AI938" s="4" t="str">
        <f>'Form responses 1'!AR2062</f>
        <v/>
      </c>
    </row>
    <row r="939">
      <c r="A939" s="4" t="str">
        <f>'Form responses 1'!B1782</f>
        <v/>
      </c>
      <c r="B939" s="4" t="str">
        <f>'Form responses 1'!AZ1782</f>
        <v/>
      </c>
      <c r="C939" s="4" t="str">
        <f>'Form responses 1'!BR1782</f>
        <v/>
      </c>
      <c r="D939" s="4" t="str">
        <f>'Form responses 1'!AT1782</f>
        <v/>
      </c>
      <c r="E939" s="4" t="str">
        <f>'Form responses 1'!AU1782</f>
        <v/>
      </c>
      <c r="F939" s="4" t="str">
        <f>'Form responses 1'!AX1782</f>
        <v/>
      </c>
      <c r="G939" s="4" t="str">
        <f>'Form responses 1'!AY1782</f>
        <v/>
      </c>
      <c r="H939" s="53" t="str">
        <f>'Form responses 1'!AW1782</f>
        <v/>
      </c>
      <c r="I939" s="4" t="str">
        <f>'Form responses 1'!AS1782</f>
        <v/>
      </c>
      <c r="J939" s="4" t="str">
        <f>'Form responses 1'!J1782</f>
        <v/>
      </c>
      <c r="K939" s="4" t="str">
        <f>'Form responses 1'!G1782</f>
        <v/>
      </c>
      <c r="L939" s="4" t="str">
        <f>'Form responses 1'!F1782</f>
        <v/>
      </c>
      <c r="M939" s="4" t="str">
        <f>'Form responses 1'!U1782</f>
        <v/>
      </c>
      <c r="N939" s="4" t="str">
        <f>'Form responses 1'!V1782</f>
        <v/>
      </c>
      <c r="O939" s="4" t="str">
        <f>'Form responses 1'!W1782</f>
        <v/>
      </c>
      <c r="P939" s="4" t="str">
        <f>'Form responses 1'!X1782</f>
        <v/>
      </c>
      <c r="Q939" s="4" t="str">
        <f>'Form responses 1'!Y1782</f>
        <v/>
      </c>
      <c r="R939" s="4" t="str">
        <f>'Form responses 1'!Z1782</f>
        <v/>
      </c>
      <c r="S939" s="4" t="str">
        <f>'Form responses 1'!AC1782</f>
        <v/>
      </c>
      <c r="T939" s="4" t="str">
        <f>'Form responses 1'!AE1782</f>
        <v/>
      </c>
      <c r="U939" s="4" t="str">
        <f>'Form responses 1'!AG1782</f>
        <v/>
      </c>
      <c r="V939" s="4" t="str">
        <f>'Form responses 1'!AI1782</f>
        <v/>
      </c>
      <c r="W939" s="4" t="str">
        <f>'Form responses 1'!AJ1782</f>
        <v/>
      </c>
      <c r="X939" s="4" t="str">
        <f>'Form responses 1'!AK1782</f>
        <v/>
      </c>
      <c r="Y939" s="4">
        <f t="shared" ref="Y939:AD939" si="938">if(S939&gt;0,1,0)</f>
        <v>0</v>
      </c>
      <c r="Z939" s="4">
        <f t="shared" si="938"/>
        <v>0</v>
      </c>
      <c r="AA939" s="4">
        <f t="shared" si="938"/>
        <v>0</v>
      </c>
      <c r="AB939" s="4">
        <f t="shared" si="938"/>
        <v>0</v>
      </c>
      <c r="AC939" s="4">
        <f t="shared" si="938"/>
        <v>0</v>
      </c>
      <c r="AD939" s="4">
        <f t="shared" si="938"/>
        <v>0</v>
      </c>
      <c r="AE939" s="4" t="str">
        <f>'Form responses 1'!AN1782</f>
        <v/>
      </c>
      <c r="AF939" s="4" t="str">
        <f>'Form responses 1'!AO2063</f>
        <v/>
      </c>
      <c r="AG939" s="4" t="str">
        <f>'Form responses 1'!AP2063</f>
        <v/>
      </c>
      <c r="AH939" s="4" t="str">
        <f>'Form responses 1'!AQ2063</f>
        <v/>
      </c>
      <c r="AI939" s="4" t="str">
        <f>'Form responses 1'!AR2063</f>
        <v/>
      </c>
    </row>
    <row r="940">
      <c r="A940" s="4" t="str">
        <f>'Form responses 1'!B1783</f>
        <v/>
      </c>
      <c r="B940" s="4" t="str">
        <f>'Form responses 1'!AZ1783</f>
        <v/>
      </c>
      <c r="C940" s="4" t="str">
        <f>'Form responses 1'!BR1783</f>
        <v/>
      </c>
      <c r="D940" s="4" t="str">
        <f>'Form responses 1'!AT1783</f>
        <v/>
      </c>
      <c r="E940" s="4" t="str">
        <f>'Form responses 1'!AU1783</f>
        <v/>
      </c>
      <c r="F940" s="4" t="str">
        <f>'Form responses 1'!AX1783</f>
        <v/>
      </c>
      <c r="G940" s="4" t="str">
        <f>'Form responses 1'!AY1783</f>
        <v/>
      </c>
      <c r="H940" s="53" t="str">
        <f>'Form responses 1'!AW1783</f>
        <v/>
      </c>
      <c r="I940" s="4" t="str">
        <f>'Form responses 1'!AS1783</f>
        <v/>
      </c>
      <c r="J940" s="4" t="str">
        <f>'Form responses 1'!J1783</f>
        <v/>
      </c>
      <c r="K940" s="4" t="str">
        <f>'Form responses 1'!G1783</f>
        <v/>
      </c>
      <c r="L940" s="4" t="str">
        <f>'Form responses 1'!F1783</f>
        <v/>
      </c>
      <c r="M940" s="4" t="str">
        <f>'Form responses 1'!U1783</f>
        <v/>
      </c>
      <c r="N940" s="4" t="str">
        <f>'Form responses 1'!V1783</f>
        <v/>
      </c>
      <c r="O940" s="4" t="str">
        <f>'Form responses 1'!W1783</f>
        <v/>
      </c>
      <c r="P940" s="4" t="str">
        <f>'Form responses 1'!X1783</f>
        <v/>
      </c>
      <c r="Q940" s="4" t="str">
        <f>'Form responses 1'!Y1783</f>
        <v/>
      </c>
      <c r="R940" s="4" t="str">
        <f>'Form responses 1'!Z1783</f>
        <v/>
      </c>
      <c r="S940" s="4" t="str">
        <f>'Form responses 1'!AC1783</f>
        <v/>
      </c>
      <c r="T940" s="4" t="str">
        <f>'Form responses 1'!AE1783</f>
        <v/>
      </c>
      <c r="U940" s="4" t="str">
        <f>'Form responses 1'!AG1783</f>
        <v/>
      </c>
      <c r="V940" s="4" t="str">
        <f>'Form responses 1'!AI1783</f>
        <v/>
      </c>
      <c r="W940" s="4" t="str">
        <f>'Form responses 1'!AJ1783</f>
        <v/>
      </c>
      <c r="X940" s="4" t="str">
        <f>'Form responses 1'!AK1783</f>
        <v/>
      </c>
      <c r="Y940" s="4">
        <f t="shared" ref="Y940:AD940" si="939">if(S940&gt;0,1,0)</f>
        <v>0</v>
      </c>
      <c r="Z940" s="4">
        <f t="shared" si="939"/>
        <v>0</v>
      </c>
      <c r="AA940" s="4">
        <f t="shared" si="939"/>
        <v>0</v>
      </c>
      <c r="AB940" s="4">
        <f t="shared" si="939"/>
        <v>0</v>
      </c>
      <c r="AC940" s="4">
        <f t="shared" si="939"/>
        <v>0</v>
      </c>
      <c r="AD940" s="4">
        <f t="shared" si="939"/>
        <v>0</v>
      </c>
      <c r="AE940" s="4" t="str">
        <f>'Form responses 1'!AN1783</f>
        <v/>
      </c>
      <c r="AF940" s="4" t="str">
        <f>'Form responses 1'!AO2064</f>
        <v/>
      </c>
      <c r="AG940" s="4" t="str">
        <f>'Form responses 1'!AP2064</f>
        <v/>
      </c>
      <c r="AH940" s="4" t="str">
        <f>'Form responses 1'!AQ2064</f>
        <v/>
      </c>
      <c r="AI940" s="4" t="str">
        <f>'Form responses 1'!AR2064</f>
        <v/>
      </c>
    </row>
    <row r="941">
      <c r="A941" s="4" t="str">
        <f>'Form responses 1'!B1784</f>
        <v/>
      </c>
      <c r="B941" s="4" t="str">
        <f>'Form responses 1'!AZ1784</f>
        <v/>
      </c>
      <c r="C941" s="4" t="str">
        <f>'Form responses 1'!BR1784</f>
        <v/>
      </c>
      <c r="D941" s="4" t="str">
        <f>'Form responses 1'!AT1784</f>
        <v/>
      </c>
      <c r="E941" s="4" t="str">
        <f>'Form responses 1'!AU1784</f>
        <v/>
      </c>
      <c r="F941" s="4" t="str">
        <f>'Form responses 1'!AX1784</f>
        <v/>
      </c>
      <c r="G941" s="4" t="str">
        <f>'Form responses 1'!AY1784</f>
        <v/>
      </c>
      <c r="H941" s="53" t="str">
        <f>'Form responses 1'!AW1784</f>
        <v/>
      </c>
      <c r="I941" s="4" t="str">
        <f>'Form responses 1'!AS1784</f>
        <v/>
      </c>
      <c r="J941" s="4" t="str">
        <f>'Form responses 1'!J1784</f>
        <v/>
      </c>
      <c r="K941" s="4" t="str">
        <f>'Form responses 1'!G1784</f>
        <v/>
      </c>
      <c r="L941" s="4" t="str">
        <f>'Form responses 1'!F1784</f>
        <v/>
      </c>
      <c r="M941" s="4" t="str">
        <f>'Form responses 1'!U1784</f>
        <v/>
      </c>
      <c r="N941" s="4" t="str">
        <f>'Form responses 1'!V1784</f>
        <v/>
      </c>
      <c r="O941" s="4" t="str">
        <f>'Form responses 1'!W1784</f>
        <v/>
      </c>
      <c r="P941" s="4" t="str">
        <f>'Form responses 1'!X1784</f>
        <v/>
      </c>
      <c r="Q941" s="4" t="str">
        <f>'Form responses 1'!Y1784</f>
        <v/>
      </c>
      <c r="R941" s="4" t="str">
        <f>'Form responses 1'!Z1784</f>
        <v/>
      </c>
      <c r="S941" s="4" t="str">
        <f>'Form responses 1'!AC1784</f>
        <v/>
      </c>
      <c r="T941" s="4" t="str">
        <f>'Form responses 1'!AE1784</f>
        <v/>
      </c>
      <c r="U941" s="4" t="str">
        <f>'Form responses 1'!AG1784</f>
        <v/>
      </c>
      <c r="V941" s="4" t="str">
        <f>'Form responses 1'!AI1784</f>
        <v/>
      </c>
      <c r="W941" s="4" t="str">
        <f>'Form responses 1'!AJ1784</f>
        <v/>
      </c>
      <c r="X941" s="4" t="str">
        <f>'Form responses 1'!AK1784</f>
        <v/>
      </c>
      <c r="Y941" s="4">
        <f t="shared" ref="Y941:AD941" si="940">if(S941&gt;0,1,0)</f>
        <v>0</v>
      </c>
      <c r="Z941" s="4">
        <f t="shared" si="940"/>
        <v>0</v>
      </c>
      <c r="AA941" s="4">
        <f t="shared" si="940"/>
        <v>0</v>
      </c>
      <c r="AB941" s="4">
        <f t="shared" si="940"/>
        <v>0</v>
      </c>
      <c r="AC941" s="4">
        <f t="shared" si="940"/>
        <v>0</v>
      </c>
      <c r="AD941" s="4">
        <f t="shared" si="940"/>
        <v>0</v>
      </c>
      <c r="AE941" s="4" t="str">
        <f>'Form responses 1'!AN1784</f>
        <v/>
      </c>
      <c r="AF941" s="4" t="str">
        <f>'Form responses 1'!AO2065</f>
        <v/>
      </c>
      <c r="AG941" s="4" t="str">
        <f>'Form responses 1'!AP2065</f>
        <v/>
      </c>
      <c r="AH941" s="4" t="str">
        <f>'Form responses 1'!AQ2065</f>
        <v/>
      </c>
      <c r="AI941" s="4" t="str">
        <f>'Form responses 1'!AR2065</f>
        <v/>
      </c>
    </row>
    <row r="942">
      <c r="A942" s="4" t="str">
        <f>'Form responses 1'!B1785</f>
        <v/>
      </c>
      <c r="B942" s="4" t="str">
        <f>'Form responses 1'!AZ1785</f>
        <v/>
      </c>
      <c r="C942" s="4" t="str">
        <f>'Form responses 1'!BR1785</f>
        <v/>
      </c>
      <c r="D942" s="4" t="str">
        <f>'Form responses 1'!AT1785</f>
        <v/>
      </c>
      <c r="E942" s="4" t="str">
        <f>'Form responses 1'!AU1785</f>
        <v/>
      </c>
      <c r="F942" s="4" t="str">
        <f>'Form responses 1'!AX1785</f>
        <v/>
      </c>
      <c r="G942" s="4" t="str">
        <f>'Form responses 1'!AY1785</f>
        <v/>
      </c>
      <c r="H942" s="53" t="str">
        <f>'Form responses 1'!AW1785</f>
        <v/>
      </c>
      <c r="I942" s="4" t="str">
        <f>'Form responses 1'!AS1785</f>
        <v/>
      </c>
      <c r="J942" s="4" t="str">
        <f>'Form responses 1'!J1785</f>
        <v/>
      </c>
      <c r="K942" s="4" t="str">
        <f>'Form responses 1'!G1785</f>
        <v/>
      </c>
      <c r="L942" s="4" t="str">
        <f>'Form responses 1'!F1785</f>
        <v/>
      </c>
      <c r="M942" s="4" t="str">
        <f>'Form responses 1'!U1785</f>
        <v/>
      </c>
      <c r="N942" s="4" t="str">
        <f>'Form responses 1'!V1785</f>
        <v/>
      </c>
      <c r="O942" s="4" t="str">
        <f>'Form responses 1'!W1785</f>
        <v/>
      </c>
      <c r="P942" s="4" t="str">
        <f>'Form responses 1'!X1785</f>
        <v/>
      </c>
      <c r="Q942" s="4" t="str">
        <f>'Form responses 1'!Y1785</f>
        <v/>
      </c>
      <c r="R942" s="4" t="str">
        <f>'Form responses 1'!Z1785</f>
        <v/>
      </c>
      <c r="S942" s="4" t="str">
        <f>'Form responses 1'!AC1785</f>
        <v/>
      </c>
      <c r="T942" s="4" t="str">
        <f>'Form responses 1'!AE1785</f>
        <v/>
      </c>
      <c r="U942" s="4" t="str">
        <f>'Form responses 1'!AG1785</f>
        <v/>
      </c>
      <c r="V942" s="4" t="str">
        <f>'Form responses 1'!AI1785</f>
        <v/>
      </c>
      <c r="W942" s="4" t="str">
        <f>'Form responses 1'!AJ1785</f>
        <v/>
      </c>
      <c r="X942" s="4" t="str">
        <f>'Form responses 1'!AK1785</f>
        <v/>
      </c>
      <c r="Y942" s="4">
        <f t="shared" ref="Y942:AD942" si="941">if(S942&gt;0,1,0)</f>
        <v>0</v>
      </c>
      <c r="Z942" s="4">
        <f t="shared" si="941"/>
        <v>0</v>
      </c>
      <c r="AA942" s="4">
        <f t="shared" si="941"/>
        <v>0</v>
      </c>
      <c r="AB942" s="4">
        <f t="shared" si="941"/>
        <v>0</v>
      </c>
      <c r="AC942" s="4">
        <f t="shared" si="941"/>
        <v>0</v>
      </c>
      <c r="AD942" s="4">
        <f t="shared" si="941"/>
        <v>0</v>
      </c>
      <c r="AE942" s="4" t="str">
        <f>'Form responses 1'!AN1785</f>
        <v/>
      </c>
      <c r="AF942" s="4" t="str">
        <f>'Form responses 1'!AO2066</f>
        <v/>
      </c>
      <c r="AG942" s="4" t="str">
        <f>'Form responses 1'!AP2066</f>
        <v/>
      </c>
      <c r="AH942" s="4" t="str">
        <f>'Form responses 1'!AQ2066</f>
        <v/>
      </c>
      <c r="AI942" s="4" t="str">
        <f>'Form responses 1'!AR2066</f>
        <v/>
      </c>
    </row>
    <row r="943">
      <c r="A943" s="4" t="str">
        <f>'Form responses 1'!B1786</f>
        <v/>
      </c>
      <c r="B943" s="4" t="str">
        <f>'Form responses 1'!AZ1786</f>
        <v/>
      </c>
      <c r="C943" s="4" t="str">
        <f>'Form responses 1'!BR1786</f>
        <v/>
      </c>
      <c r="D943" s="4" t="str">
        <f>'Form responses 1'!AT1786</f>
        <v/>
      </c>
      <c r="E943" s="4" t="str">
        <f>'Form responses 1'!AU1786</f>
        <v/>
      </c>
      <c r="F943" s="4" t="str">
        <f>'Form responses 1'!AX1786</f>
        <v/>
      </c>
      <c r="G943" s="4" t="str">
        <f>'Form responses 1'!AY1786</f>
        <v/>
      </c>
      <c r="H943" s="53" t="str">
        <f>'Form responses 1'!AW1786</f>
        <v/>
      </c>
      <c r="I943" s="4" t="str">
        <f>'Form responses 1'!AS1786</f>
        <v/>
      </c>
      <c r="J943" s="4" t="str">
        <f>'Form responses 1'!J1786</f>
        <v/>
      </c>
      <c r="K943" s="4" t="str">
        <f>'Form responses 1'!G1786</f>
        <v/>
      </c>
      <c r="L943" s="4" t="str">
        <f>'Form responses 1'!F1786</f>
        <v/>
      </c>
      <c r="M943" s="4" t="str">
        <f>'Form responses 1'!U1786</f>
        <v/>
      </c>
      <c r="N943" s="4" t="str">
        <f>'Form responses 1'!V1786</f>
        <v/>
      </c>
      <c r="O943" s="4" t="str">
        <f>'Form responses 1'!W1786</f>
        <v/>
      </c>
      <c r="P943" s="4" t="str">
        <f>'Form responses 1'!X1786</f>
        <v/>
      </c>
      <c r="Q943" s="4" t="str">
        <f>'Form responses 1'!Y1786</f>
        <v/>
      </c>
      <c r="R943" s="4" t="str">
        <f>'Form responses 1'!Z1786</f>
        <v/>
      </c>
      <c r="S943" s="4" t="str">
        <f>'Form responses 1'!AC1786</f>
        <v/>
      </c>
      <c r="T943" s="4" t="str">
        <f>'Form responses 1'!AE1786</f>
        <v/>
      </c>
      <c r="U943" s="4" t="str">
        <f>'Form responses 1'!AG1786</f>
        <v/>
      </c>
      <c r="V943" s="4" t="str">
        <f>'Form responses 1'!AI1786</f>
        <v/>
      </c>
      <c r="W943" s="4" t="str">
        <f>'Form responses 1'!AJ1786</f>
        <v/>
      </c>
      <c r="X943" s="4" t="str">
        <f>'Form responses 1'!AK1786</f>
        <v/>
      </c>
      <c r="Y943" s="4">
        <f t="shared" ref="Y943:AD943" si="942">if(S943&gt;0,1,0)</f>
        <v>0</v>
      </c>
      <c r="Z943" s="4">
        <f t="shared" si="942"/>
        <v>0</v>
      </c>
      <c r="AA943" s="4">
        <f t="shared" si="942"/>
        <v>0</v>
      </c>
      <c r="AB943" s="4">
        <f t="shared" si="942"/>
        <v>0</v>
      </c>
      <c r="AC943" s="4">
        <f t="shared" si="942"/>
        <v>0</v>
      </c>
      <c r="AD943" s="4">
        <f t="shared" si="942"/>
        <v>0</v>
      </c>
      <c r="AE943" s="4" t="str">
        <f>'Form responses 1'!AN1786</f>
        <v/>
      </c>
      <c r="AF943" s="4" t="str">
        <f>'Form responses 1'!AO2067</f>
        <v/>
      </c>
      <c r="AG943" s="4" t="str">
        <f>'Form responses 1'!AP2067</f>
        <v/>
      </c>
      <c r="AH943" s="4" t="str">
        <f>'Form responses 1'!AQ2067</f>
        <v/>
      </c>
      <c r="AI943" s="4" t="str">
        <f>'Form responses 1'!AR2067</f>
        <v/>
      </c>
    </row>
    <row r="944">
      <c r="A944" s="4" t="str">
        <f>'Form responses 1'!B1787</f>
        <v/>
      </c>
      <c r="B944" s="4" t="str">
        <f>'Form responses 1'!AZ1787</f>
        <v/>
      </c>
      <c r="C944" s="4" t="str">
        <f>'Form responses 1'!BR1787</f>
        <v/>
      </c>
      <c r="D944" s="4" t="str">
        <f>'Form responses 1'!AT1787</f>
        <v/>
      </c>
      <c r="E944" s="4" t="str">
        <f>'Form responses 1'!AU1787</f>
        <v/>
      </c>
      <c r="F944" s="4" t="str">
        <f>'Form responses 1'!AX1787</f>
        <v/>
      </c>
      <c r="G944" s="4" t="str">
        <f>'Form responses 1'!AY1787</f>
        <v/>
      </c>
      <c r="H944" s="53" t="str">
        <f>'Form responses 1'!AW1787</f>
        <v/>
      </c>
      <c r="I944" s="4" t="str">
        <f>'Form responses 1'!AS1787</f>
        <v/>
      </c>
      <c r="J944" s="4" t="str">
        <f>'Form responses 1'!J1787</f>
        <v/>
      </c>
      <c r="K944" s="4" t="str">
        <f>'Form responses 1'!G1787</f>
        <v/>
      </c>
      <c r="L944" s="4" t="str">
        <f>'Form responses 1'!F1787</f>
        <v/>
      </c>
      <c r="M944" s="4" t="str">
        <f>'Form responses 1'!U1787</f>
        <v/>
      </c>
      <c r="N944" s="4" t="str">
        <f>'Form responses 1'!V1787</f>
        <v/>
      </c>
      <c r="O944" s="4" t="str">
        <f>'Form responses 1'!W1787</f>
        <v/>
      </c>
      <c r="P944" s="4" t="str">
        <f>'Form responses 1'!X1787</f>
        <v/>
      </c>
      <c r="Q944" s="4" t="str">
        <f>'Form responses 1'!Y1787</f>
        <v/>
      </c>
      <c r="R944" s="4" t="str">
        <f>'Form responses 1'!Z1787</f>
        <v/>
      </c>
      <c r="S944" s="4" t="str">
        <f>'Form responses 1'!AC1787</f>
        <v/>
      </c>
      <c r="T944" s="4" t="str">
        <f>'Form responses 1'!AE1787</f>
        <v/>
      </c>
      <c r="U944" s="4" t="str">
        <f>'Form responses 1'!AG1787</f>
        <v/>
      </c>
      <c r="V944" s="4" t="str">
        <f>'Form responses 1'!AI1787</f>
        <v/>
      </c>
      <c r="W944" s="4" t="str">
        <f>'Form responses 1'!AJ1787</f>
        <v/>
      </c>
      <c r="X944" s="4" t="str">
        <f>'Form responses 1'!AK1787</f>
        <v/>
      </c>
      <c r="Y944" s="4">
        <f t="shared" ref="Y944:AD944" si="943">if(S944&gt;0,1,0)</f>
        <v>0</v>
      </c>
      <c r="Z944" s="4">
        <f t="shared" si="943"/>
        <v>0</v>
      </c>
      <c r="AA944" s="4">
        <f t="shared" si="943"/>
        <v>0</v>
      </c>
      <c r="AB944" s="4">
        <f t="shared" si="943"/>
        <v>0</v>
      </c>
      <c r="AC944" s="4">
        <f t="shared" si="943"/>
        <v>0</v>
      </c>
      <c r="AD944" s="4">
        <f t="shared" si="943"/>
        <v>0</v>
      </c>
      <c r="AE944" s="4" t="str">
        <f>'Form responses 1'!AN1787</f>
        <v/>
      </c>
      <c r="AF944" s="4" t="str">
        <f>'Form responses 1'!AO2068</f>
        <v/>
      </c>
      <c r="AG944" s="4" t="str">
        <f>'Form responses 1'!AP2068</f>
        <v/>
      </c>
      <c r="AH944" s="4" t="str">
        <f>'Form responses 1'!AQ2068</f>
        <v/>
      </c>
      <c r="AI944" s="4" t="str">
        <f>'Form responses 1'!AR2068</f>
        <v/>
      </c>
    </row>
    <row r="945">
      <c r="A945" s="4" t="str">
        <f>'Form responses 1'!B1788</f>
        <v/>
      </c>
      <c r="B945" s="4" t="str">
        <f>'Form responses 1'!AZ1788</f>
        <v/>
      </c>
      <c r="C945" s="4" t="str">
        <f>'Form responses 1'!BR1788</f>
        <v/>
      </c>
      <c r="D945" s="4" t="str">
        <f>'Form responses 1'!AT1788</f>
        <v/>
      </c>
      <c r="E945" s="4" t="str">
        <f>'Form responses 1'!AU1788</f>
        <v/>
      </c>
      <c r="F945" s="4" t="str">
        <f>'Form responses 1'!AX1788</f>
        <v/>
      </c>
      <c r="G945" s="4" t="str">
        <f>'Form responses 1'!AY1788</f>
        <v/>
      </c>
      <c r="H945" s="53" t="str">
        <f>'Form responses 1'!AW1788</f>
        <v/>
      </c>
      <c r="I945" s="4" t="str">
        <f>'Form responses 1'!AS1788</f>
        <v/>
      </c>
      <c r="J945" s="4" t="str">
        <f>'Form responses 1'!J1788</f>
        <v/>
      </c>
      <c r="K945" s="4" t="str">
        <f>'Form responses 1'!G1788</f>
        <v/>
      </c>
      <c r="L945" s="4" t="str">
        <f>'Form responses 1'!F1788</f>
        <v/>
      </c>
      <c r="M945" s="4" t="str">
        <f>'Form responses 1'!U1788</f>
        <v/>
      </c>
      <c r="N945" s="4" t="str">
        <f>'Form responses 1'!V1788</f>
        <v/>
      </c>
      <c r="O945" s="4" t="str">
        <f>'Form responses 1'!W1788</f>
        <v/>
      </c>
      <c r="P945" s="4" t="str">
        <f>'Form responses 1'!X1788</f>
        <v/>
      </c>
      <c r="Q945" s="4" t="str">
        <f>'Form responses 1'!Y1788</f>
        <v/>
      </c>
      <c r="R945" s="4" t="str">
        <f>'Form responses 1'!Z1788</f>
        <v/>
      </c>
      <c r="S945" s="4" t="str">
        <f>'Form responses 1'!AC1788</f>
        <v/>
      </c>
      <c r="T945" s="4" t="str">
        <f>'Form responses 1'!AE1788</f>
        <v/>
      </c>
      <c r="U945" s="4" t="str">
        <f>'Form responses 1'!AG1788</f>
        <v/>
      </c>
      <c r="V945" s="4" t="str">
        <f>'Form responses 1'!AI1788</f>
        <v/>
      </c>
      <c r="W945" s="4" t="str">
        <f>'Form responses 1'!AJ1788</f>
        <v/>
      </c>
      <c r="X945" s="4" t="str">
        <f>'Form responses 1'!AK1788</f>
        <v/>
      </c>
      <c r="Y945" s="4">
        <f t="shared" ref="Y945:AD945" si="944">if(S945&gt;0,1,0)</f>
        <v>0</v>
      </c>
      <c r="Z945" s="4">
        <f t="shared" si="944"/>
        <v>0</v>
      </c>
      <c r="AA945" s="4">
        <f t="shared" si="944"/>
        <v>0</v>
      </c>
      <c r="AB945" s="4">
        <f t="shared" si="944"/>
        <v>0</v>
      </c>
      <c r="AC945" s="4">
        <f t="shared" si="944"/>
        <v>0</v>
      </c>
      <c r="AD945" s="4">
        <f t="shared" si="944"/>
        <v>0</v>
      </c>
      <c r="AE945" s="4" t="str">
        <f>'Form responses 1'!AN1788</f>
        <v/>
      </c>
      <c r="AF945" s="4" t="str">
        <f>'Form responses 1'!AO2069</f>
        <v/>
      </c>
      <c r="AG945" s="4" t="str">
        <f>'Form responses 1'!AP2069</f>
        <v/>
      </c>
      <c r="AH945" s="4" t="str">
        <f>'Form responses 1'!AQ2069</f>
        <v/>
      </c>
      <c r="AI945" s="4" t="str">
        <f>'Form responses 1'!AR2069</f>
        <v/>
      </c>
    </row>
    <row r="946">
      <c r="A946" s="4" t="str">
        <f>'Form responses 1'!B1789</f>
        <v/>
      </c>
      <c r="B946" s="4" t="str">
        <f>'Form responses 1'!AZ1789</f>
        <v/>
      </c>
      <c r="C946" s="4" t="str">
        <f>'Form responses 1'!BR1789</f>
        <v/>
      </c>
      <c r="D946" s="4" t="str">
        <f>'Form responses 1'!AT1789</f>
        <v/>
      </c>
      <c r="E946" s="4" t="str">
        <f>'Form responses 1'!AU1789</f>
        <v/>
      </c>
      <c r="F946" s="4" t="str">
        <f>'Form responses 1'!AX1789</f>
        <v/>
      </c>
      <c r="G946" s="4" t="str">
        <f>'Form responses 1'!AY1789</f>
        <v/>
      </c>
      <c r="H946" s="53" t="str">
        <f>'Form responses 1'!AW1789</f>
        <v/>
      </c>
      <c r="I946" s="4" t="str">
        <f>'Form responses 1'!AS1789</f>
        <v/>
      </c>
      <c r="J946" s="4" t="str">
        <f>'Form responses 1'!J1789</f>
        <v/>
      </c>
      <c r="K946" s="4" t="str">
        <f>'Form responses 1'!G1789</f>
        <v/>
      </c>
      <c r="L946" s="4" t="str">
        <f>'Form responses 1'!F1789</f>
        <v/>
      </c>
      <c r="M946" s="4" t="str">
        <f>'Form responses 1'!U1789</f>
        <v/>
      </c>
      <c r="N946" s="4" t="str">
        <f>'Form responses 1'!V1789</f>
        <v/>
      </c>
      <c r="O946" s="4" t="str">
        <f>'Form responses 1'!W1789</f>
        <v/>
      </c>
      <c r="P946" s="4" t="str">
        <f>'Form responses 1'!X1789</f>
        <v/>
      </c>
      <c r="Q946" s="4" t="str">
        <f>'Form responses 1'!Y1789</f>
        <v/>
      </c>
      <c r="R946" s="4" t="str">
        <f>'Form responses 1'!Z1789</f>
        <v/>
      </c>
      <c r="S946" s="4" t="str">
        <f>'Form responses 1'!AC1789</f>
        <v/>
      </c>
      <c r="T946" s="4" t="str">
        <f>'Form responses 1'!AE1789</f>
        <v/>
      </c>
      <c r="U946" s="4" t="str">
        <f>'Form responses 1'!AG1789</f>
        <v/>
      </c>
      <c r="V946" s="4" t="str">
        <f>'Form responses 1'!AI1789</f>
        <v/>
      </c>
      <c r="W946" s="4" t="str">
        <f>'Form responses 1'!AJ1789</f>
        <v/>
      </c>
      <c r="X946" s="4" t="str">
        <f>'Form responses 1'!AK1789</f>
        <v/>
      </c>
      <c r="Y946" s="4">
        <f t="shared" ref="Y946:AD946" si="945">if(S946&gt;0,1,0)</f>
        <v>0</v>
      </c>
      <c r="Z946" s="4">
        <f t="shared" si="945"/>
        <v>0</v>
      </c>
      <c r="AA946" s="4">
        <f t="shared" si="945"/>
        <v>0</v>
      </c>
      <c r="AB946" s="4">
        <f t="shared" si="945"/>
        <v>0</v>
      </c>
      <c r="AC946" s="4">
        <f t="shared" si="945"/>
        <v>0</v>
      </c>
      <c r="AD946" s="4">
        <f t="shared" si="945"/>
        <v>0</v>
      </c>
      <c r="AE946" s="4" t="str">
        <f>'Form responses 1'!AN1789</f>
        <v/>
      </c>
      <c r="AF946" s="4" t="str">
        <f>'Form responses 1'!AO2070</f>
        <v/>
      </c>
      <c r="AG946" s="4" t="str">
        <f>'Form responses 1'!AP2070</f>
        <v/>
      </c>
      <c r="AH946" s="4" t="str">
        <f>'Form responses 1'!AQ2070</f>
        <v/>
      </c>
      <c r="AI946" s="4" t="str">
        <f>'Form responses 1'!AR2070</f>
        <v/>
      </c>
    </row>
    <row r="947">
      <c r="A947" s="4" t="str">
        <f>'Form responses 1'!B1790</f>
        <v/>
      </c>
      <c r="B947" s="4" t="str">
        <f>'Form responses 1'!AZ1790</f>
        <v/>
      </c>
      <c r="C947" s="4" t="str">
        <f>'Form responses 1'!BR1790</f>
        <v/>
      </c>
      <c r="D947" s="4" t="str">
        <f>'Form responses 1'!AT1790</f>
        <v/>
      </c>
      <c r="E947" s="4" t="str">
        <f>'Form responses 1'!AU1790</f>
        <v/>
      </c>
      <c r="F947" s="4" t="str">
        <f>'Form responses 1'!AX1790</f>
        <v/>
      </c>
      <c r="G947" s="4" t="str">
        <f>'Form responses 1'!AY1790</f>
        <v/>
      </c>
      <c r="H947" s="53" t="str">
        <f>'Form responses 1'!AW1790</f>
        <v/>
      </c>
      <c r="I947" s="4" t="str">
        <f>'Form responses 1'!AS1790</f>
        <v/>
      </c>
      <c r="J947" s="4" t="str">
        <f>'Form responses 1'!J1790</f>
        <v/>
      </c>
      <c r="K947" s="4" t="str">
        <f>'Form responses 1'!G1790</f>
        <v/>
      </c>
      <c r="L947" s="4" t="str">
        <f>'Form responses 1'!F1790</f>
        <v/>
      </c>
      <c r="M947" s="4" t="str">
        <f>'Form responses 1'!U1790</f>
        <v/>
      </c>
      <c r="N947" s="4" t="str">
        <f>'Form responses 1'!V1790</f>
        <v/>
      </c>
      <c r="O947" s="4" t="str">
        <f>'Form responses 1'!W1790</f>
        <v/>
      </c>
      <c r="P947" s="4" t="str">
        <f>'Form responses 1'!X1790</f>
        <v/>
      </c>
      <c r="Q947" s="4" t="str">
        <f>'Form responses 1'!Y1790</f>
        <v/>
      </c>
      <c r="R947" s="4" t="str">
        <f>'Form responses 1'!Z1790</f>
        <v/>
      </c>
      <c r="S947" s="4" t="str">
        <f>'Form responses 1'!AC1790</f>
        <v/>
      </c>
      <c r="T947" s="4" t="str">
        <f>'Form responses 1'!AE1790</f>
        <v/>
      </c>
      <c r="U947" s="4" t="str">
        <f>'Form responses 1'!AG1790</f>
        <v/>
      </c>
      <c r="V947" s="4" t="str">
        <f>'Form responses 1'!AI1790</f>
        <v/>
      </c>
      <c r="W947" s="4" t="str">
        <f>'Form responses 1'!AJ1790</f>
        <v/>
      </c>
      <c r="X947" s="4" t="str">
        <f>'Form responses 1'!AK1790</f>
        <v/>
      </c>
      <c r="Y947" s="4">
        <f t="shared" ref="Y947:AD947" si="946">if(S947&gt;0,1,0)</f>
        <v>0</v>
      </c>
      <c r="Z947" s="4">
        <f t="shared" si="946"/>
        <v>0</v>
      </c>
      <c r="AA947" s="4">
        <f t="shared" si="946"/>
        <v>0</v>
      </c>
      <c r="AB947" s="4">
        <f t="shared" si="946"/>
        <v>0</v>
      </c>
      <c r="AC947" s="4">
        <f t="shared" si="946"/>
        <v>0</v>
      </c>
      <c r="AD947" s="4">
        <f t="shared" si="946"/>
        <v>0</v>
      </c>
      <c r="AE947" s="4" t="str">
        <f>'Form responses 1'!AN1790</f>
        <v/>
      </c>
      <c r="AF947" s="4" t="str">
        <f>'Form responses 1'!AO2071</f>
        <v/>
      </c>
      <c r="AG947" s="4" t="str">
        <f>'Form responses 1'!AP2071</f>
        <v/>
      </c>
      <c r="AH947" s="4" t="str">
        <f>'Form responses 1'!AQ2071</f>
        <v/>
      </c>
      <c r="AI947" s="4" t="str">
        <f>'Form responses 1'!AR2071</f>
        <v/>
      </c>
    </row>
    <row r="948">
      <c r="A948" s="4" t="str">
        <f>'Form responses 1'!B1791</f>
        <v/>
      </c>
      <c r="B948" s="4" t="str">
        <f>'Form responses 1'!AZ1791</f>
        <v/>
      </c>
      <c r="C948" s="4" t="str">
        <f>'Form responses 1'!BR1791</f>
        <v/>
      </c>
      <c r="D948" s="4" t="str">
        <f>'Form responses 1'!AT1791</f>
        <v/>
      </c>
      <c r="E948" s="4" t="str">
        <f>'Form responses 1'!AU1791</f>
        <v/>
      </c>
      <c r="F948" s="4" t="str">
        <f>'Form responses 1'!AX1791</f>
        <v/>
      </c>
      <c r="G948" s="4" t="str">
        <f>'Form responses 1'!AY1791</f>
        <v/>
      </c>
      <c r="H948" s="53" t="str">
        <f>'Form responses 1'!AW1791</f>
        <v/>
      </c>
      <c r="I948" s="4" t="str">
        <f>'Form responses 1'!AS1791</f>
        <v/>
      </c>
      <c r="J948" s="4" t="str">
        <f>'Form responses 1'!J1791</f>
        <v/>
      </c>
      <c r="K948" s="4" t="str">
        <f>'Form responses 1'!G1791</f>
        <v/>
      </c>
      <c r="L948" s="4" t="str">
        <f>'Form responses 1'!F1791</f>
        <v/>
      </c>
      <c r="M948" s="4" t="str">
        <f>'Form responses 1'!U1791</f>
        <v/>
      </c>
      <c r="N948" s="4" t="str">
        <f>'Form responses 1'!V1791</f>
        <v/>
      </c>
      <c r="O948" s="4" t="str">
        <f>'Form responses 1'!W1791</f>
        <v/>
      </c>
      <c r="P948" s="4" t="str">
        <f>'Form responses 1'!X1791</f>
        <v/>
      </c>
      <c r="Q948" s="4" t="str">
        <f>'Form responses 1'!Y1791</f>
        <v/>
      </c>
      <c r="R948" s="4" t="str">
        <f>'Form responses 1'!Z1791</f>
        <v/>
      </c>
      <c r="S948" s="4" t="str">
        <f>'Form responses 1'!AC1791</f>
        <v/>
      </c>
      <c r="T948" s="4" t="str">
        <f>'Form responses 1'!AE1791</f>
        <v/>
      </c>
      <c r="U948" s="4" t="str">
        <f>'Form responses 1'!AG1791</f>
        <v/>
      </c>
      <c r="V948" s="4" t="str">
        <f>'Form responses 1'!AI1791</f>
        <v/>
      </c>
      <c r="W948" s="4" t="str">
        <f>'Form responses 1'!AJ1791</f>
        <v/>
      </c>
      <c r="X948" s="4" t="str">
        <f>'Form responses 1'!AK1791</f>
        <v/>
      </c>
      <c r="Y948" s="4">
        <f t="shared" ref="Y948:AD948" si="947">if(S948&gt;0,1,0)</f>
        <v>0</v>
      </c>
      <c r="Z948" s="4">
        <f t="shared" si="947"/>
        <v>0</v>
      </c>
      <c r="AA948" s="4">
        <f t="shared" si="947"/>
        <v>0</v>
      </c>
      <c r="AB948" s="4">
        <f t="shared" si="947"/>
        <v>0</v>
      </c>
      <c r="AC948" s="4">
        <f t="shared" si="947"/>
        <v>0</v>
      </c>
      <c r="AD948" s="4">
        <f t="shared" si="947"/>
        <v>0</v>
      </c>
      <c r="AE948" s="4" t="str">
        <f>'Form responses 1'!AN1791</f>
        <v/>
      </c>
      <c r="AF948" s="4" t="str">
        <f>'Form responses 1'!AO2072</f>
        <v/>
      </c>
      <c r="AG948" s="4" t="str">
        <f>'Form responses 1'!AP2072</f>
        <v/>
      </c>
      <c r="AH948" s="4" t="str">
        <f>'Form responses 1'!AQ2072</f>
        <v/>
      </c>
      <c r="AI948" s="4" t="str">
        <f>'Form responses 1'!AR2072</f>
        <v/>
      </c>
    </row>
    <row r="949">
      <c r="A949" s="4" t="str">
        <f>'Form responses 1'!B1792</f>
        <v/>
      </c>
      <c r="B949" s="4" t="str">
        <f>'Form responses 1'!AZ1792</f>
        <v/>
      </c>
      <c r="C949" s="4" t="str">
        <f>'Form responses 1'!BR1792</f>
        <v/>
      </c>
      <c r="D949" s="4" t="str">
        <f>'Form responses 1'!AT1792</f>
        <v/>
      </c>
      <c r="E949" s="4" t="str">
        <f>'Form responses 1'!AU1792</f>
        <v/>
      </c>
      <c r="F949" s="4" t="str">
        <f>'Form responses 1'!AX1792</f>
        <v/>
      </c>
      <c r="G949" s="4" t="str">
        <f>'Form responses 1'!AY1792</f>
        <v/>
      </c>
      <c r="H949" s="53" t="str">
        <f>'Form responses 1'!AW1792</f>
        <v/>
      </c>
      <c r="I949" s="4" t="str">
        <f>'Form responses 1'!AS1792</f>
        <v/>
      </c>
      <c r="J949" s="4" t="str">
        <f>'Form responses 1'!J1792</f>
        <v/>
      </c>
      <c r="K949" s="4" t="str">
        <f>'Form responses 1'!G1792</f>
        <v/>
      </c>
      <c r="L949" s="4" t="str">
        <f>'Form responses 1'!F1792</f>
        <v/>
      </c>
      <c r="M949" s="4" t="str">
        <f>'Form responses 1'!U1792</f>
        <v/>
      </c>
      <c r="N949" s="4" t="str">
        <f>'Form responses 1'!V1792</f>
        <v/>
      </c>
      <c r="O949" s="4" t="str">
        <f>'Form responses 1'!W1792</f>
        <v/>
      </c>
      <c r="P949" s="4" t="str">
        <f>'Form responses 1'!X1792</f>
        <v/>
      </c>
      <c r="Q949" s="4" t="str">
        <f>'Form responses 1'!Y1792</f>
        <v/>
      </c>
      <c r="R949" s="4" t="str">
        <f>'Form responses 1'!Z1792</f>
        <v/>
      </c>
      <c r="S949" s="4" t="str">
        <f>'Form responses 1'!AC1792</f>
        <v/>
      </c>
      <c r="T949" s="4" t="str">
        <f>'Form responses 1'!AE1792</f>
        <v/>
      </c>
      <c r="U949" s="4" t="str">
        <f>'Form responses 1'!AG1792</f>
        <v/>
      </c>
      <c r="V949" s="4" t="str">
        <f>'Form responses 1'!AI1792</f>
        <v/>
      </c>
      <c r="W949" s="4" t="str">
        <f>'Form responses 1'!AJ1792</f>
        <v/>
      </c>
      <c r="X949" s="4" t="str">
        <f>'Form responses 1'!AK1792</f>
        <v/>
      </c>
      <c r="Y949" s="4">
        <f t="shared" ref="Y949:AD949" si="948">if(S949&gt;0,1,0)</f>
        <v>0</v>
      </c>
      <c r="Z949" s="4">
        <f t="shared" si="948"/>
        <v>0</v>
      </c>
      <c r="AA949" s="4">
        <f t="shared" si="948"/>
        <v>0</v>
      </c>
      <c r="AB949" s="4">
        <f t="shared" si="948"/>
        <v>0</v>
      </c>
      <c r="AC949" s="4">
        <f t="shared" si="948"/>
        <v>0</v>
      </c>
      <c r="AD949" s="4">
        <f t="shared" si="948"/>
        <v>0</v>
      </c>
      <c r="AE949" s="4" t="str">
        <f>'Form responses 1'!AN1792</f>
        <v/>
      </c>
      <c r="AF949" s="4" t="str">
        <f>'Form responses 1'!AO2073</f>
        <v/>
      </c>
      <c r="AG949" s="4" t="str">
        <f>'Form responses 1'!AP2073</f>
        <v/>
      </c>
      <c r="AH949" s="4" t="str">
        <f>'Form responses 1'!AQ2073</f>
        <v/>
      </c>
      <c r="AI949" s="4" t="str">
        <f>'Form responses 1'!AR2073</f>
        <v/>
      </c>
    </row>
    <row r="950">
      <c r="A950" s="4" t="str">
        <f>'Form responses 1'!B1793</f>
        <v/>
      </c>
      <c r="B950" s="4" t="str">
        <f>'Form responses 1'!AZ1793</f>
        <v/>
      </c>
      <c r="C950" s="4" t="str">
        <f>'Form responses 1'!BR1793</f>
        <v/>
      </c>
      <c r="D950" s="4" t="str">
        <f>'Form responses 1'!AT1793</f>
        <v/>
      </c>
      <c r="E950" s="4" t="str">
        <f>'Form responses 1'!AU1793</f>
        <v/>
      </c>
      <c r="F950" s="4" t="str">
        <f>'Form responses 1'!AX1793</f>
        <v/>
      </c>
      <c r="G950" s="4" t="str">
        <f>'Form responses 1'!AY1793</f>
        <v/>
      </c>
      <c r="H950" s="53" t="str">
        <f>'Form responses 1'!AW1793</f>
        <v/>
      </c>
      <c r="I950" s="4" t="str">
        <f>'Form responses 1'!AS1793</f>
        <v/>
      </c>
      <c r="J950" s="4" t="str">
        <f>'Form responses 1'!J1793</f>
        <v/>
      </c>
      <c r="K950" s="4" t="str">
        <f>'Form responses 1'!G1793</f>
        <v/>
      </c>
      <c r="L950" s="4" t="str">
        <f>'Form responses 1'!F1793</f>
        <v/>
      </c>
      <c r="M950" s="4" t="str">
        <f>'Form responses 1'!U1793</f>
        <v/>
      </c>
      <c r="N950" s="4" t="str">
        <f>'Form responses 1'!V1793</f>
        <v/>
      </c>
      <c r="O950" s="4" t="str">
        <f>'Form responses 1'!W1793</f>
        <v/>
      </c>
      <c r="P950" s="4" t="str">
        <f>'Form responses 1'!X1793</f>
        <v/>
      </c>
      <c r="Q950" s="4" t="str">
        <f>'Form responses 1'!Y1793</f>
        <v/>
      </c>
      <c r="R950" s="4" t="str">
        <f>'Form responses 1'!Z1793</f>
        <v/>
      </c>
      <c r="S950" s="4" t="str">
        <f>'Form responses 1'!AC1793</f>
        <v/>
      </c>
      <c r="T950" s="4" t="str">
        <f>'Form responses 1'!AE1793</f>
        <v/>
      </c>
      <c r="U950" s="4" t="str">
        <f>'Form responses 1'!AG1793</f>
        <v/>
      </c>
      <c r="V950" s="4" t="str">
        <f>'Form responses 1'!AI1793</f>
        <v/>
      </c>
      <c r="W950" s="4" t="str">
        <f>'Form responses 1'!AJ1793</f>
        <v/>
      </c>
      <c r="X950" s="4" t="str">
        <f>'Form responses 1'!AK1793</f>
        <v/>
      </c>
      <c r="Y950" s="4">
        <f t="shared" ref="Y950:AD950" si="949">if(S950&gt;0,1,0)</f>
        <v>0</v>
      </c>
      <c r="Z950" s="4">
        <f t="shared" si="949"/>
        <v>0</v>
      </c>
      <c r="AA950" s="4">
        <f t="shared" si="949"/>
        <v>0</v>
      </c>
      <c r="AB950" s="4">
        <f t="shared" si="949"/>
        <v>0</v>
      </c>
      <c r="AC950" s="4">
        <f t="shared" si="949"/>
        <v>0</v>
      </c>
      <c r="AD950" s="4">
        <f t="shared" si="949"/>
        <v>0</v>
      </c>
      <c r="AE950" s="4" t="str">
        <f>'Form responses 1'!AN1793</f>
        <v/>
      </c>
      <c r="AF950" s="4" t="str">
        <f>'Form responses 1'!AO2074</f>
        <v/>
      </c>
      <c r="AG950" s="4" t="str">
        <f>'Form responses 1'!AP2074</f>
        <v/>
      </c>
      <c r="AH950" s="4" t="str">
        <f>'Form responses 1'!AQ2074</f>
        <v/>
      </c>
      <c r="AI950" s="4" t="str">
        <f>'Form responses 1'!AR2074</f>
        <v/>
      </c>
    </row>
    <row r="951">
      <c r="A951" s="4" t="str">
        <f>'Form responses 1'!B1794</f>
        <v/>
      </c>
      <c r="B951" s="4" t="str">
        <f>'Form responses 1'!AZ1794</f>
        <v/>
      </c>
      <c r="C951" s="4" t="str">
        <f>'Form responses 1'!BR1794</f>
        <v/>
      </c>
      <c r="D951" s="4" t="str">
        <f>'Form responses 1'!AT1794</f>
        <v/>
      </c>
      <c r="E951" s="4" t="str">
        <f>'Form responses 1'!AU1794</f>
        <v/>
      </c>
      <c r="F951" s="4" t="str">
        <f>'Form responses 1'!AX1794</f>
        <v/>
      </c>
      <c r="G951" s="4" t="str">
        <f>'Form responses 1'!AY1794</f>
        <v/>
      </c>
      <c r="H951" s="53" t="str">
        <f>'Form responses 1'!AW1794</f>
        <v/>
      </c>
      <c r="I951" s="4" t="str">
        <f>'Form responses 1'!AS1794</f>
        <v/>
      </c>
      <c r="J951" s="4" t="str">
        <f>'Form responses 1'!J1794</f>
        <v/>
      </c>
      <c r="K951" s="4" t="str">
        <f>'Form responses 1'!G1794</f>
        <v/>
      </c>
      <c r="L951" s="4" t="str">
        <f>'Form responses 1'!F1794</f>
        <v/>
      </c>
      <c r="M951" s="4" t="str">
        <f>'Form responses 1'!U1794</f>
        <v/>
      </c>
      <c r="N951" s="4" t="str">
        <f>'Form responses 1'!V1794</f>
        <v/>
      </c>
      <c r="O951" s="4" t="str">
        <f>'Form responses 1'!W1794</f>
        <v/>
      </c>
      <c r="P951" s="4" t="str">
        <f>'Form responses 1'!X1794</f>
        <v/>
      </c>
      <c r="Q951" s="4" t="str">
        <f>'Form responses 1'!Y1794</f>
        <v/>
      </c>
      <c r="R951" s="4" t="str">
        <f>'Form responses 1'!Z1794</f>
        <v/>
      </c>
      <c r="S951" s="4" t="str">
        <f>'Form responses 1'!AC1794</f>
        <v/>
      </c>
      <c r="T951" s="4" t="str">
        <f>'Form responses 1'!AE1794</f>
        <v/>
      </c>
      <c r="U951" s="4" t="str">
        <f>'Form responses 1'!AG1794</f>
        <v/>
      </c>
      <c r="V951" s="4" t="str">
        <f>'Form responses 1'!AI1794</f>
        <v/>
      </c>
      <c r="W951" s="4" t="str">
        <f>'Form responses 1'!AJ1794</f>
        <v/>
      </c>
      <c r="X951" s="4" t="str">
        <f>'Form responses 1'!AK1794</f>
        <v/>
      </c>
      <c r="Y951" s="4">
        <f t="shared" ref="Y951:AD951" si="950">if(S951&gt;0,1,0)</f>
        <v>0</v>
      </c>
      <c r="Z951" s="4">
        <f t="shared" si="950"/>
        <v>0</v>
      </c>
      <c r="AA951" s="4">
        <f t="shared" si="950"/>
        <v>0</v>
      </c>
      <c r="AB951" s="4">
        <f t="shared" si="950"/>
        <v>0</v>
      </c>
      <c r="AC951" s="4">
        <f t="shared" si="950"/>
        <v>0</v>
      </c>
      <c r="AD951" s="4">
        <f t="shared" si="950"/>
        <v>0</v>
      </c>
      <c r="AE951" s="4" t="str">
        <f>'Form responses 1'!AN1794</f>
        <v/>
      </c>
      <c r="AF951" s="4" t="str">
        <f>'Form responses 1'!AO2075</f>
        <v/>
      </c>
      <c r="AG951" s="4" t="str">
        <f>'Form responses 1'!AP2075</f>
        <v/>
      </c>
      <c r="AH951" s="4" t="str">
        <f>'Form responses 1'!AQ2075</f>
        <v/>
      </c>
      <c r="AI951" s="4" t="str">
        <f>'Form responses 1'!AR2075</f>
        <v/>
      </c>
    </row>
    <row r="952">
      <c r="A952" s="4" t="str">
        <f>'Form responses 1'!B1795</f>
        <v/>
      </c>
      <c r="B952" s="4" t="str">
        <f>'Form responses 1'!AZ1795</f>
        <v/>
      </c>
      <c r="C952" s="4" t="str">
        <f>'Form responses 1'!BR1795</f>
        <v/>
      </c>
      <c r="D952" s="4" t="str">
        <f>'Form responses 1'!AT1795</f>
        <v/>
      </c>
      <c r="E952" s="4" t="str">
        <f>'Form responses 1'!AU1795</f>
        <v/>
      </c>
      <c r="F952" s="4" t="str">
        <f>'Form responses 1'!AX1795</f>
        <v/>
      </c>
      <c r="G952" s="4" t="str">
        <f>'Form responses 1'!AY1795</f>
        <v/>
      </c>
      <c r="H952" s="53" t="str">
        <f>'Form responses 1'!AW1795</f>
        <v/>
      </c>
      <c r="I952" s="4" t="str">
        <f>'Form responses 1'!AS1795</f>
        <v/>
      </c>
      <c r="J952" s="4" t="str">
        <f>'Form responses 1'!J1795</f>
        <v/>
      </c>
      <c r="K952" s="4" t="str">
        <f>'Form responses 1'!G1795</f>
        <v/>
      </c>
      <c r="L952" s="4" t="str">
        <f>'Form responses 1'!F1795</f>
        <v/>
      </c>
      <c r="M952" s="4" t="str">
        <f>'Form responses 1'!U1795</f>
        <v/>
      </c>
      <c r="N952" s="4" t="str">
        <f>'Form responses 1'!V1795</f>
        <v/>
      </c>
      <c r="O952" s="4" t="str">
        <f>'Form responses 1'!W1795</f>
        <v/>
      </c>
      <c r="P952" s="4" t="str">
        <f>'Form responses 1'!X1795</f>
        <v/>
      </c>
      <c r="Q952" s="4" t="str">
        <f>'Form responses 1'!Y1795</f>
        <v/>
      </c>
      <c r="R952" s="4" t="str">
        <f>'Form responses 1'!Z1795</f>
        <v/>
      </c>
      <c r="S952" s="4" t="str">
        <f>'Form responses 1'!AC1795</f>
        <v/>
      </c>
      <c r="T952" s="4" t="str">
        <f>'Form responses 1'!AE1795</f>
        <v/>
      </c>
      <c r="U952" s="4" t="str">
        <f>'Form responses 1'!AG1795</f>
        <v/>
      </c>
      <c r="V952" s="4" t="str">
        <f>'Form responses 1'!AI1795</f>
        <v/>
      </c>
      <c r="W952" s="4" t="str">
        <f>'Form responses 1'!AJ1795</f>
        <v/>
      </c>
      <c r="X952" s="4" t="str">
        <f>'Form responses 1'!AK1795</f>
        <v/>
      </c>
      <c r="Y952" s="4">
        <f t="shared" ref="Y952:AD952" si="951">if(S952&gt;0,1,0)</f>
        <v>0</v>
      </c>
      <c r="Z952" s="4">
        <f t="shared" si="951"/>
        <v>0</v>
      </c>
      <c r="AA952" s="4">
        <f t="shared" si="951"/>
        <v>0</v>
      </c>
      <c r="AB952" s="4">
        <f t="shared" si="951"/>
        <v>0</v>
      </c>
      <c r="AC952" s="4">
        <f t="shared" si="951"/>
        <v>0</v>
      </c>
      <c r="AD952" s="4">
        <f t="shared" si="951"/>
        <v>0</v>
      </c>
      <c r="AE952" s="4" t="str">
        <f>'Form responses 1'!AN1795</f>
        <v/>
      </c>
      <c r="AF952" s="4" t="str">
        <f>'Form responses 1'!AO2076</f>
        <v/>
      </c>
      <c r="AG952" s="4" t="str">
        <f>'Form responses 1'!AP2076</f>
        <v/>
      </c>
      <c r="AH952" s="4" t="str">
        <f>'Form responses 1'!AQ2076</f>
        <v/>
      </c>
      <c r="AI952" s="4" t="str">
        <f>'Form responses 1'!AR2076</f>
        <v/>
      </c>
    </row>
    <row r="953">
      <c r="A953" s="4" t="str">
        <f>'Form responses 1'!B1796</f>
        <v/>
      </c>
      <c r="B953" s="4" t="str">
        <f>'Form responses 1'!AZ1796</f>
        <v/>
      </c>
      <c r="C953" s="4" t="str">
        <f>'Form responses 1'!BR1796</f>
        <v/>
      </c>
      <c r="D953" s="4" t="str">
        <f>'Form responses 1'!AT1796</f>
        <v/>
      </c>
      <c r="E953" s="4" t="str">
        <f>'Form responses 1'!AU1796</f>
        <v/>
      </c>
      <c r="F953" s="4" t="str">
        <f>'Form responses 1'!AX1796</f>
        <v/>
      </c>
      <c r="G953" s="4" t="str">
        <f>'Form responses 1'!AY1796</f>
        <v/>
      </c>
      <c r="H953" s="53" t="str">
        <f>'Form responses 1'!AW1796</f>
        <v/>
      </c>
      <c r="I953" s="4" t="str">
        <f>'Form responses 1'!AS1796</f>
        <v/>
      </c>
      <c r="J953" s="4" t="str">
        <f>'Form responses 1'!J1796</f>
        <v/>
      </c>
      <c r="K953" s="4" t="str">
        <f>'Form responses 1'!G1796</f>
        <v/>
      </c>
      <c r="L953" s="4" t="str">
        <f>'Form responses 1'!F1796</f>
        <v/>
      </c>
      <c r="M953" s="4" t="str">
        <f>'Form responses 1'!U1796</f>
        <v/>
      </c>
      <c r="N953" s="4" t="str">
        <f>'Form responses 1'!V1796</f>
        <v/>
      </c>
      <c r="O953" s="4" t="str">
        <f>'Form responses 1'!W1796</f>
        <v/>
      </c>
      <c r="P953" s="4" t="str">
        <f>'Form responses 1'!X1796</f>
        <v/>
      </c>
      <c r="Q953" s="4" t="str">
        <f>'Form responses 1'!Y1796</f>
        <v/>
      </c>
      <c r="R953" s="4" t="str">
        <f>'Form responses 1'!Z1796</f>
        <v/>
      </c>
      <c r="S953" s="4" t="str">
        <f>'Form responses 1'!AC1796</f>
        <v/>
      </c>
      <c r="T953" s="4" t="str">
        <f>'Form responses 1'!AE1796</f>
        <v/>
      </c>
      <c r="U953" s="4" t="str">
        <f>'Form responses 1'!AG1796</f>
        <v/>
      </c>
      <c r="V953" s="4" t="str">
        <f>'Form responses 1'!AI1796</f>
        <v/>
      </c>
      <c r="W953" s="4" t="str">
        <f>'Form responses 1'!AJ1796</f>
        <v/>
      </c>
      <c r="X953" s="4" t="str">
        <f>'Form responses 1'!AK1796</f>
        <v/>
      </c>
      <c r="Y953" s="4">
        <f t="shared" ref="Y953:AD953" si="952">if(S953&gt;0,1,0)</f>
        <v>0</v>
      </c>
      <c r="Z953" s="4">
        <f t="shared" si="952"/>
        <v>0</v>
      </c>
      <c r="AA953" s="4">
        <f t="shared" si="952"/>
        <v>0</v>
      </c>
      <c r="AB953" s="4">
        <f t="shared" si="952"/>
        <v>0</v>
      </c>
      <c r="AC953" s="4">
        <f t="shared" si="952"/>
        <v>0</v>
      </c>
      <c r="AD953" s="4">
        <f t="shared" si="952"/>
        <v>0</v>
      </c>
      <c r="AE953" s="4" t="str">
        <f>'Form responses 1'!AN1796</f>
        <v/>
      </c>
      <c r="AF953" s="4" t="str">
        <f>'Form responses 1'!AO2077</f>
        <v/>
      </c>
      <c r="AG953" s="4" t="str">
        <f>'Form responses 1'!AP2077</f>
        <v/>
      </c>
      <c r="AH953" s="4" t="str">
        <f>'Form responses 1'!AQ2077</f>
        <v/>
      </c>
      <c r="AI953" s="4" t="str">
        <f>'Form responses 1'!AR2077</f>
        <v/>
      </c>
    </row>
    <row r="954">
      <c r="A954" s="4" t="str">
        <f>'Form responses 1'!B1797</f>
        <v/>
      </c>
      <c r="B954" s="4" t="str">
        <f>'Form responses 1'!AZ1797</f>
        <v/>
      </c>
      <c r="C954" s="4" t="str">
        <f>'Form responses 1'!BR1797</f>
        <v/>
      </c>
      <c r="D954" s="4" t="str">
        <f>'Form responses 1'!AT1797</f>
        <v/>
      </c>
      <c r="E954" s="4" t="str">
        <f>'Form responses 1'!AU1797</f>
        <v/>
      </c>
      <c r="F954" s="4" t="str">
        <f>'Form responses 1'!AX1797</f>
        <v/>
      </c>
      <c r="G954" s="4" t="str">
        <f>'Form responses 1'!AY1797</f>
        <v/>
      </c>
      <c r="H954" s="53" t="str">
        <f>'Form responses 1'!AW1797</f>
        <v/>
      </c>
      <c r="I954" s="4" t="str">
        <f>'Form responses 1'!AS1797</f>
        <v/>
      </c>
      <c r="J954" s="4" t="str">
        <f>'Form responses 1'!J1797</f>
        <v/>
      </c>
      <c r="K954" s="4" t="str">
        <f>'Form responses 1'!G1797</f>
        <v/>
      </c>
      <c r="L954" s="4" t="str">
        <f>'Form responses 1'!F1797</f>
        <v/>
      </c>
      <c r="M954" s="4" t="str">
        <f>'Form responses 1'!U1797</f>
        <v/>
      </c>
      <c r="N954" s="4" t="str">
        <f>'Form responses 1'!V1797</f>
        <v/>
      </c>
      <c r="O954" s="4" t="str">
        <f>'Form responses 1'!W1797</f>
        <v/>
      </c>
      <c r="P954" s="4" t="str">
        <f>'Form responses 1'!X1797</f>
        <v/>
      </c>
      <c r="Q954" s="4" t="str">
        <f>'Form responses 1'!Y1797</f>
        <v/>
      </c>
      <c r="R954" s="4" t="str">
        <f>'Form responses 1'!Z1797</f>
        <v/>
      </c>
      <c r="S954" s="4" t="str">
        <f>'Form responses 1'!AC1797</f>
        <v/>
      </c>
      <c r="T954" s="4" t="str">
        <f>'Form responses 1'!AE1797</f>
        <v/>
      </c>
      <c r="U954" s="4" t="str">
        <f>'Form responses 1'!AG1797</f>
        <v/>
      </c>
      <c r="V954" s="4" t="str">
        <f>'Form responses 1'!AI1797</f>
        <v/>
      </c>
      <c r="W954" s="4" t="str">
        <f>'Form responses 1'!AJ1797</f>
        <v/>
      </c>
      <c r="X954" s="4" t="str">
        <f>'Form responses 1'!AK1797</f>
        <v/>
      </c>
      <c r="Y954" s="4">
        <f t="shared" ref="Y954:AD954" si="953">if(S954&gt;0,1,0)</f>
        <v>0</v>
      </c>
      <c r="Z954" s="4">
        <f t="shared" si="953"/>
        <v>0</v>
      </c>
      <c r="AA954" s="4">
        <f t="shared" si="953"/>
        <v>0</v>
      </c>
      <c r="AB954" s="4">
        <f t="shared" si="953"/>
        <v>0</v>
      </c>
      <c r="AC954" s="4">
        <f t="shared" si="953"/>
        <v>0</v>
      </c>
      <c r="AD954" s="4">
        <f t="shared" si="953"/>
        <v>0</v>
      </c>
      <c r="AE954" s="4" t="str">
        <f>'Form responses 1'!AN1797</f>
        <v/>
      </c>
      <c r="AF954" s="4" t="str">
        <f>'Form responses 1'!AO2078</f>
        <v/>
      </c>
      <c r="AG954" s="4" t="str">
        <f>'Form responses 1'!AP2078</f>
        <v/>
      </c>
      <c r="AH954" s="4" t="str">
        <f>'Form responses 1'!AQ2078</f>
        <v/>
      </c>
      <c r="AI954" s="4" t="str">
        <f>'Form responses 1'!AR2078</f>
        <v/>
      </c>
    </row>
    <row r="955">
      <c r="A955" s="4" t="str">
        <f>'Form responses 1'!B1798</f>
        <v/>
      </c>
      <c r="B955" s="4" t="str">
        <f>'Form responses 1'!AZ1798</f>
        <v/>
      </c>
      <c r="C955" s="4" t="str">
        <f>'Form responses 1'!BR1798</f>
        <v/>
      </c>
      <c r="D955" s="4" t="str">
        <f>'Form responses 1'!AT1798</f>
        <v/>
      </c>
      <c r="E955" s="4" t="str">
        <f>'Form responses 1'!AU1798</f>
        <v/>
      </c>
      <c r="F955" s="4" t="str">
        <f>'Form responses 1'!AX1798</f>
        <v/>
      </c>
      <c r="G955" s="4" t="str">
        <f>'Form responses 1'!AY1798</f>
        <v/>
      </c>
      <c r="H955" s="53" t="str">
        <f>'Form responses 1'!AW1798</f>
        <v/>
      </c>
      <c r="I955" s="4" t="str">
        <f>'Form responses 1'!AS1798</f>
        <v/>
      </c>
      <c r="J955" s="4" t="str">
        <f>'Form responses 1'!J1798</f>
        <v/>
      </c>
      <c r="K955" s="4" t="str">
        <f>'Form responses 1'!G1798</f>
        <v/>
      </c>
      <c r="L955" s="4" t="str">
        <f>'Form responses 1'!F1798</f>
        <v/>
      </c>
      <c r="M955" s="4" t="str">
        <f>'Form responses 1'!U1798</f>
        <v/>
      </c>
      <c r="N955" s="4" t="str">
        <f>'Form responses 1'!V1798</f>
        <v/>
      </c>
      <c r="O955" s="4" t="str">
        <f>'Form responses 1'!W1798</f>
        <v/>
      </c>
      <c r="P955" s="4" t="str">
        <f>'Form responses 1'!X1798</f>
        <v/>
      </c>
      <c r="Q955" s="4" t="str">
        <f>'Form responses 1'!Y1798</f>
        <v/>
      </c>
      <c r="R955" s="4" t="str">
        <f>'Form responses 1'!Z1798</f>
        <v/>
      </c>
      <c r="S955" s="4" t="str">
        <f>'Form responses 1'!AC1798</f>
        <v/>
      </c>
      <c r="T955" s="4" t="str">
        <f>'Form responses 1'!AE1798</f>
        <v/>
      </c>
      <c r="U955" s="4" t="str">
        <f>'Form responses 1'!AG1798</f>
        <v/>
      </c>
      <c r="V955" s="4" t="str">
        <f>'Form responses 1'!AI1798</f>
        <v/>
      </c>
      <c r="W955" s="4" t="str">
        <f>'Form responses 1'!AJ1798</f>
        <v/>
      </c>
      <c r="X955" s="4" t="str">
        <f>'Form responses 1'!AK1798</f>
        <v/>
      </c>
      <c r="Y955" s="4">
        <f t="shared" ref="Y955:AD955" si="954">if(S955&gt;0,1,0)</f>
        <v>0</v>
      </c>
      <c r="Z955" s="4">
        <f t="shared" si="954"/>
        <v>0</v>
      </c>
      <c r="AA955" s="4">
        <f t="shared" si="954"/>
        <v>0</v>
      </c>
      <c r="AB955" s="4">
        <f t="shared" si="954"/>
        <v>0</v>
      </c>
      <c r="AC955" s="4">
        <f t="shared" si="954"/>
        <v>0</v>
      </c>
      <c r="AD955" s="4">
        <f t="shared" si="954"/>
        <v>0</v>
      </c>
      <c r="AE955" s="4" t="str">
        <f>'Form responses 1'!AN1798</f>
        <v/>
      </c>
      <c r="AF955" s="4" t="str">
        <f>'Form responses 1'!AO2079</f>
        <v/>
      </c>
      <c r="AG955" s="4" t="str">
        <f>'Form responses 1'!AP2079</f>
        <v/>
      </c>
      <c r="AH955" s="4" t="str">
        <f>'Form responses 1'!AQ2079</f>
        <v/>
      </c>
      <c r="AI955" s="4" t="str">
        <f>'Form responses 1'!AR2079</f>
        <v/>
      </c>
    </row>
    <row r="956">
      <c r="A956" s="4" t="str">
        <f>'Form responses 1'!B1799</f>
        <v/>
      </c>
      <c r="B956" s="4" t="str">
        <f>'Form responses 1'!AZ1799</f>
        <v/>
      </c>
      <c r="C956" s="4" t="str">
        <f>'Form responses 1'!BR1799</f>
        <v/>
      </c>
      <c r="D956" s="4" t="str">
        <f>'Form responses 1'!AT1799</f>
        <v/>
      </c>
      <c r="E956" s="4" t="str">
        <f>'Form responses 1'!AU1799</f>
        <v/>
      </c>
      <c r="F956" s="4" t="str">
        <f>'Form responses 1'!AX1799</f>
        <v/>
      </c>
      <c r="G956" s="4" t="str">
        <f>'Form responses 1'!AY1799</f>
        <v/>
      </c>
      <c r="H956" s="53" t="str">
        <f>'Form responses 1'!AW1799</f>
        <v/>
      </c>
      <c r="I956" s="4" t="str">
        <f>'Form responses 1'!AS1799</f>
        <v/>
      </c>
      <c r="J956" s="4" t="str">
        <f>'Form responses 1'!J1799</f>
        <v/>
      </c>
      <c r="K956" s="4" t="str">
        <f>'Form responses 1'!G1799</f>
        <v/>
      </c>
      <c r="L956" s="4" t="str">
        <f>'Form responses 1'!F1799</f>
        <v/>
      </c>
      <c r="M956" s="4" t="str">
        <f>'Form responses 1'!U1799</f>
        <v/>
      </c>
      <c r="N956" s="4" t="str">
        <f>'Form responses 1'!V1799</f>
        <v/>
      </c>
      <c r="O956" s="4" t="str">
        <f>'Form responses 1'!W1799</f>
        <v/>
      </c>
      <c r="P956" s="4" t="str">
        <f>'Form responses 1'!X1799</f>
        <v/>
      </c>
      <c r="Q956" s="4" t="str">
        <f>'Form responses 1'!Y1799</f>
        <v/>
      </c>
      <c r="R956" s="4" t="str">
        <f>'Form responses 1'!Z1799</f>
        <v/>
      </c>
      <c r="S956" s="4" t="str">
        <f>'Form responses 1'!AC1799</f>
        <v/>
      </c>
      <c r="T956" s="4" t="str">
        <f>'Form responses 1'!AE1799</f>
        <v/>
      </c>
      <c r="U956" s="4" t="str">
        <f>'Form responses 1'!AG1799</f>
        <v/>
      </c>
      <c r="V956" s="4" t="str">
        <f>'Form responses 1'!AI1799</f>
        <v/>
      </c>
      <c r="W956" s="4" t="str">
        <f>'Form responses 1'!AJ1799</f>
        <v/>
      </c>
      <c r="X956" s="4" t="str">
        <f>'Form responses 1'!AK1799</f>
        <v/>
      </c>
      <c r="Y956" s="4">
        <f t="shared" ref="Y956:AD956" si="955">if(S956&gt;0,1,0)</f>
        <v>0</v>
      </c>
      <c r="Z956" s="4">
        <f t="shared" si="955"/>
        <v>0</v>
      </c>
      <c r="AA956" s="4">
        <f t="shared" si="955"/>
        <v>0</v>
      </c>
      <c r="AB956" s="4">
        <f t="shared" si="955"/>
        <v>0</v>
      </c>
      <c r="AC956" s="4">
        <f t="shared" si="955"/>
        <v>0</v>
      </c>
      <c r="AD956" s="4">
        <f t="shared" si="955"/>
        <v>0</v>
      </c>
      <c r="AE956" s="4" t="str">
        <f>'Form responses 1'!AN1799</f>
        <v/>
      </c>
      <c r="AF956" s="4" t="str">
        <f>'Form responses 1'!AO2080</f>
        <v/>
      </c>
      <c r="AG956" s="4" t="str">
        <f>'Form responses 1'!AP2080</f>
        <v/>
      </c>
      <c r="AH956" s="4" t="str">
        <f>'Form responses 1'!AQ2080</f>
        <v/>
      </c>
      <c r="AI956" s="4" t="str">
        <f>'Form responses 1'!AR2080</f>
        <v/>
      </c>
    </row>
    <row r="957">
      <c r="A957" s="4" t="str">
        <f>'Form responses 1'!B1800</f>
        <v/>
      </c>
      <c r="B957" s="4" t="str">
        <f>'Form responses 1'!AZ1800</f>
        <v/>
      </c>
      <c r="C957" s="4" t="str">
        <f>'Form responses 1'!BR1800</f>
        <v/>
      </c>
      <c r="D957" s="4" t="str">
        <f>'Form responses 1'!AT1800</f>
        <v/>
      </c>
      <c r="E957" s="4" t="str">
        <f>'Form responses 1'!AU1800</f>
        <v/>
      </c>
      <c r="F957" s="4" t="str">
        <f>'Form responses 1'!AX1800</f>
        <v/>
      </c>
      <c r="G957" s="4" t="str">
        <f>'Form responses 1'!AY1800</f>
        <v/>
      </c>
      <c r="H957" s="53" t="str">
        <f>'Form responses 1'!AW1800</f>
        <v/>
      </c>
      <c r="I957" s="4" t="str">
        <f>'Form responses 1'!AS1800</f>
        <v/>
      </c>
      <c r="J957" s="4" t="str">
        <f>'Form responses 1'!J1800</f>
        <v/>
      </c>
      <c r="K957" s="4" t="str">
        <f>'Form responses 1'!G1800</f>
        <v/>
      </c>
      <c r="L957" s="4" t="str">
        <f>'Form responses 1'!F1800</f>
        <v/>
      </c>
      <c r="M957" s="4" t="str">
        <f>'Form responses 1'!U1800</f>
        <v/>
      </c>
      <c r="N957" s="4" t="str">
        <f>'Form responses 1'!V1800</f>
        <v/>
      </c>
      <c r="O957" s="4" t="str">
        <f>'Form responses 1'!W1800</f>
        <v/>
      </c>
      <c r="P957" s="4" t="str">
        <f>'Form responses 1'!X1800</f>
        <v/>
      </c>
      <c r="Q957" s="4" t="str">
        <f>'Form responses 1'!Y1800</f>
        <v/>
      </c>
      <c r="R957" s="4" t="str">
        <f>'Form responses 1'!Z1800</f>
        <v/>
      </c>
      <c r="S957" s="4" t="str">
        <f>'Form responses 1'!AC1800</f>
        <v/>
      </c>
      <c r="T957" s="4" t="str">
        <f>'Form responses 1'!AE1800</f>
        <v/>
      </c>
      <c r="U957" s="4" t="str">
        <f>'Form responses 1'!AG1800</f>
        <v/>
      </c>
      <c r="V957" s="4" t="str">
        <f>'Form responses 1'!AI1800</f>
        <v/>
      </c>
      <c r="W957" s="4" t="str">
        <f>'Form responses 1'!AJ1800</f>
        <v/>
      </c>
      <c r="X957" s="4" t="str">
        <f>'Form responses 1'!AK1800</f>
        <v/>
      </c>
      <c r="Y957" s="4">
        <f t="shared" ref="Y957:AD957" si="956">if(S957&gt;0,1,0)</f>
        <v>0</v>
      </c>
      <c r="Z957" s="4">
        <f t="shared" si="956"/>
        <v>0</v>
      </c>
      <c r="AA957" s="4">
        <f t="shared" si="956"/>
        <v>0</v>
      </c>
      <c r="AB957" s="4">
        <f t="shared" si="956"/>
        <v>0</v>
      </c>
      <c r="AC957" s="4">
        <f t="shared" si="956"/>
        <v>0</v>
      </c>
      <c r="AD957" s="4">
        <f t="shared" si="956"/>
        <v>0</v>
      </c>
      <c r="AE957" s="4" t="str">
        <f>'Form responses 1'!AN1800</f>
        <v/>
      </c>
      <c r="AF957" s="4" t="str">
        <f>'Form responses 1'!AO2081</f>
        <v/>
      </c>
      <c r="AG957" s="4" t="str">
        <f>'Form responses 1'!AP2081</f>
        <v/>
      </c>
      <c r="AH957" s="4" t="str">
        <f>'Form responses 1'!AQ2081</f>
        <v/>
      </c>
      <c r="AI957" s="4" t="str">
        <f>'Form responses 1'!AR2081</f>
        <v/>
      </c>
    </row>
    <row r="958">
      <c r="A958" s="4" t="str">
        <f>'Form responses 1'!B1801</f>
        <v/>
      </c>
      <c r="B958" s="4" t="str">
        <f>'Form responses 1'!AZ1801</f>
        <v/>
      </c>
      <c r="C958" s="4" t="str">
        <f>'Form responses 1'!BR1801</f>
        <v/>
      </c>
      <c r="D958" s="4" t="str">
        <f>'Form responses 1'!AT1801</f>
        <v/>
      </c>
      <c r="E958" s="4" t="str">
        <f>'Form responses 1'!AU1801</f>
        <v/>
      </c>
      <c r="F958" s="4" t="str">
        <f>'Form responses 1'!AX1801</f>
        <v/>
      </c>
      <c r="G958" s="4" t="str">
        <f>'Form responses 1'!AY1801</f>
        <v/>
      </c>
      <c r="H958" s="53" t="str">
        <f>'Form responses 1'!AW1801</f>
        <v/>
      </c>
      <c r="I958" s="4" t="str">
        <f>'Form responses 1'!AS1801</f>
        <v/>
      </c>
      <c r="J958" s="4" t="str">
        <f>'Form responses 1'!J1801</f>
        <v/>
      </c>
      <c r="K958" s="4" t="str">
        <f>'Form responses 1'!G1801</f>
        <v/>
      </c>
      <c r="L958" s="4" t="str">
        <f>'Form responses 1'!F1801</f>
        <v/>
      </c>
      <c r="M958" s="4" t="str">
        <f>'Form responses 1'!U1801</f>
        <v/>
      </c>
      <c r="N958" s="4" t="str">
        <f>'Form responses 1'!V1801</f>
        <v/>
      </c>
      <c r="O958" s="4" t="str">
        <f>'Form responses 1'!W1801</f>
        <v/>
      </c>
      <c r="P958" s="4" t="str">
        <f>'Form responses 1'!X1801</f>
        <v/>
      </c>
      <c r="Q958" s="4" t="str">
        <f>'Form responses 1'!Y1801</f>
        <v/>
      </c>
      <c r="R958" s="4" t="str">
        <f>'Form responses 1'!Z1801</f>
        <v/>
      </c>
      <c r="S958" s="4" t="str">
        <f>'Form responses 1'!AC1801</f>
        <v/>
      </c>
      <c r="T958" s="4" t="str">
        <f>'Form responses 1'!AE1801</f>
        <v/>
      </c>
      <c r="U958" s="4" t="str">
        <f>'Form responses 1'!AG1801</f>
        <v/>
      </c>
      <c r="V958" s="4" t="str">
        <f>'Form responses 1'!AI1801</f>
        <v/>
      </c>
      <c r="W958" s="4" t="str">
        <f>'Form responses 1'!AJ1801</f>
        <v/>
      </c>
      <c r="X958" s="4" t="str">
        <f>'Form responses 1'!AK1801</f>
        <v/>
      </c>
      <c r="Y958" s="4">
        <f t="shared" ref="Y958:AD958" si="957">if(S958&gt;0,1,0)</f>
        <v>0</v>
      </c>
      <c r="Z958" s="4">
        <f t="shared" si="957"/>
        <v>0</v>
      </c>
      <c r="AA958" s="4">
        <f t="shared" si="957"/>
        <v>0</v>
      </c>
      <c r="AB958" s="4">
        <f t="shared" si="957"/>
        <v>0</v>
      </c>
      <c r="AC958" s="4">
        <f t="shared" si="957"/>
        <v>0</v>
      </c>
      <c r="AD958" s="4">
        <f t="shared" si="957"/>
        <v>0</v>
      </c>
      <c r="AE958" s="4" t="str">
        <f>'Form responses 1'!AN1801</f>
        <v/>
      </c>
      <c r="AF958" s="4" t="str">
        <f>'Form responses 1'!AO2082</f>
        <v/>
      </c>
      <c r="AG958" s="4" t="str">
        <f>'Form responses 1'!AP2082</f>
        <v/>
      </c>
      <c r="AH958" s="4" t="str">
        <f>'Form responses 1'!AQ2082</f>
        <v/>
      </c>
      <c r="AI958" s="4" t="str">
        <f>'Form responses 1'!AR2082</f>
        <v/>
      </c>
    </row>
    <row r="959">
      <c r="A959" s="4" t="str">
        <f>'Form responses 1'!B1802</f>
        <v/>
      </c>
      <c r="B959" s="4" t="str">
        <f>'Form responses 1'!AZ1802</f>
        <v/>
      </c>
      <c r="C959" s="4" t="str">
        <f>'Form responses 1'!BR1802</f>
        <v/>
      </c>
      <c r="D959" s="4" t="str">
        <f>'Form responses 1'!AT1802</f>
        <v/>
      </c>
      <c r="E959" s="4" t="str">
        <f>'Form responses 1'!AU1802</f>
        <v/>
      </c>
      <c r="F959" s="4" t="str">
        <f>'Form responses 1'!AX1802</f>
        <v/>
      </c>
      <c r="G959" s="4" t="str">
        <f>'Form responses 1'!AY1802</f>
        <v/>
      </c>
      <c r="H959" s="53" t="str">
        <f>'Form responses 1'!AW1802</f>
        <v/>
      </c>
      <c r="I959" s="4" t="str">
        <f>'Form responses 1'!AS1802</f>
        <v/>
      </c>
      <c r="J959" s="4" t="str">
        <f>'Form responses 1'!J1802</f>
        <v/>
      </c>
      <c r="K959" s="4" t="str">
        <f>'Form responses 1'!G1802</f>
        <v/>
      </c>
      <c r="L959" s="4" t="str">
        <f>'Form responses 1'!F1802</f>
        <v/>
      </c>
      <c r="M959" s="4" t="str">
        <f>'Form responses 1'!U1802</f>
        <v/>
      </c>
      <c r="N959" s="4" t="str">
        <f>'Form responses 1'!V1802</f>
        <v/>
      </c>
      <c r="O959" s="4" t="str">
        <f>'Form responses 1'!W1802</f>
        <v/>
      </c>
      <c r="P959" s="4" t="str">
        <f>'Form responses 1'!X1802</f>
        <v/>
      </c>
      <c r="Q959" s="4" t="str">
        <f>'Form responses 1'!Y1802</f>
        <v/>
      </c>
      <c r="R959" s="4" t="str">
        <f>'Form responses 1'!Z1802</f>
        <v/>
      </c>
      <c r="S959" s="4" t="str">
        <f>'Form responses 1'!AC1802</f>
        <v/>
      </c>
      <c r="T959" s="4" t="str">
        <f>'Form responses 1'!AE1802</f>
        <v/>
      </c>
      <c r="U959" s="4" t="str">
        <f>'Form responses 1'!AG1802</f>
        <v/>
      </c>
      <c r="V959" s="4" t="str">
        <f>'Form responses 1'!AI1802</f>
        <v/>
      </c>
      <c r="W959" s="4" t="str">
        <f>'Form responses 1'!AJ1802</f>
        <v/>
      </c>
      <c r="X959" s="4" t="str">
        <f>'Form responses 1'!AK1802</f>
        <v/>
      </c>
      <c r="Y959" s="4">
        <f t="shared" ref="Y959:AD959" si="958">if(S959&gt;0,1,0)</f>
        <v>0</v>
      </c>
      <c r="Z959" s="4">
        <f t="shared" si="958"/>
        <v>0</v>
      </c>
      <c r="AA959" s="4">
        <f t="shared" si="958"/>
        <v>0</v>
      </c>
      <c r="AB959" s="4">
        <f t="shared" si="958"/>
        <v>0</v>
      </c>
      <c r="AC959" s="4">
        <f t="shared" si="958"/>
        <v>0</v>
      </c>
      <c r="AD959" s="4">
        <f t="shared" si="958"/>
        <v>0</v>
      </c>
      <c r="AE959" s="4" t="str">
        <f>'Form responses 1'!AN1802</f>
        <v/>
      </c>
      <c r="AF959" s="4" t="str">
        <f>'Form responses 1'!AO2083</f>
        <v/>
      </c>
      <c r="AG959" s="4" t="str">
        <f>'Form responses 1'!AP2083</f>
        <v/>
      </c>
      <c r="AH959" s="4" t="str">
        <f>'Form responses 1'!AQ2083</f>
        <v/>
      </c>
      <c r="AI959" s="4" t="str">
        <f>'Form responses 1'!AR2083</f>
        <v/>
      </c>
    </row>
    <row r="960">
      <c r="A960" s="4" t="str">
        <f>'Form responses 1'!B1803</f>
        <v/>
      </c>
      <c r="B960" s="4" t="str">
        <f>'Form responses 1'!AZ1803</f>
        <v/>
      </c>
      <c r="C960" s="4" t="str">
        <f>'Form responses 1'!BR1803</f>
        <v/>
      </c>
      <c r="D960" s="4" t="str">
        <f>'Form responses 1'!AT1803</f>
        <v/>
      </c>
      <c r="E960" s="4" t="str">
        <f>'Form responses 1'!AU1803</f>
        <v/>
      </c>
      <c r="F960" s="4" t="str">
        <f>'Form responses 1'!AX1803</f>
        <v/>
      </c>
      <c r="G960" s="4" t="str">
        <f>'Form responses 1'!AY1803</f>
        <v/>
      </c>
      <c r="H960" s="53" t="str">
        <f>'Form responses 1'!AW1803</f>
        <v/>
      </c>
      <c r="I960" s="4" t="str">
        <f>'Form responses 1'!AS1803</f>
        <v/>
      </c>
      <c r="J960" s="4" t="str">
        <f>'Form responses 1'!J1803</f>
        <v/>
      </c>
      <c r="K960" s="4" t="str">
        <f>'Form responses 1'!G1803</f>
        <v/>
      </c>
      <c r="L960" s="4" t="str">
        <f>'Form responses 1'!F1803</f>
        <v/>
      </c>
      <c r="M960" s="4" t="str">
        <f>'Form responses 1'!U1803</f>
        <v/>
      </c>
      <c r="N960" s="4" t="str">
        <f>'Form responses 1'!V1803</f>
        <v/>
      </c>
      <c r="O960" s="4" t="str">
        <f>'Form responses 1'!W1803</f>
        <v/>
      </c>
      <c r="P960" s="4" t="str">
        <f>'Form responses 1'!X1803</f>
        <v/>
      </c>
      <c r="Q960" s="4" t="str">
        <f>'Form responses 1'!Y1803</f>
        <v/>
      </c>
      <c r="R960" s="4" t="str">
        <f>'Form responses 1'!Z1803</f>
        <v/>
      </c>
      <c r="S960" s="4" t="str">
        <f>'Form responses 1'!AC1803</f>
        <v/>
      </c>
      <c r="T960" s="4" t="str">
        <f>'Form responses 1'!AE1803</f>
        <v/>
      </c>
      <c r="U960" s="4" t="str">
        <f>'Form responses 1'!AG1803</f>
        <v/>
      </c>
      <c r="V960" s="4" t="str">
        <f>'Form responses 1'!AI1803</f>
        <v/>
      </c>
      <c r="W960" s="4" t="str">
        <f>'Form responses 1'!AJ1803</f>
        <v/>
      </c>
      <c r="X960" s="4" t="str">
        <f>'Form responses 1'!AK1803</f>
        <v/>
      </c>
      <c r="Y960" s="4">
        <f t="shared" ref="Y960:AD960" si="959">if(S960&gt;0,1,0)</f>
        <v>0</v>
      </c>
      <c r="Z960" s="4">
        <f t="shared" si="959"/>
        <v>0</v>
      </c>
      <c r="AA960" s="4">
        <f t="shared" si="959"/>
        <v>0</v>
      </c>
      <c r="AB960" s="4">
        <f t="shared" si="959"/>
        <v>0</v>
      </c>
      <c r="AC960" s="4">
        <f t="shared" si="959"/>
        <v>0</v>
      </c>
      <c r="AD960" s="4">
        <f t="shared" si="959"/>
        <v>0</v>
      </c>
      <c r="AE960" s="4" t="str">
        <f>'Form responses 1'!AN1803</f>
        <v/>
      </c>
      <c r="AF960" s="4" t="str">
        <f>'Form responses 1'!AO2084</f>
        <v/>
      </c>
      <c r="AG960" s="4" t="str">
        <f>'Form responses 1'!AP2084</f>
        <v/>
      </c>
      <c r="AH960" s="4" t="str">
        <f>'Form responses 1'!AQ2084</f>
        <v/>
      </c>
      <c r="AI960" s="4" t="str">
        <f>'Form responses 1'!AR2084</f>
        <v/>
      </c>
    </row>
    <row r="961">
      <c r="A961" s="4" t="str">
        <f>'Form responses 1'!B1804</f>
        <v/>
      </c>
      <c r="B961" s="4" t="str">
        <f>'Form responses 1'!AZ1804</f>
        <v/>
      </c>
      <c r="C961" s="4" t="str">
        <f>'Form responses 1'!BR1804</f>
        <v/>
      </c>
      <c r="D961" s="4" t="str">
        <f>'Form responses 1'!AT1804</f>
        <v/>
      </c>
      <c r="E961" s="4" t="str">
        <f>'Form responses 1'!AU1804</f>
        <v/>
      </c>
      <c r="F961" s="4" t="str">
        <f>'Form responses 1'!AX1804</f>
        <v/>
      </c>
      <c r="G961" s="4" t="str">
        <f>'Form responses 1'!AY1804</f>
        <v/>
      </c>
      <c r="H961" s="53" t="str">
        <f>'Form responses 1'!AW1804</f>
        <v/>
      </c>
      <c r="I961" s="4" t="str">
        <f>'Form responses 1'!AS1804</f>
        <v/>
      </c>
      <c r="J961" s="4" t="str">
        <f>'Form responses 1'!J1804</f>
        <v/>
      </c>
      <c r="K961" s="4" t="str">
        <f>'Form responses 1'!G1804</f>
        <v/>
      </c>
      <c r="L961" s="4" t="str">
        <f>'Form responses 1'!F1804</f>
        <v/>
      </c>
      <c r="M961" s="4" t="str">
        <f>'Form responses 1'!U1804</f>
        <v/>
      </c>
      <c r="N961" s="4" t="str">
        <f>'Form responses 1'!V1804</f>
        <v/>
      </c>
      <c r="O961" s="4" t="str">
        <f>'Form responses 1'!W1804</f>
        <v/>
      </c>
      <c r="P961" s="4" t="str">
        <f>'Form responses 1'!X1804</f>
        <v/>
      </c>
      <c r="Q961" s="4" t="str">
        <f>'Form responses 1'!Y1804</f>
        <v/>
      </c>
      <c r="R961" s="4" t="str">
        <f>'Form responses 1'!Z1804</f>
        <v/>
      </c>
      <c r="S961" s="4" t="str">
        <f>'Form responses 1'!AC1804</f>
        <v/>
      </c>
      <c r="T961" s="4" t="str">
        <f>'Form responses 1'!AE1804</f>
        <v/>
      </c>
      <c r="U961" s="4" t="str">
        <f>'Form responses 1'!AG1804</f>
        <v/>
      </c>
      <c r="V961" s="4" t="str">
        <f>'Form responses 1'!AI1804</f>
        <v/>
      </c>
      <c r="W961" s="4" t="str">
        <f>'Form responses 1'!AJ1804</f>
        <v/>
      </c>
      <c r="X961" s="4" t="str">
        <f>'Form responses 1'!AK1804</f>
        <v/>
      </c>
      <c r="Y961" s="4">
        <f t="shared" ref="Y961:AD961" si="960">if(S961&gt;0,1,0)</f>
        <v>0</v>
      </c>
      <c r="Z961" s="4">
        <f t="shared" si="960"/>
        <v>0</v>
      </c>
      <c r="AA961" s="4">
        <f t="shared" si="960"/>
        <v>0</v>
      </c>
      <c r="AB961" s="4">
        <f t="shared" si="960"/>
        <v>0</v>
      </c>
      <c r="AC961" s="4">
        <f t="shared" si="960"/>
        <v>0</v>
      </c>
      <c r="AD961" s="4">
        <f t="shared" si="960"/>
        <v>0</v>
      </c>
      <c r="AE961" s="4" t="str">
        <f>'Form responses 1'!AN1804</f>
        <v/>
      </c>
      <c r="AF961" s="4" t="str">
        <f>'Form responses 1'!AO2085</f>
        <v/>
      </c>
      <c r="AG961" s="4" t="str">
        <f>'Form responses 1'!AP2085</f>
        <v/>
      </c>
      <c r="AH961" s="4" t="str">
        <f>'Form responses 1'!AQ2085</f>
        <v/>
      </c>
      <c r="AI961" s="4" t="str">
        <f>'Form responses 1'!AR2085</f>
        <v/>
      </c>
    </row>
    <row r="962">
      <c r="A962" s="4" t="str">
        <f>'Form responses 1'!B1805</f>
        <v/>
      </c>
      <c r="B962" s="4" t="str">
        <f>'Form responses 1'!AZ1805</f>
        <v/>
      </c>
      <c r="C962" s="4" t="str">
        <f>'Form responses 1'!BR1805</f>
        <v/>
      </c>
      <c r="D962" s="4" t="str">
        <f>'Form responses 1'!AT1805</f>
        <v/>
      </c>
      <c r="E962" s="4" t="str">
        <f>'Form responses 1'!AU1805</f>
        <v/>
      </c>
      <c r="F962" s="4" t="str">
        <f>'Form responses 1'!AX1805</f>
        <v/>
      </c>
      <c r="G962" s="4" t="str">
        <f>'Form responses 1'!AY1805</f>
        <v/>
      </c>
      <c r="H962" s="53" t="str">
        <f>'Form responses 1'!AW1805</f>
        <v/>
      </c>
      <c r="I962" s="4" t="str">
        <f>'Form responses 1'!AS1805</f>
        <v/>
      </c>
      <c r="J962" s="4" t="str">
        <f>'Form responses 1'!J1805</f>
        <v/>
      </c>
      <c r="K962" s="4" t="str">
        <f>'Form responses 1'!G1805</f>
        <v/>
      </c>
      <c r="L962" s="4" t="str">
        <f>'Form responses 1'!F1805</f>
        <v/>
      </c>
      <c r="M962" s="4" t="str">
        <f>'Form responses 1'!U1805</f>
        <v/>
      </c>
      <c r="N962" s="4" t="str">
        <f>'Form responses 1'!V1805</f>
        <v/>
      </c>
      <c r="O962" s="4" t="str">
        <f>'Form responses 1'!W1805</f>
        <v/>
      </c>
      <c r="P962" s="4" t="str">
        <f>'Form responses 1'!X1805</f>
        <v/>
      </c>
      <c r="Q962" s="4" t="str">
        <f>'Form responses 1'!Y1805</f>
        <v/>
      </c>
      <c r="R962" s="4" t="str">
        <f>'Form responses 1'!Z1805</f>
        <v/>
      </c>
      <c r="S962" s="4" t="str">
        <f>'Form responses 1'!AC1805</f>
        <v/>
      </c>
      <c r="T962" s="4" t="str">
        <f>'Form responses 1'!AE1805</f>
        <v/>
      </c>
      <c r="U962" s="4" t="str">
        <f>'Form responses 1'!AG1805</f>
        <v/>
      </c>
      <c r="V962" s="4" t="str">
        <f>'Form responses 1'!AI1805</f>
        <v/>
      </c>
      <c r="W962" s="4" t="str">
        <f>'Form responses 1'!AJ1805</f>
        <v/>
      </c>
      <c r="X962" s="4" t="str">
        <f>'Form responses 1'!AK1805</f>
        <v/>
      </c>
      <c r="Y962" s="4">
        <f t="shared" ref="Y962:AD962" si="961">if(S962&gt;0,1,0)</f>
        <v>0</v>
      </c>
      <c r="Z962" s="4">
        <f t="shared" si="961"/>
        <v>0</v>
      </c>
      <c r="AA962" s="4">
        <f t="shared" si="961"/>
        <v>0</v>
      </c>
      <c r="AB962" s="4">
        <f t="shared" si="961"/>
        <v>0</v>
      </c>
      <c r="AC962" s="4">
        <f t="shared" si="961"/>
        <v>0</v>
      </c>
      <c r="AD962" s="4">
        <f t="shared" si="961"/>
        <v>0</v>
      </c>
      <c r="AE962" s="4" t="str">
        <f>'Form responses 1'!AN1805</f>
        <v/>
      </c>
      <c r="AF962" s="4" t="str">
        <f>'Form responses 1'!AO2086</f>
        <v/>
      </c>
      <c r="AG962" s="4" t="str">
        <f>'Form responses 1'!AP2086</f>
        <v/>
      </c>
      <c r="AH962" s="4" t="str">
        <f>'Form responses 1'!AQ2086</f>
        <v/>
      </c>
      <c r="AI962" s="4" t="str">
        <f>'Form responses 1'!AR2086</f>
        <v/>
      </c>
    </row>
    <row r="963">
      <c r="A963" s="4" t="str">
        <f>'Form responses 1'!B1806</f>
        <v/>
      </c>
      <c r="B963" s="4" t="str">
        <f>'Form responses 1'!AZ1806</f>
        <v/>
      </c>
      <c r="C963" s="4" t="str">
        <f>'Form responses 1'!BR1806</f>
        <v/>
      </c>
      <c r="D963" s="4" t="str">
        <f>'Form responses 1'!AT1806</f>
        <v/>
      </c>
      <c r="E963" s="4" t="str">
        <f>'Form responses 1'!AU1806</f>
        <v/>
      </c>
      <c r="F963" s="4" t="str">
        <f>'Form responses 1'!AX1806</f>
        <v/>
      </c>
      <c r="G963" s="4" t="str">
        <f>'Form responses 1'!AY1806</f>
        <v/>
      </c>
      <c r="H963" s="53" t="str">
        <f>'Form responses 1'!AW1806</f>
        <v/>
      </c>
      <c r="I963" s="4" t="str">
        <f>'Form responses 1'!AS1806</f>
        <v/>
      </c>
      <c r="J963" s="4" t="str">
        <f>'Form responses 1'!J1806</f>
        <v/>
      </c>
      <c r="K963" s="4" t="str">
        <f>'Form responses 1'!G1806</f>
        <v/>
      </c>
      <c r="L963" s="4" t="str">
        <f>'Form responses 1'!F1806</f>
        <v/>
      </c>
      <c r="M963" s="4" t="str">
        <f>'Form responses 1'!U1806</f>
        <v/>
      </c>
      <c r="N963" s="4" t="str">
        <f>'Form responses 1'!V1806</f>
        <v/>
      </c>
      <c r="O963" s="4" t="str">
        <f>'Form responses 1'!W1806</f>
        <v/>
      </c>
      <c r="P963" s="4" t="str">
        <f>'Form responses 1'!X1806</f>
        <v/>
      </c>
      <c r="Q963" s="4" t="str">
        <f>'Form responses 1'!Y1806</f>
        <v/>
      </c>
      <c r="R963" s="4" t="str">
        <f>'Form responses 1'!Z1806</f>
        <v/>
      </c>
      <c r="S963" s="4" t="str">
        <f>'Form responses 1'!AC1806</f>
        <v/>
      </c>
      <c r="T963" s="4" t="str">
        <f>'Form responses 1'!AE1806</f>
        <v/>
      </c>
      <c r="U963" s="4" t="str">
        <f>'Form responses 1'!AG1806</f>
        <v/>
      </c>
      <c r="V963" s="4" t="str">
        <f>'Form responses 1'!AI1806</f>
        <v/>
      </c>
      <c r="W963" s="4" t="str">
        <f>'Form responses 1'!AJ1806</f>
        <v/>
      </c>
      <c r="X963" s="4" t="str">
        <f>'Form responses 1'!AK1806</f>
        <v/>
      </c>
      <c r="Y963" s="4">
        <f t="shared" ref="Y963:AD963" si="962">if(S963&gt;0,1,0)</f>
        <v>0</v>
      </c>
      <c r="Z963" s="4">
        <f t="shared" si="962"/>
        <v>0</v>
      </c>
      <c r="AA963" s="4">
        <f t="shared" si="962"/>
        <v>0</v>
      </c>
      <c r="AB963" s="4">
        <f t="shared" si="962"/>
        <v>0</v>
      </c>
      <c r="AC963" s="4">
        <f t="shared" si="962"/>
        <v>0</v>
      </c>
      <c r="AD963" s="4">
        <f t="shared" si="962"/>
        <v>0</v>
      </c>
      <c r="AE963" s="4" t="str">
        <f>'Form responses 1'!AN1806</f>
        <v/>
      </c>
      <c r="AF963" s="4" t="str">
        <f>'Form responses 1'!AO2087</f>
        <v/>
      </c>
      <c r="AG963" s="4" t="str">
        <f>'Form responses 1'!AP2087</f>
        <v/>
      </c>
      <c r="AH963" s="4" t="str">
        <f>'Form responses 1'!AQ2087</f>
        <v/>
      </c>
      <c r="AI963" s="4" t="str">
        <f>'Form responses 1'!AR2087</f>
        <v/>
      </c>
    </row>
    <row r="964">
      <c r="A964" s="4" t="str">
        <f>'Form responses 1'!B1807</f>
        <v/>
      </c>
      <c r="B964" s="4" t="str">
        <f>'Form responses 1'!AZ1807</f>
        <v/>
      </c>
      <c r="C964" s="4" t="str">
        <f>'Form responses 1'!BR1807</f>
        <v/>
      </c>
      <c r="D964" s="4" t="str">
        <f>'Form responses 1'!AT1807</f>
        <v/>
      </c>
      <c r="E964" s="4" t="str">
        <f>'Form responses 1'!AU1807</f>
        <v/>
      </c>
      <c r="F964" s="4" t="str">
        <f>'Form responses 1'!AX1807</f>
        <v/>
      </c>
      <c r="G964" s="4" t="str">
        <f>'Form responses 1'!AY1807</f>
        <v/>
      </c>
      <c r="H964" s="53" t="str">
        <f>'Form responses 1'!AW1807</f>
        <v/>
      </c>
      <c r="I964" s="4" t="str">
        <f>'Form responses 1'!AS1807</f>
        <v/>
      </c>
      <c r="J964" s="4" t="str">
        <f>'Form responses 1'!J1807</f>
        <v/>
      </c>
      <c r="K964" s="4" t="str">
        <f>'Form responses 1'!G1807</f>
        <v/>
      </c>
      <c r="L964" s="4" t="str">
        <f>'Form responses 1'!F1807</f>
        <v/>
      </c>
      <c r="M964" s="4" t="str">
        <f>'Form responses 1'!U1807</f>
        <v/>
      </c>
      <c r="N964" s="4" t="str">
        <f>'Form responses 1'!V1807</f>
        <v/>
      </c>
      <c r="O964" s="4" t="str">
        <f>'Form responses 1'!W1807</f>
        <v/>
      </c>
      <c r="P964" s="4" t="str">
        <f>'Form responses 1'!X1807</f>
        <v/>
      </c>
      <c r="Q964" s="4" t="str">
        <f>'Form responses 1'!Y1807</f>
        <v/>
      </c>
      <c r="R964" s="4" t="str">
        <f>'Form responses 1'!Z1807</f>
        <v/>
      </c>
      <c r="S964" s="4" t="str">
        <f>'Form responses 1'!AC1807</f>
        <v/>
      </c>
      <c r="T964" s="4" t="str">
        <f>'Form responses 1'!AE1807</f>
        <v/>
      </c>
      <c r="U964" s="4" t="str">
        <f>'Form responses 1'!AG1807</f>
        <v/>
      </c>
      <c r="V964" s="4" t="str">
        <f>'Form responses 1'!AI1807</f>
        <v/>
      </c>
      <c r="W964" s="4" t="str">
        <f>'Form responses 1'!AJ1807</f>
        <v/>
      </c>
      <c r="X964" s="4" t="str">
        <f>'Form responses 1'!AK1807</f>
        <v/>
      </c>
      <c r="Y964" s="4">
        <f t="shared" ref="Y964:AD964" si="963">if(S964&gt;0,1,0)</f>
        <v>0</v>
      </c>
      <c r="Z964" s="4">
        <f t="shared" si="963"/>
        <v>0</v>
      </c>
      <c r="AA964" s="4">
        <f t="shared" si="963"/>
        <v>0</v>
      </c>
      <c r="AB964" s="4">
        <f t="shared" si="963"/>
        <v>0</v>
      </c>
      <c r="AC964" s="4">
        <f t="shared" si="963"/>
        <v>0</v>
      </c>
      <c r="AD964" s="4">
        <f t="shared" si="963"/>
        <v>0</v>
      </c>
      <c r="AE964" s="4" t="str">
        <f>'Form responses 1'!AN1807</f>
        <v/>
      </c>
      <c r="AF964" s="4" t="str">
        <f>'Form responses 1'!AO2088</f>
        <v/>
      </c>
      <c r="AG964" s="4" t="str">
        <f>'Form responses 1'!AP2088</f>
        <v/>
      </c>
      <c r="AH964" s="4" t="str">
        <f>'Form responses 1'!AQ2088</f>
        <v/>
      </c>
      <c r="AI964" s="4" t="str">
        <f>'Form responses 1'!AR2088</f>
        <v/>
      </c>
    </row>
    <row r="965">
      <c r="A965" s="4" t="str">
        <f>'Form responses 1'!B1808</f>
        <v/>
      </c>
      <c r="B965" s="4" t="str">
        <f>'Form responses 1'!AZ1808</f>
        <v/>
      </c>
      <c r="C965" s="4" t="str">
        <f>'Form responses 1'!BR1808</f>
        <v/>
      </c>
      <c r="D965" s="4" t="str">
        <f>'Form responses 1'!AT1808</f>
        <v/>
      </c>
      <c r="E965" s="4" t="str">
        <f>'Form responses 1'!AU1808</f>
        <v/>
      </c>
      <c r="F965" s="4" t="str">
        <f>'Form responses 1'!AX1808</f>
        <v/>
      </c>
      <c r="G965" s="4" t="str">
        <f>'Form responses 1'!AY1808</f>
        <v/>
      </c>
      <c r="H965" s="53" t="str">
        <f>'Form responses 1'!AW1808</f>
        <v/>
      </c>
      <c r="I965" s="4" t="str">
        <f>'Form responses 1'!AS1808</f>
        <v/>
      </c>
      <c r="J965" s="4" t="str">
        <f>'Form responses 1'!J1808</f>
        <v/>
      </c>
      <c r="K965" s="4" t="str">
        <f>'Form responses 1'!G1808</f>
        <v/>
      </c>
      <c r="L965" s="4" t="str">
        <f>'Form responses 1'!F1808</f>
        <v/>
      </c>
      <c r="M965" s="4" t="str">
        <f>'Form responses 1'!U1808</f>
        <v/>
      </c>
      <c r="N965" s="4" t="str">
        <f>'Form responses 1'!V1808</f>
        <v/>
      </c>
      <c r="O965" s="4" t="str">
        <f>'Form responses 1'!W1808</f>
        <v/>
      </c>
      <c r="P965" s="4" t="str">
        <f>'Form responses 1'!X1808</f>
        <v/>
      </c>
      <c r="Q965" s="4" t="str">
        <f>'Form responses 1'!Y1808</f>
        <v/>
      </c>
      <c r="R965" s="4" t="str">
        <f>'Form responses 1'!Z1808</f>
        <v/>
      </c>
      <c r="S965" s="4" t="str">
        <f>'Form responses 1'!AC1808</f>
        <v/>
      </c>
      <c r="T965" s="4" t="str">
        <f>'Form responses 1'!AE1808</f>
        <v/>
      </c>
      <c r="U965" s="4" t="str">
        <f>'Form responses 1'!AG1808</f>
        <v/>
      </c>
      <c r="V965" s="4" t="str">
        <f>'Form responses 1'!AI1808</f>
        <v/>
      </c>
      <c r="W965" s="4" t="str">
        <f>'Form responses 1'!AJ1808</f>
        <v/>
      </c>
      <c r="X965" s="4" t="str">
        <f>'Form responses 1'!AK1808</f>
        <v/>
      </c>
      <c r="Y965" s="4">
        <f t="shared" ref="Y965:AD965" si="964">if(S965&gt;0,1,0)</f>
        <v>0</v>
      </c>
      <c r="Z965" s="4">
        <f t="shared" si="964"/>
        <v>0</v>
      </c>
      <c r="AA965" s="4">
        <f t="shared" si="964"/>
        <v>0</v>
      </c>
      <c r="AB965" s="4">
        <f t="shared" si="964"/>
        <v>0</v>
      </c>
      <c r="AC965" s="4">
        <f t="shared" si="964"/>
        <v>0</v>
      </c>
      <c r="AD965" s="4">
        <f t="shared" si="964"/>
        <v>0</v>
      </c>
      <c r="AE965" s="4" t="str">
        <f>'Form responses 1'!AN1808</f>
        <v/>
      </c>
      <c r="AF965" s="4" t="str">
        <f>'Form responses 1'!AO2089</f>
        <v/>
      </c>
      <c r="AG965" s="4" t="str">
        <f>'Form responses 1'!AP2089</f>
        <v/>
      </c>
      <c r="AH965" s="4" t="str">
        <f>'Form responses 1'!AQ2089</f>
        <v/>
      </c>
      <c r="AI965" s="4" t="str">
        <f>'Form responses 1'!AR2089</f>
        <v/>
      </c>
    </row>
    <row r="966">
      <c r="A966" s="4" t="str">
        <f>'Form responses 1'!B1809</f>
        <v/>
      </c>
      <c r="B966" s="4" t="str">
        <f>'Form responses 1'!AZ1809</f>
        <v/>
      </c>
      <c r="C966" s="4" t="str">
        <f>'Form responses 1'!BR1809</f>
        <v/>
      </c>
      <c r="D966" s="4" t="str">
        <f>'Form responses 1'!AT1809</f>
        <v/>
      </c>
      <c r="E966" s="4" t="str">
        <f>'Form responses 1'!AU1809</f>
        <v/>
      </c>
      <c r="F966" s="4" t="str">
        <f>'Form responses 1'!AX1809</f>
        <v/>
      </c>
      <c r="G966" s="4" t="str">
        <f>'Form responses 1'!AY1809</f>
        <v/>
      </c>
      <c r="H966" s="53" t="str">
        <f>'Form responses 1'!AW1809</f>
        <v/>
      </c>
      <c r="I966" s="4" t="str">
        <f>'Form responses 1'!AS1809</f>
        <v/>
      </c>
      <c r="J966" s="4" t="str">
        <f>'Form responses 1'!J1809</f>
        <v/>
      </c>
      <c r="K966" s="4" t="str">
        <f>'Form responses 1'!G1809</f>
        <v/>
      </c>
      <c r="L966" s="4" t="str">
        <f>'Form responses 1'!F1809</f>
        <v/>
      </c>
      <c r="M966" s="4" t="str">
        <f>'Form responses 1'!U1809</f>
        <v/>
      </c>
      <c r="N966" s="4" t="str">
        <f>'Form responses 1'!V1809</f>
        <v/>
      </c>
      <c r="O966" s="4" t="str">
        <f>'Form responses 1'!W1809</f>
        <v/>
      </c>
      <c r="P966" s="4" t="str">
        <f>'Form responses 1'!X1809</f>
        <v/>
      </c>
      <c r="Q966" s="4" t="str">
        <f>'Form responses 1'!Y1809</f>
        <v/>
      </c>
      <c r="R966" s="4" t="str">
        <f>'Form responses 1'!Z1809</f>
        <v/>
      </c>
      <c r="S966" s="4" t="str">
        <f>'Form responses 1'!AC1809</f>
        <v/>
      </c>
      <c r="T966" s="4" t="str">
        <f>'Form responses 1'!AE1809</f>
        <v/>
      </c>
      <c r="U966" s="4" t="str">
        <f>'Form responses 1'!AG1809</f>
        <v/>
      </c>
      <c r="V966" s="4" t="str">
        <f>'Form responses 1'!AI1809</f>
        <v/>
      </c>
      <c r="W966" s="4" t="str">
        <f>'Form responses 1'!AJ1809</f>
        <v/>
      </c>
      <c r="X966" s="4" t="str">
        <f>'Form responses 1'!AK1809</f>
        <v/>
      </c>
      <c r="Y966" s="4">
        <f t="shared" ref="Y966:AD966" si="965">if(S966&gt;0,1,0)</f>
        <v>0</v>
      </c>
      <c r="Z966" s="4">
        <f t="shared" si="965"/>
        <v>0</v>
      </c>
      <c r="AA966" s="4">
        <f t="shared" si="965"/>
        <v>0</v>
      </c>
      <c r="AB966" s="4">
        <f t="shared" si="965"/>
        <v>0</v>
      </c>
      <c r="AC966" s="4">
        <f t="shared" si="965"/>
        <v>0</v>
      </c>
      <c r="AD966" s="4">
        <f t="shared" si="965"/>
        <v>0</v>
      </c>
      <c r="AE966" s="4" t="str">
        <f>'Form responses 1'!AN1809</f>
        <v/>
      </c>
      <c r="AF966" s="4" t="str">
        <f>'Form responses 1'!AO2090</f>
        <v/>
      </c>
      <c r="AG966" s="4" t="str">
        <f>'Form responses 1'!AP2090</f>
        <v/>
      </c>
      <c r="AH966" s="4" t="str">
        <f>'Form responses 1'!AQ2090</f>
        <v/>
      </c>
      <c r="AI966" s="4" t="str">
        <f>'Form responses 1'!AR2090</f>
        <v/>
      </c>
    </row>
    <row r="967">
      <c r="A967" s="4" t="str">
        <f>'Form responses 1'!B1810</f>
        <v/>
      </c>
      <c r="B967" s="4" t="str">
        <f>'Form responses 1'!AZ1810</f>
        <v/>
      </c>
      <c r="C967" s="4" t="str">
        <f>'Form responses 1'!BR1810</f>
        <v/>
      </c>
      <c r="D967" s="4" t="str">
        <f>'Form responses 1'!AT1810</f>
        <v/>
      </c>
      <c r="E967" s="4" t="str">
        <f>'Form responses 1'!AU1810</f>
        <v/>
      </c>
      <c r="F967" s="4" t="str">
        <f>'Form responses 1'!AX1810</f>
        <v/>
      </c>
      <c r="G967" s="4" t="str">
        <f>'Form responses 1'!AY1810</f>
        <v/>
      </c>
      <c r="H967" s="53" t="str">
        <f>'Form responses 1'!AW1810</f>
        <v/>
      </c>
      <c r="I967" s="4" t="str">
        <f>'Form responses 1'!AS1810</f>
        <v/>
      </c>
      <c r="J967" s="4" t="str">
        <f>'Form responses 1'!J1810</f>
        <v/>
      </c>
      <c r="K967" s="4" t="str">
        <f>'Form responses 1'!G1810</f>
        <v/>
      </c>
      <c r="L967" s="4" t="str">
        <f>'Form responses 1'!F1810</f>
        <v/>
      </c>
      <c r="M967" s="4" t="str">
        <f>'Form responses 1'!U1810</f>
        <v/>
      </c>
      <c r="N967" s="4" t="str">
        <f>'Form responses 1'!V1810</f>
        <v/>
      </c>
      <c r="O967" s="4" t="str">
        <f>'Form responses 1'!W1810</f>
        <v/>
      </c>
      <c r="P967" s="4" t="str">
        <f>'Form responses 1'!X1810</f>
        <v/>
      </c>
      <c r="Q967" s="4" t="str">
        <f>'Form responses 1'!Y1810</f>
        <v/>
      </c>
      <c r="R967" s="4" t="str">
        <f>'Form responses 1'!Z1810</f>
        <v/>
      </c>
      <c r="S967" s="4" t="str">
        <f>'Form responses 1'!AC1810</f>
        <v/>
      </c>
      <c r="T967" s="4" t="str">
        <f>'Form responses 1'!AE1810</f>
        <v/>
      </c>
      <c r="U967" s="4" t="str">
        <f>'Form responses 1'!AG1810</f>
        <v/>
      </c>
      <c r="V967" s="4" t="str">
        <f>'Form responses 1'!AI1810</f>
        <v/>
      </c>
      <c r="W967" s="4" t="str">
        <f>'Form responses 1'!AJ1810</f>
        <v/>
      </c>
      <c r="X967" s="4" t="str">
        <f>'Form responses 1'!AK1810</f>
        <v/>
      </c>
      <c r="Y967" s="4">
        <f t="shared" ref="Y967:AD967" si="966">if(S967&gt;0,1,0)</f>
        <v>0</v>
      </c>
      <c r="Z967" s="4">
        <f t="shared" si="966"/>
        <v>0</v>
      </c>
      <c r="AA967" s="4">
        <f t="shared" si="966"/>
        <v>0</v>
      </c>
      <c r="AB967" s="4">
        <f t="shared" si="966"/>
        <v>0</v>
      </c>
      <c r="AC967" s="4">
        <f t="shared" si="966"/>
        <v>0</v>
      </c>
      <c r="AD967" s="4">
        <f t="shared" si="966"/>
        <v>0</v>
      </c>
      <c r="AE967" s="4" t="str">
        <f>'Form responses 1'!AN1810</f>
        <v/>
      </c>
      <c r="AF967" s="4" t="str">
        <f>'Form responses 1'!AO2091</f>
        <v/>
      </c>
      <c r="AG967" s="4" t="str">
        <f>'Form responses 1'!AP2091</f>
        <v/>
      </c>
      <c r="AH967" s="4" t="str">
        <f>'Form responses 1'!AQ2091</f>
        <v/>
      </c>
      <c r="AI967" s="4" t="str">
        <f>'Form responses 1'!AR2091</f>
        <v/>
      </c>
    </row>
    <row r="968">
      <c r="A968" s="4" t="str">
        <f>'Form responses 1'!B1811</f>
        <v/>
      </c>
      <c r="B968" s="4" t="str">
        <f>'Form responses 1'!AZ1811</f>
        <v/>
      </c>
      <c r="C968" s="4" t="str">
        <f>'Form responses 1'!BR1811</f>
        <v/>
      </c>
      <c r="D968" s="4" t="str">
        <f>'Form responses 1'!AT1811</f>
        <v/>
      </c>
      <c r="E968" s="4" t="str">
        <f>'Form responses 1'!AU1811</f>
        <v/>
      </c>
      <c r="F968" s="4" t="str">
        <f>'Form responses 1'!AX1811</f>
        <v/>
      </c>
      <c r="G968" s="4" t="str">
        <f>'Form responses 1'!AY1811</f>
        <v/>
      </c>
      <c r="H968" s="53" t="str">
        <f>'Form responses 1'!AW1811</f>
        <v/>
      </c>
      <c r="I968" s="4" t="str">
        <f>'Form responses 1'!AS1811</f>
        <v/>
      </c>
      <c r="J968" s="4" t="str">
        <f>'Form responses 1'!J1811</f>
        <v/>
      </c>
      <c r="K968" s="4" t="str">
        <f>'Form responses 1'!G1811</f>
        <v/>
      </c>
      <c r="L968" s="4" t="str">
        <f>'Form responses 1'!F1811</f>
        <v/>
      </c>
      <c r="M968" s="4" t="str">
        <f>'Form responses 1'!U1811</f>
        <v/>
      </c>
      <c r="N968" s="4" t="str">
        <f>'Form responses 1'!V1811</f>
        <v/>
      </c>
      <c r="O968" s="4" t="str">
        <f>'Form responses 1'!W1811</f>
        <v/>
      </c>
      <c r="P968" s="4" t="str">
        <f>'Form responses 1'!X1811</f>
        <v/>
      </c>
      <c r="Q968" s="4" t="str">
        <f>'Form responses 1'!Y1811</f>
        <v/>
      </c>
      <c r="R968" s="4" t="str">
        <f>'Form responses 1'!Z1811</f>
        <v/>
      </c>
      <c r="S968" s="4" t="str">
        <f>'Form responses 1'!AC1811</f>
        <v/>
      </c>
      <c r="T968" s="4" t="str">
        <f>'Form responses 1'!AE1811</f>
        <v/>
      </c>
      <c r="U968" s="4" t="str">
        <f>'Form responses 1'!AG1811</f>
        <v/>
      </c>
      <c r="V968" s="4" t="str">
        <f>'Form responses 1'!AI1811</f>
        <v/>
      </c>
      <c r="W968" s="4" t="str">
        <f>'Form responses 1'!AJ1811</f>
        <v/>
      </c>
      <c r="X968" s="4" t="str">
        <f>'Form responses 1'!AK1811</f>
        <v/>
      </c>
      <c r="Y968" s="4">
        <f t="shared" ref="Y968:AD968" si="967">if(S968&gt;0,1,0)</f>
        <v>0</v>
      </c>
      <c r="Z968" s="4">
        <f t="shared" si="967"/>
        <v>0</v>
      </c>
      <c r="AA968" s="4">
        <f t="shared" si="967"/>
        <v>0</v>
      </c>
      <c r="AB968" s="4">
        <f t="shared" si="967"/>
        <v>0</v>
      </c>
      <c r="AC968" s="4">
        <f t="shared" si="967"/>
        <v>0</v>
      </c>
      <c r="AD968" s="4">
        <f t="shared" si="967"/>
        <v>0</v>
      </c>
      <c r="AE968" s="4" t="str">
        <f>'Form responses 1'!AN1811</f>
        <v/>
      </c>
      <c r="AF968" s="4" t="str">
        <f>'Form responses 1'!AO2092</f>
        <v/>
      </c>
      <c r="AG968" s="4" t="str">
        <f>'Form responses 1'!AP2092</f>
        <v/>
      </c>
      <c r="AH968" s="4" t="str">
        <f>'Form responses 1'!AQ2092</f>
        <v/>
      </c>
      <c r="AI968" s="4" t="str">
        <f>'Form responses 1'!AR2092</f>
        <v/>
      </c>
    </row>
    <row r="969">
      <c r="A969" s="4" t="str">
        <f>'Form responses 1'!B1812</f>
        <v/>
      </c>
      <c r="B969" s="4" t="str">
        <f>'Form responses 1'!AZ1812</f>
        <v/>
      </c>
      <c r="C969" s="4" t="str">
        <f>'Form responses 1'!BR1812</f>
        <v/>
      </c>
      <c r="D969" s="4" t="str">
        <f>'Form responses 1'!AT1812</f>
        <v/>
      </c>
      <c r="E969" s="4" t="str">
        <f>'Form responses 1'!AU1812</f>
        <v/>
      </c>
      <c r="F969" s="4" t="str">
        <f>'Form responses 1'!AX1812</f>
        <v/>
      </c>
      <c r="G969" s="4" t="str">
        <f>'Form responses 1'!AY1812</f>
        <v/>
      </c>
      <c r="H969" s="53" t="str">
        <f>'Form responses 1'!AW1812</f>
        <v/>
      </c>
      <c r="I969" s="4" t="str">
        <f>'Form responses 1'!AS1812</f>
        <v/>
      </c>
      <c r="J969" s="4" t="str">
        <f>'Form responses 1'!J1812</f>
        <v/>
      </c>
      <c r="K969" s="4" t="str">
        <f>'Form responses 1'!G1812</f>
        <v/>
      </c>
      <c r="L969" s="4" t="str">
        <f>'Form responses 1'!F1812</f>
        <v/>
      </c>
      <c r="M969" s="4" t="str">
        <f>'Form responses 1'!U1812</f>
        <v/>
      </c>
      <c r="N969" s="4" t="str">
        <f>'Form responses 1'!V1812</f>
        <v/>
      </c>
      <c r="O969" s="4" t="str">
        <f>'Form responses 1'!W1812</f>
        <v/>
      </c>
      <c r="P969" s="4" t="str">
        <f>'Form responses 1'!X1812</f>
        <v/>
      </c>
      <c r="Q969" s="4" t="str">
        <f>'Form responses 1'!Y1812</f>
        <v/>
      </c>
      <c r="R969" s="4" t="str">
        <f>'Form responses 1'!Z1812</f>
        <v/>
      </c>
      <c r="S969" s="4" t="str">
        <f>'Form responses 1'!AC1812</f>
        <v/>
      </c>
      <c r="T969" s="4" t="str">
        <f>'Form responses 1'!AE1812</f>
        <v/>
      </c>
      <c r="U969" s="4" t="str">
        <f>'Form responses 1'!AG1812</f>
        <v/>
      </c>
      <c r="V969" s="4" t="str">
        <f>'Form responses 1'!AI1812</f>
        <v/>
      </c>
      <c r="W969" s="4" t="str">
        <f>'Form responses 1'!AJ1812</f>
        <v/>
      </c>
      <c r="X969" s="4" t="str">
        <f>'Form responses 1'!AK1812</f>
        <v/>
      </c>
      <c r="Y969" s="4">
        <f t="shared" ref="Y969:AD969" si="968">if(S969&gt;0,1,0)</f>
        <v>0</v>
      </c>
      <c r="Z969" s="4">
        <f t="shared" si="968"/>
        <v>0</v>
      </c>
      <c r="AA969" s="4">
        <f t="shared" si="968"/>
        <v>0</v>
      </c>
      <c r="AB969" s="4">
        <f t="shared" si="968"/>
        <v>0</v>
      </c>
      <c r="AC969" s="4">
        <f t="shared" si="968"/>
        <v>0</v>
      </c>
      <c r="AD969" s="4">
        <f t="shared" si="968"/>
        <v>0</v>
      </c>
      <c r="AE969" s="4" t="str">
        <f>'Form responses 1'!AN1812</f>
        <v/>
      </c>
      <c r="AF969" s="4" t="str">
        <f>'Form responses 1'!AO2093</f>
        <v/>
      </c>
      <c r="AG969" s="4" t="str">
        <f>'Form responses 1'!AP2093</f>
        <v/>
      </c>
      <c r="AH969" s="4" t="str">
        <f>'Form responses 1'!AQ2093</f>
        <v/>
      </c>
      <c r="AI969" s="4" t="str">
        <f>'Form responses 1'!AR2093</f>
        <v/>
      </c>
    </row>
    <row r="970">
      <c r="A970" s="4" t="str">
        <f>'Form responses 1'!B1813</f>
        <v/>
      </c>
      <c r="B970" s="4" t="str">
        <f>'Form responses 1'!AZ1813</f>
        <v/>
      </c>
      <c r="C970" s="4" t="str">
        <f>'Form responses 1'!BR1813</f>
        <v/>
      </c>
      <c r="D970" s="4" t="str">
        <f>'Form responses 1'!AT1813</f>
        <v/>
      </c>
      <c r="E970" s="4" t="str">
        <f>'Form responses 1'!AU1813</f>
        <v/>
      </c>
      <c r="F970" s="4" t="str">
        <f>'Form responses 1'!AX1813</f>
        <v/>
      </c>
      <c r="G970" s="4" t="str">
        <f>'Form responses 1'!AY1813</f>
        <v/>
      </c>
      <c r="H970" s="53" t="str">
        <f>'Form responses 1'!AW1813</f>
        <v/>
      </c>
      <c r="I970" s="4" t="str">
        <f>'Form responses 1'!AS1813</f>
        <v/>
      </c>
      <c r="J970" s="4" t="str">
        <f>'Form responses 1'!J1813</f>
        <v/>
      </c>
      <c r="K970" s="4" t="str">
        <f>'Form responses 1'!G1813</f>
        <v/>
      </c>
      <c r="L970" s="4" t="str">
        <f>'Form responses 1'!F1813</f>
        <v/>
      </c>
      <c r="M970" s="4" t="str">
        <f>'Form responses 1'!U1813</f>
        <v/>
      </c>
      <c r="N970" s="4" t="str">
        <f>'Form responses 1'!V1813</f>
        <v/>
      </c>
      <c r="O970" s="4" t="str">
        <f>'Form responses 1'!W1813</f>
        <v/>
      </c>
      <c r="P970" s="4" t="str">
        <f>'Form responses 1'!X1813</f>
        <v/>
      </c>
      <c r="Q970" s="4" t="str">
        <f>'Form responses 1'!Y1813</f>
        <v/>
      </c>
      <c r="R970" s="4" t="str">
        <f>'Form responses 1'!Z1813</f>
        <v/>
      </c>
      <c r="S970" s="4" t="str">
        <f>'Form responses 1'!AC1813</f>
        <v/>
      </c>
      <c r="T970" s="4" t="str">
        <f>'Form responses 1'!AE1813</f>
        <v/>
      </c>
      <c r="U970" s="4" t="str">
        <f>'Form responses 1'!AG1813</f>
        <v/>
      </c>
      <c r="V970" s="4" t="str">
        <f>'Form responses 1'!AI1813</f>
        <v/>
      </c>
      <c r="W970" s="4" t="str">
        <f>'Form responses 1'!AJ1813</f>
        <v/>
      </c>
      <c r="X970" s="4" t="str">
        <f>'Form responses 1'!AK1813</f>
        <v/>
      </c>
      <c r="Y970" s="4">
        <f t="shared" ref="Y970:AD970" si="969">if(S970&gt;0,1,0)</f>
        <v>0</v>
      </c>
      <c r="Z970" s="4">
        <f t="shared" si="969"/>
        <v>0</v>
      </c>
      <c r="AA970" s="4">
        <f t="shared" si="969"/>
        <v>0</v>
      </c>
      <c r="AB970" s="4">
        <f t="shared" si="969"/>
        <v>0</v>
      </c>
      <c r="AC970" s="4">
        <f t="shared" si="969"/>
        <v>0</v>
      </c>
      <c r="AD970" s="4">
        <f t="shared" si="969"/>
        <v>0</v>
      </c>
      <c r="AE970" s="4" t="str">
        <f>'Form responses 1'!AN1813</f>
        <v/>
      </c>
      <c r="AF970" s="4" t="str">
        <f>'Form responses 1'!AO2094</f>
        <v/>
      </c>
      <c r="AG970" s="4" t="str">
        <f>'Form responses 1'!AP2094</f>
        <v/>
      </c>
      <c r="AH970" s="4" t="str">
        <f>'Form responses 1'!AQ2094</f>
        <v/>
      </c>
      <c r="AI970" s="4" t="str">
        <f>'Form responses 1'!AR2094</f>
        <v/>
      </c>
    </row>
    <row r="971">
      <c r="A971" s="4" t="str">
        <f>'Form responses 1'!B1814</f>
        <v/>
      </c>
      <c r="B971" s="4" t="str">
        <f>'Form responses 1'!AZ1814</f>
        <v/>
      </c>
      <c r="C971" s="4" t="str">
        <f>'Form responses 1'!BR1814</f>
        <v/>
      </c>
      <c r="D971" s="4" t="str">
        <f>'Form responses 1'!AT1814</f>
        <v/>
      </c>
      <c r="E971" s="4" t="str">
        <f>'Form responses 1'!AU1814</f>
        <v/>
      </c>
      <c r="F971" s="4" t="str">
        <f>'Form responses 1'!AX1814</f>
        <v/>
      </c>
      <c r="G971" s="4" t="str">
        <f>'Form responses 1'!AY1814</f>
        <v/>
      </c>
      <c r="H971" s="53" t="str">
        <f>'Form responses 1'!AW1814</f>
        <v/>
      </c>
      <c r="I971" s="4" t="str">
        <f>'Form responses 1'!AS1814</f>
        <v/>
      </c>
      <c r="J971" s="4" t="str">
        <f>'Form responses 1'!J1814</f>
        <v/>
      </c>
      <c r="K971" s="4" t="str">
        <f>'Form responses 1'!G1814</f>
        <v/>
      </c>
      <c r="L971" s="4" t="str">
        <f>'Form responses 1'!F1814</f>
        <v/>
      </c>
      <c r="M971" s="4" t="str">
        <f>'Form responses 1'!U1814</f>
        <v/>
      </c>
      <c r="N971" s="4" t="str">
        <f>'Form responses 1'!V1814</f>
        <v/>
      </c>
      <c r="O971" s="4" t="str">
        <f>'Form responses 1'!W1814</f>
        <v/>
      </c>
      <c r="P971" s="4" t="str">
        <f>'Form responses 1'!X1814</f>
        <v/>
      </c>
      <c r="Q971" s="4" t="str">
        <f>'Form responses 1'!Y1814</f>
        <v/>
      </c>
      <c r="R971" s="4" t="str">
        <f>'Form responses 1'!Z1814</f>
        <v/>
      </c>
      <c r="S971" s="4" t="str">
        <f>'Form responses 1'!AC1814</f>
        <v/>
      </c>
      <c r="T971" s="4" t="str">
        <f>'Form responses 1'!AE1814</f>
        <v/>
      </c>
      <c r="U971" s="4" t="str">
        <f>'Form responses 1'!AG1814</f>
        <v/>
      </c>
      <c r="V971" s="4" t="str">
        <f>'Form responses 1'!AI1814</f>
        <v/>
      </c>
      <c r="W971" s="4" t="str">
        <f>'Form responses 1'!AJ1814</f>
        <v/>
      </c>
      <c r="X971" s="4" t="str">
        <f>'Form responses 1'!AK1814</f>
        <v/>
      </c>
      <c r="Y971" s="4">
        <f t="shared" ref="Y971:AD971" si="970">if(S971&gt;0,1,0)</f>
        <v>0</v>
      </c>
      <c r="Z971" s="4">
        <f t="shared" si="970"/>
        <v>0</v>
      </c>
      <c r="AA971" s="4">
        <f t="shared" si="970"/>
        <v>0</v>
      </c>
      <c r="AB971" s="4">
        <f t="shared" si="970"/>
        <v>0</v>
      </c>
      <c r="AC971" s="4">
        <f t="shared" si="970"/>
        <v>0</v>
      </c>
      <c r="AD971" s="4">
        <f t="shared" si="970"/>
        <v>0</v>
      </c>
      <c r="AE971" s="4" t="str">
        <f>'Form responses 1'!AN1814</f>
        <v/>
      </c>
      <c r="AF971" s="4" t="str">
        <f>'Form responses 1'!AO2095</f>
        <v/>
      </c>
      <c r="AG971" s="4" t="str">
        <f>'Form responses 1'!AP2095</f>
        <v/>
      </c>
      <c r="AH971" s="4" t="str">
        <f>'Form responses 1'!AQ2095</f>
        <v/>
      </c>
      <c r="AI971" s="4" t="str">
        <f>'Form responses 1'!AR2095</f>
        <v/>
      </c>
    </row>
    <row r="972">
      <c r="A972" s="4" t="str">
        <f>'Form responses 1'!B1815</f>
        <v/>
      </c>
      <c r="B972" s="4" t="str">
        <f>'Form responses 1'!AZ1815</f>
        <v/>
      </c>
      <c r="C972" s="4" t="str">
        <f>'Form responses 1'!BR1815</f>
        <v/>
      </c>
      <c r="D972" s="4" t="str">
        <f>'Form responses 1'!AT1815</f>
        <v/>
      </c>
      <c r="E972" s="4" t="str">
        <f>'Form responses 1'!AU1815</f>
        <v/>
      </c>
      <c r="F972" s="4" t="str">
        <f>'Form responses 1'!AX1815</f>
        <v/>
      </c>
      <c r="G972" s="4" t="str">
        <f>'Form responses 1'!AY1815</f>
        <v/>
      </c>
      <c r="H972" s="53" t="str">
        <f>'Form responses 1'!AW1815</f>
        <v/>
      </c>
      <c r="I972" s="4" t="str">
        <f>'Form responses 1'!AS1815</f>
        <v/>
      </c>
      <c r="J972" s="4" t="str">
        <f>'Form responses 1'!J1815</f>
        <v/>
      </c>
      <c r="K972" s="4" t="str">
        <f>'Form responses 1'!G1815</f>
        <v/>
      </c>
      <c r="L972" s="4" t="str">
        <f>'Form responses 1'!F1815</f>
        <v/>
      </c>
      <c r="M972" s="4" t="str">
        <f>'Form responses 1'!U1815</f>
        <v/>
      </c>
      <c r="N972" s="4" t="str">
        <f>'Form responses 1'!V1815</f>
        <v/>
      </c>
      <c r="O972" s="4" t="str">
        <f>'Form responses 1'!W1815</f>
        <v/>
      </c>
      <c r="P972" s="4" t="str">
        <f>'Form responses 1'!X1815</f>
        <v/>
      </c>
      <c r="Q972" s="4" t="str">
        <f>'Form responses 1'!Y1815</f>
        <v/>
      </c>
      <c r="R972" s="4" t="str">
        <f>'Form responses 1'!Z1815</f>
        <v/>
      </c>
      <c r="S972" s="4" t="str">
        <f>'Form responses 1'!AC1815</f>
        <v/>
      </c>
      <c r="T972" s="4" t="str">
        <f>'Form responses 1'!AE1815</f>
        <v/>
      </c>
      <c r="U972" s="4" t="str">
        <f>'Form responses 1'!AG1815</f>
        <v/>
      </c>
      <c r="V972" s="4" t="str">
        <f>'Form responses 1'!AI1815</f>
        <v/>
      </c>
      <c r="W972" s="4" t="str">
        <f>'Form responses 1'!AJ1815</f>
        <v/>
      </c>
      <c r="X972" s="4" t="str">
        <f>'Form responses 1'!AK1815</f>
        <v/>
      </c>
      <c r="Y972" s="4">
        <f t="shared" ref="Y972:AD972" si="971">if(S972&gt;0,1,0)</f>
        <v>0</v>
      </c>
      <c r="Z972" s="4">
        <f t="shared" si="971"/>
        <v>0</v>
      </c>
      <c r="AA972" s="4">
        <f t="shared" si="971"/>
        <v>0</v>
      </c>
      <c r="AB972" s="4">
        <f t="shared" si="971"/>
        <v>0</v>
      </c>
      <c r="AC972" s="4">
        <f t="shared" si="971"/>
        <v>0</v>
      </c>
      <c r="AD972" s="4">
        <f t="shared" si="971"/>
        <v>0</v>
      </c>
      <c r="AE972" s="4" t="str">
        <f>'Form responses 1'!AN1815</f>
        <v/>
      </c>
      <c r="AF972" s="4" t="str">
        <f>'Form responses 1'!AO2096</f>
        <v/>
      </c>
      <c r="AG972" s="4" t="str">
        <f>'Form responses 1'!AP2096</f>
        <v/>
      </c>
      <c r="AH972" s="4" t="str">
        <f>'Form responses 1'!AQ2096</f>
        <v/>
      </c>
      <c r="AI972" s="4" t="str">
        <f>'Form responses 1'!AR2096</f>
        <v/>
      </c>
    </row>
    <row r="973">
      <c r="A973" s="4" t="str">
        <f>'Form responses 1'!B1816</f>
        <v/>
      </c>
      <c r="B973" s="4" t="str">
        <f>'Form responses 1'!AZ1816</f>
        <v/>
      </c>
      <c r="C973" s="4" t="str">
        <f>'Form responses 1'!BR1816</f>
        <v/>
      </c>
      <c r="D973" s="4" t="str">
        <f>'Form responses 1'!AT1816</f>
        <v/>
      </c>
      <c r="E973" s="4" t="str">
        <f>'Form responses 1'!AU1816</f>
        <v/>
      </c>
      <c r="F973" s="4" t="str">
        <f>'Form responses 1'!AX1816</f>
        <v/>
      </c>
      <c r="G973" s="4" t="str">
        <f>'Form responses 1'!AY1816</f>
        <v/>
      </c>
      <c r="H973" s="53" t="str">
        <f>'Form responses 1'!AW1816</f>
        <v/>
      </c>
      <c r="I973" s="4" t="str">
        <f>'Form responses 1'!AS1816</f>
        <v/>
      </c>
      <c r="J973" s="4" t="str">
        <f>'Form responses 1'!J1816</f>
        <v/>
      </c>
      <c r="K973" s="4" t="str">
        <f>'Form responses 1'!G1816</f>
        <v/>
      </c>
      <c r="L973" s="4" t="str">
        <f>'Form responses 1'!F1816</f>
        <v/>
      </c>
      <c r="M973" s="4" t="str">
        <f>'Form responses 1'!U1816</f>
        <v/>
      </c>
      <c r="N973" s="4" t="str">
        <f>'Form responses 1'!V1816</f>
        <v/>
      </c>
      <c r="O973" s="4" t="str">
        <f>'Form responses 1'!W1816</f>
        <v/>
      </c>
      <c r="P973" s="4" t="str">
        <f>'Form responses 1'!X1816</f>
        <v/>
      </c>
      <c r="Q973" s="4" t="str">
        <f>'Form responses 1'!Y1816</f>
        <v/>
      </c>
      <c r="R973" s="4" t="str">
        <f>'Form responses 1'!Z1816</f>
        <v/>
      </c>
      <c r="S973" s="4" t="str">
        <f>'Form responses 1'!AC1816</f>
        <v/>
      </c>
      <c r="T973" s="4" t="str">
        <f>'Form responses 1'!AE1816</f>
        <v/>
      </c>
      <c r="U973" s="4" t="str">
        <f>'Form responses 1'!AG1816</f>
        <v/>
      </c>
      <c r="V973" s="4" t="str">
        <f>'Form responses 1'!AI1816</f>
        <v/>
      </c>
      <c r="W973" s="4" t="str">
        <f>'Form responses 1'!AJ1816</f>
        <v/>
      </c>
      <c r="X973" s="4" t="str">
        <f>'Form responses 1'!AK1816</f>
        <v/>
      </c>
      <c r="Y973" s="4">
        <f t="shared" ref="Y973:AD973" si="972">if(S973&gt;0,1,0)</f>
        <v>0</v>
      </c>
      <c r="Z973" s="4">
        <f t="shared" si="972"/>
        <v>0</v>
      </c>
      <c r="AA973" s="4">
        <f t="shared" si="972"/>
        <v>0</v>
      </c>
      <c r="AB973" s="4">
        <f t="shared" si="972"/>
        <v>0</v>
      </c>
      <c r="AC973" s="4">
        <f t="shared" si="972"/>
        <v>0</v>
      </c>
      <c r="AD973" s="4">
        <f t="shared" si="972"/>
        <v>0</v>
      </c>
      <c r="AE973" s="4" t="str">
        <f>'Form responses 1'!AN1816</f>
        <v/>
      </c>
      <c r="AF973" s="4" t="str">
        <f>'Form responses 1'!AO2097</f>
        <v/>
      </c>
      <c r="AG973" s="4" t="str">
        <f>'Form responses 1'!AP2097</f>
        <v/>
      </c>
      <c r="AH973" s="4" t="str">
        <f>'Form responses 1'!AQ2097</f>
        <v/>
      </c>
      <c r="AI973" s="4" t="str">
        <f>'Form responses 1'!AR2097</f>
        <v/>
      </c>
    </row>
    <row r="974">
      <c r="A974" s="4" t="str">
        <f>'Form responses 1'!B1817</f>
        <v/>
      </c>
      <c r="B974" s="4" t="str">
        <f>'Form responses 1'!AZ1817</f>
        <v/>
      </c>
      <c r="C974" s="4" t="str">
        <f>'Form responses 1'!BR1817</f>
        <v/>
      </c>
      <c r="D974" s="4" t="str">
        <f>'Form responses 1'!AT1817</f>
        <v/>
      </c>
      <c r="E974" s="4" t="str">
        <f>'Form responses 1'!AU1817</f>
        <v/>
      </c>
      <c r="F974" s="4" t="str">
        <f>'Form responses 1'!AX1817</f>
        <v/>
      </c>
      <c r="G974" s="4" t="str">
        <f>'Form responses 1'!AY1817</f>
        <v/>
      </c>
      <c r="H974" s="53" t="str">
        <f>'Form responses 1'!AW1817</f>
        <v/>
      </c>
      <c r="I974" s="4" t="str">
        <f>'Form responses 1'!AS1817</f>
        <v/>
      </c>
      <c r="J974" s="4" t="str">
        <f>'Form responses 1'!J1817</f>
        <v/>
      </c>
      <c r="K974" s="4" t="str">
        <f>'Form responses 1'!G1817</f>
        <v/>
      </c>
      <c r="L974" s="4" t="str">
        <f>'Form responses 1'!F1817</f>
        <v/>
      </c>
      <c r="M974" s="4" t="str">
        <f>'Form responses 1'!U1817</f>
        <v/>
      </c>
      <c r="N974" s="4" t="str">
        <f>'Form responses 1'!V1817</f>
        <v/>
      </c>
      <c r="O974" s="4" t="str">
        <f>'Form responses 1'!W1817</f>
        <v/>
      </c>
      <c r="P974" s="4" t="str">
        <f>'Form responses 1'!X1817</f>
        <v/>
      </c>
      <c r="Q974" s="4" t="str">
        <f>'Form responses 1'!Y1817</f>
        <v/>
      </c>
      <c r="R974" s="4" t="str">
        <f>'Form responses 1'!Z1817</f>
        <v/>
      </c>
      <c r="S974" s="4" t="str">
        <f>'Form responses 1'!AC1817</f>
        <v/>
      </c>
      <c r="T974" s="4" t="str">
        <f>'Form responses 1'!AE1817</f>
        <v/>
      </c>
      <c r="U974" s="4" t="str">
        <f>'Form responses 1'!AG1817</f>
        <v/>
      </c>
      <c r="V974" s="4" t="str">
        <f>'Form responses 1'!AI1817</f>
        <v/>
      </c>
      <c r="W974" s="4" t="str">
        <f>'Form responses 1'!AJ1817</f>
        <v/>
      </c>
      <c r="X974" s="4" t="str">
        <f>'Form responses 1'!AK1817</f>
        <v/>
      </c>
      <c r="Y974" s="4">
        <f t="shared" ref="Y974:AD974" si="973">if(S974&gt;0,1,0)</f>
        <v>0</v>
      </c>
      <c r="Z974" s="4">
        <f t="shared" si="973"/>
        <v>0</v>
      </c>
      <c r="AA974" s="4">
        <f t="shared" si="973"/>
        <v>0</v>
      </c>
      <c r="AB974" s="4">
        <f t="shared" si="973"/>
        <v>0</v>
      </c>
      <c r="AC974" s="4">
        <f t="shared" si="973"/>
        <v>0</v>
      </c>
      <c r="AD974" s="4">
        <f t="shared" si="973"/>
        <v>0</v>
      </c>
      <c r="AE974" s="4" t="str">
        <f>'Form responses 1'!AN1817</f>
        <v/>
      </c>
      <c r="AF974" s="4" t="str">
        <f>'Form responses 1'!AO2098</f>
        <v/>
      </c>
      <c r="AG974" s="4" t="str">
        <f>'Form responses 1'!AP2098</f>
        <v/>
      </c>
      <c r="AH974" s="4" t="str">
        <f>'Form responses 1'!AQ2098</f>
        <v/>
      </c>
      <c r="AI974" s="4" t="str">
        <f>'Form responses 1'!AR2098</f>
        <v/>
      </c>
    </row>
    <row r="975">
      <c r="A975" s="4" t="str">
        <f>'Form responses 1'!B1818</f>
        <v/>
      </c>
      <c r="B975" s="4" t="str">
        <f>'Form responses 1'!AZ1818</f>
        <v/>
      </c>
      <c r="C975" s="4" t="str">
        <f>'Form responses 1'!BR1818</f>
        <v/>
      </c>
      <c r="D975" s="4" t="str">
        <f>'Form responses 1'!AT1818</f>
        <v/>
      </c>
      <c r="E975" s="4" t="str">
        <f>'Form responses 1'!AU1818</f>
        <v/>
      </c>
      <c r="F975" s="4" t="str">
        <f>'Form responses 1'!AX1818</f>
        <v/>
      </c>
      <c r="G975" s="4" t="str">
        <f>'Form responses 1'!AY1818</f>
        <v/>
      </c>
      <c r="H975" s="53" t="str">
        <f>'Form responses 1'!AW1818</f>
        <v/>
      </c>
      <c r="I975" s="4" t="str">
        <f>'Form responses 1'!AS1818</f>
        <v/>
      </c>
      <c r="J975" s="4" t="str">
        <f>'Form responses 1'!J1818</f>
        <v/>
      </c>
      <c r="K975" s="4" t="str">
        <f>'Form responses 1'!G1818</f>
        <v/>
      </c>
      <c r="L975" s="4" t="str">
        <f>'Form responses 1'!F1818</f>
        <v/>
      </c>
      <c r="M975" s="4" t="str">
        <f>'Form responses 1'!U1818</f>
        <v/>
      </c>
      <c r="N975" s="4" t="str">
        <f>'Form responses 1'!V1818</f>
        <v/>
      </c>
      <c r="O975" s="4" t="str">
        <f>'Form responses 1'!W1818</f>
        <v/>
      </c>
      <c r="P975" s="4" t="str">
        <f>'Form responses 1'!X1818</f>
        <v/>
      </c>
      <c r="Q975" s="4" t="str">
        <f>'Form responses 1'!Y1818</f>
        <v/>
      </c>
      <c r="R975" s="4" t="str">
        <f>'Form responses 1'!Z1818</f>
        <v/>
      </c>
      <c r="S975" s="4" t="str">
        <f>'Form responses 1'!AC1818</f>
        <v/>
      </c>
      <c r="T975" s="4" t="str">
        <f>'Form responses 1'!AE1818</f>
        <v/>
      </c>
      <c r="U975" s="4" t="str">
        <f>'Form responses 1'!AG1818</f>
        <v/>
      </c>
      <c r="V975" s="4" t="str">
        <f>'Form responses 1'!AI1818</f>
        <v/>
      </c>
      <c r="W975" s="4" t="str">
        <f>'Form responses 1'!AJ1818</f>
        <v/>
      </c>
      <c r="X975" s="4" t="str">
        <f>'Form responses 1'!AK1818</f>
        <v/>
      </c>
      <c r="Y975" s="4">
        <f t="shared" ref="Y975:AD975" si="974">if(S975&gt;0,1,0)</f>
        <v>0</v>
      </c>
      <c r="Z975" s="4">
        <f t="shared" si="974"/>
        <v>0</v>
      </c>
      <c r="AA975" s="4">
        <f t="shared" si="974"/>
        <v>0</v>
      </c>
      <c r="AB975" s="4">
        <f t="shared" si="974"/>
        <v>0</v>
      </c>
      <c r="AC975" s="4">
        <f t="shared" si="974"/>
        <v>0</v>
      </c>
      <c r="AD975" s="4">
        <f t="shared" si="974"/>
        <v>0</v>
      </c>
      <c r="AE975" s="4" t="str">
        <f>'Form responses 1'!AN1818</f>
        <v/>
      </c>
      <c r="AF975" s="4" t="str">
        <f>'Form responses 1'!AO2099</f>
        <v/>
      </c>
      <c r="AG975" s="4" t="str">
        <f>'Form responses 1'!AP2099</f>
        <v/>
      </c>
      <c r="AH975" s="4" t="str">
        <f>'Form responses 1'!AQ2099</f>
        <v/>
      </c>
      <c r="AI975" s="4" t="str">
        <f>'Form responses 1'!AR2099</f>
        <v/>
      </c>
    </row>
    <row r="976">
      <c r="A976" s="4" t="str">
        <f>'Form responses 1'!B1819</f>
        <v/>
      </c>
      <c r="B976" s="4" t="str">
        <f>'Form responses 1'!AZ1819</f>
        <v/>
      </c>
      <c r="C976" s="4" t="str">
        <f>'Form responses 1'!BR1819</f>
        <v/>
      </c>
      <c r="D976" s="4" t="str">
        <f>'Form responses 1'!AT1819</f>
        <v/>
      </c>
      <c r="E976" s="4" t="str">
        <f>'Form responses 1'!AU1819</f>
        <v/>
      </c>
      <c r="F976" s="4" t="str">
        <f>'Form responses 1'!AX1819</f>
        <v/>
      </c>
      <c r="G976" s="4" t="str">
        <f>'Form responses 1'!AY1819</f>
        <v/>
      </c>
      <c r="H976" s="53" t="str">
        <f>'Form responses 1'!AW1819</f>
        <v/>
      </c>
      <c r="I976" s="4" t="str">
        <f>'Form responses 1'!AS1819</f>
        <v/>
      </c>
      <c r="J976" s="4" t="str">
        <f>'Form responses 1'!J1819</f>
        <v/>
      </c>
      <c r="K976" s="4" t="str">
        <f>'Form responses 1'!G1819</f>
        <v/>
      </c>
      <c r="L976" s="4" t="str">
        <f>'Form responses 1'!F1819</f>
        <v/>
      </c>
      <c r="M976" s="4" t="str">
        <f>'Form responses 1'!U1819</f>
        <v/>
      </c>
      <c r="N976" s="4" t="str">
        <f>'Form responses 1'!V1819</f>
        <v/>
      </c>
      <c r="O976" s="4" t="str">
        <f>'Form responses 1'!W1819</f>
        <v/>
      </c>
      <c r="P976" s="4" t="str">
        <f>'Form responses 1'!X1819</f>
        <v/>
      </c>
      <c r="Q976" s="4" t="str">
        <f>'Form responses 1'!Y1819</f>
        <v/>
      </c>
      <c r="R976" s="4" t="str">
        <f>'Form responses 1'!Z1819</f>
        <v/>
      </c>
      <c r="S976" s="4" t="str">
        <f>'Form responses 1'!AC1819</f>
        <v/>
      </c>
      <c r="T976" s="4" t="str">
        <f>'Form responses 1'!AE1819</f>
        <v/>
      </c>
      <c r="U976" s="4" t="str">
        <f>'Form responses 1'!AG1819</f>
        <v/>
      </c>
      <c r="V976" s="4" t="str">
        <f>'Form responses 1'!AI1819</f>
        <v/>
      </c>
      <c r="W976" s="4" t="str">
        <f>'Form responses 1'!AJ1819</f>
        <v/>
      </c>
      <c r="X976" s="4" t="str">
        <f>'Form responses 1'!AK1819</f>
        <v/>
      </c>
      <c r="Y976" s="4">
        <f t="shared" ref="Y976:AD976" si="975">if(S976&gt;0,1,0)</f>
        <v>0</v>
      </c>
      <c r="Z976" s="4">
        <f t="shared" si="975"/>
        <v>0</v>
      </c>
      <c r="AA976" s="4">
        <f t="shared" si="975"/>
        <v>0</v>
      </c>
      <c r="AB976" s="4">
        <f t="shared" si="975"/>
        <v>0</v>
      </c>
      <c r="AC976" s="4">
        <f t="shared" si="975"/>
        <v>0</v>
      </c>
      <c r="AD976" s="4">
        <f t="shared" si="975"/>
        <v>0</v>
      </c>
      <c r="AE976" s="4" t="str">
        <f>'Form responses 1'!AN1819</f>
        <v/>
      </c>
      <c r="AF976" s="4" t="str">
        <f>'Form responses 1'!AO2100</f>
        <v/>
      </c>
      <c r="AG976" s="4" t="str">
        <f>'Form responses 1'!AP2100</f>
        <v/>
      </c>
      <c r="AH976" s="4" t="str">
        <f>'Form responses 1'!AQ2100</f>
        <v/>
      </c>
      <c r="AI976" s="4" t="str">
        <f>'Form responses 1'!AR2100</f>
        <v/>
      </c>
    </row>
    <row r="977">
      <c r="A977" s="4" t="str">
        <f>'Form responses 1'!B1820</f>
        <v/>
      </c>
      <c r="B977" s="4" t="str">
        <f>'Form responses 1'!AZ1820</f>
        <v/>
      </c>
      <c r="C977" s="4" t="str">
        <f>'Form responses 1'!BR1820</f>
        <v/>
      </c>
      <c r="D977" s="4" t="str">
        <f>'Form responses 1'!AT1820</f>
        <v/>
      </c>
      <c r="E977" s="4" t="str">
        <f>'Form responses 1'!AU1820</f>
        <v/>
      </c>
      <c r="F977" s="4" t="str">
        <f>'Form responses 1'!AX1820</f>
        <v/>
      </c>
      <c r="G977" s="4" t="str">
        <f>'Form responses 1'!AY1820</f>
        <v/>
      </c>
      <c r="H977" s="53" t="str">
        <f>'Form responses 1'!AW1820</f>
        <v/>
      </c>
      <c r="I977" s="4" t="str">
        <f>'Form responses 1'!AS1820</f>
        <v/>
      </c>
      <c r="J977" s="4" t="str">
        <f>'Form responses 1'!J1820</f>
        <v/>
      </c>
      <c r="K977" s="4" t="str">
        <f>'Form responses 1'!G1820</f>
        <v/>
      </c>
      <c r="L977" s="4" t="str">
        <f>'Form responses 1'!F1820</f>
        <v/>
      </c>
      <c r="M977" s="4" t="str">
        <f>'Form responses 1'!U1820</f>
        <v/>
      </c>
      <c r="N977" s="4" t="str">
        <f>'Form responses 1'!V1820</f>
        <v/>
      </c>
      <c r="O977" s="4" t="str">
        <f>'Form responses 1'!W1820</f>
        <v/>
      </c>
      <c r="P977" s="4" t="str">
        <f>'Form responses 1'!X1820</f>
        <v/>
      </c>
      <c r="Q977" s="4" t="str">
        <f>'Form responses 1'!Y1820</f>
        <v/>
      </c>
      <c r="R977" s="4" t="str">
        <f>'Form responses 1'!Z1820</f>
        <v/>
      </c>
      <c r="S977" s="4" t="str">
        <f>'Form responses 1'!AC1820</f>
        <v/>
      </c>
      <c r="T977" s="4" t="str">
        <f>'Form responses 1'!AE1820</f>
        <v/>
      </c>
      <c r="U977" s="4" t="str">
        <f>'Form responses 1'!AG1820</f>
        <v/>
      </c>
      <c r="V977" s="4" t="str">
        <f>'Form responses 1'!AI1820</f>
        <v/>
      </c>
      <c r="W977" s="4" t="str">
        <f>'Form responses 1'!AJ1820</f>
        <v/>
      </c>
      <c r="X977" s="4" t="str">
        <f>'Form responses 1'!AK1820</f>
        <v/>
      </c>
      <c r="Y977" s="4">
        <f t="shared" ref="Y977:AD977" si="976">if(S977&gt;0,1,0)</f>
        <v>0</v>
      </c>
      <c r="Z977" s="4">
        <f t="shared" si="976"/>
        <v>0</v>
      </c>
      <c r="AA977" s="4">
        <f t="shared" si="976"/>
        <v>0</v>
      </c>
      <c r="AB977" s="4">
        <f t="shared" si="976"/>
        <v>0</v>
      </c>
      <c r="AC977" s="4">
        <f t="shared" si="976"/>
        <v>0</v>
      </c>
      <c r="AD977" s="4">
        <f t="shared" si="976"/>
        <v>0</v>
      </c>
      <c r="AE977" s="4" t="str">
        <f>'Form responses 1'!AN1820</f>
        <v/>
      </c>
      <c r="AF977" s="4" t="str">
        <f>'Form responses 1'!AO2101</f>
        <v/>
      </c>
      <c r="AG977" s="4" t="str">
        <f>'Form responses 1'!AP2101</f>
        <v/>
      </c>
      <c r="AH977" s="4" t="str">
        <f>'Form responses 1'!AQ2101</f>
        <v/>
      </c>
      <c r="AI977" s="4" t="str">
        <f>'Form responses 1'!AR2101</f>
        <v/>
      </c>
    </row>
    <row r="978">
      <c r="A978" s="4" t="str">
        <f>'Form responses 1'!B1821</f>
        <v/>
      </c>
      <c r="B978" s="4" t="str">
        <f>'Form responses 1'!AZ1821</f>
        <v/>
      </c>
      <c r="C978" s="4" t="str">
        <f>'Form responses 1'!BR1821</f>
        <v/>
      </c>
      <c r="D978" s="4" t="str">
        <f>'Form responses 1'!AT1821</f>
        <v/>
      </c>
      <c r="E978" s="4" t="str">
        <f>'Form responses 1'!AU1821</f>
        <v/>
      </c>
      <c r="F978" s="4" t="str">
        <f>'Form responses 1'!AX1821</f>
        <v/>
      </c>
      <c r="G978" s="4" t="str">
        <f>'Form responses 1'!AY1821</f>
        <v/>
      </c>
      <c r="H978" s="53" t="str">
        <f>'Form responses 1'!AW1821</f>
        <v/>
      </c>
      <c r="I978" s="4" t="str">
        <f>'Form responses 1'!AS1821</f>
        <v/>
      </c>
      <c r="J978" s="4" t="str">
        <f>'Form responses 1'!J1821</f>
        <v/>
      </c>
      <c r="K978" s="4" t="str">
        <f>'Form responses 1'!G1821</f>
        <v/>
      </c>
      <c r="L978" s="4" t="str">
        <f>'Form responses 1'!F1821</f>
        <v/>
      </c>
      <c r="M978" s="4" t="str">
        <f>'Form responses 1'!U1821</f>
        <v/>
      </c>
      <c r="N978" s="4" t="str">
        <f>'Form responses 1'!V1821</f>
        <v/>
      </c>
      <c r="O978" s="4" t="str">
        <f>'Form responses 1'!W1821</f>
        <v/>
      </c>
      <c r="P978" s="4" t="str">
        <f>'Form responses 1'!X1821</f>
        <v/>
      </c>
      <c r="Q978" s="4" t="str">
        <f>'Form responses 1'!Y1821</f>
        <v/>
      </c>
      <c r="R978" s="4" t="str">
        <f>'Form responses 1'!Z1821</f>
        <v/>
      </c>
      <c r="S978" s="4" t="str">
        <f>'Form responses 1'!AC1821</f>
        <v/>
      </c>
      <c r="T978" s="4" t="str">
        <f>'Form responses 1'!AE1821</f>
        <v/>
      </c>
      <c r="U978" s="4" t="str">
        <f>'Form responses 1'!AG1821</f>
        <v/>
      </c>
      <c r="V978" s="4" t="str">
        <f>'Form responses 1'!AI1821</f>
        <v/>
      </c>
      <c r="W978" s="4" t="str">
        <f>'Form responses 1'!AJ1821</f>
        <v/>
      </c>
      <c r="X978" s="4" t="str">
        <f>'Form responses 1'!AK1821</f>
        <v/>
      </c>
      <c r="Y978" s="4">
        <f t="shared" ref="Y978:AD978" si="977">if(S978&gt;0,1,0)</f>
        <v>0</v>
      </c>
      <c r="Z978" s="4">
        <f t="shared" si="977"/>
        <v>0</v>
      </c>
      <c r="AA978" s="4">
        <f t="shared" si="977"/>
        <v>0</v>
      </c>
      <c r="AB978" s="4">
        <f t="shared" si="977"/>
        <v>0</v>
      </c>
      <c r="AC978" s="4">
        <f t="shared" si="977"/>
        <v>0</v>
      </c>
      <c r="AD978" s="4">
        <f t="shared" si="977"/>
        <v>0</v>
      </c>
      <c r="AE978" s="4" t="str">
        <f>'Form responses 1'!AN1821</f>
        <v/>
      </c>
      <c r="AF978" s="4" t="str">
        <f>'Form responses 1'!AO2102</f>
        <v/>
      </c>
      <c r="AG978" s="4" t="str">
        <f>'Form responses 1'!AP2102</f>
        <v/>
      </c>
      <c r="AH978" s="4" t="str">
        <f>'Form responses 1'!AQ2102</f>
        <v/>
      </c>
      <c r="AI978" s="4" t="str">
        <f>'Form responses 1'!AR2102</f>
        <v/>
      </c>
    </row>
    <row r="979">
      <c r="A979" s="4" t="str">
        <f>'Form responses 1'!B1822</f>
        <v/>
      </c>
      <c r="B979" s="4" t="str">
        <f>'Form responses 1'!AZ1822</f>
        <v/>
      </c>
      <c r="C979" s="4" t="str">
        <f>'Form responses 1'!BR1822</f>
        <v/>
      </c>
      <c r="D979" s="4" t="str">
        <f>'Form responses 1'!AT1822</f>
        <v/>
      </c>
      <c r="E979" s="4" t="str">
        <f>'Form responses 1'!AU1822</f>
        <v/>
      </c>
      <c r="F979" s="4" t="str">
        <f>'Form responses 1'!AX1822</f>
        <v/>
      </c>
      <c r="G979" s="4" t="str">
        <f>'Form responses 1'!AY1822</f>
        <v/>
      </c>
      <c r="H979" s="53" t="str">
        <f>'Form responses 1'!AW1822</f>
        <v/>
      </c>
      <c r="I979" s="4" t="str">
        <f>'Form responses 1'!AS1822</f>
        <v/>
      </c>
      <c r="J979" s="4" t="str">
        <f>'Form responses 1'!J1822</f>
        <v/>
      </c>
      <c r="K979" s="4" t="str">
        <f>'Form responses 1'!G1822</f>
        <v/>
      </c>
      <c r="L979" s="4" t="str">
        <f>'Form responses 1'!F1822</f>
        <v/>
      </c>
      <c r="M979" s="4" t="str">
        <f>'Form responses 1'!U1822</f>
        <v/>
      </c>
      <c r="N979" s="4" t="str">
        <f>'Form responses 1'!V1822</f>
        <v/>
      </c>
      <c r="O979" s="4" t="str">
        <f>'Form responses 1'!W1822</f>
        <v/>
      </c>
      <c r="P979" s="4" t="str">
        <f>'Form responses 1'!X1822</f>
        <v/>
      </c>
      <c r="Q979" s="4" t="str">
        <f>'Form responses 1'!Y1822</f>
        <v/>
      </c>
      <c r="R979" s="4" t="str">
        <f>'Form responses 1'!Z1822</f>
        <v/>
      </c>
      <c r="S979" s="4" t="str">
        <f>'Form responses 1'!AC1822</f>
        <v/>
      </c>
      <c r="T979" s="4" t="str">
        <f>'Form responses 1'!AE1822</f>
        <v/>
      </c>
      <c r="U979" s="4" t="str">
        <f>'Form responses 1'!AG1822</f>
        <v/>
      </c>
      <c r="V979" s="4" t="str">
        <f>'Form responses 1'!AI1822</f>
        <v/>
      </c>
      <c r="W979" s="4" t="str">
        <f>'Form responses 1'!AJ1822</f>
        <v/>
      </c>
      <c r="X979" s="4" t="str">
        <f>'Form responses 1'!AK1822</f>
        <v/>
      </c>
      <c r="Y979" s="4">
        <f t="shared" ref="Y979:AD979" si="978">if(S979&gt;0,1,0)</f>
        <v>0</v>
      </c>
      <c r="Z979" s="4">
        <f t="shared" si="978"/>
        <v>0</v>
      </c>
      <c r="AA979" s="4">
        <f t="shared" si="978"/>
        <v>0</v>
      </c>
      <c r="AB979" s="4">
        <f t="shared" si="978"/>
        <v>0</v>
      </c>
      <c r="AC979" s="4">
        <f t="shared" si="978"/>
        <v>0</v>
      </c>
      <c r="AD979" s="4">
        <f t="shared" si="978"/>
        <v>0</v>
      </c>
      <c r="AE979" s="4" t="str">
        <f>'Form responses 1'!AN1822</f>
        <v/>
      </c>
      <c r="AF979" s="4" t="str">
        <f>'Form responses 1'!AO2103</f>
        <v/>
      </c>
      <c r="AG979" s="4" t="str">
        <f>'Form responses 1'!AP2103</f>
        <v/>
      </c>
      <c r="AH979" s="4" t="str">
        <f>'Form responses 1'!AQ2103</f>
        <v/>
      </c>
      <c r="AI979" s="4" t="str">
        <f>'Form responses 1'!AR2103</f>
        <v/>
      </c>
    </row>
    <row r="980">
      <c r="A980" s="4" t="str">
        <f>'Form responses 1'!B1823</f>
        <v/>
      </c>
      <c r="B980" s="4" t="str">
        <f>'Form responses 1'!AZ1823</f>
        <v/>
      </c>
      <c r="C980" s="4" t="str">
        <f>'Form responses 1'!BR1823</f>
        <v/>
      </c>
      <c r="D980" s="4" t="str">
        <f>'Form responses 1'!AT1823</f>
        <v/>
      </c>
      <c r="E980" s="4" t="str">
        <f>'Form responses 1'!AU1823</f>
        <v/>
      </c>
      <c r="F980" s="4" t="str">
        <f>'Form responses 1'!AX1823</f>
        <v/>
      </c>
      <c r="G980" s="4" t="str">
        <f>'Form responses 1'!AY1823</f>
        <v/>
      </c>
      <c r="H980" s="53" t="str">
        <f>'Form responses 1'!AW1823</f>
        <v/>
      </c>
      <c r="I980" s="4" t="str">
        <f>'Form responses 1'!AS1823</f>
        <v/>
      </c>
      <c r="J980" s="4" t="str">
        <f>'Form responses 1'!J1823</f>
        <v/>
      </c>
      <c r="K980" s="4" t="str">
        <f>'Form responses 1'!G1823</f>
        <v/>
      </c>
      <c r="L980" s="4" t="str">
        <f>'Form responses 1'!F1823</f>
        <v/>
      </c>
      <c r="M980" s="4" t="str">
        <f>'Form responses 1'!U1823</f>
        <v/>
      </c>
      <c r="N980" s="4" t="str">
        <f>'Form responses 1'!V1823</f>
        <v/>
      </c>
      <c r="O980" s="4" t="str">
        <f>'Form responses 1'!W1823</f>
        <v/>
      </c>
      <c r="P980" s="4" t="str">
        <f>'Form responses 1'!X1823</f>
        <v/>
      </c>
      <c r="Q980" s="4" t="str">
        <f>'Form responses 1'!Y1823</f>
        <v/>
      </c>
      <c r="R980" s="4" t="str">
        <f>'Form responses 1'!Z1823</f>
        <v/>
      </c>
      <c r="S980" s="4" t="str">
        <f>'Form responses 1'!AC1823</f>
        <v/>
      </c>
      <c r="T980" s="4" t="str">
        <f>'Form responses 1'!AE1823</f>
        <v/>
      </c>
      <c r="U980" s="4" t="str">
        <f>'Form responses 1'!AG1823</f>
        <v/>
      </c>
      <c r="V980" s="4" t="str">
        <f>'Form responses 1'!AI1823</f>
        <v/>
      </c>
      <c r="W980" s="4" t="str">
        <f>'Form responses 1'!AJ1823</f>
        <v/>
      </c>
      <c r="X980" s="4" t="str">
        <f>'Form responses 1'!AK1823</f>
        <v/>
      </c>
      <c r="Y980" s="4">
        <f t="shared" ref="Y980:AD980" si="979">if(S980&gt;0,1,0)</f>
        <v>0</v>
      </c>
      <c r="Z980" s="4">
        <f t="shared" si="979"/>
        <v>0</v>
      </c>
      <c r="AA980" s="4">
        <f t="shared" si="979"/>
        <v>0</v>
      </c>
      <c r="AB980" s="4">
        <f t="shared" si="979"/>
        <v>0</v>
      </c>
      <c r="AC980" s="4">
        <f t="shared" si="979"/>
        <v>0</v>
      </c>
      <c r="AD980" s="4">
        <f t="shared" si="979"/>
        <v>0</v>
      </c>
      <c r="AE980" s="4" t="str">
        <f>'Form responses 1'!AN1823</f>
        <v/>
      </c>
      <c r="AF980" s="4" t="str">
        <f>'Form responses 1'!AO2104</f>
        <v/>
      </c>
      <c r="AG980" s="4" t="str">
        <f>'Form responses 1'!AP2104</f>
        <v/>
      </c>
      <c r="AH980" s="4" t="str">
        <f>'Form responses 1'!AQ2104</f>
        <v/>
      </c>
      <c r="AI980" s="4" t="str">
        <f>'Form responses 1'!AR2104</f>
        <v/>
      </c>
    </row>
    <row r="981">
      <c r="A981" s="4" t="str">
        <f>'Form responses 1'!B1824</f>
        <v/>
      </c>
      <c r="B981" s="4" t="str">
        <f>'Form responses 1'!AZ1824</f>
        <v/>
      </c>
      <c r="C981" s="4" t="str">
        <f>'Form responses 1'!BR1824</f>
        <v/>
      </c>
      <c r="D981" s="4" t="str">
        <f>'Form responses 1'!AT1824</f>
        <v/>
      </c>
      <c r="E981" s="4" t="str">
        <f>'Form responses 1'!AU1824</f>
        <v/>
      </c>
      <c r="F981" s="4" t="str">
        <f>'Form responses 1'!AX1824</f>
        <v/>
      </c>
      <c r="G981" s="4" t="str">
        <f>'Form responses 1'!AY1824</f>
        <v/>
      </c>
      <c r="H981" s="53" t="str">
        <f>'Form responses 1'!AW1824</f>
        <v/>
      </c>
      <c r="I981" s="4" t="str">
        <f>'Form responses 1'!AS1824</f>
        <v/>
      </c>
      <c r="J981" s="4" t="str">
        <f>'Form responses 1'!J1824</f>
        <v/>
      </c>
      <c r="K981" s="4" t="str">
        <f>'Form responses 1'!G1824</f>
        <v/>
      </c>
      <c r="L981" s="4" t="str">
        <f>'Form responses 1'!F1824</f>
        <v/>
      </c>
      <c r="M981" s="4" t="str">
        <f>'Form responses 1'!U1824</f>
        <v/>
      </c>
      <c r="N981" s="4" t="str">
        <f>'Form responses 1'!V1824</f>
        <v/>
      </c>
      <c r="O981" s="4" t="str">
        <f>'Form responses 1'!W1824</f>
        <v/>
      </c>
      <c r="P981" s="4" t="str">
        <f>'Form responses 1'!X1824</f>
        <v/>
      </c>
      <c r="Q981" s="4" t="str">
        <f>'Form responses 1'!Y1824</f>
        <v/>
      </c>
      <c r="R981" s="4" t="str">
        <f>'Form responses 1'!Z1824</f>
        <v/>
      </c>
      <c r="S981" s="4" t="str">
        <f>'Form responses 1'!AC1824</f>
        <v/>
      </c>
      <c r="T981" s="4" t="str">
        <f>'Form responses 1'!AE1824</f>
        <v/>
      </c>
      <c r="U981" s="4" t="str">
        <f>'Form responses 1'!AG1824</f>
        <v/>
      </c>
      <c r="V981" s="4" t="str">
        <f>'Form responses 1'!AI1824</f>
        <v/>
      </c>
      <c r="W981" s="4" t="str">
        <f>'Form responses 1'!AJ1824</f>
        <v/>
      </c>
      <c r="X981" s="4" t="str">
        <f>'Form responses 1'!AK1824</f>
        <v/>
      </c>
      <c r="Y981" s="4">
        <f t="shared" ref="Y981:AD981" si="980">if(S981&gt;0,1,0)</f>
        <v>0</v>
      </c>
      <c r="Z981" s="4">
        <f t="shared" si="980"/>
        <v>0</v>
      </c>
      <c r="AA981" s="4">
        <f t="shared" si="980"/>
        <v>0</v>
      </c>
      <c r="AB981" s="4">
        <f t="shared" si="980"/>
        <v>0</v>
      </c>
      <c r="AC981" s="4">
        <f t="shared" si="980"/>
        <v>0</v>
      </c>
      <c r="AD981" s="4">
        <f t="shared" si="980"/>
        <v>0</v>
      </c>
      <c r="AE981" s="4" t="str">
        <f>'Form responses 1'!AN1824</f>
        <v/>
      </c>
      <c r="AF981" s="4" t="str">
        <f>'Form responses 1'!AO2105</f>
        <v/>
      </c>
      <c r="AG981" s="4" t="str">
        <f>'Form responses 1'!AP2105</f>
        <v/>
      </c>
      <c r="AH981" s="4" t="str">
        <f>'Form responses 1'!AQ2105</f>
        <v/>
      </c>
      <c r="AI981" s="4" t="str">
        <f>'Form responses 1'!AR2105</f>
        <v/>
      </c>
    </row>
    <row r="982">
      <c r="A982" s="4" t="str">
        <f>'Form responses 1'!B1825</f>
        <v/>
      </c>
      <c r="B982" s="4" t="str">
        <f>'Form responses 1'!AZ1825</f>
        <v/>
      </c>
      <c r="C982" s="4" t="str">
        <f>'Form responses 1'!BR1825</f>
        <v/>
      </c>
      <c r="D982" s="4" t="str">
        <f>'Form responses 1'!AT1825</f>
        <v/>
      </c>
      <c r="E982" s="4" t="str">
        <f>'Form responses 1'!AU1825</f>
        <v/>
      </c>
      <c r="F982" s="4" t="str">
        <f>'Form responses 1'!AX1825</f>
        <v/>
      </c>
      <c r="G982" s="4" t="str">
        <f>'Form responses 1'!AY1825</f>
        <v/>
      </c>
      <c r="H982" s="53" t="str">
        <f>'Form responses 1'!AW1825</f>
        <v/>
      </c>
      <c r="I982" s="4" t="str">
        <f>'Form responses 1'!AS1825</f>
        <v/>
      </c>
      <c r="J982" s="4" t="str">
        <f>'Form responses 1'!J1825</f>
        <v/>
      </c>
      <c r="K982" s="4" t="str">
        <f>'Form responses 1'!G1825</f>
        <v/>
      </c>
      <c r="L982" s="4" t="str">
        <f>'Form responses 1'!F1825</f>
        <v/>
      </c>
      <c r="M982" s="4" t="str">
        <f>'Form responses 1'!U1825</f>
        <v/>
      </c>
      <c r="N982" s="4" t="str">
        <f>'Form responses 1'!V1825</f>
        <v/>
      </c>
      <c r="O982" s="4" t="str">
        <f>'Form responses 1'!W1825</f>
        <v/>
      </c>
      <c r="P982" s="4" t="str">
        <f>'Form responses 1'!X1825</f>
        <v/>
      </c>
      <c r="Q982" s="4" t="str">
        <f>'Form responses 1'!Y1825</f>
        <v/>
      </c>
      <c r="R982" s="4" t="str">
        <f>'Form responses 1'!Z1825</f>
        <v/>
      </c>
      <c r="S982" s="4" t="str">
        <f>'Form responses 1'!AC1825</f>
        <v/>
      </c>
      <c r="T982" s="4" t="str">
        <f>'Form responses 1'!AE1825</f>
        <v/>
      </c>
      <c r="U982" s="4" t="str">
        <f>'Form responses 1'!AG1825</f>
        <v/>
      </c>
      <c r="V982" s="4" t="str">
        <f>'Form responses 1'!AI1825</f>
        <v/>
      </c>
      <c r="W982" s="4" t="str">
        <f>'Form responses 1'!AJ1825</f>
        <v/>
      </c>
      <c r="X982" s="4" t="str">
        <f>'Form responses 1'!AK1825</f>
        <v/>
      </c>
      <c r="Y982" s="4">
        <f t="shared" ref="Y982:AD982" si="981">if(S982&gt;0,1,0)</f>
        <v>0</v>
      </c>
      <c r="Z982" s="4">
        <f t="shared" si="981"/>
        <v>0</v>
      </c>
      <c r="AA982" s="4">
        <f t="shared" si="981"/>
        <v>0</v>
      </c>
      <c r="AB982" s="4">
        <f t="shared" si="981"/>
        <v>0</v>
      </c>
      <c r="AC982" s="4">
        <f t="shared" si="981"/>
        <v>0</v>
      </c>
      <c r="AD982" s="4">
        <f t="shared" si="981"/>
        <v>0</v>
      </c>
      <c r="AE982" s="4" t="str">
        <f>'Form responses 1'!AN1825</f>
        <v/>
      </c>
      <c r="AF982" s="4" t="str">
        <f>'Form responses 1'!AO2106</f>
        <v/>
      </c>
      <c r="AG982" s="4" t="str">
        <f>'Form responses 1'!AP2106</f>
        <v/>
      </c>
      <c r="AH982" s="4" t="str">
        <f>'Form responses 1'!AQ2106</f>
        <v/>
      </c>
      <c r="AI982" s="4" t="str">
        <f>'Form responses 1'!AR2106</f>
        <v/>
      </c>
    </row>
    <row r="983">
      <c r="A983" s="4" t="str">
        <f>'Form responses 1'!B1826</f>
        <v/>
      </c>
      <c r="B983" s="4" t="str">
        <f>'Form responses 1'!AZ1826</f>
        <v/>
      </c>
      <c r="C983" s="4" t="str">
        <f>'Form responses 1'!BR1826</f>
        <v/>
      </c>
      <c r="D983" s="4" t="str">
        <f>'Form responses 1'!AT1826</f>
        <v/>
      </c>
      <c r="E983" s="4" t="str">
        <f>'Form responses 1'!AU1826</f>
        <v/>
      </c>
      <c r="F983" s="4" t="str">
        <f>'Form responses 1'!AX1826</f>
        <v/>
      </c>
      <c r="G983" s="4" t="str">
        <f>'Form responses 1'!AY1826</f>
        <v/>
      </c>
      <c r="H983" s="53" t="str">
        <f>'Form responses 1'!AW1826</f>
        <v/>
      </c>
      <c r="I983" s="4" t="str">
        <f>'Form responses 1'!AS1826</f>
        <v/>
      </c>
      <c r="J983" s="4" t="str">
        <f>'Form responses 1'!J1826</f>
        <v/>
      </c>
      <c r="K983" s="4" t="str">
        <f>'Form responses 1'!G1826</f>
        <v/>
      </c>
      <c r="L983" s="4" t="str">
        <f>'Form responses 1'!F1826</f>
        <v/>
      </c>
      <c r="M983" s="4" t="str">
        <f>'Form responses 1'!U1826</f>
        <v/>
      </c>
      <c r="N983" s="4" t="str">
        <f>'Form responses 1'!V1826</f>
        <v/>
      </c>
      <c r="O983" s="4" t="str">
        <f>'Form responses 1'!W1826</f>
        <v/>
      </c>
      <c r="P983" s="4" t="str">
        <f>'Form responses 1'!X1826</f>
        <v/>
      </c>
      <c r="Q983" s="4" t="str">
        <f>'Form responses 1'!Y1826</f>
        <v/>
      </c>
      <c r="R983" s="4" t="str">
        <f>'Form responses 1'!Z1826</f>
        <v/>
      </c>
      <c r="S983" s="4" t="str">
        <f>'Form responses 1'!AC1826</f>
        <v/>
      </c>
      <c r="T983" s="4" t="str">
        <f>'Form responses 1'!AE1826</f>
        <v/>
      </c>
      <c r="U983" s="4" t="str">
        <f>'Form responses 1'!AG1826</f>
        <v/>
      </c>
      <c r="V983" s="4" t="str">
        <f>'Form responses 1'!AI1826</f>
        <v/>
      </c>
      <c r="W983" s="4" t="str">
        <f>'Form responses 1'!AJ1826</f>
        <v/>
      </c>
      <c r="X983" s="4" t="str">
        <f>'Form responses 1'!AK1826</f>
        <v/>
      </c>
      <c r="Y983" s="4">
        <f t="shared" ref="Y983:AD983" si="982">if(S983&gt;0,1,0)</f>
        <v>0</v>
      </c>
      <c r="Z983" s="4">
        <f t="shared" si="982"/>
        <v>0</v>
      </c>
      <c r="AA983" s="4">
        <f t="shared" si="982"/>
        <v>0</v>
      </c>
      <c r="AB983" s="4">
        <f t="shared" si="982"/>
        <v>0</v>
      </c>
      <c r="AC983" s="4">
        <f t="shared" si="982"/>
        <v>0</v>
      </c>
      <c r="AD983" s="4">
        <f t="shared" si="982"/>
        <v>0</v>
      </c>
      <c r="AE983" s="4" t="str">
        <f>'Form responses 1'!AN1826</f>
        <v/>
      </c>
      <c r="AF983" s="4" t="str">
        <f>'Form responses 1'!AO2107</f>
        <v/>
      </c>
      <c r="AG983" s="4" t="str">
        <f>'Form responses 1'!AP2107</f>
        <v/>
      </c>
      <c r="AH983" s="4" t="str">
        <f>'Form responses 1'!AQ2107</f>
        <v/>
      </c>
      <c r="AI983" s="4" t="str">
        <f>'Form responses 1'!AR2107</f>
        <v/>
      </c>
    </row>
    <row r="984">
      <c r="A984" s="4" t="str">
        <f>'Form responses 1'!B1827</f>
        <v/>
      </c>
      <c r="B984" s="4" t="str">
        <f>'Form responses 1'!AZ1827</f>
        <v/>
      </c>
      <c r="C984" s="4" t="str">
        <f>'Form responses 1'!BR1827</f>
        <v/>
      </c>
      <c r="D984" s="4" t="str">
        <f>'Form responses 1'!AT1827</f>
        <v/>
      </c>
      <c r="E984" s="4" t="str">
        <f>'Form responses 1'!AU1827</f>
        <v/>
      </c>
      <c r="F984" s="4" t="str">
        <f>'Form responses 1'!AX1827</f>
        <v/>
      </c>
      <c r="G984" s="4" t="str">
        <f>'Form responses 1'!AY1827</f>
        <v/>
      </c>
      <c r="H984" s="53" t="str">
        <f>'Form responses 1'!AW1827</f>
        <v/>
      </c>
      <c r="I984" s="4" t="str">
        <f>'Form responses 1'!AS1827</f>
        <v/>
      </c>
      <c r="J984" s="4" t="str">
        <f>'Form responses 1'!J1827</f>
        <v/>
      </c>
      <c r="K984" s="4" t="str">
        <f>'Form responses 1'!G1827</f>
        <v/>
      </c>
      <c r="L984" s="4" t="str">
        <f>'Form responses 1'!F1827</f>
        <v/>
      </c>
      <c r="M984" s="4" t="str">
        <f>'Form responses 1'!U1827</f>
        <v/>
      </c>
      <c r="N984" s="4" t="str">
        <f>'Form responses 1'!V1827</f>
        <v/>
      </c>
      <c r="O984" s="4" t="str">
        <f>'Form responses 1'!W1827</f>
        <v/>
      </c>
      <c r="P984" s="4" t="str">
        <f>'Form responses 1'!X1827</f>
        <v/>
      </c>
      <c r="Q984" s="4" t="str">
        <f>'Form responses 1'!Y1827</f>
        <v/>
      </c>
      <c r="R984" s="4" t="str">
        <f>'Form responses 1'!Z1827</f>
        <v/>
      </c>
      <c r="S984" s="4" t="str">
        <f>'Form responses 1'!AC1827</f>
        <v/>
      </c>
      <c r="T984" s="4" t="str">
        <f>'Form responses 1'!AE1827</f>
        <v/>
      </c>
      <c r="U984" s="4" t="str">
        <f>'Form responses 1'!AG1827</f>
        <v/>
      </c>
      <c r="V984" s="4" t="str">
        <f>'Form responses 1'!AI1827</f>
        <v/>
      </c>
      <c r="W984" s="4" t="str">
        <f>'Form responses 1'!AJ1827</f>
        <v/>
      </c>
      <c r="X984" s="4" t="str">
        <f>'Form responses 1'!AK1827</f>
        <v/>
      </c>
      <c r="Y984" s="4">
        <f t="shared" ref="Y984:AD984" si="983">if(S984&gt;0,1,0)</f>
        <v>0</v>
      </c>
      <c r="Z984" s="4">
        <f t="shared" si="983"/>
        <v>0</v>
      </c>
      <c r="AA984" s="4">
        <f t="shared" si="983"/>
        <v>0</v>
      </c>
      <c r="AB984" s="4">
        <f t="shared" si="983"/>
        <v>0</v>
      </c>
      <c r="AC984" s="4">
        <f t="shared" si="983"/>
        <v>0</v>
      </c>
      <c r="AD984" s="4">
        <f t="shared" si="983"/>
        <v>0</v>
      </c>
      <c r="AE984" s="4" t="str">
        <f>'Form responses 1'!AN1827</f>
        <v/>
      </c>
      <c r="AF984" s="4" t="str">
        <f>'Form responses 1'!AO2108</f>
        <v/>
      </c>
      <c r="AG984" s="4" t="str">
        <f>'Form responses 1'!AP2108</f>
        <v/>
      </c>
      <c r="AH984" s="4" t="str">
        <f>'Form responses 1'!AQ2108</f>
        <v/>
      </c>
      <c r="AI984" s="4" t="str">
        <f>'Form responses 1'!AR2108</f>
        <v/>
      </c>
    </row>
    <row r="985">
      <c r="A985" s="4" t="str">
        <f>'Form responses 1'!B1828</f>
        <v/>
      </c>
      <c r="B985" s="4" t="str">
        <f>'Form responses 1'!AZ1828</f>
        <v/>
      </c>
      <c r="C985" s="4" t="str">
        <f>'Form responses 1'!BR1828</f>
        <v/>
      </c>
      <c r="D985" s="4" t="str">
        <f>'Form responses 1'!AT1828</f>
        <v/>
      </c>
      <c r="E985" s="4" t="str">
        <f>'Form responses 1'!AU1828</f>
        <v/>
      </c>
      <c r="F985" s="4" t="str">
        <f>'Form responses 1'!AX1828</f>
        <v/>
      </c>
      <c r="G985" s="4" t="str">
        <f>'Form responses 1'!AY1828</f>
        <v/>
      </c>
      <c r="H985" s="53" t="str">
        <f>'Form responses 1'!AW1828</f>
        <v/>
      </c>
      <c r="I985" s="4" t="str">
        <f>'Form responses 1'!AS1828</f>
        <v/>
      </c>
      <c r="J985" s="4" t="str">
        <f>'Form responses 1'!J1828</f>
        <v/>
      </c>
      <c r="K985" s="4" t="str">
        <f>'Form responses 1'!G1828</f>
        <v/>
      </c>
      <c r="L985" s="4" t="str">
        <f>'Form responses 1'!F1828</f>
        <v/>
      </c>
      <c r="M985" s="4" t="str">
        <f>'Form responses 1'!U1828</f>
        <v/>
      </c>
      <c r="N985" s="4" t="str">
        <f>'Form responses 1'!V1828</f>
        <v/>
      </c>
      <c r="O985" s="4" t="str">
        <f>'Form responses 1'!W1828</f>
        <v/>
      </c>
      <c r="P985" s="4" t="str">
        <f>'Form responses 1'!X1828</f>
        <v/>
      </c>
      <c r="Q985" s="4" t="str">
        <f>'Form responses 1'!Y1828</f>
        <v/>
      </c>
      <c r="R985" s="4" t="str">
        <f>'Form responses 1'!Z1828</f>
        <v/>
      </c>
      <c r="S985" s="4" t="str">
        <f>'Form responses 1'!AC1828</f>
        <v/>
      </c>
      <c r="T985" s="4" t="str">
        <f>'Form responses 1'!AE1828</f>
        <v/>
      </c>
      <c r="U985" s="4" t="str">
        <f>'Form responses 1'!AG1828</f>
        <v/>
      </c>
      <c r="V985" s="4" t="str">
        <f>'Form responses 1'!AI1828</f>
        <v/>
      </c>
      <c r="W985" s="4" t="str">
        <f>'Form responses 1'!AJ1828</f>
        <v/>
      </c>
      <c r="X985" s="4" t="str">
        <f>'Form responses 1'!AK1828</f>
        <v/>
      </c>
      <c r="Y985" s="4">
        <f t="shared" ref="Y985:AD985" si="984">if(S985&gt;0,1,0)</f>
        <v>0</v>
      </c>
      <c r="Z985" s="4">
        <f t="shared" si="984"/>
        <v>0</v>
      </c>
      <c r="AA985" s="4">
        <f t="shared" si="984"/>
        <v>0</v>
      </c>
      <c r="AB985" s="4">
        <f t="shared" si="984"/>
        <v>0</v>
      </c>
      <c r="AC985" s="4">
        <f t="shared" si="984"/>
        <v>0</v>
      </c>
      <c r="AD985" s="4">
        <f t="shared" si="984"/>
        <v>0</v>
      </c>
      <c r="AE985" s="4" t="str">
        <f>'Form responses 1'!AN1828</f>
        <v/>
      </c>
      <c r="AF985" s="4" t="str">
        <f>'Form responses 1'!AO2109</f>
        <v/>
      </c>
      <c r="AG985" s="4" t="str">
        <f>'Form responses 1'!AP2109</f>
        <v/>
      </c>
      <c r="AH985" s="4" t="str">
        <f>'Form responses 1'!AQ2109</f>
        <v/>
      </c>
      <c r="AI985" s="4" t="str">
        <f>'Form responses 1'!AR2109</f>
        <v/>
      </c>
    </row>
    <row r="986">
      <c r="A986" s="4" t="str">
        <f>'Form responses 1'!B1829</f>
        <v/>
      </c>
      <c r="B986" s="4" t="str">
        <f>'Form responses 1'!AZ1829</f>
        <v/>
      </c>
      <c r="C986" s="4" t="str">
        <f>'Form responses 1'!BR1829</f>
        <v/>
      </c>
      <c r="D986" s="4" t="str">
        <f>'Form responses 1'!AT1829</f>
        <v/>
      </c>
      <c r="E986" s="4" t="str">
        <f>'Form responses 1'!AU1829</f>
        <v/>
      </c>
      <c r="F986" s="4" t="str">
        <f>'Form responses 1'!AX1829</f>
        <v/>
      </c>
      <c r="G986" s="4" t="str">
        <f>'Form responses 1'!AY1829</f>
        <v/>
      </c>
      <c r="H986" s="53" t="str">
        <f>'Form responses 1'!AW1829</f>
        <v/>
      </c>
      <c r="I986" s="4" t="str">
        <f>'Form responses 1'!AS1829</f>
        <v/>
      </c>
      <c r="J986" s="4" t="str">
        <f>'Form responses 1'!J1829</f>
        <v/>
      </c>
      <c r="K986" s="4" t="str">
        <f>'Form responses 1'!G1829</f>
        <v/>
      </c>
      <c r="L986" s="4" t="str">
        <f>'Form responses 1'!F1829</f>
        <v/>
      </c>
      <c r="M986" s="4" t="str">
        <f>'Form responses 1'!U1829</f>
        <v/>
      </c>
      <c r="N986" s="4" t="str">
        <f>'Form responses 1'!V1829</f>
        <v/>
      </c>
      <c r="O986" s="4" t="str">
        <f>'Form responses 1'!W1829</f>
        <v/>
      </c>
      <c r="P986" s="4" t="str">
        <f>'Form responses 1'!X1829</f>
        <v/>
      </c>
      <c r="Q986" s="4" t="str">
        <f>'Form responses 1'!Y1829</f>
        <v/>
      </c>
      <c r="R986" s="4" t="str">
        <f>'Form responses 1'!Z1829</f>
        <v/>
      </c>
      <c r="S986" s="4" t="str">
        <f>'Form responses 1'!AC1829</f>
        <v/>
      </c>
      <c r="T986" s="4" t="str">
        <f>'Form responses 1'!AE1829</f>
        <v/>
      </c>
      <c r="U986" s="4" t="str">
        <f>'Form responses 1'!AG1829</f>
        <v/>
      </c>
      <c r="V986" s="4" t="str">
        <f>'Form responses 1'!AI1829</f>
        <v/>
      </c>
      <c r="W986" s="4" t="str">
        <f>'Form responses 1'!AJ1829</f>
        <v/>
      </c>
      <c r="X986" s="4" t="str">
        <f>'Form responses 1'!AK1829</f>
        <v/>
      </c>
      <c r="Y986" s="4">
        <f t="shared" ref="Y986:AD986" si="985">if(S986&gt;0,1,0)</f>
        <v>0</v>
      </c>
      <c r="Z986" s="4">
        <f t="shared" si="985"/>
        <v>0</v>
      </c>
      <c r="AA986" s="4">
        <f t="shared" si="985"/>
        <v>0</v>
      </c>
      <c r="AB986" s="4">
        <f t="shared" si="985"/>
        <v>0</v>
      </c>
      <c r="AC986" s="4">
        <f t="shared" si="985"/>
        <v>0</v>
      </c>
      <c r="AD986" s="4">
        <f t="shared" si="985"/>
        <v>0</v>
      </c>
      <c r="AE986" s="4" t="str">
        <f>'Form responses 1'!AN1829</f>
        <v/>
      </c>
      <c r="AF986" s="4" t="str">
        <f>'Form responses 1'!AO2110</f>
        <v/>
      </c>
      <c r="AG986" s="4" t="str">
        <f>'Form responses 1'!AP2110</f>
        <v/>
      </c>
      <c r="AH986" s="4" t="str">
        <f>'Form responses 1'!AQ2110</f>
        <v/>
      </c>
      <c r="AI986" s="4" t="str">
        <f>'Form responses 1'!AR2110</f>
        <v/>
      </c>
    </row>
    <row r="987">
      <c r="A987" s="4" t="str">
        <f>'Form responses 1'!B1830</f>
        <v/>
      </c>
      <c r="B987" s="4" t="str">
        <f>'Form responses 1'!AZ1830</f>
        <v/>
      </c>
      <c r="C987" s="4" t="str">
        <f>'Form responses 1'!BR1830</f>
        <v/>
      </c>
      <c r="D987" s="4" t="str">
        <f>'Form responses 1'!AT1830</f>
        <v/>
      </c>
      <c r="E987" s="4" t="str">
        <f>'Form responses 1'!AU1830</f>
        <v/>
      </c>
      <c r="F987" s="4" t="str">
        <f>'Form responses 1'!AX1830</f>
        <v/>
      </c>
      <c r="G987" s="4" t="str">
        <f>'Form responses 1'!AY1830</f>
        <v/>
      </c>
      <c r="H987" s="53" t="str">
        <f>'Form responses 1'!AW1830</f>
        <v/>
      </c>
      <c r="I987" s="4" t="str">
        <f>'Form responses 1'!AS1830</f>
        <v/>
      </c>
      <c r="J987" s="4" t="str">
        <f>'Form responses 1'!J1830</f>
        <v/>
      </c>
      <c r="K987" s="4" t="str">
        <f>'Form responses 1'!G1830</f>
        <v/>
      </c>
      <c r="L987" s="4" t="str">
        <f>'Form responses 1'!F1830</f>
        <v/>
      </c>
      <c r="M987" s="4" t="str">
        <f>'Form responses 1'!U1830</f>
        <v/>
      </c>
      <c r="N987" s="4" t="str">
        <f>'Form responses 1'!V1830</f>
        <v/>
      </c>
      <c r="O987" s="4" t="str">
        <f>'Form responses 1'!W1830</f>
        <v/>
      </c>
      <c r="P987" s="4" t="str">
        <f>'Form responses 1'!X1830</f>
        <v/>
      </c>
      <c r="Q987" s="4" t="str">
        <f>'Form responses 1'!Y1830</f>
        <v/>
      </c>
      <c r="R987" s="4" t="str">
        <f>'Form responses 1'!Z1830</f>
        <v/>
      </c>
      <c r="S987" s="4" t="str">
        <f>'Form responses 1'!AC1830</f>
        <v/>
      </c>
      <c r="T987" s="4" t="str">
        <f>'Form responses 1'!AE1830</f>
        <v/>
      </c>
      <c r="U987" s="4" t="str">
        <f>'Form responses 1'!AG1830</f>
        <v/>
      </c>
      <c r="V987" s="4" t="str">
        <f>'Form responses 1'!AI1830</f>
        <v/>
      </c>
      <c r="W987" s="4" t="str">
        <f>'Form responses 1'!AJ1830</f>
        <v/>
      </c>
      <c r="X987" s="4" t="str">
        <f>'Form responses 1'!AK1830</f>
        <v/>
      </c>
      <c r="Y987" s="4">
        <f t="shared" ref="Y987:AD987" si="986">if(S987&gt;0,1,0)</f>
        <v>0</v>
      </c>
      <c r="Z987" s="4">
        <f t="shared" si="986"/>
        <v>0</v>
      </c>
      <c r="AA987" s="4">
        <f t="shared" si="986"/>
        <v>0</v>
      </c>
      <c r="AB987" s="4">
        <f t="shared" si="986"/>
        <v>0</v>
      </c>
      <c r="AC987" s="4">
        <f t="shared" si="986"/>
        <v>0</v>
      </c>
      <c r="AD987" s="4">
        <f t="shared" si="986"/>
        <v>0</v>
      </c>
      <c r="AE987" s="4" t="str">
        <f>'Form responses 1'!AN1830</f>
        <v/>
      </c>
      <c r="AF987" s="4" t="str">
        <f>'Form responses 1'!AO2111</f>
        <v/>
      </c>
      <c r="AG987" s="4" t="str">
        <f>'Form responses 1'!AP2111</f>
        <v/>
      </c>
      <c r="AH987" s="4" t="str">
        <f>'Form responses 1'!AQ2111</f>
        <v/>
      </c>
      <c r="AI987" s="4" t="str">
        <f>'Form responses 1'!AR2111</f>
        <v/>
      </c>
    </row>
    <row r="988">
      <c r="A988" s="4" t="str">
        <f>'Form responses 1'!B1831</f>
        <v/>
      </c>
      <c r="B988" s="4" t="str">
        <f>'Form responses 1'!AZ1831</f>
        <v/>
      </c>
      <c r="C988" s="4" t="str">
        <f>'Form responses 1'!BR1831</f>
        <v/>
      </c>
      <c r="D988" s="4" t="str">
        <f>'Form responses 1'!AT1831</f>
        <v/>
      </c>
      <c r="E988" s="4" t="str">
        <f>'Form responses 1'!AU1831</f>
        <v/>
      </c>
      <c r="F988" s="4" t="str">
        <f>'Form responses 1'!AX1831</f>
        <v/>
      </c>
      <c r="G988" s="4" t="str">
        <f>'Form responses 1'!AY1831</f>
        <v/>
      </c>
      <c r="H988" s="53" t="str">
        <f>'Form responses 1'!AW1831</f>
        <v/>
      </c>
      <c r="I988" s="4" t="str">
        <f>'Form responses 1'!AS1831</f>
        <v/>
      </c>
      <c r="J988" s="4" t="str">
        <f>'Form responses 1'!J1831</f>
        <v/>
      </c>
      <c r="K988" s="4" t="str">
        <f>'Form responses 1'!G1831</f>
        <v/>
      </c>
      <c r="L988" s="4" t="str">
        <f>'Form responses 1'!F1831</f>
        <v/>
      </c>
      <c r="M988" s="4" t="str">
        <f>'Form responses 1'!U1831</f>
        <v/>
      </c>
      <c r="N988" s="4" t="str">
        <f>'Form responses 1'!V1831</f>
        <v/>
      </c>
      <c r="O988" s="4" t="str">
        <f>'Form responses 1'!W1831</f>
        <v/>
      </c>
      <c r="P988" s="4" t="str">
        <f>'Form responses 1'!X1831</f>
        <v/>
      </c>
      <c r="Q988" s="4" t="str">
        <f>'Form responses 1'!Y1831</f>
        <v/>
      </c>
      <c r="R988" s="4" t="str">
        <f>'Form responses 1'!Z1831</f>
        <v/>
      </c>
      <c r="S988" s="4" t="str">
        <f>'Form responses 1'!AC1831</f>
        <v/>
      </c>
      <c r="T988" s="4" t="str">
        <f>'Form responses 1'!AE1831</f>
        <v/>
      </c>
      <c r="U988" s="4" t="str">
        <f>'Form responses 1'!AG1831</f>
        <v/>
      </c>
      <c r="V988" s="4" t="str">
        <f>'Form responses 1'!AI1831</f>
        <v/>
      </c>
      <c r="W988" s="4" t="str">
        <f>'Form responses 1'!AJ1831</f>
        <v/>
      </c>
      <c r="X988" s="4" t="str">
        <f>'Form responses 1'!AK1831</f>
        <v/>
      </c>
      <c r="Y988" s="4">
        <f t="shared" ref="Y988:AD988" si="987">if(S988&gt;0,1,0)</f>
        <v>0</v>
      </c>
      <c r="Z988" s="4">
        <f t="shared" si="987"/>
        <v>0</v>
      </c>
      <c r="AA988" s="4">
        <f t="shared" si="987"/>
        <v>0</v>
      </c>
      <c r="AB988" s="4">
        <f t="shared" si="987"/>
        <v>0</v>
      </c>
      <c r="AC988" s="4">
        <f t="shared" si="987"/>
        <v>0</v>
      </c>
      <c r="AD988" s="4">
        <f t="shared" si="987"/>
        <v>0</v>
      </c>
      <c r="AE988" s="4" t="str">
        <f>'Form responses 1'!AN1831</f>
        <v/>
      </c>
      <c r="AF988" s="4" t="str">
        <f>'Form responses 1'!AO2112</f>
        <v/>
      </c>
      <c r="AG988" s="4" t="str">
        <f>'Form responses 1'!AP2112</f>
        <v/>
      </c>
      <c r="AH988" s="4" t="str">
        <f>'Form responses 1'!AQ2112</f>
        <v/>
      </c>
      <c r="AI988" s="4" t="str">
        <f>'Form responses 1'!AR2112</f>
        <v/>
      </c>
    </row>
    <row r="989">
      <c r="A989" s="4" t="str">
        <f>'Form responses 1'!B1832</f>
        <v/>
      </c>
      <c r="B989" s="4" t="str">
        <f>'Form responses 1'!AZ1832</f>
        <v/>
      </c>
      <c r="C989" s="4" t="str">
        <f>'Form responses 1'!BR1832</f>
        <v/>
      </c>
      <c r="D989" s="4" t="str">
        <f>'Form responses 1'!AT1832</f>
        <v/>
      </c>
      <c r="E989" s="4" t="str">
        <f>'Form responses 1'!AU1832</f>
        <v/>
      </c>
      <c r="F989" s="4" t="str">
        <f>'Form responses 1'!AX1832</f>
        <v/>
      </c>
      <c r="G989" s="4" t="str">
        <f>'Form responses 1'!AY1832</f>
        <v/>
      </c>
      <c r="H989" s="53" t="str">
        <f>'Form responses 1'!AW1832</f>
        <v/>
      </c>
      <c r="I989" s="4" t="str">
        <f>'Form responses 1'!AS1832</f>
        <v/>
      </c>
      <c r="J989" s="4" t="str">
        <f>'Form responses 1'!J1832</f>
        <v/>
      </c>
      <c r="K989" s="4" t="str">
        <f>'Form responses 1'!G1832</f>
        <v/>
      </c>
      <c r="L989" s="4" t="str">
        <f>'Form responses 1'!F1832</f>
        <v/>
      </c>
      <c r="M989" s="4" t="str">
        <f>'Form responses 1'!U1832</f>
        <v/>
      </c>
      <c r="N989" s="4" t="str">
        <f>'Form responses 1'!V1832</f>
        <v/>
      </c>
      <c r="O989" s="4" t="str">
        <f>'Form responses 1'!W1832</f>
        <v/>
      </c>
      <c r="P989" s="4" t="str">
        <f>'Form responses 1'!X1832</f>
        <v/>
      </c>
      <c r="Q989" s="4" t="str">
        <f>'Form responses 1'!Y1832</f>
        <v/>
      </c>
      <c r="R989" s="4" t="str">
        <f>'Form responses 1'!Z1832</f>
        <v/>
      </c>
      <c r="S989" s="4" t="str">
        <f>'Form responses 1'!AC1832</f>
        <v/>
      </c>
      <c r="T989" s="4" t="str">
        <f>'Form responses 1'!AE1832</f>
        <v/>
      </c>
      <c r="U989" s="4" t="str">
        <f>'Form responses 1'!AG1832</f>
        <v/>
      </c>
      <c r="V989" s="4" t="str">
        <f>'Form responses 1'!AI1832</f>
        <v/>
      </c>
      <c r="W989" s="4" t="str">
        <f>'Form responses 1'!AJ1832</f>
        <v/>
      </c>
      <c r="X989" s="4" t="str">
        <f>'Form responses 1'!AK1832</f>
        <v/>
      </c>
      <c r="Y989" s="4">
        <f t="shared" ref="Y989:AD989" si="988">if(S989&gt;0,1,0)</f>
        <v>0</v>
      </c>
      <c r="Z989" s="4">
        <f t="shared" si="988"/>
        <v>0</v>
      </c>
      <c r="AA989" s="4">
        <f t="shared" si="988"/>
        <v>0</v>
      </c>
      <c r="AB989" s="4">
        <f t="shared" si="988"/>
        <v>0</v>
      </c>
      <c r="AC989" s="4">
        <f t="shared" si="988"/>
        <v>0</v>
      </c>
      <c r="AD989" s="4">
        <f t="shared" si="988"/>
        <v>0</v>
      </c>
      <c r="AE989" s="4" t="str">
        <f>'Form responses 1'!AN1832</f>
        <v/>
      </c>
      <c r="AF989" s="4" t="str">
        <f>'Form responses 1'!AO2113</f>
        <v/>
      </c>
      <c r="AG989" s="4" t="str">
        <f>'Form responses 1'!AP2113</f>
        <v/>
      </c>
      <c r="AH989" s="4" t="str">
        <f>'Form responses 1'!AQ2113</f>
        <v/>
      </c>
      <c r="AI989" s="4" t="str">
        <f>'Form responses 1'!AR2113</f>
        <v/>
      </c>
    </row>
    <row r="990">
      <c r="A990" s="4" t="str">
        <f>'Form responses 1'!B1833</f>
        <v/>
      </c>
      <c r="B990" s="4" t="str">
        <f>'Form responses 1'!AZ1833</f>
        <v/>
      </c>
      <c r="C990" s="4" t="str">
        <f>'Form responses 1'!BR1833</f>
        <v/>
      </c>
      <c r="D990" s="4" t="str">
        <f>'Form responses 1'!AT1833</f>
        <v/>
      </c>
      <c r="E990" s="4" t="str">
        <f>'Form responses 1'!AU1833</f>
        <v/>
      </c>
      <c r="F990" s="4" t="str">
        <f>'Form responses 1'!AX1833</f>
        <v/>
      </c>
      <c r="G990" s="4" t="str">
        <f>'Form responses 1'!AY1833</f>
        <v/>
      </c>
      <c r="H990" s="53" t="str">
        <f>'Form responses 1'!AW1833</f>
        <v/>
      </c>
      <c r="I990" s="4" t="str">
        <f>'Form responses 1'!AS1833</f>
        <v/>
      </c>
      <c r="J990" s="4" t="str">
        <f>'Form responses 1'!J1833</f>
        <v/>
      </c>
      <c r="K990" s="4" t="str">
        <f>'Form responses 1'!G1833</f>
        <v/>
      </c>
      <c r="L990" s="4" t="str">
        <f>'Form responses 1'!F1833</f>
        <v/>
      </c>
      <c r="M990" s="4" t="str">
        <f>'Form responses 1'!U1833</f>
        <v/>
      </c>
      <c r="N990" s="4" t="str">
        <f>'Form responses 1'!V1833</f>
        <v/>
      </c>
      <c r="O990" s="4" t="str">
        <f>'Form responses 1'!W1833</f>
        <v/>
      </c>
      <c r="P990" s="4" t="str">
        <f>'Form responses 1'!X1833</f>
        <v/>
      </c>
      <c r="Q990" s="4" t="str">
        <f>'Form responses 1'!Y1833</f>
        <v/>
      </c>
      <c r="R990" s="4" t="str">
        <f>'Form responses 1'!Z1833</f>
        <v/>
      </c>
      <c r="S990" s="4" t="str">
        <f>'Form responses 1'!AC1833</f>
        <v/>
      </c>
      <c r="T990" s="4" t="str">
        <f>'Form responses 1'!AE1833</f>
        <v/>
      </c>
      <c r="U990" s="4" t="str">
        <f>'Form responses 1'!AG1833</f>
        <v/>
      </c>
      <c r="V990" s="4" t="str">
        <f>'Form responses 1'!AI1833</f>
        <v/>
      </c>
      <c r="W990" s="4" t="str">
        <f>'Form responses 1'!AJ1833</f>
        <v/>
      </c>
      <c r="X990" s="4" t="str">
        <f>'Form responses 1'!AK1833</f>
        <v/>
      </c>
      <c r="Y990" s="4">
        <f t="shared" ref="Y990:AD990" si="989">if(S990&gt;0,1,0)</f>
        <v>0</v>
      </c>
      <c r="Z990" s="4">
        <f t="shared" si="989"/>
        <v>0</v>
      </c>
      <c r="AA990" s="4">
        <f t="shared" si="989"/>
        <v>0</v>
      </c>
      <c r="AB990" s="4">
        <f t="shared" si="989"/>
        <v>0</v>
      </c>
      <c r="AC990" s="4">
        <f t="shared" si="989"/>
        <v>0</v>
      </c>
      <c r="AD990" s="4">
        <f t="shared" si="989"/>
        <v>0</v>
      </c>
      <c r="AE990" s="4" t="str">
        <f>'Form responses 1'!AN1833</f>
        <v/>
      </c>
      <c r="AF990" s="4" t="str">
        <f>'Form responses 1'!AO2114</f>
        <v/>
      </c>
      <c r="AG990" s="4" t="str">
        <f>'Form responses 1'!AP2114</f>
        <v/>
      </c>
      <c r="AH990" s="4" t="str">
        <f>'Form responses 1'!AQ2114</f>
        <v/>
      </c>
      <c r="AI990" s="4" t="str">
        <f>'Form responses 1'!AR2114</f>
        <v/>
      </c>
    </row>
    <row r="991">
      <c r="A991" s="4" t="str">
        <f>'Form responses 1'!B1834</f>
        <v/>
      </c>
      <c r="B991" s="4" t="str">
        <f>'Form responses 1'!AZ1834</f>
        <v/>
      </c>
      <c r="C991" s="4" t="str">
        <f>'Form responses 1'!BR1834</f>
        <v/>
      </c>
      <c r="D991" s="4" t="str">
        <f>'Form responses 1'!AT1834</f>
        <v/>
      </c>
      <c r="E991" s="4" t="str">
        <f>'Form responses 1'!AU1834</f>
        <v/>
      </c>
      <c r="F991" s="4" t="str">
        <f>'Form responses 1'!AX1834</f>
        <v/>
      </c>
      <c r="G991" s="4" t="str">
        <f>'Form responses 1'!AY1834</f>
        <v/>
      </c>
      <c r="H991" s="53" t="str">
        <f>'Form responses 1'!AW1834</f>
        <v/>
      </c>
      <c r="I991" s="4" t="str">
        <f>'Form responses 1'!AS1834</f>
        <v/>
      </c>
      <c r="J991" s="4" t="str">
        <f>'Form responses 1'!J1834</f>
        <v/>
      </c>
      <c r="K991" s="4" t="str">
        <f>'Form responses 1'!G1834</f>
        <v/>
      </c>
      <c r="L991" s="4" t="str">
        <f>'Form responses 1'!F1834</f>
        <v/>
      </c>
      <c r="M991" s="4" t="str">
        <f>'Form responses 1'!U1834</f>
        <v/>
      </c>
      <c r="N991" s="4" t="str">
        <f>'Form responses 1'!V1834</f>
        <v/>
      </c>
      <c r="O991" s="4" t="str">
        <f>'Form responses 1'!W1834</f>
        <v/>
      </c>
      <c r="P991" s="4" t="str">
        <f>'Form responses 1'!X1834</f>
        <v/>
      </c>
      <c r="Q991" s="4" t="str">
        <f>'Form responses 1'!Y1834</f>
        <v/>
      </c>
      <c r="R991" s="4" t="str">
        <f>'Form responses 1'!Z1834</f>
        <v/>
      </c>
      <c r="S991" s="4" t="str">
        <f>'Form responses 1'!AC1834</f>
        <v/>
      </c>
      <c r="T991" s="4" t="str">
        <f>'Form responses 1'!AE1834</f>
        <v/>
      </c>
      <c r="U991" s="4" t="str">
        <f>'Form responses 1'!AG1834</f>
        <v/>
      </c>
      <c r="V991" s="4" t="str">
        <f>'Form responses 1'!AI1834</f>
        <v/>
      </c>
      <c r="W991" s="4" t="str">
        <f>'Form responses 1'!AJ1834</f>
        <v/>
      </c>
      <c r="X991" s="4" t="str">
        <f>'Form responses 1'!AK1834</f>
        <v/>
      </c>
      <c r="Y991" s="4">
        <f t="shared" ref="Y991:AD991" si="990">if(S991&gt;0,1,0)</f>
        <v>0</v>
      </c>
      <c r="Z991" s="4">
        <f t="shared" si="990"/>
        <v>0</v>
      </c>
      <c r="AA991" s="4">
        <f t="shared" si="990"/>
        <v>0</v>
      </c>
      <c r="AB991" s="4">
        <f t="shared" si="990"/>
        <v>0</v>
      </c>
      <c r="AC991" s="4">
        <f t="shared" si="990"/>
        <v>0</v>
      </c>
      <c r="AD991" s="4">
        <f t="shared" si="990"/>
        <v>0</v>
      </c>
      <c r="AE991" s="4" t="str">
        <f>'Form responses 1'!AN1834</f>
        <v/>
      </c>
      <c r="AF991" s="4" t="str">
        <f>'Form responses 1'!AO2115</f>
        <v/>
      </c>
      <c r="AG991" s="4" t="str">
        <f>'Form responses 1'!AP2115</f>
        <v/>
      </c>
      <c r="AH991" s="4" t="str">
        <f>'Form responses 1'!AQ2115</f>
        <v/>
      </c>
      <c r="AI991" s="4" t="str">
        <f>'Form responses 1'!AR2115</f>
        <v/>
      </c>
    </row>
    <row r="992">
      <c r="A992" s="4" t="str">
        <f>'Form responses 1'!B1835</f>
        <v/>
      </c>
      <c r="B992" s="4" t="str">
        <f>'Form responses 1'!AZ1835</f>
        <v/>
      </c>
      <c r="C992" s="4" t="str">
        <f>'Form responses 1'!BR1835</f>
        <v/>
      </c>
      <c r="D992" s="4" t="str">
        <f>'Form responses 1'!AT1835</f>
        <v/>
      </c>
      <c r="E992" s="4" t="str">
        <f>'Form responses 1'!AU1835</f>
        <v/>
      </c>
      <c r="F992" s="4" t="str">
        <f>'Form responses 1'!AX1835</f>
        <v/>
      </c>
      <c r="G992" s="4" t="str">
        <f>'Form responses 1'!AY1835</f>
        <v/>
      </c>
      <c r="H992" s="53" t="str">
        <f>'Form responses 1'!AW1835</f>
        <v/>
      </c>
      <c r="I992" s="4" t="str">
        <f>'Form responses 1'!AS1835</f>
        <v/>
      </c>
      <c r="J992" s="4" t="str">
        <f>'Form responses 1'!J1835</f>
        <v/>
      </c>
      <c r="K992" s="4" t="str">
        <f>'Form responses 1'!G1835</f>
        <v/>
      </c>
      <c r="L992" s="4" t="str">
        <f>'Form responses 1'!F1835</f>
        <v/>
      </c>
      <c r="M992" s="4" t="str">
        <f>'Form responses 1'!U1835</f>
        <v/>
      </c>
      <c r="N992" s="4" t="str">
        <f>'Form responses 1'!V1835</f>
        <v/>
      </c>
      <c r="O992" s="4" t="str">
        <f>'Form responses 1'!W1835</f>
        <v/>
      </c>
      <c r="P992" s="4" t="str">
        <f>'Form responses 1'!X1835</f>
        <v/>
      </c>
      <c r="Q992" s="4" t="str">
        <f>'Form responses 1'!Y1835</f>
        <v/>
      </c>
      <c r="R992" s="4" t="str">
        <f>'Form responses 1'!Z1835</f>
        <v/>
      </c>
      <c r="S992" s="4" t="str">
        <f>'Form responses 1'!AC1835</f>
        <v/>
      </c>
      <c r="T992" s="4" t="str">
        <f>'Form responses 1'!AE1835</f>
        <v/>
      </c>
      <c r="U992" s="4" t="str">
        <f>'Form responses 1'!AG1835</f>
        <v/>
      </c>
      <c r="V992" s="4" t="str">
        <f>'Form responses 1'!AI1835</f>
        <v/>
      </c>
      <c r="W992" s="4" t="str">
        <f>'Form responses 1'!AJ1835</f>
        <v/>
      </c>
      <c r="X992" s="4" t="str">
        <f>'Form responses 1'!AK1835</f>
        <v/>
      </c>
      <c r="Y992" s="4">
        <f t="shared" ref="Y992:AD992" si="991">if(S992&gt;0,1,0)</f>
        <v>0</v>
      </c>
      <c r="Z992" s="4">
        <f t="shared" si="991"/>
        <v>0</v>
      </c>
      <c r="AA992" s="4">
        <f t="shared" si="991"/>
        <v>0</v>
      </c>
      <c r="AB992" s="4">
        <f t="shared" si="991"/>
        <v>0</v>
      </c>
      <c r="AC992" s="4">
        <f t="shared" si="991"/>
        <v>0</v>
      </c>
      <c r="AD992" s="4">
        <f t="shared" si="991"/>
        <v>0</v>
      </c>
      <c r="AE992" s="4" t="str">
        <f>'Form responses 1'!AN1835</f>
        <v/>
      </c>
      <c r="AF992" s="4" t="str">
        <f>'Form responses 1'!AO2116</f>
        <v/>
      </c>
      <c r="AG992" s="4" t="str">
        <f>'Form responses 1'!AP2116</f>
        <v/>
      </c>
      <c r="AH992" s="4" t="str">
        <f>'Form responses 1'!AQ2116</f>
        <v/>
      </c>
      <c r="AI992" s="4" t="str">
        <f>'Form responses 1'!AR2116</f>
        <v/>
      </c>
    </row>
    <row r="993">
      <c r="A993" s="4" t="str">
        <f>'Form responses 1'!B1836</f>
        <v/>
      </c>
      <c r="B993" s="4" t="str">
        <f>'Form responses 1'!AZ1836</f>
        <v/>
      </c>
      <c r="C993" s="4" t="str">
        <f>'Form responses 1'!BR1836</f>
        <v/>
      </c>
      <c r="D993" s="4" t="str">
        <f>'Form responses 1'!AT1836</f>
        <v/>
      </c>
      <c r="E993" s="4" t="str">
        <f>'Form responses 1'!AU1836</f>
        <v/>
      </c>
      <c r="F993" s="4" t="str">
        <f>'Form responses 1'!AX1836</f>
        <v/>
      </c>
      <c r="G993" s="4" t="str">
        <f>'Form responses 1'!AY1836</f>
        <v/>
      </c>
      <c r="H993" s="53" t="str">
        <f>'Form responses 1'!AW1836</f>
        <v/>
      </c>
      <c r="I993" s="4" t="str">
        <f>'Form responses 1'!AS1836</f>
        <v/>
      </c>
      <c r="J993" s="4" t="str">
        <f>'Form responses 1'!J1836</f>
        <v/>
      </c>
      <c r="K993" s="4" t="str">
        <f>'Form responses 1'!G1836</f>
        <v/>
      </c>
      <c r="L993" s="4" t="str">
        <f>'Form responses 1'!F1836</f>
        <v/>
      </c>
      <c r="M993" s="4" t="str">
        <f>'Form responses 1'!U1836</f>
        <v/>
      </c>
      <c r="N993" s="4" t="str">
        <f>'Form responses 1'!V1836</f>
        <v/>
      </c>
      <c r="O993" s="4" t="str">
        <f>'Form responses 1'!W1836</f>
        <v/>
      </c>
      <c r="P993" s="4" t="str">
        <f>'Form responses 1'!X1836</f>
        <v/>
      </c>
      <c r="Q993" s="4" t="str">
        <f>'Form responses 1'!Y1836</f>
        <v/>
      </c>
      <c r="R993" s="4" t="str">
        <f>'Form responses 1'!Z1836</f>
        <v/>
      </c>
      <c r="S993" s="4" t="str">
        <f>'Form responses 1'!AC1836</f>
        <v/>
      </c>
      <c r="T993" s="4" t="str">
        <f>'Form responses 1'!AE1836</f>
        <v/>
      </c>
      <c r="U993" s="4" t="str">
        <f>'Form responses 1'!AG1836</f>
        <v/>
      </c>
      <c r="V993" s="4" t="str">
        <f>'Form responses 1'!AI1836</f>
        <v/>
      </c>
      <c r="W993" s="4" t="str">
        <f>'Form responses 1'!AJ1836</f>
        <v/>
      </c>
      <c r="X993" s="4" t="str">
        <f>'Form responses 1'!AK1836</f>
        <v/>
      </c>
      <c r="Y993" s="4">
        <f t="shared" ref="Y993:AD993" si="992">if(S993&gt;0,1,0)</f>
        <v>0</v>
      </c>
      <c r="Z993" s="4">
        <f t="shared" si="992"/>
        <v>0</v>
      </c>
      <c r="AA993" s="4">
        <f t="shared" si="992"/>
        <v>0</v>
      </c>
      <c r="AB993" s="4">
        <f t="shared" si="992"/>
        <v>0</v>
      </c>
      <c r="AC993" s="4">
        <f t="shared" si="992"/>
        <v>0</v>
      </c>
      <c r="AD993" s="4">
        <f t="shared" si="992"/>
        <v>0</v>
      </c>
      <c r="AE993" s="4" t="str">
        <f>'Form responses 1'!AN1836</f>
        <v/>
      </c>
      <c r="AF993" s="4" t="str">
        <f>'Form responses 1'!AO2117</f>
        <v/>
      </c>
      <c r="AG993" s="4" t="str">
        <f>'Form responses 1'!AP2117</f>
        <v/>
      </c>
      <c r="AH993" s="4" t="str">
        <f>'Form responses 1'!AQ2117</f>
        <v/>
      </c>
      <c r="AI993" s="4" t="str">
        <f>'Form responses 1'!AR2117</f>
        <v/>
      </c>
    </row>
    <row r="994">
      <c r="A994" s="4" t="str">
        <f>'Form responses 1'!B1837</f>
        <v/>
      </c>
      <c r="B994" s="4" t="str">
        <f>'Form responses 1'!AZ1837</f>
        <v/>
      </c>
      <c r="C994" s="4" t="str">
        <f>'Form responses 1'!BR1837</f>
        <v/>
      </c>
      <c r="D994" s="4" t="str">
        <f>'Form responses 1'!AT1837</f>
        <v/>
      </c>
      <c r="E994" s="4" t="str">
        <f>'Form responses 1'!AU1837</f>
        <v/>
      </c>
      <c r="F994" s="4" t="str">
        <f>'Form responses 1'!AX1837</f>
        <v/>
      </c>
      <c r="G994" s="4" t="str">
        <f>'Form responses 1'!AY1837</f>
        <v/>
      </c>
      <c r="H994" s="53" t="str">
        <f>'Form responses 1'!AW1837</f>
        <v/>
      </c>
      <c r="I994" s="4" t="str">
        <f>'Form responses 1'!AS1837</f>
        <v/>
      </c>
      <c r="J994" s="4" t="str">
        <f>'Form responses 1'!J1837</f>
        <v/>
      </c>
      <c r="K994" s="4" t="str">
        <f>'Form responses 1'!G1837</f>
        <v/>
      </c>
      <c r="L994" s="4" t="str">
        <f>'Form responses 1'!F1837</f>
        <v/>
      </c>
      <c r="M994" s="4" t="str">
        <f>'Form responses 1'!U1837</f>
        <v/>
      </c>
      <c r="N994" s="4" t="str">
        <f>'Form responses 1'!V1837</f>
        <v/>
      </c>
      <c r="O994" s="4" t="str">
        <f>'Form responses 1'!W1837</f>
        <v/>
      </c>
      <c r="P994" s="4" t="str">
        <f>'Form responses 1'!X1837</f>
        <v/>
      </c>
      <c r="Q994" s="4" t="str">
        <f>'Form responses 1'!Y1837</f>
        <v/>
      </c>
      <c r="R994" s="4" t="str">
        <f>'Form responses 1'!Z1837</f>
        <v/>
      </c>
      <c r="S994" s="4" t="str">
        <f>'Form responses 1'!AC1837</f>
        <v/>
      </c>
      <c r="T994" s="4" t="str">
        <f>'Form responses 1'!AE1837</f>
        <v/>
      </c>
      <c r="U994" s="4" t="str">
        <f>'Form responses 1'!AG1837</f>
        <v/>
      </c>
      <c r="V994" s="4" t="str">
        <f>'Form responses 1'!AI1837</f>
        <v/>
      </c>
      <c r="W994" s="4" t="str">
        <f>'Form responses 1'!AJ1837</f>
        <v/>
      </c>
      <c r="X994" s="4" t="str">
        <f>'Form responses 1'!AK1837</f>
        <v/>
      </c>
      <c r="Y994" s="4">
        <f t="shared" ref="Y994:AD994" si="993">if(S994&gt;0,1,0)</f>
        <v>0</v>
      </c>
      <c r="Z994" s="4">
        <f t="shared" si="993"/>
        <v>0</v>
      </c>
      <c r="AA994" s="4">
        <f t="shared" si="993"/>
        <v>0</v>
      </c>
      <c r="AB994" s="4">
        <f t="shared" si="993"/>
        <v>0</v>
      </c>
      <c r="AC994" s="4">
        <f t="shared" si="993"/>
        <v>0</v>
      </c>
      <c r="AD994" s="4">
        <f t="shared" si="993"/>
        <v>0</v>
      </c>
      <c r="AE994" s="4" t="str">
        <f>'Form responses 1'!AN1837</f>
        <v/>
      </c>
      <c r="AF994" s="4" t="str">
        <f>'Form responses 1'!AO2118</f>
        <v/>
      </c>
      <c r="AG994" s="4" t="str">
        <f>'Form responses 1'!AP2118</f>
        <v/>
      </c>
      <c r="AH994" s="4" t="str">
        <f>'Form responses 1'!AQ2118</f>
        <v/>
      </c>
      <c r="AI994" s="4" t="str">
        <f>'Form responses 1'!AR2118</f>
        <v/>
      </c>
    </row>
    <row r="995">
      <c r="A995" s="4" t="str">
        <f>'Form responses 1'!B1838</f>
        <v/>
      </c>
      <c r="B995" s="4" t="str">
        <f>'Form responses 1'!AZ1838</f>
        <v/>
      </c>
      <c r="C995" s="4" t="str">
        <f>'Form responses 1'!BR1838</f>
        <v/>
      </c>
      <c r="D995" s="4" t="str">
        <f>'Form responses 1'!AT1838</f>
        <v/>
      </c>
      <c r="E995" s="4" t="str">
        <f>'Form responses 1'!AU1838</f>
        <v/>
      </c>
      <c r="F995" s="4" t="str">
        <f>'Form responses 1'!AX1838</f>
        <v/>
      </c>
      <c r="G995" s="4" t="str">
        <f>'Form responses 1'!AY1838</f>
        <v/>
      </c>
      <c r="H995" s="53" t="str">
        <f>'Form responses 1'!AW1838</f>
        <v/>
      </c>
      <c r="I995" s="4" t="str">
        <f>'Form responses 1'!AS1838</f>
        <v/>
      </c>
      <c r="J995" s="4" t="str">
        <f>'Form responses 1'!J1838</f>
        <v/>
      </c>
      <c r="K995" s="4" t="str">
        <f>'Form responses 1'!G1838</f>
        <v/>
      </c>
      <c r="L995" s="4" t="str">
        <f>'Form responses 1'!F1838</f>
        <v/>
      </c>
      <c r="M995" s="4" t="str">
        <f>'Form responses 1'!U1838</f>
        <v/>
      </c>
      <c r="N995" s="4" t="str">
        <f>'Form responses 1'!V1838</f>
        <v/>
      </c>
      <c r="O995" s="4" t="str">
        <f>'Form responses 1'!W1838</f>
        <v/>
      </c>
      <c r="P995" s="4" t="str">
        <f>'Form responses 1'!X1838</f>
        <v/>
      </c>
      <c r="Q995" s="4" t="str">
        <f>'Form responses 1'!Y1838</f>
        <v/>
      </c>
      <c r="R995" s="4" t="str">
        <f>'Form responses 1'!Z1838</f>
        <v/>
      </c>
      <c r="S995" s="4" t="str">
        <f>'Form responses 1'!AC1838</f>
        <v/>
      </c>
      <c r="T995" s="4" t="str">
        <f>'Form responses 1'!AE1838</f>
        <v/>
      </c>
      <c r="U995" s="4" t="str">
        <f>'Form responses 1'!AG1838</f>
        <v/>
      </c>
      <c r="V995" s="4" t="str">
        <f>'Form responses 1'!AI1838</f>
        <v/>
      </c>
      <c r="W995" s="4" t="str">
        <f>'Form responses 1'!AJ1838</f>
        <v/>
      </c>
      <c r="X995" s="4" t="str">
        <f>'Form responses 1'!AK1838</f>
        <v/>
      </c>
      <c r="Y995" s="4">
        <f t="shared" ref="Y995:AD995" si="994">if(S995&gt;0,1,0)</f>
        <v>0</v>
      </c>
      <c r="Z995" s="4">
        <f t="shared" si="994"/>
        <v>0</v>
      </c>
      <c r="AA995" s="4">
        <f t="shared" si="994"/>
        <v>0</v>
      </c>
      <c r="AB995" s="4">
        <f t="shared" si="994"/>
        <v>0</v>
      </c>
      <c r="AC995" s="4">
        <f t="shared" si="994"/>
        <v>0</v>
      </c>
      <c r="AD995" s="4">
        <f t="shared" si="994"/>
        <v>0</v>
      </c>
      <c r="AE995" s="4" t="str">
        <f>'Form responses 1'!AN1838</f>
        <v/>
      </c>
      <c r="AF995" s="4" t="str">
        <f>'Form responses 1'!AO2119</f>
        <v/>
      </c>
      <c r="AG995" s="4" t="str">
        <f>'Form responses 1'!AP2119</f>
        <v/>
      </c>
      <c r="AH995" s="4" t="str">
        <f>'Form responses 1'!AQ2119</f>
        <v/>
      </c>
      <c r="AI995" s="4" t="str">
        <f>'Form responses 1'!AR2119</f>
        <v/>
      </c>
    </row>
    <row r="996">
      <c r="A996" s="4" t="str">
        <f>'Form responses 1'!B1839</f>
        <v/>
      </c>
      <c r="B996" s="4" t="str">
        <f>'Form responses 1'!AZ1839</f>
        <v/>
      </c>
      <c r="C996" s="4" t="str">
        <f>'Form responses 1'!BR1839</f>
        <v/>
      </c>
      <c r="D996" s="4" t="str">
        <f>'Form responses 1'!AT1839</f>
        <v/>
      </c>
      <c r="E996" s="4" t="str">
        <f>'Form responses 1'!AU1839</f>
        <v/>
      </c>
      <c r="F996" s="4" t="str">
        <f>'Form responses 1'!AX1839</f>
        <v/>
      </c>
      <c r="G996" s="4" t="str">
        <f>'Form responses 1'!AY1839</f>
        <v/>
      </c>
      <c r="H996" s="53" t="str">
        <f>'Form responses 1'!AW1839</f>
        <v/>
      </c>
      <c r="I996" s="4" t="str">
        <f>'Form responses 1'!AS1839</f>
        <v/>
      </c>
      <c r="J996" s="4" t="str">
        <f>'Form responses 1'!J1839</f>
        <v/>
      </c>
      <c r="K996" s="4" t="str">
        <f>'Form responses 1'!G1839</f>
        <v/>
      </c>
      <c r="L996" s="4" t="str">
        <f>'Form responses 1'!F1839</f>
        <v/>
      </c>
      <c r="M996" s="4" t="str">
        <f>'Form responses 1'!U1839</f>
        <v/>
      </c>
      <c r="N996" s="4" t="str">
        <f>'Form responses 1'!V1839</f>
        <v/>
      </c>
      <c r="O996" s="4" t="str">
        <f>'Form responses 1'!W1839</f>
        <v/>
      </c>
      <c r="P996" s="4" t="str">
        <f>'Form responses 1'!X1839</f>
        <v/>
      </c>
      <c r="Q996" s="4" t="str">
        <f>'Form responses 1'!Y1839</f>
        <v/>
      </c>
      <c r="R996" s="4" t="str">
        <f>'Form responses 1'!Z1839</f>
        <v/>
      </c>
      <c r="S996" s="4" t="str">
        <f>'Form responses 1'!AC1839</f>
        <v/>
      </c>
      <c r="T996" s="4" t="str">
        <f>'Form responses 1'!AE1839</f>
        <v/>
      </c>
      <c r="U996" s="4" t="str">
        <f>'Form responses 1'!AG1839</f>
        <v/>
      </c>
      <c r="V996" s="4" t="str">
        <f>'Form responses 1'!AI1839</f>
        <v/>
      </c>
      <c r="W996" s="4" t="str">
        <f>'Form responses 1'!AJ1839</f>
        <v/>
      </c>
      <c r="X996" s="4" t="str">
        <f>'Form responses 1'!AK1839</f>
        <v/>
      </c>
      <c r="Y996" s="4">
        <f t="shared" ref="Y996:AD996" si="995">if(S996&gt;0,1,0)</f>
        <v>0</v>
      </c>
      <c r="Z996" s="4">
        <f t="shared" si="995"/>
        <v>0</v>
      </c>
      <c r="AA996" s="4">
        <f t="shared" si="995"/>
        <v>0</v>
      </c>
      <c r="AB996" s="4">
        <f t="shared" si="995"/>
        <v>0</v>
      </c>
      <c r="AC996" s="4">
        <f t="shared" si="995"/>
        <v>0</v>
      </c>
      <c r="AD996" s="4">
        <f t="shared" si="995"/>
        <v>0</v>
      </c>
      <c r="AE996" s="4" t="str">
        <f>'Form responses 1'!AN1839</f>
        <v/>
      </c>
      <c r="AF996" s="4" t="str">
        <f>'Form responses 1'!AO2120</f>
        <v/>
      </c>
      <c r="AG996" s="4" t="str">
        <f>'Form responses 1'!AP2120</f>
        <v/>
      </c>
      <c r="AH996" s="4" t="str">
        <f>'Form responses 1'!AQ2120</f>
        <v/>
      </c>
      <c r="AI996" s="4" t="str">
        <f>'Form responses 1'!AR2120</f>
        <v/>
      </c>
    </row>
    <row r="997">
      <c r="A997" s="4" t="str">
        <f>'Form responses 1'!B1840</f>
        <v/>
      </c>
      <c r="B997" s="4" t="str">
        <f>'Form responses 1'!AZ1840</f>
        <v/>
      </c>
      <c r="C997" s="4" t="str">
        <f>'Form responses 1'!BR1840</f>
        <v/>
      </c>
      <c r="D997" s="4" t="str">
        <f>'Form responses 1'!AT1840</f>
        <v/>
      </c>
      <c r="E997" s="4" t="str">
        <f>'Form responses 1'!AU1840</f>
        <v/>
      </c>
      <c r="F997" s="4" t="str">
        <f>'Form responses 1'!AX1840</f>
        <v/>
      </c>
      <c r="G997" s="4" t="str">
        <f>'Form responses 1'!AY1840</f>
        <v/>
      </c>
      <c r="H997" s="53" t="str">
        <f>'Form responses 1'!AW1840</f>
        <v/>
      </c>
      <c r="I997" s="4" t="str">
        <f>'Form responses 1'!AS1840</f>
        <v/>
      </c>
      <c r="J997" s="4" t="str">
        <f>'Form responses 1'!J1840</f>
        <v/>
      </c>
      <c r="K997" s="4" t="str">
        <f>'Form responses 1'!G1840</f>
        <v/>
      </c>
      <c r="L997" s="4" t="str">
        <f>'Form responses 1'!F1840</f>
        <v/>
      </c>
      <c r="M997" s="4" t="str">
        <f>'Form responses 1'!U1840</f>
        <v/>
      </c>
      <c r="N997" s="4" t="str">
        <f>'Form responses 1'!V1840</f>
        <v/>
      </c>
      <c r="O997" s="4" t="str">
        <f>'Form responses 1'!W1840</f>
        <v/>
      </c>
      <c r="P997" s="4" t="str">
        <f>'Form responses 1'!X1840</f>
        <v/>
      </c>
      <c r="Q997" s="4" t="str">
        <f>'Form responses 1'!Y1840</f>
        <v/>
      </c>
      <c r="R997" s="4" t="str">
        <f>'Form responses 1'!Z1840</f>
        <v/>
      </c>
      <c r="S997" s="4" t="str">
        <f>'Form responses 1'!AC1840</f>
        <v/>
      </c>
      <c r="T997" s="4" t="str">
        <f>'Form responses 1'!AE1840</f>
        <v/>
      </c>
      <c r="U997" s="4" t="str">
        <f>'Form responses 1'!AG1840</f>
        <v/>
      </c>
      <c r="V997" s="4" t="str">
        <f>'Form responses 1'!AI1840</f>
        <v/>
      </c>
      <c r="W997" s="4" t="str">
        <f>'Form responses 1'!AJ1840</f>
        <v/>
      </c>
      <c r="X997" s="4" t="str">
        <f>'Form responses 1'!AK1840</f>
        <v/>
      </c>
      <c r="Y997" s="4">
        <f t="shared" ref="Y997:AD997" si="996">if(S997&gt;0,1,0)</f>
        <v>0</v>
      </c>
      <c r="Z997" s="4">
        <f t="shared" si="996"/>
        <v>0</v>
      </c>
      <c r="AA997" s="4">
        <f t="shared" si="996"/>
        <v>0</v>
      </c>
      <c r="AB997" s="4">
        <f t="shared" si="996"/>
        <v>0</v>
      </c>
      <c r="AC997" s="4">
        <f t="shared" si="996"/>
        <v>0</v>
      </c>
      <c r="AD997" s="4">
        <f t="shared" si="996"/>
        <v>0</v>
      </c>
      <c r="AE997" s="4" t="str">
        <f>'Form responses 1'!AN1840</f>
        <v/>
      </c>
      <c r="AF997" s="4" t="str">
        <f>'Form responses 1'!AO2121</f>
        <v/>
      </c>
      <c r="AG997" s="4" t="str">
        <f>'Form responses 1'!AP2121</f>
        <v/>
      </c>
      <c r="AH997" s="4" t="str">
        <f>'Form responses 1'!AQ2121</f>
        <v/>
      </c>
      <c r="AI997" s="4" t="str">
        <f>'Form responses 1'!AR2121</f>
        <v/>
      </c>
    </row>
    <row r="998">
      <c r="A998" s="4" t="str">
        <f>'Form responses 1'!B1841</f>
        <v/>
      </c>
      <c r="B998" s="4" t="str">
        <f>'Form responses 1'!AZ1841</f>
        <v/>
      </c>
      <c r="C998" s="4" t="str">
        <f>'Form responses 1'!BR1841</f>
        <v/>
      </c>
      <c r="D998" s="4" t="str">
        <f>'Form responses 1'!AT1841</f>
        <v/>
      </c>
      <c r="E998" s="4" t="str">
        <f>'Form responses 1'!AU1841</f>
        <v/>
      </c>
      <c r="F998" s="4" t="str">
        <f>'Form responses 1'!AX1841</f>
        <v/>
      </c>
      <c r="G998" s="4" t="str">
        <f>'Form responses 1'!AY1841</f>
        <v/>
      </c>
      <c r="H998" s="53" t="str">
        <f>'Form responses 1'!AW1841</f>
        <v/>
      </c>
      <c r="I998" s="4" t="str">
        <f>'Form responses 1'!AS1841</f>
        <v/>
      </c>
      <c r="J998" s="4" t="str">
        <f>'Form responses 1'!J1841</f>
        <v/>
      </c>
      <c r="K998" s="4" t="str">
        <f>'Form responses 1'!G1841</f>
        <v/>
      </c>
      <c r="L998" s="4" t="str">
        <f>'Form responses 1'!F1841</f>
        <v/>
      </c>
      <c r="M998" s="4" t="str">
        <f>'Form responses 1'!U1841</f>
        <v/>
      </c>
      <c r="N998" s="4" t="str">
        <f>'Form responses 1'!V1841</f>
        <v/>
      </c>
      <c r="O998" s="4" t="str">
        <f>'Form responses 1'!W1841</f>
        <v/>
      </c>
      <c r="P998" s="4" t="str">
        <f>'Form responses 1'!X1841</f>
        <v/>
      </c>
      <c r="Q998" s="4" t="str">
        <f>'Form responses 1'!Y1841</f>
        <v/>
      </c>
      <c r="R998" s="4" t="str">
        <f>'Form responses 1'!Z1841</f>
        <v/>
      </c>
      <c r="S998" s="4" t="str">
        <f>'Form responses 1'!AC1841</f>
        <v/>
      </c>
      <c r="T998" s="4" t="str">
        <f>'Form responses 1'!AE1841</f>
        <v/>
      </c>
      <c r="U998" s="4" t="str">
        <f>'Form responses 1'!AG1841</f>
        <v/>
      </c>
      <c r="V998" s="4" t="str">
        <f>'Form responses 1'!AI1841</f>
        <v/>
      </c>
      <c r="W998" s="4" t="str">
        <f>'Form responses 1'!AJ1841</f>
        <v/>
      </c>
      <c r="X998" s="4" t="str">
        <f>'Form responses 1'!AK1841</f>
        <v/>
      </c>
      <c r="Y998" s="4">
        <f t="shared" ref="Y998:AD998" si="997">if(S998&gt;0,1,0)</f>
        <v>0</v>
      </c>
      <c r="Z998" s="4">
        <f t="shared" si="997"/>
        <v>0</v>
      </c>
      <c r="AA998" s="4">
        <f t="shared" si="997"/>
        <v>0</v>
      </c>
      <c r="AB998" s="4">
        <f t="shared" si="997"/>
        <v>0</v>
      </c>
      <c r="AC998" s="4">
        <f t="shared" si="997"/>
        <v>0</v>
      </c>
      <c r="AD998" s="4">
        <f t="shared" si="997"/>
        <v>0</v>
      </c>
      <c r="AE998" s="4" t="str">
        <f>'Form responses 1'!AN1841</f>
        <v/>
      </c>
      <c r="AF998" s="4" t="str">
        <f>'Form responses 1'!AO2122</f>
        <v/>
      </c>
      <c r="AG998" s="4" t="str">
        <f>'Form responses 1'!AP2122</f>
        <v/>
      </c>
      <c r="AH998" s="4" t="str">
        <f>'Form responses 1'!AQ2122</f>
        <v/>
      </c>
      <c r="AI998" s="4" t="str">
        <f>'Form responses 1'!AR2122</f>
        <v/>
      </c>
    </row>
    <row r="999">
      <c r="A999" s="4" t="str">
        <f>'Form responses 1'!B1842</f>
        <v/>
      </c>
      <c r="B999" s="4" t="str">
        <f>'Form responses 1'!AZ1842</f>
        <v/>
      </c>
      <c r="C999" s="4" t="str">
        <f>'Form responses 1'!BR1842</f>
        <v/>
      </c>
      <c r="D999" s="4" t="str">
        <f>'Form responses 1'!AT1842</f>
        <v/>
      </c>
      <c r="E999" s="4" t="str">
        <f>'Form responses 1'!AU1842</f>
        <v/>
      </c>
      <c r="F999" s="4" t="str">
        <f>'Form responses 1'!AX1842</f>
        <v/>
      </c>
      <c r="G999" s="4" t="str">
        <f>'Form responses 1'!AY1842</f>
        <v/>
      </c>
      <c r="H999" s="53" t="str">
        <f>'Form responses 1'!AW1842</f>
        <v/>
      </c>
      <c r="I999" s="4" t="str">
        <f>'Form responses 1'!AS1842</f>
        <v/>
      </c>
      <c r="J999" s="4" t="str">
        <f>'Form responses 1'!J1842</f>
        <v/>
      </c>
      <c r="K999" s="4" t="str">
        <f>'Form responses 1'!G1842</f>
        <v/>
      </c>
      <c r="L999" s="4" t="str">
        <f>'Form responses 1'!F1842</f>
        <v/>
      </c>
      <c r="M999" s="4" t="str">
        <f>'Form responses 1'!U1842</f>
        <v/>
      </c>
      <c r="N999" s="4" t="str">
        <f>'Form responses 1'!V1842</f>
        <v/>
      </c>
      <c r="O999" s="4" t="str">
        <f>'Form responses 1'!W1842</f>
        <v/>
      </c>
      <c r="P999" s="4" t="str">
        <f>'Form responses 1'!X1842</f>
        <v/>
      </c>
      <c r="Q999" s="4" t="str">
        <f>'Form responses 1'!Y1842</f>
        <v/>
      </c>
      <c r="R999" s="4" t="str">
        <f>'Form responses 1'!Z1842</f>
        <v/>
      </c>
      <c r="S999" s="4" t="str">
        <f>'Form responses 1'!AC1842</f>
        <v/>
      </c>
      <c r="T999" s="4" t="str">
        <f>'Form responses 1'!AE1842</f>
        <v/>
      </c>
      <c r="U999" s="4" t="str">
        <f>'Form responses 1'!AG1842</f>
        <v/>
      </c>
      <c r="V999" s="4" t="str">
        <f>'Form responses 1'!AI1842</f>
        <v/>
      </c>
      <c r="W999" s="4" t="str">
        <f>'Form responses 1'!AJ1842</f>
        <v/>
      </c>
      <c r="X999" s="4" t="str">
        <f>'Form responses 1'!AK1842</f>
        <v/>
      </c>
      <c r="Y999" s="4">
        <f t="shared" ref="Y999:AD999" si="998">if(S999&gt;0,1,0)</f>
        <v>0</v>
      </c>
      <c r="Z999" s="4">
        <f t="shared" si="998"/>
        <v>0</v>
      </c>
      <c r="AA999" s="4">
        <f t="shared" si="998"/>
        <v>0</v>
      </c>
      <c r="AB999" s="4">
        <f t="shared" si="998"/>
        <v>0</v>
      </c>
      <c r="AC999" s="4">
        <f t="shared" si="998"/>
        <v>0</v>
      </c>
      <c r="AD999" s="4">
        <f t="shared" si="998"/>
        <v>0</v>
      </c>
      <c r="AE999" s="4" t="str">
        <f>'Form responses 1'!AN1842</f>
        <v/>
      </c>
      <c r="AF999" s="4" t="str">
        <f>'Form responses 1'!AO2123</f>
        <v/>
      </c>
      <c r="AG999" s="4" t="str">
        <f>'Form responses 1'!AP2123</f>
        <v/>
      </c>
      <c r="AH999" s="4" t="str">
        <f>'Form responses 1'!AQ2123</f>
        <v/>
      </c>
      <c r="AI999" s="4" t="str">
        <f>'Form responses 1'!AR2123</f>
        <v/>
      </c>
    </row>
    <row r="1000">
      <c r="A1000" s="4" t="str">
        <f>'Form responses 1'!B1843</f>
        <v/>
      </c>
      <c r="B1000" s="4" t="str">
        <f>'Form responses 1'!AZ1843</f>
        <v/>
      </c>
      <c r="C1000" s="4" t="str">
        <f>'Form responses 1'!BR1843</f>
        <v/>
      </c>
      <c r="D1000" s="4" t="str">
        <f>'Form responses 1'!AT1843</f>
        <v/>
      </c>
      <c r="E1000" s="4" t="str">
        <f>'Form responses 1'!AU1843</f>
        <v/>
      </c>
      <c r="F1000" s="4" t="str">
        <f>'Form responses 1'!AX1843</f>
        <v/>
      </c>
      <c r="G1000" s="4" t="str">
        <f>'Form responses 1'!AY1843</f>
        <v/>
      </c>
      <c r="H1000" s="53" t="str">
        <f>'Form responses 1'!AW1843</f>
        <v/>
      </c>
      <c r="I1000" s="4" t="str">
        <f>'Form responses 1'!AS1843</f>
        <v/>
      </c>
      <c r="J1000" s="4" t="str">
        <f>'Form responses 1'!J1843</f>
        <v/>
      </c>
      <c r="K1000" s="4" t="str">
        <f>'Form responses 1'!G1843</f>
        <v/>
      </c>
      <c r="L1000" s="4" t="str">
        <f>'Form responses 1'!F1843</f>
        <v/>
      </c>
      <c r="M1000" s="4" t="str">
        <f>'Form responses 1'!U1843</f>
        <v/>
      </c>
      <c r="N1000" s="4" t="str">
        <f>'Form responses 1'!V1843</f>
        <v/>
      </c>
      <c r="O1000" s="4" t="str">
        <f>'Form responses 1'!W1843</f>
        <v/>
      </c>
      <c r="P1000" s="4" t="str">
        <f>'Form responses 1'!X1843</f>
        <v/>
      </c>
      <c r="Q1000" s="4" t="str">
        <f>'Form responses 1'!Y1843</f>
        <v/>
      </c>
      <c r="R1000" s="4" t="str">
        <f>'Form responses 1'!Z1843</f>
        <v/>
      </c>
      <c r="S1000" s="4" t="str">
        <f>'Form responses 1'!AC1843</f>
        <v/>
      </c>
      <c r="T1000" s="4" t="str">
        <f>'Form responses 1'!AE1843</f>
        <v/>
      </c>
      <c r="U1000" s="4" t="str">
        <f>'Form responses 1'!AG1843</f>
        <v/>
      </c>
      <c r="V1000" s="4" t="str">
        <f>'Form responses 1'!AI1843</f>
        <v/>
      </c>
      <c r="W1000" s="4" t="str">
        <f>'Form responses 1'!AJ1843</f>
        <v/>
      </c>
      <c r="X1000" s="4" t="str">
        <f>'Form responses 1'!AK1843</f>
        <v/>
      </c>
      <c r="Y1000" s="4">
        <f t="shared" ref="Y1000:AD1000" si="999">if(S1000&gt;0,1,0)</f>
        <v>0</v>
      </c>
      <c r="Z1000" s="4">
        <f t="shared" si="999"/>
        <v>0</v>
      </c>
      <c r="AA1000" s="4">
        <f t="shared" si="999"/>
        <v>0</v>
      </c>
      <c r="AB1000" s="4">
        <f t="shared" si="999"/>
        <v>0</v>
      </c>
      <c r="AC1000" s="4">
        <f t="shared" si="999"/>
        <v>0</v>
      </c>
      <c r="AD1000" s="4">
        <f t="shared" si="999"/>
        <v>0</v>
      </c>
      <c r="AE1000" s="4" t="str">
        <f>'Form responses 1'!AN1843</f>
        <v/>
      </c>
      <c r="AF1000" s="4" t="str">
        <f>'Form responses 1'!AO2124</f>
        <v/>
      </c>
      <c r="AG1000" s="4" t="str">
        <f>'Form responses 1'!AP2124</f>
        <v/>
      </c>
      <c r="AH1000" s="4" t="str">
        <f>'Form responses 1'!AQ2124</f>
        <v/>
      </c>
      <c r="AI1000" s="4" t="str">
        <f>'Form responses 1'!AR2124</f>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32.63"/>
    <col customWidth="1" min="2" max="4" width="19.0"/>
    <col customWidth="1" min="9" max="9" width="16.38"/>
    <col customWidth="1" min="10" max="10" width="14.63"/>
    <col customWidth="1" min="11" max="11" width="15.0"/>
    <col customWidth="1" min="12" max="12" width="9.63"/>
  </cols>
  <sheetData>
    <row r="1">
      <c r="A1" s="57" t="s">
        <v>5800</v>
      </c>
    </row>
    <row r="2"/>
    <row r="3"/>
    <row r="4"/>
    <row r="5"/>
    <row r="6"/>
    <row r="7"/>
    <row r="8"/>
    <row r="9"/>
    <row r="10"/>
    <row r="11"/>
    <row r="12"/>
    <row r="13"/>
    <row r="14"/>
    <row r="15"/>
    <row r="16"/>
    <row r="17"/>
    <row r="18"/>
    <row r="19" hidden="1"/>
    <row r="20" hidden="1"/>
    <row r="21" hidden="1"/>
    <row r="22" hidden="1"/>
    <row r="23" hidden="1"/>
    <row r="24" hidden="1"/>
    <row r="25" hidden="1"/>
    <row r="26" hidden="1"/>
    <row r="28">
      <c r="A28" s="57" t="s">
        <v>5801</v>
      </c>
    </row>
    <row r="29"/>
    <row r="30"/>
    <row r="31"/>
    <row r="32"/>
    <row r="33"/>
    <row r="34"/>
    <row r="35"/>
    <row r="36"/>
    <row r="37"/>
    <row r="38"/>
    <row r="39"/>
    <row r="40"/>
    <row r="41"/>
    <row r="42"/>
    <row r="43"/>
    <row r="44"/>
    <row r="45"/>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8">
      <c r="A68" s="57" t="s">
        <v>5803</v>
      </c>
    </row>
    <row r="69">
      <c r="C69" s="4"/>
      <c r="D69" s="4"/>
      <c r="E69" s="4"/>
      <c r="I69" s="4" t="s">
        <v>5787</v>
      </c>
    </row>
    <row r="70">
      <c r="C70" s="4"/>
      <c r="D70" s="4"/>
      <c r="E70" s="4"/>
      <c r="I70" s="39" t="s">
        <v>167</v>
      </c>
      <c r="J70" s="39" t="s">
        <v>94</v>
      </c>
      <c r="K70" s="39" t="s">
        <v>221</v>
      </c>
      <c r="L70" s="39" t="s">
        <v>5760</v>
      </c>
      <c r="N70" s="39" t="s">
        <v>167</v>
      </c>
      <c r="O70" s="39" t="s">
        <v>94</v>
      </c>
      <c r="P70" s="39" t="s">
        <v>221</v>
      </c>
      <c r="Q70" s="39" t="s">
        <v>5760</v>
      </c>
    </row>
    <row r="71">
      <c r="C71" s="4"/>
      <c r="D71" s="4"/>
      <c r="E71" s="4"/>
      <c r="F71" s="58"/>
      <c r="I71" s="59" t="str">
        <f t="shared" ref="I71:L71" si="1">B71/$E71</f>
        <v>#DIV/0!</v>
      </c>
      <c r="J71" s="59" t="str">
        <f t="shared" si="1"/>
        <v>#DIV/0!</v>
      </c>
      <c r="K71" s="59" t="str">
        <f t="shared" si="1"/>
        <v>#DIV/0!</v>
      </c>
      <c r="L71" s="59" t="str">
        <f t="shared" si="1"/>
        <v>#DIV/0!</v>
      </c>
      <c r="N71" s="59" t="str">
        <f t="shared" ref="N71:Q71" si="2">B98/B$111</f>
        <v>#DIV/0!</v>
      </c>
      <c r="O71" s="59" t="str">
        <f t="shared" si="2"/>
        <v>#DIV/0!</v>
      </c>
      <c r="P71" s="59" t="str">
        <f t="shared" si="2"/>
        <v>#DIV/0!</v>
      </c>
      <c r="Q71" s="59" t="str">
        <f t="shared" si="2"/>
        <v>#DIV/0!</v>
      </c>
    </row>
    <row r="72">
      <c r="C72" s="4"/>
      <c r="D72" s="4"/>
      <c r="E72" s="4"/>
      <c r="F72" s="58"/>
      <c r="I72" s="59" t="str">
        <f t="shared" ref="I72:L72" si="3">B72/$E72</f>
        <v>#DIV/0!</v>
      </c>
      <c r="J72" s="59" t="str">
        <f t="shared" si="3"/>
        <v>#DIV/0!</v>
      </c>
      <c r="K72" s="59" t="str">
        <f t="shared" si="3"/>
        <v>#DIV/0!</v>
      </c>
      <c r="L72" s="59" t="str">
        <f t="shared" si="3"/>
        <v>#DIV/0!</v>
      </c>
      <c r="N72" s="59" t="str">
        <f t="shared" ref="N72:Q72" si="4">B99/B$111</f>
        <v>#DIV/0!</v>
      </c>
      <c r="O72" s="59" t="str">
        <f t="shared" si="4"/>
        <v>#DIV/0!</v>
      </c>
      <c r="P72" s="59" t="str">
        <f t="shared" si="4"/>
        <v>#DIV/0!</v>
      </c>
      <c r="Q72" s="59" t="str">
        <f t="shared" si="4"/>
        <v>#DIV/0!</v>
      </c>
    </row>
    <row r="73">
      <c r="C73" s="4"/>
      <c r="D73" s="4"/>
      <c r="E73" s="4"/>
      <c r="F73" s="58"/>
      <c r="I73" s="59" t="str">
        <f t="shared" ref="I73:L73" si="5">B73/$E73</f>
        <v>#DIV/0!</v>
      </c>
      <c r="J73" s="59" t="str">
        <f t="shared" si="5"/>
        <v>#DIV/0!</v>
      </c>
      <c r="K73" s="59" t="str">
        <f t="shared" si="5"/>
        <v>#DIV/0!</v>
      </c>
      <c r="L73" s="59" t="str">
        <f t="shared" si="5"/>
        <v>#DIV/0!</v>
      </c>
      <c r="N73" s="59" t="str">
        <f t="shared" ref="N73:Q73" si="6">B100/B$111</f>
        <v>#DIV/0!</v>
      </c>
      <c r="O73" s="59" t="str">
        <f t="shared" si="6"/>
        <v>#DIV/0!</v>
      </c>
      <c r="P73" s="59" t="str">
        <f t="shared" si="6"/>
        <v>#DIV/0!</v>
      </c>
      <c r="Q73" s="59" t="str">
        <f t="shared" si="6"/>
        <v>#DIV/0!</v>
      </c>
    </row>
    <row r="74">
      <c r="C74" s="4"/>
      <c r="D74" s="4"/>
      <c r="E74" s="4"/>
      <c r="F74" s="58"/>
      <c r="I74" s="59" t="str">
        <f t="shared" ref="I74:L74" si="7">B74/$E74</f>
        <v>#DIV/0!</v>
      </c>
      <c r="J74" s="59" t="str">
        <f t="shared" si="7"/>
        <v>#DIV/0!</v>
      </c>
      <c r="K74" s="59" t="str">
        <f t="shared" si="7"/>
        <v>#DIV/0!</v>
      </c>
      <c r="L74" s="59" t="str">
        <f t="shared" si="7"/>
        <v>#DIV/0!</v>
      </c>
      <c r="N74" s="59" t="str">
        <f t="shared" ref="N74:Q74" si="8">B101/B$111</f>
        <v>#DIV/0!</v>
      </c>
      <c r="O74" s="59" t="str">
        <f t="shared" si="8"/>
        <v>#DIV/0!</v>
      </c>
      <c r="P74" s="59" t="str">
        <f t="shared" si="8"/>
        <v>#DIV/0!</v>
      </c>
      <c r="Q74" s="59" t="str">
        <f t="shared" si="8"/>
        <v>#DIV/0!</v>
      </c>
    </row>
    <row r="75">
      <c r="C75" s="4"/>
      <c r="D75" s="4"/>
      <c r="E75" s="4"/>
      <c r="F75" s="58"/>
      <c r="I75" s="59" t="str">
        <f t="shared" ref="I75:L75" si="9">B75/$E75</f>
        <v>#DIV/0!</v>
      </c>
      <c r="J75" s="59" t="str">
        <f t="shared" si="9"/>
        <v>#DIV/0!</v>
      </c>
      <c r="K75" s="59" t="str">
        <f t="shared" si="9"/>
        <v>#DIV/0!</v>
      </c>
      <c r="L75" s="59" t="str">
        <f t="shared" si="9"/>
        <v>#DIV/0!</v>
      </c>
      <c r="N75" s="59" t="str">
        <f t="shared" ref="N75:Q75" si="10">B102/B$111</f>
        <v>#DIV/0!</v>
      </c>
      <c r="O75" s="59" t="str">
        <f t="shared" si="10"/>
        <v>#DIV/0!</v>
      </c>
      <c r="P75" s="59" t="str">
        <f t="shared" si="10"/>
        <v>#DIV/0!</v>
      </c>
      <c r="Q75" s="59" t="str">
        <f t="shared" si="10"/>
        <v>#DIV/0!</v>
      </c>
    </row>
    <row r="76">
      <c r="C76" s="4"/>
      <c r="D76" s="4"/>
      <c r="E76" s="4"/>
      <c r="F76" s="58"/>
      <c r="I76" s="59" t="str">
        <f t="shared" ref="I76:L76" si="11">B76/$E76</f>
        <v>#DIV/0!</v>
      </c>
      <c r="J76" s="59" t="str">
        <f t="shared" si="11"/>
        <v>#DIV/0!</v>
      </c>
      <c r="K76" s="59" t="str">
        <f t="shared" si="11"/>
        <v>#DIV/0!</v>
      </c>
      <c r="L76" s="59" t="str">
        <f t="shared" si="11"/>
        <v>#DIV/0!</v>
      </c>
      <c r="N76" s="59" t="str">
        <f t="shared" ref="N76:Q76" si="12">B103/B$111</f>
        <v>#DIV/0!</v>
      </c>
      <c r="O76" s="59" t="str">
        <f t="shared" si="12"/>
        <v>#DIV/0!</v>
      </c>
      <c r="P76" s="59" t="str">
        <f t="shared" si="12"/>
        <v>#DIV/0!</v>
      </c>
      <c r="Q76" s="59" t="str">
        <f t="shared" si="12"/>
        <v>#DIV/0!</v>
      </c>
    </row>
    <row r="77">
      <c r="C77" s="4"/>
      <c r="D77" s="4"/>
      <c r="E77" s="4"/>
      <c r="F77" s="58"/>
      <c r="I77" s="59" t="str">
        <f t="shared" ref="I77:L77" si="13">B77/$E77</f>
        <v>#DIV/0!</v>
      </c>
      <c r="J77" s="59" t="str">
        <f t="shared" si="13"/>
        <v>#DIV/0!</v>
      </c>
      <c r="K77" s="59" t="str">
        <f t="shared" si="13"/>
        <v>#DIV/0!</v>
      </c>
      <c r="L77" s="59" t="str">
        <f t="shared" si="13"/>
        <v>#DIV/0!</v>
      </c>
      <c r="N77" s="59" t="str">
        <f t="shared" ref="N77:Q77" si="14">B104/B$111</f>
        <v>#DIV/0!</v>
      </c>
      <c r="O77" s="59" t="str">
        <f t="shared" si="14"/>
        <v>#DIV/0!</v>
      </c>
      <c r="P77" s="59" t="str">
        <f t="shared" si="14"/>
        <v>#DIV/0!</v>
      </c>
      <c r="Q77" s="59" t="str">
        <f t="shared" si="14"/>
        <v>#DIV/0!</v>
      </c>
    </row>
    <row r="78">
      <c r="C78" s="4"/>
      <c r="D78" s="4"/>
      <c r="E78" s="4"/>
      <c r="F78" s="58"/>
      <c r="I78" s="59" t="str">
        <f t="shared" ref="I78:L78" si="15">B78/$E78</f>
        <v>#DIV/0!</v>
      </c>
      <c r="J78" s="59" t="str">
        <f t="shared" si="15"/>
        <v>#DIV/0!</v>
      </c>
      <c r="K78" s="59" t="str">
        <f t="shared" si="15"/>
        <v>#DIV/0!</v>
      </c>
      <c r="L78" s="59" t="str">
        <f t="shared" si="15"/>
        <v>#DIV/0!</v>
      </c>
      <c r="N78" s="59" t="str">
        <f t="shared" ref="N78:Q78" si="16">B105/B$111</f>
        <v>#DIV/0!</v>
      </c>
      <c r="O78" s="59" t="str">
        <f t="shared" si="16"/>
        <v>#DIV/0!</v>
      </c>
      <c r="P78" s="59" t="str">
        <f t="shared" si="16"/>
        <v>#DIV/0!</v>
      </c>
      <c r="Q78" s="59" t="str">
        <f t="shared" si="16"/>
        <v>#DIV/0!</v>
      </c>
    </row>
    <row r="79">
      <c r="C79" s="4"/>
      <c r="D79" s="4"/>
      <c r="E79" s="4"/>
      <c r="F79" s="58"/>
      <c r="I79" s="59" t="str">
        <f t="shared" ref="I79:L79" si="17">B79/$E79</f>
        <v>#DIV/0!</v>
      </c>
      <c r="J79" s="59" t="str">
        <f t="shared" si="17"/>
        <v>#DIV/0!</v>
      </c>
      <c r="K79" s="59" t="str">
        <f t="shared" si="17"/>
        <v>#DIV/0!</v>
      </c>
      <c r="L79" s="59" t="str">
        <f t="shared" si="17"/>
        <v>#DIV/0!</v>
      </c>
      <c r="N79" s="59" t="str">
        <f t="shared" ref="N79:Q79" si="18">B106/B$111</f>
        <v>#DIV/0!</v>
      </c>
      <c r="O79" s="59" t="str">
        <f t="shared" si="18"/>
        <v>#DIV/0!</v>
      </c>
      <c r="P79" s="59" t="str">
        <f t="shared" si="18"/>
        <v>#DIV/0!</v>
      </c>
      <c r="Q79" s="59" t="str">
        <f t="shared" si="18"/>
        <v>#DIV/0!</v>
      </c>
    </row>
    <row r="80">
      <c r="C80" s="4"/>
      <c r="D80" s="4"/>
      <c r="E80" s="4"/>
      <c r="F80" s="58"/>
      <c r="I80" s="59" t="str">
        <f t="shared" ref="I80:L80" si="19">B80/$E80</f>
        <v>#DIV/0!</v>
      </c>
      <c r="J80" s="59" t="str">
        <f t="shared" si="19"/>
        <v>#DIV/0!</v>
      </c>
      <c r="K80" s="59" t="str">
        <f t="shared" si="19"/>
        <v>#DIV/0!</v>
      </c>
      <c r="L80" s="59" t="str">
        <f t="shared" si="19"/>
        <v>#DIV/0!</v>
      </c>
      <c r="N80" s="59" t="str">
        <f t="shared" ref="N80:Q80" si="20">B107/B$111</f>
        <v>#DIV/0!</v>
      </c>
      <c r="O80" s="59" t="str">
        <f t="shared" si="20"/>
        <v>#DIV/0!</v>
      </c>
      <c r="P80" s="59" t="str">
        <f t="shared" si="20"/>
        <v>#DIV/0!</v>
      </c>
      <c r="Q80" s="59" t="str">
        <f t="shared" si="20"/>
        <v>#DIV/0!</v>
      </c>
    </row>
    <row r="81">
      <c r="C81" s="4"/>
      <c r="D81" s="4"/>
      <c r="E81" s="4"/>
      <c r="F81" s="58"/>
      <c r="I81" s="59" t="str">
        <f t="shared" ref="I81:L81" si="21">B81/$E81</f>
        <v>#DIV/0!</v>
      </c>
      <c r="J81" s="59" t="str">
        <f t="shared" si="21"/>
        <v>#DIV/0!</v>
      </c>
      <c r="K81" s="59" t="str">
        <f t="shared" si="21"/>
        <v>#DIV/0!</v>
      </c>
      <c r="L81" s="59" t="str">
        <f t="shared" si="21"/>
        <v>#DIV/0!</v>
      </c>
      <c r="N81" s="59" t="str">
        <f t="shared" ref="N81:Q81" si="22">B108/B$111</f>
        <v>#DIV/0!</v>
      </c>
      <c r="O81" s="59" t="str">
        <f t="shared" si="22"/>
        <v>#DIV/0!</v>
      </c>
      <c r="P81" s="59" t="str">
        <f t="shared" si="22"/>
        <v>#DIV/0!</v>
      </c>
      <c r="Q81" s="59" t="str">
        <f t="shared" si="22"/>
        <v>#DIV/0!</v>
      </c>
    </row>
    <row r="82">
      <c r="C82" s="4"/>
      <c r="D82" s="4"/>
      <c r="E82" s="4"/>
      <c r="F82" s="58"/>
      <c r="I82" s="59" t="str">
        <f t="shared" ref="I82:L82" si="23">B82/$E82</f>
        <v>#DIV/0!</v>
      </c>
      <c r="J82" s="59" t="str">
        <f t="shared" si="23"/>
        <v>#DIV/0!</v>
      </c>
      <c r="K82" s="59" t="str">
        <f t="shared" si="23"/>
        <v>#DIV/0!</v>
      </c>
      <c r="L82" s="59" t="str">
        <f t="shared" si="23"/>
        <v>#DIV/0!</v>
      </c>
      <c r="N82" s="59" t="str">
        <f t="shared" ref="N82:Q82" si="24">B109/B$111</f>
        <v>#DIV/0!</v>
      </c>
      <c r="O82" s="59" t="str">
        <f t="shared" si="24"/>
        <v>#DIV/0!</v>
      </c>
      <c r="P82" s="59" t="str">
        <f t="shared" si="24"/>
        <v>#DIV/0!</v>
      </c>
      <c r="Q82" s="59" t="str">
        <f t="shared" si="24"/>
        <v>#DIV/0!</v>
      </c>
    </row>
    <row r="83">
      <c r="C83" s="4"/>
      <c r="D83" s="4"/>
      <c r="E83" s="4"/>
      <c r="F83" s="58"/>
      <c r="I83" s="59" t="str">
        <f t="shared" ref="I83:L83" si="25">B83/$E83</f>
        <v>#DIV/0!</v>
      </c>
      <c r="J83" s="59" t="str">
        <f t="shared" si="25"/>
        <v>#DIV/0!</v>
      </c>
      <c r="K83" s="59" t="str">
        <f t="shared" si="25"/>
        <v>#DIV/0!</v>
      </c>
      <c r="L83" s="59" t="str">
        <f t="shared" si="25"/>
        <v>#DIV/0!</v>
      </c>
      <c r="N83" s="59" t="str">
        <f t="shared" ref="N83:Q83" si="26">B110/B$111</f>
        <v>#DIV/0!</v>
      </c>
      <c r="O83" s="59" t="str">
        <f t="shared" si="26"/>
        <v>#DIV/0!</v>
      </c>
      <c r="P83" s="59" t="str">
        <f t="shared" si="26"/>
        <v>#DIV/0!</v>
      </c>
      <c r="Q83" s="59" t="str">
        <f t="shared" si="26"/>
        <v>#DIV/0!</v>
      </c>
    </row>
    <row r="84">
      <c r="C84" s="4"/>
      <c r="D84" s="4"/>
      <c r="E84" s="4"/>
      <c r="F84" s="58"/>
      <c r="I84" s="59" t="str">
        <f t="shared" ref="I84:L84" si="27">B84/$E84</f>
        <v>#DIV/0!</v>
      </c>
      <c r="J84" s="59" t="str">
        <f t="shared" si="27"/>
        <v>#DIV/0!</v>
      </c>
      <c r="K84" s="59" t="str">
        <f t="shared" si="27"/>
        <v>#DIV/0!</v>
      </c>
      <c r="L84" s="59" t="str">
        <f t="shared" si="27"/>
        <v>#DIV/0!</v>
      </c>
      <c r="N84" s="59" t="str">
        <f t="shared" ref="N84:Q84" si="28">B111/B$111</f>
        <v>#DIV/0!</v>
      </c>
      <c r="O84" s="59" t="str">
        <f t="shared" si="28"/>
        <v>#DIV/0!</v>
      </c>
      <c r="P84" s="59" t="str">
        <f t="shared" si="28"/>
        <v>#DIV/0!</v>
      </c>
      <c r="Q84" s="59" t="str">
        <f t="shared" si="28"/>
        <v>#DIV/0!</v>
      </c>
    </row>
    <row r="85">
      <c r="C85" s="58" t="str">
        <f t="shared" si="29"/>
        <v>#DIV/0!</v>
      </c>
      <c r="D85" s="58" t="str">
        <f t="shared" si="29"/>
        <v>#DIV/0!</v>
      </c>
      <c r="E85" s="60">
        <v>1.0</v>
      </c>
    </row>
    <row r="87" hidden="1"/>
    <row r="88" hidden="1"/>
    <row r="89" hidden="1"/>
    <row r="90" hidden="1"/>
    <row r="91" hidden="1"/>
    <row r="92" hidden="1"/>
    <row r="93" hidden="1"/>
    <row r="94" hidden="1"/>
    <row r="95" hidden="1"/>
    <row r="96" hidden="1">
      <c r="C96" s="4"/>
      <c r="D96" s="4"/>
      <c r="E96" s="4"/>
    </row>
    <row r="97" hidden="1">
      <c r="C97" s="4"/>
      <c r="D97" s="4"/>
      <c r="E97" s="4"/>
    </row>
    <row r="98" hidden="1">
      <c r="C98" s="4"/>
      <c r="D98" s="4"/>
      <c r="E98" s="4"/>
    </row>
    <row r="99" hidden="1">
      <c r="C99" s="4"/>
      <c r="D99" s="4"/>
      <c r="E99" s="4"/>
    </row>
    <row r="100" hidden="1">
      <c r="C100" s="4"/>
      <c r="D100" s="4"/>
      <c r="E100" s="4"/>
    </row>
    <row r="101" hidden="1">
      <c r="C101" s="4"/>
      <c r="D101" s="4"/>
      <c r="E101" s="4"/>
    </row>
    <row r="102" hidden="1">
      <c r="C102" s="4"/>
      <c r="D102" s="4"/>
      <c r="E102" s="4"/>
    </row>
    <row r="103" hidden="1">
      <c r="C103" s="4"/>
      <c r="D103" s="4"/>
      <c r="E103" s="4"/>
    </row>
    <row r="104" hidden="1">
      <c r="C104" s="4"/>
      <c r="D104" s="4"/>
      <c r="E104" s="4"/>
    </row>
    <row r="105" hidden="1">
      <c r="C105" s="4"/>
      <c r="D105" s="4"/>
      <c r="E105" s="4"/>
    </row>
    <row r="106" hidden="1">
      <c r="C106" s="4"/>
      <c r="D106" s="4"/>
      <c r="E106" s="4"/>
    </row>
    <row r="107" hidden="1">
      <c r="C107" s="4"/>
      <c r="D107" s="4"/>
      <c r="E107" s="4"/>
    </row>
    <row r="108" hidden="1">
      <c r="C108" s="4"/>
      <c r="D108" s="4"/>
      <c r="E108" s="4"/>
    </row>
    <row r="109" hidden="1">
      <c r="C109" s="4"/>
      <c r="D109" s="4"/>
      <c r="E109" s="4"/>
    </row>
    <row r="110" hidden="1">
      <c r="C110" s="4"/>
      <c r="D110" s="4"/>
      <c r="E110" s="4"/>
    </row>
    <row r="111" hidden="1">
      <c r="C111" s="4"/>
      <c r="D111" s="4"/>
      <c r="E111" s="4"/>
    </row>
    <row r="112" hidden="1">
      <c r="C112" s="58" t="str">
        <f t="shared" si="30"/>
        <v>#DIV/0!</v>
      </c>
      <c r="D112" s="58" t="str">
        <f t="shared" si="30"/>
        <v>#DIV/0!</v>
      </c>
    </row>
    <row r="113" hidden="1"/>
    <row r="114" hidden="1"/>
    <row r="115" hidden="1"/>
    <row r="116" hidden="1"/>
    <row r="117" hidden="1"/>
    <row r="118" hidden="1"/>
    <row r="121">
      <c r="A121" s="57" t="s">
        <v>5804</v>
      </c>
    </row>
    <row r="122"/>
    <row r="123">
      <c r="I123" s="39" t="s">
        <v>167</v>
      </c>
      <c r="J123" s="39" t="s">
        <v>94</v>
      </c>
      <c r="K123" s="39" t="s">
        <v>221</v>
      </c>
      <c r="L123" s="39" t="s">
        <v>5760</v>
      </c>
    </row>
    <row r="124">
      <c r="I124" s="59">
        <f t="shared" ref="I124:L124" si="31">B124/$E124</f>
        <v>0</v>
      </c>
      <c r="J124" s="59">
        <f t="shared" si="31"/>
        <v>0.4411764706</v>
      </c>
      <c r="K124" s="59">
        <f t="shared" si="31"/>
        <v>0.5588235294</v>
      </c>
      <c r="L124" s="59">
        <f t="shared" si="31"/>
        <v>1</v>
      </c>
    </row>
    <row r="125">
      <c r="I125" s="59">
        <f t="shared" ref="I125:L125" si="32">B125/$E125</f>
        <v>0</v>
      </c>
      <c r="J125" s="59">
        <f t="shared" si="32"/>
        <v>0.3333333333</v>
      </c>
      <c r="K125" s="59">
        <f t="shared" si="32"/>
        <v>0.6666666667</v>
      </c>
      <c r="L125" s="59">
        <f t="shared" si="32"/>
        <v>1</v>
      </c>
    </row>
    <row r="126">
      <c r="I126" s="59">
        <f t="shared" ref="I126:L126" si="33">B126/$E126</f>
        <v>0.4</v>
      </c>
      <c r="J126" s="59">
        <f t="shared" si="33"/>
        <v>0.5</v>
      </c>
      <c r="K126" s="59">
        <f t="shared" si="33"/>
        <v>0.1</v>
      </c>
      <c r="L126" s="59">
        <f t="shared" si="33"/>
        <v>1</v>
      </c>
    </row>
    <row r="127">
      <c r="I127" s="59">
        <f t="shared" ref="I127:L127" si="34">B127/$E127</f>
        <v>0.1666666667</v>
      </c>
      <c r="J127" s="59">
        <f t="shared" si="34"/>
        <v>0.5</v>
      </c>
      <c r="K127" s="59">
        <f t="shared" si="34"/>
        <v>0.3333333333</v>
      </c>
      <c r="L127" s="59">
        <f t="shared" si="34"/>
        <v>1</v>
      </c>
    </row>
    <row r="128">
      <c r="I128" s="59">
        <f t="shared" ref="I128:L128" si="35">B128/$E128</f>
        <v>0.06666666667</v>
      </c>
      <c r="J128" s="59">
        <f t="shared" si="35"/>
        <v>0.9333333333</v>
      </c>
      <c r="K128" s="59">
        <f t="shared" si="35"/>
        <v>0</v>
      </c>
      <c r="L128" s="59">
        <f t="shared" si="35"/>
        <v>1</v>
      </c>
    </row>
    <row r="129">
      <c r="I129" s="59">
        <f t="shared" ref="I129:L129" si="36">B129/$E129</f>
        <v>1</v>
      </c>
      <c r="J129" s="59">
        <f t="shared" si="36"/>
        <v>0</v>
      </c>
      <c r="K129" s="59">
        <f t="shared" si="36"/>
        <v>0</v>
      </c>
      <c r="L129" s="59">
        <f t="shared" si="36"/>
        <v>1</v>
      </c>
    </row>
    <row r="130">
      <c r="I130" s="59">
        <f t="shared" ref="I130:L130" si="37">B130/$E130</f>
        <v>0.02857142857</v>
      </c>
      <c r="J130" s="59">
        <f t="shared" si="37"/>
        <v>0.3428571429</v>
      </c>
      <c r="K130" s="59">
        <f t="shared" si="37"/>
        <v>0.6285714286</v>
      </c>
      <c r="L130" s="59">
        <f t="shared" si="37"/>
        <v>1</v>
      </c>
    </row>
    <row r="131">
      <c r="I131" s="59">
        <f t="shared" ref="I131:L131" si="38">B131/$E131</f>
        <v>0</v>
      </c>
      <c r="J131" s="59">
        <f t="shared" si="38"/>
        <v>0.5</v>
      </c>
      <c r="K131" s="59">
        <f t="shared" si="38"/>
        <v>0.5</v>
      </c>
      <c r="L131" s="59">
        <f t="shared" si="38"/>
        <v>1</v>
      </c>
    </row>
    <row r="132">
      <c r="I132" s="59">
        <f t="shared" ref="I132:L132" si="39">B132/$E132</f>
        <v>0.07339449541</v>
      </c>
      <c r="J132" s="59">
        <f t="shared" si="39"/>
        <v>0.4770642202</v>
      </c>
      <c r="K132" s="59">
        <f t="shared" si="39"/>
        <v>0.4495412844</v>
      </c>
      <c r="L132" s="59">
        <f t="shared" si="39"/>
        <v>1</v>
      </c>
    </row>
    <row r="133">
      <c r="A133" s="50" t="s">
        <v>5805</v>
      </c>
      <c r="B133" s="58" t="str">
        <f t="shared" ref="B133:E133" si="40">B132/B111</f>
        <v>#DIV/0!</v>
      </c>
      <c r="C133" s="58" t="str">
        <f t="shared" si="40"/>
        <v>#DIV/0!</v>
      </c>
      <c r="D133" s="58" t="str">
        <f t="shared" si="40"/>
        <v>#DIV/0!</v>
      </c>
      <c r="E133" s="58" t="str">
        <f t="shared" si="40"/>
        <v>#DIV/0!</v>
      </c>
      <c r="I133" s="59"/>
      <c r="J133" s="59"/>
      <c r="K133" s="59"/>
      <c r="L133" s="59"/>
    </row>
    <row r="134">
      <c r="I134" s="59"/>
      <c r="J134" s="59"/>
      <c r="K134" s="59"/>
      <c r="L134" s="59"/>
    </row>
    <row r="135">
      <c r="I135" s="59"/>
      <c r="J135" s="59"/>
      <c r="K135" s="59"/>
      <c r="L135" s="59"/>
    </row>
    <row r="136">
      <c r="I136" s="59"/>
      <c r="J136" s="59"/>
      <c r="K136" s="59"/>
      <c r="L136" s="59"/>
    </row>
    <row r="137">
      <c r="I137" s="59"/>
      <c r="J137" s="59"/>
      <c r="K137" s="59"/>
      <c r="L137" s="59"/>
    </row>
    <row r="138">
      <c r="B138" s="58"/>
      <c r="C138" s="58"/>
      <c r="D138" s="58"/>
    </row>
    <row r="162">
      <c r="A162" s="57"/>
    </row>
    <row r="174">
      <c r="A174" s="50"/>
      <c r="B174" s="58"/>
      <c r="C174" s="58"/>
      <c r="D174" s="58"/>
      <c r="E174" s="58"/>
    </row>
  </sheetData>
  <conditionalFormatting sqref="I71:I84">
    <cfRule type="colorScale" priority="1">
      <colorScale>
        <cfvo type="min"/>
        <cfvo type="max"/>
        <color rgb="FFFFFFFF"/>
        <color rgb="FF57BB8A"/>
      </colorScale>
    </cfRule>
  </conditionalFormatting>
  <conditionalFormatting sqref="J71:J84">
    <cfRule type="colorScale" priority="2">
      <colorScale>
        <cfvo type="min"/>
        <cfvo type="max"/>
        <color rgb="FFFFFFFF"/>
        <color rgb="FFFFD666"/>
      </colorScale>
    </cfRule>
  </conditionalFormatting>
  <conditionalFormatting sqref="K71:K84">
    <cfRule type="colorScale" priority="3">
      <colorScale>
        <cfvo type="min"/>
        <cfvo type="max"/>
        <color rgb="FFFFFFFF"/>
        <color rgb="FF57BB8A"/>
      </colorScale>
    </cfRule>
  </conditionalFormatting>
  <conditionalFormatting sqref="N71:N83">
    <cfRule type="colorScale" priority="4">
      <colorScale>
        <cfvo type="min"/>
        <cfvo type="percentile" val="90"/>
        <cfvo type="max"/>
        <color rgb="FFE67C73"/>
        <color rgb="FFFFFFFF"/>
        <color rgb="FF57BB8A"/>
      </colorScale>
    </cfRule>
  </conditionalFormatting>
  <conditionalFormatting sqref="O71:O83">
    <cfRule type="colorScale" priority="5">
      <colorScale>
        <cfvo type="min"/>
        <cfvo type="percentile" val="50"/>
        <cfvo type="max"/>
        <color rgb="FFE67C73"/>
        <color rgb="FFFFFFFF"/>
        <color rgb="FF57BB8A"/>
      </colorScale>
    </cfRule>
  </conditionalFormatting>
  <conditionalFormatting sqref="P71:P83">
    <cfRule type="colorScale" priority="6">
      <colorScale>
        <cfvo type="min"/>
        <cfvo type="max"/>
        <color rgb="FFFFFFFF"/>
        <color rgb="FFE67C73"/>
      </colorScale>
    </cfRule>
  </conditionalFormatting>
  <hyperlinks>
    <hyperlink r:id="rId6" ref="A13"/>
    <hyperlink r:id="rId7" ref="A38"/>
  </hyperlinks>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63"/>
  </cols>
  <sheetData>
    <row r="1">
      <c r="A1" s="57" t="s">
        <v>5806</v>
      </c>
    </row>
    <row r="2"/>
    <row r="3"/>
    <row r="4"/>
    <row r="5"/>
    <row r="6"/>
    <row r="7"/>
    <row r="8"/>
    <row r="9"/>
    <row r="10"/>
    <row r="11"/>
    <row r="12"/>
    <row r="13">
      <c r="A13" s="50"/>
      <c r="B13" s="58"/>
      <c r="C13" s="58"/>
      <c r="D13" s="58"/>
      <c r="E13" s="58"/>
    </row>
  </sheetData>
  <drawing r:id="rId2"/>
</worksheet>
</file>